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postas Fechadas\Costão do Santinho - 12.2022\03. Custo\03.0 Custo - Orçamento Paramétrico\"/>
    </mc:Choice>
  </mc:AlternateContent>
  <xr:revisionPtr revIDLastSave="0" documentId="13_ncr:1_{477EEB2B-5383-4E7A-BC6B-08E7BEF3F281}" xr6:coauthVersionLast="47" xr6:coauthVersionMax="47" xr10:uidLastSave="{00000000-0000-0000-0000-000000000000}"/>
  <bookViews>
    <workbookView xWindow="22932" yWindow="1524" windowWidth="23256" windowHeight="12456" firstSheet="1" activeTab="1" xr2:uid="{0DDBE896-B71C-4FA8-83FD-EBC727067134}"/>
  </bookViews>
  <sheets>
    <sheet name="Fìsico" sheetId="3" state="hidden" r:id="rId1"/>
    <sheet name="FASE_A" sheetId="12" r:id="rId2"/>
    <sheet name="FASE_B" sheetId="15" r:id="rId3"/>
    <sheet name="FASE_C" sheetId="16" r:id="rId4"/>
    <sheet name="TOTAL_OBRA" sheetId="18" r:id="rId5"/>
    <sheet name="FASE A,B,C" sheetId="19" r:id="rId6"/>
  </sheets>
  <externalReferences>
    <externalReference r:id="rId7"/>
  </externalReferences>
  <definedNames>
    <definedName name="_xlnm.Print_Area" localSheetId="5">'FASE A,B,C'!$A$1:$AG$53</definedName>
    <definedName name="_xlnm.Print_Area" localSheetId="1">FASE_A!$A$1:$AD$50</definedName>
    <definedName name="_xlnm.Print_Area" localSheetId="2">FASE_B!$A$1:$AD$42</definedName>
    <definedName name="_xlnm.Print_Area" localSheetId="3">FASE_C!$A$1:$AD$42</definedName>
    <definedName name="_xlnm.Print_Area" localSheetId="4">TOTAL_OBRA!$A$1:$AD$57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6" i="19" l="1"/>
  <c r="J72" i="19"/>
  <c r="J11" i="19"/>
  <c r="J12" i="19"/>
  <c r="J13" i="19"/>
  <c r="J14" i="19"/>
  <c r="J15" i="19"/>
  <c r="J16" i="19"/>
  <c r="J17" i="19"/>
  <c r="J18" i="19"/>
  <c r="J19" i="19"/>
  <c r="J20" i="19"/>
  <c r="J21" i="19"/>
  <c r="J22" i="19"/>
  <c r="J23" i="19"/>
  <c r="J24" i="19"/>
  <c r="J25" i="19"/>
  <c r="J26" i="19"/>
  <c r="J27" i="19"/>
  <c r="J28" i="19"/>
  <c r="J29" i="19"/>
  <c r="J30" i="19"/>
  <c r="J31" i="19"/>
  <c r="J32" i="19"/>
  <c r="J33" i="19"/>
  <c r="J34" i="19"/>
  <c r="J35" i="19"/>
  <c r="J36" i="19"/>
  <c r="J37" i="19"/>
  <c r="J38" i="19"/>
  <c r="J39" i="19"/>
  <c r="J40" i="19"/>
  <c r="J41" i="19"/>
  <c r="J42" i="19"/>
  <c r="J43" i="19"/>
  <c r="J44" i="19"/>
  <c r="J45" i="19"/>
  <c r="J46" i="19"/>
  <c r="J47" i="19"/>
  <c r="J48" i="19"/>
  <c r="J49" i="19"/>
  <c r="J50" i="19"/>
  <c r="J51" i="19"/>
  <c r="J52" i="19"/>
  <c r="J53" i="19"/>
  <c r="J54" i="19"/>
  <c r="J55" i="19"/>
  <c r="J56" i="19"/>
  <c r="J57" i="19"/>
  <c r="J58" i="19"/>
  <c r="J59" i="19"/>
  <c r="J60" i="19"/>
  <c r="J61" i="19"/>
  <c r="J62" i="19"/>
  <c r="J63" i="19"/>
  <c r="J64" i="19"/>
  <c r="J65" i="19"/>
  <c r="J66" i="19"/>
  <c r="J67" i="19"/>
  <c r="J68" i="19"/>
  <c r="J69" i="19"/>
  <c r="J70" i="19"/>
  <c r="J71" i="19"/>
  <c r="J10" i="19"/>
  <c r="C52" i="12"/>
  <c r="C51" i="12"/>
  <c r="C44" i="15"/>
  <c r="C43" i="15"/>
  <c r="C44" i="16"/>
  <c r="C43" i="16"/>
  <c r="C9" i="18" l="1"/>
  <c r="C11" i="18" s="1"/>
  <c r="C11" i="12"/>
  <c r="E14" i="16" l="1"/>
  <c r="E15" i="16" s="1"/>
  <c r="E16" i="16" s="1"/>
  <c r="E17" i="16" s="1"/>
  <c r="E18" i="16" s="1"/>
  <c r="E19" i="16" s="1"/>
  <c r="E20" i="16" s="1"/>
  <c r="E21" i="16" s="1"/>
  <c r="E22" i="16" s="1"/>
  <c r="E23" i="16" s="1"/>
  <c r="E24" i="16" s="1"/>
  <c r="E25" i="16" s="1"/>
  <c r="E26" i="16" s="1"/>
  <c r="E27" i="16" s="1"/>
  <c r="E28" i="16" s="1"/>
  <c r="E29" i="16" s="1"/>
  <c r="E30" i="16" s="1"/>
  <c r="E31" i="16" s="1"/>
  <c r="E32" i="16" s="1"/>
  <c r="E33" i="16" s="1"/>
  <c r="E34" i="16" s="1"/>
  <c r="E35" i="16" s="1"/>
  <c r="E36" i="16" s="1"/>
  <c r="E37" i="16" s="1"/>
  <c r="E38" i="16" s="1"/>
  <c r="E39" i="16" s="1"/>
  <c r="E40" i="16" s="1"/>
  <c r="E41" i="16" s="1"/>
  <c r="E14" i="15"/>
  <c r="E15" i="15" s="1"/>
  <c r="E16" i="15" s="1"/>
  <c r="E17" i="15" s="1"/>
  <c r="E18" i="15" s="1"/>
  <c r="E19" i="15" s="1"/>
  <c r="E20" i="15" s="1"/>
  <c r="E21" i="15" s="1"/>
  <c r="E22" i="15" s="1"/>
  <c r="E23" i="15" s="1"/>
  <c r="E24" i="15" s="1"/>
  <c r="E25" i="15" s="1"/>
  <c r="E26" i="15" s="1"/>
  <c r="E27" i="15" s="1"/>
  <c r="E28" i="15" s="1"/>
  <c r="E29" i="15" s="1"/>
  <c r="E30" i="15" s="1"/>
  <c r="E31" i="15" s="1"/>
  <c r="E32" i="15" s="1"/>
  <c r="E33" i="15" s="1"/>
  <c r="E34" i="15" s="1"/>
  <c r="E35" i="15" s="1"/>
  <c r="E36" i="15" s="1"/>
  <c r="E37" i="15" s="1"/>
  <c r="E38" i="15" s="1"/>
  <c r="E39" i="15" s="1"/>
  <c r="E40" i="15" s="1"/>
  <c r="E41" i="15" s="1"/>
  <c r="E14" i="12"/>
  <c r="C11" i="16" l="1"/>
  <c r="C11" i="15"/>
  <c r="E15" i="12"/>
  <c r="E16" i="12" s="1"/>
  <c r="E17" i="12" s="1"/>
  <c r="E18" i="12" s="1"/>
  <c r="E19" i="12" s="1"/>
  <c r="E20" i="12" s="1"/>
  <c r="E21" i="12" s="1"/>
  <c r="E22" i="12" s="1"/>
  <c r="E23" i="12" s="1"/>
  <c r="E24" i="12" s="1"/>
  <c r="E25" i="12" s="1"/>
  <c r="E26" i="12" s="1"/>
  <c r="E27" i="12" s="1"/>
  <c r="E28" i="12" s="1"/>
  <c r="E29" i="12" s="1"/>
  <c r="E30" i="12" s="1"/>
  <c r="E31" i="12" s="1"/>
  <c r="E32" i="12" s="1"/>
  <c r="E33" i="12" s="1"/>
  <c r="E34" i="12" s="1"/>
  <c r="E35" i="12" s="1"/>
  <c r="E36" i="12" s="1"/>
  <c r="E37" i="12" s="1"/>
  <c r="E38" i="12" s="1"/>
  <c r="E39" i="12" s="1"/>
  <c r="E40" i="12" s="1"/>
  <c r="E41" i="12" s="1"/>
  <c r="E42" i="12" s="1"/>
  <c r="E43" i="12" s="1"/>
  <c r="E44" i="12" s="1"/>
  <c r="E45" i="12" s="1"/>
  <c r="E46" i="12" s="1"/>
  <c r="E47" i="12" s="1"/>
  <c r="E48" i="12" s="1"/>
  <c r="E49" i="12" s="1"/>
  <c r="F37" i="15" l="1"/>
  <c r="F29" i="15"/>
  <c r="F21" i="15"/>
  <c r="F34" i="15"/>
  <c r="F38" i="15"/>
  <c r="F20" i="15"/>
  <c r="F23" i="15"/>
  <c r="F33" i="15"/>
  <c r="F41" i="15"/>
  <c r="F16" i="15"/>
  <c r="F40" i="15"/>
  <c r="F32" i="15"/>
  <c r="F24" i="15"/>
  <c r="F28" i="15"/>
  <c r="F25" i="15"/>
  <c r="F31" i="15"/>
  <c r="F39" i="15"/>
  <c r="F18" i="15"/>
  <c r="F30" i="15"/>
  <c r="F15" i="15"/>
  <c r="F19" i="15"/>
  <c r="F17" i="15"/>
  <c r="F36" i="15"/>
  <c r="F27" i="15"/>
  <c r="F35" i="15"/>
  <c r="F14" i="15"/>
  <c r="G14" i="15" s="1"/>
  <c r="F22" i="15"/>
  <c r="F26" i="15"/>
  <c r="F15" i="12"/>
  <c r="F14" i="12"/>
  <c r="F14" i="18" s="1"/>
  <c r="D14" i="18" s="1"/>
  <c r="E14" i="18" s="1"/>
  <c r="F41" i="12"/>
  <c r="F32" i="12"/>
  <c r="F32" i="18" s="1"/>
  <c r="D32" i="18" s="1"/>
  <c r="F21" i="12"/>
  <c r="F26" i="12"/>
  <c r="F38" i="12"/>
  <c r="F38" i="18" s="1"/>
  <c r="D38" i="18" s="1"/>
  <c r="F36" i="12"/>
  <c r="F36" i="18" s="1"/>
  <c r="D36" i="18" s="1"/>
  <c r="F23" i="12"/>
  <c r="F48" i="12"/>
  <c r="F48" i="18" s="1"/>
  <c r="D48" i="18" s="1"/>
  <c r="F49" i="12"/>
  <c r="F42" i="12"/>
  <c r="F42" i="18" s="1"/>
  <c r="D42" i="18" s="1"/>
  <c r="F33" i="12"/>
  <c r="F24" i="12"/>
  <c r="F44" i="12"/>
  <c r="F17" i="12"/>
  <c r="F43" i="12"/>
  <c r="F43" i="18" s="1"/>
  <c r="D43" i="18" s="1"/>
  <c r="F30" i="12"/>
  <c r="F30" i="18" s="1"/>
  <c r="D30" i="18" s="1"/>
  <c r="F29" i="12"/>
  <c r="F29" i="18" s="1"/>
  <c r="D29" i="18" s="1"/>
  <c r="F27" i="12"/>
  <c r="F27" i="18" s="1"/>
  <c r="D27" i="18" s="1"/>
  <c r="F45" i="12"/>
  <c r="F45" i="18" s="1"/>
  <c r="D45" i="18" s="1"/>
  <c r="F19" i="12"/>
  <c r="F40" i="12"/>
  <c r="F37" i="12"/>
  <c r="F37" i="18" s="1"/>
  <c r="D37" i="18" s="1"/>
  <c r="F34" i="12"/>
  <c r="F34" i="18" s="1"/>
  <c r="D34" i="18" s="1"/>
  <c r="F25" i="12"/>
  <c r="F16" i="12"/>
  <c r="F47" i="12"/>
  <c r="F47" i="18" s="1"/>
  <c r="D47" i="18" s="1"/>
  <c r="F20" i="12"/>
  <c r="F46" i="12"/>
  <c r="F39" i="12"/>
  <c r="F39" i="18" s="1"/>
  <c r="D39" i="18" s="1"/>
  <c r="F18" i="12"/>
  <c r="F18" i="18" s="1"/>
  <c r="D18" i="18" s="1"/>
  <c r="F31" i="12"/>
  <c r="F31" i="18" s="1"/>
  <c r="D31" i="18" s="1"/>
  <c r="F35" i="12"/>
  <c r="F35" i="18" s="1"/>
  <c r="D35" i="18" s="1"/>
  <c r="F22" i="12"/>
  <c r="F28" i="12"/>
  <c r="F28" i="18" s="1"/>
  <c r="D28" i="18" s="1"/>
  <c r="F36" i="16"/>
  <c r="F71" i="18" s="1"/>
  <c r="D71" i="18" s="1"/>
  <c r="F15" i="16"/>
  <c r="F27" i="16"/>
  <c r="F62" i="18" s="1"/>
  <c r="D62" i="18" s="1"/>
  <c r="F33" i="16"/>
  <c r="F68" i="18" s="1"/>
  <c r="D68" i="18" s="1"/>
  <c r="F26" i="16"/>
  <c r="F61" i="18" s="1"/>
  <c r="D61" i="18" s="1"/>
  <c r="F30" i="16"/>
  <c r="F65" i="18" s="1"/>
  <c r="D65" i="18" s="1"/>
  <c r="F38" i="16"/>
  <c r="F73" i="18" s="1"/>
  <c r="D73" i="18" s="1"/>
  <c r="F17" i="16"/>
  <c r="F19" i="16"/>
  <c r="F18" i="16"/>
  <c r="F37" i="16"/>
  <c r="F72" i="18" s="1"/>
  <c r="D72" i="18" s="1"/>
  <c r="F35" i="16"/>
  <c r="F70" i="18" s="1"/>
  <c r="D70" i="18" s="1"/>
  <c r="F41" i="16"/>
  <c r="F76" i="18" s="1"/>
  <c r="D76" i="18" s="1"/>
  <c r="F16" i="16"/>
  <c r="F24" i="16"/>
  <c r="F59" i="18" s="1"/>
  <c r="D59" i="18" s="1"/>
  <c r="F32" i="16"/>
  <c r="F67" i="18" s="1"/>
  <c r="D67" i="18" s="1"/>
  <c r="F40" i="16"/>
  <c r="F75" i="18" s="1"/>
  <c r="D75" i="18" s="1"/>
  <c r="F25" i="16"/>
  <c r="F60" i="18" s="1"/>
  <c r="D60" i="18" s="1"/>
  <c r="F21" i="16"/>
  <c r="F56" i="18" s="1"/>
  <c r="D56" i="18" s="1"/>
  <c r="F23" i="16"/>
  <c r="F58" i="18" s="1"/>
  <c r="D58" i="18" s="1"/>
  <c r="F14" i="16"/>
  <c r="G14" i="16" s="1"/>
  <c r="F20" i="16"/>
  <c r="F55" i="18" s="1"/>
  <c r="D55" i="18" s="1"/>
  <c r="F22" i="16"/>
  <c r="F57" i="18" s="1"/>
  <c r="D57" i="18" s="1"/>
  <c r="F28" i="16"/>
  <c r="F63" i="18" s="1"/>
  <c r="D63" i="18" s="1"/>
  <c r="F39" i="16"/>
  <c r="F74" i="18" s="1"/>
  <c r="D74" i="18" s="1"/>
  <c r="F29" i="16"/>
  <c r="F64" i="18" s="1"/>
  <c r="D64" i="18" s="1"/>
  <c r="F31" i="16"/>
  <c r="F66" i="18" s="1"/>
  <c r="D66" i="18" s="1"/>
  <c r="F34" i="16"/>
  <c r="F69" i="18" s="1"/>
  <c r="D69" i="18" s="1"/>
  <c r="F22" i="18" l="1"/>
  <c r="D22" i="18" s="1"/>
  <c r="F16" i="18"/>
  <c r="D16" i="18" s="1"/>
  <c r="F49" i="18"/>
  <c r="D49" i="18" s="1"/>
  <c r="F41" i="18"/>
  <c r="D41" i="18" s="1"/>
  <c r="F23" i="18"/>
  <c r="D23" i="18" s="1"/>
  <c r="F15" i="18"/>
  <c r="D15" i="18" s="1"/>
  <c r="E15" i="18" s="1"/>
  <c r="F51" i="18"/>
  <c r="D51" i="18" s="1"/>
  <c r="F17" i="18"/>
  <c r="D17" i="18" s="1"/>
  <c r="F25" i="18"/>
  <c r="D25" i="18" s="1"/>
  <c r="F40" i="18"/>
  <c r="D40" i="18" s="1"/>
  <c r="F44" i="18"/>
  <c r="D44" i="18" s="1"/>
  <c r="F53" i="18"/>
  <c r="D53" i="18" s="1"/>
  <c r="F46" i="18"/>
  <c r="D46" i="18" s="1"/>
  <c r="F19" i="18"/>
  <c r="D19" i="18" s="1"/>
  <c r="F24" i="18"/>
  <c r="D24" i="18" s="1"/>
  <c r="F26" i="18"/>
  <c r="D26" i="18" s="1"/>
  <c r="F20" i="18"/>
  <c r="D20" i="18" s="1"/>
  <c r="F33" i="18"/>
  <c r="D33" i="18" s="1"/>
  <c r="F21" i="18"/>
  <c r="D21" i="18" s="1"/>
  <c r="F52" i="18"/>
  <c r="D52" i="18" s="1"/>
  <c r="F54" i="18"/>
  <c r="D54" i="18" s="1"/>
  <c r="F50" i="18"/>
  <c r="D50" i="18" s="1"/>
  <c r="G14" i="12"/>
  <c r="G15" i="12" s="1"/>
  <c r="G16" i="12" s="1"/>
  <c r="G17" i="12" s="1"/>
  <c r="G18" i="12" s="1"/>
  <c r="G19" i="12" s="1"/>
  <c r="G20" i="12" s="1"/>
  <c r="G21" i="12" s="1"/>
  <c r="G22" i="12" s="1"/>
  <c r="G23" i="12" s="1"/>
  <c r="G24" i="12" s="1"/>
  <c r="G25" i="12" s="1"/>
  <c r="G26" i="12" s="1"/>
  <c r="G27" i="12" s="1"/>
  <c r="G28" i="12" s="1"/>
  <c r="G29" i="12" s="1"/>
  <c r="G30" i="12" s="1"/>
  <c r="G31" i="12" s="1"/>
  <c r="G32" i="12" s="1"/>
  <c r="G33" i="12" s="1"/>
  <c r="G34" i="12" s="1"/>
  <c r="G35" i="12" s="1"/>
  <c r="G36" i="12" s="1"/>
  <c r="G37" i="12" s="1"/>
  <c r="G38" i="12" s="1"/>
  <c r="G39" i="12" s="1"/>
  <c r="G40" i="12" s="1"/>
  <c r="G41" i="12" s="1"/>
  <c r="G42" i="12" s="1"/>
  <c r="G43" i="12" s="1"/>
  <c r="G44" i="12" s="1"/>
  <c r="G45" i="12" s="1"/>
  <c r="G46" i="12" s="1"/>
  <c r="G47" i="12" s="1"/>
  <c r="G48" i="12" s="1"/>
  <c r="G49" i="12" s="1"/>
  <c r="G15" i="15"/>
  <c r="G16" i="15" s="1"/>
  <c r="G17" i="15" s="1"/>
  <c r="G18" i="15" s="1"/>
  <c r="G19" i="15" s="1"/>
  <c r="G20" i="15" s="1"/>
  <c r="G21" i="15" s="1"/>
  <c r="G22" i="15" s="1"/>
  <c r="G23" i="15" s="1"/>
  <c r="G24" i="15" s="1"/>
  <c r="G25" i="15" s="1"/>
  <c r="G26" i="15" s="1"/>
  <c r="G27" i="15" s="1"/>
  <c r="G28" i="15" s="1"/>
  <c r="G29" i="15" s="1"/>
  <c r="G30" i="15" s="1"/>
  <c r="G31" i="15" s="1"/>
  <c r="G32" i="15" s="1"/>
  <c r="G33" i="15" s="1"/>
  <c r="G34" i="15" s="1"/>
  <c r="G35" i="15" s="1"/>
  <c r="G36" i="15" s="1"/>
  <c r="G37" i="15" s="1"/>
  <c r="G38" i="15" s="1"/>
  <c r="G39" i="15" s="1"/>
  <c r="G40" i="15" s="1"/>
  <c r="G41" i="15" s="1"/>
  <c r="G15" i="16"/>
  <c r="G16" i="16" s="1"/>
  <c r="G17" i="16" s="1"/>
  <c r="G18" i="16" s="1"/>
  <c r="G19" i="16" s="1"/>
  <c r="G20" i="16" s="1"/>
  <c r="G21" i="16" s="1"/>
  <c r="G22" i="16" s="1"/>
  <c r="G23" i="16" s="1"/>
  <c r="G24" i="16" s="1"/>
  <c r="G25" i="16" s="1"/>
  <c r="G26" i="16" s="1"/>
  <c r="G27" i="16" s="1"/>
  <c r="G28" i="16" s="1"/>
  <c r="G29" i="16" s="1"/>
  <c r="G30" i="16" s="1"/>
  <c r="G31" i="16" s="1"/>
  <c r="G32" i="16" s="1"/>
  <c r="G33" i="16" s="1"/>
  <c r="G34" i="16" s="1"/>
  <c r="G35" i="16" s="1"/>
  <c r="G36" i="16" s="1"/>
  <c r="G37" i="16" s="1"/>
  <c r="G38" i="16" s="1"/>
  <c r="G39" i="16" s="1"/>
  <c r="G40" i="16" s="1"/>
  <c r="G41" i="16" s="1"/>
  <c r="E16" i="18" l="1"/>
  <c r="E17" i="18" s="1"/>
  <c r="E18" i="18" s="1"/>
  <c r="E19" i="18" s="1"/>
  <c r="E20" i="18" s="1"/>
  <c r="E21" i="18" s="1"/>
  <c r="E22" i="18" s="1"/>
  <c r="E23" i="18" s="1"/>
  <c r="E24" i="18" s="1"/>
  <c r="E25" i="18" s="1"/>
  <c r="E26" i="18" s="1"/>
  <c r="E27" i="18" s="1"/>
  <c r="E28" i="18" s="1"/>
  <c r="E29" i="18" s="1"/>
  <c r="E30" i="18" s="1"/>
  <c r="E31" i="18" s="1"/>
  <c r="E32" i="18" s="1"/>
  <c r="E33" i="18" s="1"/>
  <c r="E34" i="18" s="1"/>
  <c r="E35" i="18" s="1"/>
  <c r="E36" i="18" s="1"/>
  <c r="E37" i="18" s="1"/>
  <c r="E38" i="18" s="1"/>
  <c r="E39" i="18" s="1"/>
  <c r="E40" i="18" s="1"/>
  <c r="E41" i="18" s="1"/>
  <c r="E42" i="18" s="1"/>
  <c r="E43" i="18" s="1"/>
  <c r="E44" i="18" s="1"/>
  <c r="E45" i="18" s="1"/>
  <c r="E46" i="18" s="1"/>
  <c r="E47" i="18" s="1"/>
  <c r="E48" i="18" s="1"/>
  <c r="E49" i="18" s="1"/>
  <c r="E50" i="18" s="1"/>
  <c r="E51" i="18" s="1"/>
  <c r="E52" i="18" s="1"/>
  <c r="E53" i="18" s="1"/>
  <c r="E54" i="18" s="1"/>
  <c r="E55" i="18" s="1"/>
  <c r="E56" i="18" s="1"/>
  <c r="E57" i="18" s="1"/>
  <c r="E58" i="18" s="1"/>
  <c r="E59" i="18" s="1"/>
  <c r="E60" i="18" s="1"/>
  <c r="E61" i="18" s="1"/>
  <c r="E62" i="18" s="1"/>
  <c r="E63" i="18" s="1"/>
  <c r="E64" i="18" s="1"/>
  <c r="E65" i="18" s="1"/>
  <c r="E66" i="18" s="1"/>
  <c r="E67" i="18" s="1"/>
  <c r="E68" i="18" s="1"/>
  <c r="E69" i="18" s="1"/>
  <c r="E70" i="18" s="1"/>
  <c r="E71" i="18" s="1"/>
  <c r="E72" i="18" s="1"/>
  <c r="E73" i="18" s="1"/>
  <c r="E74" i="18" s="1"/>
  <c r="E75" i="18" s="1"/>
  <c r="E76" i="18" s="1"/>
  <c r="G14" i="18"/>
  <c r="G15" i="18" s="1"/>
  <c r="G16" i="18" s="1"/>
  <c r="G17" i="18" s="1"/>
  <c r="G18" i="18" s="1"/>
  <c r="G19" i="18" s="1"/>
  <c r="G20" i="18" s="1"/>
  <c r="G21" i="18" s="1"/>
  <c r="G22" i="18" s="1"/>
  <c r="G23" i="18" s="1"/>
  <c r="G24" i="18" s="1"/>
  <c r="G25" i="18" s="1"/>
  <c r="G26" i="18" s="1"/>
  <c r="G27" i="18" s="1"/>
  <c r="G28" i="18" s="1"/>
  <c r="G29" i="18" s="1"/>
  <c r="G30" i="18" s="1"/>
  <c r="G31" i="18" s="1"/>
  <c r="G32" i="18" s="1"/>
  <c r="G33" i="18" s="1"/>
  <c r="G34" i="18" s="1"/>
  <c r="G35" i="18" s="1"/>
  <c r="G36" i="18" s="1"/>
  <c r="G37" i="18" s="1"/>
  <c r="G38" i="18" s="1"/>
  <c r="G39" i="18" s="1"/>
  <c r="G40" i="18" s="1"/>
  <c r="G41" i="18" s="1"/>
  <c r="G42" i="18" s="1"/>
  <c r="G43" i="18" s="1"/>
  <c r="G44" i="18" s="1"/>
  <c r="G45" i="18" s="1"/>
  <c r="G46" i="18" s="1"/>
  <c r="G47" i="18" s="1"/>
  <c r="G48" i="18" s="1"/>
  <c r="G49" i="18" s="1"/>
  <c r="G50" i="18" s="1"/>
  <c r="G51" i="18" s="1"/>
  <c r="G52" i="18" s="1"/>
  <c r="G53" i="18" s="1"/>
  <c r="G54" i="18" s="1"/>
  <c r="G55" i="18" s="1"/>
  <c r="G56" i="18" s="1"/>
  <c r="G57" i="18" s="1"/>
  <c r="G58" i="18" s="1"/>
  <c r="G59" i="18" s="1"/>
  <c r="G60" i="18" s="1"/>
  <c r="G61" i="18" s="1"/>
  <c r="G62" i="18" s="1"/>
  <c r="G63" i="18" s="1"/>
  <c r="G64" i="18" s="1"/>
  <c r="G65" i="18" s="1"/>
  <c r="G66" i="18" s="1"/>
  <c r="G67" i="18" s="1"/>
  <c r="G68" i="18" s="1"/>
  <c r="G69" i="18" s="1"/>
  <c r="G70" i="18" s="1"/>
  <c r="G71" i="18" s="1"/>
  <c r="G72" i="18" s="1"/>
  <c r="G73" i="18" s="1"/>
  <c r="G74" i="18" s="1"/>
  <c r="G75" i="18" s="1"/>
  <c r="G76" i="18" s="1"/>
  <c r="F1126" i="3"/>
  <c r="G1126" i="3"/>
  <c r="H1126" i="3"/>
  <c r="I1126" i="3"/>
  <c r="I1127" i="3" s="1"/>
  <c r="J1126" i="3"/>
  <c r="J1127" i="3" s="1"/>
  <c r="K1126" i="3"/>
  <c r="L1126" i="3"/>
  <c r="M1126" i="3"/>
  <c r="M1127" i="3" s="1"/>
  <c r="N1126" i="3"/>
  <c r="N1127" i="3" s="1"/>
  <c r="O1126" i="3"/>
  <c r="O1127" i="3" s="1"/>
  <c r="P1126" i="3"/>
  <c r="Q1126" i="3"/>
  <c r="R1126" i="3"/>
  <c r="R1127" i="3" s="1"/>
  <c r="S1126" i="3"/>
  <c r="S1127" i="3" s="1"/>
  <c r="T1126" i="3"/>
  <c r="U1126" i="3"/>
  <c r="U1127" i="3" s="1"/>
  <c r="V1126" i="3"/>
  <c r="V1127" i="3" s="1"/>
  <c r="W1126" i="3"/>
  <c r="W1127" i="3" s="1"/>
  <c r="X1126" i="3"/>
  <c r="Y1126" i="3"/>
  <c r="Z1126" i="3"/>
  <c r="Z1127" i="3" s="1"/>
  <c r="AA1126" i="3"/>
  <c r="AA1127" i="3" s="1"/>
  <c r="AB1126" i="3"/>
  <c r="AC1126" i="3"/>
  <c r="AC1127" i="3" s="1"/>
  <c r="AD1126" i="3"/>
  <c r="AD1127" i="3" s="1"/>
  <c r="AE1126" i="3"/>
  <c r="AE1127" i="3" s="1"/>
  <c r="AF1126" i="3"/>
  <c r="AG1126" i="3"/>
  <c r="AH1126" i="3"/>
  <c r="AH1127" i="3" s="1"/>
  <c r="AI1126" i="3"/>
  <c r="AI1127" i="3" s="1"/>
  <c r="AJ1126" i="3"/>
  <c r="AK1126" i="3"/>
  <c r="AK1127" i="3" s="1"/>
  <c r="AL1126" i="3"/>
  <c r="AL1127" i="3" s="1"/>
  <c r="AM1126" i="3"/>
  <c r="AM1127" i="3" s="1"/>
  <c r="AN1126" i="3"/>
  <c r="AO1126" i="3"/>
  <c r="AP1126" i="3"/>
  <c r="AP1127" i="3" s="1"/>
  <c r="E1126" i="3"/>
  <c r="E1127" i="3" s="1"/>
  <c r="AO1127" i="3" l="1"/>
  <c r="AG1127" i="3"/>
  <c r="Y1127" i="3"/>
  <c r="Q1127" i="3"/>
  <c r="AN1127" i="3"/>
  <c r="AF1127" i="3"/>
  <c r="X1127" i="3"/>
  <c r="P1127" i="3"/>
  <c r="H1127" i="3"/>
  <c r="F1127" i="3"/>
  <c r="K1127" i="3"/>
  <c r="G1127" i="3"/>
  <c r="AJ1127" i="3"/>
  <c r="AB1127" i="3"/>
  <c r="T1127" i="3"/>
  <c r="L1127" i="3"/>
</calcChain>
</file>

<file path=xl/sharedStrings.xml><?xml version="1.0" encoding="utf-8"?>
<sst xmlns="http://schemas.openxmlformats.org/spreadsheetml/2006/main" count="2332" uniqueCount="1273">
  <si>
    <t>Nome da Tarefa</t>
  </si>
  <si>
    <t>Duração</t>
  </si>
  <si>
    <t>Início</t>
  </si>
  <si>
    <t>Término</t>
  </si>
  <si>
    <t>PLANEJAMENTO NAUTILUS | CHIQUETTI</t>
  </si>
  <si>
    <t>820,5 dias</t>
  </si>
  <si>
    <t>130,5 dias</t>
  </si>
  <si>
    <t>126,38 dias</t>
  </si>
  <si>
    <t>111 dias</t>
  </si>
  <si>
    <t>5 dias</t>
  </si>
  <si>
    <t>12 dias</t>
  </si>
  <si>
    <t>20 dias</t>
  </si>
  <si>
    <t>3 dias</t>
  </si>
  <si>
    <t>30,38 dias</t>
  </si>
  <si>
    <t>10 dias</t>
  </si>
  <si>
    <t>24 dias</t>
  </si>
  <si>
    <t>4 dias</t>
  </si>
  <si>
    <t>15 dias</t>
  </si>
  <si>
    <t>52,13 dias</t>
  </si>
  <si>
    <t>40 dias</t>
  </si>
  <si>
    <t>0 dias</t>
  </si>
  <si>
    <t>198,88 dias</t>
  </si>
  <si>
    <t xml:space="preserve">      SUPRAESTRUTURA</t>
  </si>
  <si>
    <t>181,5 dias</t>
  </si>
  <si>
    <t>15,38 dias</t>
  </si>
  <si>
    <t>16,5 dias</t>
  </si>
  <si>
    <t>22 dias</t>
  </si>
  <si>
    <t>30 dias</t>
  </si>
  <si>
    <t>116,5 dias</t>
  </si>
  <si>
    <t>1 dia</t>
  </si>
  <si>
    <t>152,38 dias</t>
  </si>
  <si>
    <t>2 dias</t>
  </si>
  <si>
    <t>257,75 dias</t>
  </si>
  <si>
    <t>8 dias</t>
  </si>
  <si>
    <t>11 dias</t>
  </si>
  <si>
    <t>13,25 dias</t>
  </si>
  <si>
    <t>30,63 dias</t>
  </si>
  <si>
    <t>30,5 dias</t>
  </si>
  <si>
    <t>120,5 dias</t>
  </si>
  <si>
    <t>17,63 dias</t>
  </si>
  <si>
    <t>118,75 dias</t>
  </si>
  <si>
    <t>56 dias</t>
  </si>
  <si>
    <t>6 dias</t>
  </si>
  <si>
    <t>393,38 dias</t>
  </si>
  <si>
    <t>132 dias</t>
  </si>
  <si>
    <t>18 dias</t>
  </si>
  <si>
    <t>14 dias</t>
  </si>
  <si>
    <t>137,88 dias</t>
  </si>
  <si>
    <t>43,13 dias</t>
  </si>
  <si>
    <t>19,13 dias</t>
  </si>
  <si>
    <t>42,13 dias</t>
  </si>
  <si>
    <t>20,13 dias</t>
  </si>
  <si>
    <t>392,88 dias</t>
  </si>
  <si>
    <t>139 dias</t>
  </si>
  <si>
    <t>114,63 dias</t>
  </si>
  <si>
    <t>17 dias</t>
  </si>
  <si>
    <t>156,63 dias</t>
  </si>
  <si>
    <t>21,75 dias</t>
  </si>
  <si>
    <t>29,63 dias</t>
  </si>
  <si>
    <t>16,25 dias</t>
  </si>
  <si>
    <t>320,38 dias</t>
  </si>
  <si>
    <t>79 dias</t>
  </si>
  <si>
    <t>315,25 dias</t>
  </si>
  <si>
    <t>76 dias</t>
  </si>
  <si>
    <t>13 dias</t>
  </si>
  <si>
    <t>35 dias</t>
  </si>
  <si>
    <t>327,63 dias</t>
  </si>
  <si>
    <t>121,5 dias</t>
  </si>
  <si>
    <t>58,88 dias</t>
  </si>
  <si>
    <t>9 dias</t>
  </si>
  <si>
    <t>34,38 dias</t>
  </si>
  <si>
    <t>121 dias</t>
  </si>
  <si>
    <t>120 dias</t>
  </si>
  <si>
    <t>60 dias</t>
  </si>
  <si>
    <t>61 dias</t>
  </si>
  <si>
    <t>25 dias</t>
  </si>
  <si>
    <t>148,88 dias</t>
  </si>
  <si>
    <t>30,88 dias</t>
  </si>
  <si>
    <t>43,88 dias</t>
  </si>
  <si>
    <t>101,5 dias</t>
  </si>
  <si>
    <t>9,13 dias</t>
  </si>
  <si>
    <t>34,25 dias</t>
  </si>
  <si>
    <t>45,38 dias</t>
  </si>
  <si>
    <t>309,88 dias</t>
  </si>
  <si>
    <t>98,5 dias</t>
  </si>
  <si>
    <t>138,88 dias</t>
  </si>
  <si>
    <t>19,88 dias</t>
  </si>
  <si>
    <t>137,75 dias</t>
  </si>
  <si>
    <t>106,75 dias</t>
  </si>
  <si>
    <t>147,75 dias</t>
  </si>
  <si>
    <t>27,63 dias</t>
  </si>
  <si>
    <t>28,25 dias</t>
  </si>
  <si>
    <t>27,38 dias</t>
  </si>
  <si>
    <t>307 dias</t>
  </si>
  <si>
    <t>179,5 dias</t>
  </si>
  <si>
    <t>27,5 dias</t>
  </si>
  <si>
    <t>1,63 dias</t>
  </si>
  <si>
    <t>90,38 dias</t>
  </si>
  <si>
    <t>72 dias</t>
  </si>
  <si>
    <t>32 dias</t>
  </si>
  <si>
    <t>146,38 dias</t>
  </si>
  <si>
    <t>51,75 dias</t>
  </si>
  <si>
    <t>104,88 dias</t>
  </si>
  <si>
    <t>21,63 dias</t>
  </si>
  <si>
    <t>279,88 dias</t>
  </si>
  <si>
    <t>142,38 dias</t>
  </si>
  <si>
    <t>12,88 dias</t>
  </si>
  <si>
    <t>19,63 dias</t>
  </si>
  <si>
    <t>288,13 dias</t>
  </si>
  <si>
    <t>156,75 dias</t>
  </si>
  <si>
    <t>159,38 dias</t>
  </si>
  <si>
    <t>30,75 dias</t>
  </si>
  <si>
    <t>70,25 dias</t>
  </si>
  <si>
    <t>9,88 dias</t>
  </si>
  <si>
    <t>45,75 dias</t>
  </si>
  <si>
    <t>20,63 dias</t>
  </si>
  <si>
    <t>20,88 dias</t>
  </si>
  <si>
    <t>36,88 dias</t>
  </si>
  <si>
    <t>373,75 dias</t>
  </si>
  <si>
    <t>112,13 dias</t>
  </si>
  <si>
    <t>1,5 dias</t>
  </si>
  <si>
    <t>27 dias</t>
  </si>
  <si>
    <t>117,5 dias</t>
  </si>
  <si>
    <t>11,63 dias</t>
  </si>
  <si>
    <t>100 dias</t>
  </si>
  <si>
    <t>108 dias</t>
  </si>
  <si>
    <t>109 dias</t>
  </si>
  <si>
    <t>287,88 dias</t>
  </si>
  <si>
    <t>39,25 dias</t>
  </si>
  <si>
    <t xml:space="preserve">         MONTAGEM DE JAÚS</t>
  </si>
  <si>
    <t>49,38 dias</t>
  </si>
  <si>
    <t xml:space="preserve">         ENCHIMENTOS E CHAPISCO EXTERNO</t>
  </si>
  <si>
    <t>74,75 dias</t>
  </si>
  <si>
    <t xml:space="preserve">         REBOCO EXTERNO</t>
  </si>
  <si>
    <t>51,63 dias</t>
  </si>
  <si>
    <t xml:space="preserve">         TEXTURA EXTERNA</t>
  </si>
  <si>
    <t>34,13 dias</t>
  </si>
  <si>
    <t xml:space="preserve">         PINTURA EXTERNA</t>
  </si>
  <si>
    <t xml:space="preserve">         REVESTIMENTO EM PORCELANATO</t>
  </si>
  <si>
    <t>116 dias</t>
  </si>
  <si>
    <t>115,5 dias</t>
  </si>
  <si>
    <t>69,5 dias</t>
  </si>
  <si>
    <t>8,88 dias</t>
  </si>
  <si>
    <t>71,88 dias</t>
  </si>
  <si>
    <t>31,13 dias</t>
  </si>
  <si>
    <t>782,88 dias</t>
  </si>
  <si>
    <t xml:space="preserve">   PLANEJAMENTO NAUTILUS</t>
  </si>
  <si>
    <t xml:space="preserve">      INFRAESTRUTURA</t>
  </si>
  <si>
    <t xml:space="preserve">         SERVIÇOS PRELIMINARES</t>
  </si>
  <si>
    <t xml:space="preserve">            MOVIMENTAÇÃO DE TERRA</t>
  </si>
  <si>
    <t xml:space="preserve">               Limpeza do Terreno</t>
  </si>
  <si>
    <t xml:space="preserve">               Escavação Mecânica - Subsolo</t>
  </si>
  <si>
    <t xml:space="preserve">               Escavação Mecânica - Blocos de Fundação</t>
  </si>
  <si>
    <t xml:space="preserve">               Reaterro - Blocos e Baldrames</t>
  </si>
  <si>
    <t xml:space="preserve">            SERVIÇOS COMPLEMENTARES E PROVISÓRIOS</t>
  </si>
  <si>
    <t xml:space="preserve">               Rebaixamento de Lençol Freático</t>
  </si>
  <si>
    <t xml:space="preserve">               Serviços de Sondagem</t>
  </si>
  <si>
    <t xml:space="preserve">         CONTENÇÕES</t>
  </si>
  <si>
    <t xml:space="preserve">            Cortinas de Contenções</t>
  </si>
  <si>
    <t xml:space="preserve">            Estacas Justapostas para Cisterna</t>
  </si>
  <si>
    <t xml:space="preserve">         FUNDAÇÃO PROFUNDA</t>
  </si>
  <si>
    <t xml:space="preserve">            ESTACAS DE FUNDAÇÃO</t>
  </si>
  <si>
    <t xml:space="preserve">               Fundações - Ensaios - Prova de Carga</t>
  </si>
  <si>
    <t xml:space="preserve">               Fundações - Estaqueamento</t>
  </si>
  <si>
    <t xml:space="preserve">         FUNDAÇÃO RASA</t>
  </si>
  <si>
    <t xml:space="preserve">            BLOCOS E VIGAS BALDRAMES</t>
  </si>
  <si>
    <t xml:space="preserve">               Blocos - Arrasamento Mecanizado de Estaca</t>
  </si>
  <si>
    <t xml:space="preserve">               Blocos - Montagem das Formas</t>
  </si>
  <si>
    <t xml:space="preserve">               Blocos - Colocação das Armaduras</t>
  </si>
  <si>
    <t xml:space="preserve">               Blocos - Concretagem</t>
  </si>
  <si>
    <t xml:space="preserve">               Data Marco: Término Infraestrutura</t>
  </si>
  <si>
    <t xml:space="preserve">         SUPRAESTRUTURA</t>
  </si>
  <si>
    <t xml:space="preserve">            Supraestrutura - Reservatório</t>
  </si>
  <si>
    <t xml:space="preserve">               Data Marco: Término Supraestrutura</t>
  </si>
  <si>
    <t xml:space="preserve">            Supraestrutura - Barrilete</t>
  </si>
  <si>
    <t xml:space="preserve">               Supraestrutura - Barrilete - Lajes e Vigas</t>
  </si>
  <si>
    <t xml:space="preserve">               Supraestrutura - Barrilete - Pilares</t>
  </si>
  <si>
    <t xml:space="preserve">            Supraestrutura - Ático</t>
  </si>
  <si>
    <t xml:space="preserve">               Supraestrutura - Ático - Lajes e Vigas</t>
  </si>
  <si>
    <t xml:space="preserve">               Supraestrutura - Ático - Pilares</t>
  </si>
  <si>
    <t xml:space="preserve">            Supraestrutura - 6º Pavimento - Duplex Superior</t>
  </si>
  <si>
    <t xml:space="preserve">               Supraestrutura - 6º Pavimento - Duplex Superior - Lajes e Vigas</t>
  </si>
  <si>
    <t xml:space="preserve">               Supraestrutura - 6º Pavimento - Duplex Superior - Pilares</t>
  </si>
  <si>
    <t xml:space="preserve">            Supraestrutura - 5º Pavimento - Duplex Inferior</t>
  </si>
  <si>
    <t xml:space="preserve">               Supraestrutura - 5º Pavimento - Duplex Inferior - Lajes e Vigas</t>
  </si>
  <si>
    <t xml:space="preserve">               Supraestrutura - 5º Pavimento - Duplex Inferior - Pilares</t>
  </si>
  <si>
    <t xml:space="preserve">            Supraestrutura - 4º Pavimento</t>
  </si>
  <si>
    <t xml:space="preserve">               Supraestrutura - 4º Pavimento - Lajes e Vigas</t>
  </si>
  <si>
    <t xml:space="preserve">               Supraestrutura - 4º Pavimento - Pilares</t>
  </si>
  <si>
    <t xml:space="preserve">            Supraestrutura - 3º Pavimento</t>
  </si>
  <si>
    <t xml:space="preserve">               Supraestrutura - 3º Pavimento - Lajes e Vigas</t>
  </si>
  <si>
    <t xml:space="preserve">               Supraestrutura - 3º Pavimento - Pilares</t>
  </si>
  <si>
    <t xml:space="preserve">            Supraestrutura - 2º Pavimento</t>
  </si>
  <si>
    <t xml:space="preserve">               Supraestrutura - 2º Pavimento - Lajes e Vigas</t>
  </si>
  <si>
    <t xml:space="preserve">               Supraestrutura - 2º Pavimento - Pilares</t>
  </si>
  <si>
    <t xml:space="preserve">            Supraestrutura - Térreo</t>
  </si>
  <si>
    <t xml:space="preserve">               Supraestrutura - Térreo - Lajes e Vigas</t>
  </si>
  <si>
    <t xml:space="preserve">               Supraestrutura - Térreo - Pilares</t>
  </si>
  <si>
    <t xml:space="preserve">         TENSIONAMENTO DOS CABOS </t>
  </si>
  <si>
    <t xml:space="preserve">            Tensionamento dos Cabos de Protensão - Reservatório</t>
  </si>
  <si>
    <t xml:space="preserve">            Tensionamento dos Cabos de Protensão - Barrilete</t>
  </si>
  <si>
    <t xml:space="preserve">            Tensionamento dos Cabos de Protensão - Ático</t>
  </si>
  <si>
    <t xml:space="preserve">            Tensionamento dos Cabos de Protensão - 6º Pavimento - Duplex Superior</t>
  </si>
  <si>
    <t xml:space="preserve">            Tensionamento dos Cabos de Protensão - 5º Pavimento - Duplex Inferior</t>
  </si>
  <si>
    <t xml:space="preserve">            Tensionamento dos Cabos de Protensão - 4º Pavimento</t>
  </si>
  <si>
    <t xml:space="preserve">            Tensionamento dos Cabos de Protensão - 3º Pavimento</t>
  </si>
  <si>
    <t xml:space="preserve">            Tensionamento dos Cabos de Protensão - 2º Pavimento</t>
  </si>
  <si>
    <t xml:space="preserve">            Tensionamento dos Cabos de Protensão - Térreo</t>
  </si>
  <si>
    <t xml:space="preserve">         DESFORMA E REMOÇÃO DE ESCORAS</t>
  </si>
  <si>
    <t xml:space="preserve">            Desforma e Remoção de Escoras - Reservatório</t>
  </si>
  <si>
    <t xml:space="preserve">            Desforma e Remoção de Escoras - Barrilete</t>
  </si>
  <si>
    <t xml:space="preserve">            Desforma e Remoção de Escoras - Ático</t>
  </si>
  <si>
    <t xml:space="preserve">            Desforma e Remoção de Escoras - 6º Pavimento - Duplex Superior</t>
  </si>
  <si>
    <t xml:space="preserve">            Desforma e Remoção de Escoras - 5º Pavimento - Duplex Inferior</t>
  </si>
  <si>
    <t xml:space="preserve">            Desforma e Remoção de Escoras - 4º Pavimento</t>
  </si>
  <si>
    <t xml:space="preserve">            Desforma e Remoção de Escoras - 3º Pavimento</t>
  </si>
  <si>
    <t xml:space="preserve">            Desforma e Remoção de Escoras - 2º Pavimento</t>
  </si>
  <si>
    <t xml:space="preserve">            Desforma e Remoção de Escoras - Térreo</t>
  </si>
  <si>
    <t xml:space="preserve">      VEDAÇÕES INTERNAS E EXTERNAS</t>
  </si>
  <si>
    <t xml:space="preserve">         ALVENARIAS</t>
  </si>
  <si>
    <t xml:space="preserve">            Alvenaria - Barrilete</t>
  </si>
  <si>
    <t xml:space="preserve">            Alvenaria - Ático</t>
  </si>
  <si>
    <t xml:space="preserve">            Alvenaria - 6º Pavimento - Duplex Superior - Banheiras</t>
  </si>
  <si>
    <t xml:space="preserve">            Alvenaria - 6º Pavimento - Duplex Superior</t>
  </si>
  <si>
    <t xml:space="preserve">            Alvenaria - 5º Pavimento - Duplex Inferior</t>
  </si>
  <si>
    <t xml:space="preserve">            Alvenaria - 4º Pavimento</t>
  </si>
  <si>
    <t xml:space="preserve">            Alvenaria - 3º Pavimento</t>
  </si>
  <si>
    <t xml:space="preserve">            Alvenaria - 2º Pavimento</t>
  </si>
  <si>
    <t xml:space="preserve">            Alvenaria - Térreo</t>
  </si>
  <si>
    <t xml:space="preserve">               Alvenaria - Térreo - Garagem</t>
  </si>
  <si>
    <t xml:space="preserve">               Alvenaria - Térreo - Áreas Comuns</t>
  </si>
  <si>
    <t xml:space="preserve">               Alvenaria - Térreo - Sala 01</t>
  </si>
  <si>
    <t xml:space="preserve">               Alvenaria - Térreo - Sala 02</t>
  </si>
  <si>
    <t xml:space="preserve">               Alvenaria - Térreo - Sala 03</t>
  </si>
  <si>
    <t xml:space="preserve">               Alvenaria - Térreo - Sala 04</t>
  </si>
  <si>
    <t xml:space="preserve">               Alvenaria - Térreo - Sala 05</t>
  </si>
  <si>
    <t xml:space="preserve">            Alvenaria - Subsolo</t>
  </si>
  <si>
    <t xml:space="preserve">         ALVENARIA DA PORTA DO ELEVADOR SOCIAL 01</t>
  </si>
  <si>
    <t xml:space="preserve">            Alvenaria Porta do Elevador Social 01 - Reservatório</t>
  </si>
  <si>
    <t xml:space="preserve">            Alvenaria Porta do Elevador Social 01 - Barrilete</t>
  </si>
  <si>
    <t xml:space="preserve">            Alvenaria Porta do Elevador Social 01 - Ático</t>
  </si>
  <si>
    <t xml:space="preserve">            Alvenaria Porta do Elevador Social 01 - 6º Pavimento - Duplex Superior</t>
  </si>
  <si>
    <t xml:space="preserve">            Alvenaria Porta do Elevador Social 01 - 5º Pavimento - Duplex Inferior</t>
  </si>
  <si>
    <t xml:space="preserve">            Alvenaria Porta do Elevador Social 01 - 4º Pavimento</t>
  </si>
  <si>
    <t xml:space="preserve">            Alvenaria Porta do Elevador Social 01 - 3º Pavimento</t>
  </si>
  <si>
    <t xml:space="preserve">            Alvenaria Porta do Elevador Social 01 - 2º Pavimento</t>
  </si>
  <si>
    <t xml:space="preserve">            Alvenaria Porta do Elevador Social 01 - Térreo</t>
  </si>
  <si>
    <t xml:space="preserve">            Alvenaria Porta do Elevador Social 01 - Subsolo</t>
  </si>
  <si>
    <t xml:space="preserve">         ALVENARIA DA PORTA DO ELEVADOR SOCIAL 02</t>
  </si>
  <si>
    <t xml:space="preserve">            Alvenaria Porta do Elevador Social 02 - Reservatório</t>
  </si>
  <si>
    <t xml:space="preserve">            Alvenaria Porta do Elevador Social 02 - Barrilete</t>
  </si>
  <si>
    <t xml:space="preserve">            Alvenaria Porta do Elevador Social 02 - Ático</t>
  </si>
  <si>
    <t xml:space="preserve">            Alvenaria Porta do Elevador Social 02 - 6º Pavimento - Duplex Superior</t>
  </si>
  <si>
    <t xml:space="preserve">            Alvenaria Porta do Elevador Social 02 - 5º Pavimento - Duplex Inferior</t>
  </si>
  <si>
    <t xml:space="preserve">            Alvenaria Porta do Elevador Social 02 - 4º Pavimento</t>
  </si>
  <si>
    <t xml:space="preserve">            Alvenaria Porta do Elevador Social 02 - 3º Pavimento</t>
  </si>
  <si>
    <t xml:space="preserve">            Alvenaria Porta do Elevador Social 02 - 2º Pavimento</t>
  </si>
  <si>
    <t xml:space="preserve">            Alvenaria Porta do Elevador Social 02 - Térreo</t>
  </si>
  <si>
    <t xml:space="preserve">            Alvenaria Porta do Elevador Social 02 - Subsolo</t>
  </si>
  <si>
    <t xml:space="preserve">         SHAFTS E MOCHETAS</t>
  </si>
  <si>
    <t xml:space="preserve">            Shafts e Mochetas - Reservatório</t>
  </si>
  <si>
    <t xml:space="preserve">            Shafts e Mochetas - Barrilete</t>
  </si>
  <si>
    <t xml:space="preserve">            Shafts e Mochetas - Ático</t>
  </si>
  <si>
    <t xml:space="preserve">            Shafts e Mochetas - 6º Pavimento - Duplex Superior</t>
  </si>
  <si>
    <t xml:space="preserve">            Shafts e Mochetas - 5º Pavimento - Duplex Inferior</t>
  </si>
  <si>
    <t xml:space="preserve">            Shafts e Mochetas - 4º Pavimento</t>
  </si>
  <si>
    <t xml:space="preserve">            Shafts e Mochetas - 3º Pavimento</t>
  </si>
  <si>
    <t xml:space="preserve">            Shafts e Mochetas - 2º Pavimento</t>
  </si>
  <si>
    <t xml:space="preserve">            Shafts e Mochetas - Térreo</t>
  </si>
  <si>
    <t xml:space="preserve">               Shafts e Mochetas - Térreo - Garagem</t>
  </si>
  <si>
    <t xml:space="preserve">               Shafts e Mochetas - Térreo - Áreas Comuns</t>
  </si>
  <si>
    <t xml:space="preserve">               Shafts e Mochetas - Térreo - Sala 01</t>
  </si>
  <si>
    <t xml:space="preserve">               Shafts e Mochetas - Térreo - Sala 02</t>
  </si>
  <si>
    <t xml:space="preserve">               Shafts e Mochetas - Térreo - Sala 03</t>
  </si>
  <si>
    <t xml:space="preserve">               Shafts e Mochetas - Térreo - Sala 04</t>
  </si>
  <si>
    <t xml:space="preserve">               Shafts e Mochetas - Térreo - Sala 05</t>
  </si>
  <si>
    <t xml:space="preserve">            Shafts e Mochetas - Subsolo</t>
  </si>
  <si>
    <t xml:space="preserve">         ENCUNHAMENTO</t>
  </si>
  <si>
    <t xml:space="preserve">            Encunhamento - Reservatório</t>
  </si>
  <si>
    <t xml:space="preserve">            Encunhamento - Barrilete</t>
  </si>
  <si>
    <t xml:space="preserve">            Encunhamento - Ático</t>
  </si>
  <si>
    <t xml:space="preserve">            Encunhamento - 6º Pavimento - Duplex Superior</t>
  </si>
  <si>
    <t xml:space="preserve">            Encunhamento - 5º Pavimento - Duplex Inferior</t>
  </si>
  <si>
    <t xml:space="preserve">            Encunhamento - 4º Pavimento</t>
  </si>
  <si>
    <t xml:space="preserve">            Encunhamento - 3º Pavimento</t>
  </si>
  <si>
    <t xml:space="preserve">            Encunhamento - 2º Pavimento</t>
  </si>
  <si>
    <t xml:space="preserve">            Encunhamento - Térreo</t>
  </si>
  <si>
    <t xml:space="preserve">               Encunhamento - Térreo - Garagem</t>
  </si>
  <si>
    <t xml:space="preserve">               Encunhamento - Térreo - Áreas Comuns</t>
  </si>
  <si>
    <t xml:space="preserve">               Encunhamento - Térreo - Sala 01</t>
  </si>
  <si>
    <t xml:space="preserve">               Encunhamento - Térreo - Sala 02</t>
  </si>
  <si>
    <t xml:space="preserve">               Encunhamento - Térreo - Sala 03</t>
  </si>
  <si>
    <t xml:space="preserve">               Encunhamento - Térreo - Sala 04</t>
  </si>
  <si>
    <t xml:space="preserve">               Encunhamento - Térreo - Sala 05</t>
  </si>
  <si>
    <t xml:space="preserve">            Encunhamento - Subsolo</t>
  </si>
  <si>
    <t xml:space="preserve">         CHURRASQUEIRAS</t>
  </si>
  <si>
    <t xml:space="preserve">            Churrasqueiras - Ático</t>
  </si>
  <si>
    <t xml:space="preserve">            Churrasqueiras - 6º Pavimento - Duplex Superior</t>
  </si>
  <si>
    <t xml:space="preserve">            Churrasqueiras - 5º Pavimento - Duplex Inferior</t>
  </si>
  <si>
    <t xml:space="preserve">            Churrasqueiras - 4º Pavimento</t>
  </si>
  <si>
    <t xml:space="preserve">            Churrasqueiras - 3º Pavimento</t>
  </si>
  <si>
    <t xml:space="preserve">            Churrasqueiras - 2º Pavimento</t>
  </si>
  <si>
    <t xml:space="preserve">      INSTALAÇÕES ELÉTRICAS</t>
  </si>
  <si>
    <t xml:space="preserve">         INSTALAÇÕES ELÉTRICAS DE PAREDE</t>
  </si>
  <si>
    <t xml:space="preserve">            Instalações Elétricas de Parede - Reservatório</t>
  </si>
  <si>
    <t xml:space="preserve">            Instalações Elétricas de Parede - Barrilete</t>
  </si>
  <si>
    <t xml:space="preserve">            Instalações Elétricas de Parede - Ático</t>
  </si>
  <si>
    <t xml:space="preserve">            Instalações Elétricas de Parede - 6º Pavimento - Duplex Superior</t>
  </si>
  <si>
    <t xml:space="preserve">            Instalações Elétricas de Parede - 5º Pavimento - Duplex Inferior</t>
  </si>
  <si>
    <t xml:space="preserve">            Instalações Elétricas de Parede - 4º Pavimento</t>
  </si>
  <si>
    <t xml:space="preserve">            Instalações Elétricas de Parede - 3º Pavimento</t>
  </si>
  <si>
    <t xml:space="preserve">            Instalações Elétricas de Parede - 2º Pavimento</t>
  </si>
  <si>
    <t xml:space="preserve">            Instalações Elétricas de Parede - Térreo</t>
  </si>
  <si>
    <t xml:space="preserve">               Instalações Elétricas de Parede - Térreo - Garagem</t>
  </si>
  <si>
    <t xml:space="preserve">               Instalações Elétricas de Parede - Térreo - Áreas Comuns</t>
  </si>
  <si>
    <t xml:space="preserve">               Instalações Elétricas de Parede - Térreo - Sala 01</t>
  </si>
  <si>
    <t xml:space="preserve">               Instalações Elétricas de Parede - Térreo - Sala 02</t>
  </si>
  <si>
    <t xml:space="preserve">               Instalações Elétricas de Parede - Térreo - Sala 03</t>
  </si>
  <si>
    <t xml:space="preserve">               Instalações Elétricas de Parede - Térreo - Sala 04</t>
  </si>
  <si>
    <t xml:space="preserve">               Instalações Elétricas de Parede - Térreo - Sala 05</t>
  </si>
  <si>
    <t xml:space="preserve">            Instalações Elétricas de Parede - Subsolo</t>
  </si>
  <si>
    <t xml:space="preserve">         INSTALAÇÕES ELÉTRICAS FOSSO ELEVADOR SOCIAL 01</t>
  </si>
  <si>
    <t xml:space="preserve">            Instalações Elétricas Fosso do Elevador 01 - Barrilete</t>
  </si>
  <si>
    <t xml:space="preserve">            Instalações Elétricas Fosso do Elevador 01 - Ático</t>
  </si>
  <si>
    <t xml:space="preserve">            Instalações Elétricas Fosso do Elevador 01 - 6º Pavimento - Duplex Superior</t>
  </si>
  <si>
    <t xml:space="preserve">            Instalações Elétricas Fosso do Elevador 01 - 5º Pavimento - Duplex Inferior</t>
  </si>
  <si>
    <t xml:space="preserve">            Instalações Elétricas Fosso do Elevador 01 - 4º Pavimento</t>
  </si>
  <si>
    <t xml:space="preserve">            Instalações Elétricas Fosso do Elevador 01 - 3º Pavimento</t>
  </si>
  <si>
    <t xml:space="preserve">            Instalações Elétricas Fosso do Elevador 01 - 2º Pavimento</t>
  </si>
  <si>
    <t xml:space="preserve">            Instalações Elétricas Fosso do Elevador 01 - Térreo</t>
  </si>
  <si>
    <t xml:space="preserve">            Instalações Elétricas Fosso do Elevador 01 - Subsolo</t>
  </si>
  <si>
    <t xml:space="preserve">         INSTALAÇÕES ELÉTRICAS FOSSO ELEVADOR SOCIAL 02</t>
  </si>
  <si>
    <t xml:space="preserve">            Instalações Elétricas Fosso do Elevador 02 - Barrilete</t>
  </si>
  <si>
    <t xml:space="preserve">            Instalações Elétricas Fosso do Elevador 02 - Ático</t>
  </si>
  <si>
    <t xml:space="preserve">            Instalações Elétricas Fosso do Elevador 02 - 6º Pavimento - Duplex Superior</t>
  </si>
  <si>
    <t xml:space="preserve">            Instalações Elétricas Fosso do Elevador 02 - 5º Pavimento - Duplex Inferior</t>
  </si>
  <si>
    <t xml:space="preserve">            Instalações Elétricas Fosso do Elevador 02 - 4º Pavimento</t>
  </si>
  <si>
    <t xml:space="preserve">            Instalações Elétricas Fosso do Elevador 02 - 3º Pavimento</t>
  </si>
  <si>
    <t xml:space="preserve">            Instalações Elétricas Fosso do Elevador 02 - 2º Pavimento</t>
  </si>
  <si>
    <t xml:space="preserve">            Instalações Elétricas Fosso do Elevador 02 - Térreo</t>
  </si>
  <si>
    <t xml:space="preserve">            Instalações Elétricas Fosso do Elevador 02 - Subsolo</t>
  </si>
  <si>
    <t xml:space="preserve">         FIAÇÃO ELÉTRICA</t>
  </si>
  <si>
    <t xml:space="preserve">            Fiação Elétrica - Reservatório</t>
  </si>
  <si>
    <t xml:space="preserve">            Fiação Elétrica - Barrilete</t>
  </si>
  <si>
    <t xml:space="preserve">            Fiação Elétrica - Ático</t>
  </si>
  <si>
    <t xml:space="preserve">            Fiação Elétrica - 6º Pavimento - Duplex Superior</t>
  </si>
  <si>
    <t xml:space="preserve">            Fiação Elétrica - 5º Pavimento - Duplex Inferior</t>
  </si>
  <si>
    <t xml:space="preserve">            Fiação Elétrica - 4º Pavimento</t>
  </si>
  <si>
    <t xml:space="preserve">            Fiação Elétrica - 3º Pavimento</t>
  </si>
  <si>
    <t xml:space="preserve">            Fiação Elétrica - 2º Pavimento</t>
  </si>
  <si>
    <t xml:space="preserve">            Fiação Elétrica - Térreo</t>
  </si>
  <si>
    <t xml:space="preserve">               Fiação Elétrica - Térreo - Garagem</t>
  </si>
  <si>
    <t xml:space="preserve">               Fiação Elétrica - Térreo - Áreas Comuns</t>
  </si>
  <si>
    <t xml:space="preserve">               Fiação Elétrica - Térreo - Sala 01</t>
  </si>
  <si>
    <t xml:space="preserve">               Fiação Elétrica - Térreo - Sala 02</t>
  </si>
  <si>
    <t xml:space="preserve">               Fiação Elétrica - Térreo - Sala 03</t>
  </si>
  <si>
    <t xml:space="preserve">               Fiação Elétrica - Térreo - Sala 04</t>
  </si>
  <si>
    <t xml:space="preserve">               Fiação Elétrica - Térreo - Sala 05</t>
  </si>
  <si>
    <t xml:space="preserve">            Fiação Elétrica - Subsolo</t>
  </si>
  <si>
    <t xml:space="preserve">         DISJUNTORES</t>
  </si>
  <si>
    <t xml:space="preserve">            Disjuntores - Reservatório</t>
  </si>
  <si>
    <t xml:space="preserve">            Disjuntores - Barrilete</t>
  </si>
  <si>
    <t xml:space="preserve">            Disjuntores - Ático</t>
  </si>
  <si>
    <t xml:space="preserve">            Disjuntores - 6º Pavimento - Duplex Superior</t>
  </si>
  <si>
    <t xml:space="preserve">            Disjuntores - 5º Pavimento - Duplex Inferior</t>
  </si>
  <si>
    <t xml:space="preserve">            Disjuntores - 4º Pavimento</t>
  </si>
  <si>
    <t xml:space="preserve">            Disjuntores - 3º Pavimento</t>
  </si>
  <si>
    <t xml:space="preserve">            Disjuntores - 2º Pavimento</t>
  </si>
  <si>
    <t xml:space="preserve">            Disjuntores - Térreo</t>
  </si>
  <si>
    <t xml:space="preserve">               Disjuntores - Térreo - Garagem</t>
  </si>
  <si>
    <t xml:space="preserve">               Disjuntores - Térreo - Áreas Comuns</t>
  </si>
  <si>
    <t xml:space="preserve">               Disjuntores - Térreo - Sala 01</t>
  </si>
  <si>
    <t xml:space="preserve">               Disjuntores - Térreo - Sala 02</t>
  </si>
  <si>
    <t xml:space="preserve">               Disjuntores - Térreo - Sala 03</t>
  </si>
  <si>
    <t xml:space="preserve">               Disjuntores - Térreo - Sala 04</t>
  </si>
  <si>
    <t xml:space="preserve">               Disjuntores - Térreo - Sala 05</t>
  </si>
  <si>
    <t xml:space="preserve">            Disjuntores - Subsolo</t>
  </si>
  <si>
    <t xml:space="preserve">         TOMADAS E INTERRUPTORES</t>
  </si>
  <si>
    <t xml:space="preserve">            Tomadas e Interruptores - Reservatório</t>
  </si>
  <si>
    <t xml:space="preserve">            Tomadas e Interruptores - Barrilete</t>
  </si>
  <si>
    <t xml:space="preserve">            Tomadas e Interruptores - Ático</t>
  </si>
  <si>
    <t xml:space="preserve">            Tomadas e Interruptores - 6º Pavimento - Duplex Superior</t>
  </si>
  <si>
    <t xml:space="preserve">            Tomadas e Interruptores - 5º Pavimento - Duplex Inferior</t>
  </si>
  <si>
    <t xml:space="preserve">            Tomadas e Interruptores - 4º Pavimento</t>
  </si>
  <si>
    <t xml:space="preserve">            Tomadas e Interruptores - 3º Pavimento</t>
  </si>
  <si>
    <t xml:space="preserve">            Tomadas e Interruptores - 2º Pavimento</t>
  </si>
  <si>
    <t xml:space="preserve">            Tomadas e Interruptores - Térreo</t>
  </si>
  <si>
    <t xml:space="preserve">               Tomadas e Interruptores - Térreo - Garagem</t>
  </si>
  <si>
    <t xml:space="preserve">               Tomadas e Interruptores - Térreo - Áreas Comuns</t>
  </si>
  <si>
    <t xml:space="preserve">               Tomadas e Interruptores - Térreo - Sala 01</t>
  </si>
  <si>
    <t xml:space="preserve">               Tomadas e Interruptores - Térreo - Sala 02</t>
  </si>
  <si>
    <t xml:space="preserve">               Tomadas e Interruptores - Térreo - Sala 03</t>
  </si>
  <si>
    <t xml:space="preserve">               Tomadas e Interruptores - Térreo - Sala 04</t>
  </si>
  <si>
    <t xml:space="preserve">               Tomadas e Interruptores - Térreo - Sala 05</t>
  </si>
  <si>
    <t xml:space="preserve">            Tomadas e Interruptores - Subsolo</t>
  </si>
  <si>
    <t xml:space="preserve">         ACABAMENTOS ELÉTRICOS</t>
  </si>
  <si>
    <t xml:space="preserve">            Acabamentos Elétricos - Reservatório</t>
  </si>
  <si>
    <t xml:space="preserve">            Acabamentos Elétricos - Barrilete</t>
  </si>
  <si>
    <t xml:space="preserve">            Acabamentos Elétricos - Ático</t>
  </si>
  <si>
    <t xml:space="preserve">            Acabamentos Elétricos - 6º Pavimento - Duplex Superior</t>
  </si>
  <si>
    <t xml:space="preserve">            Acabamentos Elétricos - 5º Pavimento - Duplex Inferior</t>
  </si>
  <si>
    <t xml:space="preserve">            Acabamentos Elétricos - 4º Pavimento</t>
  </si>
  <si>
    <t xml:space="preserve">            Acabamentos Elétricos - 3º Pavimento</t>
  </si>
  <si>
    <t xml:space="preserve">            Acabamentos Elétricos - 2º Pavimento</t>
  </si>
  <si>
    <t xml:space="preserve">            Acabamentos Elétricos - Térreo</t>
  </si>
  <si>
    <t xml:space="preserve">               Acabamentos Elétricos - Térreo - Garagem</t>
  </si>
  <si>
    <t xml:space="preserve">               Acabamentos Elétricos - Térreo - Áreas Comuns</t>
  </si>
  <si>
    <t xml:space="preserve">               Acabamentos Elétricos - Térreo - Sala 01</t>
  </si>
  <si>
    <t xml:space="preserve">               Acabamentos Elétricos - Térreo - Sala 02</t>
  </si>
  <si>
    <t xml:space="preserve">               Acabamentos Elétricos - Térreo - Sala 03</t>
  </si>
  <si>
    <t xml:space="preserve">               Acabamentos Elétricos - Térreo - Sala 04</t>
  </si>
  <si>
    <t xml:space="preserve">               Acabamentos Elétricos - Térreo - Sala 05</t>
  </si>
  <si>
    <t xml:space="preserve">            Acabamentos Elétricos - Subsolo</t>
  </si>
  <si>
    <t xml:space="preserve">         ENTRADA DE ENERGIA</t>
  </si>
  <si>
    <t xml:space="preserve">            Entrada de Energia - Térreo - Áreas Comuns</t>
  </si>
  <si>
    <t xml:space="preserve">      INSTALAÇÕES HIDROSSANITÁRIAS E DRENAGEM</t>
  </si>
  <si>
    <t xml:space="preserve">         INSTALAÇÕES HIDRÁULICAS DE PAREDE</t>
  </si>
  <si>
    <t xml:space="preserve">            Instalações Hidráulicas de Parede - Reservatório</t>
  </si>
  <si>
    <t xml:space="preserve">            Instalações Hidráulicas de Parede - Barrilete</t>
  </si>
  <si>
    <t xml:space="preserve">            Instalações Hidráulicas de Parede - Ático</t>
  </si>
  <si>
    <t xml:space="preserve">            Instalações Hidráulicas de Parede - 6º Pavimento - Duplex Superior</t>
  </si>
  <si>
    <t xml:space="preserve">            Instalações Hidráulicas de Parede - 5º Pavimento - Duplex Inferior</t>
  </si>
  <si>
    <t xml:space="preserve">            Instalações Hidráulicas de Parede - 4º Pavimento</t>
  </si>
  <si>
    <t xml:space="preserve">            Instalações Hidráulicas de Parede - 3º Pavimento</t>
  </si>
  <si>
    <t xml:space="preserve">            Instalações Hidráulicas de Parede - 2º Pavimento</t>
  </si>
  <si>
    <t xml:space="preserve">            Instalações Hidráulicas de Parede - Térreo</t>
  </si>
  <si>
    <t xml:space="preserve">               Instalações Hidráulicas de Parede - Térreo - Garagem</t>
  </si>
  <si>
    <t xml:space="preserve">               Instalações Hidráulicas de Parede - Térreo - Áreas Comuns</t>
  </si>
  <si>
    <t xml:space="preserve">               Instalações Hidráulicas de Parede - Térreo - Sala 01</t>
  </si>
  <si>
    <t xml:space="preserve">               Instalações Hidráulicas de Parede - Térreo - Sala 02</t>
  </si>
  <si>
    <t xml:space="preserve">               Instalações Hidráulicas de Parede - Térreo - Sala 03</t>
  </si>
  <si>
    <t xml:space="preserve">               Instalações Hidráulicas de Parede - Térreo - Sala 04</t>
  </si>
  <si>
    <t xml:space="preserve">               Instalações Hidráulicas de Parede - Térreo - Sala 05</t>
  </si>
  <si>
    <t xml:space="preserve">            Instalações Hidráulicas de Parede - Subsolo</t>
  </si>
  <si>
    <t xml:space="preserve">         INSTALAÇÕES HIDRO AÉREAS</t>
  </si>
  <si>
    <t xml:space="preserve">            Instalações Hidro Aéreas - Barrilete</t>
  </si>
  <si>
    <t xml:space="preserve">            Instalações Hidro Aéreas - Ático</t>
  </si>
  <si>
    <t xml:space="preserve">            Instalações Hidro Aéreas - 6º Pavimento - Duplex Superior</t>
  </si>
  <si>
    <t xml:space="preserve">            Instalações Hidro Aéreas - 5º Pavimento - Duplex Inferior</t>
  </si>
  <si>
    <t xml:space="preserve">            Instalações Hidro Aéreas - 4º Pavimento</t>
  </si>
  <si>
    <t xml:space="preserve">            Instalações Hidro Aéreas - 3º Pavimento</t>
  </si>
  <si>
    <t xml:space="preserve">            Instalações Hidro Aéreas - 2º Pavimento</t>
  </si>
  <si>
    <t xml:space="preserve">            Instalações Hidro Aéreas - Térreo</t>
  </si>
  <si>
    <t xml:space="preserve">               Instalações Hidro Aéreas - Térreo - Garagem</t>
  </si>
  <si>
    <t xml:space="preserve">               Instalações Hidro Aéreas - Térreo - Áreas Comuns</t>
  </si>
  <si>
    <t xml:space="preserve">               Instalações Hidro Aéreas - Térreo - Sala 01</t>
  </si>
  <si>
    <t xml:space="preserve">               Instalações Hidro Aéreas - Térreo - Sala 02</t>
  </si>
  <si>
    <t xml:space="preserve">               Instalações Hidro Aéreas - Térreo - Sala 03</t>
  </si>
  <si>
    <t xml:space="preserve">               Instalações Hidro Aéreas - Térreo - Sala 04</t>
  </si>
  <si>
    <t xml:space="preserve">               Instalações Hidro Aéreas - Térreo - Sala 05</t>
  </si>
  <si>
    <t xml:space="preserve">            Instalações Hidro Aéreas - Subsolo</t>
  </si>
  <si>
    <t xml:space="preserve">         PRUMADAS HIDRÁULICAS</t>
  </si>
  <si>
    <t xml:space="preserve">            Prumadas Hidráulicas - Reservatório</t>
  </si>
  <si>
    <t xml:space="preserve">            Prumadas Hidráulicas - Barrilete</t>
  </si>
  <si>
    <t xml:space="preserve">            Prumadas Hidráulicas - Ático</t>
  </si>
  <si>
    <t xml:space="preserve">            Prumadas Hidráulicas - 6º Pavimento - Duplex Superior</t>
  </si>
  <si>
    <t xml:space="preserve">            Prumadas Hidráulicas - 5º Pavimento - Duplex Inferior</t>
  </si>
  <si>
    <t xml:space="preserve">            Prumadas Hidráulicas - 4º Pavimento</t>
  </si>
  <si>
    <t xml:space="preserve">            Prumadas Hidráulicas - 3º Pavimento</t>
  </si>
  <si>
    <t xml:space="preserve">            Prumadas Hidráulicas - 2º Pavimento</t>
  </si>
  <si>
    <t xml:space="preserve">            Prumadas Hidráulicas - Térreo</t>
  </si>
  <si>
    <t xml:space="preserve">               Prumadas Hidráulicas - Térreo - Garagem</t>
  </si>
  <si>
    <t xml:space="preserve">               Prumadas Hidráulicas - Térreo - Áreas Comuns</t>
  </si>
  <si>
    <t xml:space="preserve">               Prumadas Hidráulicas - Térreo - Sala 01</t>
  </si>
  <si>
    <t xml:space="preserve">               Prumadas Hidráulicas - Térreo - Sala 02</t>
  </si>
  <si>
    <t xml:space="preserve">               Prumadas Hidráulicas - Térreo - Sala 03</t>
  </si>
  <si>
    <t xml:space="preserve">               Prumadas Hidráulicas - Térreo - Sala 04</t>
  </si>
  <si>
    <t xml:space="preserve">               Prumadas Hidráulicas - Térreo - Sala 05</t>
  </si>
  <si>
    <t xml:space="preserve">            Prumadas Hidráulicas - Subsolo</t>
  </si>
  <si>
    <t xml:space="preserve">         INSTALAÇÕES DE ESGOTO</t>
  </si>
  <si>
    <t xml:space="preserve">            Instalações de Esgoto - Térreo</t>
  </si>
  <si>
    <t xml:space="preserve">               Instalações de Esgoto - Térreo - Áreas Comuns</t>
  </si>
  <si>
    <t xml:space="preserve">               Instalações de Esgoto - Térreo - Sala 01</t>
  </si>
  <si>
    <t xml:space="preserve">               Instalações de Esgoto - Térreo - Sala 02</t>
  </si>
  <si>
    <t xml:space="preserve">               Instalações de Esgoto - Térreo - Sala 03</t>
  </si>
  <si>
    <t xml:space="preserve">               Instalações de Esgoto - Térreo - Sala 04</t>
  </si>
  <si>
    <t xml:space="preserve">               Instalações de Esgoto - Térreo - Sala 05</t>
  </si>
  <si>
    <t xml:space="preserve">         LOUÇAS E BANHEIRAS</t>
  </si>
  <si>
    <t xml:space="preserve">            Louças - Ático</t>
  </si>
  <si>
    <t xml:space="preserve">            Banheiras - 6º Pavimento - Duplex Superior</t>
  </si>
  <si>
    <t xml:space="preserve">            Louças - 6º Pavimento - Duplex Superior</t>
  </si>
  <si>
    <t xml:space="preserve">            Louças - 5º Pavimento - Duplex Inferior</t>
  </si>
  <si>
    <t xml:space="preserve">            Louças - 4º Pavimento</t>
  </si>
  <si>
    <t xml:space="preserve">            Louças - 3º Pavimento</t>
  </si>
  <si>
    <t xml:space="preserve">            Louças - 2º Pavimento</t>
  </si>
  <si>
    <t xml:space="preserve">            Louças - Térreo</t>
  </si>
  <si>
    <t xml:space="preserve">               Louças - Térreo - Áreas Comuns</t>
  </si>
  <si>
    <t xml:space="preserve">               Louças - Térreo - Sala 01</t>
  </si>
  <si>
    <t xml:space="preserve">               Louças - Térreo - Sala 02</t>
  </si>
  <si>
    <t xml:space="preserve">               Louças - Térreo - Sala 03</t>
  </si>
  <si>
    <t xml:space="preserve">               Louças - Térreo - Sala 04</t>
  </si>
  <si>
    <t xml:space="preserve">               Louças - Térreo - Sala 05</t>
  </si>
  <si>
    <t xml:space="preserve">         METAIS</t>
  </si>
  <si>
    <t xml:space="preserve">            Metais - Ático</t>
  </si>
  <si>
    <t xml:space="preserve">            Metais - 6º Pavimento - Duplex Superior</t>
  </si>
  <si>
    <t xml:space="preserve">            Metais - 5º Pavimento - Duplex Inferior</t>
  </si>
  <si>
    <t xml:space="preserve">            Metais - 4º Pavimento</t>
  </si>
  <si>
    <t xml:space="preserve">            Metais - 3º Pavimento</t>
  </si>
  <si>
    <t xml:space="preserve">            Metais - 2º Pavimento</t>
  </si>
  <si>
    <t xml:space="preserve">            Metais - Térreo</t>
  </si>
  <si>
    <t xml:space="preserve">               Metais - Térreo - Sala 01</t>
  </si>
  <si>
    <t xml:space="preserve">               Metais - Térreo - Sala 02</t>
  </si>
  <si>
    <t xml:space="preserve">               Metais - Térreo - Sala 03</t>
  </si>
  <si>
    <t xml:space="preserve">               Metais - Térreo - Sala 04</t>
  </si>
  <si>
    <t xml:space="preserve">               Metais - Térreo - Sala 05</t>
  </si>
  <si>
    <t xml:space="preserve">         LIGAÇÃO PREDIAL DE ÁGUA</t>
  </si>
  <si>
    <t xml:space="preserve">            Ligação Predial de Água - Térreo - Áreas Comuns</t>
  </si>
  <si>
    <t xml:space="preserve">      INSTALAÇÕES PREVENTIVAS E GLP</t>
  </si>
  <si>
    <t xml:space="preserve">         INSTALAÇÕES PREVENTIVAS DE INCÊNDIO</t>
  </si>
  <si>
    <t xml:space="preserve">            Instalações Preventivas de Incêndio - Reservatório</t>
  </si>
  <si>
    <t xml:space="preserve">            Instalações Preventivas de Incêndio - Barrilete</t>
  </si>
  <si>
    <t xml:space="preserve">            Instalações Preventivas de Incêndio - Ático</t>
  </si>
  <si>
    <t xml:space="preserve">            Instalações Preventivas de Incêndio - 6º Pavimento - Duplex Superior</t>
  </si>
  <si>
    <t xml:space="preserve">            Instalações Preventivas de Incêndio - 5º Pavimento - Duplex Inferior</t>
  </si>
  <si>
    <t xml:space="preserve">            Instalações Preventivas de Incêndio - 4º Pavimento</t>
  </si>
  <si>
    <t xml:space="preserve">            Instalações Preventivas de Incêndio - 3º Pavimento</t>
  </si>
  <si>
    <t xml:space="preserve">            Instalações Preventivas de Incêndio - 2º Pavimento</t>
  </si>
  <si>
    <t xml:space="preserve">            Instalações Preventivas de Incêndio - Térreo</t>
  </si>
  <si>
    <t xml:space="preserve">               Instalações Preventivas de Incêndio - Térreo - Garagem</t>
  </si>
  <si>
    <t xml:space="preserve">               Instalações Preventivas de Incêndio - Térreo - Áreas Comuns</t>
  </si>
  <si>
    <t xml:space="preserve">               Instalações Preventivas de Incêndio - Térreo - Sala 01</t>
  </si>
  <si>
    <t xml:space="preserve">               Instalações Preventivas de Incêndio - Térreo - Sala 02</t>
  </si>
  <si>
    <t xml:space="preserve">               Instalações Preventivas de Incêndio - Térreo - Sala 03</t>
  </si>
  <si>
    <t xml:space="preserve">               Instalações Preventivas de Incêndio - Térreo - Sala 04</t>
  </si>
  <si>
    <t xml:space="preserve">               Instalações Preventivas de Incêndio - Térreo - Sala 05</t>
  </si>
  <si>
    <t xml:space="preserve">            Instalações Preventivas de Incêndio - Subsolo</t>
  </si>
  <si>
    <t xml:space="preserve">         INSTALAÇÕES DE GÁS</t>
  </si>
  <si>
    <t xml:space="preserve">            Instalações de Gás - Ático</t>
  </si>
  <si>
    <t xml:space="preserve">            Instalações de Gás - 6º Pavimento - Duplex Superior</t>
  </si>
  <si>
    <t xml:space="preserve">            Instalações de Gás - 5º Pavimento - Duplex Inferior</t>
  </si>
  <si>
    <t xml:space="preserve">            Instalações de Gás - 4º Pavimento</t>
  </si>
  <si>
    <t xml:space="preserve">            Instalações de Gás - 3º Pavimento</t>
  </si>
  <si>
    <t xml:space="preserve">            Instalações de Gás - 2º Pavimento</t>
  </si>
  <si>
    <t xml:space="preserve">            Instalações de Gás - Térreo</t>
  </si>
  <si>
    <t xml:space="preserve">      CLIMATIZAÇÃO E EXAUSTÃO MECÂNICA</t>
  </si>
  <si>
    <t xml:space="preserve">         INFRAESTRUTURA DE AR CONDICIONADO</t>
  </si>
  <si>
    <t xml:space="preserve">            Insfraestrutura de Ar Condicionado - Ático</t>
  </si>
  <si>
    <t xml:space="preserve">            Insfraestrutura de Ar Condicionado - 6º Pavimento - Duplex Superior</t>
  </si>
  <si>
    <t xml:space="preserve">            Insfraestrutura de Ar Condicionado - 5º Pavimento - Duplex Inferior</t>
  </si>
  <si>
    <t xml:space="preserve">            Insfraestrutura de Ar Condicionado - 4º Pavimento</t>
  </si>
  <si>
    <t xml:space="preserve">            Insfraestrutura de Ar Condicionado - 3º Pavimento</t>
  </si>
  <si>
    <t xml:space="preserve">            Insfraestrutura de Ar Condicionado - 2º Pavimento</t>
  </si>
  <si>
    <t xml:space="preserve">            Insfraestrutura de Ar Condicionado - Térreo</t>
  </si>
  <si>
    <t xml:space="preserve">               Insfraestrutura de Ar Condicionado - Térreo - Áreas Comuns</t>
  </si>
  <si>
    <t xml:space="preserve">               Insfraestrutura de Ar Condicionado - Térreo - Sala 01</t>
  </si>
  <si>
    <t xml:space="preserve">               Insfraestrutura de Ar Condicionado - Térreo - Sala 02</t>
  </si>
  <si>
    <t xml:space="preserve">               Insfraestrutura de Ar Condicionado - Térreo - Sala 03</t>
  </si>
  <si>
    <t xml:space="preserve">               Insfraestrutura de Ar Condicionado - Térreo - Sala 04</t>
  </si>
  <si>
    <t xml:space="preserve">               Insfraestrutura de Ar Condicionado - Térreo - Sala 05</t>
  </si>
  <si>
    <t xml:space="preserve">         EXAUSTÃO DE CHURRASQUEIRAS</t>
  </si>
  <si>
    <t xml:space="preserve">            Sistema de Exaustão das Churrasqueiras - Ático</t>
  </si>
  <si>
    <t xml:space="preserve">            Sistema de Exaustão das Churrasqueiras - 6º Pavimento - Duplex Superior</t>
  </si>
  <si>
    <t xml:space="preserve">            Sistema de Exaustão das Churrasqueiras - 5º Pavimento - Duplex Inferior</t>
  </si>
  <si>
    <t xml:space="preserve">            Sistema de Exaustão das Churrasqueiras - 4º Pavimento</t>
  </si>
  <si>
    <t xml:space="preserve">            Sistema de Exaustão das Churrasqueiras - 3º Pavimento</t>
  </si>
  <si>
    <t xml:space="preserve">            Sistema de Exaustão das Churrasqueiras - 2º Pavimento</t>
  </si>
  <si>
    <t xml:space="preserve">         VENTOKIT</t>
  </si>
  <si>
    <t xml:space="preserve">            Ventokit - Ático</t>
  </si>
  <si>
    <t xml:space="preserve">            Ventokit - 6º Pavimento - Duplex Superior</t>
  </si>
  <si>
    <t xml:space="preserve">            Ventokit - 5º Pavimento - Duplex Inferior</t>
  </si>
  <si>
    <t xml:space="preserve">            Ventokit - 4º Pavimento</t>
  </si>
  <si>
    <t xml:space="preserve">            Ventokit - 3º Pavimento</t>
  </si>
  <si>
    <t xml:space="preserve">            Ventokit - 2º Pavimento</t>
  </si>
  <si>
    <t xml:space="preserve">            Ventokit - Térreo</t>
  </si>
  <si>
    <t xml:space="preserve">               Ventokit - Térreo - Áreas Comuns</t>
  </si>
  <si>
    <t xml:space="preserve">               Ventokit - Térreo - Sala 01</t>
  </si>
  <si>
    <t xml:space="preserve">               Ventokit - Térreo - Sala 02</t>
  </si>
  <si>
    <t xml:space="preserve">               Ventokit - Térreo - Sala 03</t>
  </si>
  <si>
    <t xml:space="preserve">               Ventokit - Térreo - Sala 04</t>
  </si>
  <si>
    <t xml:space="preserve">               Ventokit - Térreo - Sala 05</t>
  </si>
  <si>
    <t xml:space="preserve">      EQUIPAMENTOS E SISTEMAS ESPECIAIS</t>
  </si>
  <si>
    <t xml:space="preserve">         INSTALAÇÕES LÓGICAS E SISTEMAS</t>
  </si>
  <si>
    <t xml:space="preserve">            Inst. Lógica e Sistemas - Ático</t>
  </si>
  <si>
    <t xml:space="preserve">            Inst. Lógica e Sistemas - 6º Pavimento - Duplex Superior</t>
  </si>
  <si>
    <t xml:space="preserve">            Inst. Lógica e Sistemas - 5º Pavimento - Duplex Inferior</t>
  </si>
  <si>
    <t xml:space="preserve">            Inst. Lógica e Sistemas - 4º Pavimento</t>
  </si>
  <si>
    <t xml:space="preserve">            Inst. Lógica e Sistemas - 3º Pavimento</t>
  </si>
  <si>
    <t xml:space="preserve">            Inst. Lógica e Sistemas - 2º Pavimento</t>
  </si>
  <si>
    <t xml:space="preserve">            Inst. Lógica e Sistemas - Térreo</t>
  </si>
  <si>
    <t xml:space="preserve">               Inst. Lógica e Sistemas - Térreo - Garagem</t>
  </si>
  <si>
    <t xml:space="preserve">               Inst. Lógica e Sistemas - Térreo - Áreas Comuns</t>
  </si>
  <si>
    <t xml:space="preserve">               Inst. Lógica e Sistemas - Térreo - Sala 01</t>
  </si>
  <si>
    <t xml:space="preserve">               Inst. Lógica e Sistemas - Térreo - Sala 02</t>
  </si>
  <si>
    <t xml:space="preserve">               Inst. Lógica e Sistemas - Térreo - Sala 03</t>
  </si>
  <si>
    <t xml:space="preserve">               Inst. Lógica e Sistemas - Térreo - Sala 04</t>
  </si>
  <si>
    <t xml:space="preserve">               Inst. Lógica e Sistemas - Térreo - Sala 05</t>
  </si>
  <si>
    <t xml:space="preserve">         CONTROLE DE ACESSO E SISTEMAS DE MONITORAMENTO DE ÁREAS COMUNS</t>
  </si>
  <si>
    <t xml:space="preserve">            Controle de Acesso e Sistemas - Térreo</t>
  </si>
  <si>
    <t xml:space="preserve">               Controle de Acesso e Sistemas - Térreo - Áreas Comuns</t>
  </si>
  <si>
    <t xml:space="preserve">         SISTEMA BIOMÉTRICO</t>
  </si>
  <si>
    <t xml:space="preserve">            Sistema Biométrico - Ático</t>
  </si>
  <si>
    <t xml:space="preserve">            Sistema Biométrico - 6º Pavimento - Duplex Superior</t>
  </si>
  <si>
    <t xml:space="preserve">            Sistema Biométrico - 5º Pavimento - Duplex Inferior</t>
  </si>
  <si>
    <t xml:space="preserve">            Sistema Biométrico - 4º Pavimento</t>
  </si>
  <si>
    <t xml:space="preserve">            Sistema Biométrico - 3º Pavimento</t>
  </si>
  <si>
    <t xml:space="preserve">            Sistema Biométrico - 2º Pavimento</t>
  </si>
  <si>
    <t xml:space="preserve">         SISTEMA DE IRRIGAÇÃO</t>
  </si>
  <si>
    <t xml:space="preserve">            Sistema de Irrigação - Ático</t>
  </si>
  <si>
    <t xml:space="preserve">         PARA PONTO DE TOMADA PARA CARRO ELÉTRCIO</t>
  </si>
  <si>
    <t xml:space="preserve">            Ponto de Tomada para Carro Elétrico - Térreo</t>
  </si>
  <si>
    <t xml:space="preserve">               Ponto de Tomada para Carro Elétrico - Térreo - Garagem</t>
  </si>
  <si>
    <t xml:space="preserve">            Ponto de Tomada para Carro Elétrico - Subsolo</t>
  </si>
  <si>
    <t xml:space="preserve">         SISTEMA ALERTA DE FUGA PARA CISTERNA</t>
  </si>
  <si>
    <t xml:space="preserve">            Sistema de Alerta de Fuga para Cisterna - Subsolo</t>
  </si>
  <si>
    <t xml:space="preserve">         ELEVADORES</t>
  </si>
  <si>
    <t xml:space="preserve">            MONTAGEM</t>
  </si>
  <si>
    <t xml:space="preserve">               Montagem Elevador Social 01</t>
  </si>
  <si>
    <t xml:space="preserve">               Montagem Elevador Social 02</t>
  </si>
  <si>
    <t xml:space="preserve">            ENTREGA</t>
  </si>
  <si>
    <t xml:space="preserve">               Entrega Elevador Social 01</t>
  </si>
  <si>
    <t xml:space="preserve">               Entrega Elevador Social 02</t>
  </si>
  <si>
    <t xml:space="preserve">         EQUIPAMENTOS PARA PISCINA</t>
  </si>
  <si>
    <t xml:space="preserve">            Instalação de Equipamentos para Piscina</t>
  </si>
  <si>
    <t xml:space="preserve">         ISOLAMENTO ACÚSTICO</t>
  </si>
  <si>
    <t xml:space="preserve">            TRATAMENTO ACÚSTICO PARA PISCINA</t>
  </si>
  <si>
    <t xml:space="preserve">               Tratamento Acústico para Picina - Ático</t>
  </si>
  <si>
    <t xml:space="preserve">         TRATAMENTO ACÚSTICO PARA BOMBAS DE RECALQUE</t>
  </si>
  <si>
    <t xml:space="preserve">            Tratamento Acústico para Bombas de Recalque - Subsolo</t>
  </si>
  <si>
    <t xml:space="preserve">      IMPERMEABILIZAÇÃO E TRATAMENTOS</t>
  </si>
  <si>
    <t xml:space="preserve">         NIVELAMENTO E PREPARAÇÃO PARA IMPERMEABILIZAÇÃO</t>
  </si>
  <si>
    <t xml:space="preserve">            Nivelamento e Preparação para Impermeabilização - Reservatório</t>
  </si>
  <si>
    <t xml:space="preserve">            Nivelamento e Preparação para Impermeabilização - Barrilete</t>
  </si>
  <si>
    <t xml:space="preserve">            Nivelamento e Preparação para Impermeabilização - Ático</t>
  </si>
  <si>
    <t xml:space="preserve">            Nivelamento e Preparação para Impermeabilização - Térreo</t>
  </si>
  <si>
    <t xml:space="preserve">               Nivelamento e Preparação para Impermeabilização - Térreo - Garagem</t>
  </si>
  <si>
    <t xml:space="preserve">         IMPERMEABILIZAÇÃO COM MANTA ASFÁLTICA</t>
  </si>
  <si>
    <t xml:space="preserve">            Impermeabilização com Manta Asfáltica - Reservatório</t>
  </si>
  <si>
    <t xml:space="preserve">            Impermeabilização com Manta Asfáltica - Barrilete</t>
  </si>
  <si>
    <t xml:space="preserve">            Impermeabilização com Manta Asfáltica - Ático</t>
  </si>
  <si>
    <t xml:space="preserve">               Impermeabilização com Manta Asfáltica - Térreo - Garagem</t>
  </si>
  <si>
    <t xml:space="preserve">         IMPERMEABILIZAÇÃO COM ARGAMASSA FLEXÍVEL</t>
  </si>
  <si>
    <t xml:space="preserve">            Impermeabilização com Argamassa Flexível - Ático</t>
  </si>
  <si>
    <t xml:space="preserve">            Impermeabilização com Argamassa Flexível - 6º Pavimento - Duplex Superior - Banheira</t>
  </si>
  <si>
    <t xml:space="preserve">            Impermeabilização com Argamassa Flexível - 6º Pavimento - Duplex Superior</t>
  </si>
  <si>
    <t xml:space="preserve">            Impermeabilização com Argamassa Flexível - 5º Pavimento - Duplex Inferior</t>
  </si>
  <si>
    <t xml:space="preserve">            Impermeabilização com Argamassa Flexível - 4º Pavimento</t>
  </si>
  <si>
    <t xml:space="preserve">            Impermeabilização com Argamassa Flexível - 3º Pavimento</t>
  </si>
  <si>
    <t xml:space="preserve">            Impermeabilização com Argamassa Flexível - 2º Pavimento</t>
  </si>
  <si>
    <t xml:space="preserve">            Impermeabilização com Argamassa Flexível - Térreo</t>
  </si>
  <si>
    <t xml:space="preserve">               Impermeabilização com Argamassa Flexível - Térreo - Sala 01</t>
  </si>
  <si>
    <t xml:space="preserve">               Impermeabilização com Argamassa Flexível - Térreo - Sala 02</t>
  </si>
  <si>
    <t xml:space="preserve">               Impermeabilização com Argamassa Flexível - Térreo - Sala 03</t>
  </si>
  <si>
    <t xml:space="preserve">               Impermeabilização com Argamassa Flexível - Térreo - Sala 04</t>
  </si>
  <si>
    <t xml:space="preserve">               Impermeabilização com Argamassa Flexível - Térreo - Sala 05</t>
  </si>
  <si>
    <t xml:space="preserve">         IMPERMEABILIZAÇÃO DE MANTA LÍQUIDA EM PEITORIS</t>
  </si>
  <si>
    <t xml:space="preserve">            Impermeabilização com Manta Líquida em Peitoris - Ático</t>
  </si>
  <si>
    <t xml:space="preserve">            Impermeabilização com Manta Líquida em Peitoris - 6º Pavimento - Duplex Superior</t>
  </si>
  <si>
    <t xml:space="preserve">            Impermeabilização com Manta Líquida em Peitoris - 5º Pavimento - Duplex Inferior</t>
  </si>
  <si>
    <t xml:space="preserve">            Impermeabilização com Manta Líquida em Peitoris - 4º Pavimento</t>
  </si>
  <si>
    <t xml:space="preserve">            Impermeabilização com Manta Líquida em Peitoris - 3º Pavimento</t>
  </si>
  <si>
    <t xml:space="preserve">            Impermeabilização com Manta Líquida em Peitoris - 2º Pavimento</t>
  </si>
  <si>
    <t xml:space="preserve">         TRATAMENTO ACÚSTICO</t>
  </si>
  <si>
    <t xml:space="preserve">            Tratamento Acústico Neoprene - Ático</t>
  </si>
  <si>
    <t xml:space="preserve">         MANTA ANTIRAÍZ</t>
  </si>
  <si>
    <t xml:space="preserve">            Manta Antiraíz - Ático</t>
  </si>
  <si>
    <t xml:space="preserve">         PROTEÇÃO MECÂNICA</t>
  </si>
  <si>
    <t xml:space="preserve">            Proteção Mecânica - Reservatório</t>
  </si>
  <si>
    <t xml:space="preserve">            Proteção Mecânica - Barrilete</t>
  </si>
  <si>
    <t xml:space="preserve">            Proteção Mecânica - Ático</t>
  </si>
  <si>
    <t xml:space="preserve">            Proteção Mecânica - Térreo</t>
  </si>
  <si>
    <t xml:space="preserve">               Proteção Mecânica - Térreo - Garagem</t>
  </si>
  <si>
    <t xml:space="preserve">               Proteção Mecânica - Térreo - Áreas Comuns</t>
  </si>
  <si>
    <t xml:space="preserve">      REVESTIMENTOS INTERNOS EM PISO E PAREDE</t>
  </si>
  <si>
    <t xml:space="preserve">         PISO TÉRMICO EM BANHEIROS (MANTA, RÉGUAS E CABOS CALEFATORES)</t>
  </si>
  <si>
    <t xml:space="preserve">            Piso Térmico (Manta, Réguas e Cabos Calefatores) - 6º Pavimento - Duplex Superior</t>
  </si>
  <si>
    <t xml:space="preserve">            Piso Térmico (Manta, Réguas e Cabos Calefatores) - 5º Pavimento - Duplex Inferior</t>
  </si>
  <si>
    <t xml:space="preserve">            Piso Térmico (Manta, Réguas e Cabos Calefatores) - 4º Pavimento</t>
  </si>
  <si>
    <t xml:space="preserve">            Piso Térmico (Manta, Réguas e Cabos Calefatores) - 3º Pavimento</t>
  </si>
  <si>
    <t xml:space="preserve">            Piso Térmico (Manta, Réguas e Cabos Calefatores) - 2º Pavimento</t>
  </si>
  <si>
    <t xml:space="preserve">         CONTRAPISO ACÚSTICO</t>
  </si>
  <si>
    <t xml:space="preserve">            Contrapiso Acústico - Barrilete</t>
  </si>
  <si>
    <t xml:space="preserve">            Contrapiso Acústico - Ático</t>
  </si>
  <si>
    <t xml:space="preserve">            Contrapiso Acústico - 6º Pavimento - Duplex Superior</t>
  </si>
  <si>
    <t xml:space="preserve">            Contrapiso Acústico - 5º Pavimento - Duplex Inferior</t>
  </si>
  <si>
    <t xml:space="preserve">            Contrapiso Acústico - 4º Pavimento</t>
  </si>
  <si>
    <t xml:space="preserve">            Contrapiso Acústico - 3º Pavimento</t>
  </si>
  <si>
    <t xml:space="preserve">            Contrapiso Acústico - 2º Pavimento</t>
  </si>
  <si>
    <t xml:space="preserve">            Contrapiso Acústico - Térreo</t>
  </si>
  <si>
    <t xml:space="preserve">               Contrapiso Acústico - Térreo - Garagem</t>
  </si>
  <si>
    <t xml:space="preserve">               Contrapiso Acústico - Térreo - Áreas Comuns</t>
  </si>
  <si>
    <t xml:space="preserve">               Contrapiso Acústico - Térreo - Sala 01</t>
  </si>
  <si>
    <t xml:space="preserve">               Contrapiso Acústico - Térreo - Sala 02</t>
  </si>
  <si>
    <t xml:space="preserve">               Contrapiso Acústico - Térreo - Sala 03</t>
  </si>
  <si>
    <t xml:space="preserve">               Contrapiso Acústico - Térreo - Sala 04</t>
  </si>
  <si>
    <t xml:space="preserve">               Contrapiso Acústico - Térreo - Sala 05</t>
  </si>
  <si>
    <t xml:space="preserve">            Contrapiso Acústico - Subsolo</t>
  </si>
  <si>
    <t xml:space="preserve">         CONTRAPISO ESCADA</t>
  </si>
  <si>
    <t xml:space="preserve">            Contrapiso Escada - Barrilete</t>
  </si>
  <si>
    <t xml:space="preserve">            Contrapiso Escada - Ático</t>
  </si>
  <si>
    <t xml:space="preserve">            Contrapiso Escada - 6º Pavimento - Duplex Superior</t>
  </si>
  <si>
    <t xml:space="preserve">            Contrapiso Escada - 5º Pavimento - Duplex Inferior</t>
  </si>
  <si>
    <t xml:space="preserve">            Contrapiso Escada - 4º Pavimento</t>
  </si>
  <si>
    <t xml:space="preserve">            Contrapiso Escada - 3º Pavimento</t>
  </si>
  <si>
    <t xml:space="preserve">            Contrapiso Escada - 2º Pavimento</t>
  </si>
  <si>
    <t xml:space="preserve">            Contrapiso Escada - Térreo</t>
  </si>
  <si>
    <t xml:space="preserve">            Contrapiso Escada - Subsolo</t>
  </si>
  <si>
    <t xml:space="preserve">         PISO DE CONCRETO SOBRE O SOLO</t>
  </si>
  <si>
    <t xml:space="preserve">            Piso de Concreto Sobre o Solo - Subsolo</t>
  </si>
  <si>
    <t xml:space="preserve">         CHAPISCO COLANTE EM ESTRUTURA</t>
  </si>
  <si>
    <t xml:space="preserve">            Chapisco Colante em Estrutura - Reservatório</t>
  </si>
  <si>
    <t xml:space="preserve">            Chapisco Colante em Estrutura - Barrilete</t>
  </si>
  <si>
    <t xml:space="preserve">            Chapisco Colante em Estrutura - Ático</t>
  </si>
  <si>
    <t xml:space="preserve">            Chapisco Colante em Estrutura - 6º Pavimento - Duplex Superior</t>
  </si>
  <si>
    <t xml:space="preserve">            Chapisco Colante em Estrutura - 5º Pavimento - Duplex Inferior</t>
  </si>
  <si>
    <t xml:space="preserve">            Chapisco Colante em Estrutura - 4º Pavimento</t>
  </si>
  <si>
    <t xml:space="preserve">            Chapisco Colante em Estrutura - 3º Pavimento</t>
  </si>
  <si>
    <t xml:space="preserve">            Chapisco Colante em Estrutura - 2º Pavimento</t>
  </si>
  <si>
    <t xml:space="preserve">            Chapisco Colante em Estrutura - Térreo</t>
  </si>
  <si>
    <t xml:space="preserve">            Chapisco Colante em Estrutura - Subsolo</t>
  </si>
  <si>
    <t xml:space="preserve">         FIXAÇÃO DE TUBULAÇÕES, ENCHIMENTOS E TALISCAMENTO</t>
  </si>
  <si>
    <t xml:space="preserve">            Fixação de Tubulações, Enchimentos e Taliscamento - Reservatório</t>
  </si>
  <si>
    <t xml:space="preserve">            Fixação de Tubulações, Enchimentos e Taliscamento - Barrilete</t>
  </si>
  <si>
    <t xml:space="preserve">            Fixação de Tubulações, Enchimentos e Taliscamento - Ático</t>
  </si>
  <si>
    <t xml:space="preserve">            Fixação de Tubulações, Enchimentos e Taliscamento - 6º Pavimento - Duplex Superior</t>
  </si>
  <si>
    <t xml:space="preserve">            Fixação de Tubulações, Enchimentos e Taliscamento - 5º Pavimento - Duplex Inferior</t>
  </si>
  <si>
    <t xml:space="preserve">            Fixação de Tubulações, Enchimentos e Taliscamento - 4º Pavimento</t>
  </si>
  <si>
    <t xml:space="preserve">            Fixação de Tubulações, Enchimentos e Taliscamento - 3º Pavimento</t>
  </si>
  <si>
    <t xml:space="preserve">            Fixação de Tubulações, Enchimentos e Taliscamento - 2º Pavimento</t>
  </si>
  <si>
    <t xml:space="preserve">            Fixação de Tubulações, Enchimentos e Taliscamento - Térreo</t>
  </si>
  <si>
    <t xml:space="preserve">               Fixação de Tubulações, Enchimentos e Taliscamento - Térreo - Garagem</t>
  </si>
  <si>
    <t xml:space="preserve">               Fixação de Tubulações, Enchimentos e Taliscamento - Térreo - Áreas Comuns</t>
  </si>
  <si>
    <t xml:space="preserve">               Fixação de Tubulações, Enchimentos e Taliscamento - Térreo - Sala 01</t>
  </si>
  <si>
    <t xml:space="preserve">               Fixação de Tubulações, Enchimentos e Taliscamento - Térreo - Sala 02</t>
  </si>
  <si>
    <t xml:space="preserve">               Fixação de Tubulações, Enchimentos e Taliscamento - Térreo - Sala 03</t>
  </si>
  <si>
    <t xml:space="preserve">               Fixação de Tubulações, Enchimentos e Taliscamento - Térreo - Sala 04</t>
  </si>
  <si>
    <t xml:space="preserve">               Fixação de Tubulações, Enchimentos e Taliscamento - Térreo - Sala 05</t>
  </si>
  <si>
    <t xml:space="preserve">            Fixação de Tubulações, Enchimentos e Taliscamento - Subsolo</t>
  </si>
  <si>
    <t xml:space="preserve">         REBOCO INTERNO</t>
  </si>
  <si>
    <t xml:space="preserve">            Reboco Interno - Reservatório</t>
  </si>
  <si>
    <t xml:space="preserve">            Reboco Interno - Barrilete</t>
  </si>
  <si>
    <t xml:space="preserve">            Reboco Interno - Ático</t>
  </si>
  <si>
    <t xml:space="preserve">            Reboco Interno - 6º Pavimento - Duplex Superior - Banheiras</t>
  </si>
  <si>
    <t xml:space="preserve">            Reboco Interno - 6º Pavimento - Duplex Superior</t>
  </si>
  <si>
    <t xml:space="preserve">            Reboco Interno - 5º Pavimento - Duplex Inferior</t>
  </si>
  <si>
    <t xml:space="preserve">            Reboco Interno - 4º Pavimento</t>
  </si>
  <si>
    <t xml:space="preserve">            Reboco Interno - 3º Pavimento</t>
  </si>
  <si>
    <t xml:space="preserve">            Reboco Interno - 2º Pavimento</t>
  </si>
  <si>
    <t xml:space="preserve">            Reboco Interno - Térreo</t>
  </si>
  <si>
    <t xml:space="preserve">               Reboco Interno - Térreo - Garagem</t>
  </si>
  <si>
    <t xml:space="preserve">               Reboco Interno - Térreo - Áreas Comuns</t>
  </si>
  <si>
    <t xml:space="preserve">               Reboco Interno - Térreo - Sala 01</t>
  </si>
  <si>
    <t xml:space="preserve">               Reboco Interno - Térreo - Sala 02</t>
  </si>
  <si>
    <t xml:space="preserve">               Reboco Interno - Térreo - Sala 03</t>
  </si>
  <si>
    <t xml:space="preserve">               Reboco Interno - Térreo - Sala 04</t>
  </si>
  <si>
    <t xml:space="preserve">               Reboco Interno - Térreo - Sala 05</t>
  </si>
  <si>
    <t xml:space="preserve">            Reboco Interno - Subsolo</t>
  </si>
  <si>
    <t xml:space="preserve">         REBOCO INTERNO ESCADA</t>
  </si>
  <si>
    <t xml:space="preserve">            Reboco Interno Escada - Barrilete</t>
  </si>
  <si>
    <t xml:space="preserve">            Reboco Interno Escada - Ático</t>
  </si>
  <si>
    <t xml:space="preserve">            Reboco Interno Escada - 6º Pavimento - Duplex Superior</t>
  </si>
  <si>
    <t xml:space="preserve">            Reboco Interno Escada - 5º Pavimento - Duplex Inferior</t>
  </si>
  <si>
    <t xml:space="preserve">            Reboco Interno Escada - 4º Pavimento</t>
  </si>
  <si>
    <t xml:space="preserve">            Reboco Interno Escada - 3º Pavimento</t>
  </si>
  <si>
    <t xml:space="preserve">            Reboco Interno Escada - 2º Pavimento</t>
  </si>
  <si>
    <t xml:space="preserve">            Reboco Interno Escada - Térreo</t>
  </si>
  <si>
    <t xml:space="preserve">            Reboco Interno Escada - Subsolo</t>
  </si>
  <si>
    <t xml:space="preserve">         REGULARIZAÇÃO EM FOSSO DO ELEVADOR 01</t>
  </si>
  <si>
    <t xml:space="preserve">            Regularização em Fosso do Elevador 01 - Barrilete</t>
  </si>
  <si>
    <t xml:space="preserve">            Regularização em Fosso do Elevador 01 - Ático</t>
  </si>
  <si>
    <t xml:space="preserve">            Regularização em Fosso do Elevador 01 - 6º Pavimento - Duplex Superior</t>
  </si>
  <si>
    <t xml:space="preserve">            Regularização em Fosso do Elevador 01 - 5º Pavimento - Duplex Inferior</t>
  </si>
  <si>
    <t xml:space="preserve">            Regularização em Fosso do Elevador 01 - 4º Pavimento</t>
  </si>
  <si>
    <t xml:space="preserve">            Regularização em Fosso do Elevador 01 - 3º Pavimento</t>
  </si>
  <si>
    <t xml:space="preserve">            Regularização em Fosso do Elevador 01 - 2º Pavimento</t>
  </si>
  <si>
    <t xml:space="preserve">            Regularização em Fosso do Elevador 01 - Térreo</t>
  </si>
  <si>
    <t xml:space="preserve">            Regularização em Fosso do Elevador 01 - Subsolo</t>
  </si>
  <si>
    <t xml:space="preserve">         REGULARIZAÇÃO EM FOSSO DO ELEVADOR 02</t>
  </si>
  <si>
    <t xml:space="preserve">            Regularização em Fosso do Elevador 02 - Barrilete</t>
  </si>
  <si>
    <t xml:space="preserve">            Regularização em Fosso do Elevador 02 - Ático</t>
  </si>
  <si>
    <t xml:space="preserve">            Regularização em Fosso do Elevador 02 - 6º Pavimento - Duplex Superior</t>
  </si>
  <si>
    <t xml:space="preserve">            Regularização em Fosso do Elevador 02 - 5º Pavimento - Duplex Inferior</t>
  </si>
  <si>
    <t xml:space="preserve">            Regularização em Fosso do Elevador 02 - 4º Pavimento</t>
  </si>
  <si>
    <t xml:space="preserve">            Regularização em Fosso do Elevador 02 - 3º Pavimento</t>
  </si>
  <si>
    <t xml:space="preserve">            Regularização em Fosso do Elevador 02 - 2º Pavimento</t>
  </si>
  <si>
    <t xml:space="preserve">            Regularização em Fosso do Elevador 02 - Térreo</t>
  </si>
  <si>
    <t xml:space="preserve">            Regularização em Fosso do Elevador 02 - Subsolo</t>
  </si>
  <si>
    <t xml:space="preserve">      ACABAMENTOS EM PISO E PAREDE</t>
  </si>
  <si>
    <t xml:space="preserve">         PISO CERÂMICO</t>
  </si>
  <si>
    <t xml:space="preserve">            Pisos e Rodapés em Porcelanato - Barrilete</t>
  </si>
  <si>
    <t xml:space="preserve">            Pisos e Rodapés em Porcelanato - Ático - Área Externa</t>
  </si>
  <si>
    <t xml:space="preserve">            Pisos e Rodapés em Porcelanato - Ático</t>
  </si>
  <si>
    <t xml:space="preserve">            Pisos e Rodapés em Porcelanato - 6º Pavimento - Duplex Superior</t>
  </si>
  <si>
    <t xml:space="preserve">            Pisos e Rodapés em Porcelanato - 5º Pavimento - Duplex Inferior</t>
  </si>
  <si>
    <t xml:space="preserve">            Pisos e Rodapés em Porcelanato - 4º Pavimento</t>
  </si>
  <si>
    <t xml:space="preserve">            Pisos e Rodapés em Porcelanato - 3º Pavimento</t>
  </si>
  <si>
    <t xml:space="preserve">            Pisos e Rodapés em Porcelanato - 2º Pavimento</t>
  </si>
  <si>
    <t xml:space="preserve">            Pisos e Rodapés em Porcelanato - Térreo</t>
  </si>
  <si>
    <t xml:space="preserve">               Pisos e Rodapés em Porcelanato - Térreo - Garagem</t>
  </si>
  <si>
    <t xml:space="preserve">               Pisos e Rodapés em Porcelanato - Térreo - Áreas Comuns</t>
  </si>
  <si>
    <t xml:space="preserve">               Pisos e Rodapés em Porcelanato - Térreo - Sala 01</t>
  </si>
  <si>
    <t xml:space="preserve">               Pisos e Rodapés em Porcelanato - Térreo - Sala 02</t>
  </si>
  <si>
    <t xml:space="preserve">               Pisos e Rodapés em Porcelanato - Térreo - Sala 03</t>
  </si>
  <si>
    <t xml:space="preserve">               Pisos e Rodapés em Porcelanato - Térreo - Sala 04</t>
  </si>
  <si>
    <t xml:space="preserve">               Pisos e Rodapés em Porcelanato - Térreo - Sala 05</t>
  </si>
  <si>
    <t xml:space="preserve">            Pisos e Rodapés em Porcelanato - Subsolo</t>
  </si>
  <si>
    <t xml:space="preserve">         PISO EM GRANITO ELEVADORES</t>
  </si>
  <si>
    <t xml:space="preserve">            Pisos em Granito em Elevadores - Térreo</t>
  </si>
  <si>
    <t xml:space="preserve">         PISO EM CONCREGRAMA</t>
  </si>
  <si>
    <t xml:space="preserve">            Piso em Concregrama - Subsolo</t>
  </si>
  <si>
    <t xml:space="preserve">         LADRILHO HIDRÁULICO</t>
  </si>
  <si>
    <t xml:space="preserve">            Ladrilho Hidráulico - Subsolo</t>
  </si>
  <si>
    <t xml:space="preserve">         PISO PODOTÁTIL EM INOX</t>
  </si>
  <si>
    <t xml:space="preserve">            Piso Podotátil em Inox - Torre</t>
  </si>
  <si>
    <t xml:space="preserve">            Piso Podotátil em Inox - Térreo</t>
  </si>
  <si>
    <t xml:space="preserve">            Piso Podotátil em Inox - Subsolo</t>
  </si>
  <si>
    <t xml:space="preserve">         PISO VINÍLICO</t>
  </si>
  <si>
    <t xml:space="preserve">            Piso Vinílico - 6º Pavimento - Duplex Superior</t>
  </si>
  <si>
    <t xml:space="preserve">            Piso Vinílico - 5º Pavimento - Duplex Inferior</t>
  </si>
  <si>
    <t xml:space="preserve">            Piso Vinílico - 4º Pavimento</t>
  </si>
  <si>
    <t xml:space="preserve">            Piso Vinílico - 3º Pavimento</t>
  </si>
  <si>
    <t xml:space="preserve">            Piso Vinílico - 2º Pavimento</t>
  </si>
  <si>
    <t xml:space="preserve">         GRAMA SINTÉTICA</t>
  </si>
  <si>
    <t xml:space="preserve">            Grama Sintética - Ático</t>
  </si>
  <si>
    <t xml:space="preserve">         PISO EXTERNO/PÚBLICO</t>
  </si>
  <si>
    <t xml:space="preserve">            Piso Externo/Público - Quebra da Calçada Antiga - Térreo</t>
  </si>
  <si>
    <t xml:space="preserve">            Piso Externo/Público - Nivelamento e Apiloamento - Térreo</t>
  </si>
  <si>
    <t xml:space="preserve">            Piso Externo/Público - Assentamento da Base - Térreo</t>
  </si>
  <si>
    <t xml:space="preserve">            Piso Externo/Público - Preparação do Meio-Fio - Térreo</t>
  </si>
  <si>
    <t xml:space="preserve">            Piso Externo/Público - Colocação das Guias Podotátil - Térreo</t>
  </si>
  <si>
    <t xml:space="preserve">            Piso Externo/Público - Assentamento das Peças em Paver - Térreo</t>
  </si>
  <si>
    <t xml:space="preserve">            Piso Externo/Público - Aplicação de Materiais nas Juntas - Térreo</t>
  </si>
  <si>
    <t xml:space="preserve">            Piso Externo/Público - Compactação do Piso - Térreo</t>
  </si>
  <si>
    <t xml:space="preserve">            Piso Externo/Público - Varreção e Limpeza - Térreo</t>
  </si>
  <si>
    <t xml:space="preserve">         REVESTIMENTOS EM PEDRAS (BANCADAS E PINGADEIRAS)</t>
  </si>
  <si>
    <t xml:space="preserve">            Revestimentos em Pedras (Bancadas e Pingadeiras) - Barrilete</t>
  </si>
  <si>
    <t xml:space="preserve">            Revestimentos em Pedras (Bancadas e Pingadeiras) - Ático</t>
  </si>
  <si>
    <t xml:space="preserve">            Revestimentos em Pedras (Banheira) - 6º Pavimento - Duplex Superior</t>
  </si>
  <si>
    <t xml:space="preserve">            Revestimentos em Pedras (Bancadas e Pingadeiras) - 6º Pavimento - Duplex Superior</t>
  </si>
  <si>
    <t xml:space="preserve">            Revestimentos em Pedras (Bancadas e Pingadeiras) - 5º Pavimento - Duplex Inferior</t>
  </si>
  <si>
    <t xml:space="preserve">            Revestimentos em Pedras (Bancadas e Pingadeiras) - 4º Pavimento</t>
  </si>
  <si>
    <t xml:space="preserve">            Revestimentos em Pedras (Bancadas e Pingadeiras) - 3º Pavimento</t>
  </si>
  <si>
    <t xml:space="preserve">            Revestimentos em Pedras (Bancadas e Pingadeiras) - 2º Pavimento</t>
  </si>
  <si>
    <t xml:space="preserve">            Revestimentos em Pedras (Bancadas e Pingadeiras) - Térreo</t>
  </si>
  <si>
    <t xml:space="preserve">            Revestimentos em Pedras (Bancadas e Pingadeiras) - Subsolo</t>
  </si>
  <si>
    <t xml:space="preserve">         REVESTIMENTOS COM PASTILHA</t>
  </si>
  <si>
    <t xml:space="preserve">            Revestimentos com Pastilha - Ático - Piscina</t>
  </si>
  <si>
    <t xml:space="preserve">            Revestimentos com Pastilha - Térreo</t>
  </si>
  <si>
    <t xml:space="preserve">               Revestimentos com Pastilha - Térreo - Áreas Comuns</t>
  </si>
  <si>
    <t xml:space="preserve">         REVESTIMENTOS CERÂMICOS EM PAREDES</t>
  </si>
  <si>
    <t xml:space="preserve">            Revestimentos Cerâmicos em Paredes - Ático</t>
  </si>
  <si>
    <t xml:space="preserve">            Revestimentos Cerâmicos em Paredes - 6º Pavimento - Duplex Superior</t>
  </si>
  <si>
    <t xml:space="preserve">            Revestimentos Cerâmicos em Paredes - 5º Pavimento - Duplex Inferior</t>
  </si>
  <si>
    <t xml:space="preserve">            Revestimentos Cerâmicos em Paredes - 4º Pavimento</t>
  </si>
  <si>
    <t xml:space="preserve">            Revestimentos Cerâmicos em Paredes - 3º Pavimento</t>
  </si>
  <si>
    <t xml:space="preserve">            Revestimentos Cerâmicos em Paredes - 2º Pavimento</t>
  </si>
  <si>
    <t xml:space="preserve">            Revestimentos Cerâmicos em Paredes - Térreo</t>
  </si>
  <si>
    <t xml:space="preserve">               Revestimentos Cerâmicos em Paredes - Térreo - Áreas Comuns</t>
  </si>
  <si>
    <t xml:space="preserve">               Revestimentos Cerâmicos em Paredes - Térreo - Sala 01</t>
  </si>
  <si>
    <t xml:space="preserve">               Revestimentos Cerâmicos em Paredes - Térreo - Sala 02</t>
  </si>
  <si>
    <t xml:space="preserve">               Revestimentos Cerâmicos em Paredes - Térreo - Sala 03</t>
  </si>
  <si>
    <t xml:space="preserve">               Revestimentos Cerâmicos em Paredes - Térreo - Sala 04</t>
  </si>
  <si>
    <t xml:space="preserve">               Revestimentos Cerâmicos em Paredes - Térreo - Sala 05</t>
  </si>
  <si>
    <t xml:space="preserve">         MOLDURAS DE GRANITO EM ELEVADORES</t>
  </si>
  <si>
    <t xml:space="preserve">            Molduras de Granito em Elevadores - Ático</t>
  </si>
  <si>
    <t xml:space="preserve">            Molduras de Granito em Elevadores - 6º Pavimento - Duplex Superior</t>
  </si>
  <si>
    <t xml:space="preserve">            Molduras de Granito em Elevadores - 5º Pavimento - Duplex Inferior</t>
  </si>
  <si>
    <t xml:space="preserve">            Molduras de Granito em Elevadores - 4º Pavimento</t>
  </si>
  <si>
    <t xml:space="preserve">            Molduras de Granito em Elevadores - 3º Pavimento</t>
  </si>
  <si>
    <t xml:space="preserve">            Molduras de Granito em Elevadores - 2º Pavimento</t>
  </si>
  <si>
    <t xml:space="preserve">            Molduras de Granito em Elevadores - Térreo</t>
  </si>
  <si>
    <t xml:space="preserve">            Molduras de Granito em Elevadores - Subsolo</t>
  </si>
  <si>
    <t xml:space="preserve">      REVESTIMENTOS E ACABAMENTOS INTERNOS EM TETO</t>
  </si>
  <si>
    <t xml:space="preserve">         FORRO DE GESSO</t>
  </si>
  <si>
    <t xml:space="preserve">            Forro de Gesso - Ático</t>
  </si>
  <si>
    <t xml:space="preserve">            Forro de Gesso - 6º Pavimento - Duplex Superior</t>
  </si>
  <si>
    <t xml:space="preserve">            Forro de Gesso - 5º Pavimento - Duplex Inferior</t>
  </si>
  <si>
    <t xml:space="preserve">            Forro de Gesso - 4º Pavimento</t>
  </si>
  <si>
    <t xml:space="preserve">            Forro de Gesso - 3º Pavimento</t>
  </si>
  <si>
    <t xml:space="preserve">            Forro de Gesso - 2º Pavimento</t>
  </si>
  <si>
    <t xml:space="preserve">            Forro de Gesso - Térreo</t>
  </si>
  <si>
    <t xml:space="preserve">               Forro de Gesso - Térreo - Áreas Comuns</t>
  </si>
  <si>
    <t xml:space="preserve">               Forro de Gesso - Térreo - Sala 01</t>
  </si>
  <si>
    <t xml:space="preserve">               Forro de Gesso - Térreo - Sala 02</t>
  </si>
  <si>
    <t xml:space="preserve">               Forro de Gesso - Térreo - Sala 03</t>
  </si>
  <si>
    <t xml:space="preserve">               Forro de Gesso - Térreo - Sala 04</t>
  </si>
  <si>
    <t xml:space="preserve">               Forro de Gesso - Térreo - Sala 05</t>
  </si>
  <si>
    <t xml:space="preserve">            Forro de Gesso - Subsolo</t>
  </si>
  <si>
    <t xml:space="preserve">         ESTUCAGEM E POLIMENTO DE FORRO EM GARAGENS</t>
  </si>
  <si>
    <t xml:space="preserve">            Estucagem e Polimento de Forro em Garagens - Térreo</t>
  </si>
  <si>
    <t xml:space="preserve">            Estucagem e Polimento de Forro em Garagens - Subsolo</t>
  </si>
  <si>
    <t xml:space="preserve">         ESTUCAGEM E POLIMENTO DE FORRO EM ESCADA</t>
  </si>
  <si>
    <t xml:space="preserve">            Estucagem e Polimento de Forro em Escada - Barrilete</t>
  </si>
  <si>
    <t xml:space="preserve">            Estucagem e Polimento de Forro em Escada - Ático</t>
  </si>
  <si>
    <t xml:space="preserve">            Estucagem e Polimento de Forro em Escada - 6º Pavimento - Duplex Superior</t>
  </si>
  <si>
    <t xml:space="preserve">            Estucagem e Polimento de Forro em Escada - 5º Pavimento - Duplex Inferior</t>
  </si>
  <si>
    <t xml:space="preserve">            Estucagem e Polimento de Forro em Escada - 4º Pavimento</t>
  </si>
  <si>
    <t xml:space="preserve">            Estucagem e Polimento de Forro em Escada - 3º Pavimento</t>
  </si>
  <si>
    <t xml:space="preserve">            Estucagem e Polimento de Forro em Escada - 2º Pavimento</t>
  </si>
  <si>
    <t xml:space="preserve">            Estucagem e Polimento de Forro em Escada - Térreo</t>
  </si>
  <si>
    <t xml:space="preserve">            Estucagem e Polimento de Forro em Escada - Subsolo</t>
  </si>
  <si>
    <t xml:space="preserve">      SISTEMAS DE PINTURA INTERNA</t>
  </si>
  <si>
    <t xml:space="preserve">         PINTURA 1ª ETAPA (Massa + 1ª demão)</t>
  </si>
  <si>
    <t xml:space="preserve">            Pintura 1ª Etapa (Massa + 1ª demão) - Barrilete</t>
  </si>
  <si>
    <t xml:space="preserve">            Pintura 1ª Etapa (Massa + 1ª demão) - Ático</t>
  </si>
  <si>
    <t xml:space="preserve">            Pintura 1ª Etapa (Massa + 1ª demão) - 6º Pavimento - Duplex Superior</t>
  </si>
  <si>
    <t xml:space="preserve">            Pintura 1ª Etapa (Massa + 1ª demão) - 5º Pavimento - Duplex Inferior</t>
  </si>
  <si>
    <t xml:space="preserve">            Pintura 1ª Etapa (Massa + 1ª demão) - 4º Pavimento</t>
  </si>
  <si>
    <t xml:space="preserve">            Pintura 1ª Etapa (Massa + 1ª demão) - 3º Pavimento</t>
  </si>
  <si>
    <t xml:space="preserve">            Pintura 1ª Etapa (Massa + 1ª demão) - 2º Pavimento</t>
  </si>
  <si>
    <t xml:space="preserve">            Pintura 1ª Etapa (Massa + 1ª demão) - Térreo</t>
  </si>
  <si>
    <t xml:space="preserve">               Pintura 1ª Etapa (Massa + 1ª demão) - Térreo - Garagem</t>
  </si>
  <si>
    <t xml:space="preserve">               Pintura 1ª Etapa (Massa + 1ª demão) - Térreo - Áreas Comuns</t>
  </si>
  <si>
    <t xml:space="preserve">               Pintura 1ª Etapa (Massa + 1ª demão) - Térreo - Sala 01</t>
  </si>
  <si>
    <t xml:space="preserve">               Pintura 1ª Etapa (Massa + 1ª demão) - Térreo - Sala 02</t>
  </si>
  <si>
    <t xml:space="preserve">               Pintura 1ª Etapa (Massa + 1ª demão) - Térreo - Sala 03</t>
  </si>
  <si>
    <t xml:space="preserve">               Pintura 1ª Etapa (Massa + 1ª demão) - Térreo - Sala 04</t>
  </si>
  <si>
    <t xml:space="preserve">               Pintura 1ª Etapa (Massa + 1ª demão) - Térreo - Sala 05</t>
  </si>
  <si>
    <t xml:space="preserve">            Pintura 1ª Etapa (Massa + 1ª demão) - Subsolo</t>
  </si>
  <si>
    <t xml:space="preserve">         PINTURA 2ª ETAPA</t>
  </si>
  <si>
    <t xml:space="preserve">            Pintura 2ª Etapa - Barrilete</t>
  </si>
  <si>
    <t xml:space="preserve">            Pintura 2ª Etapa - Ático</t>
  </si>
  <si>
    <t xml:space="preserve">            Pintura 2ª Etapa - 6º Pavimento - Duplex Superior</t>
  </si>
  <si>
    <t xml:space="preserve">            Pintura 2ª Etapa - 5º Pavimento - Duplex Inferior</t>
  </si>
  <si>
    <t xml:space="preserve">            Pintura 2ª Etapa - 4º Pavimento</t>
  </si>
  <si>
    <t xml:space="preserve">            Pintura 2ª Etapa - 3º Pavimento</t>
  </si>
  <si>
    <t xml:space="preserve">            Pintura 2ª Etapa - 2º Pavimento</t>
  </si>
  <si>
    <t xml:space="preserve">            Pintura 2ª Etapa - Térreo</t>
  </si>
  <si>
    <t xml:space="preserve">               Pintura 2ª Etapa - Térreo - Garagem</t>
  </si>
  <si>
    <t xml:space="preserve">               Pintura 2ª Etapa - Térreo - Áreas Comuns</t>
  </si>
  <si>
    <t xml:space="preserve">               Pintura 2ª Etapa - Térreo - Sala 01</t>
  </si>
  <si>
    <t xml:space="preserve">               Pintura 2ª Etapa - Térreo - Sala 02</t>
  </si>
  <si>
    <t xml:space="preserve">               Pintura 2ª Etapa - Térreo - Sala 03</t>
  </si>
  <si>
    <t xml:space="preserve">               Pintura 2ª Etapa - Térreo - Sala 04</t>
  </si>
  <si>
    <t xml:space="preserve">               Pintura 2ª Etapa - Térreo - Sala 05</t>
  </si>
  <si>
    <t xml:space="preserve">            Pintura 2ª Etapa - Subsolo</t>
  </si>
  <si>
    <t xml:space="preserve">         PINTURA DE ACABAMENTO (FINAL)</t>
  </si>
  <si>
    <t xml:space="preserve">            Pintura 3ª Etapa (Final) - Reservatório</t>
  </si>
  <si>
    <t xml:space="preserve">            Pintura 3ª Etapa (Final) - Barrilete</t>
  </si>
  <si>
    <t xml:space="preserve">            Pintura 3ª Etapa (Final) - Ático</t>
  </si>
  <si>
    <t xml:space="preserve">            Pintura 3ª Etapa (Final) - 6º Pavimento - Duplex Superior</t>
  </si>
  <si>
    <t xml:space="preserve">            Pintura 3ª Etapa (Final) - 5º Pavimento - Duplex Inferior</t>
  </si>
  <si>
    <t xml:space="preserve">            Pintura 3ª Etapa (Final) - 4º Pavimento</t>
  </si>
  <si>
    <t xml:space="preserve">            Pintura 3ª Etapa (Final) - 3º Pavimento</t>
  </si>
  <si>
    <t xml:space="preserve">            Pintura 3ª Etapa (Final) - 2º Pavimento</t>
  </si>
  <si>
    <t xml:space="preserve">            Pintura 3ª Etapa (Final) - Térreo</t>
  </si>
  <si>
    <t xml:space="preserve">               Pintura 3ª Etapa (Final) - Térreo - Garagem</t>
  </si>
  <si>
    <t xml:space="preserve">               Pintura 3ª Etapa (Final) - Térreo - Áreas Comuns</t>
  </si>
  <si>
    <t xml:space="preserve">               Pintura 3ª Etapa (Final) - Térreo - Sala 01</t>
  </si>
  <si>
    <t xml:space="preserve">               Pintura 3ª Etapa (Final) - Térreo - Sala 02</t>
  </si>
  <si>
    <t xml:space="preserve">               Pintura 3ª Etapa (Final) - Térreo - Sala 03</t>
  </si>
  <si>
    <t xml:space="preserve">               Pintura 3ª Etapa (Final) - Térreo - Sala 04</t>
  </si>
  <si>
    <t xml:space="preserve">               Pintura 3ª Etapa (Final) - Térreo - Sala 05</t>
  </si>
  <si>
    <t xml:space="preserve">            Pintura 3ª Etapa (Final) - Subsolo</t>
  </si>
  <si>
    <t xml:space="preserve">         TEXTURA EM PAREDES E TETO - GARAGENS</t>
  </si>
  <si>
    <t xml:space="preserve">            Textura em Paredes e Teto (Garagens) - Térreo</t>
  </si>
  <si>
    <t xml:space="preserve">            Textura em Paredes e Teto (Garagens) - Subsolo</t>
  </si>
  <si>
    <t xml:space="preserve">         PINTURA EM FOSSO DO ELEVADOR 01</t>
  </si>
  <si>
    <t xml:space="preserve">            Pintura em Fosso do Elevador 01 - Reservatório</t>
  </si>
  <si>
    <t xml:space="preserve">            Pintura em Fosso do Elevador 01 - Barrilete</t>
  </si>
  <si>
    <t xml:space="preserve">            Pintura em Fosso do Elevador 01 - Ático</t>
  </si>
  <si>
    <t xml:space="preserve">            Pintura em Fosso do Elevador 01 - 6º Pavimento - Duplex Superior</t>
  </si>
  <si>
    <t xml:space="preserve">            Pintura em Fosso do Elevador 01 - 5º Pavimento - Duplex Inferior</t>
  </si>
  <si>
    <t xml:space="preserve">            Pintura em Fosso do Elevador 01 - 4º Pavimento</t>
  </si>
  <si>
    <t xml:space="preserve">            Pintura em Fosso do Elevador 01 - 3º Pavimento</t>
  </si>
  <si>
    <t xml:space="preserve">            Pintura em Fosso do Elevador 01 - 2º Pavimento</t>
  </si>
  <si>
    <t xml:space="preserve">            Pintura em Fosso do Elevador 01 - Térreo</t>
  </si>
  <si>
    <t xml:space="preserve">            Pintura em Fosso do Elevador 01 - Subsolo</t>
  </si>
  <si>
    <t xml:space="preserve">         PINTURA EM FOSSO DO ELEVADOR 02</t>
  </si>
  <si>
    <t xml:space="preserve">            Pintura em Fosso do Elevador 02 - Reservatório</t>
  </si>
  <si>
    <t xml:space="preserve">            Pintura em Fosso do Elevador 02 - Barrilete</t>
  </si>
  <si>
    <t xml:space="preserve">            Pintura em Fosso do Elevador 02 - Ático</t>
  </si>
  <si>
    <t xml:space="preserve">            Pintura em Fosso do Elevador 02 - 6º Pavimento - Duplex Superior</t>
  </si>
  <si>
    <t xml:space="preserve">            Pintura em Fosso do Elevador 02 - 5º Pavimento - Duplex Inferior</t>
  </si>
  <si>
    <t xml:space="preserve">            Pintura em Fosso do Elevador 02 - 4º Pavimento</t>
  </si>
  <si>
    <t xml:space="preserve">            Pintura em Fosso do Elevador 02 - 3º Pavimento</t>
  </si>
  <si>
    <t xml:space="preserve">            Pintura em Fosso do Elevador 02 - 2º Pavimento</t>
  </si>
  <si>
    <t xml:space="preserve">            Pintura em Fosso do Elevador 02 - Térreo</t>
  </si>
  <si>
    <t xml:space="preserve">            Pintura em Fosso do Elevador 02 - Subsolo</t>
  </si>
  <si>
    <t xml:space="preserve">         TEXTURA ESCADA</t>
  </si>
  <si>
    <t xml:space="preserve">            Textura Escada - Reservatório</t>
  </si>
  <si>
    <t xml:space="preserve">            Textura Escada - Barrilete</t>
  </si>
  <si>
    <t xml:space="preserve">            Textura Escada - Ático</t>
  </si>
  <si>
    <t xml:space="preserve">            Textura Escada - 6º Pavimento - Duplex Superior</t>
  </si>
  <si>
    <t xml:space="preserve">            Textura Escada - 5º Pavimento - Duplex Inferior</t>
  </si>
  <si>
    <t xml:space="preserve">            Textura Escada - 4º Pavimento</t>
  </si>
  <si>
    <t xml:space="preserve">            Textura Escada - 3º Pavimento</t>
  </si>
  <si>
    <t xml:space="preserve">            Textura Escada - 2º Pavimento</t>
  </si>
  <si>
    <t xml:space="preserve">            Textura Escada - Térreo</t>
  </si>
  <si>
    <t xml:space="preserve">            Textura Escada - Subsolo</t>
  </si>
  <si>
    <t xml:space="preserve">         PINTURA ESCADA</t>
  </si>
  <si>
    <t xml:space="preserve">            Pintura Escada - Reservatório</t>
  </si>
  <si>
    <t xml:space="preserve">            Pintura Escada - Barrilete</t>
  </si>
  <si>
    <t xml:space="preserve">            Pintura Escada - Ático</t>
  </si>
  <si>
    <t xml:space="preserve">            Pintura Escada - 6º Pavimento - Duplex Superior</t>
  </si>
  <si>
    <t xml:space="preserve">            Pintura Escada - 5º Pavimento - Duplex Inferior</t>
  </si>
  <si>
    <t xml:space="preserve">            Pintura Escada - 4º Pavimento</t>
  </si>
  <si>
    <t xml:space="preserve">            Pintura Escada - 3º Pavimento</t>
  </si>
  <si>
    <t xml:space="preserve">            Pintura Escada - 2º Pavimento</t>
  </si>
  <si>
    <t xml:space="preserve">            Pintura Escada - Térreo</t>
  </si>
  <si>
    <t xml:space="preserve">            Pintura Escada - Subsolo</t>
  </si>
  <si>
    <t xml:space="preserve">         PINTURA FAIXA GARAGENS</t>
  </si>
  <si>
    <t xml:space="preserve">            Pintura Faixa Garagens - Térreo</t>
  </si>
  <si>
    <t xml:space="preserve">            Pintura Faixa Garagens - Subsolo</t>
  </si>
  <si>
    <t xml:space="preserve">      ESQUADRIAS, VIDROS E FERRAGENS</t>
  </si>
  <si>
    <t xml:space="preserve">         CONTRAMARCO</t>
  </si>
  <si>
    <t xml:space="preserve">            Contramarco - Ático</t>
  </si>
  <si>
    <t xml:space="preserve">            Contramarco - 6º Pavimento - Duplex Superior</t>
  </si>
  <si>
    <t xml:space="preserve">            Contramarco - 5º Pavimento - Duplex Inferior</t>
  </si>
  <si>
    <t xml:space="preserve">            Contramarco - 4º Pavimento</t>
  </si>
  <si>
    <t xml:space="preserve">            Contramarco - 3º Pavimento</t>
  </si>
  <si>
    <t xml:space="preserve">            Contramarco - 2º Pavimento</t>
  </si>
  <si>
    <t xml:space="preserve">            Contramarco - Térreo</t>
  </si>
  <si>
    <t xml:space="preserve">               Contramarco - Térreo - Áreas Comuns</t>
  </si>
  <si>
    <t xml:space="preserve">            Contramarco - Subsolo</t>
  </si>
  <si>
    <t xml:space="preserve">         ESQUADRIAS EM ALUMÍNIO</t>
  </si>
  <si>
    <t xml:space="preserve">            Esquadrias em Alumínio - Ático</t>
  </si>
  <si>
    <t xml:space="preserve">            Esquadrias em Alumínio - 6º Pavimento - Duplex Superior</t>
  </si>
  <si>
    <t xml:space="preserve">            Esquadrias em Alumínio - 5º Pavimento - Duplex Inferior</t>
  </si>
  <si>
    <t xml:space="preserve">            Esquadrias em Alumínio - 4º Pavimento</t>
  </si>
  <si>
    <t xml:space="preserve">            Esquadrias em Alumínio - 3º Pavimento</t>
  </si>
  <si>
    <t xml:space="preserve">            Esquadrias em Alumínio - 2º Pavimento</t>
  </si>
  <si>
    <t xml:space="preserve">            Esquadrias em Alumínio - Térreo</t>
  </si>
  <si>
    <t xml:space="preserve">               Esquadrias em Alumínio - Térreo - Garagem</t>
  </si>
  <si>
    <t xml:space="preserve">               Esquadrias em Alumínio - Térreo - Áreas Comuns</t>
  </si>
  <si>
    <t xml:space="preserve">               Esquadrias em Alumínio - Térreo - Sala 01</t>
  </si>
  <si>
    <t xml:space="preserve">               Esquadrias em Alumínio - Térreo - Sala 02</t>
  </si>
  <si>
    <t xml:space="preserve">               Esquadrias em Alumínio - Térreo - Sala 03</t>
  </si>
  <si>
    <t xml:space="preserve">               Esquadrias em Alumínio - Térreo - Sala 04</t>
  </si>
  <si>
    <t xml:space="preserve">               Esquadrias em Alumínio - Térreo - Sala 05</t>
  </si>
  <si>
    <t xml:space="preserve">            Esquadrias em Alumínio - Subsolo</t>
  </si>
  <si>
    <t xml:space="preserve">         SERRALHERIA</t>
  </si>
  <si>
    <t xml:space="preserve">            Serralheria - Barrilete</t>
  </si>
  <si>
    <t xml:space="preserve">            Serralheria - Ático</t>
  </si>
  <si>
    <t xml:space="preserve">            Serralheria - 6º Pavimento - Duplex Superior</t>
  </si>
  <si>
    <t xml:space="preserve">            Serralheria - 5º Pavimento - Duplex Inferior</t>
  </si>
  <si>
    <t xml:space="preserve">            Serralheria - 4º Pavimento</t>
  </si>
  <si>
    <t xml:space="preserve">            Serralheria - 3º Pavimento</t>
  </si>
  <si>
    <t xml:space="preserve">            Serralheria - 2º Pavimento</t>
  </si>
  <si>
    <t xml:space="preserve">            Serralheria - Térreo</t>
  </si>
  <si>
    <t xml:space="preserve">               Serralheria - Térreo - Garagem</t>
  </si>
  <si>
    <t xml:space="preserve">               Serralheria - Térreo - Áreas Comuns</t>
  </si>
  <si>
    <t xml:space="preserve">            Serralheria - Subsolo</t>
  </si>
  <si>
    <t xml:space="preserve">         GUARDA CORPO DE VIDRO PARA SACADAS</t>
  </si>
  <si>
    <t xml:space="preserve">            Guarda Corpo de Vidro para Sacadas - Ático</t>
  </si>
  <si>
    <t xml:space="preserve">            Guarda Corpo de Vidro para Sacadas - 6º Pavimento - Duplex Superior</t>
  </si>
  <si>
    <t xml:space="preserve">            Guarda Corpo de Vidro para Sacadas - 5º Pavimento - Duplex Inferior</t>
  </si>
  <si>
    <t xml:space="preserve">            Guarda Corpo de Vidro para Sacadas - 4º Pavimento</t>
  </si>
  <si>
    <t xml:space="preserve">            Guarda Corpo de Vidro para Sacadas - 3º Pavimento</t>
  </si>
  <si>
    <t xml:space="preserve">            Guarda Corpo de Vidro para Sacadas - 2º Pavimento</t>
  </si>
  <si>
    <t xml:space="preserve">            Guarda Corpo - Térreo</t>
  </si>
  <si>
    <t xml:space="preserve">         BATENTE PORTA CORTA-FOGO ESCADARIA</t>
  </si>
  <si>
    <t xml:space="preserve">            Batente Porta Corta-Fogo EscadarIa - Barrilete</t>
  </si>
  <si>
    <t xml:space="preserve">            Batente Porta Corta-Fogo EscadarIa - Ático</t>
  </si>
  <si>
    <t xml:space="preserve">            Batente Porta Corta-Fogo EscadarIa - 6º Pavimento - Duplex Superior</t>
  </si>
  <si>
    <t xml:space="preserve">            Batente Porta Corta-Fogo EscadarIa - 5º Pavimento - Duplex Inferior</t>
  </si>
  <si>
    <t xml:space="preserve">            Batente Porta Corta-Fogo EscadarIa - 4º Pavimento</t>
  </si>
  <si>
    <t xml:space="preserve">            Batente Porta Corta-Fogo EscadarIa - 3º Pavimento</t>
  </si>
  <si>
    <t xml:space="preserve">            Batente Porta Corta-Fogo EscadarIa - 2º Pavimento</t>
  </si>
  <si>
    <t xml:space="preserve">            Batente Porta Corta-Fogo EscadarIa - Térreo</t>
  </si>
  <si>
    <t xml:space="preserve">            Batente Porta Corta-Fogo EscadarIa - Subsolo</t>
  </si>
  <si>
    <t xml:space="preserve">         PORTA CORTA-FOGO ESCADARIA</t>
  </si>
  <si>
    <t xml:space="preserve">            Porta Corta-Fogo Escadaria - Barrilete</t>
  </si>
  <si>
    <t xml:space="preserve">            Porta Corta-Fogo Escadaria - Ático</t>
  </si>
  <si>
    <t xml:space="preserve">            Porta Corta-Fogo Escadaria - 6º Pavimento - Duplex Superior</t>
  </si>
  <si>
    <t xml:space="preserve">            Porta Corta-Fogo Escadaria - 5º Pavimento - Duplex Inferior</t>
  </si>
  <si>
    <t xml:space="preserve">            Porta Corta-Fogo Escadaria - 4º Pavimento</t>
  </si>
  <si>
    <t xml:space="preserve">            Porta Corta-Fogo Escadaria - 3º Pavimento</t>
  </si>
  <si>
    <t xml:space="preserve">            Porta Corta-Fogo Escadaria - 2º Pavimento</t>
  </si>
  <si>
    <t xml:space="preserve">            Porta Corta-Fogo Escadaria - Térreo</t>
  </si>
  <si>
    <t xml:space="preserve">            Porta Corta-Fogo Escadaria - Subsolo</t>
  </si>
  <si>
    <t xml:space="preserve">         CORRIMÃO PARA ESCADAS</t>
  </si>
  <si>
    <t xml:space="preserve">            Corrimão para Escadas - Barrilete</t>
  </si>
  <si>
    <t xml:space="preserve">            Corrimão para Escadas - Ático</t>
  </si>
  <si>
    <t xml:space="preserve">            Corrimão para Escadas - 6º Pavimento - Duplex Superior</t>
  </si>
  <si>
    <t xml:space="preserve">            Corrimão para Escadas - 5º Pavimento - Duplex Inferior</t>
  </si>
  <si>
    <t xml:space="preserve">            Corrimão para Escadas - 4º Pavimento</t>
  </si>
  <si>
    <t xml:space="preserve">            Corrimão para Escadas - 3º Pavimento</t>
  </si>
  <si>
    <t xml:space="preserve">            Corrimão para Escadas - 2º Pavimento</t>
  </si>
  <si>
    <t xml:space="preserve">            Corrimão para Escadas - Térreo</t>
  </si>
  <si>
    <t xml:space="preserve">            Corrimão para Escadas - Subsolo</t>
  </si>
  <si>
    <t xml:space="preserve">         PORTAS EM MADEIRA</t>
  </si>
  <si>
    <t xml:space="preserve">            Portas em Madeira - Ático</t>
  </si>
  <si>
    <t xml:space="preserve">            Portas em Madeira - 6º Pavimento - Duplex Superior</t>
  </si>
  <si>
    <t xml:space="preserve">            Portas em Madeira - 5º Pavimento - Duplex Inferior</t>
  </si>
  <si>
    <t xml:space="preserve">            Portas em Madeira - 4º Pavimento</t>
  </si>
  <si>
    <t xml:space="preserve">            Portas em Madeira - 3º Pavimento</t>
  </si>
  <si>
    <t xml:space="preserve">            Portas em Madeira - 2º Pavimento</t>
  </si>
  <si>
    <t xml:space="preserve">            Portas em Madeira - Térreo</t>
  </si>
  <si>
    <t xml:space="preserve">               Portas em Madeira - Térreo - Áreas Comuns</t>
  </si>
  <si>
    <t xml:space="preserve">               Portas em Madeira - Térreo - Sala 01</t>
  </si>
  <si>
    <t xml:space="preserve">               Portas em Madeira - Térreo - Sala 02</t>
  </si>
  <si>
    <t xml:space="preserve">               Portas em Madeira - Térreo - Sala 03</t>
  </si>
  <si>
    <t xml:space="preserve">               Portas em Madeira - Térreo - Sala 04</t>
  </si>
  <si>
    <t xml:space="preserve">               Portas em Madeira - Térreo - Sala 05</t>
  </si>
  <si>
    <t xml:space="preserve">         RODAPÉS EM POLIESTIRENO</t>
  </si>
  <si>
    <t xml:space="preserve">            Rodapés em Poliestireno - Ático</t>
  </si>
  <si>
    <t xml:space="preserve">            Rodapés em Poliestireno - 6º Pavimento - Duplex Superior</t>
  </si>
  <si>
    <t xml:space="preserve">            Rodapés em Poliestireno - 5º Pavimento - Duplex Inferior</t>
  </si>
  <si>
    <t xml:space="preserve">            Rodapés em Poliestireno - 4º Pavimento</t>
  </si>
  <si>
    <t xml:space="preserve">            Rodapés em Poliestireno - 3º Pavimento</t>
  </si>
  <si>
    <t xml:space="preserve">            Rodapés em Poliestireno - 2º Pavimento</t>
  </si>
  <si>
    <t xml:space="preserve">            Rodapés em Poliestireno - Térreo</t>
  </si>
  <si>
    <t xml:space="preserve">               Rodapés em Poliestireno - Térreo - Áreas Comuns</t>
  </si>
  <si>
    <t xml:space="preserve">               Rodapés em Poliestireno - Térreo - Sala 01</t>
  </si>
  <si>
    <t xml:space="preserve">               Rodapés em Poliestireno - Térreo - Sala 02</t>
  </si>
  <si>
    <t xml:space="preserve">               Rodapés em Poliestireno - Térreo - Sala 03</t>
  </si>
  <si>
    <t xml:space="preserve">               Rodapés em Poliestireno - Térreo - Sala 04</t>
  </si>
  <si>
    <t xml:space="preserve">               Rodapés em Poliestireno - Térreo - Sala 05</t>
  </si>
  <si>
    <t xml:space="preserve">         BRISES METÁLICOS</t>
  </si>
  <si>
    <t xml:space="preserve">            Brise Metálico - Ático</t>
  </si>
  <si>
    <t xml:space="preserve">            Brise Metálico - 6º Pavimento - Duplex Superior</t>
  </si>
  <si>
    <t xml:space="preserve">            Brise Metálico - 5º Pavimento - Duplex Inferior</t>
  </si>
  <si>
    <t xml:space="preserve">            Brise Metálico - 4º Pavimento</t>
  </si>
  <si>
    <t xml:space="preserve">            Brise Metálico - 3º Pavimento</t>
  </si>
  <si>
    <t xml:space="preserve">            Brise Metálico - 2º Pavimento</t>
  </si>
  <si>
    <t xml:space="preserve">            Brise Metálico - Térreo</t>
  </si>
  <si>
    <t xml:space="preserve">      REVESTIMENTOS E ACABAMENTOS EM FACHADA</t>
  </si>
  <si>
    <t xml:space="preserve">            MONTAGEM DE JAÚS</t>
  </si>
  <si>
    <t xml:space="preserve">               Montagem de Jaús - Fachada Torre - Frente</t>
  </si>
  <si>
    <t xml:space="preserve">               Montagem de Jaús - Fachada Torre - Lateral Direita</t>
  </si>
  <si>
    <t xml:space="preserve">               Montagem de Jaús - Fachada Torre - Fundos</t>
  </si>
  <si>
    <t xml:space="preserve">               Montagem de Jaús - Fachada Torre - Lateral Esquerda</t>
  </si>
  <si>
    <t xml:space="preserve">            ENCHIMENTOS E CHAPISCO EXTERNO</t>
  </si>
  <si>
    <t xml:space="preserve">               Enchimentos e Chapisco Externo - Fachada Torre - Frente</t>
  </si>
  <si>
    <t xml:space="preserve">               Enchimentos e Chapisco Externo - Fachada Torre - Lateral Direita</t>
  </si>
  <si>
    <t xml:space="preserve">               Enchimentos e Chapisco Externo - Fachada Torre - Fundos</t>
  </si>
  <si>
    <t xml:space="preserve">               Enchimentos e Chapisco Externo - Fachada Torre - Lateral Esquerda</t>
  </si>
  <si>
    <t xml:space="preserve">            REBOCO EXTERNO</t>
  </si>
  <si>
    <t xml:space="preserve">               Reboco Externo - Fachada Torre - Frente</t>
  </si>
  <si>
    <t xml:space="preserve">               Reboco Externo - Fachada Torre - Lateral Direita</t>
  </si>
  <si>
    <t xml:space="preserve">               Reboco Externo - Fachada Torre - Fundos</t>
  </si>
  <si>
    <t xml:space="preserve">               Reboco Externo - Fachada Torre - Lateral Esquerda</t>
  </si>
  <si>
    <t xml:space="preserve">            TEXTURA EXTERNA</t>
  </si>
  <si>
    <t xml:space="preserve">               Textura Externa - Fachada Torre - Frente</t>
  </si>
  <si>
    <t xml:space="preserve">               Textura Externa - Fachada Torre - Lateral Direita</t>
  </si>
  <si>
    <t xml:space="preserve">               Textura Externa - Fachada Torre - Fundos</t>
  </si>
  <si>
    <t xml:space="preserve">               Textura Externa - Fachada Torre - Lateral Esquerda</t>
  </si>
  <si>
    <t xml:space="preserve">            PINTURA EXTERNA</t>
  </si>
  <si>
    <t xml:space="preserve">               Pintura Externa - Fachada Torre - Frente</t>
  </si>
  <si>
    <t xml:space="preserve">               Pintura Externa - Fachada Torre - Lateral Direita</t>
  </si>
  <si>
    <t xml:space="preserve">               Pintura Externa - Fachada Torre - Fundos</t>
  </si>
  <si>
    <t xml:space="preserve">               Pintura Externa - Fachada Torre - Lateral Esquerda</t>
  </si>
  <si>
    <t xml:space="preserve">            REVESTIMENTO EM PORCELANATO</t>
  </si>
  <si>
    <t xml:space="preserve">               Revestimento em Porcelanato - Fachada Torre - Frente</t>
  </si>
  <si>
    <t xml:space="preserve">      SERVIÇOS COMPLEMENTARES E FINAIS</t>
  </si>
  <si>
    <t xml:space="preserve">         COMUNICAÇÃO VISUAL</t>
  </si>
  <si>
    <t xml:space="preserve">            Data Marco: Solicitação de Vistoria de Habite-se Prefeitura</t>
  </si>
  <si>
    <t xml:space="preserve">            Data Marco: Vistoria de Habite-se Prefeitura</t>
  </si>
  <si>
    <t xml:space="preserve">            Data Marco: Documento de Habite-se Prefeitura</t>
  </si>
  <si>
    <t xml:space="preserve">            Data Marco: Solicitação de Vistoria de Habite-se Bombeiros</t>
  </si>
  <si>
    <t xml:space="preserve">            Data Marco: Vistoria de Habite-se Bombeiros</t>
  </si>
  <si>
    <t xml:space="preserve">            Data Marco: Documento de Habite-se Bombeiros</t>
  </si>
  <si>
    <t xml:space="preserve">            Data Marco: Solicitação de Vistoria de Habite-se Sanitário</t>
  </si>
  <si>
    <t xml:space="preserve">            Data Marco: Vistoria de Habite-se Sanitário</t>
  </si>
  <si>
    <t xml:space="preserve">            Data Marco: Documento de Habite-se Sanitário</t>
  </si>
  <si>
    <t xml:space="preserve">            Comunicação Visual - Reservatório</t>
  </si>
  <si>
    <t xml:space="preserve">            Comunicação Visual - Barrilete</t>
  </si>
  <si>
    <t xml:space="preserve">            Comunicação Visual - Ático</t>
  </si>
  <si>
    <t xml:space="preserve">            Comunicação Visual - 6º Pavimento - Duplex Superior</t>
  </si>
  <si>
    <t xml:space="preserve">            Comunicação Visual - 5º Pavimento - Duplex Inferior</t>
  </si>
  <si>
    <t xml:space="preserve">            Comunicação Visual - 4º Pavimento</t>
  </si>
  <si>
    <t xml:space="preserve">            Comunicação Visual - 3º Pavimento</t>
  </si>
  <si>
    <t xml:space="preserve">            Comunicação Visual - 2º Pavimento</t>
  </si>
  <si>
    <t xml:space="preserve">            Comunicação Visual - Térreo</t>
  </si>
  <si>
    <t xml:space="preserve">               Comunicação Visual - Térreo - Garagem</t>
  </si>
  <si>
    <t xml:space="preserve">               Comunicação Visual - Térreo - Áreas Comuns</t>
  </si>
  <si>
    <t xml:space="preserve">               Comunicação Visual - Térreo - Sala 01</t>
  </si>
  <si>
    <t xml:space="preserve">               Comunicação Visual - Térreo - Sala 02</t>
  </si>
  <si>
    <t xml:space="preserve">               Comunicação Visual - Térreo - Sala 03</t>
  </si>
  <si>
    <t xml:space="preserve">               Comunicação Visual - Térreo - Sala 04</t>
  </si>
  <si>
    <t xml:space="preserve">               Comunicação Visual - Térreo - Sala 05</t>
  </si>
  <si>
    <t xml:space="preserve">            Comunicação Visual - Subsolo</t>
  </si>
  <si>
    <t xml:space="preserve">         LIMPEZA FINAL</t>
  </si>
  <si>
    <t xml:space="preserve">            Limpeza Final - Reservatório</t>
  </si>
  <si>
    <t xml:space="preserve">            Limpeza Final - Barrilete</t>
  </si>
  <si>
    <t xml:space="preserve">            Limpeza Final - Ático</t>
  </si>
  <si>
    <t xml:space="preserve">            Limpeza Final - 6º Pavimento - Duplex Superior</t>
  </si>
  <si>
    <t xml:space="preserve">            Limpeza Final - 5º Pavimento - Duplex Inferior</t>
  </si>
  <si>
    <t xml:space="preserve">            Limpeza Final - 4º Pavimento</t>
  </si>
  <si>
    <t xml:space="preserve">            Limpeza Final - 3º Pavimento</t>
  </si>
  <si>
    <t xml:space="preserve">            Limpeza Final - 2º Pavimento</t>
  </si>
  <si>
    <t xml:space="preserve">            Limpeza Final - Térreo</t>
  </si>
  <si>
    <t xml:space="preserve">               Limpeza Final - Térreo - Garagem</t>
  </si>
  <si>
    <t xml:space="preserve">               Limpeza Final - Térreo - Áreas Comuns</t>
  </si>
  <si>
    <t xml:space="preserve">               Limpeza Final - Térreo - Sala 01</t>
  </si>
  <si>
    <t xml:space="preserve">               Limpeza Final - Térreo - Sala 02</t>
  </si>
  <si>
    <t xml:space="preserve">               Limpeza Final - Térreo - Sala 03</t>
  </si>
  <si>
    <t xml:space="preserve">               Limpeza Final - Térreo - Sala 04</t>
  </si>
  <si>
    <t xml:space="preserve">               Limpeza Final - Térreo - Sala 05</t>
  </si>
  <si>
    <t xml:space="preserve">            Limpeza Final - Subsolo</t>
  </si>
  <si>
    <t xml:space="preserve">         AMBIENTAÇÃO</t>
  </si>
  <si>
    <t xml:space="preserve">            Ambientação - Ático</t>
  </si>
  <si>
    <t xml:space="preserve">            Ambientação - Térreo</t>
  </si>
  <si>
    <t xml:space="preserve">               Ambientação - Térreo - Áreas Comuns</t>
  </si>
  <si>
    <t xml:space="preserve">         PAISAGISMO</t>
  </si>
  <si>
    <t xml:space="preserve">            Paisagismo - Ático</t>
  </si>
  <si>
    <t xml:space="preserve">            Paisagismo - Térreo</t>
  </si>
  <si>
    <t xml:space="preserve">               Paisagismo - Térreo - Áreas Comuns</t>
  </si>
  <si>
    <t xml:space="preserve">         IMPREVISTOS E CONTINGÊNCIAS</t>
  </si>
  <si>
    <t xml:space="preserve">            Imprevistos e Contingências</t>
  </si>
  <si>
    <t xml:space="preserve">      REFORMA</t>
  </si>
  <si>
    <t xml:space="preserve">         ESTRUTURA</t>
  </si>
  <si>
    <t xml:space="preserve">            Execução de Estrutura Metálica - Reforma - 6º Pavimento - Duplex Superior</t>
  </si>
  <si>
    <t xml:space="preserve">            Piso Wall - Reforma - 6º Pavimento - Duplex Superior</t>
  </si>
  <si>
    <t xml:space="preserve">         OBRA CIVIL</t>
  </si>
  <si>
    <t xml:space="preserve">            Alvenarias - Reforma - 6º Pavimento - Duplex Superior</t>
  </si>
  <si>
    <t xml:space="preserve">            Encunhamento - Reforma - 6º Pavimento - Duplex Superior</t>
  </si>
  <si>
    <t xml:space="preserve">            Instalações Elétricas de Parede - Reforma - 6º Pavimento - Duplex Superior</t>
  </si>
  <si>
    <t xml:space="preserve">            Fixação de Tubulações - Reforma - 6º Pavimento - Duplex Superior</t>
  </si>
  <si>
    <t xml:space="preserve">            Taliscamento - Reforma - 6º Pavimento - Duplex Superior</t>
  </si>
  <si>
    <t xml:space="preserve">            Reboco Interno - Reforma - 6º Pavimento - Duplex Superior</t>
  </si>
  <si>
    <t xml:space="preserve">            Fiação Elétrica - Reforma - 6º Pavimento - Duplex Superior</t>
  </si>
  <si>
    <t xml:space="preserve">         ACABAMENTOS</t>
  </si>
  <si>
    <t xml:space="preserve">            Pintura 1ª Etapa (Massa) - Reforma - 6º Pavimento - Duplex Superior</t>
  </si>
  <si>
    <t xml:space="preserve">            Revestimentos de Piso - Reforma - 6º Pavimento - Duplex Superior</t>
  </si>
  <si>
    <t xml:space="preserve">            Esquadrias em Madeira e Rodapés - Reforma - 6º Pavimento - Duplex Superior</t>
  </si>
  <si>
    <t xml:space="preserve">            Pintura 2ª Etapa - Reforma - 6º Pavimento - Duplex Superior</t>
  </si>
  <si>
    <t xml:space="preserve">            Acabamentos Elétricos - Reforma - 6º Pavimento - Duplex Superior</t>
  </si>
  <si>
    <t xml:space="preserve">            Pintura 3ª Etapa - Reforma - 6º Pavimento - Duplex Superior</t>
  </si>
  <si>
    <t xml:space="preserve">            Limpeza Final</t>
  </si>
  <si>
    <t xml:space="preserve">      DESPESAS INDIRETAS (GERENCIAMENTO TÉCNICO E ADM DE OBRA)</t>
  </si>
  <si>
    <t xml:space="preserve">         Despesas Indiretas - Julho/2021</t>
  </si>
  <si>
    <t xml:space="preserve">         Despesas Indiretas - Agosto/2021</t>
  </si>
  <si>
    <t xml:space="preserve">         Despesas Indiretas - Setembro/2021</t>
  </si>
  <si>
    <t xml:space="preserve">         Despesas Indiretas - Outubro/2021</t>
  </si>
  <si>
    <t xml:space="preserve">         Despesas Indiretas - Novembro/2021</t>
  </si>
  <si>
    <t xml:space="preserve">         Despesas Indiretas - Dezembro/2021</t>
  </si>
  <si>
    <t xml:space="preserve">         Despesas Indiretas - Janeiro/2022</t>
  </si>
  <si>
    <t xml:space="preserve">         Despesas Indiretas - Fevereiro/2022</t>
  </si>
  <si>
    <t xml:space="preserve">         Despesas Indiretas - Março/2022</t>
  </si>
  <si>
    <t xml:space="preserve">         Despesas Indiretas - Abril/2022</t>
  </si>
  <si>
    <t xml:space="preserve">         Despesas Indiretas - Maio/2022</t>
  </si>
  <si>
    <t xml:space="preserve">         Despesas Indiretas - Junho/2022</t>
  </si>
  <si>
    <t xml:space="preserve">         Despesas Indiretas - Julho/2022</t>
  </si>
  <si>
    <t xml:space="preserve">         Despesas Indiretas - Agosto/2022</t>
  </si>
  <si>
    <t xml:space="preserve">         Despesas Indiretas - Setembro/2022</t>
  </si>
  <si>
    <t xml:space="preserve">         Despesas Indiretas - Outubro/2022</t>
  </si>
  <si>
    <t xml:space="preserve">         Despesas Indiretas - Novembro/2022</t>
  </si>
  <si>
    <t xml:space="preserve">         Despesas Indiretas - Dezembro/2022</t>
  </si>
  <si>
    <t xml:space="preserve">         Despesas Indiretas - Janeiro/2023</t>
  </si>
  <si>
    <t xml:space="preserve">         Despesas Indiretas - Fevereiro/2023</t>
  </si>
  <si>
    <t xml:space="preserve">         Despesas Indiretas - Março/2023</t>
  </si>
  <si>
    <t xml:space="preserve">         Despesas Indiretas - Abril/2023</t>
  </si>
  <si>
    <t xml:space="preserve">         Despesas Indiretas - Maio/2023</t>
  </si>
  <si>
    <t xml:space="preserve">         Despesas Indiretas - Junho/2023</t>
  </si>
  <si>
    <t xml:space="preserve">         Despesas Indiretas - Julho/2023</t>
  </si>
  <si>
    <t xml:space="preserve">         Despesas Indiretas - Agosto/2023</t>
  </si>
  <si>
    <t xml:space="preserve">         Despesas Indiretas - Setembro/2023</t>
  </si>
  <si>
    <t xml:space="preserve">         Despesas Indiretas - Outubro/2023</t>
  </si>
  <si>
    <t xml:space="preserve">         Despesas Indiretas - Novembro/2023</t>
  </si>
  <si>
    <t xml:space="preserve">         Despesas Indiretas - Dezembro/2023</t>
  </si>
  <si>
    <t xml:space="preserve">         Despesas Indiretas - Janeiro/2024</t>
  </si>
  <si>
    <t xml:space="preserve">         Despesas Indiretas - Fevereiro/2024</t>
  </si>
  <si>
    <t xml:space="preserve">         Despesas Indiretas - Março/2024</t>
  </si>
  <si>
    <t xml:space="preserve">         Despesas Indiretas - Abril/2024</t>
  </si>
  <si>
    <t xml:space="preserve">         Despesas Indiretas - Maio/2024</t>
  </si>
  <si>
    <t xml:space="preserve">         Despesas Indiretas - Junho/2024</t>
  </si>
  <si>
    <t xml:space="preserve">         Despesas Indiretas - Julho/2024</t>
  </si>
  <si>
    <t xml:space="preserve">   CUSTOS ADICIONAIS (AMBIENTAÇÃO E TAXA ADM)</t>
  </si>
  <si>
    <t xml:space="preserve">      Custo a ser aprovado: Ambientação e Taxa Adm</t>
  </si>
  <si>
    <t>823,63 dias</t>
  </si>
  <si>
    <t>%Avanço Físico</t>
  </si>
  <si>
    <t>Mês/Ano</t>
  </si>
  <si>
    <t>Ano</t>
  </si>
  <si>
    <t>Valor Planejado</t>
  </si>
  <si>
    <t>Valor Planejado  Acumulado</t>
  </si>
  <si>
    <t>%  AVANÇO</t>
  </si>
  <si>
    <t>% AVANÇO Acumulado</t>
  </si>
  <si>
    <t>CURVA S | % BASELINE</t>
  </si>
  <si>
    <t>FASE</t>
  </si>
  <si>
    <t>ÁREA</t>
  </si>
  <si>
    <t>PRAZO</t>
  </si>
  <si>
    <t>CUSTO</t>
  </si>
  <si>
    <t>FASE 1 - A +A1</t>
  </si>
  <si>
    <t>COSTÃO DO SANTINHO - SUÍTES DO MAR - FASE A</t>
  </si>
  <si>
    <t>COSTÃO DO SANTINHO - SUÍTES DO MAR</t>
  </si>
  <si>
    <t>TOTAL</t>
  </si>
  <si>
    <t>FASE 2 - B + ÁREA SOCIAL</t>
  </si>
  <si>
    <t>FASE 3 - C + D</t>
  </si>
  <si>
    <t>FASE A</t>
  </si>
  <si>
    <t>FASE B</t>
  </si>
  <si>
    <t>FASE C</t>
  </si>
  <si>
    <t>Valor Planejado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</si>
</sst>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$-416]mmm\-yy;@"/>
    <numFmt numFmtId="165" formatCode="&quot;R$&quot;\ #,##0.00"/>
    <numFmt numFmtId="166" formatCode="_-* #,##0.0000000_-;\-* #,##0.0000000_-;_-* &quot;-&quot;??_-;_-@_-"/>
    <numFmt numFmtId="167" formatCode="0.0000%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363636"/>
      <name val="Segoe U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i/>
      <sz val="11"/>
      <color rgb="FFC00000"/>
      <name val="Calibri"/>
      <family val="2"/>
      <scheme val="minor"/>
    </font>
    <font>
      <sz val="11"/>
      <color theme="1"/>
      <name val="Roboto"/>
    </font>
    <font>
      <b/>
      <sz val="18"/>
      <color theme="1"/>
      <name val="Roboto"/>
    </font>
    <font>
      <i/>
      <sz val="16"/>
      <color theme="1"/>
      <name val="Roboto"/>
    </font>
    <font>
      <sz val="12"/>
      <color theme="1"/>
      <name val="Roboto"/>
    </font>
    <font>
      <b/>
      <sz val="11"/>
      <color theme="0"/>
      <name val="Roboto"/>
    </font>
    <font>
      <b/>
      <sz val="12"/>
      <color theme="0"/>
      <name val="Roboto"/>
    </font>
  </fonts>
  <fills count="13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2E75B5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55AE5"/>
        <bgColor indexed="64"/>
      </patternFill>
    </fill>
    <fill>
      <patternFill patternType="solid">
        <fgColor rgb="FF12121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2" tint="-9.9978637043366805E-2"/>
      </right>
      <top style="thin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4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6" fillId="8" borderId="1" xfId="0" applyFont="1" applyFill="1" applyBorder="1" applyAlignment="1">
      <alignment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vertical="center"/>
    </xf>
    <xf numFmtId="14" fontId="5" fillId="4" borderId="1" xfId="0" applyNumberFormat="1" applyFont="1" applyFill="1" applyBorder="1" applyAlignment="1">
      <alignment vertical="center"/>
    </xf>
    <xf numFmtId="14" fontId="5" fillId="5" borderId="1" xfId="0" applyNumberFormat="1" applyFont="1" applyFill="1" applyBorder="1" applyAlignment="1">
      <alignment vertical="center"/>
    </xf>
    <xf numFmtId="14" fontId="5" fillId="6" borderId="1" xfId="0" applyNumberFormat="1" applyFont="1" applyFill="1" applyBorder="1" applyAlignment="1">
      <alignment vertical="center"/>
    </xf>
    <xf numFmtId="14" fontId="3" fillId="7" borderId="1" xfId="0" applyNumberFormat="1" applyFont="1" applyFill="1" applyBorder="1" applyAlignment="1">
      <alignment vertical="center"/>
    </xf>
    <xf numFmtId="14" fontId="3" fillId="3" borderId="1" xfId="0" applyNumberFormat="1" applyFont="1" applyFill="1" applyBorder="1" applyAlignment="1">
      <alignment vertical="center"/>
    </xf>
    <xf numFmtId="14" fontId="4" fillId="3" borderId="1" xfId="0" applyNumberFormat="1" applyFont="1" applyFill="1" applyBorder="1" applyAlignment="1">
      <alignment vertical="center"/>
    </xf>
    <xf numFmtId="14" fontId="6" fillId="8" borderId="1" xfId="0" applyNumberFormat="1" applyFont="1" applyFill="1" applyBorder="1" applyAlignment="1">
      <alignment vertical="center"/>
    </xf>
    <xf numFmtId="0" fontId="0" fillId="0" borderId="0" xfId="0" applyAlignment="1"/>
    <xf numFmtId="10" fontId="0" fillId="0" borderId="0" xfId="1" applyNumberFormat="1" applyFont="1"/>
    <xf numFmtId="10" fontId="0" fillId="0" borderId="0" xfId="0" applyNumberFormat="1"/>
    <xf numFmtId="0" fontId="7" fillId="0" borderId="3" xfId="0" applyFont="1" applyBorder="1"/>
    <xf numFmtId="0" fontId="7" fillId="0" borderId="4" xfId="0" applyFont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7" fillId="0" borderId="0" xfId="0" applyFont="1"/>
    <xf numFmtId="0" fontId="7" fillId="0" borderId="6" xfId="0" applyFont="1" applyBorder="1"/>
    <xf numFmtId="0" fontId="7" fillId="0" borderId="0" xfId="0" applyFont="1" applyBorder="1" applyAlignment="1">
      <alignment horizontal="center" vertical="center"/>
    </xf>
    <xf numFmtId="0" fontId="7" fillId="0" borderId="0" xfId="0" applyFont="1" applyBorder="1"/>
    <xf numFmtId="0" fontId="7" fillId="0" borderId="0" xfId="0" applyFont="1" applyBorder="1" applyAlignment="1"/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 applyAlignment="1">
      <alignment horizontal="center" vertical="center"/>
    </xf>
    <xf numFmtId="0" fontId="7" fillId="0" borderId="9" xfId="0" applyFont="1" applyBorder="1"/>
    <xf numFmtId="0" fontId="7" fillId="0" borderId="10" xfId="0" applyFont="1" applyBorder="1"/>
    <xf numFmtId="0" fontId="7" fillId="0" borderId="0" xfId="0" applyFont="1" applyAlignment="1">
      <alignment horizontal="center" vertical="center"/>
    </xf>
    <xf numFmtId="165" fontId="7" fillId="0" borderId="2" xfId="0" applyNumberFormat="1" applyFont="1" applyFill="1" applyBorder="1" applyAlignment="1">
      <alignment horizontal="center" vertical="center"/>
    </xf>
    <xf numFmtId="17" fontId="10" fillId="0" borderId="2" xfId="0" applyNumberFormat="1" applyFont="1" applyFill="1" applyBorder="1" applyAlignment="1">
      <alignment horizontal="center" vertical="center"/>
    </xf>
    <xf numFmtId="10" fontId="10" fillId="0" borderId="2" xfId="1" applyNumberFormat="1" applyFont="1" applyFill="1" applyBorder="1" applyAlignment="1">
      <alignment horizontal="center" vertical="center"/>
    </xf>
    <xf numFmtId="10" fontId="10" fillId="0" borderId="2" xfId="0" applyNumberFormat="1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 wrapText="1"/>
    </xf>
    <xf numFmtId="0" fontId="7" fillId="0" borderId="0" xfId="0" applyFont="1" applyFill="1" applyBorder="1"/>
    <xf numFmtId="8" fontId="5" fillId="0" borderId="0" xfId="0" applyNumberFormat="1" applyFont="1" applyFill="1" applyBorder="1" applyAlignment="1">
      <alignment horizontal="center" vertical="center" wrapText="1"/>
    </xf>
    <xf numFmtId="8" fontId="7" fillId="0" borderId="0" xfId="0" applyNumberFormat="1" applyFont="1" applyFill="1" applyBorder="1"/>
    <xf numFmtId="0" fontId="7" fillId="0" borderId="0" xfId="0" applyNumberFormat="1" applyFont="1" applyFill="1" applyBorder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7" fillId="0" borderId="0" xfId="0" applyFont="1" applyFill="1"/>
    <xf numFmtId="17" fontId="7" fillId="0" borderId="0" xfId="0" applyNumberFormat="1" applyFont="1"/>
    <xf numFmtId="43" fontId="7" fillId="0" borderId="13" xfId="2" applyFont="1" applyBorder="1" applyAlignment="1">
      <alignment horizontal="center" vertical="center"/>
    </xf>
    <xf numFmtId="0" fontId="11" fillId="11" borderId="13" xfId="0" applyFont="1" applyFill="1" applyBorder="1"/>
    <xf numFmtId="44" fontId="12" fillId="10" borderId="2" xfId="3" applyFont="1" applyFill="1" applyBorder="1" applyAlignment="1">
      <alignment horizontal="center" vertical="center"/>
    </xf>
    <xf numFmtId="10" fontId="7" fillId="0" borderId="0" xfId="1" applyNumberFormat="1" applyFont="1"/>
    <xf numFmtId="10" fontId="7" fillId="0" borderId="4" xfId="1" applyNumberFormat="1" applyFont="1" applyBorder="1"/>
    <xf numFmtId="10" fontId="7" fillId="0" borderId="9" xfId="1" applyNumberFormat="1" applyFont="1" applyBorder="1"/>
    <xf numFmtId="10" fontId="11" fillId="10" borderId="2" xfId="1" applyNumberFormat="1" applyFont="1" applyFill="1" applyBorder="1" applyAlignment="1">
      <alignment horizontal="center" vertical="center" wrapText="1"/>
    </xf>
    <xf numFmtId="10" fontId="7" fillId="0" borderId="12" xfId="1" applyNumberFormat="1" applyFont="1" applyBorder="1"/>
    <xf numFmtId="43" fontId="7" fillId="0" borderId="0" xfId="0" applyNumberFormat="1" applyFont="1"/>
    <xf numFmtId="166" fontId="7" fillId="0" borderId="0" xfId="0" applyNumberFormat="1" applyFont="1"/>
    <xf numFmtId="165" fontId="7" fillId="0" borderId="11" xfId="0" applyNumberFormat="1" applyFont="1" applyFill="1" applyBorder="1" applyAlignment="1">
      <alignment horizontal="center" vertical="center"/>
    </xf>
    <xf numFmtId="44" fontId="12" fillId="0" borderId="11" xfId="3" applyFont="1" applyFill="1" applyBorder="1" applyAlignment="1">
      <alignment horizontal="center" vertical="center"/>
    </xf>
    <xf numFmtId="165" fontId="12" fillId="10" borderId="2" xfId="3" applyNumberFormat="1" applyFont="1" applyFill="1" applyBorder="1" applyAlignment="1">
      <alignment horizontal="center" vertical="center"/>
    </xf>
    <xf numFmtId="43" fontId="7" fillId="0" borderId="0" xfId="1" applyNumberFormat="1" applyFont="1"/>
    <xf numFmtId="17" fontId="10" fillId="0" borderId="2" xfId="2" applyNumberFormat="1" applyFont="1" applyFill="1" applyBorder="1" applyAlignment="1">
      <alignment horizontal="center" vertical="center"/>
    </xf>
    <xf numFmtId="165" fontId="7" fillId="0" borderId="0" xfId="0" applyNumberFormat="1" applyFont="1"/>
    <xf numFmtId="167" fontId="10" fillId="0" borderId="2" xfId="0" applyNumberFormat="1" applyFont="1" applyFill="1" applyBorder="1" applyAlignment="1">
      <alignment horizontal="center" vertical="center"/>
    </xf>
    <xf numFmtId="10" fontId="7" fillId="0" borderId="0" xfId="0" applyNumberFormat="1" applyFont="1"/>
    <xf numFmtId="43" fontId="7" fillId="0" borderId="0" xfId="2" applyFont="1" applyAlignment="1">
      <alignment horizontal="center" vertical="center"/>
    </xf>
    <xf numFmtId="43" fontId="7" fillId="0" borderId="0" xfId="2" applyFont="1" applyFill="1" applyAlignment="1">
      <alignment horizontal="center" vertical="center"/>
    </xf>
    <xf numFmtId="0" fontId="7" fillId="9" borderId="0" xfId="0" applyNumberFormat="1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7" fillId="9" borderId="11" xfId="0" applyNumberFormat="1" applyFont="1" applyFill="1" applyBorder="1" applyAlignment="1">
      <alignment horizontal="center" vertical="center"/>
    </xf>
    <xf numFmtId="0" fontId="11" fillId="12" borderId="0" xfId="0" applyFont="1" applyFill="1" applyBorder="1"/>
    <xf numFmtId="43" fontId="7" fillId="12" borderId="0" xfId="2" applyFont="1" applyFill="1" applyBorder="1" applyAlignment="1">
      <alignment horizontal="center" vertical="center"/>
    </xf>
    <xf numFmtId="43" fontId="7" fillId="0" borderId="0" xfId="2" applyFont="1"/>
    <xf numFmtId="0" fontId="7" fillId="0" borderId="13" xfId="0" applyFont="1" applyBorder="1" applyAlignment="1">
      <alignment horizontal="center"/>
    </xf>
    <xf numFmtId="0" fontId="11" fillId="10" borderId="14" xfId="0" applyFont="1" applyFill="1" applyBorder="1" applyAlignment="1">
      <alignment horizontal="center" vertical="center" wrapText="1"/>
    </xf>
    <xf numFmtId="0" fontId="11" fillId="10" borderId="15" xfId="0" applyFont="1" applyFill="1" applyBorder="1" applyAlignment="1">
      <alignment horizontal="center" vertical="center" wrapText="1"/>
    </xf>
  </cellXfs>
  <cellStyles count="4">
    <cellStyle name="Moeda" xfId="3" builtinId="4"/>
    <cellStyle name="Normal" xfId="0" builtinId="0"/>
    <cellStyle name="Porcentagem" xfId="1" builtinId="5"/>
    <cellStyle name="Vírgula" xfId="2" builtinId="3"/>
  </cellStyles>
  <dxfs count="0"/>
  <tableStyles count="0" defaultTableStyle="TableStyleMedium2" defaultPivotStyle="PivotStyleLight16"/>
  <colors>
    <mruColors>
      <color rgb="FF121212"/>
      <color rgb="FF255AE5"/>
      <color rgb="FFA1C5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pt-BR" sz="1600" b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</a:rPr>
              <a:t>Avanço Mensal (Físico e Físico-Financeiro)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ysClr val="windowText" lastClr="000000"/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FASE_A!$D$13</c:f>
              <c:strCache>
                <c:ptCount val="1"/>
                <c:pt idx="0">
                  <c:v>%  AVANÇO</c:v>
                </c:pt>
              </c:strCache>
            </c:strRef>
          </c:tx>
          <c:spPr>
            <a:solidFill>
              <a:srgbClr val="255AE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FASE_A!$C$14:$C$49</c:f>
              <c:numCache>
                <c:formatCode>mmm\-yy</c:formatCode>
                <c:ptCount val="36"/>
                <c:pt idx="0">
                  <c:v>45597</c:v>
                </c:pt>
                <c:pt idx="1">
                  <c:v>45627</c:v>
                </c:pt>
                <c:pt idx="2">
                  <c:v>45658</c:v>
                </c:pt>
                <c:pt idx="3">
                  <c:v>45689</c:v>
                </c:pt>
                <c:pt idx="4">
                  <c:v>45717</c:v>
                </c:pt>
                <c:pt idx="5">
                  <c:v>45748</c:v>
                </c:pt>
                <c:pt idx="6">
                  <c:v>45778</c:v>
                </c:pt>
                <c:pt idx="7">
                  <c:v>45809</c:v>
                </c:pt>
                <c:pt idx="8">
                  <c:v>45839</c:v>
                </c:pt>
                <c:pt idx="9">
                  <c:v>45870</c:v>
                </c:pt>
                <c:pt idx="10">
                  <c:v>45901</c:v>
                </c:pt>
                <c:pt idx="11">
                  <c:v>45931</c:v>
                </c:pt>
                <c:pt idx="12">
                  <c:v>45962</c:v>
                </c:pt>
                <c:pt idx="13">
                  <c:v>45992</c:v>
                </c:pt>
                <c:pt idx="14">
                  <c:v>46023</c:v>
                </c:pt>
                <c:pt idx="15">
                  <c:v>46054</c:v>
                </c:pt>
                <c:pt idx="16">
                  <c:v>46082</c:v>
                </c:pt>
                <c:pt idx="17">
                  <c:v>46113</c:v>
                </c:pt>
                <c:pt idx="18">
                  <c:v>46143</c:v>
                </c:pt>
                <c:pt idx="19">
                  <c:v>46174</c:v>
                </c:pt>
                <c:pt idx="20">
                  <c:v>46204</c:v>
                </c:pt>
                <c:pt idx="21">
                  <c:v>46235</c:v>
                </c:pt>
                <c:pt idx="22">
                  <c:v>46266</c:v>
                </c:pt>
                <c:pt idx="23">
                  <c:v>46296</c:v>
                </c:pt>
                <c:pt idx="24">
                  <c:v>46327</c:v>
                </c:pt>
                <c:pt idx="25">
                  <c:v>46357</c:v>
                </c:pt>
                <c:pt idx="26">
                  <c:v>46388</c:v>
                </c:pt>
                <c:pt idx="27">
                  <c:v>46419</c:v>
                </c:pt>
                <c:pt idx="28">
                  <c:v>46447</c:v>
                </c:pt>
                <c:pt idx="29">
                  <c:v>46478</c:v>
                </c:pt>
                <c:pt idx="30">
                  <c:v>46508</c:v>
                </c:pt>
                <c:pt idx="31">
                  <c:v>46539</c:v>
                </c:pt>
                <c:pt idx="32">
                  <c:v>46569</c:v>
                </c:pt>
                <c:pt idx="33">
                  <c:v>46600</c:v>
                </c:pt>
                <c:pt idx="34">
                  <c:v>46631</c:v>
                </c:pt>
                <c:pt idx="35">
                  <c:v>46661</c:v>
                </c:pt>
              </c:numCache>
            </c:numRef>
          </c:cat>
          <c:val>
            <c:numRef>
              <c:f>FASE_A!$D$14:$D$49</c:f>
              <c:numCache>
                <c:formatCode>0.00%</c:formatCode>
                <c:ptCount val="36"/>
                <c:pt idx="0">
                  <c:v>3.3999999999999998E-3</c:v>
                </c:pt>
                <c:pt idx="1">
                  <c:v>3.0000000000000001E-3</c:v>
                </c:pt>
                <c:pt idx="2">
                  <c:v>1.6999999999999999E-3</c:v>
                </c:pt>
                <c:pt idx="3">
                  <c:v>2.5999999999999999E-3</c:v>
                </c:pt>
                <c:pt idx="4">
                  <c:v>3.3999999999999998E-3</c:v>
                </c:pt>
                <c:pt idx="5">
                  <c:v>2.5999999999999999E-3</c:v>
                </c:pt>
                <c:pt idx="6">
                  <c:v>3.2000000000000002E-3</c:v>
                </c:pt>
                <c:pt idx="7">
                  <c:v>5.7000000000000002E-3</c:v>
                </c:pt>
                <c:pt idx="8">
                  <c:v>6.1999999999999998E-3</c:v>
                </c:pt>
                <c:pt idx="9">
                  <c:v>1.0800000000000001E-2</c:v>
                </c:pt>
                <c:pt idx="10">
                  <c:v>6.1999999999999998E-3</c:v>
                </c:pt>
                <c:pt idx="11">
                  <c:v>8.5000000000000006E-3</c:v>
                </c:pt>
                <c:pt idx="12">
                  <c:v>1.0999999999999999E-2</c:v>
                </c:pt>
                <c:pt idx="13">
                  <c:v>7.9000000000000008E-3</c:v>
                </c:pt>
                <c:pt idx="14">
                  <c:v>1.3100000000000001E-2</c:v>
                </c:pt>
                <c:pt idx="15">
                  <c:v>1.12E-2</c:v>
                </c:pt>
                <c:pt idx="16">
                  <c:v>1.01E-2</c:v>
                </c:pt>
                <c:pt idx="17">
                  <c:v>3.6799999999999999E-2</c:v>
                </c:pt>
                <c:pt idx="18">
                  <c:v>4.2500000000000003E-2</c:v>
                </c:pt>
                <c:pt idx="19">
                  <c:v>3.78E-2</c:v>
                </c:pt>
                <c:pt idx="20">
                  <c:v>6.1400000000000003E-2</c:v>
                </c:pt>
                <c:pt idx="21">
                  <c:v>5.6500000000000002E-2</c:v>
                </c:pt>
                <c:pt idx="22">
                  <c:v>3.95E-2</c:v>
                </c:pt>
                <c:pt idx="23">
                  <c:v>5.5500000000000001E-2</c:v>
                </c:pt>
                <c:pt idx="24">
                  <c:v>4.24E-2</c:v>
                </c:pt>
                <c:pt idx="25">
                  <c:v>3.2399999999999998E-2</c:v>
                </c:pt>
                <c:pt idx="26">
                  <c:v>4.9799999999999997E-2</c:v>
                </c:pt>
                <c:pt idx="27">
                  <c:v>5.2200000000000003E-2</c:v>
                </c:pt>
                <c:pt idx="28">
                  <c:v>4.8599999999999997E-2</c:v>
                </c:pt>
                <c:pt idx="29">
                  <c:v>5.3499999999999999E-2</c:v>
                </c:pt>
                <c:pt idx="30">
                  <c:v>4.8899999999999999E-2</c:v>
                </c:pt>
                <c:pt idx="31">
                  <c:v>5.4300000000000001E-2</c:v>
                </c:pt>
                <c:pt idx="32">
                  <c:v>5.1900000000000002E-2</c:v>
                </c:pt>
                <c:pt idx="33">
                  <c:v>5.6500000000000002E-2</c:v>
                </c:pt>
                <c:pt idx="34">
                  <c:v>5.0599999999999999E-2</c:v>
                </c:pt>
                <c:pt idx="35">
                  <c:v>1.83E-2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48-48EC-80DB-7AA9F1FD93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"/>
        <c:overlap val="-10"/>
        <c:axId val="1603365695"/>
        <c:axId val="1603366111"/>
      </c:barChart>
      <c:dateAx>
        <c:axId val="160336569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3366111"/>
        <c:crosses val="autoZero"/>
        <c:auto val="1"/>
        <c:lblOffset val="100"/>
        <c:baseTimeUnit val="months"/>
      </c:dateAx>
      <c:valAx>
        <c:axId val="1603366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3365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pt-BR" sz="1600" b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</a:rPr>
              <a:t>Avanços</a:t>
            </a:r>
            <a:r>
              <a:rPr lang="pt-BR" sz="1600" b="0" baseline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</a:rPr>
              <a:t> Acumulados (Físico e Físico-Financeiro)</a:t>
            </a:r>
            <a:endParaRPr lang="pt-BR" sz="1600" b="0">
              <a:solidFill>
                <a:sysClr val="windowText" lastClr="000000"/>
              </a:solidFill>
              <a:latin typeface="Roboto" panose="02000000000000000000" pitchFamily="2" charset="0"/>
              <a:ea typeface="Roboto" panose="02000000000000000000" pitchFamily="2" charset="0"/>
            </a:endParaRPr>
          </a:p>
        </c:rich>
      </c:tx>
      <c:layout>
        <c:manualLayout>
          <c:xMode val="edge"/>
          <c:yMode val="edge"/>
          <c:x val="0.38018722098627711"/>
          <c:y val="1.22004363577326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ysClr val="windowText" lastClr="000000"/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1360996924366516E-2"/>
          <c:y val="7.6057832469996353E-2"/>
          <c:w val="0.95183659751772887"/>
          <c:h val="0.8237868738701384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FASE_A!$E$13</c:f>
              <c:strCache>
                <c:ptCount val="1"/>
                <c:pt idx="0">
                  <c:v>% AVANÇO Acumulado</c:v>
                </c:pt>
              </c:strCache>
            </c:strRef>
          </c:tx>
          <c:spPr>
            <a:ln w="254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1357012510423597E-2"/>
                  <c:y val="-1.8994167133248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B4-4526-873C-1248923FECAF}"/>
                </c:ext>
              </c:extLst>
            </c:dLbl>
            <c:dLbl>
              <c:idx val="5"/>
              <c:layout>
                <c:manualLayout>
                  <c:x val="-2.2249585076748943E-2"/>
                  <c:y val="-1.53938070972452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B4-4526-873C-1248923FECAF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5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2.7540291393316318E-2"/>
                      <c:h val="1.278581401447231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005F-495F-B72D-DDC84AA5E9C0}"/>
                </c:ext>
              </c:extLst>
            </c:dLbl>
            <c:dLbl>
              <c:idx val="7"/>
              <c:layout>
                <c:manualLayout>
                  <c:x val="-2.1261164595193421E-2"/>
                  <c:y val="-1.63799546438086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05F-495F-B72D-DDC84AA5E9C0}"/>
                </c:ext>
              </c:extLst>
            </c:dLbl>
            <c:dLbl>
              <c:idx val="9"/>
              <c:layout>
                <c:manualLayout>
                  <c:x val="-2.3038292345351055E-2"/>
                  <c:y val="-1.45702668292062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0B4-4526-873C-1248923FECAF}"/>
                </c:ext>
              </c:extLst>
            </c:dLbl>
            <c:dLbl>
              <c:idx val="19"/>
              <c:layout>
                <c:manualLayout>
                  <c:x val="-2.4512291673035976E-2"/>
                  <c:y val="-1.26935370702424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0B4-4526-873C-1248923FECAF}"/>
                </c:ext>
              </c:extLst>
            </c:dLbl>
            <c:dLbl>
              <c:idx val="20"/>
              <c:layout>
                <c:manualLayout>
                  <c:x val="-3.0760299637313328E-2"/>
                  <c:y val="-6.3929070072361567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05F-495F-B72D-DDC84AA5E9C0}"/>
                </c:ext>
              </c:extLst>
            </c:dLbl>
            <c:dLbl>
              <c:idx val="21"/>
              <c:layout>
                <c:manualLayout>
                  <c:x val="-3.0760299637313394E-2"/>
                  <c:y val="-9.093177034238857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05F-495F-B72D-DDC84AA5E9C0}"/>
                </c:ext>
              </c:extLst>
            </c:dLbl>
            <c:dLbl>
              <c:idx val="22"/>
              <c:layout>
                <c:manualLayout>
                  <c:x val="-2.6297436805686667E-2"/>
                  <c:y val="-9.093177034238857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05F-495F-B72D-DDC84AA5E9C0}"/>
                </c:ext>
              </c:extLst>
            </c:dLbl>
            <c:dLbl>
              <c:idx val="23"/>
              <c:layout>
                <c:manualLayout>
                  <c:x val="-2.9867727070987983E-2"/>
                  <c:y val="-8.1930870252380234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5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2065704585890253E-2"/>
                      <c:h val="1.188572400547141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005F-495F-B72D-DDC84AA5E9C0}"/>
                </c:ext>
              </c:extLst>
            </c:dLbl>
            <c:dLbl>
              <c:idx val="24"/>
              <c:layout>
                <c:manualLayout>
                  <c:x val="-3.0760299637313263E-2"/>
                  <c:y val="-9.9932670432398233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05F-495F-B72D-DDC84AA5E9C0}"/>
                </c:ext>
              </c:extLst>
            </c:dLbl>
            <c:dLbl>
              <c:idx val="25"/>
              <c:layout>
                <c:manualLayout>
                  <c:x val="-2.8975154504662638E-2"/>
                  <c:y val="-9.993267043239757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05F-495F-B72D-DDC84AA5E9C0}"/>
                </c:ext>
              </c:extLst>
            </c:dLbl>
            <c:dLbl>
              <c:idx val="26"/>
              <c:layout>
                <c:manualLayout>
                  <c:x val="-2.3619719106710697E-2"/>
                  <c:y val="-1.26935370702424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05F-495F-B72D-DDC84AA5E9C0}"/>
                </c:ext>
              </c:extLst>
            </c:dLbl>
            <c:dLbl>
              <c:idx val="27"/>
              <c:layout>
                <c:manualLayout>
                  <c:x val="-2.451229167303591E-2"/>
                  <c:y val="-1.44937170882442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05F-495F-B72D-DDC84AA5E9C0}"/>
                </c:ext>
              </c:extLst>
            </c:dLbl>
            <c:dLbl>
              <c:idx val="28"/>
              <c:layout>
                <c:manualLayout>
                  <c:x val="-2.4512291673036042E-2"/>
                  <c:y val="-1.17934470612415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05F-495F-B72D-DDC84AA5E9C0}"/>
                </c:ext>
              </c:extLst>
            </c:dLbl>
            <c:dLbl>
              <c:idx val="29"/>
              <c:layout>
                <c:manualLayout>
                  <c:x val="-2.6297436805686601E-2"/>
                  <c:y val="-1.26935370702424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05F-495F-B72D-DDC84AA5E9C0}"/>
                </c:ext>
              </c:extLst>
            </c:dLbl>
            <c:dLbl>
              <c:idx val="30"/>
              <c:layout>
                <c:manualLayout>
                  <c:x val="-2.6297436805686733E-2"/>
                  <c:y val="-1.2693537070242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05F-495F-B72D-DDC84AA5E9C0}"/>
                </c:ext>
              </c:extLst>
            </c:dLbl>
            <c:dLbl>
              <c:idx val="31"/>
              <c:layout>
                <c:manualLayout>
                  <c:x val="-2.6297436805686601E-2"/>
                  <c:y val="-1.26935370702424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05F-495F-B72D-DDC84AA5E9C0}"/>
                </c:ext>
              </c:extLst>
            </c:dLbl>
            <c:dLbl>
              <c:idx val="34"/>
              <c:layout>
                <c:manualLayout>
                  <c:x val="-2.5404864239361256E-2"/>
                  <c:y val="-1.35936270792433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0B4-4526-873C-1248923FECAF}"/>
                </c:ext>
              </c:extLst>
            </c:dLbl>
            <c:dLbl>
              <c:idx val="35"/>
              <c:layout>
                <c:manualLayout>
                  <c:x val="-2.6297436805686601E-2"/>
                  <c:y val="-1.17934470612415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005F-495F-B72D-DDC84AA5E9C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FASE_A!$C$14:$C$49</c:f>
              <c:numCache>
                <c:formatCode>mmm\-yy</c:formatCode>
                <c:ptCount val="36"/>
                <c:pt idx="0">
                  <c:v>45597</c:v>
                </c:pt>
                <c:pt idx="1">
                  <c:v>45627</c:v>
                </c:pt>
                <c:pt idx="2">
                  <c:v>45658</c:v>
                </c:pt>
                <c:pt idx="3">
                  <c:v>45689</c:v>
                </c:pt>
                <c:pt idx="4">
                  <c:v>45717</c:v>
                </c:pt>
                <c:pt idx="5">
                  <c:v>45748</c:v>
                </c:pt>
                <c:pt idx="6">
                  <c:v>45778</c:v>
                </c:pt>
                <c:pt idx="7">
                  <c:v>45809</c:v>
                </c:pt>
                <c:pt idx="8">
                  <c:v>45839</c:v>
                </c:pt>
                <c:pt idx="9">
                  <c:v>45870</c:v>
                </c:pt>
                <c:pt idx="10">
                  <c:v>45901</c:v>
                </c:pt>
                <c:pt idx="11">
                  <c:v>45931</c:v>
                </c:pt>
                <c:pt idx="12">
                  <c:v>45962</c:v>
                </c:pt>
                <c:pt idx="13">
                  <c:v>45992</c:v>
                </c:pt>
                <c:pt idx="14">
                  <c:v>46023</c:v>
                </c:pt>
                <c:pt idx="15">
                  <c:v>46054</c:v>
                </c:pt>
                <c:pt idx="16">
                  <c:v>46082</c:v>
                </c:pt>
                <c:pt idx="17">
                  <c:v>46113</c:v>
                </c:pt>
                <c:pt idx="18">
                  <c:v>46143</c:v>
                </c:pt>
                <c:pt idx="19">
                  <c:v>46174</c:v>
                </c:pt>
                <c:pt idx="20">
                  <c:v>46204</c:v>
                </c:pt>
                <c:pt idx="21">
                  <c:v>46235</c:v>
                </c:pt>
                <c:pt idx="22">
                  <c:v>46266</c:v>
                </c:pt>
                <c:pt idx="23">
                  <c:v>46296</c:v>
                </c:pt>
                <c:pt idx="24">
                  <c:v>46327</c:v>
                </c:pt>
                <c:pt idx="25">
                  <c:v>46357</c:v>
                </c:pt>
                <c:pt idx="26">
                  <c:v>46388</c:v>
                </c:pt>
                <c:pt idx="27">
                  <c:v>46419</c:v>
                </c:pt>
                <c:pt idx="28">
                  <c:v>46447</c:v>
                </c:pt>
                <c:pt idx="29">
                  <c:v>46478</c:v>
                </c:pt>
                <c:pt idx="30">
                  <c:v>46508</c:v>
                </c:pt>
                <c:pt idx="31">
                  <c:v>46539</c:v>
                </c:pt>
                <c:pt idx="32">
                  <c:v>46569</c:v>
                </c:pt>
                <c:pt idx="33">
                  <c:v>46600</c:v>
                </c:pt>
                <c:pt idx="34">
                  <c:v>46631</c:v>
                </c:pt>
                <c:pt idx="35">
                  <c:v>46661</c:v>
                </c:pt>
              </c:numCache>
            </c:numRef>
          </c:xVal>
          <c:yVal>
            <c:numRef>
              <c:f>FASE_A!$E$14:$E$49</c:f>
              <c:numCache>
                <c:formatCode>0.00%</c:formatCode>
                <c:ptCount val="36"/>
                <c:pt idx="0">
                  <c:v>3.3999999999999998E-3</c:v>
                </c:pt>
                <c:pt idx="1">
                  <c:v>6.3999999999999994E-3</c:v>
                </c:pt>
                <c:pt idx="2">
                  <c:v>8.0999999999999996E-3</c:v>
                </c:pt>
                <c:pt idx="3">
                  <c:v>1.0699999999999999E-2</c:v>
                </c:pt>
                <c:pt idx="4">
                  <c:v>1.41E-2</c:v>
                </c:pt>
                <c:pt idx="5">
                  <c:v>1.67E-2</c:v>
                </c:pt>
                <c:pt idx="6">
                  <c:v>1.9900000000000001E-2</c:v>
                </c:pt>
                <c:pt idx="7">
                  <c:v>2.5600000000000001E-2</c:v>
                </c:pt>
                <c:pt idx="8">
                  <c:v>3.1800000000000002E-2</c:v>
                </c:pt>
                <c:pt idx="9">
                  <c:v>4.2599999999999999E-2</c:v>
                </c:pt>
                <c:pt idx="10">
                  <c:v>4.8799999999999996E-2</c:v>
                </c:pt>
                <c:pt idx="11">
                  <c:v>5.7299999999999997E-2</c:v>
                </c:pt>
                <c:pt idx="12">
                  <c:v>6.83E-2</c:v>
                </c:pt>
                <c:pt idx="13">
                  <c:v>7.6200000000000004E-2</c:v>
                </c:pt>
                <c:pt idx="14">
                  <c:v>8.9300000000000004E-2</c:v>
                </c:pt>
                <c:pt idx="15">
                  <c:v>0.10050000000000001</c:v>
                </c:pt>
                <c:pt idx="16">
                  <c:v>0.1106</c:v>
                </c:pt>
                <c:pt idx="17">
                  <c:v>0.1474</c:v>
                </c:pt>
                <c:pt idx="18">
                  <c:v>0.18990000000000001</c:v>
                </c:pt>
                <c:pt idx="19">
                  <c:v>0.22770000000000001</c:v>
                </c:pt>
                <c:pt idx="20">
                  <c:v>0.28910000000000002</c:v>
                </c:pt>
                <c:pt idx="21">
                  <c:v>0.34560000000000002</c:v>
                </c:pt>
                <c:pt idx="22">
                  <c:v>0.3851</c:v>
                </c:pt>
                <c:pt idx="23">
                  <c:v>0.44059999999999999</c:v>
                </c:pt>
                <c:pt idx="24">
                  <c:v>0.48299999999999998</c:v>
                </c:pt>
                <c:pt idx="25">
                  <c:v>0.51539999999999997</c:v>
                </c:pt>
                <c:pt idx="26">
                  <c:v>0.56519999999999992</c:v>
                </c:pt>
                <c:pt idx="27">
                  <c:v>0.61739999999999995</c:v>
                </c:pt>
                <c:pt idx="28">
                  <c:v>0.66599999999999993</c:v>
                </c:pt>
                <c:pt idx="29">
                  <c:v>0.71949999999999992</c:v>
                </c:pt>
                <c:pt idx="30">
                  <c:v>0.76839999999999997</c:v>
                </c:pt>
                <c:pt idx="31">
                  <c:v>0.82269999999999999</c:v>
                </c:pt>
                <c:pt idx="32">
                  <c:v>0.87460000000000004</c:v>
                </c:pt>
                <c:pt idx="33">
                  <c:v>0.93110000000000004</c:v>
                </c:pt>
                <c:pt idx="34">
                  <c:v>0.98170000000000002</c:v>
                </c:pt>
                <c:pt idx="3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005F-495F-B72D-DDC84AA5E9C0}"/>
            </c:ext>
          </c:extLst>
        </c:ser>
        <c:ser>
          <c:idx val="1"/>
          <c:order val="1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dLbls>
            <c:dLbl>
              <c:idx val="24"/>
              <c:layout>
                <c:manualLayout>
                  <c:x val="-1.8636084727186464E-2"/>
                  <c:y val="-2.2972621424249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005F-495F-B72D-DDC84AA5E9C0}"/>
                </c:ext>
              </c:extLst>
            </c:dLbl>
            <c:dLbl>
              <c:idx val="25"/>
              <c:layout>
                <c:manualLayout>
                  <c:x val="3.2441293834974683E-3"/>
                  <c:y val="1.35340626046512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005F-495F-B72D-DDC84AA5E9C0}"/>
                </c:ext>
              </c:extLst>
            </c:dLbl>
            <c:dLbl>
              <c:idx val="26"/>
              <c:layout>
                <c:manualLayout>
                  <c:x val="5.7687694731917679E-3"/>
                  <c:y val="8.970727101038715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005F-495F-B72D-DDC84AA5E9C0}"/>
                </c:ext>
              </c:extLst>
            </c:dLbl>
            <c:dLbl>
              <c:idx val="27"/>
              <c:layout>
                <c:manualLayout>
                  <c:x val="3.2441293834974683E-3"/>
                  <c:y val="8.970727101038715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005F-495F-B72D-DDC84AA5E9C0}"/>
                </c:ext>
              </c:extLst>
            </c:dLbl>
            <c:dLbl>
              <c:idx val="28"/>
              <c:layout>
                <c:manualLayout>
                  <c:x val="7.0244604288609302E-4"/>
                  <c:y val="1.80974002758362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005F-495F-B72D-DDC84AA5E9C0}"/>
                </c:ext>
              </c:extLst>
            </c:dLbl>
            <c:dLbl>
              <c:idx val="29"/>
              <c:layout>
                <c:manualLayout>
                  <c:x val="-1.1916610895159378E-4"/>
                  <c:y val="1.96185122925613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005F-495F-B72D-DDC84AA5E9C0}"/>
                </c:ext>
              </c:extLst>
            </c:dLbl>
            <c:dLbl>
              <c:idx val="30"/>
              <c:layout>
                <c:manualLayout>
                  <c:x val="2.3456703465617075E-3"/>
                  <c:y val="1.04918401922110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005F-495F-B72D-DDC84AA5E9C0}"/>
                </c:ext>
              </c:extLst>
            </c:dLbl>
            <c:dLbl>
              <c:idx val="31"/>
              <c:layout>
                <c:manualLayout>
                  <c:x val="-5.8704511718162449E-3"/>
                  <c:y val="2.57029603594614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005F-495F-B72D-DDC84AA5E9C0}"/>
                </c:ext>
              </c:extLst>
            </c:dLbl>
            <c:dLbl>
              <c:idx val="32"/>
              <c:layout>
                <c:manualLayout>
                  <c:x val="-8.3352876273295462E-3"/>
                  <c:y val="2.57029603594615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005F-495F-B72D-DDC84AA5E9C0}"/>
                </c:ext>
              </c:extLst>
            </c:dLbl>
            <c:dLbl>
              <c:idx val="33"/>
              <c:layout>
                <c:manualLayout>
                  <c:x val="-1.358680454779774E-2"/>
                  <c:y val="2.2660733611876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005F-495F-B72D-DDC84AA5E9C0}"/>
                </c:ext>
              </c:extLst>
            </c:dLbl>
            <c:dLbl>
              <c:idx val="34"/>
              <c:layout>
                <c:manualLayout>
                  <c:x val="-1.3586804547797988E-2"/>
                  <c:y val="1.80973981082638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005F-495F-B72D-DDC84AA5E9C0}"/>
                </c:ext>
              </c:extLst>
            </c:dLbl>
            <c:dLbl>
              <c:idx val="35"/>
              <c:layout>
                <c:manualLayout>
                  <c:x val="-1.5269897940927398E-2"/>
                  <c:y val="1.50551744391888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005F-495F-B72D-DDC84AA5E9C0}"/>
                </c:ext>
              </c:extLst>
            </c:dLbl>
            <c:dLbl>
              <c:idx val="36"/>
              <c:layout>
                <c:manualLayout>
                  <c:x val="-1.5269897940927398E-2"/>
                  <c:y val="1.80973981082638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005F-495F-B72D-DDC84AA5E9C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3-005F-495F-B72D-DDC84AA5E9C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468134431"/>
        <c:axId val="1468138591"/>
      </c:scatterChart>
      <c:valAx>
        <c:axId val="1468134431"/>
        <c:scaling>
          <c:orientation val="minMax"/>
          <c:max val="46661"/>
          <c:min val="4559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8591"/>
        <c:crossesAt val="-0.1"/>
        <c:crossBetween val="midCat"/>
        <c:majorUnit val="45"/>
        <c:minorUnit val="15"/>
      </c:valAx>
      <c:valAx>
        <c:axId val="1468138591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4431"/>
        <c:crossesAt val="44400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pt-BR" sz="1600" b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</a:rPr>
              <a:t>Avanço Mensal (Físico e Físico-Financeiro)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ysClr val="windowText" lastClr="000000"/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FASE_B!$D$13</c:f>
              <c:strCache>
                <c:ptCount val="1"/>
                <c:pt idx="0">
                  <c:v>%  AVANÇO</c:v>
                </c:pt>
              </c:strCache>
            </c:strRef>
          </c:tx>
          <c:spPr>
            <a:solidFill>
              <a:srgbClr val="255AE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FASE_B!$C$14:$C$41</c:f>
              <c:numCache>
                <c:formatCode>mmm\-yy</c:formatCode>
                <c:ptCount val="28"/>
                <c:pt idx="0">
                  <c:v>45992</c:v>
                </c:pt>
                <c:pt idx="1">
                  <c:v>46023</c:v>
                </c:pt>
                <c:pt idx="2">
                  <c:v>46054</c:v>
                </c:pt>
                <c:pt idx="3">
                  <c:v>46082</c:v>
                </c:pt>
                <c:pt idx="4">
                  <c:v>46113</c:v>
                </c:pt>
                <c:pt idx="5">
                  <c:v>46143</c:v>
                </c:pt>
                <c:pt idx="6">
                  <c:v>46174</c:v>
                </c:pt>
                <c:pt idx="7">
                  <c:v>46204</c:v>
                </c:pt>
                <c:pt idx="8">
                  <c:v>46235</c:v>
                </c:pt>
                <c:pt idx="9">
                  <c:v>46266</c:v>
                </c:pt>
                <c:pt idx="10">
                  <c:v>46296</c:v>
                </c:pt>
                <c:pt idx="11">
                  <c:v>46327</c:v>
                </c:pt>
                <c:pt idx="12">
                  <c:v>46357</c:v>
                </c:pt>
                <c:pt idx="13">
                  <c:v>46388</c:v>
                </c:pt>
                <c:pt idx="14">
                  <c:v>46419</c:v>
                </c:pt>
                <c:pt idx="15">
                  <c:v>46447</c:v>
                </c:pt>
                <c:pt idx="16">
                  <c:v>46478</c:v>
                </c:pt>
                <c:pt idx="17">
                  <c:v>46508</c:v>
                </c:pt>
                <c:pt idx="18">
                  <c:v>46539</c:v>
                </c:pt>
                <c:pt idx="19">
                  <c:v>46569</c:v>
                </c:pt>
                <c:pt idx="20">
                  <c:v>46600</c:v>
                </c:pt>
                <c:pt idx="21">
                  <c:v>46631</c:v>
                </c:pt>
                <c:pt idx="22">
                  <c:v>46661</c:v>
                </c:pt>
                <c:pt idx="23">
                  <c:v>46692</c:v>
                </c:pt>
                <c:pt idx="24">
                  <c:v>46722</c:v>
                </c:pt>
                <c:pt idx="25">
                  <c:v>46753</c:v>
                </c:pt>
                <c:pt idx="26">
                  <c:v>46784</c:v>
                </c:pt>
                <c:pt idx="27">
                  <c:v>46813</c:v>
                </c:pt>
              </c:numCache>
            </c:numRef>
          </c:cat>
          <c:val>
            <c:numRef>
              <c:f>FASE_B!$D$14:$D$41</c:f>
              <c:numCache>
                <c:formatCode>0.00%</c:formatCode>
                <c:ptCount val="28"/>
                <c:pt idx="0">
                  <c:v>3.7293571428571471E-3</c:v>
                </c:pt>
                <c:pt idx="1">
                  <c:v>4.307642857142864E-3</c:v>
                </c:pt>
                <c:pt idx="2">
                  <c:v>5.7677142857143066E-3</c:v>
                </c:pt>
                <c:pt idx="3">
                  <c:v>8.5482857142858085E-3</c:v>
                </c:pt>
                <c:pt idx="4">
                  <c:v>1.5177000000000152E-2</c:v>
                </c:pt>
                <c:pt idx="5">
                  <c:v>1.7965999999999774E-2</c:v>
                </c:pt>
                <c:pt idx="6">
                  <c:v>1.1290000000000792E-2</c:v>
                </c:pt>
                <c:pt idx="7">
                  <c:v>2.5354285714284691E-2</c:v>
                </c:pt>
                <c:pt idx="8">
                  <c:v>4.2069285714286142E-2</c:v>
                </c:pt>
                <c:pt idx="9">
                  <c:v>4.3560142857143769E-2</c:v>
                </c:pt>
                <c:pt idx="10">
                  <c:v>4.8741214285712986E-2</c:v>
                </c:pt>
                <c:pt idx="11">
                  <c:v>4.5529071428571849E-2</c:v>
                </c:pt>
                <c:pt idx="12">
                  <c:v>3.8193571428571882E-2</c:v>
                </c:pt>
                <c:pt idx="13">
                  <c:v>4.3536428571429475E-2</c:v>
                </c:pt>
                <c:pt idx="14">
                  <c:v>6.3361357142856067E-2</c:v>
                </c:pt>
                <c:pt idx="15">
                  <c:v>5.6181642857144387E-2</c:v>
                </c:pt>
                <c:pt idx="16">
                  <c:v>3.7056642857140942E-2</c:v>
                </c:pt>
                <c:pt idx="17">
                  <c:v>7.0308214285714876E-2</c:v>
                </c:pt>
                <c:pt idx="18">
                  <c:v>6.7587214285715902E-2</c:v>
                </c:pt>
                <c:pt idx="19">
                  <c:v>6.367464285714064E-2</c:v>
                </c:pt>
                <c:pt idx="20">
                  <c:v>6.329678571428643E-2</c:v>
                </c:pt>
                <c:pt idx="21">
                  <c:v>5.9357357142857503E-2</c:v>
                </c:pt>
                <c:pt idx="22">
                  <c:v>4.5087857142857124E-2</c:v>
                </c:pt>
                <c:pt idx="23">
                  <c:v>3.0854285714285057E-2</c:v>
                </c:pt>
                <c:pt idx="24">
                  <c:v>2.7289214285714292E-2</c:v>
                </c:pt>
                <c:pt idx="25">
                  <c:v>1.6252071428571324E-2</c:v>
                </c:pt>
                <c:pt idx="26">
                  <c:v>1.9102714285714195E-2</c:v>
                </c:pt>
                <c:pt idx="27">
                  <c:v>2.6820000000000288E-2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62-40AF-B93D-006AEC0DFF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"/>
        <c:overlap val="-10"/>
        <c:axId val="1603365695"/>
        <c:axId val="1603366111"/>
      </c:barChart>
      <c:dateAx>
        <c:axId val="160336569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3366111"/>
        <c:crosses val="autoZero"/>
        <c:auto val="1"/>
        <c:lblOffset val="100"/>
        <c:baseTimeUnit val="months"/>
      </c:dateAx>
      <c:valAx>
        <c:axId val="1603366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3365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pt-BR" sz="1600" b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</a:rPr>
              <a:t>Avanços</a:t>
            </a:r>
            <a:r>
              <a:rPr lang="pt-BR" sz="1600" b="0" baseline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</a:rPr>
              <a:t> Acumulados (Físico e Físico-Financeiro)</a:t>
            </a:r>
            <a:endParaRPr lang="pt-BR" sz="1600" b="0">
              <a:solidFill>
                <a:sysClr val="windowText" lastClr="000000"/>
              </a:solidFill>
              <a:latin typeface="Roboto" panose="02000000000000000000" pitchFamily="2" charset="0"/>
              <a:ea typeface="Roboto" panose="02000000000000000000" pitchFamily="2" charset="0"/>
            </a:endParaRPr>
          </a:p>
        </c:rich>
      </c:tx>
      <c:layout>
        <c:manualLayout>
          <c:xMode val="edge"/>
          <c:yMode val="edge"/>
          <c:x val="0.38018722098627711"/>
          <c:y val="1.22004363577326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ysClr val="windowText" lastClr="000000"/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1360996924366516E-2"/>
          <c:y val="7.6057832469996353E-2"/>
          <c:w val="0.95183659751772887"/>
          <c:h val="0.8237868738701384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FASE_B!$E$13</c:f>
              <c:strCache>
                <c:ptCount val="1"/>
                <c:pt idx="0">
                  <c:v>% AVANÇO Acumulado</c:v>
                </c:pt>
              </c:strCache>
            </c:strRef>
          </c:tx>
          <c:spPr>
            <a:ln w="254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1357012510423597E-2"/>
                  <c:y val="-1.8994167133248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A1A-4541-89C2-751AEC8F5949}"/>
                </c:ext>
              </c:extLst>
            </c:dLbl>
            <c:dLbl>
              <c:idx val="5"/>
              <c:layout>
                <c:manualLayout>
                  <c:x val="-2.2249585076748943E-2"/>
                  <c:y val="-1.53938070972452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A1A-4541-89C2-751AEC8F5949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5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2.7540291393316318E-2"/>
                      <c:h val="1.278581401447231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2A1A-4541-89C2-751AEC8F5949}"/>
                </c:ext>
              </c:extLst>
            </c:dLbl>
            <c:dLbl>
              <c:idx val="7"/>
              <c:layout>
                <c:manualLayout>
                  <c:x val="-2.1261164595193421E-2"/>
                  <c:y val="-1.63799546438086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A1A-4541-89C2-751AEC8F5949}"/>
                </c:ext>
              </c:extLst>
            </c:dLbl>
            <c:dLbl>
              <c:idx val="9"/>
              <c:layout>
                <c:manualLayout>
                  <c:x val="-2.3038292345351055E-2"/>
                  <c:y val="-1.45702668292062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A1A-4541-89C2-751AEC8F5949}"/>
                </c:ext>
              </c:extLst>
            </c:dLbl>
            <c:dLbl>
              <c:idx val="19"/>
              <c:layout>
                <c:manualLayout>
                  <c:x val="-2.4512291673035976E-2"/>
                  <c:y val="-1.26935370702424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A1A-4541-89C2-751AEC8F5949}"/>
                </c:ext>
              </c:extLst>
            </c:dLbl>
            <c:dLbl>
              <c:idx val="20"/>
              <c:layout>
                <c:manualLayout>
                  <c:x val="-3.0760299637313328E-2"/>
                  <c:y val="-6.3929070072361567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A1A-4541-89C2-751AEC8F5949}"/>
                </c:ext>
              </c:extLst>
            </c:dLbl>
            <c:dLbl>
              <c:idx val="21"/>
              <c:layout>
                <c:manualLayout>
                  <c:x val="-3.0760299637313394E-2"/>
                  <c:y val="-9.093177034238857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A1A-4541-89C2-751AEC8F5949}"/>
                </c:ext>
              </c:extLst>
            </c:dLbl>
            <c:dLbl>
              <c:idx val="22"/>
              <c:layout>
                <c:manualLayout>
                  <c:x val="-2.6297436805686667E-2"/>
                  <c:y val="-9.093177034238857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A1A-4541-89C2-751AEC8F5949}"/>
                </c:ext>
              </c:extLst>
            </c:dLbl>
            <c:dLbl>
              <c:idx val="23"/>
              <c:layout>
                <c:manualLayout>
                  <c:x val="-2.9867727070987983E-2"/>
                  <c:y val="-8.1930870252380234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5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2065704585890253E-2"/>
                      <c:h val="1.188572400547141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2A1A-4541-89C2-751AEC8F5949}"/>
                </c:ext>
              </c:extLst>
            </c:dLbl>
            <c:dLbl>
              <c:idx val="24"/>
              <c:layout>
                <c:manualLayout>
                  <c:x val="-3.0760299637313263E-2"/>
                  <c:y val="-9.9932670432398233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A1A-4541-89C2-751AEC8F5949}"/>
                </c:ext>
              </c:extLst>
            </c:dLbl>
            <c:dLbl>
              <c:idx val="25"/>
              <c:layout>
                <c:manualLayout>
                  <c:x val="-2.8975154504662638E-2"/>
                  <c:y val="-9.993267043239757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A1A-4541-89C2-751AEC8F5949}"/>
                </c:ext>
              </c:extLst>
            </c:dLbl>
            <c:dLbl>
              <c:idx val="26"/>
              <c:layout>
                <c:manualLayout>
                  <c:x val="-2.3619719106710697E-2"/>
                  <c:y val="-1.26935370702424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A1A-4541-89C2-751AEC8F5949}"/>
                </c:ext>
              </c:extLst>
            </c:dLbl>
            <c:dLbl>
              <c:idx val="27"/>
              <c:layout>
                <c:manualLayout>
                  <c:x val="-2.451229167303591E-2"/>
                  <c:y val="-1.44937170882442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A1A-4541-89C2-751AEC8F59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FASE_B!$C$14:$C$41</c:f>
              <c:numCache>
                <c:formatCode>mmm\-yy</c:formatCode>
                <c:ptCount val="28"/>
                <c:pt idx="0">
                  <c:v>45992</c:v>
                </c:pt>
                <c:pt idx="1">
                  <c:v>46023</c:v>
                </c:pt>
                <c:pt idx="2">
                  <c:v>46054</c:v>
                </c:pt>
                <c:pt idx="3">
                  <c:v>46082</c:v>
                </c:pt>
                <c:pt idx="4">
                  <c:v>46113</c:v>
                </c:pt>
                <c:pt idx="5">
                  <c:v>46143</c:v>
                </c:pt>
                <c:pt idx="6">
                  <c:v>46174</c:v>
                </c:pt>
                <c:pt idx="7">
                  <c:v>46204</c:v>
                </c:pt>
                <c:pt idx="8">
                  <c:v>46235</c:v>
                </c:pt>
                <c:pt idx="9">
                  <c:v>46266</c:v>
                </c:pt>
                <c:pt idx="10">
                  <c:v>46296</c:v>
                </c:pt>
                <c:pt idx="11">
                  <c:v>46327</c:v>
                </c:pt>
                <c:pt idx="12">
                  <c:v>46357</c:v>
                </c:pt>
                <c:pt idx="13">
                  <c:v>46388</c:v>
                </c:pt>
                <c:pt idx="14">
                  <c:v>46419</c:v>
                </c:pt>
                <c:pt idx="15">
                  <c:v>46447</c:v>
                </c:pt>
                <c:pt idx="16">
                  <c:v>46478</c:v>
                </c:pt>
                <c:pt idx="17">
                  <c:v>46508</c:v>
                </c:pt>
                <c:pt idx="18">
                  <c:v>46539</c:v>
                </c:pt>
                <c:pt idx="19">
                  <c:v>46569</c:v>
                </c:pt>
                <c:pt idx="20">
                  <c:v>46600</c:v>
                </c:pt>
                <c:pt idx="21">
                  <c:v>46631</c:v>
                </c:pt>
                <c:pt idx="22">
                  <c:v>46661</c:v>
                </c:pt>
                <c:pt idx="23">
                  <c:v>46692</c:v>
                </c:pt>
                <c:pt idx="24">
                  <c:v>46722</c:v>
                </c:pt>
                <c:pt idx="25">
                  <c:v>46753</c:v>
                </c:pt>
                <c:pt idx="26">
                  <c:v>46784</c:v>
                </c:pt>
                <c:pt idx="27">
                  <c:v>46813</c:v>
                </c:pt>
              </c:numCache>
            </c:numRef>
          </c:xVal>
          <c:yVal>
            <c:numRef>
              <c:f>FASE_B!$E$14:$E$41</c:f>
              <c:numCache>
                <c:formatCode>0.00%</c:formatCode>
                <c:ptCount val="28"/>
                <c:pt idx="0">
                  <c:v>3.7293571428571471E-3</c:v>
                </c:pt>
                <c:pt idx="1">
                  <c:v>8.0370000000000111E-3</c:v>
                </c:pt>
                <c:pt idx="2">
                  <c:v>1.3804714285714318E-2</c:v>
                </c:pt>
                <c:pt idx="3">
                  <c:v>2.2353000000000126E-2</c:v>
                </c:pt>
                <c:pt idx="4">
                  <c:v>3.7530000000000278E-2</c:v>
                </c:pt>
                <c:pt idx="5">
                  <c:v>5.5496000000000052E-2</c:v>
                </c:pt>
                <c:pt idx="6">
                  <c:v>6.6786000000000845E-2</c:v>
                </c:pt>
                <c:pt idx="7">
                  <c:v>9.2140285714285536E-2</c:v>
                </c:pt>
                <c:pt idx="8">
                  <c:v>0.13420957142857168</c:v>
                </c:pt>
                <c:pt idx="9">
                  <c:v>0.17776971428571545</c:v>
                </c:pt>
                <c:pt idx="10">
                  <c:v>0.22651092857142843</c:v>
                </c:pt>
                <c:pt idx="11">
                  <c:v>0.27204000000000028</c:v>
                </c:pt>
                <c:pt idx="12">
                  <c:v>0.31023357142857216</c:v>
                </c:pt>
                <c:pt idx="13">
                  <c:v>0.35377000000000164</c:v>
                </c:pt>
                <c:pt idx="14">
                  <c:v>0.41713135714285771</c:v>
                </c:pt>
                <c:pt idx="15">
                  <c:v>0.47331300000000209</c:v>
                </c:pt>
                <c:pt idx="16">
                  <c:v>0.51036964285714304</c:v>
                </c:pt>
                <c:pt idx="17">
                  <c:v>0.58067785714285791</c:v>
                </c:pt>
                <c:pt idx="18">
                  <c:v>0.64826507142857381</c:v>
                </c:pt>
                <c:pt idx="19">
                  <c:v>0.71193971428571445</c:v>
                </c:pt>
                <c:pt idx="20">
                  <c:v>0.77523650000000088</c:v>
                </c:pt>
                <c:pt idx="21">
                  <c:v>0.83459385714285839</c:v>
                </c:pt>
                <c:pt idx="22">
                  <c:v>0.87968171428571551</c:v>
                </c:pt>
                <c:pt idx="23">
                  <c:v>0.91053600000000057</c:v>
                </c:pt>
                <c:pt idx="24">
                  <c:v>0.93782521428571486</c:v>
                </c:pt>
                <c:pt idx="25">
                  <c:v>0.95407728571428618</c:v>
                </c:pt>
                <c:pt idx="26">
                  <c:v>0.97318000000000038</c:v>
                </c:pt>
                <c:pt idx="27">
                  <c:v>1.0000000000000007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2A1A-4541-89C2-751AEC8F5949}"/>
            </c:ext>
          </c:extLst>
        </c:ser>
        <c:ser>
          <c:idx val="1"/>
          <c:order val="1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dLbls>
            <c:dLbl>
              <c:idx val="24"/>
              <c:layout>
                <c:manualLayout>
                  <c:x val="-1.8636084727186464E-2"/>
                  <c:y val="-2.2972621424249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A1A-4541-89C2-751AEC8F5949}"/>
                </c:ext>
              </c:extLst>
            </c:dLbl>
            <c:dLbl>
              <c:idx val="25"/>
              <c:layout>
                <c:manualLayout>
                  <c:x val="3.2441293834974683E-3"/>
                  <c:y val="1.35340626046512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A1A-4541-89C2-751AEC8F5949}"/>
                </c:ext>
              </c:extLst>
            </c:dLbl>
            <c:dLbl>
              <c:idx val="26"/>
              <c:layout>
                <c:manualLayout>
                  <c:x val="5.7687694731917679E-3"/>
                  <c:y val="8.970727101038715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A1A-4541-89C2-751AEC8F5949}"/>
                </c:ext>
              </c:extLst>
            </c:dLbl>
            <c:dLbl>
              <c:idx val="27"/>
              <c:layout>
                <c:manualLayout>
                  <c:x val="3.2441293834974683E-3"/>
                  <c:y val="8.970727101038715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A1A-4541-89C2-751AEC8F5949}"/>
                </c:ext>
              </c:extLst>
            </c:dLbl>
            <c:dLbl>
              <c:idx val="28"/>
              <c:layout>
                <c:manualLayout>
                  <c:x val="7.0244604288609302E-4"/>
                  <c:y val="1.80974002758362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2A1A-4541-89C2-751AEC8F5949}"/>
                </c:ext>
              </c:extLst>
            </c:dLbl>
            <c:dLbl>
              <c:idx val="29"/>
              <c:layout>
                <c:manualLayout>
                  <c:x val="-1.1916610895159378E-4"/>
                  <c:y val="1.96185122925613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A1A-4541-89C2-751AEC8F5949}"/>
                </c:ext>
              </c:extLst>
            </c:dLbl>
            <c:dLbl>
              <c:idx val="30"/>
              <c:layout>
                <c:manualLayout>
                  <c:x val="2.3456703465617075E-3"/>
                  <c:y val="1.04918401922110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A1A-4541-89C2-751AEC8F5949}"/>
                </c:ext>
              </c:extLst>
            </c:dLbl>
            <c:dLbl>
              <c:idx val="31"/>
              <c:layout>
                <c:manualLayout>
                  <c:x val="-5.8704511718162449E-3"/>
                  <c:y val="2.57029603594614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2A1A-4541-89C2-751AEC8F5949}"/>
                </c:ext>
              </c:extLst>
            </c:dLbl>
            <c:dLbl>
              <c:idx val="32"/>
              <c:layout>
                <c:manualLayout>
                  <c:x val="-8.3352876273295462E-3"/>
                  <c:y val="2.57029603594615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2A1A-4541-89C2-751AEC8F5949}"/>
                </c:ext>
              </c:extLst>
            </c:dLbl>
            <c:dLbl>
              <c:idx val="33"/>
              <c:layout>
                <c:manualLayout>
                  <c:x val="-1.358680454779774E-2"/>
                  <c:y val="2.2660733611876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2A1A-4541-89C2-751AEC8F5949}"/>
                </c:ext>
              </c:extLst>
            </c:dLbl>
            <c:dLbl>
              <c:idx val="34"/>
              <c:layout>
                <c:manualLayout>
                  <c:x val="-1.3586804547797988E-2"/>
                  <c:y val="1.80973981082638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2A1A-4541-89C2-751AEC8F5949}"/>
                </c:ext>
              </c:extLst>
            </c:dLbl>
            <c:dLbl>
              <c:idx val="35"/>
              <c:layout>
                <c:manualLayout>
                  <c:x val="-1.5269897940927398E-2"/>
                  <c:y val="1.50551744391888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2A1A-4541-89C2-751AEC8F5949}"/>
                </c:ext>
              </c:extLst>
            </c:dLbl>
            <c:dLbl>
              <c:idx val="36"/>
              <c:layout>
                <c:manualLayout>
                  <c:x val="-1.5269897940927398E-2"/>
                  <c:y val="1.80973981082638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2A1A-4541-89C2-751AEC8F59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2-2A1A-4541-89C2-751AEC8F594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468134431"/>
        <c:axId val="1468138591"/>
      </c:scatterChart>
      <c:valAx>
        <c:axId val="1468134431"/>
        <c:scaling>
          <c:orientation val="minMax"/>
          <c:max val="46813"/>
          <c:min val="4599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8591"/>
        <c:crossesAt val="-0.1"/>
        <c:crossBetween val="midCat"/>
        <c:majorUnit val="45"/>
        <c:minorUnit val="15"/>
      </c:valAx>
      <c:valAx>
        <c:axId val="1468138591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4431"/>
        <c:crossesAt val="44400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pt-BR" sz="1600" b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</a:rPr>
              <a:t>Avanço Mensal (Físico e Físico-Financeiro)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ysClr val="windowText" lastClr="000000"/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FASE_C!$D$13</c:f>
              <c:strCache>
                <c:ptCount val="1"/>
                <c:pt idx="0">
                  <c:v>%  AVANÇO</c:v>
                </c:pt>
              </c:strCache>
            </c:strRef>
          </c:tx>
          <c:spPr>
            <a:solidFill>
              <a:srgbClr val="255AE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FASE_C!$C$14:$C$41</c:f>
              <c:numCache>
                <c:formatCode>mmm\-yy</c:formatCode>
                <c:ptCount val="28"/>
                <c:pt idx="0">
                  <c:v>46661</c:v>
                </c:pt>
                <c:pt idx="1">
                  <c:v>46692</c:v>
                </c:pt>
                <c:pt idx="2">
                  <c:v>46722</c:v>
                </c:pt>
                <c:pt idx="3">
                  <c:v>46753</c:v>
                </c:pt>
                <c:pt idx="4">
                  <c:v>46784</c:v>
                </c:pt>
                <c:pt idx="5">
                  <c:v>46813</c:v>
                </c:pt>
                <c:pt idx="6">
                  <c:v>46844</c:v>
                </c:pt>
                <c:pt idx="7">
                  <c:v>46874</c:v>
                </c:pt>
                <c:pt idx="8">
                  <c:v>46905</c:v>
                </c:pt>
                <c:pt idx="9">
                  <c:v>46935</c:v>
                </c:pt>
                <c:pt idx="10">
                  <c:v>46966</c:v>
                </c:pt>
                <c:pt idx="11">
                  <c:v>46997</c:v>
                </c:pt>
                <c:pt idx="12">
                  <c:v>47027</c:v>
                </c:pt>
                <c:pt idx="13">
                  <c:v>47058</c:v>
                </c:pt>
                <c:pt idx="14">
                  <c:v>47088</c:v>
                </c:pt>
                <c:pt idx="15">
                  <c:v>47119</c:v>
                </c:pt>
                <c:pt idx="16">
                  <c:v>47150</c:v>
                </c:pt>
                <c:pt idx="17">
                  <c:v>47178</c:v>
                </c:pt>
                <c:pt idx="18">
                  <c:v>47209</c:v>
                </c:pt>
                <c:pt idx="19">
                  <c:v>47239</c:v>
                </c:pt>
                <c:pt idx="20">
                  <c:v>47270</c:v>
                </c:pt>
                <c:pt idx="21">
                  <c:v>47300</c:v>
                </c:pt>
                <c:pt idx="22">
                  <c:v>47331</c:v>
                </c:pt>
                <c:pt idx="23">
                  <c:v>47362</c:v>
                </c:pt>
                <c:pt idx="24">
                  <c:v>47392</c:v>
                </c:pt>
                <c:pt idx="25">
                  <c:v>47423</c:v>
                </c:pt>
                <c:pt idx="26">
                  <c:v>47453</c:v>
                </c:pt>
                <c:pt idx="27">
                  <c:v>47484</c:v>
                </c:pt>
              </c:numCache>
            </c:numRef>
          </c:cat>
          <c:val>
            <c:numRef>
              <c:f>FASE_C!$D$14:$D$41</c:f>
              <c:numCache>
                <c:formatCode>0.00%</c:formatCode>
                <c:ptCount val="28"/>
                <c:pt idx="0">
                  <c:v>3.7293571428571471E-3</c:v>
                </c:pt>
                <c:pt idx="1">
                  <c:v>4.307642857142864E-3</c:v>
                </c:pt>
                <c:pt idx="2">
                  <c:v>5.7677142857143066E-3</c:v>
                </c:pt>
                <c:pt idx="3">
                  <c:v>8.5482857142858085E-3</c:v>
                </c:pt>
                <c:pt idx="4">
                  <c:v>1.5177000000000152E-2</c:v>
                </c:pt>
                <c:pt idx="5">
                  <c:v>1.7965999999999774E-2</c:v>
                </c:pt>
                <c:pt idx="6">
                  <c:v>1.1290000000000792E-2</c:v>
                </c:pt>
                <c:pt idx="7">
                  <c:v>2.5354285714284691E-2</c:v>
                </c:pt>
                <c:pt idx="8">
                  <c:v>4.2069285714286142E-2</c:v>
                </c:pt>
                <c:pt idx="9">
                  <c:v>4.3560142857143769E-2</c:v>
                </c:pt>
                <c:pt idx="10">
                  <c:v>4.8741214285712986E-2</c:v>
                </c:pt>
                <c:pt idx="11">
                  <c:v>4.5529071428571849E-2</c:v>
                </c:pt>
                <c:pt idx="12">
                  <c:v>3.8193571428571882E-2</c:v>
                </c:pt>
                <c:pt idx="13">
                  <c:v>4.3536428571429475E-2</c:v>
                </c:pt>
                <c:pt idx="14">
                  <c:v>6.3361357142856067E-2</c:v>
                </c:pt>
                <c:pt idx="15">
                  <c:v>5.6181642857144387E-2</c:v>
                </c:pt>
                <c:pt idx="16">
                  <c:v>3.7056642857140942E-2</c:v>
                </c:pt>
                <c:pt idx="17">
                  <c:v>7.0308214285714876E-2</c:v>
                </c:pt>
                <c:pt idx="18">
                  <c:v>6.7587214285715902E-2</c:v>
                </c:pt>
                <c:pt idx="19">
                  <c:v>6.367464285714064E-2</c:v>
                </c:pt>
                <c:pt idx="20">
                  <c:v>6.329678571428643E-2</c:v>
                </c:pt>
                <c:pt idx="21">
                  <c:v>5.9357357142857503E-2</c:v>
                </c:pt>
                <c:pt idx="22">
                  <c:v>4.5087857142857124E-2</c:v>
                </c:pt>
                <c:pt idx="23">
                  <c:v>3.0854285714285057E-2</c:v>
                </c:pt>
                <c:pt idx="24">
                  <c:v>2.7289214285714292E-2</c:v>
                </c:pt>
                <c:pt idx="25">
                  <c:v>1.6252071428571324E-2</c:v>
                </c:pt>
                <c:pt idx="26">
                  <c:v>1.9102714285714195E-2</c:v>
                </c:pt>
                <c:pt idx="27">
                  <c:v>2.6820000000000288E-2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1A-4BA7-ACA8-2D8982464D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"/>
        <c:overlap val="-10"/>
        <c:axId val="1603365695"/>
        <c:axId val="1603366111"/>
      </c:barChart>
      <c:dateAx>
        <c:axId val="160336569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3366111"/>
        <c:crosses val="autoZero"/>
        <c:auto val="1"/>
        <c:lblOffset val="100"/>
        <c:baseTimeUnit val="months"/>
      </c:dateAx>
      <c:valAx>
        <c:axId val="1603366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3365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pt-BR" sz="1600" b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</a:rPr>
              <a:t>Avanços</a:t>
            </a:r>
            <a:r>
              <a:rPr lang="pt-BR" sz="1600" b="0" baseline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</a:rPr>
              <a:t> Acumulados (Físico e Físico-Financeiro)</a:t>
            </a:r>
            <a:endParaRPr lang="pt-BR" sz="1600" b="0">
              <a:solidFill>
                <a:sysClr val="windowText" lastClr="000000"/>
              </a:solidFill>
              <a:latin typeface="Roboto" panose="02000000000000000000" pitchFamily="2" charset="0"/>
              <a:ea typeface="Roboto" panose="02000000000000000000" pitchFamily="2" charset="0"/>
            </a:endParaRPr>
          </a:p>
        </c:rich>
      </c:tx>
      <c:layout>
        <c:manualLayout>
          <c:xMode val="edge"/>
          <c:yMode val="edge"/>
          <c:x val="0.38018722098627711"/>
          <c:y val="1.22004363577326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ysClr val="windowText" lastClr="000000"/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1360996924366516E-2"/>
          <c:y val="7.6057832469996353E-2"/>
          <c:w val="0.95183659751772887"/>
          <c:h val="0.8237868738701384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FASE_C!$E$13</c:f>
              <c:strCache>
                <c:ptCount val="1"/>
                <c:pt idx="0">
                  <c:v>% AVANÇO Acumulado</c:v>
                </c:pt>
              </c:strCache>
            </c:strRef>
          </c:tx>
          <c:spPr>
            <a:ln w="254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1357012510423597E-2"/>
                  <c:y val="-1.8994167133248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6E1-4A94-B86B-2DA22D395955}"/>
                </c:ext>
              </c:extLst>
            </c:dLbl>
            <c:dLbl>
              <c:idx val="5"/>
              <c:layout>
                <c:manualLayout>
                  <c:x val="-2.2249585076748943E-2"/>
                  <c:y val="-1.53938070972452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6E1-4A94-B86B-2DA22D395955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5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2.7540291393316318E-2"/>
                      <c:h val="1.278581401447231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D6E1-4A94-B86B-2DA22D395955}"/>
                </c:ext>
              </c:extLst>
            </c:dLbl>
            <c:dLbl>
              <c:idx val="7"/>
              <c:layout>
                <c:manualLayout>
                  <c:x val="-2.1261164595193421E-2"/>
                  <c:y val="-1.63799546438086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6E1-4A94-B86B-2DA22D395955}"/>
                </c:ext>
              </c:extLst>
            </c:dLbl>
            <c:dLbl>
              <c:idx val="9"/>
              <c:layout>
                <c:manualLayout>
                  <c:x val="-2.3038292345351055E-2"/>
                  <c:y val="-1.45702668292062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6E1-4A94-B86B-2DA22D395955}"/>
                </c:ext>
              </c:extLst>
            </c:dLbl>
            <c:dLbl>
              <c:idx val="19"/>
              <c:layout>
                <c:manualLayout>
                  <c:x val="-2.4512291673035976E-2"/>
                  <c:y val="-1.26935370702424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6E1-4A94-B86B-2DA22D395955}"/>
                </c:ext>
              </c:extLst>
            </c:dLbl>
            <c:dLbl>
              <c:idx val="20"/>
              <c:layout>
                <c:manualLayout>
                  <c:x val="-3.0760299637313328E-2"/>
                  <c:y val="-6.3929070072361567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6E1-4A94-B86B-2DA22D395955}"/>
                </c:ext>
              </c:extLst>
            </c:dLbl>
            <c:dLbl>
              <c:idx val="21"/>
              <c:layout>
                <c:manualLayout>
                  <c:x val="-3.0760299637313394E-2"/>
                  <c:y val="-9.093177034238857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6E1-4A94-B86B-2DA22D395955}"/>
                </c:ext>
              </c:extLst>
            </c:dLbl>
            <c:dLbl>
              <c:idx val="22"/>
              <c:layout>
                <c:manualLayout>
                  <c:x val="-2.6297436805686667E-2"/>
                  <c:y val="-9.093177034238857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6E1-4A94-B86B-2DA22D395955}"/>
                </c:ext>
              </c:extLst>
            </c:dLbl>
            <c:dLbl>
              <c:idx val="23"/>
              <c:layout>
                <c:manualLayout>
                  <c:x val="-2.9867727070987983E-2"/>
                  <c:y val="-8.1930870252380234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5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2065704585890253E-2"/>
                      <c:h val="1.188572400547141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D6E1-4A94-B86B-2DA22D395955}"/>
                </c:ext>
              </c:extLst>
            </c:dLbl>
            <c:dLbl>
              <c:idx val="24"/>
              <c:layout>
                <c:manualLayout>
                  <c:x val="-3.0760299637313263E-2"/>
                  <c:y val="-9.9932670432398233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6E1-4A94-B86B-2DA22D395955}"/>
                </c:ext>
              </c:extLst>
            </c:dLbl>
            <c:dLbl>
              <c:idx val="25"/>
              <c:layout>
                <c:manualLayout>
                  <c:x val="-2.8975154504662638E-2"/>
                  <c:y val="-9.993267043239757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6E1-4A94-B86B-2DA22D395955}"/>
                </c:ext>
              </c:extLst>
            </c:dLbl>
            <c:dLbl>
              <c:idx val="26"/>
              <c:layout>
                <c:manualLayout>
                  <c:x val="-2.3619719106710697E-2"/>
                  <c:y val="-1.26935370702424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6E1-4A94-B86B-2DA22D395955}"/>
                </c:ext>
              </c:extLst>
            </c:dLbl>
            <c:dLbl>
              <c:idx val="27"/>
              <c:layout>
                <c:manualLayout>
                  <c:x val="-2.451229167303591E-2"/>
                  <c:y val="-1.44937170882442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6E1-4A94-B86B-2DA22D3959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FASE_C!$C$14:$C$41</c:f>
              <c:numCache>
                <c:formatCode>mmm\-yy</c:formatCode>
                <c:ptCount val="28"/>
                <c:pt idx="0">
                  <c:v>46661</c:v>
                </c:pt>
                <c:pt idx="1">
                  <c:v>46692</c:v>
                </c:pt>
                <c:pt idx="2">
                  <c:v>46722</c:v>
                </c:pt>
                <c:pt idx="3">
                  <c:v>46753</c:v>
                </c:pt>
                <c:pt idx="4">
                  <c:v>46784</c:v>
                </c:pt>
                <c:pt idx="5">
                  <c:v>46813</c:v>
                </c:pt>
                <c:pt idx="6">
                  <c:v>46844</c:v>
                </c:pt>
                <c:pt idx="7">
                  <c:v>46874</c:v>
                </c:pt>
                <c:pt idx="8">
                  <c:v>46905</c:v>
                </c:pt>
                <c:pt idx="9">
                  <c:v>46935</c:v>
                </c:pt>
                <c:pt idx="10">
                  <c:v>46966</c:v>
                </c:pt>
                <c:pt idx="11">
                  <c:v>46997</c:v>
                </c:pt>
                <c:pt idx="12">
                  <c:v>47027</c:v>
                </c:pt>
                <c:pt idx="13">
                  <c:v>47058</c:v>
                </c:pt>
                <c:pt idx="14">
                  <c:v>47088</c:v>
                </c:pt>
                <c:pt idx="15">
                  <c:v>47119</c:v>
                </c:pt>
                <c:pt idx="16">
                  <c:v>47150</c:v>
                </c:pt>
                <c:pt idx="17">
                  <c:v>47178</c:v>
                </c:pt>
                <c:pt idx="18">
                  <c:v>47209</c:v>
                </c:pt>
                <c:pt idx="19">
                  <c:v>47239</c:v>
                </c:pt>
                <c:pt idx="20">
                  <c:v>47270</c:v>
                </c:pt>
                <c:pt idx="21">
                  <c:v>47300</c:v>
                </c:pt>
                <c:pt idx="22">
                  <c:v>47331</c:v>
                </c:pt>
                <c:pt idx="23">
                  <c:v>47362</c:v>
                </c:pt>
                <c:pt idx="24">
                  <c:v>47392</c:v>
                </c:pt>
                <c:pt idx="25">
                  <c:v>47423</c:v>
                </c:pt>
                <c:pt idx="26">
                  <c:v>47453</c:v>
                </c:pt>
                <c:pt idx="27">
                  <c:v>47484</c:v>
                </c:pt>
              </c:numCache>
            </c:numRef>
          </c:xVal>
          <c:yVal>
            <c:numRef>
              <c:f>FASE_C!$E$14:$E$41</c:f>
              <c:numCache>
                <c:formatCode>0.00%</c:formatCode>
                <c:ptCount val="28"/>
                <c:pt idx="0">
                  <c:v>3.7293571428571471E-3</c:v>
                </c:pt>
                <c:pt idx="1">
                  <c:v>8.0370000000000111E-3</c:v>
                </c:pt>
                <c:pt idx="2">
                  <c:v>1.3804714285714318E-2</c:v>
                </c:pt>
                <c:pt idx="3">
                  <c:v>2.2353000000000126E-2</c:v>
                </c:pt>
                <c:pt idx="4">
                  <c:v>3.7530000000000278E-2</c:v>
                </c:pt>
                <c:pt idx="5">
                  <c:v>5.5496000000000052E-2</c:v>
                </c:pt>
                <c:pt idx="6">
                  <c:v>6.6786000000000845E-2</c:v>
                </c:pt>
                <c:pt idx="7">
                  <c:v>9.2140285714285536E-2</c:v>
                </c:pt>
                <c:pt idx="8">
                  <c:v>0.13420957142857168</c:v>
                </c:pt>
                <c:pt idx="9">
                  <c:v>0.17776971428571545</c:v>
                </c:pt>
                <c:pt idx="10">
                  <c:v>0.22651092857142843</c:v>
                </c:pt>
                <c:pt idx="11">
                  <c:v>0.27204000000000028</c:v>
                </c:pt>
                <c:pt idx="12">
                  <c:v>0.31023357142857216</c:v>
                </c:pt>
                <c:pt idx="13">
                  <c:v>0.35377000000000164</c:v>
                </c:pt>
                <c:pt idx="14">
                  <c:v>0.41713135714285771</c:v>
                </c:pt>
                <c:pt idx="15">
                  <c:v>0.47331300000000209</c:v>
                </c:pt>
                <c:pt idx="16">
                  <c:v>0.51036964285714304</c:v>
                </c:pt>
                <c:pt idx="17">
                  <c:v>0.58067785714285791</c:v>
                </c:pt>
                <c:pt idx="18">
                  <c:v>0.64826507142857381</c:v>
                </c:pt>
                <c:pt idx="19">
                  <c:v>0.71193971428571445</c:v>
                </c:pt>
                <c:pt idx="20">
                  <c:v>0.77523650000000088</c:v>
                </c:pt>
                <c:pt idx="21">
                  <c:v>0.83459385714285839</c:v>
                </c:pt>
                <c:pt idx="22">
                  <c:v>0.87968171428571551</c:v>
                </c:pt>
                <c:pt idx="23">
                  <c:v>0.91053600000000057</c:v>
                </c:pt>
                <c:pt idx="24">
                  <c:v>0.93782521428571486</c:v>
                </c:pt>
                <c:pt idx="25">
                  <c:v>0.95407728571428618</c:v>
                </c:pt>
                <c:pt idx="26">
                  <c:v>0.97318000000000038</c:v>
                </c:pt>
                <c:pt idx="27">
                  <c:v>1.0000000000000007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D6E1-4A94-B86B-2DA22D395955}"/>
            </c:ext>
          </c:extLst>
        </c:ser>
        <c:ser>
          <c:idx val="1"/>
          <c:order val="1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dLbls>
            <c:dLbl>
              <c:idx val="24"/>
              <c:layout>
                <c:manualLayout>
                  <c:x val="-1.8636084727186464E-2"/>
                  <c:y val="-2.2972621424249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D6E1-4A94-B86B-2DA22D395955}"/>
                </c:ext>
              </c:extLst>
            </c:dLbl>
            <c:dLbl>
              <c:idx val="25"/>
              <c:layout>
                <c:manualLayout>
                  <c:x val="3.2441293834974683E-3"/>
                  <c:y val="1.35340626046512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6E1-4A94-B86B-2DA22D395955}"/>
                </c:ext>
              </c:extLst>
            </c:dLbl>
            <c:dLbl>
              <c:idx val="26"/>
              <c:layout>
                <c:manualLayout>
                  <c:x val="5.7687694731917679E-3"/>
                  <c:y val="8.970727101038715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6E1-4A94-B86B-2DA22D395955}"/>
                </c:ext>
              </c:extLst>
            </c:dLbl>
            <c:dLbl>
              <c:idx val="27"/>
              <c:layout>
                <c:manualLayout>
                  <c:x val="3.2441293834974683E-3"/>
                  <c:y val="8.970727101038715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6E1-4A94-B86B-2DA22D395955}"/>
                </c:ext>
              </c:extLst>
            </c:dLbl>
            <c:dLbl>
              <c:idx val="28"/>
              <c:layout>
                <c:manualLayout>
                  <c:x val="7.0244604288609302E-4"/>
                  <c:y val="1.80974002758362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D6E1-4A94-B86B-2DA22D395955}"/>
                </c:ext>
              </c:extLst>
            </c:dLbl>
            <c:dLbl>
              <c:idx val="29"/>
              <c:layout>
                <c:manualLayout>
                  <c:x val="-1.1916610895159378E-4"/>
                  <c:y val="1.96185122925613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D6E1-4A94-B86B-2DA22D395955}"/>
                </c:ext>
              </c:extLst>
            </c:dLbl>
            <c:dLbl>
              <c:idx val="30"/>
              <c:layout>
                <c:manualLayout>
                  <c:x val="2.3456703465617075E-3"/>
                  <c:y val="1.04918401922110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6E1-4A94-B86B-2DA22D395955}"/>
                </c:ext>
              </c:extLst>
            </c:dLbl>
            <c:dLbl>
              <c:idx val="31"/>
              <c:layout>
                <c:manualLayout>
                  <c:x val="-5.8704511718162449E-3"/>
                  <c:y val="2.57029603594614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D6E1-4A94-B86B-2DA22D395955}"/>
                </c:ext>
              </c:extLst>
            </c:dLbl>
            <c:dLbl>
              <c:idx val="32"/>
              <c:layout>
                <c:manualLayout>
                  <c:x val="-8.3352876273295462E-3"/>
                  <c:y val="2.57029603594615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D6E1-4A94-B86B-2DA22D395955}"/>
                </c:ext>
              </c:extLst>
            </c:dLbl>
            <c:dLbl>
              <c:idx val="33"/>
              <c:layout>
                <c:manualLayout>
                  <c:x val="-1.358680454779774E-2"/>
                  <c:y val="2.2660733611876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D6E1-4A94-B86B-2DA22D395955}"/>
                </c:ext>
              </c:extLst>
            </c:dLbl>
            <c:dLbl>
              <c:idx val="34"/>
              <c:layout>
                <c:manualLayout>
                  <c:x val="-1.3586804547797988E-2"/>
                  <c:y val="1.80973981082638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D6E1-4A94-B86B-2DA22D395955}"/>
                </c:ext>
              </c:extLst>
            </c:dLbl>
            <c:dLbl>
              <c:idx val="35"/>
              <c:layout>
                <c:manualLayout>
                  <c:x val="-1.5269897940927398E-2"/>
                  <c:y val="1.50551744391888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D6E1-4A94-B86B-2DA22D395955}"/>
                </c:ext>
              </c:extLst>
            </c:dLbl>
            <c:dLbl>
              <c:idx val="36"/>
              <c:layout>
                <c:manualLayout>
                  <c:x val="-1.5269897940927398E-2"/>
                  <c:y val="1.80973981082638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D6E1-4A94-B86B-2DA22D3959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C-D6E1-4A94-B86B-2DA22D39595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468134431"/>
        <c:axId val="1468138591"/>
      </c:scatterChart>
      <c:valAx>
        <c:axId val="1468134431"/>
        <c:scaling>
          <c:orientation val="minMax"/>
          <c:max val="47484"/>
          <c:min val="4666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8591"/>
        <c:crossesAt val="-0.1"/>
        <c:crossBetween val="midCat"/>
        <c:majorUnit val="45"/>
        <c:minorUnit val="15"/>
      </c:valAx>
      <c:valAx>
        <c:axId val="1468138591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4431"/>
        <c:crossesAt val="44400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pt-BR" sz="1600" b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</a:rPr>
              <a:t>Avanço Mensal (Físico e Físico-Financeiro)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ysClr val="windowText" lastClr="000000"/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TOTAL_OBRA!$D$13</c:f>
              <c:strCache>
                <c:ptCount val="1"/>
                <c:pt idx="0">
                  <c:v>%  AVANÇO</c:v>
                </c:pt>
              </c:strCache>
            </c:strRef>
          </c:tx>
          <c:spPr>
            <a:solidFill>
              <a:srgbClr val="255AE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TOTAL_OBRA!$C$14:$C$76</c:f>
              <c:numCache>
                <c:formatCode>mmm\-yy</c:formatCode>
                <c:ptCount val="63"/>
                <c:pt idx="0">
                  <c:v>45597</c:v>
                </c:pt>
                <c:pt idx="1">
                  <c:v>45627</c:v>
                </c:pt>
                <c:pt idx="2">
                  <c:v>45658</c:v>
                </c:pt>
                <c:pt idx="3">
                  <c:v>45689</c:v>
                </c:pt>
                <c:pt idx="4">
                  <c:v>45717</c:v>
                </c:pt>
                <c:pt idx="5">
                  <c:v>45748</c:v>
                </c:pt>
                <c:pt idx="6">
                  <c:v>45778</c:v>
                </c:pt>
                <c:pt idx="7">
                  <c:v>45809</c:v>
                </c:pt>
                <c:pt idx="8">
                  <c:v>45839</c:v>
                </c:pt>
                <c:pt idx="9">
                  <c:v>45870</c:v>
                </c:pt>
                <c:pt idx="10">
                  <c:v>45901</c:v>
                </c:pt>
                <c:pt idx="11">
                  <c:v>45931</c:v>
                </c:pt>
                <c:pt idx="12">
                  <c:v>45962</c:v>
                </c:pt>
                <c:pt idx="13">
                  <c:v>45992</c:v>
                </c:pt>
                <c:pt idx="14">
                  <c:v>46023</c:v>
                </c:pt>
                <c:pt idx="15">
                  <c:v>46054</c:v>
                </c:pt>
                <c:pt idx="16">
                  <c:v>46082</c:v>
                </c:pt>
                <c:pt idx="17">
                  <c:v>46113</c:v>
                </c:pt>
                <c:pt idx="18">
                  <c:v>46143</c:v>
                </c:pt>
                <c:pt idx="19">
                  <c:v>46174</c:v>
                </c:pt>
                <c:pt idx="20">
                  <c:v>46204</c:v>
                </c:pt>
                <c:pt idx="21">
                  <c:v>46235</c:v>
                </c:pt>
                <c:pt idx="22">
                  <c:v>46266</c:v>
                </c:pt>
                <c:pt idx="23">
                  <c:v>46296</c:v>
                </c:pt>
                <c:pt idx="24">
                  <c:v>46327</c:v>
                </c:pt>
                <c:pt idx="25">
                  <c:v>46357</c:v>
                </c:pt>
                <c:pt idx="26">
                  <c:v>46388</c:v>
                </c:pt>
                <c:pt idx="27">
                  <c:v>46419</c:v>
                </c:pt>
                <c:pt idx="28">
                  <c:v>46447</c:v>
                </c:pt>
                <c:pt idx="29">
                  <c:v>46478</c:v>
                </c:pt>
                <c:pt idx="30">
                  <c:v>46508</c:v>
                </c:pt>
                <c:pt idx="31">
                  <c:v>46539</c:v>
                </c:pt>
                <c:pt idx="32">
                  <c:v>46569</c:v>
                </c:pt>
                <c:pt idx="33">
                  <c:v>46600</c:v>
                </c:pt>
                <c:pt idx="34">
                  <c:v>46631</c:v>
                </c:pt>
                <c:pt idx="35">
                  <c:v>46661</c:v>
                </c:pt>
                <c:pt idx="36">
                  <c:v>46692</c:v>
                </c:pt>
                <c:pt idx="37">
                  <c:v>46722</c:v>
                </c:pt>
                <c:pt idx="38">
                  <c:v>46753</c:v>
                </c:pt>
                <c:pt idx="39">
                  <c:v>46784</c:v>
                </c:pt>
                <c:pt idx="40">
                  <c:v>46813</c:v>
                </c:pt>
                <c:pt idx="41">
                  <c:v>46844</c:v>
                </c:pt>
                <c:pt idx="42">
                  <c:v>46874</c:v>
                </c:pt>
                <c:pt idx="43">
                  <c:v>46905</c:v>
                </c:pt>
                <c:pt idx="44">
                  <c:v>46935</c:v>
                </c:pt>
                <c:pt idx="45">
                  <c:v>46966</c:v>
                </c:pt>
                <c:pt idx="46">
                  <c:v>46997</c:v>
                </c:pt>
                <c:pt idx="47">
                  <c:v>47027</c:v>
                </c:pt>
                <c:pt idx="48">
                  <c:v>47058</c:v>
                </c:pt>
                <c:pt idx="49">
                  <c:v>47088</c:v>
                </c:pt>
                <c:pt idx="50">
                  <c:v>47119</c:v>
                </c:pt>
                <c:pt idx="51">
                  <c:v>47150</c:v>
                </c:pt>
                <c:pt idx="52">
                  <c:v>47178</c:v>
                </c:pt>
                <c:pt idx="53">
                  <c:v>47209</c:v>
                </c:pt>
                <c:pt idx="54">
                  <c:v>47239</c:v>
                </c:pt>
                <c:pt idx="55">
                  <c:v>47270</c:v>
                </c:pt>
                <c:pt idx="56">
                  <c:v>47300</c:v>
                </c:pt>
                <c:pt idx="57">
                  <c:v>47331</c:v>
                </c:pt>
                <c:pt idx="58">
                  <c:v>47362</c:v>
                </c:pt>
                <c:pt idx="59">
                  <c:v>47392</c:v>
                </c:pt>
                <c:pt idx="60">
                  <c:v>47423</c:v>
                </c:pt>
                <c:pt idx="61">
                  <c:v>47453</c:v>
                </c:pt>
                <c:pt idx="62">
                  <c:v>47484</c:v>
                </c:pt>
              </c:numCache>
            </c:numRef>
          </c:cat>
          <c:val>
            <c:numRef>
              <c:f>TOTAL_OBRA!$D$14:$D$76</c:f>
              <c:numCache>
                <c:formatCode>0.00%</c:formatCode>
                <c:ptCount val="63"/>
                <c:pt idx="0">
                  <c:v>1.0557666521205462E-3</c:v>
                </c:pt>
                <c:pt idx="1">
                  <c:v>9.3155881069459953E-4</c:v>
                </c:pt>
                <c:pt idx="2">
                  <c:v>5.2788332606027312E-4</c:v>
                </c:pt>
                <c:pt idx="3">
                  <c:v>8.0735096926865294E-4</c:v>
                </c:pt>
                <c:pt idx="4">
                  <c:v>1.0557666521205462E-3</c:v>
                </c:pt>
                <c:pt idx="5">
                  <c:v>8.0735096926865294E-4</c:v>
                </c:pt>
                <c:pt idx="6">
                  <c:v>9.9366273140757294E-4</c:v>
                </c:pt>
                <c:pt idx="7">
                  <c:v>1.7699617403197393E-3</c:v>
                </c:pt>
                <c:pt idx="8">
                  <c:v>1.9252215421021724E-3</c:v>
                </c:pt>
                <c:pt idx="9">
                  <c:v>3.3536117185005584E-3</c:v>
                </c:pt>
                <c:pt idx="10">
                  <c:v>1.9252215421021724E-3</c:v>
                </c:pt>
                <c:pt idx="11">
                  <c:v>2.6394166303013653E-3</c:v>
                </c:pt>
                <c:pt idx="12">
                  <c:v>3.4157156392135317E-3</c:v>
                </c:pt>
                <c:pt idx="13">
                  <c:v>3.6206401101081505E-3</c:v>
                </c:pt>
                <c:pt idx="14">
                  <c:v>5.416383693486437E-3</c:v>
                </c:pt>
                <c:pt idx="15">
                  <c:v>5.2834952933281257E-3</c:v>
                </c:pt>
                <c:pt idx="16">
                  <c:v>5.8124263418536434E-3</c:v>
                </c:pt>
                <c:pt idx="17">
                  <c:v>1.6178525390006526E-2</c:v>
                </c:pt>
                <c:pt idx="18">
                  <c:v>1.8821628442636042E-2</c:v>
                </c:pt>
                <c:pt idx="19">
                  <c:v>1.5272157119441597E-2</c:v>
                </c:pt>
                <c:pt idx="20">
                  <c:v>2.7003470636742456E-2</c:v>
                </c:pt>
                <c:pt idx="21">
                  <c:v>3.0714824197510957E-2</c:v>
                </c:pt>
                <c:pt idx="22">
                  <c:v>2.5902727746582407E-2</c:v>
                </c:pt>
                <c:pt idx="23">
                  <c:v>3.2493059154180409E-2</c:v>
                </c:pt>
                <c:pt idx="24">
                  <c:v>2.7419639357300997E-2</c:v>
                </c:pt>
                <c:pt idx="25">
                  <c:v>2.2017947051860574E-2</c:v>
                </c:pt>
                <c:pt idx="26">
                  <c:v>2.9093655524702798E-2</c:v>
                </c:pt>
                <c:pt idx="27">
                  <c:v>3.6045415355368683E-2</c:v>
                </c:pt>
                <c:pt idx="28">
                  <c:v>3.2679819736484102E-2</c:v>
                </c:pt>
                <c:pt idx="29">
                  <c:v>2.8213976909789253E-2</c:v>
                </c:pt>
                <c:pt idx="30">
                  <c:v>3.7195526035474505E-2</c:v>
                </c:pt>
                <c:pt idx="31">
                  <c:v>3.8020479076225563E-2</c:v>
                </c:pt>
                <c:pt idx="32">
                  <c:v>3.6050338606496556E-2</c:v>
                </c:pt>
                <c:pt idx="33">
                  <c:v>3.7360434526323628E-2</c:v>
                </c:pt>
                <c:pt idx="34">
                  <c:v>3.4295067383538116E-2</c:v>
                </c:pt>
                <c:pt idx="35">
                  <c:v>2.120177108147563E-2</c:v>
                </c:pt>
                <c:pt idx="36">
                  <c:v>1.1280888865871887E-2</c:v>
                </c:pt>
                <c:pt idx="37">
                  <c:v>1.0714377690172694E-2</c:v>
                </c:pt>
                <c:pt idx="38">
                  <c:v>8.3056694598155172E-3</c:v>
                </c:pt>
                <c:pt idx="39">
                  <c:v>1.1693251980705468E-2</c:v>
                </c:pt>
                <c:pt idx="40">
                  <c:v>1.5159091922895674E-2</c:v>
                </c:pt>
                <c:pt idx="41">
                  <c:v>4.2497175710635602E-3</c:v>
                </c:pt>
                <c:pt idx="42">
                  <c:v>9.5437159877549953E-3</c:v>
                </c:pt>
                <c:pt idx="43">
                  <c:v>1.5835481195932907E-2</c:v>
                </c:pt>
                <c:pt idx="44">
                  <c:v>1.6396661160144349E-2</c:v>
                </c:pt>
                <c:pt idx="45">
                  <c:v>1.8346890592112856E-2</c:v>
                </c:pt>
                <c:pt idx="46">
                  <c:v>1.7137794051744561E-2</c:v>
                </c:pt>
                <c:pt idx="47">
                  <c:v>1.4376606873486422E-2</c:v>
                </c:pt>
                <c:pt idx="48">
                  <c:v>1.6387734763626614E-2</c:v>
                </c:pt>
                <c:pt idx="49">
                  <c:v>2.385012159224182E-2</c:v>
                </c:pt>
                <c:pt idx="50">
                  <c:v>2.1147574386289399E-2</c:v>
                </c:pt>
                <c:pt idx="51">
                  <c:v>1.3948650688627794E-2</c:v>
                </c:pt>
                <c:pt idx="52">
                  <c:v>2.6465018037208465E-2</c:v>
                </c:pt>
                <c:pt idx="53">
                  <c:v>2.5440794697008398E-2</c:v>
                </c:pt>
                <c:pt idx="54">
                  <c:v>2.3968046818526878E-2</c:v>
                </c:pt>
                <c:pt idx="55">
                  <c:v>2.3825815982447221E-2</c:v>
                </c:pt>
                <c:pt idx="56">
                  <c:v>2.2342958691043312E-2</c:v>
                </c:pt>
                <c:pt idx="57">
                  <c:v>1.6971714680388852E-2</c:v>
                </c:pt>
                <c:pt idx="58">
                  <c:v>1.1613994698193393E-2</c:v>
                </c:pt>
                <c:pt idx="59">
                  <c:v>1.0272050792782162E-2</c:v>
                </c:pt>
                <c:pt idx="60">
                  <c:v>6.1175122689260198E-3</c:v>
                </c:pt>
                <c:pt idx="61">
                  <c:v>7.1905350358725251E-3</c:v>
                </c:pt>
                <c:pt idx="62">
                  <c:v>1.0095431820719036E-2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3A-4522-805E-356CB858C46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"/>
        <c:overlap val="-10"/>
        <c:axId val="1603365695"/>
        <c:axId val="1603366111"/>
      </c:barChart>
      <c:dateAx>
        <c:axId val="160336569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3366111"/>
        <c:crosses val="autoZero"/>
        <c:auto val="1"/>
        <c:lblOffset val="100"/>
        <c:baseTimeUnit val="months"/>
      </c:dateAx>
      <c:valAx>
        <c:axId val="1603366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3365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pt-BR" sz="1600" b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</a:rPr>
              <a:t>Avanços</a:t>
            </a:r>
            <a:r>
              <a:rPr lang="pt-BR" sz="1600" b="0" baseline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</a:rPr>
              <a:t> Acumulados (Físico e Físico-Financeiro)</a:t>
            </a:r>
            <a:endParaRPr lang="pt-BR" sz="1600" b="0">
              <a:solidFill>
                <a:sysClr val="windowText" lastClr="000000"/>
              </a:solidFill>
              <a:latin typeface="Roboto" panose="02000000000000000000" pitchFamily="2" charset="0"/>
              <a:ea typeface="Roboto" panose="02000000000000000000" pitchFamily="2" charset="0"/>
            </a:endParaRPr>
          </a:p>
        </c:rich>
      </c:tx>
      <c:layout>
        <c:manualLayout>
          <c:xMode val="edge"/>
          <c:yMode val="edge"/>
          <c:x val="0.38018722098627711"/>
          <c:y val="1.22004363577326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ysClr val="windowText" lastClr="000000"/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1360996924366516E-2"/>
          <c:y val="7.6057832469996353E-2"/>
          <c:w val="0.95183659751772887"/>
          <c:h val="0.8237868738701384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TOTAL_OBRA!$E$13</c:f>
              <c:strCache>
                <c:ptCount val="1"/>
                <c:pt idx="0">
                  <c:v>% AVANÇO Acumulado</c:v>
                </c:pt>
              </c:strCache>
            </c:strRef>
          </c:tx>
          <c:spPr>
            <a:ln w="254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xVal>
            <c:numRef>
              <c:f>TOTAL_OBRA!$C$14:$C$76</c:f>
              <c:numCache>
                <c:formatCode>mmm\-yy</c:formatCode>
                <c:ptCount val="63"/>
                <c:pt idx="0">
                  <c:v>45597</c:v>
                </c:pt>
                <c:pt idx="1">
                  <c:v>45627</c:v>
                </c:pt>
                <c:pt idx="2">
                  <c:v>45658</c:v>
                </c:pt>
                <c:pt idx="3">
                  <c:v>45689</c:v>
                </c:pt>
                <c:pt idx="4">
                  <c:v>45717</c:v>
                </c:pt>
                <c:pt idx="5">
                  <c:v>45748</c:v>
                </c:pt>
                <c:pt idx="6">
                  <c:v>45778</c:v>
                </c:pt>
                <c:pt idx="7">
                  <c:v>45809</c:v>
                </c:pt>
                <c:pt idx="8">
                  <c:v>45839</c:v>
                </c:pt>
                <c:pt idx="9">
                  <c:v>45870</c:v>
                </c:pt>
                <c:pt idx="10">
                  <c:v>45901</c:v>
                </c:pt>
                <c:pt idx="11">
                  <c:v>45931</c:v>
                </c:pt>
                <c:pt idx="12">
                  <c:v>45962</c:v>
                </c:pt>
                <c:pt idx="13">
                  <c:v>45992</c:v>
                </c:pt>
                <c:pt idx="14">
                  <c:v>46023</c:v>
                </c:pt>
                <c:pt idx="15">
                  <c:v>46054</c:v>
                </c:pt>
                <c:pt idx="16">
                  <c:v>46082</c:v>
                </c:pt>
                <c:pt idx="17">
                  <c:v>46113</c:v>
                </c:pt>
                <c:pt idx="18">
                  <c:v>46143</c:v>
                </c:pt>
                <c:pt idx="19">
                  <c:v>46174</c:v>
                </c:pt>
                <c:pt idx="20">
                  <c:v>46204</c:v>
                </c:pt>
                <c:pt idx="21">
                  <c:v>46235</c:v>
                </c:pt>
                <c:pt idx="22">
                  <c:v>46266</c:v>
                </c:pt>
                <c:pt idx="23">
                  <c:v>46296</c:v>
                </c:pt>
                <c:pt idx="24">
                  <c:v>46327</c:v>
                </c:pt>
                <c:pt idx="25">
                  <c:v>46357</c:v>
                </c:pt>
                <c:pt idx="26">
                  <c:v>46388</c:v>
                </c:pt>
                <c:pt idx="27">
                  <c:v>46419</c:v>
                </c:pt>
                <c:pt idx="28">
                  <c:v>46447</c:v>
                </c:pt>
                <c:pt idx="29">
                  <c:v>46478</c:v>
                </c:pt>
                <c:pt idx="30">
                  <c:v>46508</c:v>
                </c:pt>
                <c:pt idx="31">
                  <c:v>46539</c:v>
                </c:pt>
                <c:pt idx="32">
                  <c:v>46569</c:v>
                </c:pt>
                <c:pt idx="33">
                  <c:v>46600</c:v>
                </c:pt>
                <c:pt idx="34">
                  <c:v>46631</c:v>
                </c:pt>
                <c:pt idx="35">
                  <c:v>46661</c:v>
                </c:pt>
                <c:pt idx="36">
                  <c:v>46692</c:v>
                </c:pt>
                <c:pt idx="37">
                  <c:v>46722</c:v>
                </c:pt>
                <c:pt idx="38">
                  <c:v>46753</c:v>
                </c:pt>
                <c:pt idx="39">
                  <c:v>46784</c:v>
                </c:pt>
                <c:pt idx="40">
                  <c:v>46813</c:v>
                </c:pt>
                <c:pt idx="41">
                  <c:v>46844</c:v>
                </c:pt>
                <c:pt idx="42">
                  <c:v>46874</c:v>
                </c:pt>
                <c:pt idx="43">
                  <c:v>46905</c:v>
                </c:pt>
                <c:pt idx="44">
                  <c:v>46935</c:v>
                </c:pt>
                <c:pt idx="45">
                  <c:v>46966</c:v>
                </c:pt>
                <c:pt idx="46">
                  <c:v>46997</c:v>
                </c:pt>
                <c:pt idx="47">
                  <c:v>47027</c:v>
                </c:pt>
                <c:pt idx="48">
                  <c:v>47058</c:v>
                </c:pt>
                <c:pt idx="49">
                  <c:v>47088</c:v>
                </c:pt>
                <c:pt idx="50">
                  <c:v>47119</c:v>
                </c:pt>
                <c:pt idx="51">
                  <c:v>47150</c:v>
                </c:pt>
                <c:pt idx="52">
                  <c:v>47178</c:v>
                </c:pt>
                <c:pt idx="53">
                  <c:v>47209</c:v>
                </c:pt>
                <c:pt idx="54">
                  <c:v>47239</c:v>
                </c:pt>
                <c:pt idx="55">
                  <c:v>47270</c:v>
                </c:pt>
                <c:pt idx="56">
                  <c:v>47300</c:v>
                </c:pt>
                <c:pt idx="57">
                  <c:v>47331</c:v>
                </c:pt>
                <c:pt idx="58">
                  <c:v>47362</c:v>
                </c:pt>
                <c:pt idx="59">
                  <c:v>47392</c:v>
                </c:pt>
                <c:pt idx="60">
                  <c:v>47423</c:v>
                </c:pt>
                <c:pt idx="61">
                  <c:v>47453</c:v>
                </c:pt>
                <c:pt idx="62">
                  <c:v>47484</c:v>
                </c:pt>
              </c:numCache>
            </c:numRef>
          </c:xVal>
          <c:yVal>
            <c:numRef>
              <c:f>TOTAL_OBRA!$E$14:$E$76</c:f>
              <c:numCache>
                <c:formatCode>0.00%</c:formatCode>
                <c:ptCount val="63"/>
                <c:pt idx="0">
                  <c:v>1.0557666521205462E-3</c:v>
                </c:pt>
                <c:pt idx="1">
                  <c:v>1.9873254628151459E-3</c:v>
                </c:pt>
                <c:pt idx="2">
                  <c:v>2.5152087888754191E-3</c:v>
                </c:pt>
                <c:pt idx="3">
                  <c:v>3.3225597581440719E-3</c:v>
                </c:pt>
                <c:pt idx="4">
                  <c:v>4.3783264102646184E-3</c:v>
                </c:pt>
                <c:pt idx="5">
                  <c:v>5.1856773795332716E-3</c:v>
                </c:pt>
                <c:pt idx="6">
                  <c:v>6.1793401109408444E-3</c:v>
                </c:pt>
                <c:pt idx="7">
                  <c:v>7.9493018512605835E-3</c:v>
                </c:pt>
                <c:pt idx="8">
                  <c:v>9.8745233933627552E-3</c:v>
                </c:pt>
                <c:pt idx="9">
                  <c:v>1.3228135111863314E-2</c:v>
                </c:pt>
                <c:pt idx="10">
                  <c:v>1.5153356653965486E-2</c:v>
                </c:pt>
                <c:pt idx="11">
                  <c:v>1.7792773284266851E-2</c:v>
                </c:pt>
                <c:pt idx="12">
                  <c:v>2.1208488923480383E-2</c:v>
                </c:pt>
                <c:pt idx="13">
                  <c:v>2.4829129033588533E-2</c:v>
                </c:pt>
                <c:pt idx="14">
                  <c:v>3.0245512727074972E-2</c:v>
                </c:pt>
                <c:pt idx="15">
                  <c:v>3.5529008020403097E-2</c:v>
                </c:pt>
                <c:pt idx="16">
                  <c:v>4.1341434362256742E-2</c:v>
                </c:pt>
                <c:pt idx="17">
                  <c:v>5.7519959752263268E-2</c:v>
                </c:pt>
                <c:pt idx="18">
                  <c:v>7.6341588194899307E-2</c:v>
                </c:pt>
                <c:pt idx="19">
                  <c:v>9.1613745314340911E-2</c:v>
                </c:pt>
                <c:pt idx="20">
                  <c:v>0.11861721595108336</c:v>
                </c:pt>
                <c:pt idx="21">
                  <c:v>0.14933204014859433</c:v>
                </c:pt>
                <c:pt idx="22">
                  <c:v>0.17523476789517672</c:v>
                </c:pt>
                <c:pt idx="23">
                  <c:v>0.20772782704935713</c:v>
                </c:pt>
                <c:pt idx="24">
                  <c:v>0.23514746640665812</c:v>
                </c:pt>
                <c:pt idx="25">
                  <c:v>0.25716541345851868</c:v>
                </c:pt>
                <c:pt idx="26">
                  <c:v>0.28625906898322145</c:v>
                </c:pt>
                <c:pt idx="27">
                  <c:v>0.32230448433859016</c:v>
                </c:pt>
                <c:pt idx="28">
                  <c:v>0.35498430407507425</c:v>
                </c:pt>
                <c:pt idx="29">
                  <c:v>0.38319828098486353</c:v>
                </c:pt>
                <c:pt idx="30">
                  <c:v>0.42039380702033802</c:v>
                </c:pt>
                <c:pt idx="31">
                  <c:v>0.45841428609656359</c:v>
                </c:pt>
                <c:pt idx="32">
                  <c:v>0.49446462470306013</c:v>
                </c:pt>
                <c:pt idx="33">
                  <c:v>0.53182505922938372</c:v>
                </c:pt>
                <c:pt idx="34">
                  <c:v>0.56612012661292188</c:v>
                </c:pt>
                <c:pt idx="35">
                  <c:v>0.58732189769439747</c:v>
                </c:pt>
                <c:pt idx="36">
                  <c:v>0.59860278656026933</c:v>
                </c:pt>
                <c:pt idx="37">
                  <c:v>0.60931716425044202</c:v>
                </c:pt>
                <c:pt idx="38">
                  <c:v>0.6176228337102575</c:v>
                </c:pt>
                <c:pt idx="39">
                  <c:v>0.62931608569096298</c:v>
                </c:pt>
                <c:pt idx="40">
                  <c:v>0.64447517761385864</c:v>
                </c:pt>
                <c:pt idx="41">
                  <c:v>0.64872489518492216</c:v>
                </c:pt>
                <c:pt idx="42">
                  <c:v>0.6582686111726771</c:v>
                </c:pt>
                <c:pt idx="43">
                  <c:v>0.67410409236861002</c:v>
                </c:pt>
                <c:pt idx="44">
                  <c:v>0.6905007535287544</c:v>
                </c:pt>
                <c:pt idx="45">
                  <c:v>0.7088476441208672</c:v>
                </c:pt>
                <c:pt idx="46">
                  <c:v>0.72598543817261174</c:v>
                </c:pt>
                <c:pt idx="47">
                  <c:v>0.74036204504609815</c:v>
                </c:pt>
                <c:pt idx="48">
                  <c:v>0.7567497798097248</c:v>
                </c:pt>
                <c:pt idx="49">
                  <c:v>0.78059990140196667</c:v>
                </c:pt>
                <c:pt idx="50">
                  <c:v>0.80174747578825611</c:v>
                </c:pt>
                <c:pt idx="51">
                  <c:v>0.81569612647688394</c:v>
                </c:pt>
                <c:pt idx="52">
                  <c:v>0.84216114451409241</c:v>
                </c:pt>
                <c:pt idx="53">
                  <c:v>0.86760193921110085</c:v>
                </c:pt>
                <c:pt idx="54">
                  <c:v>0.89156998602962778</c:v>
                </c:pt>
                <c:pt idx="55">
                  <c:v>0.91539580201207504</c:v>
                </c:pt>
                <c:pt idx="56">
                  <c:v>0.93773876070311835</c:v>
                </c:pt>
                <c:pt idx="57">
                  <c:v>0.95471047538350717</c:v>
                </c:pt>
                <c:pt idx="58">
                  <c:v>0.96632447008170053</c:v>
                </c:pt>
                <c:pt idx="59">
                  <c:v>0.97659652087448268</c:v>
                </c:pt>
                <c:pt idx="60">
                  <c:v>0.98271403314340866</c:v>
                </c:pt>
                <c:pt idx="61">
                  <c:v>0.98990456817928119</c:v>
                </c:pt>
                <c:pt idx="62" formatCode="0.0000%">
                  <c:v>1.0000000000000002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2937-4CDE-AE25-5CA8844DE78D}"/>
            </c:ext>
          </c:extLst>
        </c:ser>
        <c:ser>
          <c:idx val="1"/>
          <c:order val="1"/>
          <c:tx>
            <c:strRef>
              <c:f>TOTAL_OBRA!$C$13</c:f>
              <c:strCache>
                <c:ptCount val="1"/>
                <c:pt idx="0">
                  <c:v>Mês/Ano</c:v>
                </c:pt>
              </c:strCache>
            </c:strRef>
          </c:tx>
          <c:spPr>
            <a:ln w="254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xVal>
            <c:numRef>
              <c:f>TOTAL_OBRA!$C$14:$C$76</c:f>
              <c:numCache>
                <c:formatCode>mmm\-yy</c:formatCode>
                <c:ptCount val="63"/>
                <c:pt idx="0">
                  <c:v>45597</c:v>
                </c:pt>
                <c:pt idx="1">
                  <c:v>45627</c:v>
                </c:pt>
                <c:pt idx="2">
                  <c:v>45658</c:v>
                </c:pt>
                <c:pt idx="3">
                  <c:v>45689</c:v>
                </c:pt>
                <c:pt idx="4">
                  <c:v>45717</c:v>
                </c:pt>
                <c:pt idx="5">
                  <c:v>45748</c:v>
                </c:pt>
                <c:pt idx="6">
                  <c:v>45778</c:v>
                </c:pt>
                <c:pt idx="7">
                  <c:v>45809</c:v>
                </c:pt>
                <c:pt idx="8">
                  <c:v>45839</c:v>
                </c:pt>
                <c:pt idx="9">
                  <c:v>45870</c:v>
                </c:pt>
                <c:pt idx="10">
                  <c:v>45901</c:v>
                </c:pt>
                <c:pt idx="11">
                  <c:v>45931</c:v>
                </c:pt>
                <c:pt idx="12">
                  <c:v>45962</c:v>
                </c:pt>
                <c:pt idx="13">
                  <c:v>45992</c:v>
                </c:pt>
                <c:pt idx="14">
                  <c:v>46023</c:v>
                </c:pt>
                <c:pt idx="15">
                  <c:v>46054</c:v>
                </c:pt>
                <c:pt idx="16">
                  <c:v>46082</c:v>
                </c:pt>
                <c:pt idx="17">
                  <c:v>46113</c:v>
                </c:pt>
                <c:pt idx="18">
                  <c:v>46143</c:v>
                </c:pt>
                <c:pt idx="19">
                  <c:v>46174</c:v>
                </c:pt>
                <c:pt idx="20">
                  <c:v>46204</c:v>
                </c:pt>
                <c:pt idx="21">
                  <c:v>46235</c:v>
                </c:pt>
                <c:pt idx="22">
                  <c:v>46266</c:v>
                </c:pt>
                <c:pt idx="23">
                  <c:v>46296</c:v>
                </c:pt>
                <c:pt idx="24">
                  <c:v>46327</c:v>
                </c:pt>
                <c:pt idx="25">
                  <c:v>46357</c:v>
                </c:pt>
                <c:pt idx="26">
                  <c:v>46388</c:v>
                </c:pt>
                <c:pt idx="27">
                  <c:v>46419</c:v>
                </c:pt>
                <c:pt idx="28">
                  <c:v>46447</c:v>
                </c:pt>
                <c:pt idx="29">
                  <c:v>46478</c:v>
                </c:pt>
                <c:pt idx="30">
                  <c:v>46508</c:v>
                </c:pt>
                <c:pt idx="31">
                  <c:v>46539</c:v>
                </c:pt>
                <c:pt idx="32">
                  <c:v>46569</c:v>
                </c:pt>
                <c:pt idx="33">
                  <c:v>46600</c:v>
                </c:pt>
                <c:pt idx="34">
                  <c:v>46631</c:v>
                </c:pt>
                <c:pt idx="35">
                  <c:v>46661</c:v>
                </c:pt>
                <c:pt idx="36">
                  <c:v>46692</c:v>
                </c:pt>
                <c:pt idx="37">
                  <c:v>46722</c:v>
                </c:pt>
                <c:pt idx="38">
                  <c:v>46753</c:v>
                </c:pt>
                <c:pt idx="39">
                  <c:v>46784</c:v>
                </c:pt>
                <c:pt idx="40">
                  <c:v>46813</c:v>
                </c:pt>
                <c:pt idx="41">
                  <c:v>46844</c:v>
                </c:pt>
                <c:pt idx="42">
                  <c:v>46874</c:v>
                </c:pt>
                <c:pt idx="43">
                  <c:v>46905</c:v>
                </c:pt>
                <c:pt idx="44">
                  <c:v>46935</c:v>
                </c:pt>
                <c:pt idx="45">
                  <c:v>46966</c:v>
                </c:pt>
                <c:pt idx="46">
                  <c:v>46997</c:v>
                </c:pt>
                <c:pt idx="47">
                  <c:v>47027</c:v>
                </c:pt>
                <c:pt idx="48">
                  <c:v>47058</c:v>
                </c:pt>
                <c:pt idx="49">
                  <c:v>47088</c:v>
                </c:pt>
                <c:pt idx="50">
                  <c:v>47119</c:v>
                </c:pt>
                <c:pt idx="51">
                  <c:v>47150</c:v>
                </c:pt>
                <c:pt idx="52">
                  <c:v>47178</c:v>
                </c:pt>
                <c:pt idx="53">
                  <c:v>47209</c:v>
                </c:pt>
                <c:pt idx="54">
                  <c:v>47239</c:v>
                </c:pt>
                <c:pt idx="55">
                  <c:v>47270</c:v>
                </c:pt>
                <c:pt idx="56">
                  <c:v>47300</c:v>
                </c:pt>
                <c:pt idx="57">
                  <c:v>47331</c:v>
                </c:pt>
                <c:pt idx="58">
                  <c:v>47362</c:v>
                </c:pt>
                <c:pt idx="59">
                  <c:v>47392</c:v>
                </c:pt>
                <c:pt idx="60">
                  <c:v>47423</c:v>
                </c:pt>
                <c:pt idx="61">
                  <c:v>47453</c:v>
                </c:pt>
                <c:pt idx="62">
                  <c:v>47484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3-2937-4CDE-AE25-5CA8844DE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8134431"/>
        <c:axId val="1468138591"/>
      </c:scatterChart>
      <c:valAx>
        <c:axId val="1468134431"/>
        <c:scaling>
          <c:orientation val="minMax"/>
          <c:max val="47484"/>
          <c:min val="4556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8591"/>
        <c:crossesAt val="-0.1"/>
        <c:crossBetween val="midCat"/>
        <c:majorUnit val="45"/>
        <c:minorUnit val="15"/>
      </c:valAx>
      <c:valAx>
        <c:axId val="1468138591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4431"/>
        <c:crossesAt val="44400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pt-BR" sz="1600" b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</a:rPr>
              <a:t>Avanço Mensal (Físico e Físico-Financeiro)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ysClr val="windowText" lastClr="000000"/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FASE A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'FASE A,B,C'!$C$10:$C$72</c:f>
              <c:numCache>
                <c:formatCode>mmm\-yy</c:formatCode>
                <c:ptCount val="63"/>
                <c:pt idx="0">
                  <c:v>45597</c:v>
                </c:pt>
                <c:pt idx="1">
                  <c:v>45627</c:v>
                </c:pt>
                <c:pt idx="2">
                  <c:v>45658</c:v>
                </c:pt>
                <c:pt idx="3">
                  <c:v>45689</c:v>
                </c:pt>
                <c:pt idx="4">
                  <c:v>45717</c:v>
                </c:pt>
                <c:pt idx="5">
                  <c:v>45748</c:v>
                </c:pt>
                <c:pt idx="6">
                  <c:v>45778</c:v>
                </c:pt>
                <c:pt idx="7">
                  <c:v>45809</c:v>
                </c:pt>
                <c:pt idx="8">
                  <c:v>45839</c:v>
                </c:pt>
                <c:pt idx="9">
                  <c:v>45870</c:v>
                </c:pt>
                <c:pt idx="10">
                  <c:v>45901</c:v>
                </c:pt>
                <c:pt idx="11">
                  <c:v>45931</c:v>
                </c:pt>
                <c:pt idx="12">
                  <c:v>45962</c:v>
                </c:pt>
                <c:pt idx="13">
                  <c:v>45992</c:v>
                </c:pt>
                <c:pt idx="14">
                  <c:v>46023</c:v>
                </c:pt>
                <c:pt idx="15">
                  <c:v>46054</c:v>
                </c:pt>
                <c:pt idx="16">
                  <c:v>46082</c:v>
                </c:pt>
                <c:pt idx="17">
                  <c:v>46113</c:v>
                </c:pt>
                <c:pt idx="18">
                  <c:v>46143</c:v>
                </c:pt>
                <c:pt idx="19">
                  <c:v>46174</c:v>
                </c:pt>
                <c:pt idx="20">
                  <c:v>46204</c:v>
                </c:pt>
                <c:pt idx="21">
                  <c:v>46235</c:v>
                </c:pt>
                <c:pt idx="22">
                  <c:v>46266</c:v>
                </c:pt>
                <c:pt idx="23">
                  <c:v>46296</c:v>
                </c:pt>
                <c:pt idx="24">
                  <c:v>46327</c:v>
                </c:pt>
                <c:pt idx="25">
                  <c:v>46357</c:v>
                </c:pt>
                <c:pt idx="26">
                  <c:v>46388</c:v>
                </c:pt>
                <c:pt idx="27">
                  <c:v>46419</c:v>
                </c:pt>
                <c:pt idx="28">
                  <c:v>46447</c:v>
                </c:pt>
                <c:pt idx="29">
                  <c:v>46478</c:v>
                </c:pt>
                <c:pt idx="30">
                  <c:v>46508</c:v>
                </c:pt>
                <c:pt idx="31">
                  <c:v>46539</c:v>
                </c:pt>
                <c:pt idx="32">
                  <c:v>46569</c:v>
                </c:pt>
                <c:pt idx="33">
                  <c:v>46600</c:v>
                </c:pt>
                <c:pt idx="34">
                  <c:v>46631</c:v>
                </c:pt>
                <c:pt idx="35">
                  <c:v>46661</c:v>
                </c:pt>
                <c:pt idx="36">
                  <c:v>46692</c:v>
                </c:pt>
                <c:pt idx="37">
                  <c:v>46722</c:v>
                </c:pt>
                <c:pt idx="38">
                  <c:v>46753</c:v>
                </c:pt>
                <c:pt idx="39">
                  <c:v>46784</c:v>
                </c:pt>
                <c:pt idx="40">
                  <c:v>46813</c:v>
                </c:pt>
                <c:pt idx="41">
                  <c:v>46844</c:v>
                </c:pt>
                <c:pt idx="42">
                  <c:v>46874</c:v>
                </c:pt>
                <c:pt idx="43">
                  <c:v>46905</c:v>
                </c:pt>
                <c:pt idx="44">
                  <c:v>46935</c:v>
                </c:pt>
                <c:pt idx="45">
                  <c:v>46966</c:v>
                </c:pt>
                <c:pt idx="46">
                  <c:v>46997</c:v>
                </c:pt>
                <c:pt idx="47">
                  <c:v>47027</c:v>
                </c:pt>
                <c:pt idx="48">
                  <c:v>47058</c:v>
                </c:pt>
                <c:pt idx="49">
                  <c:v>47088</c:v>
                </c:pt>
                <c:pt idx="50">
                  <c:v>47119</c:v>
                </c:pt>
                <c:pt idx="51">
                  <c:v>47150</c:v>
                </c:pt>
                <c:pt idx="52">
                  <c:v>47178</c:v>
                </c:pt>
                <c:pt idx="53">
                  <c:v>47209</c:v>
                </c:pt>
                <c:pt idx="54">
                  <c:v>47239</c:v>
                </c:pt>
                <c:pt idx="55">
                  <c:v>47270</c:v>
                </c:pt>
                <c:pt idx="56">
                  <c:v>47300</c:v>
                </c:pt>
                <c:pt idx="57">
                  <c:v>47331</c:v>
                </c:pt>
                <c:pt idx="58">
                  <c:v>47362</c:v>
                </c:pt>
                <c:pt idx="59">
                  <c:v>47392</c:v>
                </c:pt>
                <c:pt idx="60">
                  <c:v>47423</c:v>
                </c:pt>
                <c:pt idx="61">
                  <c:v>47453</c:v>
                </c:pt>
                <c:pt idx="62">
                  <c:v>47484</c:v>
                </c:pt>
              </c:numCache>
            </c:numRef>
          </c:cat>
          <c:val>
            <c:numRef>
              <c:f>'FASE A,B,C'!$D$10:$D$72</c:f>
              <c:numCache>
                <c:formatCode>0.00%</c:formatCode>
                <c:ptCount val="63"/>
                <c:pt idx="0">
                  <c:v>3.3999999999999998E-3</c:v>
                </c:pt>
                <c:pt idx="1">
                  <c:v>3.0000000000000001E-3</c:v>
                </c:pt>
                <c:pt idx="2">
                  <c:v>1.6999999999999999E-3</c:v>
                </c:pt>
                <c:pt idx="3">
                  <c:v>2.5999999999999999E-3</c:v>
                </c:pt>
                <c:pt idx="4">
                  <c:v>3.3999999999999998E-3</c:v>
                </c:pt>
                <c:pt idx="5">
                  <c:v>2.5999999999999999E-3</c:v>
                </c:pt>
                <c:pt idx="6">
                  <c:v>3.2000000000000002E-3</c:v>
                </c:pt>
                <c:pt idx="7">
                  <c:v>5.7000000000000002E-3</c:v>
                </c:pt>
                <c:pt idx="8">
                  <c:v>6.1999999999999998E-3</c:v>
                </c:pt>
                <c:pt idx="9">
                  <c:v>1.0800000000000001E-2</c:v>
                </c:pt>
                <c:pt idx="10">
                  <c:v>6.1999999999999998E-3</c:v>
                </c:pt>
                <c:pt idx="11">
                  <c:v>8.5000000000000006E-3</c:v>
                </c:pt>
                <c:pt idx="12">
                  <c:v>1.0999999999999999E-2</c:v>
                </c:pt>
                <c:pt idx="13">
                  <c:v>7.9000000000000008E-3</c:v>
                </c:pt>
                <c:pt idx="14">
                  <c:v>1.3100000000000001E-2</c:v>
                </c:pt>
                <c:pt idx="15">
                  <c:v>1.12E-2</c:v>
                </c:pt>
                <c:pt idx="16">
                  <c:v>1.01E-2</c:v>
                </c:pt>
                <c:pt idx="17">
                  <c:v>3.6799999999999999E-2</c:v>
                </c:pt>
                <c:pt idx="18">
                  <c:v>4.2500000000000003E-2</c:v>
                </c:pt>
                <c:pt idx="19">
                  <c:v>3.78E-2</c:v>
                </c:pt>
                <c:pt idx="20">
                  <c:v>6.1400000000000003E-2</c:v>
                </c:pt>
                <c:pt idx="21">
                  <c:v>5.6500000000000002E-2</c:v>
                </c:pt>
                <c:pt idx="22">
                  <c:v>3.95E-2</c:v>
                </c:pt>
                <c:pt idx="23">
                  <c:v>5.5500000000000001E-2</c:v>
                </c:pt>
                <c:pt idx="24">
                  <c:v>4.24E-2</c:v>
                </c:pt>
                <c:pt idx="25">
                  <c:v>3.2399999999999998E-2</c:v>
                </c:pt>
                <c:pt idx="26">
                  <c:v>4.9799999999999997E-2</c:v>
                </c:pt>
                <c:pt idx="27">
                  <c:v>5.2200000000000003E-2</c:v>
                </c:pt>
                <c:pt idx="28">
                  <c:v>4.8599999999999997E-2</c:v>
                </c:pt>
                <c:pt idx="29">
                  <c:v>5.3499999999999999E-2</c:v>
                </c:pt>
                <c:pt idx="30">
                  <c:v>4.8899999999999999E-2</c:v>
                </c:pt>
                <c:pt idx="31">
                  <c:v>5.4300000000000001E-2</c:v>
                </c:pt>
                <c:pt idx="32">
                  <c:v>5.1900000000000002E-2</c:v>
                </c:pt>
                <c:pt idx="33">
                  <c:v>5.6500000000000002E-2</c:v>
                </c:pt>
                <c:pt idx="34">
                  <c:v>5.0599999999999999E-2</c:v>
                </c:pt>
                <c:pt idx="35">
                  <c:v>1.83E-2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9C-46A7-A8AA-367A7623B5FB}"/>
            </c:ext>
          </c:extLst>
        </c:ser>
        <c:ser>
          <c:idx val="2"/>
          <c:order val="2"/>
          <c:tx>
            <c:v>FASE B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'FASE A,B,C'!$C$10:$C$72</c:f>
              <c:numCache>
                <c:formatCode>mmm\-yy</c:formatCode>
                <c:ptCount val="63"/>
                <c:pt idx="0">
                  <c:v>45597</c:v>
                </c:pt>
                <c:pt idx="1">
                  <c:v>45627</c:v>
                </c:pt>
                <c:pt idx="2">
                  <c:v>45658</c:v>
                </c:pt>
                <c:pt idx="3">
                  <c:v>45689</c:v>
                </c:pt>
                <c:pt idx="4">
                  <c:v>45717</c:v>
                </c:pt>
                <c:pt idx="5">
                  <c:v>45748</c:v>
                </c:pt>
                <c:pt idx="6">
                  <c:v>45778</c:v>
                </c:pt>
                <c:pt idx="7">
                  <c:v>45809</c:v>
                </c:pt>
                <c:pt idx="8">
                  <c:v>45839</c:v>
                </c:pt>
                <c:pt idx="9">
                  <c:v>45870</c:v>
                </c:pt>
                <c:pt idx="10">
                  <c:v>45901</c:v>
                </c:pt>
                <c:pt idx="11">
                  <c:v>45931</c:v>
                </c:pt>
                <c:pt idx="12">
                  <c:v>45962</c:v>
                </c:pt>
                <c:pt idx="13">
                  <c:v>45992</c:v>
                </c:pt>
                <c:pt idx="14">
                  <c:v>46023</c:v>
                </c:pt>
                <c:pt idx="15">
                  <c:v>46054</c:v>
                </c:pt>
                <c:pt idx="16">
                  <c:v>46082</c:v>
                </c:pt>
                <c:pt idx="17">
                  <c:v>46113</c:v>
                </c:pt>
                <c:pt idx="18">
                  <c:v>46143</c:v>
                </c:pt>
                <c:pt idx="19">
                  <c:v>46174</c:v>
                </c:pt>
                <c:pt idx="20">
                  <c:v>46204</c:v>
                </c:pt>
                <c:pt idx="21">
                  <c:v>46235</c:v>
                </c:pt>
                <c:pt idx="22">
                  <c:v>46266</c:v>
                </c:pt>
                <c:pt idx="23">
                  <c:v>46296</c:v>
                </c:pt>
                <c:pt idx="24">
                  <c:v>46327</c:v>
                </c:pt>
                <c:pt idx="25">
                  <c:v>46357</c:v>
                </c:pt>
                <c:pt idx="26">
                  <c:v>46388</c:v>
                </c:pt>
                <c:pt idx="27">
                  <c:v>46419</c:v>
                </c:pt>
                <c:pt idx="28">
                  <c:v>46447</c:v>
                </c:pt>
                <c:pt idx="29">
                  <c:v>46478</c:v>
                </c:pt>
                <c:pt idx="30">
                  <c:v>46508</c:v>
                </c:pt>
                <c:pt idx="31">
                  <c:v>46539</c:v>
                </c:pt>
                <c:pt idx="32">
                  <c:v>46569</c:v>
                </c:pt>
                <c:pt idx="33">
                  <c:v>46600</c:v>
                </c:pt>
                <c:pt idx="34">
                  <c:v>46631</c:v>
                </c:pt>
                <c:pt idx="35">
                  <c:v>46661</c:v>
                </c:pt>
                <c:pt idx="36">
                  <c:v>46692</c:v>
                </c:pt>
                <c:pt idx="37">
                  <c:v>46722</c:v>
                </c:pt>
                <c:pt idx="38">
                  <c:v>46753</c:v>
                </c:pt>
                <c:pt idx="39">
                  <c:v>46784</c:v>
                </c:pt>
                <c:pt idx="40">
                  <c:v>46813</c:v>
                </c:pt>
                <c:pt idx="41">
                  <c:v>46844</c:v>
                </c:pt>
                <c:pt idx="42">
                  <c:v>46874</c:v>
                </c:pt>
                <c:pt idx="43">
                  <c:v>46905</c:v>
                </c:pt>
                <c:pt idx="44">
                  <c:v>46935</c:v>
                </c:pt>
                <c:pt idx="45">
                  <c:v>46966</c:v>
                </c:pt>
                <c:pt idx="46">
                  <c:v>46997</c:v>
                </c:pt>
                <c:pt idx="47">
                  <c:v>47027</c:v>
                </c:pt>
                <c:pt idx="48">
                  <c:v>47058</c:v>
                </c:pt>
                <c:pt idx="49">
                  <c:v>47088</c:v>
                </c:pt>
                <c:pt idx="50">
                  <c:v>47119</c:v>
                </c:pt>
                <c:pt idx="51">
                  <c:v>47150</c:v>
                </c:pt>
                <c:pt idx="52">
                  <c:v>47178</c:v>
                </c:pt>
                <c:pt idx="53">
                  <c:v>47209</c:v>
                </c:pt>
                <c:pt idx="54">
                  <c:v>47239</c:v>
                </c:pt>
                <c:pt idx="55">
                  <c:v>47270</c:v>
                </c:pt>
                <c:pt idx="56">
                  <c:v>47300</c:v>
                </c:pt>
                <c:pt idx="57">
                  <c:v>47331</c:v>
                </c:pt>
                <c:pt idx="58">
                  <c:v>47362</c:v>
                </c:pt>
                <c:pt idx="59">
                  <c:v>47392</c:v>
                </c:pt>
                <c:pt idx="60">
                  <c:v>47423</c:v>
                </c:pt>
                <c:pt idx="61">
                  <c:v>47453</c:v>
                </c:pt>
                <c:pt idx="62">
                  <c:v>47484</c:v>
                </c:pt>
              </c:numCache>
            </c:numRef>
          </c:cat>
          <c:val>
            <c:numRef>
              <c:f>'FASE A,B,C'!$F$10:$F$72</c:f>
              <c:numCache>
                <c:formatCode>0.00%</c:formatCode>
                <c:ptCount val="63"/>
                <c:pt idx="13">
                  <c:v>3.7293571428571471E-3</c:v>
                </c:pt>
                <c:pt idx="14">
                  <c:v>4.307642857142864E-3</c:v>
                </c:pt>
                <c:pt idx="15">
                  <c:v>5.7677142857143066E-3</c:v>
                </c:pt>
                <c:pt idx="16">
                  <c:v>8.5482857142858085E-3</c:v>
                </c:pt>
                <c:pt idx="17">
                  <c:v>1.5177000000000152E-2</c:v>
                </c:pt>
                <c:pt idx="18">
                  <c:v>1.7965999999999774E-2</c:v>
                </c:pt>
                <c:pt idx="19">
                  <c:v>1.1290000000000792E-2</c:v>
                </c:pt>
                <c:pt idx="20">
                  <c:v>2.5354285714284691E-2</c:v>
                </c:pt>
                <c:pt idx="21">
                  <c:v>4.2069285714286142E-2</c:v>
                </c:pt>
                <c:pt idx="22">
                  <c:v>4.3560142857143769E-2</c:v>
                </c:pt>
                <c:pt idx="23">
                  <c:v>4.8741214285712986E-2</c:v>
                </c:pt>
                <c:pt idx="24">
                  <c:v>4.5529071428571849E-2</c:v>
                </c:pt>
                <c:pt idx="25">
                  <c:v>3.8193571428571882E-2</c:v>
                </c:pt>
                <c:pt idx="26">
                  <c:v>4.3536428571429475E-2</c:v>
                </c:pt>
                <c:pt idx="27">
                  <c:v>6.3361357142856067E-2</c:v>
                </c:pt>
                <c:pt idx="28">
                  <c:v>5.6181642857144387E-2</c:v>
                </c:pt>
                <c:pt idx="29">
                  <c:v>3.7056642857140942E-2</c:v>
                </c:pt>
                <c:pt idx="30">
                  <c:v>7.0308214285714876E-2</c:v>
                </c:pt>
                <c:pt idx="31">
                  <c:v>6.7587214285715902E-2</c:v>
                </c:pt>
                <c:pt idx="32">
                  <c:v>6.367464285714064E-2</c:v>
                </c:pt>
                <c:pt idx="33">
                  <c:v>6.329678571428643E-2</c:v>
                </c:pt>
                <c:pt idx="34">
                  <c:v>5.9357357142857503E-2</c:v>
                </c:pt>
                <c:pt idx="35">
                  <c:v>4.5087857142857124E-2</c:v>
                </c:pt>
                <c:pt idx="36">
                  <c:v>3.0854285714285057E-2</c:v>
                </c:pt>
                <c:pt idx="37">
                  <c:v>2.7289214285714292E-2</c:v>
                </c:pt>
                <c:pt idx="38">
                  <c:v>1.6252071428571324E-2</c:v>
                </c:pt>
                <c:pt idx="39">
                  <c:v>1.9102714285714195E-2</c:v>
                </c:pt>
                <c:pt idx="40">
                  <c:v>2.6820000000000288E-2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9C-46A7-A8AA-367A7623B5FB}"/>
            </c:ext>
          </c:extLst>
        </c:ser>
        <c:ser>
          <c:idx val="4"/>
          <c:order val="4"/>
          <c:tx>
            <c:v>FASE C</c:v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'FASE A,B,C'!$C$10:$C$72</c:f>
              <c:numCache>
                <c:formatCode>mmm\-yy</c:formatCode>
                <c:ptCount val="63"/>
                <c:pt idx="0">
                  <c:v>45597</c:v>
                </c:pt>
                <c:pt idx="1">
                  <c:v>45627</c:v>
                </c:pt>
                <c:pt idx="2">
                  <c:v>45658</c:v>
                </c:pt>
                <c:pt idx="3">
                  <c:v>45689</c:v>
                </c:pt>
                <c:pt idx="4">
                  <c:v>45717</c:v>
                </c:pt>
                <c:pt idx="5">
                  <c:v>45748</c:v>
                </c:pt>
                <c:pt idx="6">
                  <c:v>45778</c:v>
                </c:pt>
                <c:pt idx="7">
                  <c:v>45809</c:v>
                </c:pt>
                <c:pt idx="8">
                  <c:v>45839</c:v>
                </c:pt>
                <c:pt idx="9">
                  <c:v>45870</c:v>
                </c:pt>
                <c:pt idx="10">
                  <c:v>45901</c:v>
                </c:pt>
                <c:pt idx="11">
                  <c:v>45931</c:v>
                </c:pt>
                <c:pt idx="12">
                  <c:v>45962</c:v>
                </c:pt>
                <c:pt idx="13">
                  <c:v>45992</c:v>
                </c:pt>
                <c:pt idx="14">
                  <c:v>46023</c:v>
                </c:pt>
                <c:pt idx="15">
                  <c:v>46054</c:v>
                </c:pt>
                <c:pt idx="16">
                  <c:v>46082</c:v>
                </c:pt>
                <c:pt idx="17">
                  <c:v>46113</c:v>
                </c:pt>
                <c:pt idx="18">
                  <c:v>46143</c:v>
                </c:pt>
                <c:pt idx="19">
                  <c:v>46174</c:v>
                </c:pt>
                <c:pt idx="20">
                  <c:v>46204</c:v>
                </c:pt>
                <c:pt idx="21">
                  <c:v>46235</c:v>
                </c:pt>
                <c:pt idx="22">
                  <c:v>46266</c:v>
                </c:pt>
                <c:pt idx="23">
                  <c:v>46296</c:v>
                </c:pt>
                <c:pt idx="24">
                  <c:v>46327</c:v>
                </c:pt>
                <c:pt idx="25">
                  <c:v>46357</c:v>
                </c:pt>
                <c:pt idx="26">
                  <c:v>46388</c:v>
                </c:pt>
                <c:pt idx="27">
                  <c:v>46419</c:v>
                </c:pt>
                <c:pt idx="28">
                  <c:v>46447</c:v>
                </c:pt>
                <c:pt idx="29">
                  <c:v>46478</c:v>
                </c:pt>
                <c:pt idx="30">
                  <c:v>46508</c:v>
                </c:pt>
                <c:pt idx="31">
                  <c:v>46539</c:v>
                </c:pt>
                <c:pt idx="32">
                  <c:v>46569</c:v>
                </c:pt>
                <c:pt idx="33">
                  <c:v>46600</c:v>
                </c:pt>
                <c:pt idx="34">
                  <c:v>46631</c:v>
                </c:pt>
                <c:pt idx="35">
                  <c:v>46661</c:v>
                </c:pt>
                <c:pt idx="36">
                  <c:v>46692</c:v>
                </c:pt>
                <c:pt idx="37">
                  <c:v>46722</c:v>
                </c:pt>
                <c:pt idx="38">
                  <c:v>46753</c:v>
                </c:pt>
                <c:pt idx="39">
                  <c:v>46784</c:v>
                </c:pt>
                <c:pt idx="40">
                  <c:v>46813</c:v>
                </c:pt>
                <c:pt idx="41">
                  <c:v>46844</c:v>
                </c:pt>
                <c:pt idx="42">
                  <c:v>46874</c:v>
                </c:pt>
                <c:pt idx="43">
                  <c:v>46905</c:v>
                </c:pt>
                <c:pt idx="44">
                  <c:v>46935</c:v>
                </c:pt>
                <c:pt idx="45">
                  <c:v>46966</c:v>
                </c:pt>
                <c:pt idx="46">
                  <c:v>46997</c:v>
                </c:pt>
                <c:pt idx="47">
                  <c:v>47027</c:v>
                </c:pt>
                <c:pt idx="48">
                  <c:v>47058</c:v>
                </c:pt>
                <c:pt idx="49">
                  <c:v>47088</c:v>
                </c:pt>
                <c:pt idx="50">
                  <c:v>47119</c:v>
                </c:pt>
                <c:pt idx="51">
                  <c:v>47150</c:v>
                </c:pt>
                <c:pt idx="52">
                  <c:v>47178</c:v>
                </c:pt>
                <c:pt idx="53">
                  <c:v>47209</c:v>
                </c:pt>
                <c:pt idx="54">
                  <c:v>47239</c:v>
                </c:pt>
                <c:pt idx="55">
                  <c:v>47270</c:v>
                </c:pt>
                <c:pt idx="56">
                  <c:v>47300</c:v>
                </c:pt>
                <c:pt idx="57">
                  <c:v>47331</c:v>
                </c:pt>
                <c:pt idx="58">
                  <c:v>47362</c:v>
                </c:pt>
                <c:pt idx="59">
                  <c:v>47392</c:v>
                </c:pt>
                <c:pt idx="60">
                  <c:v>47423</c:v>
                </c:pt>
                <c:pt idx="61">
                  <c:v>47453</c:v>
                </c:pt>
                <c:pt idx="62">
                  <c:v>47484</c:v>
                </c:pt>
              </c:numCache>
            </c:numRef>
          </c:cat>
          <c:val>
            <c:numRef>
              <c:f>'FASE A,B,C'!$H$10:$H$72</c:f>
              <c:numCache>
                <c:formatCode>0.00%</c:formatCode>
                <c:ptCount val="63"/>
                <c:pt idx="35">
                  <c:v>3.7293571428571471E-3</c:v>
                </c:pt>
                <c:pt idx="36">
                  <c:v>4.307642857142864E-3</c:v>
                </c:pt>
                <c:pt idx="37">
                  <c:v>5.7677142857143066E-3</c:v>
                </c:pt>
                <c:pt idx="38">
                  <c:v>8.5482857142858085E-3</c:v>
                </c:pt>
                <c:pt idx="39">
                  <c:v>1.5177000000000152E-2</c:v>
                </c:pt>
                <c:pt idx="40">
                  <c:v>1.7965999999999774E-2</c:v>
                </c:pt>
                <c:pt idx="41">
                  <c:v>1.1290000000000792E-2</c:v>
                </c:pt>
                <c:pt idx="42">
                  <c:v>2.5354285714284691E-2</c:v>
                </c:pt>
                <c:pt idx="43">
                  <c:v>4.2069285714286142E-2</c:v>
                </c:pt>
                <c:pt idx="44">
                  <c:v>4.3560142857143769E-2</c:v>
                </c:pt>
                <c:pt idx="45">
                  <c:v>4.8741214285712986E-2</c:v>
                </c:pt>
                <c:pt idx="46">
                  <c:v>4.5529071428571849E-2</c:v>
                </c:pt>
                <c:pt idx="47">
                  <c:v>3.8193571428571882E-2</c:v>
                </c:pt>
                <c:pt idx="48">
                  <c:v>4.3536428571429475E-2</c:v>
                </c:pt>
                <c:pt idx="49">
                  <c:v>6.3361357142856067E-2</c:v>
                </c:pt>
                <c:pt idx="50">
                  <c:v>5.6181642857144387E-2</c:v>
                </c:pt>
                <c:pt idx="51">
                  <c:v>3.7056642857140942E-2</c:v>
                </c:pt>
                <c:pt idx="52">
                  <c:v>7.0308214285714876E-2</c:v>
                </c:pt>
                <c:pt idx="53">
                  <c:v>6.7587214285715902E-2</c:v>
                </c:pt>
                <c:pt idx="54">
                  <c:v>6.367464285714064E-2</c:v>
                </c:pt>
                <c:pt idx="55">
                  <c:v>6.329678571428643E-2</c:v>
                </c:pt>
                <c:pt idx="56">
                  <c:v>5.9357357142857503E-2</c:v>
                </c:pt>
                <c:pt idx="57">
                  <c:v>4.5087857142857124E-2</c:v>
                </c:pt>
                <c:pt idx="58">
                  <c:v>3.0854285714285057E-2</c:v>
                </c:pt>
                <c:pt idx="59">
                  <c:v>2.7289214285714292E-2</c:v>
                </c:pt>
                <c:pt idx="60">
                  <c:v>1.6252071428571324E-2</c:v>
                </c:pt>
                <c:pt idx="61">
                  <c:v>1.9102714285714195E-2</c:v>
                </c:pt>
                <c:pt idx="62">
                  <c:v>2.6820000000000288E-2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9C-46A7-A8AA-367A7623B5F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"/>
        <c:overlap val="-10"/>
        <c:axId val="1603365695"/>
        <c:axId val="160336611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'FASE A,B,C'!$E$9</c15:sqref>
                        </c15:formulaRef>
                      </c:ext>
                    </c:extLst>
                    <c:strCache>
                      <c:ptCount val="1"/>
                      <c:pt idx="0">
                        <c:v>Valor Planejado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'FASE A,B,C'!$C$10:$C$72</c15:sqref>
                        </c15:formulaRef>
                      </c:ext>
                    </c:extLst>
                    <c:numCache>
                      <c:formatCode>mmm\-yy</c:formatCode>
                      <c:ptCount val="63"/>
                      <c:pt idx="0">
                        <c:v>45597</c:v>
                      </c:pt>
                      <c:pt idx="1">
                        <c:v>45627</c:v>
                      </c:pt>
                      <c:pt idx="2">
                        <c:v>45658</c:v>
                      </c:pt>
                      <c:pt idx="3">
                        <c:v>45689</c:v>
                      </c:pt>
                      <c:pt idx="4">
                        <c:v>45717</c:v>
                      </c:pt>
                      <c:pt idx="5">
                        <c:v>45748</c:v>
                      </c:pt>
                      <c:pt idx="6">
                        <c:v>45778</c:v>
                      </c:pt>
                      <c:pt idx="7">
                        <c:v>45809</c:v>
                      </c:pt>
                      <c:pt idx="8">
                        <c:v>45839</c:v>
                      </c:pt>
                      <c:pt idx="9">
                        <c:v>45870</c:v>
                      </c:pt>
                      <c:pt idx="10">
                        <c:v>45901</c:v>
                      </c:pt>
                      <c:pt idx="11">
                        <c:v>45931</c:v>
                      </c:pt>
                      <c:pt idx="12">
                        <c:v>45962</c:v>
                      </c:pt>
                      <c:pt idx="13">
                        <c:v>45992</c:v>
                      </c:pt>
                      <c:pt idx="14">
                        <c:v>46023</c:v>
                      </c:pt>
                      <c:pt idx="15">
                        <c:v>46054</c:v>
                      </c:pt>
                      <c:pt idx="16">
                        <c:v>46082</c:v>
                      </c:pt>
                      <c:pt idx="17">
                        <c:v>46113</c:v>
                      </c:pt>
                      <c:pt idx="18">
                        <c:v>46143</c:v>
                      </c:pt>
                      <c:pt idx="19">
                        <c:v>46174</c:v>
                      </c:pt>
                      <c:pt idx="20">
                        <c:v>46204</c:v>
                      </c:pt>
                      <c:pt idx="21">
                        <c:v>46235</c:v>
                      </c:pt>
                      <c:pt idx="22">
                        <c:v>46266</c:v>
                      </c:pt>
                      <c:pt idx="23">
                        <c:v>46296</c:v>
                      </c:pt>
                      <c:pt idx="24">
                        <c:v>46327</c:v>
                      </c:pt>
                      <c:pt idx="25">
                        <c:v>46357</c:v>
                      </c:pt>
                      <c:pt idx="26">
                        <c:v>46388</c:v>
                      </c:pt>
                      <c:pt idx="27">
                        <c:v>46419</c:v>
                      </c:pt>
                      <c:pt idx="28">
                        <c:v>46447</c:v>
                      </c:pt>
                      <c:pt idx="29">
                        <c:v>46478</c:v>
                      </c:pt>
                      <c:pt idx="30">
                        <c:v>46508</c:v>
                      </c:pt>
                      <c:pt idx="31">
                        <c:v>46539</c:v>
                      </c:pt>
                      <c:pt idx="32">
                        <c:v>46569</c:v>
                      </c:pt>
                      <c:pt idx="33">
                        <c:v>46600</c:v>
                      </c:pt>
                      <c:pt idx="34">
                        <c:v>46631</c:v>
                      </c:pt>
                      <c:pt idx="35">
                        <c:v>46661</c:v>
                      </c:pt>
                      <c:pt idx="36">
                        <c:v>46692</c:v>
                      </c:pt>
                      <c:pt idx="37">
                        <c:v>46722</c:v>
                      </c:pt>
                      <c:pt idx="38">
                        <c:v>46753</c:v>
                      </c:pt>
                      <c:pt idx="39">
                        <c:v>46784</c:v>
                      </c:pt>
                      <c:pt idx="40">
                        <c:v>46813</c:v>
                      </c:pt>
                      <c:pt idx="41">
                        <c:v>46844</c:v>
                      </c:pt>
                      <c:pt idx="42">
                        <c:v>46874</c:v>
                      </c:pt>
                      <c:pt idx="43">
                        <c:v>46905</c:v>
                      </c:pt>
                      <c:pt idx="44">
                        <c:v>46935</c:v>
                      </c:pt>
                      <c:pt idx="45">
                        <c:v>46966</c:v>
                      </c:pt>
                      <c:pt idx="46">
                        <c:v>46997</c:v>
                      </c:pt>
                      <c:pt idx="47">
                        <c:v>47027</c:v>
                      </c:pt>
                      <c:pt idx="48">
                        <c:v>47058</c:v>
                      </c:pt>
                      <c:pt idx="49">
                        <c:v>47088</c:v>
                      </c:pt>
                      <c:pt idx="50">
                        <c:v>47119</c:v>
                      </c:pt>
                      <c:pt idx="51">
                        <c:v>47150</c:v>
                      </c:pt>
                      <c:pt idx="52">
                        <c:v>47178</c:v>
                      </c:pt>
                      <c:pt idx="53">
                        <c:v>47209</c:v>
                      </c:pt>
                      <c:pt idx="54">
                        <c:v>47239</c:v>
                      </c:pt>
                      <c:pt idx="55">
                        <c:v>47270</c:v>
                      </c:pt>
                      <c:pt idx="56">
                        <c:v>47300</c:v>
                      </c:pt>
                      <c:pt idx="57">
                        <c:v>47331</c:v>
                      </c:pt>
                      <c:pt idx="58">
                        <c:v>47362</c:v>
                      </c:pt>
                      <c:pt idx="59">
                        <c:v>47392</c:v>
                      </c:pt>
                      <c:pt idx="60">
                        <c:v>47423</c:v>
                      </c:pt>
                      <c:pt idx="61">
                        <c:v>47453</c:v>
                      </c:pt>
                      <c:pt idx="62">
                        <c:v>47484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'FASE A,B,C'!$E$10:$E$72</c15:sqref>
                        </c15:formulaRef>
                      </c:ext>
                    </c:extLst>
                    <c:numCache>
                      <c:formatCode>"R$"\ #,##0.00</c:formatCode>
                      <c:ptCount val="63"/>
                      <c:pt idx="0">
                        <c:v>193573.40063491263</c:v>
                      </c:pt>
                      <c:pt idx="1">
                        <c:v>170800.05938374644</c:v>
                      </c:pt>
                      <c:pt idx="2">
                        <c:v>96786.700317456314</c:v>
                      </c:pt>
                      <c:pt idx="3">
                        <c:v>148026.71813258025</c:v>
                      </c:pt>
                      <c:pt idx="4">
                        <c:v>193573.40063491263</c:v>
                      </c:pt>
                      <c:pt idx="5">
                        <c:v>148026.71813258025</c:v>
                      </c:pt>
                      <c:pt idx="6">
                        <c:v>182186.73000932953</c:v>
                      </c:pt>
                      <c:pt idx="7">
                        <c:v>324520.11282911827</c:v>
                      </c:pt>
                      <c:pt idx="8">
                        <c:v>352986.78939307597</c:v>
                      </c:pt>
                      <c:pt idx="9">
                        <c:v>614880.2137814872</c:v>
                      </c:pt>
                      <c:pt idx="10">
                        <c:v>352986.78939307597</c:v>
                      </c:pt>
                      <c:pt idx="11">
                        <c:v>483933.50158728159</c:v>
                      </c:pt>
                      <c:pt idx="12">
                        <c:v>626266.88440707023</c:v>
                      </c:pt>
                      <c:pt idx="13">
                        <c:v>449773.4897105323</c:v>
                      </c:pt>
                      <c:pt idx="14">
                        <c:v>745826.92597569281</c:v>
                      </c:pt>
                      <c:pt idx="15">
                        <c:v>637653.55503265338</c:v>
                      </c:pt>
                      <c:pt idx="16">
                        <c:v>575026.86659194634</c:v>
                      </c:pt>
                      <c:pt idx="17">
                        <c:v>2095147.3951072895</c:v>
                      </c:pt>
                      <c:pt idx="18">
                        <c:v>2419667.5079364078</c:v>
                      </c:pt>
                      <c:pt idx="19">
                        <c:v>2152080.7482352052</c:v>
                      </c:pt>
                      <c:pt idx="20">
                        <c:v>3495707.8820540104</c:v>
                      </c:pt>
                      <c:pt idx="21">
                        <c:v>3216734.4517272245</c:v>
                      </c:pt>
                      <c:pt idx="22">
                        <c:v>2248867.4485526616</c:v>
                      </c:pt>
                      <c:pt idx="23">
                        <c:v>3159801.0985993091</c:v>
                      </c:pt>
                      <c:pt idx="24">
                        <c:v>2413974.1726236162</c:v>
                      </c:pt>
                      <c:pt idx="25">
                        <c:v>1844640.6413444614</c:v>
                      </c:pt>
                      <c:pt idx="26">
                        <c:v>2835280.9857701906</c:v>
                      </c:pt>
                      <c:pt idx="27">
                        <c:v>2971921.0332771884</c:v>
                      </c:pt>
                      <c:pt idx="28">
                        <c:v>2766960.9620166919</c:v>
                      </c:pt>
                      <c:pt idx="29">
                        <c:v>3045934.3923434783</c:v>
                      </c:pt>
                      <c:pt idx="30">
                        <c:v>2784040.9679550668</c:v>
                      </c:pt>
                      <c:pt idx="31">
                        <c:v>3091481.0748458104</c:v>
                      </c:pt>
                      <c:pt idx="32">
                        <c:v>2954841.0273388135</c:v>
                      </c:pt>
                      <c:pt idx="33">
                        <c:v>3216734.4517272245</c:v>
                      </c:pt>
                      <c:pt idx="34">
                        <c:v>2880827.6682725232</c:v>
                      </c:pt>
                      <c:pt idx="35">
                        <c:v>1041880.3622408533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FF9C-46A7-A8AA-367A7623B5FB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'FASE A,B,C'!$G$9</c15:sqref>
                        </c15:formulaRef>
                      </c:ext>
                    </c:extLst>
                    <c:strCache>
                      <c:ptCount val="1"/>
                      <c:pt idx="0">
                        <c:v>Valor Planejado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'FASE A,B,C'!$C$10:$C$72</c15:sqref>
                        </c15:formulaRef>
                      </c:ext>
                    </c:extLst>
                    <c:numCache>
                      <c:formatCode>mmm\-yy</c:formatCode>
                      <c:ptCount val="63"/>
                      <c:pt idx="0">
                        <c:v>45597</c:v>
                      </c:pt>
                      <c:pt idx="1">
                        <c:v>45627</c:v>
                      </c:pt>
                      <c:pt idx="2">
                        <c:v>45658</c:v>
                      </c:pt>
                      <c:pt idx="3">
                        <c:v>45689</c:v>
                      </c:pt>
                      <c:pt idx="4">
                        <c:v>45717</c:v>
                      </c:pt>
                      <c:pt idx="5">
                        <c:v>45748</c:v>
                      </c:pt>
                      <c:pt idx="6">
                        <c:v>45778</c:v>
                      </c:pt>
                      <c:pt idx="7">
                        <c:v>45809</c:v>
                      </c:pt>
                      <c:pt idx="8">
                        <c:v>45839</c:v>
                      </c:pt>
                      <c:pt idx="9">
                        <c:v>45870</c:v>
                      </c:pt>
                      <c:pt idx="10">
                        <c:v>45901</c:v>
                      </c:pt>
                      <c:pt idx="11">
                        <c:v>45931</c:v>
                      </c:pt>
                      <c:pt idx="12">
                        <c:v>45962</c:v>
                      </c:pt>
                      <c:pt idx="13">
                        <c:v>45992</c:v>
                      </c:pt>
                      <c:pt idx="14">
                        <c:v>46023</c:v>
                      </c:pt>
                      <c:pt idx="15">
                        <c:v>46054</c:v>
                      </c:pt>
                      <c:pt idx="16">
                        <c:v>46082</c:v>
                      </c:pt>
                      <c:pt idx="17">
                        <c:v>46113</c:v>
                      </c:pt>
                      <c:pt idx="18">
                        <c:v>46143</c:v>
                      </c:pt>
                      <c:pt idx="19">
                        <c:v>46174</c:v>
                      </c:pt>
                      <c:pt idx="20">
                        <c:v>46204</c:v>
                      </c:pt>
                      <c:pt idx="21">
                        <c:v>46235</c:v>
                      </c:pt>
                      <c:pt idx="22">
                        <c:v>46266</c:v>
                      </c:pt>
                      <c:pt idx="23">
                        <c:v>46296</c:v>
                      </c:pt>
                      <c:pt idx="24">
                        <c:v>46327</c:v>
                      </c:pt>
                      <c:pt idx="25">
                        <c:v>46357</c:v>
                      </c:pt>
                      <c:pt idx="26">
                        <c:v>46388</c:v>
                      </c:pt>
                      <c:pt idx="27">
                        <c:v>46419</c:v>
                      </c:pt>
                      <c:pt idx="28">
                        <c:v>46447</c:v>
                      </c:pt>
                      <c:pt idx="29">
                        <c:v>46478</c:v>
                      </c:pt>
                      <c:pt idx="30">
                        <c:v>46508</c:v>
                      </c:pt>
                      <c:pt idx="31">
                        <c:v>46539</c:v>
                      </c:pt>
                      <c:pt idx="32">
                        <c:v>46569</c:v>
                      </c:pt>
                      <c:pt idx="33">
                        <c:v>46600</c:v>
                      </c:pt>
                      <c:pt idx="34">
                        <c:v>46631</c:v>
                      </c:pt>
                      <c:pt idx="35">
                        <c:v>46661</c:v>
                      </c:pt>
                      <c:pt idx="36">
                        <c:v>46692</c:v>
                      </c:pt>
                      <c:pt idx="37">
                        <c:v>46722</c:v>
                      </c:pt>
                      <c:pt idx="38">
                        <c:v>46753</c:v>
                      </c:pt>
                      <c:pt idx="39">
                        <c:v>46784</c:v>
                      </c:pt>
                      <c:pt idx="40">
                        <c:v>46813</c:v>
                      </c:pt>
                      <c:pt idx="41">
                        <c:v>46844</c:v>
                      </c:pt>
                      <c:pt idx="42">
                        <c:v>46874</c:v>
                      </c:pt>
                      <c:pt idx="43">
                        <c:v>46905</c:v>
                      </c:pt>
                      <c:pt idx="44">
                        <c:v>46935</c:v>
                      </c:pt>
                      <c:pt idx="45">
                        <c:v>46966</c:v>
                      </c:pt>
                      <c:pt idx="46">
                        <c:v>46997</c:v>
                      </c:pt>
                      <c:pt idx="47">
                        <c:v>47027</c:v>
                      </c:pt>
                      <c:pt idx="48">
                        <c:v>47058</c:v>
                      </c:pt>
                      <c:pt idx="49">
                        <c:v>47088</c:v>
                      </c:pt>
                      <c:pt idx="50">
                        <c:v>47119</c:v>
                      </c:pt>
                      <c:pt idx="51">
                        <c:v>47150</c:v>
                      </c:pt>
                      <c:pt idx="52">
                        <c:v>47178</c:v>
                      </c:pt>
                      <c:pt idx="53">
                        <c:v>47209</c:v>
                      </c:pt>
                      <c:pt idx="54">
                        <c:v>47239</c:v>
                      </c:pt>
                      <c:pt idx="55">
                        <c:v>47270</c:v>
                      </c:pt>
                      <c:pt idx="56">
                        <c:v>47300</c:v>
                      </c:pt>
                      <c:pt idx="57">
                        <c:v>47331</c:v>
                      </c:pt>
                      <c:pt idx="58">
                        <c:v>47362</c:v>
                      </c:pt>
                      <c:pt idx="59">
                        <c:v>47392</c:v>
                      </c:pt>
                      <c:pt idx="60">
                        <c:v>47423</c:v>
                      </c:pt>
                      <c:pt idx="61">
                        <c:v>47453</c:v>
                      </c:pt>
                      <c:pt idx="62">
                        <c:v>47484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'FASE A,B,C'!$G$10:$G$72</c15:sqref>
                        </c15:formulaRef>
                      </c:ext>
                    </c:extLst>
                    <c:numCache>
                      <c:formatCode>"R$"\ #,##0.00</c:formatCode>
                      <c:ptCount val="63"/>
                      <c:pt idx="13">
                        <c:v>214066.02177725421</c:v>
                      </c:pt>
                      <c:pt idx="14">
                        <c:v>247259.76471090145</c:v>
                      </c:pt>
                      <c:pt idx="15">
                        <c:v>331068.22559364437</c:v>
                      </c:pt>
                      <c:pt idx="16">
                        <c:v>490673.71286156034</c:v>
                      </c:pt>
                      <c:pt idx="17">
                        <c:v>871163.55126674124</c:v>
                      </c:pt>
                      <c:pt idx="18">
                        <c:v>1031252.8406179033</c:v>
                      </c:pt>
                      <c:pt idx="19">
                        <c:v>648048.79052527505</c:v>
                      </c:pt>
                      <c:pt idx="20">
                        <c:v>1455342.2667646857</c:v>
                      </c:pt>
                      <c:pt idx="21">
                        <c:v>2414787.3981756824</c:v>
                      </c:pt>
                      <c:pt idx="22">
                        <c:v>2500362.9666676917</c:v>
                      </c:pt>
                      <c:pt idx="23">
                        <c:v>2797757.7472619438</c:v>
                      </c:pt>
                      <c:pt idx="24">
                        <c:v>2613379.9533235407</c:v>
                      </c:pt>
                      <c:pt idx="25">
                        <c:v>2192320.4402236468</c:v>
                      </c:pt>
                      <c:pt idx="26">
                        <c:v>2499001.7608062816</c:v>
                      </c:pt>
                      <c:pt idx="27">
                        <c:v>3636957.560891496</c:v>
                      </c:pt>
                      <c:pt idx="28">
                        <c:v>3224840.1862969729</c:v>
                      </c:pt>
                      <c:pt idx="29">
                        <c:v>2127060.4592112997</c:v>
                      </c:pt>
                      <c:pt idx="30">
                        <c:v>4035708.8779314607</c:v>
                      </c:pt>
                      <c:pt idx="31">
                        <c:v>3879522.8053877512</c:v>
                      </c:pt>
                      <c:pt idx="32">
                        <c:v>3654940.2383255926</c:v>
                      </c:pt>
                      <c:pt idx="33">
                        <c:v>3633251.1449316167</c:v>
                      </c:pt>
                      <c:pt idx="34">
                        <c:v>3407126.971231435</c:v>
                      </c:pt>
                      <c:pt idx="35">
                        <c:v>2588054.1442695209</c:v>
                      </c:pt>
                      <c:pt idx="36">
                        <c:v>1771043.6261879806</c:v>
                      </c:pt>
                      <c:pt idx="37">
                        <c:v>1566407.6450169145</c:v>
                      </c:pt>
                      <c:pt idx="38">
                        <c:v>932872.9169898394</c:v>
                      </c:pt>
                      <c:pt idx="39">
                        <c:v>1096500.5215771575</c:v>
                      </c:pt>
                      <c:pt idx="40">
                        <c:v>1539474.6290422359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FF9C-46A7-A8AA-367A7623B5FB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'FASE A,B,C'!$I$9</c15:sqref>
                        </c15:formulaRef>
                      </c:ext>
                    </c:extLst>
                    <c:strCache>
                      <c:ptCount val="1"/>
                      <c:pt idx="0">
                        <c:v>Valor Planejado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'FASE A,B,C'!$C$10:$C$72</c15:sqref>
                        </c15:formulaRef>
                      </c:ext>
                    </c:extLst>
                    <c:numCache>
                      <c:formatCode>mmm\-yy</c:formatCode>
                      <c:ptCount val="63"/>
                      <c:pt idx="0">
                        <c:v>45597</c:v>
                      </c:pt>
                      <c:pt idx="1">
                        <c:v>45627</c:v>
                      </c:pt>
                      <c:pt idx="2">
                        <c:v>45658</c:v>
                      </c:pt>
                      <c:pt idx="3">
                        <c:v>45689</c:v>
                      </c:pt>
                      <c:pt idx="4">
                        <c:v>45717</c:v>
                      </c:pt>
                      <c:pt idx="5">
                        <c:v>45748</c:v>
                      </c:pt>
                      <c:pt idx="6">
                        <c:v>45778</c:v>
                      </c:pt>
                      <c:pt idx="7">
                        <c:v>45809</c:v>
                      </c:pt>
                      <c:pt idx="8">
                        <c:v>45839</c:v>
                      </c:pt>
                      <c:pt idx="9">
                        <c:v>45870</c:v>
                      </c:pt>
                      <c:pt idx="10">
                        <c:v>45901</c:v>
                      </c:pt>
                      <c:pt idx="11">
                        <c:v>45931</c:v>
                      </c:pt>
                      <c:pt idx="12">
                        <c:v>45962</c:v>
                      </c:pt>
                      <c:pt idx="13">
                        <c:v>45992</c:v>
                      </c:pt>
                      <c:pt idx="14">
                        <c:v>46023</c:v>
                      </c:pt>
                      <c:pt idx="15">
                        <c:v>46054</c:v>
                      </c:pt>
                      <c:pt idx="16">
                        <c:v>46082</c:v>
                      </c:pt>
                      <c:pt idx="17">
                        <c:v>46113</c:v>
                      </c:pt>
                      <c:pt idx="18">
                        <c:v>46143</c:v>
                      </c:pt>
                      <c:pt idx="19">
                        <c:v>46174</c:v>
                      </c:pt>
                      <c:pt idx="20">
                        <c:v>46204</c:v>
                      </c:pt>
                      <c:pt idx="21">
                        <c:v>46235</c:v>
                      </c:pt>
                      <c:pt idx="22">
                        <c:v>46266</c:v>
                      </c:pt>
                      <c:pt idx="23">
                        <c:v>46296</c:v>
                      </c:pt>
                      <c:pt idx="24">
                        <c:v>46327</c:v>
                      </c:pt>
                      <c:pt idx="25">
                        <c:v>46357</c:v>
                      </c:pt>
                      <c:pt idx="26">
                        <c:v>46388</c:v>
                      </c:pt>
                      <c:pt idx="27">
                        <c:v>46419</c:v>
                      </c:pt>
                      <c:pt idx="28">
                        <c:v>46447</c:v>
                      </c:pt>
                      <c:pt idx="29">
                        <c:v>46478</c:v>
                      </c:pt>
                      <c:pt idx="30">
                        <c:v>46508</c:v>
                      </c:pt>
                      <c:pt idx="31">
                        <c:v>46539</c:v>
                      </c:pt>
                      <c:pt idx="32">
                        <c:v>46569</c:v>
                      </c:pt>
                      <c:pt idx="33">
                        <c:v>46600</c:v>
                      </c:pt>
                      <c:pt idx="34">
                        <c:v>46631</c:v>
                      </c:pt>
                      <c:pt idx="35">
                        <c:v>46661</c:v>
                      </c:pt>
                      <c:pt idx="36">
                        <c:v>46692</c:v>
                      </c:pt>
                      <c:pt idx="37">
                        <c:v>46722</c:v>
                      </c:pt>
                      <c:pt idx="38">
                        <c:v>46753</c:v>
                      </c:pt>
                      <c:pt idx="39">
                        <c:v>46784</c:v>
                      </c:pt>
                      <c:pt idx="40">
                        <c:v>46813</c:v>
                      </c:pt>
                      <c:pt idx="41">
                        <c:v>46844</c:v>
                      </c:pt>
                      <c:pt idx="42">
                        <c:v>46874</c:v>
                      </c:pt>
                      <c:pt idx="43">
                        <c:v>46905</c:v>
                      </c:pt>
                      <c:pt idx="44">
                        <c:v>46935</c:v>
                      </c:pt>
                      <c:pt idx="45">
                        <c:v>46966</c:v>
                      </c:pt>
                      <c:pt idx="46">
                        <c:v>46997</c:v>
                      </c:pt>
                      <c:pt idx="47">
                        <c:v>47027</c:v>
                      </c:pt>
                      <c:pt idx="48">
                        <c:v>47058</c:v>
                      </c:pt>
                      <c:pt idx="49">
                        <c:v>47088</c:v>
                      </c:pt>
                      <c:pt idx="50">
                        <c:v>47119</c:v>
                      </c:pt>
                      <c:pt idx="51">
                        <c:v>47150</c:v>
                      </c:pt>
                      <c:pt idx="52">
                        <c:v>47178</c:v>
                      </c:pt>
                      <c:pt idx="53">
                        <c:v>47209</c:v>
                      </c:pt>
                      <c:pt idx="54">
                        <c:v>47239</c:v>
                      </c:pt>
                      <c:pt idx="55">
                        <c:v>47270</c:v>
                      </c:pt>
                      <c:pt idx="56">
                        <c:v>47300</c:v>
                      </c:pt>
                      <c:pt idx="57">
                        <c:v>47331</c:v>
                      </c:pt>
                      <c:pt idx="58">
                        <c:v>47362</c:v>
                      </c:pt>
                      <c:pt idx="59">
                        <c:v>47392</c:v>
                      </c:pt>
                      <c:pt idx="60">
                        <c:v>47423</c:v>
                      </c:pt>
                      <c:pt idx="61">
                        <c:v>47453</c:v>
                      </c:pt>
                      <c:pt idx="62">
                        <c:v>47484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'FASE A,B,C'!$I$10:$I$72</c15:sqref>
                        </c15:formulaRef>
                      </c:ext>
                    </c:extLst>
                    <c:numCache>
                      <c:formatCode>"R$"\ #,##0.00</c:formatCode>
                      <c:ptCount val="63"/>
                      <c:pt idx="35">
                        <c:v>257381.80479852491</c:v>
                      </c:pt>
                      <c:pt idx="36">
                        <c:v>297292.22772949474</c:v>
                      </c:pt>
                      <c:pt idx="37">
                        <c:v>398059.14412425243</c:v>
                      </c:pt>
                      <c:pt idx="38">
                        <c:v>589960.44647810946</c:v>
                      </c:pt>
                      <c:pt idx="39">
                        <c:v>1047441.5567597147</c:v>
                      </c:pt>
                      <c:pt idx="40">
                        <c:v>1239924.5574714772</c:v>
                      </c:pt>
                      <c:pt idx="41">
                        <c:v>779180.0208089801</c:v>
                      </c:pt>
                      <c:pt idx="42">
                        <c:v>1749827.5350267303</c:v>
                      </c:pt>
                      <c:pt idx="43">
                        <c:v>2903414.2531686542</c:v>
                      </c:pt>
                      <c:pt idx="44">
                        <c:v>3006305.8474640427</c:v>
                      </c:pt>
                      <c:pt idx="45">
                        <c:v>3363877.7999463361</c:v>
                      </c:pt>
                      <c:pt idx="46">
                        <c:v>3142191.5698074102</c:v>
                      </c:pt>
                      <c:pt idx="47">
                        <c:v>2635931.6014598599</c:v>
                      </c:pt>
                      <c:pt idx="48">
                        <c:v>3004669.2046264582</c:v>
                      </c:pt>
                      <c:pt idx="49">
                        <c:v>4372887.8279054333</c:v>
                      </c:pt>
                      <c:pt idx="50">
                        <c:v>3877379.4198856843</c:v>
                      </c:pt>
                      <c:pt idx="51">
                        <c:v>2557466.4085505754</c:v>
                      </c:pt>
                      <c:pt idx="52">
                        <c:v>4852325.586375704</c:v>
                      </c:pt>
                      <c:pt idx="53">
                        <c:v>4664535.6097042887</c:v>
                      </c:pt>
                      <c:pt idx="54">
                        <c:v>4394509.260091031</c:v>
                      </c:pt>
                      <c:pt idx="55">
                        <c:v>4368431.4269261109</c:v>
                      </c:pt>
                      <c:pt idx="56">
                        <c:v>4096551.5300030583</c:v>
                      </c:pt>
                      <c:pt idx="57">
                        <c:v>3111741.1396635314</c:v>
                      </c:pt>
                      <c:pt idx="58">
                        <c:v>2129410.3618158689</c:v>
                      </c:pt>
                      <c:pt idx="59">
                        <c:v>1883366.7453500519</c:v>
                      </c:pt>
                      <c:pt idx="60">
                        <c:v>1121637.6752792157</c:v>
                      </c:pt>
                      <c:pt idx="61">
                        <c:v>1318374.9614393041</c:v>
                      </c:pt>
                      <c:pt idx="62">
                        <c:v>1850983.8935425689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FF9C-46A7-A8AA-367A7623B5FB}"/>
                  </c:ext>
                </c:extLst>
              </c15:ser>
            </c15:filteredBarSeries>
          </c:ext>
        </c:extLst>
      </c:barChart>
      <c:dateAx>
        <c:axId val="160336569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3366111"/>
        <c:crosses val="autoZero"/>
        <c:auto val="1"/>
        <c:lblOffset val="100"/>
        <c:baseTimeUnit val="months"/>
      </c:dateAx>
      <c:valAx>
        <c:axId val="1603366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3365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0378778759666113E-2"/>
          <c:y val="4.138426525798199E-3"/>
          <c:w val="0.95736724099524462"/>
          <c:h val="0.93733922104673628"/>
        </c:manualLayout>
      </c:layout>
      <c:scatterChart>
        <c:scatterStyle val="smoothMarker"/>
        <c:varyColors val="0"/>
        <c:ser>
          <c:idx val="1"/>
          <c:order val="1"/>
          <c:tx>
            <c:v>FASE A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'FASE A,B,C'!$C$10:$C$72</c:f>
              <c:numCache>
                <c:formatCode>mmm\-yy</c:formatCode>
                <c:ptCount val="63"/>
                <c:pt idx="0">
                  <c:v>45597</c:v>
                </c:pt>
                <c:pt idx="1">
                  <c:v>45627</c:v>
                </c:pt>
                <c:pt idx="2">
                  <c:v>45658</c:v>
                </c:pt>
                <c:pt idx="3">
                  <c:v>45689</c:v>
                </c:pt>
                <c:pt idx="4">
                  <c:v>45717</c:v>
                </c:pt>
                <c:pt idx="5">
                  <c:v>45748</c:v>
                </c:pt>
                <c:pt idx="6">
                  <c:v>45778</c:v>
                </c:pt>
                <c:pt idx="7">
                  <c:v>45809</c:v>
                </c:pt>
                <c:pt idx="8">
                  <c:v>45839</c:v>
                </c:pt>
                <c:pt idx="9">
                  <c:v>45870</c:v>
                </c:pt>
                <c:pt idx="10">
                  <c:v>45901</c:v>
                </c:pt>
                <c:pt idx="11">
                  <c:v>45931</c:v>
                </c:pt>
                <c:pt idx="12">
                  <c:v>45962</c:v>
                </c:pt>
                <c:pt idx="13">
                  <c:v>45992</c:v>
                </c:pt>
                <c:pt idx="14">
                  <c:v>46023</c:v>
                </c:pt>
                <c:pt idx="15">
                  <c:v>46054</c:v>
                </c:pt>
                <c:pt idx="16">
                  <c:v>46082</c:v>
                </c:pt>
                <c:pt idx="17">
                  <c:v>46113</c:v>
                </c:pt>
                <c:pt idx="18">
                  <c:v>46143</c:v>
                </c:pt>
                <c:pt idx="19">
                  <c:v>46174</c:v>
                </c:pt>
                <c:pt idx="20">
                  <c:v>46204</c:v>
                </c:pt>
                <c:pt idx="21">
                  <c:v>46235</c:v>
                </c:pt>
                <c:pt idx="22">
                  <c:v>46266</c:v>
                </c:pt>
                <c:pt idx="23">
                  <c:v>46296</c:v>
                </c:pt>
                <c:pt idx="24">
                  <c:v>46327</c:v>
                </c:pt>
                <c:pt idx="25">
                  <c:v>46357</c:v>
                </c:pt>
                <c:pt idx="26">
                  <c:v>46388</c:v>
                </c:pt>
                <c:pt idx="27">
                  <c:v>46419</c:v>
                </c:pt>
                <c:pt idx="28">
                  <c:v>46447</c:v>
                </c:pt>
                <c:pt idx="29">
                  <c:v>46478</c:v>
                </c:pt>
                <c:pt idx="30">
                  <c:v>46508</c:v>
                </c:pt>
                <c:pt idx="31">
                  <c:v>46539</c:v>
                </c:pt>
                <c:pt idx="32">
                  <c:v>46569</c:v>
                </c:pt>
                <c:pt idx="33">
                  <c:v>46600</c:v>
                </c:pt>
                <c:pt idx="34">
                  <c:v>46631</c:v>
                </c:pt>
                <c:pt idx="35">
                  <c:v>46661</c:v>
                </c:pt>
                <c:pt idx="36">
                  <c:v>46692</c:v>
                </c:pt>
                <c:pt idx="37">
                  <c:v>46722</c:v>
                </c:pt>
                <c:pt idx="38">
                  <c:v>46753</c:v>
                </c:pt>
                <c:pt idx="39">
                  <c:v>46784</c:v>
                </c:pt>
                <c:pt idx="40">
                  <c:v>46813</c:v>
                </c:pt>
                <c:pt idx="41">
                  <c:v>46844</c:v>
                </c:pt>
                <c:pt idx="42">
                  <c:v>46874</c:v>
                </c:pt>
                <c:pt idx="43">
                  <c:v>46905</c:v>
                </c:pt>
                <c:pt idx="44">
                  <c:v>46935</c:v>
                </c:pt>
                <c:pt idx="45">
                  <c:v>46966</c:v>
                </c:pt>
                <c:pt idx="46">
                  <c:v>46997</c:v>
                </c:pt>
                <c:pt idx="47">
                  <c:v>47027</c:v>
                </c:pt>
                <c:pt idx="48">
                  <c:v>47058</c:v>
                </c:pt>
                <c:pt idx="49">
                  <c:v>47088</c:v>
                </c:pt>
                <c:pt idx="50">
                  <c:v>47119</c:v>
                </c:pt>
                <c:pt idx="51">
                  <c:v>47150</c:v>
                </c:pt>
                <c:pt idx="52">
                  <c:v>47178</c:v>
                </c:pt>
                <c:pt idx="53">
                  <c:v>47209</c:v>
                </c:pt>
                <c:pt idx="54">
                  <c:v>47239</c:v>
                </c:pt>
                <c:pt idx="55">
                  <c:v>47270</c:v>
                </c:pt>
                <c:pt idx="56">
                  <c:v>47300</c:v>
                </c:pt>
                <c:pt idx="57">
                  <c:v>47331</c:v>
                </c:pt>
                <c:pt idx="58">
                  <c:v>47362</c:v>
                </c:pt>
                <c:pt idx="59">
                  <c:v>47392</c:v>
                </c:pt>
                <c:pt idx="60">
                  <c:v>47423</c:v>
                </c:pt>
                <c:pt idx="61">
                  <c:v>47453</c:v>
                </c:pt>
                <c:pt idx="62">
                  <c:v>47484</c:v>
                </c:pt>
              </c:numCache>
            </c:numRef>
          </c:xVal>
          <c:yVal>
            <c:numRef>
              <c:f>'FASE A,B,C'!$E$10:$E$72</c:f>
              <c:numCache>
                <c:formatCode>"R$"\ #,##0.00</c:formatCode>
                <c:ptCount val="63"/>
                <c:pt idx="0">
                  <c:v>193573.40063491263</c:v>
                </c:pt>
                <c:pt idx="1">
                  <c:v>170800.05938374644</c:v>
                </c:pt>
                <c:pt idx="2">
                  <c:v>96786.700317456314</c:v>
                </c:pt>
                <c:pt idx="3">
                  <c:v>148026.71813258025</c:v>
                </c:pt>
                <c:pt idx="4">
                  <c:v>193573.40063491263</c:v>
                </c:pt>
                <c:pt idx="5">
                  <c:v>148026.71813258025</c:v>
                </c:pt>
                <c:pt idx="6">
                  <c:v>182186.73000932953</c:v>
                </c:pt>
                <c:pt idx="7">
                  <c:v>324520.11282911827</c:v>
                </c:pt>
                <c:pt idx="8">
                  <c:v>352986.78939307597</c:v>
                </c:pt>
                <c:pt idx="9">
                  <c:v>614880.2137814872</c:v>
                </c:pt>
                <c:pt idx="10">
                  <c:v>352986.78939307597</c:v>
                </c:pt>
                <c:pt idx="11">
                  <c:v>483933.50158728159</c:v>
                </c:pt>
                <c:pt idx="12">
                  <c:v>626266.88440707023</c:v>
                </c:pt>
                <c:pt idx="13">
                  <c:v>449773.4897105323</c:v>
                </c:pt>
                <c:pt idx="14">
                  <c:v>745826.92597569281</c:v>
                </c:pt>
                <c:pt idx="15">
                  <c:v>637653.55503265338</c:v>
                </c:pt>
                <c:pt idx="16">
                  <c:v>575026.86659194634</c:v>
                </c:pt>
                <c:pt idx="17">
                  <c:v>2095147.3951072895</c:v>
                </c:pt>
                <c:pt idx="18">
                  <c:v>2419667.5079364078</c:v>
                </c:pt>
                <c:pt idx="19">
                  <c:v>2152080.7482352052</c:v>
                </c:pt>
                <c:pt idx="20">
                  <c:v>3495707.8820540104</c:v>
                </c:pt>
                <c:pt idx="21">
                  <c:v>3216734.4517272245</c:v>
                </c:pt>
                <c:pt idx="22">
                  <c:v>2248867.4485526616</c:v>
                </c:pt>
                <c:pt idx="23">
                  <c:v>3159801.0985993091</c:v>
                </c:pt>
                <c:pt idx="24">
                  <c:v>2413974.1726236162</c:v>
                </c:pt>
                <c:pt idx="25">
                  <c:v>1844640.6413444614</c:v>
                </c:pt>
                <c:pt idx="26">
                  <c:v>2835280.9857701906</c:v>
                </c:pt>
                <c:pt idx="27">
                  <c:v>2971921.0332771884</c:v>
                </c:pt>
                <c:pt idx="28">
                  <c:v>2766960.9620166919</c:v>
                </c:pt>
                <c:pt idx="29">
                  <c:v>3045934.3923434783</c:v>
                </c:pt>
                <c:pt idx="30">
                  <c:v>2784040.9679550668</c:v>
                </c:pt>
                <c:pt idx="31">
                  <c:v>3091481.0748458104</c:v>
                </c:pt>
                <c:pt idx="32">
                  <c:v>2954841.0273388135</c:v>
                </c:pt>
                <c:pt idx="33">
                  <c:v>3216734.4517272245</c:v>
                </c:pt>
                <c:pt idx="34">
                  <c:v>2880827.6682725232</c:v>
                </c:pt>
                <c:pt idx="35">
                  <c:v>1041880.3622408533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0F3-4200-9DAF-1CDC227EB63F}"/>
            </c:ext>
          </c:extLst>
        </c:ser>
        <c:ser>
          <c:idx val="3"/>
          <c:order val="3"/>
          <c:tx>
            <c:v>FASE B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'FASE A,B,C'!$C$10:$C$72</c:f>
              <c:numCache>
                <c:formatCode>mmm\-yy</c:formatCode>
                <c:ptCount val="63"/>
                <c:pt idx="0">
                  <c:v>45597</c:v>
                </c:pt>
                <c:pt idx="1">
                  <c:v>45627</c:v>
                </c:pt>
                <c:pt idx="2">
                  <c:v>45658</c:v>
                </c:pt>
                <c:pt idx="3">
                  <c:v>45689</c:v>
                </c:pt>
                <c:pt idx="4">
                  <c:v>45717</c:v>
                </c:pt>
                <c:pt idx="5">
                  <c:v>45748</c:v>
                </c:pt>
                <c:pt idx="6">
                  <c:v>45778</c:v>
                </c:pt>
                <c:pt idx="7">
                  <c:v>45809</c:v>
                </c:pt>
                <c:pt idx="8">
                  <c:v>45839</c:v>
                </c:pt>
                <c:pt idx="9">
                  <c:v>45870</c:v>
                </c:pt>
                <c:pt idx="10">
                  <c:v>45901</c:v>
                </c:pt>
                <c:pt idx="11">
                  <c:v>45931</c:v>
                </c:pt>
                <c:pt idx="12">
                  <c:v>45962</c:v>
                </c:pt>
                <c:pt idx="13">
                  <c:v>45992</c:v>
                </c:pt>
                <c:pt idx="14">
                  <c:v>46023</c:v>
                </c:pt>
                <c:pt idx="15">
                  <c:v>46054</c:v>
                </c:pt>
                <c:pt idx="16">
                  <c:v>46082</c:v>
                </c:pt>
                <c:pt idx="17">
                  <c:v>46113</c:v>
                </c:pt>
                <c:pt idx="18">
                  <c:v>46143</c:v>
                </c:pt>
                <c:pt idx="19">
                  <c:v>46174</c:v>
                </c:pt>
                <c:pt idx="20">
                  <c:v>46204</c:v>
                </c:pt>
                <c:pt idx="21">
                  <c:v>46235</c:v>
                </c:pt>
                <c:pt idx="22">
                  <c:v>46266</c:v>
                </c:pt>
                <c:pt idx="23">
                  <c:v>46296</c:v>
                </c:pt>
                <c:pt idx="24">
                  <c:v>46327</c:v>
                </c:pt>
                <c:pt idx="25">
                  <c:v>46357</c:v>
                </c:pt>
                <c:pt idx="26">
                  <c:v>46388</c:v>
                </c:pt>
                <c:pt idx="27">
                  <c:v>46419</c:v>
                </c:pt>
                <c:pt idx="28">
                  <c:v>46447</c:v>
                </c:pt>
                <c:pt idx="29">
                  <c:v>46478</c:v>
                </c:pt>
                <c:pt idx="30">
                  <c:v>46508</c:v>
                </c:pt>
                <c:pt idx="31">
                  <c:v>46539</c:v>
                </c:pt>
                <c:pt idx="32">
                  <c:v>46569</c:v>
                </c:pt>
                <c:pt idx="33">
                  <c:v>46600</c:v>
                </c:pt>
                <c:pt idx="34">
                  <c:v>46631</c:v>
                </c:pt>
                <c:pt idx="35">
                  <c:v>46661</c:v>
                </c:pt>
                <c:pt idx="36">
                  <c:v>46692</c:v>
                </c:pt>
                <c:pt idx="37">
                  <c:v>46722</c:v>
                </c:pt>
                <c:pt idx="38">
                  <c:v>46753</c:v>
                </c:pt>
                <c:pt idx="39">
                  <c:v>46784</c:v>
                </c:pt>
                <c:pt idx="40">
                  <c:v>46813</c:v>
                </c:pt>
                <c:pt idx="41">
                  <c:v>46844</c:v>
                </c:pt>
                <c:pt idx="42">
                  <c:v>46874</c:v>
                </c:pt>
                <c:pt idx="43">
                  <c:v>46905</c:v>
                </c:pt>
                <c:pt idx="44">
                  <c:v>46935</c:v>
                </c:pt>
                <c:pt idx="45">
                  <c:v>46966</c:v>
                </c:pt>
                <c:pt idx="46">
                  <c:v>46997</c:v>
                </c:pt>
                <c:pt idx="47">
                  <c:v>47027</c:v>
                </c:pt>
                <c:pt idx="48">
                  <c:v>47058</c:v>
                </c:pt>
                <c:pt idx="49">
                  <c:v>47088</c:v>
                </c:pt>
                <c:pt idx="50">
                  <c:v>47119</c:v>
                </c:pt>
                <c:pt idx="51">
                  <c:v>47150</c:v>
                </c:pt>
                <c:pt idx="52">
                  <c:v>47178</c:v>
                </c:pt>
                <c:pt idx="53">
                  <c:v>47209</c:v>
                </c:pt>
                <c:pt idx="54">
                  <c:v>47239</c:v>
                </c:pt>
                <c:pt idx="55">
                  <c:v>47270</c:v>
                </c:pt>
                <c:pt idx="56">
                  <c:v>47300</c:v>
                </c:pt>
                <c:pt idx="57">
                  <c:v>47331</c:v>
                </c:pt>
                <c:pt idx="58">
                  <c:v>47362</c:v>
                </c:pt>
                <c:pt idx="59">
                  <c:v>47392</c:v>
                </c:pt>
                <c:pt idx="60">
                  <c:v>47423</c:v>
                </c:pt>
                <c:pt idx="61">
                  <c:v>47453</c:v>
                </c:pt>
                <c:pt idx="62">
                  <c:v>47484</c:v>
                </c:pt>
              </c:numCache>
            </c:numRef>
          </c:xVal>
          <c:yVal>
            <c:numRef>
              <c:f>'FASE A,B,C'!$G$10:$G$72</c:f>
              <c:numCache>
                <c:formatCode>"R$"\ #,##0.00</c:formatCode>
                <c:ptCount val="63"/>
                <c:pt idx="13">
                  <c:v>214066.02177725421</c:v>
                </c:pt>
                <c:pt idx="14">
                  <c:v>247259.76471090145</c:v>
                </c:pt>
                <c:pt idx="15">
                  <c:v>331068.22559364437</c:v>
                </c:pt>
                <c:pt idx="16">
                  <c:v>490673.71286156034</c:v>
                </c:pt>
                <c:pt idx="17">
                  <c:v>871163.55126674124</c:v>
                </c:pt>
                <c:pt idx="18">
                  <c:v>1031252.8406179033</c:v>
                </c:pt>
                <c:pt idx="19">
                  <c:v>648048.79052527505</c:v>
                </c:pt>
                <c:pt idx="20">
                  <c:v>1455342.2667646857</c:v>
                </c:pt>
                <c:pt idx="21">
                  <c:v>2414787.3981756824</c:v>
                </c:pt>
                <c:pt idx="22">
                  <c:v>2500362.9666676917</c:v>
                </c:pt>
                <c:pt idx="23">
                  <c:v>2797757.7472619438</c:v>
                </c:pt>
                <c:pt idx="24">
                  <c:v>2613379.9533235407</c:v>
                </c:pt>
                <c:pt idx="25">
                  <c:v>2192320.4402236468</c:v>
                </c:pt>
                <c:pt idx="26">
                  <c:v>2499001.7608062816</c:v>
                </c:pt>
                <c:pt idx="27">
                  <c:v>3636957.560891496</c:v>
                </c:pt>
                <c:pt idx="28">
                  <c:v>3224840.1862969729</c:v>
                </c:pt>
                <c:pt idx="29">
                  <c:v>2127060.4592112997</c:v>
                </c:pt>
                <c:pt idx="30">
                  <c:v>4035708.8779314607</c:v>
                </c:pt>
                <c:pt idx="31">
                  <c:v>3879522.8053877512</c:v>
                </c:pt>
                <c:pt idx="32">
                  <c:v>3654940.2383255926</c:v>
                </c:pt>
                <c:pt idx="33">
                  <c:v>3633251.1449316167</c:v>
                </c:pt>
                <c:pt idx="34">
                  <c:v>3407126.971231435</c:v>
                </c:pt>
                <c:pt idx="35">
                  <c:v>2588054.1442695209</c:v>
                </c:pt>
                <c:pt idx="36">
                  <c:v>1771043.6261879806</c:v>
                </c:pt>
                <c:pt idx="37">
                  <c:v>1566407.6450169145</c:v>
                </c:pt>
                <c:pt idx="38">
                  <c:v>932872.9169898394</c:v>
                </c:pt>
                <c:pt idx="39">
                  <c:v>1096500.5215771575</c:v>
                </c:pt>
                <c:pt idx="40">
                  <c:v>1539474.6290422359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0F3-4200-9DAF-1CDC227EB63F}"/>
            </c:ext>
          </c:extLst>
        </c:ser>
        <c:ser>
          <c:idx val="5"/>
          <c:order val="5"/>
          <c:tx>
            <c:v>FASE C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'FASE A,B,C'!$C$10:$C$72</c:f>
              <c:numCache>
                <c:formatCode>mmm\-yy</c:formatCode>
                <c:ptCount val="63"/>
                <c:pt idx="0">
                  <c:v>45597</c:v>
                </c:pt>
                <c:pt idx="1">
                  <c:v>45627</c:v>
                </c:pt>
                <c:pt idx="2">
                  <c:v>45658</c:v>
                </c:pt>
                <c:pt idx="3">
                  <c:v>45689</c:v>
                </c:pt>
                <c:pt idx="4">
                  <c:v>45717</c:v>
                </c:pt>
                <c:pt idx="5">
                  <c:v>45748</c:v>
                </c:pt>
                <c:pt idx="6">
                  <c:v>45778</c:v>
                </c:pt>
                <c:pt idx="7">
                  <c:v>45809</c:v>
                </c:pt>
                <c:pt idx="8">
                  <c:v>45839</c:v>
                </c:pt>
                <c:pt idx="9">
                  <c:v>45870</c:v>
                </c:pt>
                <c:pt idx="10">
                  <c:v>45901</c:v>
                </c:pt>
                <c:pt idx="11">
                  <c:v>45931</c:v>
                </c:pt>
                <c:pt idx="12">
                  <c:v>45962</c:v>
                </c:pt>
                <c:pt idx="13">
                  <c:v>45992</c:v>
                </c:pt>
                <c:pt idx="14">
                  <c:v>46023</c:v>
                </c:pt>
                <c:pt idx="15">
                  <c:v>46054</c:v>
                </c:pt>
                <c:pt idx="16">
                  <c:v>46082</c:v>
                </c:pt>
                <c:pt idx="17">
                  <c:v>46113</c:v>
                </c:pt>
                <c:pt idx="18">
                  <c:v>46143</c:v>
                </c:pt>
                <c:pt idx="19">
                  <c:v>46174</c:v>
                </c:pt>
                <c:pt idx="20">
                  <c:v>46204</c:v>
                </c:pt>
                <c:pt idx="21">
                  <c:v>46235</c:v>
                </c:pt>
                <c:pt idx="22">
                  <c:v>46266</c:v>
                </c:pt>
                <c:pt idx="23">
                  <c:v>46296</c:v>
                </c:pt>
                <c:pt idx="24">
                  <c:v>46327</c:v>
                </c:pt>
                <c:pt idx="25">
                  <c:v>46357</c:v>
                </c:pt>
                <c:pt idx="26">
                  <c:v>46388</c:v>
                </c:pt>
                <c:pt idx="27">
                  <c:v>46419</c:v>
                </c:pt>
                <c:pt idx="28">
                  <c:v>46447</c:v>
                </c:pt>
                <c:pt idx="29">
                  <c:v>46478</c:v>
                </c:pt>
                <c:pt idx="30">
                  <c:v>46508</c:v>
                </c:pt>
                <c:pt idx="31">
                  <c:v>46539</c:v>
                </c:pt>
                <c:pt idx="32">
                  <c:v>46569</c:v>
                </c:pt>
                <c:pt idx="33">
                  <c:v>46600</c:v>
                </c:pt>
                <c:pt idx="34">
                  <c:v>46631</c:v>
                </c:pt>
                <c:pt idx="35">
                  <c:v>46661</c:v>
                </c:pt>
                <c:pt idx="36">
                  <c:v>46692</c:v>
                </c:pt>
                <c:pt idx="37">
                  <c:v>46722</c:v>
                </c:pt>
                <c:pt idx="38">
                  <c:v>46753</c:v>
                </c:pt>
                <c:pt idx="39">
                  <c:v>46784</c:v>
                </c:pt>
                <c:pt idx="40">
                  <c:v>46813</c:v>
                </c:pt>
                <c:pt idx="41">
                  <c:v>46844</c:v>
                </c:pt>
                <c:pt idx="42">
                  <c:v>46874</c:v>
                </c:pt>
                <c:pt idx="43">
                  <c:v>46905</c:v>
                </c:pt>
                <c:pt idx="44">
                  <c:v>46935</c:v>
                </c:pt>
                <c:pt idx="45">
                  <c:v>46966</c:v>
                </c:pt>
                <c:pt idx="46">
                  <c:v>46997</c:v>
                </c:pt>
                <c:pt idx="47">
                  <c:v>47027</c:v>
                </c:pt>
                <c:pt idx="48">
                  <c:v>47058</c:v>
                </c:pt>
                <c:pt idx="49">
                  <c:v>47088</c:v>
                </c:pt>
                <c:pt idx="50">
                  <c:v>47119</c:v>
                </c:pt>
                <c:pt idx="51">
                  <c:v>47150</c:v>
                </c:pt>
                <c:pt idx="52">
                  <c:v>47178</c:v>
                </c:pt>
                <c:pt idx="53">
                  <c:v>47209</c:v>
                </c:pt>
                <c:pt idx="54">
                  <c:v>47239</c:v>
                </c:pt>
                <c:pt idx="55">
                  <c:v>47270</c:v>
                </c:pt>
                <c:pt idx="56">
                  <c:v>47300</c:v>
                </c:pt>
                <c:pt idx="57">
                  <c:v>47331</c:v>
                </c:pt>
                <c:pt idx="58">
                  <c:v>47362</c:v>
                </c:pt>
                <c:pt idx="59">
                  <c:v>47392</c:v>
                </c:pt>
                <c:pt idx="60">
                  <c:v>47423</c:v>
                </c:pt>
                <c:pt idx="61">
                  <c:v>47453</c:v>
                </c:pt>
                <c:pt idx="62">
                  <c:v>47484</c:v>
                </c:pt>
              </c:numCache>
            </c:numRef>
          </c:xVal>
          <c:yVal>
            <c:numRef>
              <c:f>'FASE A,B,C'!$I$10:$I$72</c:f>
              <c:numCache>
                <c:formatCode>"R$"\ #,##0.00</c:formatCode>
                <c:ptCount val="63"/>
                <c:pt idx="35">
                  <c:v>257381.80479852491</c:v>
                </c:pt>
                <c:pt idx="36">
                  <c:v>297292.22772949474</c:v>
                </c:pt>
                <c:pt idx="37">
                  <c:v>398059.14412425243</c:v>
                </c:pt>
                <c:pt idx="38">
                  <c:v>589960.44647810946</c:v>
                </c:pt>
                <c:pt idx="39">
                  <c:v>1047441.5567597147</c:v>
                </c:pt>
                <c:pt idx="40">
                  <c:v>1239924.5574714772</c:v>
                </c:pt>
                <c:pt idx="41">
                  <c:v>779180.0208089801</c:v>
                </c:pt>
                <c:pt idx="42">
                  <c:v>1749827.5350267303</c:v>
                </c:pt>
                <c:pt idx="43">
                  <c:v>2903414.2531686542</c:v>
                </c:pt>
                <c:pt idx="44">
                  <c:v>3006305.8474640427</c:v>
                </c:pt>
                <c:pt idx="45">
                  <c:v>3363877.7999463361</c:v>
                </c:pt>
                <c:pt idx="46">
                  <c:v>3142191.5698074102</c:v>
                </c:pt>
                <c:pt idx="47">
                  <c:v>2635931.6014598599</c:v>
                </c:pt>
                <c:pt idx="48">
                  <c:v>3004669.2046264582</c:v>
                </c:pt>
                <c:pt idx="49">
                  <c:v>4372887.8279054333</c:v>
                </c:pt>
                <c:pt idx="50">
                  <c:v>3877379.4198856843</c:v>
                </c:pt>
                <c:pt idx="51">
                  <c:v>2557466.4085505754</c:v>
                </c:pt>
                <c:pt idx="52">
                  <c:v>4852325.586375704</c:v>
                </c:pt>
                <c:pt idx="53">
                  <c:v>4664535.6097042887</c:v>
                </c:pt>
                <c:pt idx="54">
                  <c:v>4394509.260091031</c:v>
                </c:pt>
                <c:pt idx="55">
                  <c:v>4368431.4269261109</c:v>
                </c:pt>
                <c:pt idx="56">
                  <c:v>4096551.5300030583</c:v>
                </c:pt>
                <c:pt idx="57">
                  <c:v>3111741.1396635314</c:v>
                </c:pt>
                <c:pt idx="58">
                  <c:v>2129410.3618158689</c:v>
                </c:pt>
                <c:pt idx="59">
                  <c:v>1883366.7453500519</c:v>
                </c:pt>
                <c:pt idx="60">
                  <c:v>1121637.6752792157</c:v>
                </c:pt>
                <c:pt idx="61">
                  <c:v>1318374.9614393041</c:v>
                </c:pt>
                <c:pt idx="62">
                  <c:v>1850983.8935425689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0F3-4200-9DAF-1CDC227EB63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65137480"/>
        <c:axId val="66514043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FASE A</c:v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>
                      <c:ext uri="{02D57815-91ED-43cb-92C2-25804820EDAC}">
                        <c15:formulaRef>
                          <c15:sqref>'FASE A,B,C'!$C$10:$C$72</c15:sqref>
                        </c15:formulaRef>
                      </c:ext>
                    </c:extLst>
                    <c:numCache>
                      <c:formatCode>mmm\-yy</c:formatCode>
                      <c:ptCount val="63"/>
                      <c:pt idx="0">
                        <c:v>45597</c:v>
                      </c:pt>
                      <c:pt idx="1">
                        <c:v>45627</c:v>
                      </c:pt>
                      <c:pt idx="2">
                        <c:v>45658</c:v>
                      </c:pt>
                      <c:pt idx="3">
                        <c:v>45689</c:v>
                      </c:pt>
                      <c:pt idx="4">
                        <c:v>45717</c:v>
                      </c:pt>
                      <c:pt idx="5">
                        <c:v>45748</c:v>
                      </c:pt>
                      <c:pt idx="6">
                        <c:v>45778</c:v>
                      </c:pt>
                      <c:pt idx="7">
                        <c:v>45809</c:v>
                      </c:pt>
                      <c:pt idx="8">
                        <c:v>45839</c:v>
                      </c:pt>
                      <c:pt idx="9">
                        <c:v>45870</c:v>
                      </c:pt>
                      <c:pt idx="10">
                        <c:v>45901</c:v>
                      </c:pt>
                      <c:pt idx="11">
                        <c:v>45931</c:v>
                      </c:pt>
                      <c:pt idx="12">
                        <c:v>45962</c:v>
                      </c:pt>
                      <c:pt idx="13">
                        <c:v>45992</c:v>
                      </c:pt>
                      <c:pt idx="14">
                        <c:v>46023</c:v>
                      </c:pt>
                      <c:pt idx="15">
                        <c:v>46054</c:v>
                      </c:pt>
                      <c:pt idx="16">
                        <c:v>46082</c:v>
                      </c:pt>
                      <c:pt idx="17">
                        <c:v>46113</c:v>
                      </c:pt>
                      <c:pt idx="18">
                        <c:v>46143</c:v>
                      </c:pt>
                      <c:pt idx="19">
                        <c:v>46174</c:v>
                      </c:pt>
                      <c:pt idx="20">
                        <c:v>46204</c:v>
                      </c:pt>
                      <c:pt idx="21">
                        <c:v>46235</c:v>
                      </c:pt>
                      <c:pt idx="22">
                        <c:v>46266</c:v>
                      </c:pt>
                      <c:pt idx="23">
                        <c:v>46296</c:v>
                      </c:pt>
                      <c:pt idx="24">
                        <c:v>46327</c:v>
                      </c:pt>
                      <c:pt idx="25">
                        <c:v>46357</c:v>
                      </c:pt>
                      <c:pt idx="26">
                        <c:v>46388</c:v>
                      </c:pt>
                      <c:pt idx="27">
                        <c:v>46419</c:v>
                      </c:pt>
                      <c:pt idx="28">
                        <c:v>46447</c:v>
                      </c:pt>
                      <c:pt idx="29">
                        <c:v>46478</c:v>
                      </c:pt>
                      <c:pt idx="30">
                        <c:v>46508</c:v>
                      </c:pt>
                      <c:pt idx="31">
                        <c:v>46539</c:v>
                      </c:pt>
                      <c:pt idx="32">
                        <c:v>46569</c:v>
                      </c:pt>
                      <c:pt idx="33">
                        <c:v>46600</c:v>
                      </c:pt>
                      <c:pt idx="34">
                        <c:v>46631</c:v>
                      </c:pt>
                      <c:pt idx="35">
                        <c:v>46661</c:v>
                      </c:pt>
                      <c:pt idx="36">
                        <c:v>46692</c:v>
                      </c:pt>
                      <c:pt idx="37">
                        <c:v>46722</c:v>
                      </c:pt>
                      <c:pt idx="38">
                        <c:v>46753</c:v>
                      </c:pt>
                      <c:pt idx="39">
                        <c:v>46784</c:v>
                      </c:pt>
                      <c:pt idx="40">
                        <c:v>46813</c:v>
                      </c:pt>
                      <c:pt idx="41">
                        <c:v>46844</c:v>
                      </c:pt>
                      <c:pt idx="42">
                        <c:v>46874</c:v>
                      </c:pt>
                      <c:pt idx="43">
                        <c:v>46905</c:v>
                      </c:pt>
                      <c:pt idx="44">
                        <c:v>46935</c:v>
                      </c:pt>
                      <c:pt idx="45">
                        <c:v>46966</c:v>
                      </c:pt>
                      <c:pt idx="46">
                        <c:v>46997</c:v>
                      </c:pt>
                      <c:pt idx="47">
                        <c:v>47027</c:v>
                      </c:pt>
                      <c:pt idx="48">
                        <c:v>47058</c:v>
                      </c:pt>
                      <c:pt idx="49">
                        <c:v>47088</c:v>
                      </c:pt>
                      <c:pt idx="50">
                        <c:v>47119</c:v>
                      </c:pt>
                      <c:pt idx="51">
                        <c:v>47150</c:v>
                      </c:pt>
                      <c:pt idx="52">
                        <c:v>47178</c:v>
                      </c:pt>
                      <c:pt idx="53">
                        <c:v>47209</c:v>
                      </c:pt>
                      <c:pt idx="54">
                        <c:v>47239</c:v>
                      </c:pt>
                      <c:pt idx="55">
                        <c:v>47270</c:v>
                      </c:pt>
                      <c:pt idx="56">
                        <c:v>47300</c:v>
                      </c:pt>
                      <c:pt idx="57">
                        <c:v>47331</c:v>
                      </c:pt>
                      <c:pt idx="58">
                        <c:v>47362</c:v>
                      </c:pt>
                      <c:pt idx="59">
                        <c:v>47392</c:v>
                      </c:pt>
                      <c:pt idx="60">
                        <c:v>47423</c:v>
                      </c:pt>
                      <c:pt idx="61">
                        <c:v>47453</c:v>
                      </c:pt>
                      <c:pt idx="62">
                        <c:v>47484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'FASE A,B,C'!$D$10:$D$72</c15:sqref>
                        </c15:formulaRef>
                      </c:ext>
                    </c:extLst>
                    <c:numCache>
                      <c:formatCode>0.00%</c:formatCode>
                      <c:ptCount val="63"/>
                      <c:pt idx="0">
                        <c:v>3.3999999999999998E-3</c:v>
                      </c:pt>
                      <c:pt idx="1">
                        <c:v>3.0000000000000001E-3</c:v>
                      </c:pt>
                      <c:pt idx="2">
                        <c:v>1.6999999999999999E-3</c:v>
                      </c:pt>
                      <c:pt idx="3">
                        <c:v>2.5999999999999999E-3</c:v>
                      </c:pt>
                      <c:pt idx="4">
                        <c:v>3.3999999999999998E-3</c:v>
                      </c:pt>
                      <c:pt idx="5">
                        <c:v>2.5999999999999999E-3</c:v>
                      </c:pt>
                      <c:pt idx="6">
                        <c:v>3.2000000000000002E-3</c:v>
                      </c:pt>
                      <c:pt idx="7">
                        <c:v>5.7000000000000002E-3</c:v>
                      </c:pt>
                      <c:pt idx="8">
                        <c:v>6.1999999999999998E-3</c:v>
                      </c:pt>
                      <c:pt idx="9">
                        <c:v>1.0800000000000001E-2</c:v>
                      </c:pt>
                      <c:pt idx="10">
                        <c:v>6.1999999999999998E-3</c:v>
                      </c:pt>
                      <c:pt idx="11">
                        <c:v>8.5000000000000006E-3</c:v>
                      </c:pt>
                      <c:pt idx="12">
                        <c:v>1.0999999999999999E-2</c:v>
                      </c:pt>
                      <c:pt idx="13">
                        <c:v>7.9000000000000008E-3</c:v>
                      </c:pt>
                      <c:pt idx="14">
                        <c:v>1.3100000000000001E-2</c:v>
                      </c:pt>
                      <c:pt idx="15">
                        <c:v>1.12E-2</c:v>
                      </c:pt>
                      <c:pt idx="16">
                        <c:v>1.01E-2</c:v>
                      </c:pt>
                      <c:pt idx="17">
                        <c:v>3.6799999999999999E-2</c:v>
                      </c:pt>
                      <c:pt idx="18">
                        <c:v>4.2500000000000003E-2</c:v>
                      </c:pt>
                      <c:pt idx="19">
                        <c:v>3.78E-2</c:v>
                      </c:pt>
                      <c:pt idx="20">
                        <c:v>6.1400000000000003E-2</c:v>
                      </c:pt>
                      <c:pt idx="21">
                        <c:v>5.6500000000000002E-2</c:v>
                      </c:pt>
                      <c:pt idx="22">
                        <c:v>3.95E-2</c:v>
                      </c:pt>
                      <c:pt idx="23">
                        <c:v>5.5500000000000001E-2</c:v>
                      </c:pt>
                      <c:pt idx="24">
                        <c:v>4.24E-2</c:v>
                      </c:pt>
                      <c:pt idx="25">
                        <c:v>3.2399999999999998E-2</c:v>
                      </c:pt>
                      <c:pt idx="26">
                        <c:v>4.9799999999999997E-2</c:v>
                      </c:pt>
                      <c:pt idx="27">
                        <c:v>5.2200000000000003E-2</c:v>
                      </c:pt>
                      <c:pt idx="28">
                        <c:v>4.8599999999999997E-2</c:v>
                      </c:pt>
                      <c:pt idx="29">
                        <c:v>5.3499999999999999E-2</c:v>
                      </c:pt>
                      <c:pt idx="30">
                        <c:v>4.8899999999999999E-2</c:v>
                      </c:pt>
                      <c:pt idx="31">
                        <c:v>5.4300000000000001E-2</c:v>
                      </c:pt>
                      <c:pt idx="32">
                        <c:v>5.1900000000000002E-2</c:v>
                      </c:pt>
                      <c:pt idx="33">
                        <c:v>5.6500000000000002E-2</c:v>
                      </c:pt>
                      <c:pt idx="34">
                        <c:v>5.0599999999999999E-2</c:v>
                      </c:pt>
                      <c:pt idx="35">
                        <c:v>1.83E-2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30F3-4200-9DAF-1CDC227EB63F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FASE B</c:v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'FASE A,B,C'!$C$10:$C$72</c15:sqref>
                        </c15:formulaRef>
                      </c:ext>
                    </c:extLst>
                    <c:numCache>
                      <c:formatCode>mmm\-yy</c:formatCode>
                      <c:ptCount val="63"/>
                      <c:pt idx="0">
                        <c:v>45597</c:v>
                      </c:pt>
                      <c:pt idx="1">
                        <c:v>45627</c:v>
                      </c:pt>
                      <c:pt idx="2">
                        <c:v>45658</c:v>
                      </c:pt>
                      <c:pt idx="3">
                        <c:v>45689</c:v>
                      </c:pt>
                      <c:pt idx="4">
                        <c:v>45717</c:v>
                      </c:pt>
                      <c:pt idx="5">
                        <c:v>45748</c:v>
                      </c:pt>
                      <c:pt idx="6">
                        <c:v>45778</c:v>
                      </c:pt>
                      <c:pt idx="7">
                        <c:v>45809</c:v>
                      </c:pt>
                      <c:pt idx="8">
                        <c:v>45839</c:v>
                      </c:pt>
                      <c:pt idx="9">
                        <c:v>45870</c:v>
                      </c:pt>
                      <c:pt idx="10">
                        <c:v>45901</c:v>
                      </c:pt>
                      <c:pt idx="11">
                        <c:v>45931</c:v>
                      </c:pt>
                      <c:pt idx="12">
                        <c:v>45962</c:v>
                      </c:pt>
                      <c:pt idx="13">
                        <c:v>45992</c:v>
                      </c:pt>
                      <c:pt idx="14">
                        <c:v>46023</c:v>
                      </c:pt>
                      <c:pt idx="15">
                        <c:v>46054</c:v>
                      </c:pt>
                      <c:pt idx="16">
                        <c:v>46082</c:v>
                      </c:pt>
                      <c:pt idx="17">
                        <c:v>46113</c:v>
                      </c:pt>
                      <c:pt idx="18">
                        <c:v>46143</c:v>
                      </c:pt>
                      <c:pt idx="19">
                        <c:v>46174</c:v>
                      </c:pt>
                      <c:pt idx="20">
                        <c:v>46204</c:v>
                      </c:pt>
                      <c:pt idx="21">
                        <c:v>46235</c:v>
                      </c:pt>
                      <c:pt idx="22">
                        <c:v>46266</c:v>
                      </c:pt>
                      <c:pt idx="23">
                        <c:v>46296</c:v>
                      </c:pt>
                      <c:pt idx="24">
                        <c:v>46327</c:v>
                      </c:pt>
                      <c:pt idx="25">
                        <c:v>46357</c:v>
                      </c:pt>
                      <c:pt idx="26">
                        <c:v>46388</c:v>
                      </c:pt>
                      <c:pt idx="27">
                        <c:v>46419</c:v>
                      </c:pt>
                      <c:pt idx="28">
                        <c:v>46447</c:v>
                      </c:pt>
                      <c:pt idx="29">
                        <c:v>46478</c:v>
                      </c:pt>
                      <c:pt idx="30">
                        <c:v>46508</c:v>
                      </c:pt>
                      <c:pt idx="31">
                        <c:v>46539</c:v>
                      </c:pt>
                      <c:pt idx="32">
                        <c:v>46569</c:v>
                      </c:pt>
                      <c:pt idx="33">
                        <c:v>46600</c:v>
                      </c:pt>
                      <c:pt idx="34">
                        <c:v>46631</c:v>
                      </c:pt>
                      <c:pt idx="35">
                        <c:v>46661</c:v>
                      </c:pt>
                      <c:pt idx="36">
                        <c:v>46692</c:v>
                      </c:pt>
                      <c:pt idx="37">
                        <c:v>46722</c:v>
                      </c:pt>
                      <c:pt idx="38">
                        <c:v>46753</c:v>
                      </c:pt>
                      <c:pt idx="39">
                        <c:v>46784</c:v>
                      </c:pt>
                      <c:pt idx="40">
                        <c:v>46813</c:v>
                      </c:pt>
                      <c:pt idx="41">
                        <c:v>46844</c:v>
                      </c:pt>
                      <c:pt idx="42">
                        <c:v>46874</c:v>
                      </c:pt>
                      <c:pt idx="43">
                        <c:v>46905</c:v>
                      </c:pt>
                      <c:pt idx="44">
                        <c:v>46935</c:v>
                      </c:pt>
                      <c:pt idx="45">
                        <c:v>46966</c:v>
                      </c:pt>
                      <c:pt idx="46">
                        <c:v>46997</c:v>
                      </c:pt>
                      <c:pt idx="47">
                        <c:v>47027</c:v>
                      </c:pt>
                      <c:pt idx="48">
                        <c:v>47058</c:v>
                      </c:pt>
                      <c:pt idx="49">
                        <c:v>47088</c:v>
                      </c:pt>
                      <c:pt idx="50">
                        <c:v>47119</c:v>
                      </c:pt>
                      <c:pt idx="51">
                        <c:v>47150</c:v>
                      </c:pt>
                      <c:pt idx="52">
                        <c:v>47178</c:v>
                      </c:pt>
                      <c:pt idx="53">
                        <c:v>47209</c:v>
                      </c:pt>
                      <c:pt idx="54">
                        <c:v>47239</c:v>
                      </c:pt>
                      <c:pt idx="55">
                        <c:v>47270</c:v>
                      </c:pt>
                      <c:pt idx="56">
                        <c:v>47300</c:v>
                      </c:pt>
                      <c:pt idx="57">
                        <c:v>47331</c:v>
                      </c:pt>
                      <c:pt idx="58">
                        <c:v>47362</c:v>
                      </c:pt>
                      <c:pt idx="59">
                        <c:v>47392</c:v>
                      </c:pt>
                      <c:pt idx="60">
                        <c:v>47423</c:v>
                      </c:pt>
                      <c:pt idx="61">
                        <c:v>47453</c:v>
                      </c:pt>
                      <c:pt idx="62">
                        <c:v>47484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'FASE A,B,C'!$F$10:$F$72</c15:sqref>
                        </c15:formulaRef>
                      </c:ext>
                    </c:extLst>
                    <c:numCache>
                      <c:formatCode>0.00%</c:formatCode>
                      <c:ptCount val="63"/>
                      <c:pt idx="13">
                        <c:v>3.7293571428571471E-3</c:v>
                      </c:pt>
                      <c:pt idx="14">
                        <c:v>4.307642857142864E-3</c:v>
                      </c:pt>
                      <c:pt idx="15">
                        <c:v>5.7677142857143066E-3</c:v>
                      </c:pt>
                      <c:pt idx="16">
                        <c:v>8.5482857142858085E-3</c:v>
                      </c:pt>
                      <c:pt idx="17">
                        <c:v>1.5177000000000152E-2</c:v>
                      </c:pt>
                      <c:pt idx="18">
                        <c:v>1.7965999999999774E-2</c:v>
                      </c:pt>
                      <c:pt idx="19">
                        <c:v>1.1290000000000792E-2</c:v>
                      </c:pt>
                      <c:pt idx="20">
                        <c:v>2.5354285714284691E-2</c:v>
                      </c:pt>
                      <c:pt idx="21">
                        <c:v>4.2069285714286142E-2</c:v>
                      </c:pt>
                      <c:pt idx="22">
                        <c:v>4.3560142857143769E-2</c:v>
                      </c:pt>
                      <c:pt idx="23">
                        <c:v>4.8741214285712986E-2</c:v>
                      </c:pt>
                      <c:pt idx="24">
                        <c:v>4.5529071428571849E-2</c:v>
                      </c:pt>
                      <c:pt idx="25">
                        <c:v>3.8193571428571882E-2</c:v>
                      </c:pt>
                      <c:pt idx="26">
                        <c:v>4.3536428571429475E-2</c:v>
                      </c:pt>
                      <c:pt idx="27">
                        <c:v>6.3361357142856067E-2</c:v>
                      </c:pt>
                      <c:pt idx="28">
                        <c:v>5.6181642857144387E-2</c:v>
                      </c:pt>
                      <c:pt idx="29">
                        <c:v>3.7056642857140942E-2</c:v>
                      </c:pt>
                      <c:pt idx="30">
                        <c:v>7.0308214285714876E-2</c:v>
                      </c:pt>
                      <c:pt idx="31">
                        <c:v>6.7587214285715902E-2</c:v>
                      </c:pt>
                      <c:pt idx="32">
                        <c:v>6.367464285714064E-2</c:v>
                      </c:pt>
                      <c:pt idx="33">
                        <c:v>6.329678571428643E-2</c:v>
                      </c:pt>
                      <c:pt idx="34">
                        <c:v>5.9357357142857503E-2</c:v>
                      </c:pt>
                      <c:pt idx="35">
                        <c:v>4.5087857142857124E-2</c:v>
                      </c:pt>
                      <c:pt idx="36">
                        <c:v>3.0854285714285057E-2</c:v>
                      </c:pt>
                      <c:pt idx="37">
                        <c:v>2.7289214285714292E-2</c:v>
                      </c:pt>
                      <c:pt idx="38">
                        <c:v>1.6252071428571324E-2</c:v>
                      </c:pt>
                      <c:pt idx="39">
                        <c:v>1.9102714285714195E-2</c:v>
                      </c:pt>
                      <c:pt idx="40">
                        <c:v>2.6820000000000288E-2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30F3-4200-9DAF-1CDC227EB63F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FASE C</c:v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'FASE A,B,C'!$C$10:$C$72</c15:sqref>
                        </c15:formulaRef>
                      </c:ext>
                    </c:extLst>
                    <c:numCache>
                      <c:formatCode>mmm\-yy</c:formatCode>
                      <c:ptCount val="63"/>
                      <c:pt idx="0">
                        <c:v>45597</c:v>
                      </c:pt>
                      <c:pt idx="1">
                        <c:v>45627</c:v>
                      </c:pt>
                      <c:pt idx="2">
                        <c:v>45658</c:v>
                      </c:pt>
                      <c:pt idx="3">
                        <c:v>45689</c:v>
                      </c:pt>
                      <c:pt idx="4">
                        <c:v>45717</c:v>
                      </c:pt>
                      <c:pt idx="5">
                        <c:v>45748</c:v>
                      </c:pt>
                      <c:pt idx="6">
                        <c:v>45778</c:v>
                      </c:pt>
                      <c:pt idx="7">
                        <c:v>45809</c:v>
                      </c:pt>
                      <c:pt idx="8">
                        <c:v>45839</c:v>
                      </c:pt>
                      <c:pt idx="9">
                        <c:v>45870</c:v>
                      </c:pt>
                      <c:pt idx="10">
                        <c:v>45901</c:v>
                      </c:pt>
                      <c:pt idx="11">
                        <c:v>45931</c:v>
                      </c:pt>
                      <c:pt idx="12">
                        <c:v>45962</c:v>
                      </c:pt>
                      <c:pt idx="13">
                        <c:v>45992</c:v>
                      </c:pt>
                      <c:pt idx="14">
                        <c:v>46023</c:v>
                      </c:pt>
                      <c:pt idx="15">
                        <c:v>46054</c:v>
                      </c:pt>
                      <c:pt idx="16">
                        <c:v>46082</c:v>
                      </c:pt>
                      <c:pt idx="17">
                        <c:v>46113</c:v>
                      </c:pt>
                      <c:pt idx="18">
                        <c:v>46143</c:v>
                      </c:pt>
                      <c:pt idx="19">
                        <c:v>46174</c:v>
                      </c:pt>
                      <c:pt idx="20">
                        <c:v>46204</c:v>
                      </c:pt>
                      <c:pt idx="21">
                        <c:v>46235</c:v>
                      </c:pt>
                      <c:pt idx="22">
                        <c:v>46266</c:v>
                      </c:pt>
                      <c:pt idx="23">
                        <c:v>46296</c:v>
                      </c:pt>
                      <c:pt idx="24">
                        <c:v>46327</c:v>
                      </c:pt>
                      <c:pt idx="25">
                        <c:v>46357</c:v>
                      </c:pt>
                      <c:pt idx="26">
                        <c:v>46388</c:v>
                      </c:pt>
                      <c:pt idx="27">
                        <c:v>46419</c:v>
                      </c:pt>
                      <c:pt idx="28">
                        <c:v>46447</c:v>
                      </c:pt>
                      <c:pt idx="29">
                        <c:v>46478</c:v>
                      </c:pt>
                      <c:pt idx="30">
                        <c:v>46508</c:v>
                      </c:pt>
                      <c:pt idx="31">
                        <c:v>46539</c:v>
                      </c:pt>
                      <c:pt idx="32">
                        <c:v>46569</c:v>
                      </c:pt>
                      <c:pt idx="33">
                        <c:v>46600</c:v>
                      </c:pt>
                      <c:pt idx="34">
                        <c:v>46631</c:v>
                      </c:pt>
                      <c:pt idx="35">
                        <c:v>46661</c:v>
                      </c:pt>
                      <c:pt idx="36">
                        <c:v>46692</c:v>
                      </c:pt>
                      <c:pt idx="37">
                        <c:v>46722</c:v>
                      </c:pt>
                      <c:pt idx="38">
                        <c:v>46753</c:v>
                      </c:pt>
                      <c:pt idx="39">
                        <c:v>46784</c:v>
                      </c:pt>
                      <c:pt idx="40">
                        <c:v>46813</c:v>
                      </c:pt>
                      <c:pt idx="41">
                        <c:v>46844</c:v>
                      </c:pt>
                      <c:pt idx="42">
                        <c:v>46874</c:v>
                      </c:pt>
                      <c:pt idx="43">
                        <c:v>46905</c:v>
                      </c:pt>
                      <c:pt idx="44">
                        <c:v>46935</c:v>
                      </c:pt>
                      <c:pt idx="45">
                        <c:v>46966</c:v>
                      </c:pt>
                      <c:pt idx="46">
                        <c:v>46997</c:v>
                      </c:pt>
                      <c:pt idx="47">
                        <c:v>47027</c:v>
                      </c:pt>
                      <c:pt idx="48">
                        <c:v>47058</c:v>
                      </c:pt>
                      <c:pt idx="49">
                        <c:v>47088</c:v>
                      </c:pt>
                      <c:pt idx="50">
                        <c:v>47119</c:v>
                      </c:pt>
                      <c:pt idx="51">
                        <c:v>47150</c:v>
                      </c:pt>
                      <c:pt idx="52">
                        <c:v>47178</c:v>
                      </c:pt>
                      <c:pt idx="53">
                        <c:v>47209</c:v>
                      </c:pt>
                      <c:pt idx="54">
                        <c:v>47239</c:v>
                      </c:pt>
                      <c:pt idx="55">
                        <c:v>47270</c:v>
                      </c:pt>
                      <c:pt idx="56">
                        <c:v>47300</c:v>
                      </c:pt>
                      <c:pt idx="57">
                        <c:v>47331</c:v>
                      </c:pt>
                      <c:pt idx="58">
                        <c:v>47362</c:v>
                      </c:pt>
                      <c:pt idx="59">
                        <c:v>47392</c:v>
                      </c:pt>
                      <c:pt idx="60">
                        <c:v>47423</c:v>
                      </c:pt>
                      <c:pt idx="61">
                        <c:v>47453</c:v>
                      </c:pt>
                      <c:pt idx="62">
                        <c:v>47484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'FASE A,B,C'!$H$10:$H$72</c15:sqref>
                        </c15:formulaRef>
                      </c:ext>
                    </c:extLst>
                    <c:numCache>
                      <c:formatCode>0.00%</c:formatCode>
                      <c:ptCount val="63"/>
                      <c:pt idx="35">
                        <c:v>3.7293571428571471E-3</c:v>
                      </c:pt>
                      <c:pt idx="36">
                        <c:v>4.307642857142864E-3</c:v>
                      </c:pt>
                      <c:pt idx="37">
                        <c:v>5.7677142857143066E-3</c:v>
                      </c:pt>
                      <c:pt idx="38">
                        <c:v>8.5482857142858085E-3</c:v>
                      </c:pt>
                      <c:pt idx="39">
                        <c:v>1.5177000000000152E-2</c:v>
                      </c:pt>
                      <c:pt idx="40">
                        <c:v>1.7965999999999774E-2</c:v>
                      </c:pt>
                      <c:pt idx="41">
                        <c:v>1.1290000000000792E-2</c:v>
                      </c:pt>
                      <c:pt idx="42">
                        <c:v>2.5354285714284691E-2</c:v>
                      </c:pt>
                      <c:pt idx="43">
                        <c:v>4.2069285714286142E-2</c:v>
                      </c:pt>
                      <c:pt idx="44">
                        <c:v>4.3560142857143769E-2</c:v>
                      </c:pt>
                      <c:pt idx="45">
                        <c:v>4.8741214285712986E-2</c:v>
                      </c:pt>
                      <c:pt idx="46">
                        <c:v>4.5529071428571849E-2</c:v>
                      </c:pt>
                      <c:pt idx="47">
                        <c:v>3.8193571428571882E-2</c:v>
                      </c:pt>
                      <c:pt idx="48">
                        <c:v>4.3536428571429475E-2</c:v>
                      </c:pt>
                      <c:pt idx="49">
                        <c:v>6.3361357142856067E-2</c:v>
                      </c:pt>
                      <c:pt idx="50">
                        <c:v>5.6181642857144387E-2</c:v>
                      </c:pt>
                      <c:pt idx="51">
                        <c:v>3.7056642857140942E-2</c:v>
                      </c:pt>
                      <c:pt idx="52">
                        <c:v>7.0308214285714876E-2</c:v>
                      </c:pt>
                      <c:pt idx="53">
                        <c:v>6.7587214285715902E-2</c:v>
                      </c:pt>
                      <c:pt idx="54">
                        <c:v>6.367464285714064E-2</c:v>
                      </c:pt>
                      <c:pt idx="55">
                        <c:v>6.329678571428643E-2</c:v>
                      </c:pt>
                      <c:pt idx="56">
                        <c:v>5.9357357142857503E-2</c:v>
                      </c:pt>
                      <c:pt idx="57">
                        <c:v>4.5087857142857124E-2</c:v>
                      </c:pt>
                      <c:pt idx="58">
                        <c:v>3.0854285714285057E-2</c:v>
                      </c:pt>
                      <c:pt idx="59">
                        <c:v>2.7289214285714292E-2</c:v>
                      </c:pt>
                      <c:pt idx="60">
                        <c:v>1.6252071428571324E-2</c:v>
                      </c:pt>
                      <c:pt idx="61">
                        <c:v>1.9102714285714195E-2</c:v>
                      </c:pt>
                      <c:pt idx="62">
                        <c:v>2.6820000000000288E-2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30F3-4200-9DAF-1CDC227EB63F}"/>
                  </c:ext>
                </c:extLst>
              </c15:ser>
            </c15:filteredScatterSeries>
          </c:ext>
        </c:extLst>
      </c:scatterChart>
      <c:valAx>
        <c:axId val="665137480"/>
        <c:scaling>
          <c:orientation val="minMax"/>
          <c:max val="47484"/>
          <c:min val="45566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5140432"/>
        <c:crosses val="autoZero"/>
        <c:crossBetween val="midCat"/>
      </c:valAx>
      <c:valAx>
        <c:axId val="665140432"/>
        <c:scaling>
          <c:orientation val="minMax"/>
          <c:max val="5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5137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image" Target="../media/image1.png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266702</xdr:colOff>
      <xdr:row>12</xdr:row>
      <xdr:rowOff>400050</xdr:rowOff>
    </xdr:from>
    <xdr:to>
      <xdr:col>41</xdr:col>
      <xdr:colOff>213360</xdr:colOff>
      <xdr:row>35</xdr:row>
      <xdr:rowOff>130175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379253E-B195-4BE9-8AA2-15BC7419C0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278040</xdr:colOff>
      <xdr:row>36</xdr:row>
      <xdr:rowOff>0</xdr:rowOff>
    </xdr:from>
    <xdr:to>
      <xdr:col>41</xdr:col>
      <xdr:colOff>274320</xdr:colOff>
      <xdr:row>85</xdr:row>
      <xdr:rowOff>82550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D426085-10A7-4626-8E44-BD5532E03B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121104</xdr:colOff>
      <xdr:row>1</xdr:row>
      <xdr:rowOff>171450</xdr:rowOff>
    </xdr:from>
    <xdr:to>
      <xdr:col>3</xdr:col>
      <xdr:colOff>587635</xdr:colOff>
      <xdr:row>5</xdr:row>
      <xdr:rowOff>117767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DA1FE0B-1A20-419A-BD18-505BED92A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0164" y="232410"/>
          <a:ext cx="2592063" cy="100549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266702</xdr:colOff>
      <xdr:row>12</xdr:row>
      <xdr:rowOff>400050</xdr:rowOff>
    </xdr:from>
    <xdr:to>
      <xdr:col>29</xdr:col>
      <xdr:colOff>561975</xdr:colOff>
      <xdr:row>35</xdr:row>
      <xdr:rowOff>130175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E4CBBF8-D4F9-4BA7-B46B-7C04B64500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278040</xdr:colOff>
      <xdr:row>36</xdr:row>
      <xdr:rowOff>0</xdr:rowOff>
    </xdr:from>
    <xdr:to>
      <xdr:col>29</xdr:col>
      <xdr:colOff>561975</xdr:colOff>
      <xdr:row>77</xdr:row>
      <xdr:rowOff>82550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7FA39C6-05ED-4C47-BFF9-F0C7D321A0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121104</xdr:colOff>
      <xdr:row>1</xdr:row>
      <xdr:rowOff>171450</xdr:rowOff>
    </xdr:from>
    <xdr:to>
      <xdr:col>2</xdr:col>
      <xdr:colOff>1695999</xdr:colOff>
      <xdr:row>5</xdr:row>
      <xdr:rowOff>117767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2590AD5-A336-4D9F-81BD-D3CBB7222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0164" y="232410"/>
          <a:ext cx="2592511" cy="100549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266702</xdr:colOff>
      <xdr:row>12</xdr:row>
      <xdr:rowOff>400050</xdr:rowOff>
    </xdr:from>
    <xdr:to>
      <xdr:col>29</xdr:col>
      <xdr:colOff>561975</xdr:colOff>
      <xdr:row>35</xdr:row>
      <xdr:rowOff>130175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C174B01-DD7C-41E7-9DFE-A6BC8A779C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278040</xdr:colOff>
      <xdr:row>36</xdr:row>
      <xdr:rowOff>0</xdr:rowOff>
    </xdr:from>
    <xdr:to>
      <xdr:col>29</xdr:col>
      <xdr:colOff>561975</xdr:colOff>
      <xdr:row>77</xdr:row>
      <xdr:rowOff>82550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6E15054-E337-4F10-B534-B6AA49A373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121104</xdr:colOff>
      <xdr:row>1</xdr:row>
      <xdr:rowOff>171450</xdr:rowOff>
    </xdr:from>
    <xdr:to>
      <xdr:col>3</xdr:col>
      <xdr:colOff>518362</xdr:colOff>
      <xdr:row>5</xdr:row>
      <xdr:rowOff>117767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9DBDDC7-114C-489B-9D11-E8E84FBFA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0164" y="232410"/>
          <a:ext cx="2592511" cy="100549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381002</xdr:colOff>
      <xdr:row>8</xdr:row>
      <xdr:rowOff>152400</xdr:rowOff>
    </xdr:from>
    <xdr:to>
      <xdr:col>47</xdr:col>
      <xdr:colOff>19050</xdr:colOff>
      <xdr:row>31</xdr:row>
      <xdr:rowOff>301625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E9AF6FA-E4A0-4563-8872-4AEBF693B1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392340</xdr:colOff>
      <xdr:row>32</xdr:row>
      <xdr:rowOff>171450</xdr:rowOff>
    </xdr:from>
    <xdr:to>
      <xdr:col>47</xdr:col>
      <xdr:colOff>57150</xdr:colOff>
      <xdr:row>80</xdr:row>
      <xdr:rowOff>63500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E4F3306-35CE-4DAF-9D36-B57F7F3664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121104</xdr:colOff>
      <xdr:row>1</xdr:row>
      <xdr:rowOff>171450</xdr:rowOff>
    </xdr:from>
    <xdr:to>
      <xdr:col>3</xdr:col>
      <xdr:colOff>757964</xdr:colOff>
      <xdr:row>5</xdr:row>
      <xdr:rowOff>117767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AED5815-A004-4A54-88BC-FC728CF04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0164" y="232410"/>
          <a:ext cx="2592063" cy="100549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152402</xdr:colOff>
      <xdr:row>8</xdr:row>
      <xdr:rowOff>0</xdr:rowOff>
    </xdr:from>
    <xdr:to>
      <xdr:col>49</xdr:col>
      <xdr:colOff>400050</xdr:colOff>
      <xdr:row>28</xdr:row>
      <xdr:rowOff>377825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4C32324-BD85-4984-9B28-853B6B4329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121104</xdr:colOff>
      <xdr:row>1</xdr:row>
      <xdr:rowOff>171450</xdr:rowOff>
    </xdr:from>
    <xdr:to>
      <xdr:col>3</xdr:col>
      <xdr:colOff>757964</xdr:colOff>
      <xdr:row>5</xdr:row>
      <xdr:rowOff>117767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4A42633-3927-4239-84C2-8A19F9C7F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36764"/>
          <a:ext cx="2585403" cy="1002232"/>
        </a:xfrm>
        <a:prstGeom prst="rect">
          <a:avLst/>
        </a:prstGeom>
      </xdr:spPr>
    </xdr:pic>
    <xdr:clientData/>
  </xdr:twoCellAnchor>
  <xdr:twoCellAnchor>
    <xdr:from>
      <xdr:col>10</xdr:col>
      <xdr:colOff>396240</xdr:colOff>
      <xdr:row>30</xdr:row>
      <xdr:rowOff>30480</xdr:rowOff>
    </xdr:from>
    <xdr:to>
      <xdr:col>56</xdr:col>
      <xdr:colOff>579120</xdr:colOff>
      <xdr:row>87</xdr:row>
      <xdr:rowOff>121920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2F13A6F-2933-1A46-8A77-A99C0EE133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postas%20Fechadas\Cost&#227;o%20do%20Santinho%20-%2012.2022\03.%20Custo\03.0%20Custo%20-%20Or&#231;amento%20Param&#233;trico\CTN-CST-STM%20%20-%20Apresenta&#231;&#227;o_Or&#231;amento_R00.xlsx" TargetMode="External"/><Relationship Id="rId1" Type="http://schemas.openxmlformats.org/officeDocument/2006/relationships/externalLinkPath" Target="CTN-CST-STM%20%20-%20Apresenta&#231;&#227;o_Or&#231;amento_R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renciamento executivo "/>
      <sheetName val="Gerenciamento_Exec"/>
      <sheetName val="MÃO_OBRA (2)"/>
      <sheetName val="Planilha2"/>
    </sheetNames>
    <sheetDataSet>
      <sheetData sheetId="0"/>
      <sheetData sheetId="1">
        <row r="12">
          <cell r="G12">
            <v>38429.49</v>
          </cell>
        </row>
        <row r="20">
          <cell r="D20">
            <v>4771.0406698602019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8B238-3139-480C-BCB6-EDC9A10AFE89}">
  <dimension ref="A2:AP1132"/>
  <sheetViews>
    <sheetView workbookViewId="0">
      <selection activeCell="E1132" sqref="E1132:AP1132"/>
    </sheetView>
  </sheetViews>
  <sheetFormatPr defaultRowHeight="14.4" x14ac:dyDescent="0.3"/>
  <cols>
    <col min="1" max="1" width="85.5546875" bestFit="1" customWidth="1"/>
    <col min="2" max="2" width="8.5546875" style="24" bestFit="1" customWidth="1"/>
    <col min="3" max="4" width="11.5546875" style="24" bestFit="1" customWidth="1"/>
  </cols>
  <sheetData>
    <row r="2" spans="1:42" x14ac:dyDescent="0.3">
      <c r="E2" s="10">
        <v>44378</v>
      </c>
      <c r="F2" s="10">
        <v>44409</v>
      </c>
      <c r="G2" s="10">
        <v>44440</v>
      </c>
      <c r="H2" s="10">
        <v>44470</v>
      </c>
      <c r="I2" s="10">
        <v>44501</v>
      </c>
      <c r="J2" s="10">
        <v>44531</v>
      </c>
      <c r="K2" s="10">
        <v>44562</v>
      </c>
      <c r="L2" s="10">
        <v>44593</v>
      </c>
      <c r="M2" s="10">
        <v>44621</v>
      </c>
      <c r="N2" s="10">
        <v>44652</v>
      </c>
      <c r="O2" s="10">
        <v>44682</v>
      </c>
      <c r="P2" s="10">
        <v>44713</v>
      </c>
      <c r="Q2" s="10">
        <v>44743</v>
      </c>
      <c r="R2" s="10">
        <v>44774</v>
      </c>
      <c r="S2" s="10">
        <v>44805</v>
      </c>
      <c r="T2" s="10">
        <v>44835</v>
      </c>
      <c r="U2" s="10">
        <v>44866</v>
      </c>
      <c r="V2" s="10">
        <v>44896</v>
      </c>
      <c r="W2" s="10">
        <v>44927</v>
      </c>
      <c r="X2" s="10">
        <v>44958</v>
      </c>
      <c r="Y2" s="10">
        <v>44986</v>
      </c>
      <c r="Z2" s="10">
        <v>45017</v>
      </c>
      <c r="AA2" s="10">
        <v>45047</v>
      </c>
      <c r="AB2" s="10">
        <v>45078</v>
      </c>
      <c r="AC2" s="10">
        <v>45108</v>
      </c>
      <c r="AD2" s="10">
        <v>45139</v>
      </c>
      <c r="AE2" s="10">
        <v>45170</v>
      </c>
      <c r="AF2" s="10">
        <v>45200</v>
      </c>
      <c r="AG2" s="10">
        <v>45231</v>
      </c>
      <c r="AH2" s="10">
        <v>45261</v>
      </c>
      <c r="AI2" s="10">
        <v>45292</v>
      </c>
      <c r="AJ2" s="10">
        <v>45323</v>
      </c>
      <c r="AK2" s="10">
        <v>45352</v>
      </c>
      <c r="AL2" s="10">
        <v>45383</v>
      </c>
      <c r="AM2" s="10">
        <v>45413</v>
      </c>
      <c r="AN2" s="10">
        <v>45444</v>
      </c>
      <c r="AO2" s="10">
        <v>45474</v>
      </c>
      <c r="AP2" s="10">
        <v>45505</v>
      </c>
    </row>
    <row r="3" spans="1:42" ht="26.4" x14ac:dyDescent="0.3">
      <c r="A3" s="11" t="s">
        <v>0</v>
      </c>
      <c r="B3" s="11" t="s">
        <v>1</v>
      </c>
      <c r="C3" s="11" t="s">
        <v>2</v>
      </c>
      <c r="D3" s="11" t="s">
        <v>3</v>
      </c>
      <c r="E3" s="1" t="s">
        <v>1251</v>
      </c>
      <c r="F3" s="1" t="s">
        <v>1251</v>
      </c>
      <c r="G3" s="1" t="s">
        <v>1251</v>
      </c>
      <c r="H3" s="1" t="s">
        <v>1251</v>
      </c>
      <c r="I3" s="1" t="s">
        <v>1251</v>
      </c>
      <c r="J3" s="1" t="s">
        <v>1251</v>
      </c>
      <c r="K3" s="1" t="s">
        <v>1251</v>
      </c>
      <c r="L3" s="1" t="s">
        <v>1251</v>
      </c>
      <c r="M3" s="1" t="s">
        <v>1251</v>
      </c>
      <c r="N3" s="1" t="s">
        <v>1251</v>
      </c>
      <c r="O3" s="1" t="s">
        <v>1251</v>
      </c>
      <c r="P3" s="1" t="s">
        <v>1251</v>
      </c>
      <c r="Q3" s="1" t="s">
        <v>1251</v>
      </c>
      <c r="R3" s="1" t="s">
        <v>1251</v>
      </c>
      <c r="S3" s="1" t="s">
        <v>1251</v>
      </c>
      <c r="T3" s="1" t="s">
        <v>1251</v>
      </c>
      <c r="U3" s="1" t="s">
        <v>1251</v>
      </c>
      <c r="V3" s="1" t="s">
        <v>1251</v>
      </c>
      <c r="W3" s="1" t="s">
        <v>1251</v>
      </c>
      <c r="X3" s="1" t="s">
        <v>1251</v>
      </c>
      <c r="Y3" s="1" t="s">
        <v>1251</v>
      </c>
      <c r="Z3" s="1" t="s">
        <v>1251</v>
      </c>
      <c r="AA3" s="1" t="s">
        <v>1251</v>
      </c>
      <c r="AB3" s="1" t="s">
        <v>1251</v>
      </c>
      <c r="AC3" s="1" t="s">
        <v>1251</v>
      </c>
      <c r="AD3" s="1" t="s">
        <v>1251</v>
      </c>
      <c r="AE3" s="1" t="s">
        <v>1251</v>
      </c>
      <c r="AF3" s="1" t="s">
        <v>1251</v>
      </c>
      <c r="AG3" s="1" t="s">
        <v>1251</v>
      </c>
      <c r="AH3" s="1" t="s">
        <v>1251</v>
      </c>
      <c r="AI3" s="1" t="s">
        <v>1251</v>
      </c>
      <c r="AJ3" s="1" t="s">
        <v>1251</v>
      </c>
      <c r="AK3" s="1" t="s">
        <v>1251</v>
      </c>
      <c r="AL3" s="1" t="s">
        <v>1251</v>
      </c>
      <c r="AM3" s="1" t="s">
        <v>1251</v>
      </c>
      <c r="AN3" s="1" t="s">
        <v>1251</v>
      </c>
      <c r="AO3" s="1" t="s">
        <v>1251</v>
      </c>
      <c r="AP3" s="1" t="s">
        <v>1251</v>
      </c>
    </row>
    <row r="4" spans="1:42" x14ac:dyDescent="0.3">
      <c r="A4" s="12" t="s">
        <v>4</v>
      </c>
      <c r="B4" s="12" t="s">
        <v>1250</v>
      </c>
      <c r="C4" s="17">
        <v>44377</v>
      </c>
      <c r="D4" s="17">
        <v>45509</v>
      </c>
      <c r="E4" s="6">
        <v>0.03</v>
      </c>
      <c r="F4" s="6">
        <v>1.3</v>
      </c>
      <c r="G4" s="6">
        <v>1.81</v>
      </c>
      <c r="H4" s="6">
        <v>2.36</v>
      </c>
      <c r="I4" s="6">
        <v>2.8</v>
      </c>
      <c r="J4" s="6">
        <v>3.57</v>
      </c>
      <c r="K4" s="6">
        <v>4.03</v>
      </c>
      <c r="L4" s="6">
        <v>4.49</v>
      </c>
      <c r="M4" s="6">
        <v>5.08</v>
      </c>
      <c r="N4" s="6">
        <v>5.8</v>
      </c>
      <c r="O4" s="6">
        <v>6.67</v>
      </c>
      <c r="P4" s="6">
        <v>7.42</v>
      </c>
      <c r="Q4" s="6">
        <v>10.65</v>
      </c>
      <c r="R4" s="6">
        <v>12.59</v>
      </c>
      <c r="S4" s="6">
        <v>19.28</v>
      </c>
      <c r="T4" s="6">
        <v>23.99</v>
      </c>
      <c r="U4" s="6">
        <v>25.83</v>
      </c>
      <c r="V4" s="6">
        <v>27.68</v>
      </c>
      <c r="W4" s="6">
        <v>34.82</v>
      </c>
      <c r="X4" s="6">
        <v>38.880000000000003</v>
      </c>
      <c r="Y4" s="6">
        <v>45.07</v>
      </c>
      <c r="Z4" s="6">
        <v>52.1</v>
      </c>
      <c r="AA4" s="6">
        <v>57.49</v>
      </c>
      <c r="AB4" s="6">
        <v>60.95</v>
      </c>
      <c r="AC4" s="6">
        <v>70.81</v>
      </c>
      <c r="AD4" s="6">
        <v>76.88</v>
      </c>
      <c r="AE4" s="6">
        <v>79.06</v>
      </c>
      <c r="AF4" s="6">
        <v>82.92</v>
      </c>
      <c r="AG4" s="6">
        <v>89.02</v>
      </c>
      <c r="AH4" s="6">
        <v>92.59</v>
      </c>
      <c r="AI4" s="6">
        <v>95.91</v>
      </c>
      <c r="AJ4" s="6">
        <v>98.58</v>
      </c>
      <c r="AK4" s="6">
        <v>98.58</v>
      </c>
      <c r="AL4" s="6">
        <v>98.61</v>
      </c>
      <c r="AM4" s="6">
        <v>99.19</v>
      </c>
      <c r="AN4" s="6">
        <v>99.74</v>
      </c>
      <c r="AO4" s="6">
        <v>100</v>
      </c>
      <c r="AP4" s="6">
        <v>100</v>
      </c>
    </row>
    <row r="5" spans="1:42" x14ac:dyDescent="0.3">
      <c r="A5" s="13" t="s">
        <v>146</v>
      </c>
      <c r="B5" s="13" t="s">
        <v>5</v>
      </c>
      <c r="C5" s="18">
        <v>44377</v>
      </c>
      <c r="D5" s="18">
        <v>45504</v>
      </c>
      <c r="E5" s="2">
        <v>0.03</v>
      </c>
      <c r="F5" s="2">
        <v>1.3</v>
      </c>
      <c r="G5" s="2">
        <v>1.81</v>
      </c>
      <c r="H5" s="2">
        <v>2.36</v>
      </c>
      <c r="I5" s="2">
        <v>2.8</v>
      </c>
      <c r="J5" s="2">
        <v>3.57</v>
      </c>
      <c r="K5" s="2">
        <v>4.03</v>
      </c>
      <c r="L5" s="2">
        <v>4.49</v>
      </c>
      <c r="M5" s="2">
        <v>5.08</v>
      </c>
      <c r="N5" s="2">
        <v>5.8</v>
      </c>
      <c r="O5" s="2">
        <v>6.67</v>
      </c>
      <c r="P5" s="2">
        <v>7.42</v>
      </c>
      <c r="Q5" s="2">
        <v>10.65</v>
      </c>
      <c r="R5" s="2">
        <v>12.59</v>
      </c>
      <c r="S5" s="2">
        <v>19.28</v>
      </c>
      <c r="T5" s="2">
        <v>23.99</v>
      </c>
      <c r="U5" s="2">
        <v>25.83</v>
      </c>
      <c r="V5" s="2">
        <v>27.68</v>
      </c>
      <c r="W5" s="2">
        <v>34.82</v>
      </c>
      <c r="X5" s="2">
        <v>38.880000000000003</v>
      </c>
      <c r="Y5" s="2">
        <v>45.07</v>
      </c>
      <c r="Z5" s="2">
        <v>52.1</v>
      </c>
      <c r="AA5" s="2">
        <v>57.49</v>
      </c>
      <c r="AB5" s="2">
        <v>60.95</v>
      </c>
      <c r="AC5" s="2">
        <v>70.81</v>
      </c>
      <c r="AD5" s="2">
        <v>76.88</v>
      </c>
      <c r="AE5" s="2">
        <v>79.06</v>
      </c>
      <c r="AF5" s="2">
        <v>82.92</v>
      </c>
      <c r="AG5" s="2">
        <v>89.02</v>
      </c>
      <c r="AH5" s="2">
        <v>92.59</v>
      </c>
      <c r="AI5" s="2">
        <v>95.91</v>
      </c>
      <c r="AJ5" s="2">
        <v>98.58</v>
      </c>
      <c r="AK5" s="2">
        <v>98.58</v>
      </c>
      <c r="AL5" s="2">
        <v>98.61</v>
      </c>
      <c r="AM5" s="2">
        <v>99.19</v>
      </c>
      <c r="AN5" s="2">
        <v>99.74</v>
      </c>
      <c r="AO5" s="2">
        <v>100</v>
      </c>
      <c r="AP5" s="2">
        <v>100</v>
      </c>
    </row>
    <row r="6" spans="1:42" hidden="1" x14ac:dyDescent="0.3">
      <c r="A6" s="14" t="s">
        <v>147</v>
      </c>
      <c r="B6" s="14" t="s">
        <v>6</v>
      </c>
      <c r="C6" s="19">
        <v>44377</v>
      </c>
      <c r="D6" s="19">
        <v>44552</v>
      </c>
      <c r="E6" s="7">
        <v>0.03</v>
      </c>
      <c r="F6" s="7">
        <v>1.3</v>
      </c>
      <c r="G6" s="7">
        <v>1.81</v>
      </c>
      <c r="H6" s="7">
        <v>2.36</v>
      </c>
      <c r="I6" s="7">
        <v>2.8</v>
      </c>
      <c r="J6" s="7">
        <v>3.39</v>
      </c>
      <c r="K6" s="7">
        <v>3.39</v>
      </c>
      <c r="L6" s="7">
        <v>3.39</v>
      </c>
      <c r="M6" s="7">
        <v>3.39</v>
      </c>
      <c r="N6" s="7">
        <v>3.39</v>
      </c>
      <c r="O6" s="7">
        <v>3.39</v>
      </c>
      <c r="P6" s="7">
        <v>3.39</v>
      </c>
      <c r="Q6" s="7">
        <v>3.39</v>
      </c>
      <c r="R6" s="7">
        <v>3.39</v>
      </c>
      <c r="S6" s="7">
        <v>3.39</v>
      </c>
      <c r="T6" s="7">
        <v>3.39</v>
      </c>
      <c r="U6" s="7">
        <v>3.39</v>
      </c>
      <c r="V6" s="7">
        <v>3.39</v>
      </c>
      <c r="W6" s="7">
        <v>3.39</v>
      </c>
      <c r="X6" s="7">
        <v>3.39</v>
      </c>
      <c r="Y6" s="7">
        <v>3.39</v>
      </c>
      <c r="Z6" s="7">
        <v>3.39</v>
      </c>
      <c r="AA6" s="7">
        <v>3.39</v>
      </c>
      <c r="AB6" s="7">
        <v>3.39</v>
      </c>
      <c r="AC6" s="7">
        <v>3.39</v>
      </c>
      <c r="AD6" s="7">
        <v>3.39</v>
      </c>
      <c r="AE6" s="7">
        <v>3.39</v>
      </c>
      <c r="AF6" s="7">
        <v>3.39</v>
      </c>
      <c r="AG6" s="7">
        <v>3.39</v>
      </c>
      <c r="AH6" s="7">
        <v>3.39</v>
      </c>
      <c r="AI6" s="7">
        <v>3.39</v>
      </c>
      <c r="AJ6" s="7">
        <v>3.39</v>
      </c>
      <c r="AK6" s="7">
        <v>3.39</v>
      </c>
      <c r="AL6" s="7">
        <v>3.39</v>
      </c>
      <c r="AM6" s="7">
        <v>3.39</v>
      </c>
      <c r="AN6" s="7">
        <v>3.39</v>
      </c>
      <c r="AO6" s="7">
        <v>3.39</v>
      </c>
      <c r="AP6" s="7">
        <v>3.39</v>
      </c>
    </row>
    <row r="7" spans="1:42" hidden="1" x14ac:dyDescent="0.3">
      <c r="A7" s="15" t="s">
        <v>148</v>
      </c>
      <c r="B7" s="15" t="s">
        <v>7</v>
      </c>
      <c r="C7" s="20">
        <v>44377</v>
      </c>
      <c r="D7" s="20">
        <v>44544</v>
      </c>
      <c r="E7" s="8">
        <v>0.03</v>
      </c>
      <c r="F7" s="8">
        <v>1.1599999999999999</v>
      </c>
      <c r="G7" s="8">
        <v>1.1599999999999999</v>
      </c>
      <c r="H7" s="8">
        <v>1.29</v>
      </c>
      <c r="I7" s="8">
        <v>1.3</v>
      </c>
      <c r="J7" s="8">
        <v>1.49</v>
      </c>
      <c r="K7" s="8">
        <v>1.49</v>
      </c>
      <c r="L7" s="8">
        <v>1.49</v>
      </c>
      <c r="M7" s="8">
        <v>1.49</v>
      </c>
      <c r="N7" s="8">
        <v>1.49</v>
      </c>
      <c r="O7" s="8">
        <v>1.49</v>
      </c>
      <c r="P7" s="8">
        <v>1.49</v>
      </c>
      <c r="Q7" s="8">
        <v>1.49</v>
      </c>
      <c r="R7" s="8">
        <v>1.49</v>
      </c>
      <c r="S7" s="8">
        <v>1.49</v>
      </c>
      <c r="T7" s="8">
        <v>1.49</v>
      </c>
      <c r="U7" s="8">
        <v>1.49</v>
      </c>
      <c r="V7" s="8">
        <v>1.49</v>
      </c>
      <c r="W7" s="8">
        <v>1.49</v>
      </c>
      <c r="X7" s="8">
        <v>1.49</v>
      </c>
      <c r="Y7" s="8">
        <v>1.49</v>
      </c>
      <c r="Z7" s="8">
        <v>1.49</v>
      </c>
      <c r="AA7" s="8">
        <v>1.49</v>
      </c>
      <c r="AB7" s="8">
        <v>1.49</v>
      </c>
      <c r="AC7" s="8">
        <v>1.49</v>
      </c>
      <c r="AD7" s="8">
        <v>1.49</v>
      </c>
      <c r="AE7" s="8">
        <v>1.49</v>
      </c>
      <c r="AF7" s="8">
        <v>1.49</v>
      </c>
      <c r="AG7" s="8">
        <v>1.49</v>
      </c>
      <c r="AH7" s="8">
        <v>1.49</v>
      </c>
      <c r="AI7" s="8">
        <v>1.49</v>
      </c>
      <c r="AJ7" s="8">
        <v>1.49</v>
      </c>
      <c r="AK7" s="8">
        <v>1.49</v>
      </c>
      <c r="AL7" s="8">
        <v>1.49</v>
      </c>
      <c r="AM7" s="8">
        <v>1.49</v>
      </c>
      <c r="AN7" s="8">
        <v>1.49</v>
      </c>
      <c r="AO7" s="8">
        <v>1.49</v>
      </c>
      <c r="AP7" s="8">
        <v>1.49</v>
      </c>
    </row>
    <row r="8" spans="1:42" hidden="1" x14ac:dyDescent="0.3">
      <c r="A8" s="4" t="s">
        <v>149</v>
      </c>
      <c r="B8" s="4" t="s">
        <v>8</v>
      </c>
      <c r="C8" s="21">
        <v>44397</v>
      </c>
      <c r="D8" s="21">
        <v>44544</v>
      </c>
      <c r="E8" s="2">
        <v>0</v>
      </c>
      <c r="F8" s="2">
        <v>0.74</v>
      </c>
      <c r="G8" s="2">
        <v>0.74</v>
      </c>
      <c r="H8" s="2">
        <v>0.87</v>
      </c>
      <c r="I8" s="2">
        <v>0.88</v>
      </c>
      <c r="J8" s="2">
        <v>1.07</v>
      </c>
      <c r="K8" s="2">
        <v>1.07</v>
      </c>
      <c r="L8" s="2">
        <v>1.07</v>
      </c>
      <c r="M8" s="2">
        <v>1.07</v>
      </c>
      <c r="N8" s="2">
        <v>1.07</v>
      </c>
      <c r="O8" s="2">
        <v>1.07</v>
      </c>
      <c r="P8" s="2">
        <v>1.07</v>
      </c>
      <c r="Q8" s="2">
        <v>1.07</v>
      </c>
      <c r="R8" s="2">
        <v>1.07</v>
      </c>
      <c r="S8" s="2">
        <v>1.07</v>
      </c>
      <c r="T8" s="2">
        <v>1.07</v>
      </c>
      <c r="U8" s="2">
        <v>1.07</v>
      </c>
      <c r="V8" s="2">
        <v>1.07</v>
      </c>
      <c r="W8" s="2">
        <v>1.07</v>
      </c>
      <c r="X8" s="2">
        <v>1.07</v>
      </c>
      <c r="Y8" s="2">
        <v>1.07</v>
      </c>
      <c r="Z8" s="2">
        <v>1.07</v>
      </c>
      <c r="AA8" s="2">
        <v>1.07</v>
      </c>
      <c r="AB8" s="2">
        <v>1.07</v>
      </c>
      <c r="AC8" s="2">
        <v>1.07</v>
      </c>
      <c r="AD8" s="2">
        <v>1.07</v>
      </c>
      <c r="AE8" s="2">
        <v>1.07</v>
      </c>
      <c r="AF8" s="2">
        <v>1.07</v>
      </c>
      <c r="AG8" s="2">
        <v>1.07</v>
      </c>
      <c r="AH8" s="2">
        <v>1.07</v>
      </c>
      <c r="AI8" s="2">
        <v>1.07</v>
      </c>
      <c r="AJ8" s="2">
        <v>1.07</v>
      </c>
      <c r="AK8" s="2">
        <v>1.07</v>
      </c>
      <c r="AL8" s="2">
        <v>1.07</v>
      </c>
      <c r="AM8" s="2">
        <v>1.07</v>
      </c>
      <c r="AN8" s="2">
        <v>1.07</v>
      </c>
      <c r="AO8" s="2">
        <v>1.07</v>
      </c>
      <c r="AP8" s="2">
        <v>1.07</v>
      </c>
    </row>
    <row r="9" spans="1:42" hidden="1" x14ac:dyDescent="0.3">
      <c r="A9" s="5" t="s">
        <v>150</v>
      </c>
      <c r="B9" s="5" t="s">
        <v>9</v>
      </c>
      <c r="C9" s="22">
        <v>44397</v>
      </c>
      <c r="D9" s="22">
        <v>44403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</row>
    <row r="10" spans="1:42" hidden="1" x14ac:dyDescent="0.3">
      <c r="A10" s="5" t="s">
        <v>151</v>
      </c>
      <c r="B10" s="5" t="s">
        <v>10</v>
      </c>
      <c r="C10" s="22">
        <v>44414</v>
      </c>
      <c r="D10" s="22">
        <v>44431</v>
      </c>
      <c r="E10" s="3">
        <v>0</v>
      </c>
      <c r="F10" s="3">
        <v>0.74</v>
      </c>
      <c r="G10" s="3">
        <v>0.74</v>
      </c>
      <c r="H10" s="3">
        <v>0.74</v>
      </c>
      <c r="I10" s="3">
        <v>0.74</v>
      </c>
      <c r="J10" s="3">
        <v>0.74</v>
      </c>
      <c r="K10" s="3">
        <v>0.74</v>
      </c>
      <c r="L10" s="3">
        <v>0.74</v>
      </c>
      <c r="M10" s="3">
        <v>0.74</v>
      </c>
      <c r="N10" s="3">
        <v>0.74</v>
      </c>
      <c r="O10" s="3">
        <v>0.74</v>
      </c>
      <c r="P10" s="3">
        <v>0.74</v>
      </c>
      <c r="Q10" s="3">
        <v>0.74</v>
      </c>
      <c r="R10" s="3">
        <v>0.74</v>
      </c>
      <c r="S10" s="3">
        <v>0.74</v>
      </c>
      <c r="T10" s="3">
        <v>0.74</v>
      </c>
      <c r="U10" s="3">
        <v>0.74</v>
      </c>
      <c r="V10" s="3">
        <v>0.74</v>
      </c>
      <c r="W10" s="3">
        <v>0.74</v>
      </c>
      <c r="X10" s="3">
        <v>0.74</v>
      </c>
      <c r="Y10" s="3">
        <v>0.74</v>
      </c>
      <c r="Z10" s="3">
        <v>0.74</v>
      </c>
      <c r="AA10" s="3">
        <v>0.74</v>
      </c>
      <c r="AB10" s="3">
        <v>0.74</v>
      </c>
      <c r="AC10" s="3">
        <v>0.74</v>
      </c>
      <c r="AD10" s="3">
        <v>0.74</v>
      </c>
      <c r="AE10" s="3">
        <v>0.74</v>
      </c>
      <c r="AF10" s="3">
        <v>0.74</v>
      </c>
      <c r="AG10" s="3">
        <v>0.74</v>
      </c>
      <c r="AH10" s="3">
        <v>0.74</v>
      </c>
      <c r="AI10" s="3">
        <v>0.74</v>
      </c>
      <c r="AJ10" s="3">
        <v>0.74</v>
      </c>
      <c r="AK10" s="3">
        <v>0.74</v>
      </c>
      <c r="AL10" s="3">
        <v>0.74</v>
      </c>
      <c r="AM10" s="3">
        <v>0.74</v>
      </c>
      <c r="AN10" s="3">
        <v>0.74</v>
      </c>
      <c r="AO10" s="3">
        <v>0.74</v>
      </c>
      <c r="AP10" s="3">
        <v>0.74</v>
      </c>
    </row>
    <row r="11" spans="1:42" hidden="1" x14ac:dyDescent="0.3">
      <c r="A11" s="5" t="s">
        <v>152</v>
      </c>
      <c r="B11" s="5" t="s">
        <v>11</v>
      </c>
      <c r="C11" s="22">
        <v>44475</v>
      </c>
      <c r="D11" s="22">
        <v>44503</v>
      </c>
      <c r="E11" s="3">
        <v>0</v>
      </c>
      <c r="F11" s="3">
        <v>0</v>
      </c>
      <c r="G11" s="3">
        <v>0</v>
      </c>
      <c r="H11" s="3">
        <v>0.13</v>
      </c>
      <c r="I11" s="3">
        <v>0.14000000000000001</v>
      </c>
      <c r="J11" s="3">
        <v>0.14000000000000001</v>
      </c>
      <c r="K11" s="3">
        <v>0.14000000000000001</v>
      </c>
      <c r="L11" s="3">
        <v>0.14000000000000001</v>
      </c>
      <c r="M11" s="3">
        <v>0.14000000000000001</v>
      </c>
      <c r="N11" s="3">
        <v>0.14000000000000001</v>
      </c>
      <c r="O11" s="3">
        <v>0.14000000000000001</v>
      </c>
      <c r="P11" s="3">
        <v>0.14000000000000001</v>
      </c>
      <c r="Q11" s="3">
        <v>0.14000000000000001</v>
      </c>
      <c r="R11" s="3">
        <v>0.14000000000000001</v>
      </c>
      <c r="S11" s="3">
        <v>0.14000000000000001</v>
      </c>
      <c r="T11" s="3">
        <v>0.14000000000000001</v>
      </c>
      <c r="U11" s="3">
        <v>0.14000000000000001</v>
      </c>
      <c r="V11" s="3">
        <v>0.14000000000000001</v>
      </c>
      <c r="W11" s="3">
        <v>0.14000000000000001</v>
      </c>
      <c r="X11" s="3">
        <v>0.14000000000000001</v>
      </c>
      <c r="Y11" s="3">
        <v>0.14000000000000001</v>
      </c>
      <c r="Z11" s="3">
        <v>0.14000000000000001</v>
      </c>
      <c r="AA11" s="3">
        <v>0.14000000000000001</v>
      </c>
      <c r="AB11" s="3">
        <v>0.14000000000000001</v>
      </c>
      <c r="AC11" s="3">
        <v>0.14000000000000001</v>
      </c>
      <c r="AD11" s="3">
        <v>0.14000000000000001</v>
      </c>
      <c r="AE11" s="3">
        <v>0.14000000000000001</v>
      </c>
      <c r="AF11" s="3">
        <v>0.14000000000000001</v>
      </c>
      <c r="AG11" s="3">
        <v>0.14000000000000001</v>
      </c>
      <c r="AH11" s="3">
        <v>0.14000000000000001</v>
      </c>
      <c r="AI11" s="3">
        <v>0.14000000000000001</v>
      </c>
      <c r="AJ11" s="3">
        <v>0.14000000000000001</v>
      </c>
      <c r="AK11" s="3">
        <v>0.14000000000000001</v>
      </c>
      <c r="AL11" s="3">
        <v>0.14000000000000001</v>
      </c>
      <c r="AM11" s="3">
        <v>0.14000000000000001</v>
      </c>
      <c r="AN11" s="3">
        <v>0.14000000000000001</v>
      </c>
      <c r="AO11" s="3">
        <v>0.14000000000000001</v>
      </c>
      <c r="AP11" s="3">
        <v>0.14000000000000001</v>
      </c>
    </row>
    <row r="12" spans="1:42" hidden="1" x14ac:dyDescent="0.3">
      <c r="A12" s="5" t="s">
        <v>153</v>
      </c>
      <c r="B12" s="5" t="s">
        <v>12</v>
      </c>
      <c r="C12" s="22">
        <v>44539</v>
      </c>
      <c r="D12" s="22">
        <v>44544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0.19</v>
      </c>
      <c r="K12" s="3">
        <v>0.19</v>
      </c>
      <c r="L12" s="3">
        <v>0.19</v>
      </c>
      <c r="M12" s="3">
        <v>0.19</v>
      </c>
      <c r="N12" s="3">
        <v>0.19</v>
      </c>
      <c r="O12" s="3">
        <v>0.19</v>
      </c>
      <c r="P12" s="3">
        <v>0.19</v>
      </c>
      <c r="Q12" s="3">
        <v>0.19</v>
      </c>
      <c r="R12" s="3">
        <v>0.19</v>
      </c>
      <c r="S12" s="3">
        <v>0.19</v>
      </c>
      <c r="T12" s="3">
        <v>0.19</v>
      </c>
      <c r="U12" s="3">
        <v>0.19</v>
      </c>
      <c r="V12" s="3">
        <v>0.19</v>
      </c>
      <c r="W12" s="3">
        <v>0.19</v>
      </c>
      <c r="X12" s="3">
        <v>0.19</v>
      </c>
      <c r="Y12" s="3">
        <v>0.19</v>
      </c>
      <c r="Z12" s="3">
        <v>0.19</v>
      </c>
      <c r="AA12" s="3">
        <v>0.19</v>
      </c>
      <c r="AB12" s="3">
        <v>0.19</v>
      </c>
      <c r="AC12" s="3">
        <v>0.19</v>
      </c>
      <c r="AD12" s="3">
        <v>0.19</v>
      </c>
      <c r="AE12" s="3">
        <v>0.19</v>
      </c>
      <c r="AF12" s="3">
        <v>0.19</v>
      </c>
      <c r="AG12" s="3">
        <v>0.19</v>
      </c>
      <c r="AH12" s="3">
        <v>0.19</v>
      </c>
      <c r="AI12" s="3">
        <v>0.19</v>
      </c>
      <c r="AJ12" s="3">
        <v>0.19</v>
      </c>
      <c r="AK12" s="3">
        <v>0.19</v>
      </c>
      <c r="AL12" s="3">
        <v>0.19</v>
      </c>
      <c r="AM12" s="3">
        <v>0.19</v>
      </c>
      <c r="AN12" s="3">
        <v>0.19</v>
      </c>
      <c r="AO12" s="3">
        <v>0.19</v>
      </c>
      <c r="AP12" s="3">
        <v>0.19</v>
      </c>
    </row>
    <row r="13" spans="1:42" hidden="1" x14ac:dyDescent="0.3">
      <c r="A13" s="4" t="s">
        <v>154</v>
      </c>
      <c r="B13" s="4" t="s">
        <v>13</v>
      </c>
      <c r="C13" s="21">
        <v>44377</v>
      </c>
      <c r="D13" s="21">
        <v>44414</v>
      </c>
      <c r="E13" s="2">
        <v>0.03</v>
      </c>
      <c r="F13" s="2">
        <v>0.42</v>
      </c>
      <c r="G13" s="2">
        <v>0.42</v>
      </c>
      <c r="H13" s="2">
        <v>0.42</v>
      </c>
      <c r="I13" s="2">
        <v>0.42</v>
      </c>
      <c r="J13" s="2">
        <v>0.42</v>
      </c>
      <c r="K13" s="2">
        <v>0.42</v>
      </c>
      <c r="L13" s="2">
        <v>0.42</v>
      </c>
      <c r="M13" s="2">
        <v>0.42</v>
      </c>
      <c r="N13" s="2">
        <v>0.42</v>
      </c>
      <c r="O13" s="2">
        <v>0.42</v>
      </c>
      <c r="P13" s="2">
        <v>0.42</v>
      </c>
      <c r="Q13" s="2">
        <v>0.42</v>
      </c>
      <c r="R13" s="2">
        <v>0.42</v>
      </c>
      <c r="S13" s="2">
        <v>0.42</v>
      </c>
      <c r="T13" s="2">
        <v>0.42</v>
      </c>
      <c r="U13" s="2">
        <v>0.42</v>
      </c>
      <c r="V13" s="2">
        <v>0.42</v>
      </c>
      <c r="W13" s="2">
        <v>0.42</v>
      </c>
      <c r="X13" s="2">
        <v>0.42</v>
      </c>
      <c r="Y13" s="2">
        <v>0.42</v>
      </c>
      <c r="Z13" s="2">
        <v>0.42</v>
      </c>
      <c r="AA13" s="2">
        <v>0.42</v>
      </c>
      <c r="AB13" s="2">
        <v>0.42</v>
      </c>
      <c r="AC13" s="2">
        <v>0.42</v>
      </c>
      <c r="AD13" s="2">
        <v>0.42</v>
      </c>
      <c r="AE13" s="2">
        <v>0.42</v>
      </c>
      <c r="AF13" s="2">
        <v>0.42</v>
      </c>
      <c r="AG13" s="2">
        <v>0.42</v>
      </c>
      <c r="AH13" s="2">
        <v>0.42</v>
      </c>
      <c r="AI13" s="2">
        <v>0.42</v>
      </c>
      <c r="AJ13" s="2">
        <v>0.42</v>
      </c>
      <c r="AK13" s="2">
        <v>0.42</v>
      </c>
      <c r="AL13" s="2">
        <v>0.42</v>
      </c>
      <c r="AM13" s="2">
        <v>0.42</v>
      </c>
      <c r="AN13" s="2">
        <v>0.42</v>
      </c>
      <c r="AO13" s="2">
        <v>0.42</v>
      </c>
      <c r="AP13" s="2">
        <v>0.42</v>
      </c>
    </row>
    <row r="14" spans="1:42" hidden="1" x14ac:dyDescent="0.3">
      <c r="A14" s="5" t="s">
        <v>155</v>
      </c>
      <c r="B14" s="5" t="s">
        <v>9</v>
      </c>
      <c r="C14" s="22">
        <v>44410</v>
      </c>
      <c r="D14" s="22">
        <v>44414</v>
      </c>
      <c r="E14" s="3">
        <v>0</v>
      </c>
      <c r="F14" s="3">
        <v>0.39</v>
      </c>
      <c r="G14" s="3">
        <v>0.39</v>
      </c>
      <c r="H14" s="3">
        <v>0.39</v>
      </c>
      <c r="I14" s="3">
        <v>0.39</v>
      </c>
      <c r="J14" s="3">
        <v>0.39</v>
      </c>
      <c r="K14" s="3">
        <v>0.39</v>
      </c>
      <c r="L14" s="3">
        <v>0.39</v>
      </c>
      <c r="M14" s="3">
        <v>0.39</v>
      </c>
      <c r="N14" s="3">
        <v>0.39</v>
      </c>
      <c r="O14" s="3">
        <v>0.39</v>
      </c>
      <c r="P14" s="3">
        <v>0.39</v>
      </c>
      <c r="Q14" s="3">
        <v>0.39</v>
      </c>
      <c r="R14" s="3">
        <v>0.39</v>
      </c>
      <c r="S14" s="3">
        <v>0.39</v>
      </c>
      <c r="T14" s="3">
        <v>0.39</v>
      </c>
      <c r="U14" s="3">
        <v>0.39</v>
      </c>
      <c r="V14" s="3">
        <v>0.39</v>
      </c>
      <c r="W14" s="3">
        <v>0.39</v>
      </c>
      <c r="X14" s="3">
        <v>0.39</v>
      </c>
      <c r="Y14" s="3">
        <v>0.39</v>
      </c>
      <c r="Z14" s="3">
        <v>0.39</v>
      </c>
      <c r="AA14" s="3">
        <v>0.39</v>
      </c>
      <c r="AB14" s="3">
        <v>0.39</v>
      </c>
      <c r="AC14" s="3">
        <v>0.39</v>
      </c>
      <c r="AD14" s="3">
        <v>0.39</v>
      </c>
      <c r="AE14" s="3">
        <v>0.39</v>
      </c>
      <c r="AF14" s="3">
        <v>0.39</v>
      </c>
      <c r="AG14" s="3">
        <v>0.39</v>
      </c>
      <c r="AH14" s="3">
        <v>0.39</v>
      </c>
      <c r="AI14" s="3">
        <v>0.39</v>
      </c>
      <c r="AJ14" s="3">
        <v>0.39</v>
      </c>
      <c r="AK14" s="3">
        <v>0.39</v>
      </c>
      <c r="AL14" s="3">
        <v>0.39</v>
      </c>
      <c r="AM14" s="3">
        <v>0.39</v>
      </c>
      <c r="AN14" s="3">
        <v>0.39</v>
      </c>
      <c r="AO14" s="3">
        <v>0.39</v>
      </c>
      <c r="AP14" s="3">
        <v>0.39</v>
      </c>
    </row>
    <row r="15" spans="1:42" hidden="1" x14ac:dyDescent="0.3">
      <c r="A15" s="5" t="s">
        <v>156</v>
      </c>
      <c r="B15" s="5" t="s">
        <v>14</v>
      </c>
      <c r="C15" s="22">
        <v>44377</v>
      </c>
      <c r="D15" s="22">
        <v>44390</v>
      </c>
      <c r="E15" s="3">
        <v>0.03</v>
      </c>
      <c r="F15" s="3">
        <v>0.03</v>
      </c>
      <c r="G15" s="3">
        <v>0.03</v>
      </c>
      <c r="H15" s="3">
        <v>0.03</v>
      </c>
      <c r="I15" s="3">
        <v>0.03</v>
      </c>
      <c r="J15" s="3">
        <v>0.03</v>
      </c>
      <c r="K15" s="3">
        <v>0.03</v>
      </c>
      <c r="L15" s="3">
        <v>0.03</v>
      </c>
      <c r="M15" s="3">
        <v>0.03</v>
      </c>
      <c r="N15" s="3">
        <v>0.03</v>
      </c>
      <c r="O15" s="3">
        <v>0.03</v>
      </c>
      <c r="P15" s="3">
        <v>0.03</v>
      </c>
      <c r="Q15" s="3">
        <v>0.03</v>
      </c>
      <c r="R15" s="3">
        <v>0.03</v>
      </c>
      <c r="S15" s="3">
        <v>0.03</v>
      </c>
      <c r="T15" s="3">
        <v>0.03</v>
      </c>
      <c r="U15" s="3">
        <v>0.03</v>
      </c>
      <c r="V15" s="3">
        <v>0.03</v>
      </c>
      <c r="W15" s="3">
        <v>0.03</v>
      </c>
      <c r="X15" s="3">
        <v>0.03</v>
      </c>
      <c r="Y15" s="3">
        <v>0.03</v>
      </c>
      <c r="Z15" s="3">
        <v>0.03</v>
      </c>
      <c r="AA15" s="3">
        <v>0.03</v>
      </c>
      <c r="AB15" s="3">
        <v>0.03</v>
      </c>
      <c r="AC15" s="3">
        <v>0.03</v>
      </c>
      <c r="AD15" s="3">
        <v>0.03</v>
      </c>
      <c r="AE15" s="3">
        <v>0.03</v>
      </c>
      <c r="AF15" s="3">
        <v>0.03</v>
      </c>
      <c r="AG15" s="3">
        <v>0.03</v>
      </c>
      <c r="AH15" s="3">
        <v>0.03</v>
      </c>
      <c r="AI15" s="3">
        <v>0.03</v>
      </c>
      <c r="AJ15" s="3">
        <v>0.03</v>
      </c>
      <c r="AK15" s="3">
        <v>0.03</v>
      </c>
      <c r="AL15" s="3">
        <v>0.03</v>
      </c>
      <c r="AM15" s="3">
        <v>0.03</v>
      </c>
      <c r="AN15" s="3">
        <v>0.03</v>
      </c>
      <c r="AO15" s="3">
        <v>0.03</v>
      </c>
      <c r="AP15" s="3">
        <v>0.03</v>
      </c>
    </row>
    <row r="16" spans="1:42" hidden="1" x14ac:dyDescent="0.3">
      <c r="A16" s="15" t="s">
        <v>157</v>
      </c>
      <c r="B16" s="15" t="s">
        <v>15</v>
      </c>
      <c r="C16" s="20">
        <v>44431</v>
      </c>
      <c r="D16" s="20">
        <v>44462</v>
      </c>
      <c r="E16" s="8">
        <v>0</v>
      </c>
      <c r="F16" s="8">
        <v>0.14000000000000001</v>
      </c>
      <c r="G16" s="8">
        <v>0.59</v>
      </c>
      <c r="H16" s="8">
        <v>0.59</v>
      </c>
      <c r="I16" s="8">
        <v>0.59</v>
      </c>
      <c r="J16" s="8">
        <v>0.59</v>
      </c>
      <c r="K16" s="8">
        <v>0.59</v>
      </c>
      <c r="L16" s="8">
        <v>0.59</v>
      </c>
      <c r="M16" s="8">
        <v>0.59</v>
      </c>
      <c r="N16" s="8">
        <v>0.59</v>
      </c>
      <c r="O16" s="8">
        <v>0.59</v>
      </c>
      <c r="P16" s="8">
        <v>0.59</v>
      </c>
      <c r="Q16" s="8">
        <v>0.59</v>
      </c>
      <c r="R16" s="8">
        <v>0.59</v>
      </c>
      <c r="S16" s="8">
        <v>0.59</v>
      </c>
      <c r="T16" s="8">
        <v>0.59</v>
      </c>
      <c r="U16" s="8">
        <v>0.59</v>
      </c>
      <c r="V16" s="8">
        <v>0.59</v>
      </c>
      <c r="W16" s="8">
        <v>0.59</v>
      </c>
      <c r="X16" s="8">
        <v>0.59</v>
      </c>
      <c r="Y16" s="8">
        <v>0.59</v>
      </c>
      <c r="Z16" s="8">
        <v>0.59</v>
      </c>
      <c r="AA16" s="8">
        <v>0.59</v>
      </c>
      <c r="AB16" s="8">
        <v>0.59</v>
      </c>
      <c r="AC16" s="8">
        <v>0.59</v>
      </c>
      <c r="AD16" s="8">
        <v>0.59</v>
      </c>
      <c r="AE16" s="8">
        <v>0.59</v>
      </c>
      <c r="AF16" s="8">
        <v>0.59</v>
      </c>
      <c r="AG16" s="8">
        <v>0.59</v>
      </c>
      <c r="AH16" s="8">
        <v>0.59</v>
      </c>
      <c r="AI16" s="8">
        <v>0.59</v>
      </c>
      <c r="AJ16" s="8">
        <v>0.59</v>
      </c>
      <c r="AK16" s="8">
        <v>0.59</v>
      </c>
      <c r="AL16" s="8">
        <v>0.59</v>
      </c>
      <c r="AM16" s="8">
        <v>0.59</v>
      </c>
      <c r="AN16" s="8">
        <v>0.59</v>
      </c>
      <c r="AO16" s="8">
        <v>0.59</v>
      </c>
      <c r="AP16" s="8">
        <v>0.59</v>
      </c>
    </row>
    <row r="17" spans="1:42" hidden="1" x14ac:dyDescent="0.3">
      <c r="A17" s="5" t="s">
        <v>158</v>
      </c>
      <c r="B17" s="5" t="s">
        <v>11</v>
      </c>
      <c r="C17" s="22">
        <v>44431</v>
      </c>
      <c r="D17" s="22">
        <v>44456</v>
      </c>
      <c r="E17" s="3">
        <v>0</v>
      </c>
      <c r="F17" s="3">
        <v>0.14000000000000001</v>
      </c>
      <c r="G17" s="3">
        <v>0.4</v>
      </c>
      <c r="H17" s="3">
        <v>0.4</v>
      </c>
      <c r="I17" s="3">
        <v>0.4</v>
      </c>
      <c r="J17" s="3">
        <v>0.4</v>
      </c>
      <c r="K17" s="3">
        <v>0.4</v>
      </c>
      <c r="L17" s="3">
        <v>0.4</v>
      </c>
      <c r="M17" s="3">
        <v>0.4</v>
      </c>
      <c r="N17" s="3">
        <v>0.4</v>
      </c>
      <c r="O17" s="3">
        <v>0.4</v>
      </c>
      <c r="P17" s="3">
        <v>0.4</v>
      </c>
      <c r="Q17" s="3">
        <v>0.4</v>
      </c>
      <c r="R17" s="3">
        <v>0.4</v>
      </c>
      <c r="S17" s="3">
        <v>0.4</v>
      </c>
      <c r="T17" s="3">
        <v>0.4</v>
      </c>
      <c r="U17" s="3">
        <v>0.4</v>
      </c>
      <c r="V17" s="3">
        <v>0.4</v>
      </c>
      <c r="W17" s="3">
        <v>0.4</v>
      </c>
      <c r="X17" s="3">
        <v>0.4</v>
      </c>
      <c r="Y17" s="3">
        <v>0.4</v>
      </c>
      <c r="Z17" s="3">
        <v>0.4</v>
      </c>
      <c r="AA17" s="3">
        <v>0.4</v>
      </c>
      <c r="AB17" s="3">
        <v>0.4</v>
      </c>
      <c r="AC17" s="3">
        <v>0.4</v>
      </c>
      <c r="AD17" s="3">
        <v>0.4</v>
      </c>
      <c r="AE17" s="3">
        <v>0.4</v>
      </c>
      <c r="AF17" s="3">
        <v>0.4</v>
      </c>
      <c r="AG17" s="3">
        <v>0.4</v>
      </c>
      <c r="AH17" s="3">
        <v>0.4</v>
      </c>
      <c r="AI17" s="3">
        <v>0.4</v>
      </c>
      <c r="AJ17" s="3">
        <v>0.4</v>
      </c>
      <c r="AK17" s="3">
        <v>0.4</v>
      </c>
      <c r="AL17" s="3">
        <v>0.4</v>
      </c>
      <c r="AM17" s="3">
        <v>0.4</v>
      </c>
      <c r="AN17" s="3">
        <v>0.4</v>
      </c>
      <c r="AO17" s="3">
        <v>0.4</v>
      </c>
      <c r="AP17" s="3">
        <v>0.4</v>
      </c>
    </row>
    <row r="18" spans="1:42" hidden="1" x14ac:dyDescent="0.3">
      <c r="A18" s="5" t="s">
        <v>159</v>
      </c>
      <c r="B18" s="5" t="s">
        <v>16</v>
      </c>
      <c r="C18" s="22">
        <v>44459</v>
      </c>
      <c r="D18" s="22">
        <v>44462</v>
      </c>
      <c r="E18" s="3">
        <v>0</v>
      </c>
      <c r="F18" s="3">
        <v>0</v>
      </c>
      <c r="G18" s="3">
        <v>0.19</v>
      </c>
      <c r="H18" s="3">
        <v>0.19</v>
      </c>
      <c r="I18" s="3">
        <v>0.19</v>
      </c>
      <c r="J18" s="3">
        <v>0.19</v>
      </c>
      <c r="K18" s="3">
        <v>0.19</v>
      </c>
      <c r="L18" s="3">
        <v>0.19</v>
      </c>
      <c r="M18" s="3">
        <v>0.19</v>
      </c>
      <c r="N18" s="3">
        <v>0.19</v>
      </c>
      <c r="O18" s="3">
        <v>0.19</v>
      </c>
      <c r="P18" s="3">
        <v>0.19</v>
      </c>
      <c r="Q18" s="3">
        <v>0.19</v>
      </c>
      <c r="R18" s="3">
        <v>0.19</v>
      </c>
      <c r="S18" s="3">
        <v>0.19</v>
      </c>
      <c r="T18" s="3">
        <v>0.19</v>
      </c>
      <c r="U18" s="3">
        <v>0.19</v>
      </c>
      <c r="V18" s="3">
        <v>0.19</v>
      </c>
      <c r="W18" s="3">
        <v>0.19</v>
      </c>
      <c r="X18" s="3">
        <v>0.19</v>
      </c>
      <c r="Y18" s="3">
        <v>0.19</v>
      </c>
      <c r="Z18" s="3">
        <v>0.19</v>
      </c>
      <c r="AA18" s="3">
        <v>0.19</v>
      </c>
      <c r="AB18" s="3">
        <v>0.19</v>
      </c>
      <c r="AC18" s="3">
        <v>0.19</v>
      </c>
      <c r="AD18" s="3">
        <v>0.19</v>
      </c>
      <c r="AE18" s="3">
        <v>0.19</v>
      </c>
      <c r="AF18" s="3">
        <v>0.19</v>
      </c>
      <c r="AG18" s="3">
        <v>0.19</v>
      </c>
      <c r="AH18" s="3">
        <v>0.19</v>
      </c>
      <c r="AI18" s="3">
        <v>0.19</v>
      </c>
      <c r="AJ18" s="3">
        <v>0.19</v>
      </c>
      <c r="AK18" s="3">
        <v>0.19</v>
      </c>
      <c r="AL18" s="3">
        <v>0.19</v>
      </c>
      <c r="AM18" s="3">
        <v>0.19</v>
      </c>
      <c r="AN18" s="3">
        <v>0.19</v>
      </c>
      <c r="AO18" s="3">
        <v>0.19</v>
      </c>
      <c r="AP18" s="3">
        <v>0.19</v>
      </c>
    </row>
    <row r="19" spans="1:42" hidden="1" x14ac:dyDescent="0.3">
      <c r="A19" s="15" t="s">
        <v>160</v>
      </c>
      <c r="B19" s="15" t="s">
        <v>17</v>
      </c>
      <c r="C19" s="20">
        <v>44462</v>
      </c>
      <c r="D19" s="20">
        <v>44483</v>
      </c>
      <c r="E19" s="8">
        <v>0</v>
      </c>
      <c r="F19" s="8">
        <v>0</v>
      </c>
      <c r="G19" s="8">
        <v>0.06</v>
      </c>
      <c r="H19" s="8">
        <v>0.09</v>
      </c>
      <c r="I19" s="8">
        <v>0.09</v>
      </c>
      <c r="J19" s="8">
        <v>0.09</v>
      </c>
      <c r="K19" s="8">
        <v>0.09</v>
      </c>
      <c r="L19" s="8">
        <v>0.09</v>
      </c>
      <c r="M19" s="8">
        <v>0.09</v>
      </c>
      <c r="N19" s="8">
        <v>0.09</v>
      </c>
      <c r="O19" s="8">
        <v>0.09</v>
      </c>
      <c r="P19" s="8">
        <v>0.09</v>
      </c>
      <c r="Q19" s="8">
        <v>0.09</v>
      </c>
      <c r="R19" s="8">
        <v>0.09</v>
      </c>
      <c r="S19" s="8">
        <v>0.09</v>
      </c>
      <c r="T19" s="8">
        <v>0.09</v>
      </c>
      <c r="U19" s="8">
        <v>0.09</v>
      </c>
      <c r="V19" s="8">
        <v>0.09</v>
      </c>
      <c r="W19" s="8">
        <v>0.09</v>
      </c>
      <c r="X19" s="8">
        <v>0.09</v>
      </c>
      <c r="Y19" s="8">
        <v>0.09</v>
      </c>
      <c r="Z19" s="8">
        <v>0.09</v>
      </c>
      <c r="AA19" s="8">
        <v>0.09</v>
      </c>
      <c r="AB19" s="8">
        <v>0.09</v>
      </c>
      <c r="AC19" s="8">
        <v>0.09</v>
      </c>
      <c r="AD19" s="8">
        <v>0.09</v>
      </c>
      <c r="AE19" s="8">
        <v>0.09</v>
      </c>
      <c r="AF19" s="8">
        <v>0.09</v>
      </c>
      <c r="AG19" s="8">
        <v>0.09</v>
      </c>
      <c r="AH19" s="8">
        <v>0.09</v>
      </c>
      <c r="AI19" s="8">
        <v>0.09</v>
      </c>
      <c r="AJ19" s="8">
        <v>0.09</v>
      </c>
      <c r="AK19" s="8">
        <v>0.09</v>
      </c>
      <c r="AL19" s="8">
        <v>0.09</v>
      </c>
      <c r="AM19" s="8">
        <v>0.09</v>
      </c>
      <c r="AN19" s="8">
        <v>0.09</v>
      </c>
      <c r="AO19" s="8">
        <v>0.09</v>
      </c>
      <c r="AP19" s="8">
        <v>0.09</v>
      </c>
    </row>
    <row r="20" spans="1:42" hidden="1" x14ac:dyDescent="0.3">
      <c r="A20" s="4" t="s">
        <v>161</v>
      </c>
      <c r="B20" s="4" t="s">
        <v>17</v>
      </c>
      <c r="C20" s="21">
        <v>44462</v>
      </c>
      <c r="D20" s="21">
        <v>44483</v>
      </c>
      <c r="E20" s="2">
        <v>0</v>
      </c>
      <c r="F20" s="2">
        <v>0</v>
      </c>
      <c r="G20" s="2">
        <v>0.06</v>
      </c>
      <c r="H20" s="2">
        <v>0.09</v>
      </c>
      <c r="I20" s="2">
        <v>0.09</v>
      </c>
      <c r="J20" s="2">
        <v>0.09</v>
      </c>
      <c r="K20" s="2">
        <v>0.09</v>
      </c>
      <c r="L20" s="2">
        <v>0.09</v>
      </c>
      <c r="M20" s="2">
        <v>0.09</v>
      </c>
      <c r="N20" s="2">
        <v>0.09</v>
      </c>
      <c r="O20" s="2">
        <v>0.09</v>
      </c>
      <c r="P20" s="2">
        <v>0.09</v>
      </c>
      <c r="Q20" s="2">
        <v>0.09</v>
      </c>
      <c r="R20" s="2">
        <v>0.09</v>
      </c>
      <c r="S20" s="2">
        <v>0.09</v>
      </c>
      <c r="T20" s="2">
        <v>0.09</v>
      </c>
      <c r="U20" s="2">
        <v>0.09</v>
      </c>
      <c r="V20" s="2">
        <v>0.09</v>
      </c>
      <c r="W20" s="2">
        <v>0.09</v>
      </c>
      <c r="X20" s="2">
        <v>0.09</v>
      </c>
      <c r="Y20" s="2">
        <v>0.09</v>
      </c>
      <c r="Z20" s="2">
        <v>0.09</v>
      </c>
      <c r="AA20" s="2">
        <v>0.09</v>
      </c>
      <c r="AB20" s="2">
        <v>0.09</v>
      </c>
      <c r="AC20" s="2">
        <v>0.09</v>
      </c>
      <c r="AD20" s="2">
        <v>0.09</v>
      </c>
      <c r="AE20" s="2">
        <v>0.09</v>
      </c>
      <c r="AF20" s="2">
        <v>0.09</v>
      </c>
      <c r="AG20" s="2">
        <v>0.09</v>
      </c>
      <c r="AH20" s="2">
        <v>0.09</v>
      </c>
      <c r="AI20" s="2">
        <v>0.09</v>
      </c>
      <c r="AJ20" s="2">
        <v>0.09</v>
      </c>
      <c r="AK20" s="2">
        <v>0.09</v>
      </c>
      <c r="AL20" s="2">
        <v>0.09</v>
      </c>
      <c r="AM20" s="2">
        <v>0.09</v>
      </c>
      <c r="AN20" s="2">
        <v>0.09</v>
      </c>
      <c r="AO20" s="2">
        <v>0.09</v>
      </c>
      <c r="AP20" s="2">
        <v>0.09</v>
      </c>
    </row>
    <row r="21" spans="1:42" hidden="1" x14ac:dyDescent="0.3">
      <c r="A21" s="5" t="s">
        <v>162</v>
      </c>
      <c r="B21" s="5" t="s">
        <v>9</v>
      </c>
      <c r="C21" s="22">
        <v>44475</v>
      </c>
      <c r="D21" s="22">
        <v>44483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</row>
    <row r="22" spans="1:42" hidden="1" x14ac:dyDescent="0.3">
      <c r="A22" s="5" t="s">
        <v>163</v>
      </c>
      <c r="B22" s="5" t="s">
        <v>14</v>
      </c>
      <c r="C22" s="22">
        <v>44462</v>
      </c>
      <c r="D22" s="22">
        <v>44475</v>
      </c>
      <c r="E22" s="3">
        <v>0</v>
      </c>
      <c r="F22" s="3">
        <v>0</v>
      </c>
      <c r="G22" s="3">
        <v>0.06</v>
      </c>
      <c r="H22" s="3">
        <v>0.09</v>
      </c>
      <c r="I22" s="3">
        <v>0.09</v>
      </c>
      <c r="J22" s="3">
        <v>0.09</v>
      </c>
      <c r="K22" s="3">
        <v>0.09</v>
      </c>
      <c r="L22" s="3">
        <v>0.09</v>
      </c>
      <c r="M22" s="3">
        <v>0.09</v>
      </c>
      <c r="N22" s="3">
        <v>0.09</v>
      </c>
      <c r="O22" s="3">
        <v>0.09</v>
      </c>
      <c r="P22" s="3">
        <v>0.09</v>
      </c>
      <c r="Q22" s="3">
        <v>0.09</v>
      </c>
      <c r="R22" s="3">
        <v>0.09</v>
      </c>
      <c r="S22" s="3">
        <v>0.09</v>
      </c>
      <c r="T22" s="3">
        <v>0.09</v>
      </c>
      <c r="U22" s="3">
        <v>0.09</v>
      </c>
      <c r="V22" s="3">
        <v>0.09</v>
      </c>
      <c r="W22" s="3">
        <v>0.09</v>
      </c>
      <c r="X22" s="3">
        <v>0.09</v>
      </c>
      <c r="Y22" s="3">
        <v>0.09</v>
      </c>
      <c r="Z22" s="3">
        <v>0.09</v>
      </c>
      <c r="AA22" s="3">
        <v>0.09</v>
      </c>
      <c r="AB22" s="3">
        <v>0.09</v>
      </c>
      <c r="AC22" s="3">
        <v>0.09</v>
      </c>
      <c r="AD22" s="3">
        <v>0.09</v>
      </c>
      <c r="AE22" s="3">
        <v>0.09</v>
      </c>
      <c r="AF22" s="3">
        <v>0.09</v>
      </c>
      <c r="AG22" s="3">
        <v>0.09</v>
      </c>
      <c r="AH22" s="3">
        <v>0.09</v>
      </c>
      <c r="AI22" s="3">
        <v>0.09</v>
      </c>
      <c r="AJ22" s="3">
        <v>0.09</v>
      </c>
      <c r="AK22" s="3">
        <v>0.09</v>
      </c>
      <c r="AL22" s="3">
        <v>0.09</v>
      </c>
      <c r="AM22" s="3">
        <v>0.09</v>
      </c>
      <c r="AN22" s="3">
        <v>0.09</v>
      </c>
      <c r="AO22" s="3">
        <v>0.09</v>
      </c>
      <c r="AP22" s="3">
        <v>0.09</v>
      </c>
    </row>
    <row r="23" spans="1:42" hidden="1" x14ac:dyDescent="0.3">
      <c r="A23" s="15" t="s">
        <v>164</v>
      </c>
      <c r="B23" s="15" t="s">
        <v>18</v>
      </c>
      <c r="C23" s="20">
        <v>44477</v>
      </c>
      <c r="D23" s="20">
        <v>44552</v>
      </c>
      <c r="E23" s="8">
        <v>0</v>
      </c>
      <c r="F23" s="8">
        <v>0</v>
      </c>
      <c r="G23" s="8">
        <v>0</v>
      </c>
      <c r="H23" s="8">
        <v>0.38</v>
      </c>
      <c r="I23" s="8">
        <v>0.82</v>
      </c>
      <c r="J23" s="8">
        <v>1.22</v>
      </c>
      <c r="K23" s="8">
        <v>1.22</v>
      </c>
      <c r="L23" s="8">
        <v>1.22</v>
      </c>
      <c r="M23" s="8">
        <v>1.22</v>
      </c>
      <c r="N23" s="8">
        <v>1.22</v>
      </c>
      <c r="O23" s="8">
        <v>1.22</v>
      </c>
      <c r="P23" s="8">
        <v>1.22</v>
      </c>
      <c r="Q23" s="8">
        <v>1.22</v>
      </c>
      <c r="R23" s="8">
        <v>1.22</v>
      </c>
      <c r="S23" s="8">
        <v>1.22</v>
      </c>
      <c r="T23" s="8">
        <v>1.22</v>
      </c>
      <c r="U23" s="8">
        <v>1.22</v>
      </c>
      <c r="V23" s="8">
        <v>1.22</v>
      </c>
      <c r="W23" s="8">
        <v>1.22</v>
      </c>
      <c r="X23" s="8">
        <v>1.22</v>
      </c>
      <c r="Y23" s="8">
        <v>1.22</v>
      </c>
      <c r="Z23" s="8">
        <v>1.22</v>
      </c>
      <c r="AA23" s="8">
        <v>1.22</v>
      </c>
      <c r="AB23" s="8">
        <v>1.22</v>
      </c>
      <c r="AC23" s="8">
        <v>1.22</v>
      </c>
      <c r="AD23" s="8">
        <v>1.22</v>
      </c>
      <c r="AE23" s="8">
        <v>1.22</v>
      </c>
      <c r="AF23" s="8">
        <v>1.22</v>
      </c>
      <c r="AG23" s="8">
        <v>1.22</v>
      </c>
      <c r="AH23" s="8">
        <v>1.22</v>
      </c>
      <c r="AI23" s="8">
        <v>1.22</v>
      </c>
      <c r="AJ23" s="8">
        <v>1.22</v>
      </c>
      <c r="AK23" s="8">
        <v>1.22</v>
      </c>
      <c r="AL23" s="8">
        <v>1.22</v>
      </c>
      <c r="AM23" s="8">
        <v>1.22</v>
      </c>
      <c r="AN23" s="8">
        <v>1.22</v>
      </c>
      <c r="AO23" s="8">
        <v>1.22</v>
      </c>
      <c r="AP23" s="8">
        <v>1.22</v>
      </c>
    </row>
    <row r="24" spans="1:42" hidden="1" x14ac:dyDescent="0.3">
      <c r="A24" s="4" t="s">
        <v>165</v>
      </c>
      <c r="B24" s="4" t="s">
        <v>18</v>
      </c>
      <c r="C24" s="21">
        <v>44477</v>
      </c>
      <c r="D24" s="21">
        <v>44552</v>
      </c>
      <c r="E24" s="2">
        <v>0</v>
      </c>
      <c r="F24" s="2">
        <v>0</v>
      </c>
      <c r="G24" s="2">
        <v>0</v>
      </c>
      <c r="H24" s="2">
        <v>0.38</v>
      </c>
      <c r="I24" s="2">
        <v>0.82</v>
      </c>
      <c r="J24" s="2">
        <v>1.22</v>
      </c>
      <c r="K24" s="2">
        <v>1.22</v>
      </c>
      <c r="L24" s="2">
        <v>1.22</v>
      </c>
      <c r="M24" s="2">
        <v>1.22</v>
      </c>
      <c r="N24" s="2">
        <v>1.22</v>
      </c>
      <c r="O24" s="2">
        <v>1.22</v>
      </c>
      <c r="P24" s="2">
        <v>1.22</v>
      </c>
      <c r="Q24" s="2">
        <v>1.22</v>
      </c>
      <c r="R24" s="2">
        <v>1.22</v>
      </c>
      <c r="S24" s="2">
        <v>1.22</v>
      </c>
      <c r="T24" s="2">
        <v>1.22</v>
      </c>
      <c r="U24" s="2">
        <v>1.22</v>
      </c>
      <c r="V24" s="2">
        <v>1.22</v>
      </c>
      <c r="W24" s="2">
        <v>1.22</v>
      </c>
      <c r="X24" s="2">
        <v>1.22</v>
      </c>
      <c r="Y24" s="2">
        <v>1.22</v>
      </c>
      <c r="Z24" s="2">
        <v>1.22</v>
      </c>
      <c r="AA24" s="2">
        <v>1.22</v>
      </c>
      <c r="AB24" s="2">
        <v>1.22</v>
      </c>
      <c r="AC24" s="2">
        <v>1.22</v>
      </c>
      <c r="AD24" s="2">
        <v>1.22</v>
      </c>
      <c r="AE24" s="2">
        <v>1.22</v>
      </c>
      <c r="AF24" s="2">
        <v>1.22</v>
      </c>
      <c r="AG24" s="2">
        <v>1.22</v>
      </c>
      <c r="AH24" s="2">
        <v>1.22</v>
      </c>
      <c r="AI24" s="2">
        <v>1.22</v>
      </c>
      <c r="AJ24" s="2">
        <v>1.22</v>
      </c>
      <c r="AK24" s="2">
        <v>1.22</v>
      </c>
      <c r="AL24" s="2">
        <v>1.22</v>
      </c>
      <c r="AM24" s="2">
        <v>1.22</v>
      </c>
      <c r="AN24" s="2">
        <v>1.22</v>
      </c>
      <c r="AO24" s="2">
        <v>1.22</v>
      </c>
      <c r="AP24" s="2">
        <v>1.22</v>
      </c>
    </row>
    <row r="25" spans="1:42" hidden="1" x14ac:dyDescent="0.3">
      <c r="A25" s="5" t="s">
        <v>166</v>
      </c>
      <c r="B25" s="5" t="s">
        <v>11</v>
      </c>
      <c r="C25" s="22">
        <v>44477</v>
      </c>
      <c r="D25" s="22">
        <v>44505</v>
      </c>
      <c r="E25" s="3">
        <v>0</v>
      </c>
      <c r="F25" s="3">
        <v>0</v>
      </c>
      <c r="G25" s="3">
        <v>0</v>
      </c>
      <c r="H25" s="3">
        <v>0.33</v>
      </c>
      <c r="I25" s="3">
        <v>0.42</v>
      </c>
      <c r="J25" s="3">
        <v>0.42</v>
      </c>
      <c r="K25" s="3">
        <v>0.42</v>
      </c>
      <c r="L25" s="3">
        <v>0.42</v>
      </c>
      <c r="M25" s="3">
        <v>0.42</v>
      </c>
      <c r="N25" s="3">
        <v>0.42</v>
      </c>
      <c r="O25" s="3">
        <v>0.42</v>
      </c>
      <c r="P25" s="3">
        <v>0.42</v>
      </c>
      <c r="Q25" s="3">
        <v>0.42</v>
      </c>
      <c r="R25" s="3">
        <v>0.42</v>
      </c>
      <c r="S25" s="3">
        <v>0.42</v>
      </c>
      <c r="T25" s="3">
        <v>0.42</v>
      </c>
      <c r="U25" s="3">
        <v>0.42</v>
      </c>
      <c r="V25" s="3">
        <v>0.42</v>
      </c>
      <c r="W25" s="3">
        <v>0.42</v>
      </c>
      <c r="X25" s="3">
        <v>0.42</v>
      </c>
      <c r="Y25" s="3">
        <v>0.42</v>
      </c>
      <c r="Z25" s="3">
        <v>0.42</v>
      </c>
      <c r="AA25" s="3">
        <v>0.42</v>
      </c>
      <c r="AB25" s="3">
        <v>0.42</v>
      </c>
      <c r="AC25" s="3">
        <v>0.42</v>
      </c>
      <c r="AD25" s="3">
        <v>0.42</v>
      </c>
      <c r="AE25" s="3">
        <v>0.42</v>
      </c>
      <c r="AF25" s="3">
        <v>0.42</v>
      </c>
      <c r="AG25" s="3">
        <v>0.42</v>
      </c>
      <c r="AH25" s="3">
        <v>0.42</v>
      </c>
      <c r="AI25" s="3">
        <v>0.42</v>
      </c>
      <c r="AJ25" s="3">
        <v>0.42</v>
      </c>
      <c r="AK25" s="3">
        <v>0.42</v>
      </c>
      <c r="AL25" s="3">
        <v>0.42</v>
      </c>
      <c r="AM25" s="3">
        <v>0.42</v>
      </c>
      <c r="AN25" s="3">
        <v>0.42</v>
      </c>
      <c r="AO25" s="3">
        <v>0.42</v>
      </c>
      <c r="AP25" s="3">
        <v>0.42</v>
      </c>
    </row>
    <row r="26" spans="1:42" hidden="1" x14ac:dyDescent="0.3">
      <c r="A26" s="5" t="s">
        <v>167</v>
      </c>
      <c r="B26" s="5" t="s">
        <v>19</v>
      </c>
      <c r="C26" s="22">
        <v>44487</v>
      </c>
      <c r="D26" s="22">
        <v>44539</v>
      </c>
      <c r="E26" s="3">
        <v>0</v>
      </c>
      <c r="F26" s="3">
        <v>0</v>
      </c>
      <c r="G26" s="3">
        <v>0</v>
      </c>
      <c r="H26" s="3">
        <v>0.05</v>
      </c>
      <c r="I26" s="3">
        <v>0.15</v>
      </c>
      <c r="J26" s="3">
        <v>0.19</v>
      </c>
      <c r="K26" s="3">
        <v>0.19</v>
      </c>
      <c r="L26" s="3">
        <v>0.19</v>
      </c>
      <c r="M26" s="3">
        <v>0.19</v>
      </c>
      <c r="N26" s="3">
        <v>0.19</v>
      </c>
      <c r="O26" s="3">
        <v>0.19</v>
      </c>
      <c r="P26" s="3">
        <v>0.19</v>
      </c>
      <c r="Q26" s="3">
        <v>0.19</v>
      </c>
      <c r="R26" s="3">
        <v>0.19</v>
      </c>
      <c r="S26" s="3">
        <v>0.19</v>
      </c>
      <c r="T26" s="3">
        <v>0.19</v>
      </c>
      <c r="U26" s="3">
        <v>0.19</v>
      </c>
      <c r="V26" s="3">
        <v>0.19</v>
      </c>
      <c r="W26" s="3">
        <v>0.19</v>
      </c>
      <c r="X26" s="3">
        <v>0.19</v>
      </c>
      <c r="Y26" s="3">
        <v>0.19</v>
      </c>
      <c r="Z26" s="3">
        <v>0.19</v>
      </c>
      <c r="AA26" s="3">
        <v>0.19</v>
      </c>
      <c r="AB26" s="3">
        <v>0.19</v>
      </c>
      <c r="AC26" s="3">
        <v>0.19</v>
      </c>
      <c r="AD26" s="3">
        <v>0.19</v>
      </c>
      <c r="AE26" s="3">
        <v>0.19</v>
      </c>
      <c r="AF26" s="3">
        <v>0.19</v>
      </c>
      <c r="AG26" s="3">
        <v>0.19</v>
      </c>
      <c r="AH26" s="3">
        <v>0.19</v>
      </c>
      <c r="AI26" s="3">
        <v>0.19</v>
      </c>
      <c r="AJ26" s="3">
        <v>0.19</v>
      </c>
      <c r="AK26" s="3">
        <v>0.19</v>
      </c>
      <c r="AL26" s="3">
        <v>0.19</v>
      </c>
      <c r="AM26" s="3">
        <v>0.19</v>
      </c>
      <c r="AN26" s="3">
        <v>0.19</v>
      </c>
      <c r="AO26" s="3">
        <v>0.19</v>
      </c>
      <c r="AP26" s="3">
        <v>0.19</v>
      </c>
    </row>
    <row r="27" spans="1:42" hidden="1" x14ac:dyDescent="0.3">
      <c r="A27" s="5" t="s">
        <v>168</v>
      </c>
      <c r="B27" s="5" t="s">
        <v>11</v>
      </c>
      <c r="C27" s="22">
        <v>44512</v>
      </c>
      <c r="D27" s="22">
        <v>44539</v>
      </c>
      <c r="E27" s="3">
        <v>0</v>
      </c>
      <c r="F27" s="3">
        <v>0</v>
      </c>
      <c r="G27" s="3">
        <v>0</v>
      </c>
      <c r="H27" s="3">
        <v>0</v>
      </c>
      <c r="I27" s="3">
        <v>0.24</v>
      </c>
      <c r="J27" s="3">
        <v>0.37</v>
      </c>
      <c r="K27" s="3">
        <v>0.37</v>
      </c>
      <c r="L27" s="3">
        <v>0.37</v>
      </c>
      <c r="M27" s="3">
        <v>0.37</v>
      </c>
      <c r="N27" s="3">
        <v>0.37</v>
      </c>
      <c r="O27" s="3">
        <v>0.37</v>
      </c>
      <c r="P27" s="3">
        <v>0.37</v>
      </c>
      <c r="Q27" s="3">
        <v>0.37</v>
      </c>
      <c r="R27" s="3">
        <v>0.37</v>
      </c>
      <c r="S27" s="3">
        <v>0.37</v>
      </c>
      <c r="T27" s="3">
        <v>0.37</v>
      </c>
      <c r="U27" s="3">
        <v>0.37</v>
      </c>
      <c r="V27" s="3">
        <v>0.37</v>
      </c>
      <c r="W27" s="3">
        <v>0.37</v>
      </c>
      <c r="X27" s="3">
        <v>0.37</v>
      </c>
      <c r="Y27" s="3">
        <v>0.37</v>
      </c>
      <c r="Z27" s="3">
        <v>0.37</v>
      </c>
      <c r="AA27" s="3">
        <v>0.37</v>
      </c>
      <c r="AB27" s="3">
        <v>0.37</v>
      </c>
      <c r="AC27" s="3">
        <v>0.37</v>
      </c>
      <c r="AD27" s="3">
        <v>0.37</v>
      </c>
      <c r="AE27" s="3">
        <v>0.37</v>
      </c>
      <c r="AF27" s="3">
        <v>0.37</v>
      </c>
      <c r="AG27" s="3">
        <v>0.37</v>
      </c>
      <c r="AH27" s="3">
        <v>0.37</v>
      </c>
      <c r="AI27" s="3">
        <v>0.37</v>
      </c>
      <c r="AJ27" s="3">
        <v>0.37</v>
      </c>
      <c r="AK27" s="3">
        <v>0.37</v>
      </c>
      <c r="AL27" s="3">
        <v>0.37</v>
      </c>
      <c r="AM27" s="3">
        <v>0.37</v>
      </c>
      <c r="AN27" s="3">
        <v>0.37</v>
      </c>
      <c r="AO27" s="3">
        <v>0.37</v>
      </c>
      <c r="AP27" s="3">
        <v>0.37</v>
      </c>
    </row>
    <row r="28" spans="1:42" hidden="1" x14ac:dyDescent="0.3">
      <c r="A28" s="5" t="s">
        <v>169</v>
      </c>
      <c r="B28" s="5" t="s">
        <v>9</v>
      </c>
      <c r="C28" s="22">
        <v>44532</v>
      </c>
      <c r="D28" s="22">
        <v>44539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0.19</v>
      </c>
      <c r="K28" s="3">
        <v>0.19</v>
      </c>
      <c r="L28" s="3">
        <v>0.19</v>
      </c>
      <c r="M28" s="3">
        <v>0.19</v>
      </c>
      <c r="N28" s="3">
        <v>0.19</v>
      </c>
      <c r="O28" s="3">
        <v>0.19</v>
      </c>
      <c r="P28" s="3">
        <v>0.19</v>
      </c>
      <c r="Q28" s="3">
        <v>0.19</v>
      </c>
      <c r="R28" s="3">
        <v>0.19</v>
      </c>
      <c r="S28" s="3">
        <v>0.19</v>
      </c>
      <c r="T28" s="3">
        <v>0.19</v>
      </c>
      <c r="U28" s="3">
        <v>0.19</v>
      </c>
      <c r="V28" s="3">
        <v>0.19</v>
      </c>
      <c r="W28" s="3">
        <v>0.19</v>
      </c>
      <c r="X28" s="3">
        <v>0.19</v>
      </c>
      <c r="Y28" s="3">
        <v>0.19</v>
      </c>
      <c r="Z28" s="3">
        <v>0.19</v>
      </c>
      <c r="AA28" s="3">
        <v>0.19</v>
      </c>
      <c r="AB28" s="3">
        <v>0.19</v>
      </c>
      <c r="AC28" s="3">
        <v>0.19</v>
      </c>
      <c r="AD28" s="3">
        <v>0.19</v>
      </c>
      <c r="AE28" s="3">
        <v>0.19</v>
      </c>
      <c r="AF28" s="3">
        <v>0.19</v>
      </c>
      <c r="AG28" s="3">
        <v>0.19</v>
      </c>
      <c r="AH28" s="3">
        <v>0.19</v>
      </c>
      <c r="AI28" s="3">
        <v>0.19</v>
      </c>
      <c r="AJ28" s="3">
        <v>0.19</v>
      </c>
      <c r="AK28" s="3">
        <v>0.19</v>
      </c>
      <c r="AL28" s="3">
        <v>0.19</v>
      </c>
      <c r="AM28" s="3">
        <v>0.19</v>
      </c>
      <c r="AN28" s="3">
        <v>0.19</v>
      </c>
      <c r="AO28" s="3">
        <v>0.19</v>
      </c>
      <c r="AP28" s="3">
        <v>0.19</v>
      </c>
    </row>
    <row r="29" spans="1:42" hidden="1" x14ac:dyDescent="0.3">
      <c r="A29" s="16" t="s">
        <v>170</v>
      </c>
      <c r="B29" s="16" t="s">
        <v>20</v>
      </c>
      <c r="C29" s="23">
        <v>44552</v>
      </c>
      <c r="D29" s="23">
        <v>44552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0.05</v>
      </c>
      <c r="K29" s="9">
        <v>0.05</v>
      </c>
      <c r="L29" s="9">
        <v>0.05</v>
      </c>
      <c r="M29" s="9">
        <v>0.05</v>
      </c>
      <c r="N29" s="9">
        <v>0.05</v>
      </c>
      <c r="O29" s="9">
        <v>0.05</v>
      </c>
      <c r="P29" s="9">
        <v>0.05</v>
      </c>
      <c r="Q29" s="9">
        <v>0.05</v>
      </c>
      <c r="R29" s="9">
        <v>0.05</v>
      </c>
      <c r="S29" s="9">
        <v>0.05</v>
      </c>
      <c r="T29" s="9">
        <v>0.05</v>
      </c>
      <c r="U29" s="9">
        <v>0.05</v>
      </c>
      <c r="V29" s="9">
        <v>0.05</v>
      </c>
      <c r="W29" s="9">
        <v>0.05</v>
      </c>
      <c r="X29" s="9">
        <v>0.05</v>
      </c>
      <c r="Y29" s="9">
        <v>0.05</v>
      </c>
      <c r="Z29" s="9">
        <v>0.05</v>
      </c>
      <c r="AA29" s="9">
        <v>0.05</v>
      </c>
      <c r="AB29" s="9">
        <v>0.05</v>
      </c>
      <c r="AC29" s="9">
        <v>0.05</v>
      </c>
      <c r="AD29" s="9">
        <v>0.05</v>
      </c>
      <c r="AE29" s="9">
        <v>0.05</v>
      </c>
      <c r="AF29" s="9">
        <v>0.05</v>
      </c>
      <c r="AG29" s="9">
        <v>0.05</v>
      </c>
      <c r="AH29" s="9">
        <v>0.05</v>
      </c>
      <c r="AI29" s="9">
        <v>0.05</v>
      </c>
      <c r="AJ29" s="9">
        <v>0.05</v>
      </c>
      <c r="AK29" s="9">
        <v>0.05</v>
      </c>
      <c r="AL29" s="9">
        <v>0.05</v>
      </c>
      <c r="AM29" s="9">
        <v>0.05</v>
      </c>
      <c r="AN29" s="9">
        <v>0.05</v>
      </c>
      <c r="AO29" s="9">
        <v>0.05</v>
      </c>
      <c r="AP29" s="9">
        <v>0.05</v>
      </c>
    </row>
    <row r="30" spans="1:42" hidden="1" x14ac:dyDescent="0.3">
      <c r="A30" s="14" t="s">
        <v>22</v>
      </c>
      <c r="B30" s="14" t="s">
        <v>21</v>
      </c>
      <c r="C30" s="19">
        <v>44544</v>
      </c>
      <c r="D30" s="19">
        <v>44818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0.17</v>
      </c>
      <c r="K30" s="7">
        <v>0.64</v>
      </c>
      <c r="L30" s="7">
        <v>1.0900000000000001</v>
      </c>
      <c r="M30" s="7">
        <v>1.69</v>
      </c>
      <c r="N30" s="7">
        <v>2.2400000000000002</v>
      </c>
      <c r="O30" s="7">
        <v>2.83</v>
      </c>
      <c r="P30" s="7">
        <v>3.13</v>
      </c>
      <c r="Q30" s="7">
        <v>4.43</v>
      </c>
      <c r="R30" s="7">
        <v>4.53</v>
      </c>
      <c r="S30" s="7">
        <v>5.81</v>
      </c>
      <c r="T30" s="7">
        <v>5.81</v>
      </c>
      <c r="U30" s="7">
        <v>5.81</v>
      </c>
      <c r="V30" s="7">
        <v>5.81</v>
      </c>
      <c r="W30" s="7">
        <v>5.81</v>
      </c>
      <c r="X30" s="7">
        <v>5.81</v>
      </c>
      <c r="Y30" s="7">
        <v>5.81</v>
      </c>
      <c r="Z30" s="7">
        <v>5.81</v>
      </c>
      <c r="AA30" s="7">
        <v>5.81</v>
      </c>
      <c r="AB30" s="7">
        <v>5.81</v>
      </c>
      <c r="AC30" s="7">
        <v>5.81</v>
      </c>
      <c r="AD30" s="7">
        <v>5.81</v>
      </c>
      <c r="AE30" s="7">
        <v>5.81</v>
      </c>
      <c r="AF30" s="7">
        <v>5.81</v>
      </c>
      <c r="AG30" s="7">
        <v>5.81</v>
      </c>
      <c r="AH30" s="7">
        <v>5.81</v>
      </c>
      <c r="AI30" s="7">
        <v>5.81</v>
      </c>
      <c r="AJ30" s="7">
        <v>5.81</v>
      </c>
      <c r="AK30" s="7">
        <v>5.81</v>
      </c>
      <c r="AL30" s="7">
        <v>5.81</v>
      </c>
      <c r="AM30" s="7">
        <v>5.81</v>
      </c>
      <c r="AN30" s="7">
        <v>5.81</v>
      </c>
      <c r="AO30" s="7">
        <v>5.81</v>
      </c>
      <c r="AP30" s="7">
        <v>5.81</v>
      </c>
    </row>
    <row r="31" spans="1:42" hidden="1" x14ac:dyDescent="0.3">
      <c r="A31" s="15" t="s">
        <v>171</v>
      </c>
      <c r="B31" s="15" t="s">
        <v>23</v>
      </c>
      <c r="C31" s="20">
        <v>44544</v>
      </c>
      <c r="D31" s="20">
        <v>44796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0.17</v>
      </c>
      <c r="K31" s="8">
        <v>0.64</v>
      </c>
      <c r="L31" s="8">
        <v>1.07</v>
      </c>
      <c r="M31" s="8">
        <v>1.64</v>
      </c>
      <c r="N31" s="8">
        <v>2.17</v>
      </c>
      <c r="O31" s="8">
        <v>2.73</v>
      </c>
      <c r="P31" s="8">
        <v>3</v>
      </c>
      <c r="Q31" s="8">
        <v>3</v>
      </c>
      <c r="R31" s="8">
        <v>3.09</v>
      </c>
      <c r="S31" s="8">
        <v>3.09</v>
      </c>
      <c r="T31" s="8">
        <v>3.09</v>
      </c>
      <c r="U31" s="8">
        <v>3.09</v>
      </c>
      <c r="V31" s="8">
        <v>3.09</v>
      </c>
      <c r="W31" s="8">
        <v>3.09</v>
      </c>
      <c r="X31" s="8">
        <v>3.09</v>
      </c>
      <c r="Y31" s="8">
        <v>3.09</v>
      </c>
      <c r="Z31" s="8">
        <v>3.09</v>
      </c>
      <c r="AA31" s="8">
        <v>3.09</v>
      </c>
      <c r="AB31" s="8">
        <v>3.09</v>
      </c>
      <c r="AC31" s="8">
        <v>3.09</v>
      </c>
      <c r="AD31" s="8">
        <v>3.09</v>
      </c>
      <c r="AE31" s="8">
        <v>3.09</v>
      </c>
      <c r="AF31" s="8">
        <v>3.09</v>
      </c>
      <c r="AG31" s="8">
        <v>3.09</v>
      </c>
      <c r="AH31" s="8">
        <v>3.09</v>
      </c>
      <c r="AI31" s="8">
        <v>3.09</v>
      </c>
      <c r="AJ31" s="8">
        <v>3.09</v>
      </c>
      <c r="AK31" s="8">
        <v>3.09</v>
      </c>
      <c r="AL31" s="8">
        <v>3.09</v>
      </c>
      <c r="AM31" s="8">
        <v>3.09</v>
      </c>
      <c r="AN31" s="8">
        <v>3.09</v>
      </c>
      <c r="AO31" s="8">
        <v>3.09</v>
      </c>
      <c r="AP31" s="8">
        <v>3.09</v>
      </c>
    </row>
    <row r="32" spans="1:42" hidden="1" x14ac:dyDescent="0.3">
      <c r="A32" s="4" t="s">
        <v>172</v>
      </c>
      <c r="B32" s="4" t="s">
        <v>20</v>
      </c>
      <c r="C32" s="21">
        <v>44796</v>
      </c>
      <c r="D32" s="21">
        <v>44796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0.09</v>
      </c>
      <c r="S32" s="2">
        <v>0.09</v>
      </c>
      <c r="T32" s="2">
        <v>0.09</v>
      </c>
      <c r="U32" s="2">
        <v>0.09</v>
      </c>
      <c r="V32" s="2">
        <v>0.09</v>
      </c>
      <c r="W32" s="2">
        <v>0.09</v>
      </c>
      <c r="X32" s="2">
        <v>0.09</v>
      </c>
      <c r="Y32" s="2">
        <v>0.09</v>
      </c>
      <c r="Z32" s="2">
        <v>0.09</v>
      </c>
      <c r="AA32" s="2">
        <v>0.09</v>
      </c>
      <c r="AB32" s="2">
        <v>0.09</v>
      </c>
      <c r="AC32" s="2">
        <v>0.09</v>
      </c>
      <c r="AD32" s="2">
        <v>0.09</v>
      </c>
      <c r="AE32" s="2">
        <v>0.09</v>
      </c>
      <c r="AF32" s="2">
        <v>0.09</v>
      </c>
      <c r="AG32" s="2">
        <v>0.09</v>
      </c>
      <c r="AH32" s="2">
        <v>0.09</v>
      </c>
      <c r="AI32" s="2">
        <v>0.09</v>
      </c>
      <c r="AJ32" s="2">
        <v>0.09</v>
      </c>
      <c r="AK32" s="2">
        <v>0.09</v>
      </c>
      <c r="AL32" s="2">
        <v>0.09</v>
      </c>
      <c r="AM32" s="2">
        <v>0.09</v>
      </c>
      <c r="AN32" s="2">
        <v>0.09</v>
      </c>
      <c r="AO32" s="2">
        <v>0.09</v>
      </c>
      <c r="AP32" s="2">
        <v>0.09</v>
      </c>
    </row>
    <row r="33" spans="1:42" hidden="1" x14ac:dyDescent="0.3">
      <c r="A33" s="16" t="s">
        <v>173</v>
      </c>
      <c r="B33" s="16" t="s">
        <v>20</v>
      </c>
      <c r="C33" s="23">
        <v>44796</v>
      </c>
      <c r="D33" s="23">
        <v>44796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0.09</v>
      </c>
      <c r="S33" s="9">
        <v>0.09</v>
      </c>
      <c r="T33" s="9">
        <v>0.09</v>
      </c>
      <c r="U33" s="9">
        <v>0.09</v>
      </c>
      <c r="V33" s="9">
        <v>0.09</v>
      </c>
      <c r="W33" s="9">
        <v>0.09</v>
      </c>
      <c r="X33" s="9">
        <v>0.09</v>
      </c>
      <c r="Y33" s="9">
        <v>0.09</v>
      </c>
      <c r="Z33" s="9">
        <v>0.09</v>
      </c>
      <c r="AA33" s="9">
        <v>0.09</v>
      </c>
      <c r="AB33" s="9">
        <v>0.09</v>
      </c>
      <c r="AC33" s="9">
        <v>0.09</v>
      </c>
      <c r="AD33" s="9">
        <v>0.09</v>
      </c>
      <c r="AE33" s="9">
        <v>0.09</v>
      </c>
      <c r="AF33" s="9">
        <v>0.09</v>
      </c>
      <c r="AG33" s="9">
        <v>0.09</v>
      </c>
      <c r="AH33" s="9">
        <v>0.09</v>
      </c>
      <c r="AI33" s="9">
        <v>0.09</v>
      </c>
      <c r="AJ33" s="9">
        <v>0.09</v>
      </c>
      <c r="AK33" s="9">
        <v>0.09</v>
      </c>
      <c r="AL33" s="9">
        <v>0.09</v>
      </c>
      <c r="AM33" s="9">
        <v>0.09</v>
      </c>
      <c r="AN33" s="9">
        <v>0.09</v>
      </c>
      <c r="AO33" s="9">
        <v>0.09</v>
      </c>
      <c r="AP33" s="9">
        <v>0.09</v>
      </c>
    </row>
    <row r="34" spans="1:42" hidden="1" x14ac:dyDescent="0.3">
      <c r="A34" s="4" t="s">
        <v>174</v>
      </c>
      <c r="B34" s="4" t="s">
        <v>24</v>
      </c>
      <c r="C34" s="21">
        <v>44719</v>
      </c>
      <c r="D34" s="21">
        <v>44739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0.19</v>
      </c>
      <c r="Q34" s="2">
        <v>0.19</v>
      </c>
      <c r="R34" s="2">
        <v>0.19</v>
      </c>
      <c r="S34" s="2">
        <v>0.19</v>
      </c>
      <c r="T34" s="2">
        <v>0.19</v>
      </c>
      <c r="U34" s="2">
        <v>0.19</v>
      </c>
      <c r="V34" s="2">
        <v>0.19</v>
      </c>
      <c r="W34" s="2">
        <v>0.19</v>
      </c>
      <c r="X34" s="2">
        <v>0.19</v>
      </c>
      <c r="Y34" s="2">
        <v>0.19</v>
      </c>
      <c r="Z34" s="2">
        <v>0.19</v>
      </c>
      <c r="AA34" s="2">
        <v>0.19</v>
      </c>
      <c r="AB34" s="2">
        <v>0.19</v>
      </c>
      <c r="AC34" s="2">
        <v>0.19</v>
      </c>
      <c r="AD34" s="2">
        <v>0.19</v>
      </c>
      <c r="AE34" s="2">
        <v>0.19</v>
      </c>
      <c r="AF34" s="2">
        <v>0.19</v>
      </c>
      <c r="AG34" s="2">
        <v>0.19</v>
      </c>
      <c r="AH34" s="2">
        <v>0.19</v>
      </c>
      <c r="AI34" s="2">
        <v>0.19</v>
      </c>
      <c r="AJ34" s="2">
        <v>0.19</v>
      </c>
      <c r="AK34" s="2">
        <v>0.19</v>
      </c>
      <c r="AL34" s="2">
        <v>0.19</v>
      </c>
      <c r="AM34" s="2">
        <v>0.19</v>
      </c>
      <c r="AN34" s="2">
        <v>0.19</v>
      </c>
      <c r="AO34" s="2">
        <v>0.19</v>
      </c>
      <c r="AP34" s="2">
        <v>0.19</v>
      </c>
    </row>
    <row r="35" spans="1:42" hidden="1" x14ac:dyDescent="0.3">
      <c r="A35" s="5" t="s">
        <v>175</v>
      </c>
      <c r="B35" s="5" t="s">
        <v>17</v>
      </c>
      <c r="C35" s="22">
        <v>44719</v>
      </c>
      <c r="D35" s="22">
        <v>44739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0.09</v>
      </c>
      <c r="Q35" s="3">
        <v>0.09</v>
      </c>
      <c r="R35" s="3">
        <v>0.09</v>
      </c>
      <c r="S35" s="3">
        <v>0.09</v>
      </c>
      <c r="T35" s="3">
        <v>0.09</v>
      </c>
      <c r="U35" s="3">
        <v>0.09</v>
      </c>
      <c r="V35" s="3">
        <v>0.09</v>
      </c>
      <c r="W35" s="3">
        <v>0.09</v>
      </c>
      <c r="X35" s="3">
        <v>0.09</v>
      </c>
      <c r="Y35" s="3">
        <v>0.09</v>
      </c>
      <c r="Z35" s="3">
        <v>0.09</v>
      </c>
      <c r="AA35" s="3">
        <v>0.09</v>
      </c>
      <c r="AB35" s="3">
        <v>0.09</v>
      </c>
      <c r="AC35" s="3">
        <v>0.09</v>
      </c>
      <c r="AD35" s="3">
        <v>0.09</v>
      </c>
      <c r="AE35" s="3">
        <v>0.09</v>
      </c>
      <c r="AF35" s="3">
        <v>0.09</v>
      </c>
      <c r="AG35" s="3">
        <v>0.09</v>
      </c>
      <c r="AH35" s="3">
        <v>0.09</v>
      </c>
      <c r="AI35" s="3">
        <v>0.09</v>
      </c>
      <c r="AJ35" s="3">
        <v>0.09</v>
      </c>
      <c r="AK35" s="3">
        <v>0.09</v>
      </c>
      <c r="AL35" s="3">
        <v>0.09</v>
      </c>
      <c r="AM35" s="3">
        <v>0.09</v>
      </c>
      <c r="AN35" s="3">
        <v>0.09</v>
      </c>
      <c r="AO35" s="3">
        <v>0.09</v>
      </c>
      <c r="AP35" s="3">
        <v>0.09</v>
      </c>
    </row>
    <row r="36" spans="1:42" hidden="1" x14ac:dyDescent="0.3">
      <c r="A36" s="5" t="s">
        <v>176</v>
      </c>
      <c r="B36" s="5" t="s">
        <v>17</v>
      </c>
      <c r="C36" s="22">
        <v>44719</v>
      </c>
      <c r="D36" s="22">
        <v>44739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0.09</v>
      </c>
      <c r="Q36" s="3">
        <v>0.09</v>
      </c>
      <c r="R36" s="3">
        <v>0.09</v>
      </c>
      <c r="S36" s="3">
        <v>0.09</v>
      </c>
      <c r="T36" s="3">
        <v>0.09</v>
      </c>
      <c r="U36" s="3">
        <v>0.09</v>
      </c>
      <c r="V36" s="3">
        <v>0.09</v>
      </c>
      <c r="W36" s="3">
        <v>0.09</v>
      </c>
      <c r="X36" s="3">
        <v>0.09</v>
      </c>
      <c r="Y36" s="3">
        <v>0.09</v>
      </c>
      <c r="Z36" s="3">
        <v>0.09</v>
      </c>
      <c r="AA36" s="3">
        <v>0.09</v>
      </c>
      <c r="AB36" s="3">
        <v>0.09</v>
      </c>
      <c r="AC36" s="3">
        <v>0.09</v>
      </c>
      <c r="AD36" s="3">
        <v>0.09</v>
      </c>
      <c r="AE36" s="3">
        <v>0.09</v>
      </c>
      <c r="AF36" s="3">
        <v>0.09</v>
      </c>
      <c r="AG36" s="3">
        <v>0.09</v>
      </c>
      <c r="AH36" s="3">
        <v>0.09</v>
      </c>
      <c r="AI36" s="3">
        <v>0.09</v>
      </c>
      <c r="AJ36" s="3">
        <v>0.09</v>
      </c>
      <c r="AK36" s="3">
        <v>0.09</v>
      </c>
      <c r="AL36" s="3">
        <v>0.09</v>
      </c>
      <c r="AM36" s="3">
        <v>0.09</v>
      </c>
      <c r="AN36" s="3">
        <v>0.09</v>
      </c>
      <c r="AO36" s="3">
        <v>0.09</v>
      </c>
      <c r="AP36" s="3">
        <v>0.09</v>
      </c>
    </row>
    <row r="37" spans="1:42" hidden="1" x14ac:dyDescent="0.3">
      <c r="A37" s="4" t="s">
        <v>177</v>
      </c>
      <c r="B37" s="4" t="s">
        <v>25</v>
      </c>
      <c r="C37" s="21">
        <v>44698</v>
      </c>
      <c r="D37" s="21">
        <v>44718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0.28999999999999998</v>
      </c>
      <c r="P37" s="2">
        <v>0.37</v>
      </c>
      <c r="Q37" s="2">
        <v>0.37</v>
      </c>
      <c r="R37" s="2">
        <v>0.37</v>
      </c>
      <c r="S37" s="2">
        <v>0.37</v>
      </c>
      <c r="T37" s="2">
        <v>0.37</v>
      </c>
      <c r="U37" s="2">
        <v>0.37</v>
      </c>
      <c r="V37" s="2">
        <v>0.37</v>
      </c>
      <c r="W37" s="2">
        <v>0.37</v>
      </c>
      <c r="X37" s="2">
        <v>0.37</v>
      </c>
      <c r="Y37" s="2">
        <v>0.37</v>
      </c>
      <c r="Z37" s="2">
        <v>0.37</v>
      </c>
      <c r="AA37" s="2">
        <v>0.37</v>
      </c>
      <c r="AB37" s="2">
        <v>0.37</v>
      </c>
      <c r="AC37" s="2">
        <v>0.37</v>
      </c>
      <c r="AD37" s="2">
        <v>0.37</v>
      </c>
      <c r="AE37" s="2">
        <v>0.37</v>
      </c>
      <c r="AF37" s="2">
        <v>0.37</v>
      </c>
      <c r="AG37" s="2">
        <v>0.37</v>
      </c>
      <c r="AH37" s="2">
        <v>0.37</v>
      </c>
      <c r="AI37" s="2">
        <v>0.37</v>
      </c>
      <c r="AJ37" s="2">
        <v>0.37</v>
      </c>
      <c r="AK37" s="2">
        <v>0.37</v>
      </c>
      <c r="AL37" s="2">
        <v>0.37</v>
      </c>
      <c r="AM37" s="2">
        <v>0.37</v>
      </c>
      <c r="AN37" s="2">
        <v>0.37</v>
      </c>
      <c r="AO37" s="2">
        <v>0.37</v>
      </c>
      <c r="AP37" s="2">
        <v>0.37</v>
      </c>
    </row>
    <row r="38" spans="1:42" hidden="1" x14ac:dyDescent="0.3">
      <c r="A38" s="5" t="s">
        <v>178</v>
      </c>
      <c r="B38" s="5" t="s">
        <v>17</v>
      </c>
      <c r="C38" s="22">
        <v>44698</v>
      </c>
      <c r="D38" s="22">
        <v>44718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0.14000000000000001</v>
      </c>
      <c r="P38" s="3">
        <v>0.19</v>
      </c>
      <c r="Q38" s="3">
        <v>0.19</v>
      </c>
      <c r="R38" s="3">
        <v>0.19</v>
      </c>
      <c r="S38" s="3">
        <v>0.19</v>
      </c>
      <c r="T38" s="3">
        <v>0.19</v>
      </c>
      <c r="U38" s="3">
        <v>0.19</v>
      </c>
      <c r="V38" s="3">
        <v>0.19</v>
      </c>
      <c r="W38" s="3">
        <v>0.19</v>
      </c>
      <c r="X38" s="3">
        <v>0.19</v>
      </c>
      <c r="Y38" s="3">
        <v>0.19</v>
      </c>
      <c r="Z38" s="3">
        <v>0.19</v>
      </c>
      <c r="AA38" s="3">
        <v>0.19</v>
      </c>
      <c r="AB38" s="3">
        <v>0.19</v>
      </c>
      <c r="AC38" s="3">
        <v>0.19</v>
      </c>
      <c r="AD38" s="3">
        <v>0.19</v>
      </c>
      <c r="AE38" s="3">
        <v>0.19</v>
      </c>
      <c r="AF38" s="3">
        <v>0.19</v>
      </c>
      <c r="AG38" s="3">
        <v>0.19</v>
      </c>
      <c r="AH38" s="3">
        <v>0.19</v>
      </c>
      <c r="AI38" s="3">
        <v>0.19</v>
      </c>
      <c r="AJ38" s="3">
        <v>0.19</v>
      </c>
      <c r="AK38" s="3">
        <v>0.19</v>
      </c>
      <c r="AL38" s="3">
        <v>0.19</v>
      </c>
      <c r="AM38" s="3">
        <v>0.19</v>
      </c>
      <c r="AN38" s="3">
        <v>0.19</v>
      </c>
      <c r="AO38" s="3">
        <v>0.19</v>
      </c>
      <c r="AP38" s="3">
        <v>0.19</v>
      </c>
    </row>
    <row r="39" spans="1:42" hidden="1" x14ac:dyDescent="0.3">
      <c r="A39" s="5" t="s">
        <v>179</v>
      </c>
      <c r="B39" s="5" t="s">
        <v>17</v>
      </c>
      <c r="C39" s="22">
        <v>44698</v>
      </c>
      <c r="D39" s="22">
        <v>44715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0.15</v>
      </c>
      <c r="P39" s="3">
        <v>0.19</v>
      </c>
      <c r="Q39" s="3">
        <v>0.19</v>
      </c>
      <c r="R39" s="3">
        <v>0.19</v>
      </c>
      <c r="S39" s="3">
        <v>0.19</v>
      </c>
      <c r="T39" s="3">
        <v>0.19</v>
      </c>
      <c r="U39" s="3">
        <v>0.19</v>
      </c>
      <c r="V39" s="3">
        <v>0.19</v>
      </c>
      <c r="W39" s="3">
        <v>0.19</v>
      </c>
      <c r="X39" s="3">
        <v>0.19</v>
      </c>
      <c r="Y39" s="3">
        <v>0.19</v>
      </c>
      <c r="Z39" s="3">
        <v>0.19</v>
      </c>
      <c r="AA39" s="3">
        <v>0.19</v>
      </c>
      <c r="AB39" s="3">
        <v>0.19</v>
      </c>
      <c r="AC39" s="3">
        <v>0.19</v>
      </c>
      <c r="AD39" s="3">
        <v>0.19</v>
      </c>
      <c r="AE39" s="3">
        <v>0.19</v>
      </c>
      <c r="AF39" s="3">
        <v>0.19</v>
      </c>
      <c r="AG39" s="3">
        <v>0.19</v>
      </c>
      <c r="AH39" s="3">
        <v>0.19</v>
      </c>
      <c r="AI39" s="3">
        <v>0.19</v>
      </c>
      <c r="AJ39" s="3">
        <v>0.19</v>
      </c>
      <c r="AK39" s="3">
        <v>0.19</v>
      </c>
      <c r="AL39" s="3">
        <v>0.19</v>
      </c>
      <c r="AM39" s="3">
        <v>0.19</v>
      </c>
      <c r="AN39" s="3">
        <v>0.19</v>
      </c>
      <c r="AO39" s="3">
        <v>0.19</v>
      </c>
      <c r="AP39" s="3">
        <v>0.19</v>
      </c>
    </row>
    <row r="40" spans="1:42" hidden="1" x14ac:dyDescent="0.3">
      <c r="A40" s="4" t="s">
        <v>180</v>
      </c>
      <c r="B40" s="4" t="s">
        <v>25</v>
      </c>
      <c r="C40" s="21">
        <v>44677</v>
      </c>
      <c r="D40" s="21">
        <v>44697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0.1</v>
      </c>
      <c r="O40" s="2">
        <v>0.37</v>
      </c>
      <c r="P40" s="2">
        <v>0.37</v>
      </c>
      <c r="Q40" s="2">
        <v>0.37</v>
      </c>
      <c r="R40" s="2">
        <v>0.37</v>
      </c>
      <c r="S40" s="2">
        <v>0.37</v>
      </c>
      <c r="T40" s="2">
        <v>0.37</v>
      </c>
      <c r="U40" s="2">
        <v>0.37</v>
      </c>
      <c r="V40" s="2">
        <v>0.37</v>
      </c>
      <c r="W40" s="2">
        <v>0.37</v>
      </c>
      <c r="X40" s="2">
        <v>0.37</v>
      </c>
      <c r="Y40" s="2">
        <v>0.37</v>
      </c>
      <c r="Z40" s="2">
        <v>0.37</v>
      </c>
      <c r="AA40" s="2">
        <v>0.37</v>
      </c>
      <c r="AB40" s="2">
        <v>0.37</v>
      </c>
      <c r="AC40" s="2">
        <v>0.37</v>
      </c>
      <c r="AD40" s="2">
        <v>0.37</v>
      </c>
      <c r="AE40" s="2">
        <v>0.37</v>
      </c>
      <c r="AF40" s="2">
        <v>0.37</v>
      </c>
      <c r="AG40" s="2">
        <v>0.37</v>
      </c>
      <c r="AH40" s="2">
        <v>0.37</v>
      </c>
      <c r="AI40" s="2">
        <v>0.37</v>
      </c>
      <c r="AJ40" s="2">
        <v>0.37</v>
      </c>
      <c r="AK40" s="2">
        <v>0.37</v>
      </c>
      <c r="AL40" s="2">
        <v>0.37</v>
      </c>
      <c r="AM40" s="2">
        <v>0.37</v>
      </c>
      <c r="AN40" s="2">
        <v>0.37</v>
      </c>
      <c r="AO40" s="2">
        <v>0.37</v>
      </c>
      <c r="AP40" s="2">
        <v>0.37</v>
      </c>
    </row>
    <row r="41" spans="1:42" hidden="1" x14ac:dyDescent="0.3">
      <c r="A41" s="5" t="s">
        <v>181</v>
      </c>
      <c r="B41" s="5" t="s">
        <v>17</v>
      </c>
      <c r="C41" s="22">
        <v>44677</v>
      </c>
      <c r="D41" s="22">
        <v>44697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0.05</v>
      </c>
      <c r="O41" s="3">
        <v>0.19</v>
      </c>
      <c r="P41" s="3">
        <v>0.19</v>
      </c>
      <c r="Q41" s="3">
        <v>0.19</v>
      </c>
      <c r="R41" s="3">
        <v>0.19</v>
      </c>
      <c r="S41" s="3">
        <v>0.19</v>
      </c>
      <c r="T41" s="3">
        <v>0.19</v>
      </c>
      <c r="U41" s="3">
        <v>0.19</v>
      </c>
      <c r="V41" s="3">
        <v>0.19</v>
      </c>
      <c r="W41" s="3">
        <v>0.19</v>
      </c>
      <c r="X41" s="3">
        <v>0.19</v>
      </c>
      <c r="Y41" s="3">
        <v>0.19</v>
      </c>
      <c r="Z41" s="3">
        <v>0.19</v>
      </c>
      <c r="AA41" s="3">
        <v>0.19</v>
      </c>
      <c r="AB41" s="3">
        <v>0.19</v>
      </c>
      <c r="AC41" s="3">
        <v>0.19</v>
      </c>
      <c r="AD41" s="3">
        <v>0.19</v>
      </c>
      <c r="AE41" s="3">
        <v>0.19</v>
      </c>
      <c r="AF41" s="3">
        <v>0.19</v>
      </c>
      <c r="AG41" s="3">
        <v>0.19</v>
      </c>
      <c r="AH41" s="3">
        <v>0.19</v>
      </c>
      <c r="AI41" s="3">
        <v>0.19</v>
      </c>
      <c r="AJ41" s="3">
        <v>0.19</v>
      </c>
      <c r="AK41" s="3">
        <v>0.19</v>
      </c>
      <c r="AL41" s="3">
        <v>0.19</v>
      </c>
      <c r="AM41" s="3">
        <v>0.19</v>
      </c>
      <c r="AN41" s="3">
        <v>0.19</v>
      </c>
      <c r="AO41" s="3">
        <v>0.19</v>
      </c>
      <c r="AP41" s="3">
        <v>0.19</v>
      </c>
    </row>
    <row r="42" spans="1:42" hidden="1" x14ac:dyDescent="0.3">
      <c r="A42" s="5" t="s">
        <v>182</v>
      </c>
      <c r="B42" s="5" t="s">
        <v>17</v>
      </c>
      <c r="C42" s="22">
        <v>44677</v>
      </c>
      <c r="D42" s="22">
        <v>44694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0.05</v>
      </c>
      <c r="O42" s="3">
        <v>0.19</v>
      </c>
      <c r="P42" s="3">
        <v>0.19</v>
      </c>
      <c r="Q42" s="3">
        <v>0.19</v>
      </c>
      <c r="R42" s="3">
        <v>0.19</v>
      </c>
      <c r="S42" s="3">
        <v>0.19</v>
      </c>
      <c r="T42" s="3">
        <v>0.19</v>
      </c>
      <c r="U42" s="3">
        <v>0.19</v>
      </c>
      <c r="V42" s="3">
        <v>0.19</v>
      </c>
      <c r="W42" s="3">
        <v>0.19</v>
      </c>
      <c r="X42" s="3">
        <v>0.19</v>
      </c>
      <c r="Y42" s="3">
        <v>0.19</v>
      </c>
      <c r="Z42" s="3">
        <v>0.19</v>
      </c>
      <c r="AA42" s="3">
        <v>0.19</v>
      </c>
      <c r="AB42" s="3">
        <v>0.19</v>
      </c>
      <c r="AC42" s="3">
        <v>0.19</v>
      </c>
      <c r="AD42" s="3">
        <v>0.19</v>
      </c>
      <c r="AE42" s="3">
        <v>0.19</v>
      </c>
      <c r="AF42" s="3">
        <v>0.19</v>
      </c>
      <c r="AG42" s="3">
        <v>0.19</v>
      </c>
      <c r="AH42" s="3">
        <v>0.19</v>
      </c>
      <c r="AI42" s="3">
        <v>0.19</v>
      </c>
      <c r="AJ42" s="3">
        <v>0.19</v>
      </c>
      <c r="AK42" s="3">
        <v>0.19</v>
      </c>
      <c r="AL42" s="3">
        <v>0.19</v>
      </c>
      <c r="AM42" s="3">
        <v>0.19</v>
      </c>
      <c r="AN42" s="3">
        <v>0.19</v>
      </c>
      <c r="AO42" s="3">
        <v>0.19</v>
      </c>
      <c r="AP42" s="3">
        <v>0.19</v>
      </c>
    </row>
    <row r="43" spans="1:42" hidden="1" x14ac:dyDescent="0.3">
      <c r="A43" s="4" t="s">
        <v>183</v>
      </c>
      <c r="B43" s="4" t="s">
        <v>17</v>
      </c>
      <c r="C43" s="21">
        <v>44656</v>
      </c>
      <c r="D43" s="21">
        <v>44677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0.37</v>
      </c>
      <c r="O43" s="2">
        <v>0.37</v>
      </c>
      <c r="P43" s="2">
        <v>0.37</v>
      </c>
      <c r="Q43" s="2">
        <v>0.37</v>
      </c>
      <c r="R43" s="2">
        <v>0.37</v>
      </c>
      <c r="S43" s="2">
        <v>0.37</v>
      </c>
      <c r="T43" s="2">
        <v>0.37</v>
      </c>
      <c r="U43" s="2">
        <v>0.37</v>
      </c>
      <c r="V43" s="2">
        <v>0.37</v>
      </c>
      <c r="W43" s="2">
        <v>0.37</v>
      </c>
      <c r="X43" s="2">
        <v>0.37</v>
      </c>
      <c r="Y43" s="2">
        <v>0.37</v>
      </c>
      <c r="Z43" s="2">
        <v>0.37</v>
      </c>
      <c r="AA43" s="2">
        <v>0.37</v>
      </c>
      <c r="AB43" s="2">
        <v>0.37</v>
      </c>
      <c r="AC43" s="2">
        <v>0.37</v>
      </c>
      <c r="AD43" s="2">
        <v>0.37</v>
      </c>
      <c r="AE43" s="2">
        <v>0.37</v>
      </c>
      <c r="AF43" s="2">
        <v>0.37</v>
      </c>
      <c r="AG43" s="2">
        <v>0.37</v>
      </c>
      <c r="AH43" s="2">
        <v>0.37</v>
      </c>
      <c r="AI43" s="2">
        <v>0.37</v>
      </c>
      <c r="AJ43" s="2">
        <v>0.37</v>
      </c>
      <c r="AK43" s="2">
        <v>0.37</v>
      </c>
      <c r="AL43" s="2">
        <v>0.37</v>
      </c>
      <c r="AM43" s="2">
        <v>0.37</v>
      </c>
      <c r="AN43" s="2">
        <v>0.37</v>
      </c>
      <c r="AO43" s="2">
        <v>0.37</v>
      </c>
      <c r="AP43" s="2">
        <v>0.37</v>
      </c>
    </row>
    <row r="44" spans="1:42" hidden="1" x14ac:dyDescent="0.3">
      <c r="A44" s="5" t="s">
        <v>184</v>
      </c>
      <c r="B44" s="5" t="s">
        <v>17</v>
      </c>
      <c r="C44" s="22">
        <v>44656</v>
      </c>
      <c r="D44" s="22">
        <v>44676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0.19</v>
      </c>
      <c r="O44" s="3">
        <v>0.19</v>
      </c>
      <c r="P44" s="3">
        <v>0.19</v>
      </c>
      <c r="Q44" s="3">
        <v>0.19</v>
      </c>
      <c r="R44" s="3">
        <v>0.19</v>
      </c>
      <c r="S44" s="3">
        <v>0.19</v>
      </c>
      <c r="T44" s="3">
        <v>0.19</v>
      </c>
      <c r="U44" s="3">
        <v>0.19</v>
      </c>
      <c r="V44" s="3">
        <v>0.19</v>
      </c>
      <c r="W44" s="3">
        <v>0.19</v>
      </c>
      <c r="X44" s="3">
        <v>0.19</v>
      </c>
      <c r="Y44" s="3">
        <v>0.19</v>
      </c>
      <c r="Z44" s="3">
        <v>0.19</v>
      </c>
      <c r="AA44" s="3">
        <v>0.19</v>
      </c>
      <c r="AB44" s="3">
        <v>0.19</v>
      </c>
      <c r="AC44" s="3">
        <v>0.19</v>
      </c>
      <c r="AD44" s="3">
        <v>0.19</v>
      </c>
      <c r="AE44" s="3">
        <v>0.19</v>
      </c>
      <c r="AF44" s="3">
        <v>0.19</v>
      </c>
      <c r="AG44" s="3">
        <v>0.19</v>
      </c>
      <c r="AH44" s="3">
        <v>0.19</v>
      </c>
      <c r="AI44" s="3">
        <v>0.19</v>
      </c>
      <c r="AJ44" s="3">
        <v>0.19</v>
      </c>
      <c r="AK44" s="3">
        <v>0.19</v>
      </c>
      <c r="AL44" s="3">
        <v>0.19</v>
      </c>
      <c r="AM44" s="3">
        <v>0.19</v>
      </c>
      <c r="AN44" s="3">
        <v>0.19</v>
      </c>
      <c r="AO44" s="3">
        <v>0.19</v>
      </c>
      <c r="AP44" s="3">
        <v>0.19</v>
      </c>
    </row>
    <row r="45" spans="1:42" hidden="1" x14ac:dyDescent="0.3">
      <c r="A45" s="5" t="s">
        <v>185</v>
      </c>
      <c r="B45" s="5" t="s">
        <v>17</v>
      </c>
      <c r="C45" s="22">
        <v>44656</v>
      </c>
      <c r="D45" s="22">
        <v>44677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0.19</v>
      </c>
      <c r="O45" s="3">
        <v>0.19</v>
      </c>
      <c r="P45" s="3">
        <v>0.19</v>
      </c>
      <c r="Q45" s="3">
        <v>0.19</v>
      </c>
      <c r="R45" s="3">
        <v>0.19</v>
      </c>
      <c r="S45" s="3">
        <v>0.19</v>
      </c>
      <c r="T45" s="3">
        <v>0.19</v>
      </c>
      <c r="U45" s="3">
        <v>0.19</v>
      </c>
      <c r="V45" s="3">
        <v>0.19</v>
      </c>
      <c r="W45" s="3">
        <v>0.19</v>
      </c>
      <c r="X45" s="3">
        <v>0.19</v>
      </c>
      <c r="Y45" s="3">
        <v>0.19</v>
      </c>
      <c r="Z45" s="3">
        <v>0.19</v>
      </c>
      <c r="AA45" s="3">
        <v>0.19</v>
      </c>
      <c r="AB45" s="3">
        <v>0.19</v>
      </c>
      <c r="AC45" s="3">
        <v>0.19</v>
      </c>
      <c r="AD45" s="3">
        <v>0.19</v>
      </c>
      <c r="AE45" s="3">
        <v>0.19</v>
      </c>
      <c r="AF45" s="3">
        <v>0.19</v>
      </c>
      <c r="AG45" s="3">
        <v>0.19</v>
      </c>
      <c r="AH45" s="3">
        <v>0.19</v>
      </c>
      <c r="AI45" s="3">
        <v>0.19</v>
      </c>
      <c r="AJ45" s="3">
        <v>0.19</v>
      </c>
      <c r="AK45" s="3">
        <v>0.19</v>
      </c>
      <c r="AL45" s="3">
        <v>0.19</v>
      </c>
      <c r="AM45" s="3">
        <v>0.19</v>
      </c>
      <c r="AN45" s="3">
        <v>0.19</v>
      </c>
      <c r="AO45" s="3">
        <v>0.19</v>
      </c>
      <c r="AP45" s="3">
        <v>0.19</v>
      </c>
    </row>
    <row r="46" spans="1:42" hidden="1" x14ac:dyDescent="0.3">
      <c r="A46" s="4" t="s">
        <v>186</v>
      </c>
      <c r="B46" s="4" t="s">
        <v>24</v>
      </c>
      <c r="C46" s="21">
        <v>44635</v>
      </c>
      <c r="D46" s="21">
        <v>44655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0.33</v>
      </c>
      <c r="N46" s="2">
        <v>0.37</v>
      </c>
      <c r="O46" s="2">
        <v>0.37</v>
      </c>
      <c r="P46" s="2">
        <v>0.37</v>
      </c>
      <c r="Q46" s="2">
        <v>0.37</v>
      </c>
      <c r="R46" s="2">
        <v>0.37</v>
      </c>
      <c r="S46" s="2">
        <v>0.37</v>
      </c>
      <c r="T46" s="2">
        <v>0.37</v>
      </c>
      <c r="U46" s="2">
        <v>0.37</v>
      </c>
      <c r="V46" s="2">
        <v>0.37</v>
      </c>
      <c r="W46" s="2">
        <v>0.37</v>
      </c>
      <c r="X46" s="2">
        <v>0.37</v>
      </c>
      <c r="Y46" s="2">
        <v>0.37</v>
      </c>
      <c r="Z46" s="2">
        <v>0.37</v>
      </c>
      <c r="AA46" s="2">
        <v>0.37</v>
      </c>
      <c r="AB46" s="2">
        <v>0.37</v>
      </c>
      <c r="AC46" s="2">
        <v>0.37</v>
      </c>
      <c r="AD46" s="2">
        <v>0.37</v>
      </c>
      <c r="AE46" s="2">
        <v>0.37</v>
      </c>
      <c r="AF46" s="2">
        <v>0.37</v>
      </c>
      <c r="AG46" s="2">
        <v>0.37</v>
      </c>
      <c r="AH46" s="2">
        <v>0.37</v>
      </c>
      <c r="AI46" s="2">
        <v>0.37</v>
      </c>
      <c r="AJ46" s="2">
        <v>0.37</v>
      </c>
      <c r="AK46" s="2">
        <v>0.37</v>
      </c>
      <c r="AL46" s="2">
        <v>0.37</v>
      </c>
      <c r="AM46" s="2">
        <v>0.37</v>
      </c>
      <c r="AN46" s="2">
        <v>0.37</v>
      </c>
      <c r="AO46" s="2">
        <v>0.37</v>
      </c>
      <c r="AP46" s="2">
        <v>0.37</v>
      </c>
    </row>
    <row r="47" spans="1:42" hidden="1" x14ac:dyDescent="0.3">
      <c r="A47" s="5" t="s">
        <v>187</v>
      </c>
      <c r="B47" s="5" t="s">
        <v>17</v>
      </c>
      <c r="C47" s="22">
        <v>44635</v>
      </c>
      <c r="D47" s="22">
        <v>44655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0.16</v>
      </c>
      <c r="N47" s="3">
        <v>0.19</v>
      </c>
      <c r="O47" s="3">
        <v>0.19</v>
      </c>
      <c r="P47" s="3">
        <v>0.19</v>
      </c>
      <c r="Q47" s="3">
        <v>0.19</v>
      </c>
      <c r="R47" s="3">
        <v>0.19</v>
      </c>
      <c r="S47" s="3">
        <v>0.19</v>
      </c>
      <c r="T47" s="3">
        <v>0.19</v>
      </c>
      <c r="U47" s="3">
        <v>0.19</v>
      </c>
      <c r="V47" s="3">
        <v>0.19</v>
      </c>
      <c r="W47" s="3">
        <v>0.19</v>
      </c>
      <c r="X47" s="3">
        <v>0.19</v>
      </c>
      <c r="Y47" s="3">
        <v>0.19</v>
      </c>
      <c r="Z47" s="3">
        <v>0.19</v>
      </c>
      <c r="AA47" s="3">
        <v>0.19</v>
      </c>
      <c r="AB47" s="3">
        <v>0.19</v>
      </c>
      <c r="AC47" s="3">
        <v>0.19</v>
      </c>
      <c r="AD47" s="3">
        <v>0.19</v>
      </c>
      <c r="AE47" s="3">
        <v>0.19</v>
      </c>
      <c r="AF47" s="3">
        <v>0.19</v>
      </c>
      <c r="AG47" s="3">
        <v>0.19</v>
      </c>
      <c r="AH47" s="3">
        <v>0.19</v>
      </c>
      <c r="AI47" s="3">
        <v>0.19</v>
      </c>
      <c r="AJ47" s="3">
        <v>0.19</v>
      </c>
      <c r="AK47" s="3">
        <v>0.19</v>
      </c>
      <c r="AL47" s="3">
        <v>0.19</v>
      </c>
      <c r="AM47" s="3">
        <v>0.19</v>
      </c>
      <c r="AN47" s="3">
        <v>0.19</v>
      </c>
      <c r="AO47" s="3">
        <v>0.19</v>
      </c>
      <c r="AP47" s="3">
        <v>0.19</v>
      </c>
    </row>
    <row r="48" spans="1:42" hidden="1" x14ac:dyDescent="0.3">
      <c r="A48" s="5" t="s">
        <v>188</v>
      </c>
      <c r="B48" s="5" t="s">
        <v>17</v>
      </c>
      <c r="C48" s="22">
        <v>44635</v>
      </c>
      <c r="D48" s="22">
        <v>44655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0.16</v>
      </c>
      <c r="N48" s="3">
        <v>0.19</v>
      </c>
      <c r="O48" s="3">
        <v>0.19</v>
      </c>
      <c r="P48" s="3">
        <v>0.19</v>
      </c>
      <c r="Q48" s="3">
        <v>0.19</v>
      </c>
      <c r="R48" s="3">
        <v>0.19</v>
      </c>
      <c r="S48" s="3">
        <v>0.19</v>
      </c>
      <c r="T48" s="3">
        <v>0.19</v>
      </c>
      <c r="U48" s="3">
        <v>0.19</v>
      </c>
      <c r="V48" s="3">
        <v>0.19</v>
      </c>
      <c r="W48" s="3">
        <v>0.19</v>
      </c>
      <c r="X48" s="3">
        <v>0.19</v>
      </c>
      <c r="Y48" s="3">
        <v>0.19</v>
      </c>
      <c r="Z48" s="3">
        <v>0.19</v>
      </c>
      <c r="AA48" s="3">
        <v>0.19</v>
      </c>
      <c r="AB48" s="3">
        <v>0.19</v>
      </c>
      <c r="AC48" s="3">
        <v>0.19</v>
      </c>
      <c r="AD48" s="3">
        <v>0.19</v>
      </c>
      <c r="AE48" s="3">
        <v>0.19</v>
      </c>
      <c r="AF48" s="3">
        <v>0.19</v>
      </c>
      <c r="AG48" s="3">
        <v>0.19</v>
      </c>
      <c r="AH48" s="3">
        <v>0.19</v>
      </c>
      <c r="AI48" s="3">
        <v>0.19</v>
      </c>
      <c r="AJ48" s="3">
        <v>0.19</v>
      </c>
      <c r="AK48" s="3">
        <v>0.19</v>
      </c>
      <c r="AL48" s="3">
        <v>0.19</v>
      </c>
      <c r="AM48" s="3">
        <v>0.19</v>
      </c>
      <c r="AN48" s="3">
        <v>0.19</v>
      </c>
      <c r="AO48" s="3">
        <v>0.19</v>
      </c>
      <c r="AP48" s="3">
        <v>0.19</v>
      </c>
    </row>
    <row r="49" spans="1:42" hidden="1" x14ac:dyDescent="0.3">
      <c r="A49" s="4" t="s">
        <v>189</v>
      </c>
      <c r="B49" s="4" t="s">
        <v>24</v>
      </c>
      <c r="C49" s="21">
        <v>44614</v>
      </c>
      <c r="D49" s="21">
        <v>44634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0.13</v>
      </c>
      <c r="M49" s="2">
        <v>0.37</v>
      </c>
      <c r="N49" s="2">
        <v>0.37</v>
      </c>
      <c r="O49" s="2">
        <v>0.37</v>
      </c>
      <c r="P49" s="2">
        <v>0.37</v>
      </c>
      <c r="Q49" s="2">
        <v>0.37</v>
      </c>
      <c r="R49" s="2">
        <v>0.37</v>
      </c>
      <c r="S49" s="2">
        <v>0.37</v>
      </c>
      <c r="T49" s="2">
        <v>0.37</v>
      </c>
      <c r="U49" s="2">
        <v>0.37</v>
      </c>
      <c r="V49" s="2">
        <v>0.37</v>
      </c>
      <c r="W49" s="2">
        <v>0.37</v>
      </c>
      <c r="X49" s="2">
        <v>0.37</v>
      </c>
      <c r="Y49" s="2">
        <v>0.37</v>
      </c>
      <c r="Z49" s="2">
        <v>0.37</v>
      </c>
      <c r="AA49" s="2">
        <v>0.37</v>
      </c>
      <c r="AB49" s="2">
        <v>0.37</v>
      </c>
      <c r="AC49" s="2">
        <v>0.37</v>
      </c>
      <c r="AD49" s="2">
        <v>0.37</v>
      </c>
      <c r="AE49" s="2">
        <v>0.37</v>
      </c>
      <c r="AF49" s="2">
        <v>0.37</v>
      </c>
      <c r="AG49" s="2">
        <v>0.37</v>
      </c>
      <c r="AH49" s="2">
        <v>0.37</v>
      </c>
      <c r="AI49" s="2">
        <v>0.37</v>
      </c>
      <c r="AJ49" s="2">
        <v>0.37</v>
      </c>
      <c r="AK49" s="2">
        <v>0.37</v>
      </c>
      <c r="AL49" s="2">
        <v>0.37</v>
      </c>
      <c r="AM49" s="2">
        <v>0.37</v>
      </c>
      <c r="AN49" s="2">
        <v>0.37</v>
      </c>
      <c r="AO49" s="2">
        <v>0.37</v>
      </c>
      <c r="AP49" s="2">
        <v>0.37</v>
      </c>
    </row>
    <row r="50" spans="1:42" hidden="1" x14ac:dyDescent="0.3">
      <c r="A50" s="5" t="s">
        <v>190</v>
      </c>
      <c r="B50" s="5" t="s">
        <v>17</v>
      </c>
      <c r="C50" s="22">
        <v>44614</v>
      </c>
      <c r="D50" s="22">
        <v>44634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0.06</v>
      </c>
      <c r="M50" s="3">
        <v>0.19</v>
      </c>
      <c r="N50" s="3">
        <v>0.19</v>
      </c>
      <c r="O50" s="3">
        <v>0.19</v>
      </c>
      <c r="P50" s="3">
        <v>0.19</v>
      </c>
      <c r="Q50" s="3">
        <v>0.19</v>
      </c>
      <c r="R50" s="3">
        <v>0.19</v>
      </c>
      <c r="S50" s="3">
        <v>0.19</v>
      </c>
      <c r="T50" s="3">
        <v>0.19</v>
      </c>
      <c r="U50" s="3">
        <v>0.19</v>
      </c>
      <c r="V50" s="3">
        <v>0.19</v>
      </c>
      <c r="W50" s="3">
        <v>0.19</v>
      </c>
      <c r="X50" s="3">
        <v>0.19</v>
      </c>
      <c r="Y50" s="3">
        <v>0.19</v>
      </c>
      <c r="Z50" s="3">
        <v>0.19</v>
      </c>
      <c r="AA50" s="3">
        <v>0.19</v>
      </c>
      <c r="AB50" s="3">
        <v>0.19</v>
      </c>
      <c r="AC50" s="3">
        <v>0.19</v>
      </c>
      <c r="AD50" s="3">
        <v>0.19</v>
      </c>
      <c r="AE50" s="3">
        <v>0.19</v>
      </c>
      <c r="AF50" s="3">
        <v>0.19</v>
      </c>
      <c r="AG50" s="3">
        <v>0.19</v>
      </c>
      <c r="AH50" s="3">
        <v>0.19</v>
      </c>
      <c r="AI50" s="3">
        <v>0.19</v>
      </c>
      <c r="AJ50" s="3">
        <v>0.19</v>
      </c>
      <c r="AK50" s="3">
        <v>0.19</v>
      </c>
      <c r="AL50" s="3">
        <v>0.19</v>
      </c>
      <c r="AM50" s="3">
        <v>0.19</v>
      </c>
      <c r="AN50" s="3">
        <v>0.19</v>
      </c>
      <c r="AO50" s="3">
        <v>0.19</v>
      </c>
      <c r="AP50" s="3">
        <v>0.19</v>
      </c>
    </row>
    <row r="51" spans="1:42" hidden="1" x14ac:dyDescent="0.3">
      <c r="A51" s="5" t="s">
        <v>191</v>
      </c>
      <c r="B51" s="5" t="s">
        <v>17</v>
      </c>
      <c r="C51" s="22">
        <v>44614</v>
      </c>
      <c r="D51" s="22">
        <v>44634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7.0000000000000007E-2</v>
      </c>
      <c r="M51" s="3">
        <v>0.19</v>
      </c>
      <c r="N51" s="3">
        <v>0.19</v>
      </c>
      <c r="O51" s="3">
        <v>0.19</v>
      </c>
      <c r="P51" s="3">
        <v>0.19</v>
      </c>
      <c r="Q51" s="3">
        <v>0.19</v>
      </c>
      <c r="R51" s="3">
        <v>0.19</v>
      </c>
      <c r="S51" s="3">
        <v>0.19</v>
      </c>
      <c r="T51" s="3">
        <v>0.19</v>
      </c>
      <c r="U51" s="3">
        <v>0.19</v>
      </c>
      <c r="V51" s="3">
        <v>0.19</v>
      </c>
      <c r="W51" s="3">
        <v>0.19</v>
      </c>
      <c r="X51" s="3">
        <v>0.19</v>
      </c>
      <c r="Y51" s="3">
        <v>0.19</v>
      </c>
      <c r="Z51" s="3">
        <v>0.19</v>
      </c>
      <c r="AA51" s="3">
        <v>0.19</v>
      </c>
      <c r="AB51" s="3">
        <v>0.19</v>
      </c>
      <c r="AC51" s="3">
        <v>0.19</v>
      </c>
      <c r="AD51" s="3">
        <v>0.19</v>
      </c>
      <c r="AE51" s="3">
        <v>0.19</v>
      </c>
      <c r="AF51" s="3">
        <v>0.19</v>
      </c>
      <c r="AG51" s="3">
        <v>0.19</v>
      </c>
      <c r="AH51" s="3">
        <v>0.19</v>
      </c>
      <c r="AI51" s="3">
        <v>0.19</v>
      </c>
      <c r="AJ51" s="3">
        <v>0.19</v>
      </c>
      <c r="AK51" s="3">
        <v>0.19</v>
      </c>
      <c r="AL51" s="3">
        <v>0.19</v>
      </c>
      <c r="AM51" s="3">
        <v>0.19</v>
      </c>
      <c r="AN51" s="3">
        <v>0.19</v>
      </c>
      <c r="AO51" s="3">
        <v>0.19</v>
      </c>
      <c r="AP51" s="3">
        <v>0.19</v>
      </c>
    </row>
    <row r="52" spans="1:42" hidden="1" x14ac:dyDescent="0.3">
      <c r="A52" s="4" t="s">
        <v>192</v>
      </c>
      <c r="B52" s="4" t="s">
        <v>26</v>
      </c>
      <c r="C52" s="21">
        <v>44586</v>
      </c>
      <c r="D52" s="21">
        <v>44613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0.1</v>
      </c>
      <c r="L52" s="2">
        <v>0.37</v>
      </c>
      <c r="M52" s="2">
        <v>0.37</v>
      </c>
      <c r="N52" s="2">
        <v>0.37</v>
      </c>
      <c r="O52" s="2">
        <v>0.37</v>
      </c>
      <c r="P52" s="2">
        <v>0.37</v>
      </c>
      <c r="Q52" s="2">
        <v>0.37</v>
      </c>
      <c r="R52" s="2">
        <v>0.37</v>
      </c>
      <c r="S52" s="2">
        <v>0.37</v>
      </c>
      <c r="T52" s="2">
        <v>0.37</v>
      </c>
      <c r="U52" s="2">
        <v>0.37</v>
      </c>
      <c r="V52" s="2">
        <v>0.37</v>
      </c>
      <c r="W52" s="2">
        <v>0.37</v>
      </c>
      <c r="X52" s="2">
        <v>0.37</v>
      </c>
      <c r="Y52" s="2">
        <v>0.37</v>
      </c>
      <c r="Z52" s="2">
        <v>0.37</v>
      </c>
      <c r="AA52" s="2">
        <v>0.37</v>
      </c>
      <c r="AB52" s="2">
        <v>0.37</v>
      </c>
      <c r="AC52" s="2">
        <v>0.37</v>
      </c>
      <c r="AD52" s="2">
        <v>0.37</v>
      </c>
      <c r="AE52" s="2">
        <v>0.37</v>
      </c>
      <c r="AF52" s="2">
        <v>0.37</v>
      </c>
      <c r="AG52" s="2">
        <v>0.37</v>
      </c>
      <c r="AH52" s="2">
        <v>0.37</v>
      </c>
      <c r="AI52" s="2">
        <v>0.37</v>
      </c>
      <c r="AJ52" s="2">
        <v>0.37</v>
      </c>
      <c r="AK52" s="2">
        <v>0.37</v>
      </c>
      <c r="AL52" s="2">
        <v>0.37</v>
      </c>
      <c r="AM52" s="2">
        <v>0.37</v>
      </c>
      <c r="AN52" s="2">
        <v>0.37</v>
      </c>
      <c r="AO52" s="2">
        <v>0.37</v>
      </c>
      <c r="AP52" s="2">
        <v>0.37</v>
      </c>
    </row>
    <row r="53" spans="1:42" hidden="1" x14ac:dyDescent="0.3">
      <c r="A53" s="5" t="s">
        <v>193</v>
      </c>
      <c r="B53" s="5" t="s">
        <v>11</v>
      </c>
      <c r="C53" s="22">
        <v>44586</v>
      </c>
      <c r="D53" s="22">
        <v>44613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0.05</v>
      </c>
      <c r="L53" s="3">
        <v>0.19</v>
      </c>
      <c r="M53" s="3">
        <v>0.19</v>
      </c>
      <c r="N53" s="3">
        <v>0.19</v>
      </c>
      <c r="O53" s="3">
        <v>0.19</v>
      </c>
      <c r="P53" s="3">
        <v>0.19</v>
      </c>
      <c r="Q53" s="3">
        <v>0.19</v>
      </c>
      <c r="R53" s="3">
        <v>0.19</v>
      </c>
      <c r="S53" s="3">
        <v>0.19</v>
      </c>
      <c r="T53" s="3">
        <v>0.19</v>
      </c>
      <c r="U53" s="3">
        <v>0.19</v>
      </c>
      <c r="V53" s="3">
        <v>0.19</v>
      </c>
      <c r="W53" s="3">
        <v>0.19</v>
      </c>
      <c r="X53" s="3">
        <v>0.19</v>
      </c>
      <c r="Y53" s="3">
        <v>0.19</v>
      </c>
      <c r="Z53" s="3">
        <v>0.19</v>
      </c>
      <c r="AA53" s="3">
        <v>0.19</v>
      </c>
      <c r="AB53" s="3">
        <v>0.19</v>
      </c>
      <c r="AC53" s="3">
        <v>0.19</v>
      </c>
      <c r="AD53" s="3">
        <v>0.19</v>
      </c>
      <c r="AE53" s="3">
        <v>0.19</v>
      </c>
      <c r="AF53" s="3">
        <v>0.19</v>
      </c>
      <c r="AG53" s="3">
        <v>0.19</v>
      </c>
      <c r="AH53" s="3">
        <v>0.19</v>
      </c>
      <c r="AI53" s="3">
        <v>0.19</v>
      </c>
      <c r="AJ53" s="3">
        <v>0.19</v>
      </c>
      <c r="AK53" s="3">
        <v>0.19</v>
      </c>
      <c r="AL53" s="3">
        <v>0.19</v>
      </c>
      <c r="AM53" s="3">
        <v>0.19</v>
      </c>
      <c r="AN53" s="3">
        <v>0.19</v>
      </c>
      <c r="AO53" s="3">
        <v>0.19</v>
      </c>
      <c r="AP53" s="3">
        <v>0.19</v>
      </c>
    </row>
    <row r="54" spans="1:42" hidden="1" x14ac:dyDescent="0.3">
      <c r="A54" s="5" t="s">
        <v>194</v>
      </c>
      <c r="B54" s="5" t="s">
        <v>11</v>
      </c>
      <c r="C54" s="22">
        <v>44586</v>
      </c>
      <c r="D54" s="22">
        <v>44610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0.05</v>
      </c>
      <c r="L54" s="3">
        <v>0.19</v>
      </c>
      <c r="M54" s="3">
        <v>0.19</v>
      </c>
      <c r="N54" s="3">
        <v>0.19</v>
      </c>
      <c r="O54" s="3">
        <v>0.19</v>
      </c>
      <c r="P54" s="3">
        <v>0.19</v>
      </c>
      <c r="Q54" s="3">
        <v>0.19</v>
      </c>
      <c r="R54" s="3">
        <v>0.19</v>
      </c>
      <c r="S54" s="3">
        <v>0.19</v>
      </c>
      <c r="T54" s="3">
        <v>0.19</v>
      </c>
      <c r="U54" s="3">
        <v>0.19</v>
      </c>
      <c r="V54" s="3">
        <v>0.19</v>
      </c>
      <c r="W54" s="3">
        <v>0.19</v>
      </c>
      <c r="X54" s="3">
        <v>0.19</v>
      </c>
      <c r="Y54" s="3">
        <v>0.19</v>
      </c>
      <c r="Z54" s="3">
        <v>0.19</v>
      </c>
      <c r="AA54" s="3">
        <v>0.19</v>
      </c>
      <c r="AB54" s="3">
        <v>0.19</v>
      </c>
      <c r="AC54" s="3">
        <v>0.19</v>
      </c>
      <c r="AD54" s="3">
        <v>0.19</v>
      </c>
      <c r="AE54" s="3">
        <v>0.19</v>
      </c>
      <c r="AF54" s="3">
        <v>0.19</v>
      </c>
      <c r="AG54" s="3">
        <v>0.19</v>
      </c>
      <c r="AH54" s="3">
        <v>0.19</v>
      </c>
      <c r="AI54" s="3">
        <v>0.19</v>
      </c>
      <c r="AJ54" s="3">
        <v>0.19</v>
      </c>
      <c r="AK54" s="3">
        <v>0.19</v>
      </c>
      <c r="AL54" s="3">
        <v>0.19</v>
      </c>
      <c r="AM54" s="3">
        <v>0.19</v>
      </c>
      <c r="AN54" s="3">
        <v>0.19</v>
      </c>
      <c r="AO54" s="3">
        <v>0.19</v>
      </c>
      <c r="AP54" s="3">
        <v>0.19</v>
      </c>
    </row>
    <row r="55" spans="1:42" hidden="1" x14ac:dyDescent="0.3">
      <c r="A55" s="4" t="s">
        <v>195</v>
      </c>
      <c r="B55" s="4" t="s">
        <v>27</v>
      </c>
      <c r="C55" s="21">
        <v>44544</v>
      </c>
      <c r="D55" s="21">
        <v>44595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0.17</v>
      </c>
      <c r="K55" s="2">
        <v>0.54</v>
      </c>
      <c r="L55" s="2">
        <v>0.56000000000000005</v>
      </c>
      <c r="M55" s="2">
        <v>0.56000000000000005</v>
      </c>
      <c r="N55" s="2">
        <v>0.56000000000000005</v>
      </c>
      <c r="O55" s="2">
        <v>0.56000000000000005</v>
      </c>
      <c r="P55" s="2">
        <v>0.56000000000000005</v>
      </c>
      <c r="Q55" s="2">
        <v>0.56000000000000005</v>
      </c>
      <c r="R55" s="2">
        <v>0.56000000000000005</v>
      </c>
      <c r="S55" s="2">
        <v>0.56000000000000005</v>
      </c>
      <c r="T55" s="2">
        <v>0.56000000000000005</v>
      </c>
      <c r="U55" s="2">
        <v>0.56000000000000005</v>
      </c>
      <c r="V55" s="2">
        <v>0.56000000000000005</v>
      </c>
      <c r="W55" s="2">
        <v>0.56000000000000005</v>
      </c>
      <c r="X55" s="2">
        <v>0.56000000000000005</v>
      </c>
      <c r="Y55" s="2">
        <v>0.56000000000000005</v>
      </c>
      <c r="Z55" s="2">
        <v>0.56000000000000005</v>
      </c>
      <c r="AA55" s="2">
        <v>0.56000000000000005</v>
      </c>
      <c r="AB55" s="2">
        <v>0.56000000000000005</v>
      </c>
      <c r="AC55" s="2">
        <v>0.56000000000000005</v>
      </c>
      <c r="AD55" s="2">
        <v>0.56000000000000005</v>
      </c>
      <c r="AE55" s="2">
        <v>0.56000000000000005</v>
      </c>
      <c r="AF55" s="2">
        <v>0.56000000000000005</v>
      </c>
      <c r="AG55" s="2">
        <v>0.56000000000000005</v>
      </c>
      <c r="AH55" s="2">
        <v>0.56000000000000005</v>
      </c>
      <c r="AI55" s="2">
        <v>0.56000000000000005</v>
      </c>
      <c r="AJ55" s="2">
        <v>0.56000000000000005</v>
      </c>
      <c r="AK55" s="2">
        <v>0.56000000000000005</v>
      </c>
      <c r="AL55" s="2">
        <v>0.56000000000000005</v>
      </c>
      <c r="AM55" s="2">
        <v>0.56000000000000005</v>
      </c>
      <c r="AN55" s="2">
        <v>0.56000000000000005</v>
      </c>
      <c r="AO55" s="2">
        <v>0.56000000000000005</v>
      </c>
      <c r="AP55" s="2">
        <v>0.56000000000000005</v>
      </c>
    </row>
    <row r="56" spans="1:42" hidden="1" x14ac:dyDescent="0.3">
      <c r="A56" s="5" t="s">
        <v>196</v>
      </c>
      <c r="B56" s="5" t="s">
        <v>27</v>
      </c>
      <c r="C56" s="22">
        <v>44544</v>
      </c>
      <c r="D56" s="22">
        <v>44585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0.13</v>
      </c>
      <c r="K56" s="3">
        <v>0.28000000000000003</v>
      </c>
      <c r="L56" s="3">
        <v>0.28000000000000003</v>
      </c>
      <c r="M56" s="3">
        <v>0.28000000000000003</v>
      </c>
      <c r="N56" s="3">
        <v>0.28000000000000003</v>
      </c>
      <c r="O56" s="3">
        <v>0.28000000000000003</v>
      </c>
      <c r="P56" s="3">
        <v>0.28000000000000003</v>
      </c>
      <c r="Q56" s="3">
        <v>0.28000000000000003</v>
      </c>
      <c r="R56" s="3">
        <v>0.28000000000000003</v>
      </c>
      <c r="S56" s="3">
        <v>0.28000000000000003</v>
      </c>
      <c r="T56" s="3">
        <v>0.28000000000000003</v>
      </c>
      <c r="U56" s="3">
        <v>0.28000000000000003</v>
      </c>
      <c r="V56" s="3">
        <v>0.28000000000000003</v>
      </c>
      <c r="W56" s="3">
        <v>0.28000000000000003</v>
      </c>
      <c r="X56" s="3">
        <v>0.28000000000000003</v>
      </c>
      <c r="Y56" s="3">
        <v>0.28000000000000003</v>
      </c>
      <c r="Z56" s="3">
        <v>0.28000000000000003</v>
      </c>
      <c r="AA56" s="3">
        <v>0.28000000000000003</v>
      </c>
      <c r="AB56" s="3">
        <v>0.28000000000000003</v>
      </c>
      <c r="AC56" s="3">
        <v>0.28000000000000003</v>
      </c>
      <c r="AD56" s="3">
        <v>0.28000000000000003</v>
      </c>
      <c r="AE56" s="3">
        <v>0.28000000000000003</v>
      </c>
      <c r="AF56" s="3">
        <v>0.28000000000000003</v>
      </c>
      <c r="AG56" s="3">
        <v>0.28000000000000003</v>
      </c>
      <c r="AH56" s="3">
        <v>0.28000000000000003</v>
      </c>
      <c r="AI56" s="3">
        <v>0.28000000000000003</v>
      </c>
      <c r="AJ56" s="3">
        <v>0.28000000000000003</v>
      </c>
      <c r="AK56" s="3">
        <v>0.28000000000000003</v>
      </c>
      <c r="AL56" s="3">
        <v>0.28000000000000003</v>
      </c>
      <c r="AM56" s="3">
        <v>0.28000000000000003</v>
      </c>
      <c r="AN56" s="3">
        <v>0.28000000000000003</v>
      </c>
      <c r="AO56" s="3">
        <v>0.28000000000000003</v>
      </c>
      <c r="AP56" s="3">
        <v>0.28000000000000003</v>
      </c>
    </row>
    <row r="57" spans="1:42" hidden="1" x14ac:dyDescent="0.3">
      <c r="A57" s="5" t="s">
        <v>197</v>
      </c>
      <c r="B57" s="5" t="s">
        <v>27</v>
      </c>
      <c r="C57" s="22">
        <v>44544</v>
      </c>
      <c r="D57" s="22">
        <v>44595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0.04</v>
      </c>
      <c r="K57" s="3">
        <v>0.26</v>
      </c>
      <c r="L57" s="3">
        <v>0.28000000000000003</v>
      </c>
      <c r="M57" s="3">
        <v>0.28000000000000003</v>
      </c>
      <c r="N57" s="3">
        <v>0.28000000000000003</v>
      </c>
      <c r="O57" s="3">
        <v>0.28000000000000003</v>
      </c>
      <c r="P57" s="3">
        <v>0.28000000000000003</v>
      </c>
      <c r="Q57" s="3">
        <v>0.28000000000000003</v>
      </c>
      <c r="R57" s="3">
        <v>0.28000000000000003</v>
      </c>
      <c r="S57" s="3">
        <v>0.28000000000000003</v>
      </c>
      <c r="T57" s="3">
        <v>0.28000000000000003</v>
      </c>
      <c r="U57" s="3">
        <v>0.28000000000000003</v>
      </c>
      <c r="V57" s="3">
        <v>0.28000000000000003</v>
      </c>
      <c r="W57" s="3">
        <v>0.28000000000000003</v>
      </c>
      <c r="X57" s="3">
        <v>0.28000000000000003</v>
      </c>
      <c r="Y57" s="3">
        <v>0.28000000000000003</v>
      </c>
      <c r="Z57" s="3">
        <v>0.28000000000000003</v>
      </c>
      <c r="AA57" s="3">
        <v>0.28000000000000003</v>
      </c>
      <c r="AB57" s="3">
        <v>0.28000000000000003</v>
      </c>
      <c r="AC57" s="3">
        <v>0.28000000000000003</v>
      </c>
      <c r="AD57" s="3">
        <v>0.28000000000000003</v>
      </c>
      <c r="AE57" s="3">
        <v>0.28000000000000003</v>
      </c>
      <c r="AF57" s="3">
        <v>0.28000000000000003</v>
      </c>
      <c r="AG57" s="3">
        <v>0.28000000000000003</v>
      </c>
      <c r="AH57" s="3">
        <v>0.28000000000000003</v>
      </c>
      <c r="AI57" s="3">
        <v>0.28000000000000003</v>
      </c>
      <c r="AJ57" s="3">
        <v>0.28000000000000003</v>
      </c>
      <c r="AK57" s="3">
        <v>0.28000000000000003</v>
      </c>
      <c r="AL57" s="3">
        <v>0.28000000000000003</v>
      </c>
      <c r="AM57" s="3">
        <v>0.28000000000000003</v>
      </c>
      <c r="AN57" s="3">
        <v>0.28000000000000003</v>
      </c>
      <c r="AO57" s="3">
        <v>0.28000000000000003</v>
      </c>
      <c r="AP57" s="3">
        <v>0.28000000000000003</v>
      </c>
    </row>
    <row r="58" spans="1:42" hidden="1" x14ac:dyDescent="0.3">
      <c r="A58" s="15" t="s">
        <v>198</v>
      </c>
      <c r="B58" s="15" t="s">
        <v>28</v>
      </c>
      <c r="C58" s="20">
        <v>44592</v>
      </c>
      <c r="D58" s="20">
        <v>44747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0.01</v>
      </c>
      <c r="M58" s="8">
        <v>0.03</v>
      </c>
      <c r="N58" s="8">
        <v>0.04</v>
      </c>
      <c r="O58" s="8">
        <v>0.06</v>
      </c>
      <c r="P58" s="8">
        <v>7.0000000000000007E-2</v>
      </c>
      <c r="Q58" s="8">
        <v>1.36</v>
      </c>
      <c r="R58" s="8">
        <v>1.36</v>
      </c>
      <c r="S58" s="8">
        <v>1.36</v>
      </c>
      <c r="T58" s="8">
        <v>1.36</v>
      </c>
      <c r="U58" s="8">
        <v>1.36</v>
      </c>
      <c r="V58" s="8">
        <v>1.36</v>
      </c>
      <c r="W58" s="8">
        <v>1.36</v>
      </c>
      <c r="X58" s="8">
        <v>1.36</v>
      </c>
      <c r="Y58" s="8">
        <v>1.36</v>
      </c>
      <c r="Z58" s="8">
        <v>1.36</v>
      </c>
      <c r="AA58" s="8">
        <v>1.36</v>
      </c>
      <c r="AB58" s="8">
        <v>1.36</v>
      </c>
      <c r="AC58" s="8">
        <v>1.36</v>
      </c>
      <c r="AD58" s="8">
        <v>1.36</v>
      </c>
      <c r="AE58" s="8">
        <v>1.36</v>
      </c>
      <c r="AF58" s="8">
        <v>1.36</v>
      </c>
      <c r="AG58" s="8">
        <v>1.36</v>
      </c>
      <c r="AH58" s="8">
        <v>1.36</v>
      </c>
      <c r="AI58" s="8">
        <v>1.36</v>
      </c>
      <c r="AJ58" s="8">
        <v>1.36</v>
      </c>
      <c r="AK58" s="8">
        <v>1.36</v>
      </c>
      <c r="AL58" s="8">
        <v>1.36</v>
      </c>
      <c r="AM58" s="8">
        <v>1.36</v>
      </c>
      <c r="AN58" s="8">
        <v>1.36</v>
      </c>
      <c r="AO58" s="8">
        <v>1.36</v>
      </c>
      <c r="AP58" s="8">
        <v>1.36</v>
      </c>
    </row>
    <row r="59" spans="1:42" hidden="1" x14ac:dyDescent="0.3">
      <c r="A59" s="5" t="s">
        <v>199</v>
      </c>
      <c r="B59" s="5" t="s">
        <v>29</v>
      </c>
      <c r="C59" s="22">
        <v>44746</v>
      </c>
      <c r="D59" s="22">
        <v>44747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1.28</v>
      </c>
      <c r="R59" s="3">
        <v>1.28</v>
      </c>
      <c r="S59" s="3">
        <v>1.28</v>
      </c>
      <c r="T59" s="3">
        <v>1.28</v>
      </c>
      <c r="U59" s="3">
        <v>1.28</v>
      </c>
      <c r="V59" s="3">
        <v>1.28</v>
      </c>
      <c r="W59" s="3">
        <v>1.28</v>
      </c>
      <c r="X59" s="3">
        <v>1.28</v>
      </c>
      <c r="Y59" s="3">
        <v>1.28</v>
      </c>
      <c r="Z59" s="3">
        <v>1.28</v>
      </c>
      <c r="AA59" s="3">
        <v>1.28</v>
      </c>
      <c r="AB59" s="3">
        <v>1.28</v>
      </c>
      <c r="AC59" s="3">
        <v>1.28</v>
      </c>
      <c r="AD59" s="3">
        <v>1.28</v>
      </c>
      <c r="AE59" s="3">
        <v>1.28</v>
      </c>
      <c r="AF59" s="3">
        <v>1.28</v>
      </c>
      <c r="AG59" s="3">
        <v>1.28</v>
      </c>
      <c r="AH59" s="3">
        <v>1.28</v>
      </c>
      <c r="AI59" s="3">
        <v>1.28</v>
      </c>
      <c r="AJ59" s="3">
        <v>1.28</v>
      </c>
      <c r="AK59" s="3">
        <v>1.28</v>
      </c>
      <c r="AL59" s="3">
        <v>1.28</v>
      </c>
      <c r="AM59" s="3">
        <v>1.28</v>
      </c>
      <c r="AN59" s="3">
        <v>1.28</v>
      </c>
      <c r="AO59" s="3">
        <v>1.28</v>
      </c>
      <c r="AP59" s="3">
        <v>1.28</v>
      </c>
    </row>
    <row r="60" spans="1:42" hidden="1" x14ac:dyDescent="0.3">
      <c r="A60" s="5" t="s">
        <v>200</v>
      </c>
      <c r="B60" s="5" t="s">
        <v>29</v>
      </c>
      <c r="C60" s="22">
        <v>44746</v>
      </c>
      <c r="D60" s="22">
        <v>44747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0.01</v>
      </c>
      <c r="R60" s="3">
        <v>0.01</v>
      </c>
      <c r="S60" s="3">
        <v>0.01</v>
      </c>
      <c r="T60" s="3">
        <v>0.01</v>
      </c>
      <c r="U60" s="3">
        <v>0.01</v>
      </c>
      <c r="V60" s="3">
        <v>0.01</v>
      </c>
      <c r="W60" s="3">
        <v>0.01</v>
      </c>
      <c r="X60" s="3">
        <v>0.01</v>
      </c>
      <c r="Y60" s="3">
        <v>0.01</v>
      </c>
      <c r="Z60" s="3">
        <v>0.01</v>
      </c>
      <c r="AA60" s="3">
        <v>0.01</v>
      </c>
      <c r="AB60" s="3">
        <v>0.01</v>
      </c>
      <c r="AC60" s="3">
        <v>0.01</v>
      </c>
      <c r="AD60" s="3">
        <v>0.01</v>
      </c>
      <c r="AE60" s="3">
        <v>0.01</v>
      </c>
      <c r="AF60" s="3">
        <v>0.01</v>
      </c>
      <c r="AG60" s="3">
        <v>0.01</v>
      </c>
      <c r="AH60" s="3">
        <v>0.01</v>
      </c>
      <c r="AI60" s="3">
        <v>0.01</v>
      </c>
      <c r="AJ60" s="3">
        <v>0.01</v>
      </c>
      <c r="AK60" s="3">
        <v>0.01</v>
      </c>
      <c r="AL60" s="3">
        <v>0.01</v>
      </c>
      <c r="AM60" s="3">
        <v>0.01</v>
      </c>
      <c r="AN60" s="3">
        <v>0.01</v>
      </c>
      <c r="AO60" s="3">
        <v>0.01</v>
      </c>
      <c r="AP60" s="3">
        <v>0.01</v>
      </c>
    </row>
    <row r="61" spans="1:42" hidden="1" x14ac:dyDescent="0.3">
      <c r="A61" s="5" t="s">
        <v>201</v>
      </c>
      <c r="B61" s="5" t="s">
        <v>29</v>
      </c>
      <c r="C61" s="22">
        <v>44725</v>
      </c>
      <c r="D61" s="22">
        <v>44726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0.01</v>
      </c>
      <c r="Q61" s="3">
        <v>0.01</v>
      </c>
      <c r="R61" s="3">
        <v>0.01</v>
      </c>
      <c r="S61" s="3">
        <v>0.01</v>
      </c>
      <c r="T61" s="3">
        <v>0.01</v>
      </c>
      <c r="U61" s="3">
        <v>0.01</v>
      </c>
      <c r="V61" s="3">
        <v>0.01</v>
      </c>
      <c r="W61" s="3">
        <v>0.01</v>
      </c>
      <c r="X61" s="3">
        <v>0.01</v>
      </c>
      <c r="Y61" s="3">
        <v>0.01</v>
      </c>
      <c r="Z61" s="3">
        <v>0.01</v>
      </c>
      <c r="AA61" s="3">
        <v>0.01</v>
      </c>
      <c r="AB61" s="3">
        <v>0.01</v>
      </c>
      <c r="AC61" s="3">
        <v>0.01</v>
      </c>
      <c r="AD61" s="3">
        <v>0.01</v>
      </c>
      <c r="AE61" s="3">
        <v>0.01</v>
      </c>
      <c r="AF61" s="3">
        <v>0.01</v>
      </c>
      <c r="AG61" s="3">
        <v>0.01</v>
      </c>
      <c r="AH61" s="3">
        <v>0.01</v>
      </c>
      <c r="AI61" s="3">
        <v>0.01</v>
      </c>
      <c r="AJ61" s="3">
        <v>0.01</v>
      </c>
      <c r="AK61" s="3">
        <v>0.01</v>
      </c>
      <c r="AL61" s="3">
        <v>0.01</v>
      </c>
      <c r="AM61" s="3">
        <v>0.01</v>
      </c>
      <c r="AN61" s="3">
        <v>0.01</v>
      </c>
      <c r="AO61" s="3">
        <v>0.01</v>
      </c>
      <c r="AP61" s="3">
        <v>0.01</v>
      </c>
    </row>
    <row r="62" spans="1:42" hidden="1" x14ac:dyDescent="0.3">
      <c r="A62" s="5" t="s">
        <v>202</v>
      </c>
      <c r="B62" s="5" t="s">
        <v>29</v>
      </c>
      <c r="C62" s="22">
        <v>44704</v>
      </c>
      <c r="D62" s="22">
        <v>44705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0.01</v>
      </c>
      <c r="P62" s="3">
        <v>0.01</v>
      </c>
      <c r="Q62" s="3">
        <v>0.01</v>
      </c>
      <c r="R62" s="3">
        <v>0.01</v>
      </c>
      <c r="S62" s="3">
        <v>0.01</v>
      </c>
      <c r="T62" s="3">
        <v>0.01</v>
      </c>
      <c r="U62" s="3">
        <v>0.01</v>
      </c>
      <c r="V62" s="3">
        <v>0.01</v>
      </c>
      <c r="W62" s="3">
        <v>0.01</v>
      </c>
      <c r="X62" s="3">
        <v>0.01</v>
      </c>
      <c r="Y62" s="3">
        <v>0.01</v>
      </c>
      <c r="Z62" s="3">
        <v>0.01</v>
      </c>
      <c r="AA62" s="3">
        <v>0.01</v>
      </c>
      <c r="AB62" s="3">
        <v>0.01</v>
      </c>
      <c r="AC62" s="3">
        <v>0.01</v>
      </c>
      <c r="AD62" s="3">
        <v>0.01</v>
      </c>
      <c r="AE62" s="3">
        <v>0.01</v>
      </c>
      <c r="AF62" s="3">
        <v>0.01</v>
      </c>
      <c r="AG62" s="3">
        <v>0.01</v>
      </c>
      <c r="AH62" s="3">
        <v>0.01</v>
      </c>
      <c r="AI62" s="3">
        <v>0.01</v>
      </c>
      <c r="AJ62" s="3">
        <v>0.01</v>
      </c>
      <c r="AK62" s="3">
        <v>0.01</v>
      </c>
      <c r="AL62" s="3">
        <v>0.01</v>
      </c>
      <c r="AM62" s="3">
        <v>0.01</v>
      </c>
      <c r="AN62" s="3">
        <v>0.01</v>
      </c>
      <c r="AO62" s="3">
        <v>0.01</v>
      </c>
      <c r="AP62" s="3">
        <v>0.01</v>
      </c>
    </row>
    <row r="63" spans="1:42" hidden="1" x14ac:dyDescent="0.3">
      <c r="A63" s="5" t="s">
        <v>203</v>
      </c>
      <c r="B63" s="5" t="s">
        <v>29</v>
      </c>
      <c r="C63" s="22">
        <v>44683</v>
      </c>
      <c r="D63" s="22">
        <v>44684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0.01</v>
      </c>
      <c r="P63" s="3">
        <v>0.01</v>
      </c>
      <c r="Q63" s="3">
        <v>0.01</v>
      </c>
      <c r="R63" s="3">
        <v>0.01</v>
      </c>
      <c r="S63" s="3">
        <v>0.01</v>
      </c>
      <c r="T63" s="3">
        <v>0.01</v>
      </c>
      <c r="U63" s="3">
        <v>0.01</v>
      </c>
      <c r="V63" s="3">
        <v>0.01</v>
      </c>
      <c r="W63" s="3">
        <v>0.01</v>
      </c>
      <c r="X63" s="3">
        <v>0.01</v>
      </c>
      <c r="Y63" s="3">
        <v>0.01</v>
      </c>
      <c r="Z63" s="3">
        <v>0.01</v>
      </c>
      <c r="AA63" s="3">
        <v>0.01</v>
      </c>
      <c r="AB63" s="3">
        <v>0.01</v>
      </c>
      <c r="AC63" s="3">
        <v>0.01</v>
      </c>
      <c r="AD63" s="3">
        <v>0.01</v>
      </c>
      <c r="AE63" s="3">
        <v>0.01</v>
      </c>
      <c r="AF63" s="3">
        <v>0.01</v>
      </c>
      <c r="AG63" s="3">
        <v>0.01</v>
      </c>
      <c r="AH63" s="3">
        <v>0.01</v>
      </c>
      <c r="AI63" s="3">
        <v>0.01</v>
      </c>
      <c r="AJ63" s="3">
        <v>0.01</v>
      </c>
      <c r="AK63" s="3">
        <v>0.01</v>
      </c>
      <c r="AL63" s="3">
        <v>0.01</v>
      </c>
      <c r="AM63" s="3">
        <v>0.01</v>
      </c>
      <c r="AN63" s="3">
        <v>0.01</v>
      </c>
      <c r="AO63" s="3">
        <v>0.01</v>
      </c>
      <c r="AP63" s="3">
        <v>0.01</v>
      </c>
    </row>
    <row r="64" spans="1:42" hidden="1" x14ac:dyDescent="0.3">
      <c r="A64" s="5" t="s">
        <v>204</v>
      </c>
      <c r="B64" s="5" t="s">
        <v>29</v>
      </c>
      <c r="C64" s="22">
        <v>44662</v>
      </c>
      <c r="D64" s="22">
        <v>44663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0.01</v>
      </c>
      <c r="O64" s="3">
        <v>0.01</v>
      </c>
      <c r="P64" s="3">
        <v>0.01</v>
      </c>
      <c r="Q64" s="3">
        <v>0.01</v>
      </c>
      <c r="R64" s="3">
        <v>0.01</v>
      </c>
      <c r="S64" s="3">
        <v>0.01</v>
      </c>
      <c r="T64" s="3">
        <v>0.01</v>
      </c>
      <c r="U64" s="3">
        <v>0.01</v>
      </c>
      <c r="V64" s="3">
        <v>0.01</v>
      </c>
      <c r="W64" s="3">
        <v>0.01</v>
      </c>
      <c r="X64" s="3">
        <v>0.01</v>
      </c>
      <c r="Y64" s="3">
        <v>0.01</v>
      </c>
      <c r="Z64" s="3">
        <v>0.01</v>
      </c>
      <c r="AA64" s="3">
        <v>0.01</v>
      </c>
      <c r="AB64" s="3">
        <v>0.01</v>
      </c>
      <c r="AC64" s="3">
        <v>0.01</v>
      </c>
      <c r="AD64" s="3">
        <v>0.01</v>
      </c>
      <c r="AE64" s="3">
        <v>0.01</v>
      </c>
      <c r="AF64" s="3">
        <v>0.01</v>
      </c>
      <c r="AG64" s="3">
        <v>0.01</v>
      </c>
      <c r="AH64" s="3">
        <v>0.01</v>
      </c>
      <c r="AI64" s="3">
        <v>0.01</v>
      </c>
      <c r="AJ64" s="3">
        <v>0.01</v>
      </c>
      <c r="AK64" s="3">
        <v>0.01</v>
      </c>
      <c r="AL64" s="3">
        <v>0.01</v>
      </c>
      <c r="AM64" s="3">
        <v>0.01</v>
      </c>
      <c r="AN64" s="3">
        <v>0.01</v>
      </c>
      <c r="AO64" s="3">
        <v>0.01</v>
      </c>
      <c r="AP64" s="3">
        <v>0.01</v>
      </c>
    </row>
    <row r="65" spans="1:42" hidden="1" x14ac:dyDescent="0.3">
      <c r="A65" s="5" t="s">
        <v>205</v>
      </c>
      <c r="B65" s="5" t="s">
        <v>29</v>
      </c>
      <c r="C65" s="22">
        <v>44641</v>
      </c>
      <c r="D65" s="22">
        <v>44642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0.01</v>
      </c>
      <c r="N65" s="3">
        <v>0.01</v>
      </c>
      <c r="O65" s="3">
        <v>0.01</v>
      </c>
      <c r="P65" s="3">
        <v>0.01</v>
      </c>
      <c r="Q65" s="3">
        <v>0.01</v>
      </c>
      <c r="R65" s="3">
        <v>0.01</v>
      </c>
      <c r="S65" s="3">
        <v>0.01</v>
      </c>
      <c r="T65" s="3">
        <v>0.01</v>
      </c>
      <c r="U65" s="3">
        <v>0.01</v>
      </c>
      <c r="V65" s="3">
        <v>0.01</v>
      </c>
      <c r="W65" s="3">
        <v>0.01</v>
      </c>
      <c r="X65" s="3">
        <v>0.01</v>
      </c>
      <c r="Y65" s="3">
        <v>0.01</v>
      </c>
      <c r="Z65" s="3">
        <v>0.01</v>
      </c>
      <c r="AA65" s="3">
        <v>0.01</v>
      </c>
      <c r="AB65" s="3">
        <v>0.01</v>
      </c>
      <c r="AC65" s="3">
        <v>0.01</v>
      </c>
      <c r="AD65" s="3">
        <v>0.01</v>
      </c>
      <c r="AE65" s="3">
        <v>0.01</v>
      </c>
      <c r="AF65" s="3">
        <v>0.01</v>
      </c>
      <c r="AG65" s="3">
        <v>0.01</v>
      </c>
      <c r="AH65" s="3">
        <v>0.01</v>
      </c>
      <c r="AI65" s="3">
        <v>0.01</v>
      </c>
      <c r="AJ65" s="3">
        <v>0.01</v>
      </c>
      <c r="AK65" s="3">
        <v>0.01</v>
      </c>
      <c r="AL65" s="3">
        <v>0.01</v>
      </c>
      <c r="AM65" s="3">
        <v>0.01</v>
      </c>
      <c r="AN65" s="3">
        <v>0.01</v>
      </c>
      <c r="AO65" s="3">
        <v>0.01</v>
      </c>
      <c r="AP65" s="3">
        <v>0.01</v>
      </c>
    </row>
    <row r="66" spans="1:42" hidden="1" x14ac:dyDescent="0.3">
      <c r="A66" s="5" t="s">
        <v>206</v>
      </c>
      <c r="B66" s="5" t="s">
        <v>29</v>
      </c>
      <c r="C66" s="22">
        <v>44620</v>
      </c>
      <c r="D66" s="22">
        <v>44622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0.01</v>
      </c>
      <c r="N66" s="3">
        <v>0.01</v>
      </c>
      <c r="O66" s="3">
        <v>0.01</v>
      </c>
      <c r="P66" s="3">
        <v>0.01</v>
      </c>
      <c r="Q66" s="3">
        <v>0.01</v>
      </c>
      <c r="R66" s="3">
        <v>0.01</v>
      </c>
      <c r="S66" s="3">
        <v>0.01</v>
      </c>
      <c r="T66" s="3">
        <v>0.01</v>
      </c>
      <c r="U66" s="3">
        <v>0.01</v>
      </c>
      <c r="V66" s="3">
        <v>0.01</v>
      </c>
      <c r="W66" s="3">
        <v>0.01</v>
      </c>
      <c r="X66" s="3">
        <v>0.01</v>
      </c>
      <c r="Y66" s="3">
        <v>0.01</v>
      </c>
      <c r="Z66" s="3">
        <v>0.01</v>
      </c>
      <c r="AA66" s="3">
        <v>0.01</v>
      </c>
      <c r="AB66" s="3">
        <v>0.01</v>
      </c>
      <c r="AC66" s="3">
        <v>0.01</v>
      </c>
      <c r="AD66" s="3">
        <v>0.01</v>
      </c>
      <c r="AE66" s="3">
        <v>0.01</v>
      </c>
      <c r="AF66" s="3">
        <v>0.01</v>
      </c>
      <c r="AG66" s="3">
        <v>0.01</v>
      </c>
      <c r="AH66" s="3">
        <v>0.01</v>
      </c>
      <c r="AI66" s="3">
        <v>0.01</v>
      </c>
      <c r="AJ66" s="3">
        <v>0.01</v>
      </c>
      <c r="AK66" s="3">
        <v>0.01</v>
      </c>
      <c r="AL66" s="3">
        <v>0.01</v>
      </c>
      <c r="AM66" s="3">
        <v>0.01</v>
      </c>
      <c r="AN66" s="3">
        <v>0.01</v>
      </c>
      <c r="AO66" s="3">
        <v>0.01</v>
      </c>
      <c r="AP66" s="3">
        <v>0.01</v>
      </c>
    </row>
    <row r="67" spans="1:42" hidden="1" x14ac:dyDescent="0.3">
      <c r="A67" s="5" t="s">
        <v>207</v>
      </c>
      <c r="B67" s="5" t="s">
        <v>29</v>
      </c>
      <c r="C67" s="22">
        <v>44592</v>
      </c>
      <c r="D67" s="22">
        <v>44593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0.01</v>
      </c>
      <c r="M67" s="3">
        <v>0.01</v>
      </c>
      <c r="N67" s="3">
        <v>0.01</v>
      </c>
      <c r="O67" s="3">
        <v>0.01</v>
      </c>
      <c r="P67" s="3">
        <v>0.01</v>
      </c>
      <c r="Q67" s="3">
        <v>0.01</v>
      </c>
      <c r="R67" s="3">
        <v>0.01</v>
      </c>
      <c r="S67" s="3">
        <v>0.01</v>
      </c>
      <c r="T67" s="3">
        <v>0.01</v>
      </c>
      <c r="U67" s="3">
        <v>0.01</v>
      </c>
      <c r="V67" s="3">
        <v>0.01</v>
      </c>
      <c r="W67" s="3">
        <v>0.01</v>
      </c>
      <c r="X67" s="3">
        <v>0.01</v>
      </c>
      <c r="Y67" s="3">
        <v>0.01</v>
      </c>
      <c r="Z67" s="3">
        <v>0.01</v>
      </c>
      <c r="AA67" s="3">
        <v>0.01</v>
      </c>
      <c r="AB67" s="3">
        <v>0.01</v>
      </c>
      <c r="AC67" s="3">
        <v>0.01</v>
      </c>
      <c r="AD67" s="3">
        <v>0.01</v>
      </c>
      <c r="AE67" s="3">
        <v>0.01</v>
      </c>
      <c r="AF67" s="3">
        <v>0.01</v>
      </c>
      <c r="AG67" s="3">
        <v>0.01</v>
      </c>
      <c r="AH67" s="3">
        <v>0.01</v>
      </c>
      <c r="AI67" s="3">
        <v>0.01</v>
      </c>
      <c r="AJ67" s="3">
        <v>0.01</v>
      </c>
      <c r="AK67" s="3">
        <v>0.01</v>
      </c>
      <c r="AL67" s="3">
        <v>0.01</v>
      </c>
      <c r="AM67" s="3">
        <v>0.01</v>
      </c>
      <c r="AN67" s="3">
        <v>0.01</v>
      </c>
      <c r="AO67" s="3">
        <v>0.01</v>
      </c>
      <c r="AP67" s="3">
        <v>0.01</v>
      </c>
    </row>
    <row r="68" spans="1:42" hidden="1" x14ac:dyDescent="0.3">
      <c r="A68" s="15" t="s">
        <v>208</v>
      </c>
      <c r="B68" s="15" t="s">
        <v>30</v>
      </c>
      <c r="C68" s="20">
        <v>44616</v>
      </c>
      <c r="D68" s="20">
        <v>44818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0.01</v>
      </c>
      <c r="M68" s="8">
        <v>0.02</v>
      </c>
      <c r="N68" s="8">
        <v>0.04</v>
      </c>
      <c r="O68" s="8">
        <v>0.05</v>
      </c>
      <c r="P68" s="8">
        <v>7.0000000000000007E-2</v>
      </c>
      <c r="Q68" s="8">
        <v>7.0000000000000007E-2</v>
      </c>
      <c r="R68" s="8">
        <v>7.0000000000000007E-2</v>
      </c>
      <c r="S68" s="8">
        <v>1.36</v>
      </c>
      <c r="T68" s="8">
        <v>1.36</v>
      </c>
      <c r="U68" s="8">
        <v>1.36</v>
      </c>
      <c r="V68" s="8">
        <v>1.36</v>
      </c>
      <c r="W68" s="8">
        <v>1.36</v>
      </c>
      <c r="X68" s="8">
        <v>1.36</v>
      </c>
      <c r="Y68" s="8">
        <v>1.36</v>
      </c>
      <c r="Z68" s="8">
        <v>1.36</v>
      </c>
      <c r="AA68" s="8">
        <v>1.36</v>
      </c>
      <c r="AB68" s="8">
        <v>1.36</v>
      </c>
      <c r="AC68" s="8">
        <v>1.36</v>
      </c>
      <c r="AD68" s="8">
        <v>1.36</v>
      </c>
      <c r="AE68" s="8">
        <v>1.36</v>
      </c>
      <c r="AF68" s="8">
        <v>1.36</v>
      </c>
      <c r="AG68" s="8">
        <v>1.36</v>
      </c>
      <c r="AH68" s="8">
        <v>1.36</v>
      </c>
      <c r="AI68" s="8">
        <v>1.36</v>
      </c>
      <c r="AJ68" s="8">
        <v>1.36</v>
      </c>
      <c r="AK68" s="8">
        <v>1.36</v>
      </c>
      <c r="AL68" s="8">
        <v>1.36</v>
      </c>
      <c r="AM68" s="8">
        <v>1.36</v>
      </c>
      <c r="AN68" s="8">
        <v>1.36</v>
      </c>
      <c r="AO68" s="8">
        <v>1.36</v>
      </c>
      <c r="AP68" s="8">
        <v>1.36</v>
      </c>
    </row>
    <row r="69" spans="1:42" hidden="1" x14ac:dyDescent="0.3">
      <c r="A69" s="5" t="s">
        <v>209</v>
      </c>
      <c r="B69" s="5" t="s">
        <v>31</v>
      </c>
      <c r="C69" s="22">
        <v>44817</v>
      </c>
      <c r="D69" s="22">
        <v>44818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1.28</v>
      </c>
      <c r="T69" s="3">
        <v>1.28</v>
      </c>
      <c r="U69" s="3">
        <v>1.28</v>
      </c>
      <c r="V69" s="3">
        <v>1.28</v>
      </c>
      <c r="W69" s="3">
        <v>1.28</v>
      </c>
      <c r="X69" s="3">
        <v>1.28</v>
      </c>
      <c r="Y69" s="3">
        <v>1.28</v>
      </c>
      <c r="Z69" s="3">
        <v>1.28</v>
      </c>
      <c r="AA69" s="3">
        <v>1.28</v>
      </c>
      <c r="AB69" s="3">
        <v>1.28</v>
      </c>
      <c r="AC69" s="3">
        <v>1.28</v>
      </c>
      <c r="AD69" s="3">
        <v>1.28</v>
      </c>
      <c r="AE69" s="3">
        <v>1.28</v>
      </c>
      <c r="AF69" s="3">
        <v>1.28</v>
      </c>
      <c r="AG69" s="3">
        <v>1.28</v>
      </c>
      <c r="AH69" s="3">
        <v>1.28</v>
      </c>
      <c r="AI69" s="3">
        <v>1.28</v>
      </c>
      <c r="AJ69" s="3">
        <v>1.28</v>
      </c>
      <c r="AK69" s="3">
        <v>1.28</v>
      </c>
      <c r="AL69" s="3">
        <v>1.28</v>
      </c>
      <c r="AM69" s="3">
        <v>1.28</v>
      </c>
      <c r="AN69" s="3">
        <v>1.28</v>
      </c>
      <c r="AO69" s="3">
        <v>1.28</v>
      </c>
      <c r="AP69" s="3">
        <v>1.28</v>
      </c>
    </row>
    <row r="70" spans="1:42" hidden="1" x14ac:dyDescent="0.3">
      <c r="A70" s="5" t="s">
        <v>210</v>
      </c>
      <c r="B70" s="5" t="s">
        <v>31</v>
      </c>
      <c r="C70" s="22">
        <v>44761</v>
      </c>
      <c r="D70" s="22">
        <v>44762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0.01</v>
      </c>
      <c r="R70" s="3">
        <v>0.01</v>
      </c>
      <c r="S70" s="3">
        <v>0.01</v>
      </c>
      <c r="T70" s="3">
        <v>0.01</v>
      </c>
      <c r="U70" s="3">
        <v>0.01</v>
      </c>
      <c r="V70" s="3">
        <v>0.01</v>
      </c>
      <c r="W70" s="3">
        <v>0.01</v>
      </c>
      <c r="X70" s="3">
        <v>0.01</v>
      </c>
      <c r="Y70" s="3">
        <v>0.01</v>
      </c>
      <c r="Z70" s="3">
        <v>0.01</v>
      </c>
      <c r="AA70" s="3">
        <v>0.01</v>
      </c>
      <c r="AB70" s="3">
        <v>0.01</v>
      </c>
      <c r="AC70" s="3">
        <v>0.01</v>
      </c>
      <c r="AD70" s="3">
        <v>0.01</v>
      </c>
      <c r="AE70" s="3">
        <v>0.01</v>
      </c>
      <c r="AF70" s="3">
        <v>0.01</v>
      </c>
      <c r="AG70" s="3">
        <v>0.01</v>
      </c>
      <c r="AH70" s="3">
        <v>0.01</v>
      </c>
      <c r="AI70" s="3">
        <v>0.01</v>
      </c>
      <c r="AJ70" s="3">
        <v>0.01</v>
      </c>
      <c r="AK70" s="3">
        <v>0.01</v>
      </c>
      <c r="AL70" s="3">
        <v>0.01</v>
      </c>
      <c r="AM70" s="3">
        <v>0.01</v>
      </c>
      <c r="AN70" s="3">
        <v>0.01</v>
      </c>
      <c r="AO70" s="3">
        <v>0.01</v>
      </c>
      <c r="AP70" s="3">
        <v>0.01</v>
      </c>
    </row>
    <row r="71" spans="1:42" hidden="1" x14ac:dyDescent="0.3">
      <c r="A71" s="5" t="s">
        <v>211</v>
      </c>
      <c r="B71" s="5" t="s">
        <v>31</v>
      </c>
      <c r="C71" s="22">
        <v>44740</v>
      </c>
      <c r="D71" s="22">
        <v>44741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0.01</v>
      </c>
      <c r="Q71" s="3">
        <v>0.01</v>
      </c>
      <c r="R71" s="3">
        <v>0.01</v>
      </c>
      <c r="S71" s="3">
        <v>0.01</v>
      </c>
      <c r="T71" s="3">
        <v>0.01</v>
      </c>
      <c r="U71" s="3">
        <v>0.01</v>
      </c>
      <c r="V71" s="3">
        <v>0.01</v>
      </c>
      <c r="W71" s="3">
        <v>0.01</v>
      </c>
      <c r="X71" s="3">
        <v>0.01</v>
      </c>
      <c r="Y71" s="3">
        <v>0.01</v>
      </c>
      <c r="Z71" s="3">
        <v>0.01</v>
      </c>
      <c r="AA71" s="3">
        <v>0.01</v>
      </c>
      <c r="AB71" s="3">
        <v>0.01</v>
      </c>
      <c r="AC71" s="3">
        <v>0.01</v>
      </c>
      <c r="AD71" s="3">
        <v>0.01</v>
      </c>
      <c r="AE71" s="3">
        <v>0.01</v>
      </c>
      <c r="AF71" s="3">
        <v>0.01</v>
      </c>
      <c r="AG71" s="3">
        <v>0.01</v>
      </c>
      <c r="AH71" s="3">
        <v>0.01</v>
      </c>
      <c r="AI71" s="3">
        <v>0.01</v>
      </c>
      <c r="AJ71" s="3">
        <v>0.01</v>
      </c>
      <c r="AK71" s="3">
        <v>0.01</v>
      </c>
      <c r="AL71" s="3">
        <v>0.01</v>
      </c>
      <c r="AM71" s="3">
        <v>0.01</v>
      </c>
      <c r="AN71" s="3">
        <v>0.01</v>
      </c>
      <c r="AO71" s="3">
        <v>0.01</v>
      </c>
      <c r="AP71" s="3">
        <v>0.01</v>
      </c>
    </row>
    <row r="72" spans="1:42" hidden="1" x14ac:dyDescent="0.3">
      <c r="A72" s="5" t="s">
        <v>212</v>
      </c>
      <c r="B72" s="5" t="s">
        <v>31</v>
      </c>
      <c r="C72" s="22">
        <v>44719</v>
      </c>
      <c r="D72" s="22">
        <v>44720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0.01</v>
      </c>
      <c r="Q72" s="3">
        <v>0.01</v>
      </c>
      <c r="R72" s="3">
        <v>0.01</v>
      </c>
      <c r="S72" s="3">
        <v>0.01</v>
      </c>
      <c r="T72" s="3">
        <v>0.01</v>
      </c>
      <c r="U72" s="3">
        <v>0.01</v>
      </c>
      <c r="V72" s="3">
        <v>0.01</v>
      </c>
      <c r="W72" s="3">
        <v>0.01</v>
      </c>
      <c r="X72" s="3">
        <v>0.01</v>
      </c>
      <c r="Y72" s="3">
        <v>0.01</v>
      </c>
      <c r="Z72" s="3">
        <v>0.01</v>
      </c>
      <c r="AA72" s="3">
        <v>0.01</v>
      </c>
      <c r="AB72" s="3">
        <v>0.01</v>
      </c>
      <c r="AC72" s="3">
        <v>0.01</v>
      </c>
      <c r="AD72" s="3">
        <v>0.01</v>
      </c>
      <c r="AE72" s="3">
        <v>0.01</v>
      </c>
      <c r="AF72" s="3">
        <v>0.01</v>
      </c>
      <c r="AG72" s="3">
        <v>0.01</v>
      </c>
      <c r="AH72" s="3">
        <v>0.01</v>
      </c>
      <c r="AI72" s="3">
        <v>0.01</v>
      </c>
      <c r="AJ72" s="3">
        <v>0.01</v>
      </c>
      <c r="AK72" s="3">
        <v>0.01</v>
      </c>
      <c r="AL72" s="3">
        <v>0.01</v>
      </c>
      <c r="AM72" s="3">
        <v>0.01</v>
      </c>
      <c r="AN72" s="3">
        <v>0.01</v>
      </c>
      <c r="AO72" s="3">
        <v>0.01</v>
      </c>
      <c r="AP72" s="3">
        <v>0.01</v>
      </c>
    </row>
    <row r="73" spans="1:42" hidden="1" x14ac:dyDescent="0.3">
      <c r="A73" s="5" t="s">
        <v>213</v>
      </c>
      <c r="B73" s="5" t="s">
        <v>31</v>
      </c>
      <c r="C73" s="22">
        <v>44698</v>
      </c>
      <c r="D73" s="22">
        <v>44700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0.01</v>
      </c>
      <c r="P73" s="3">
        <v>0.01</v>
      </c>
      <c r="Q73" s="3">
        <v>0.01</v>
      </c>
      <c r="R73" s="3">
        <v>0.01</v>
      </c>
      <c r="S73" s="3">
        <v>0.01</v>
      </c>
      <c r="T73" s="3">
        <v>0.01</v>
      </c>
      <c r="U73" s="3">
        <v>0.01</v>
      </c>
      <c r="V73" s="3">
        <v>0.01</v>
      </c>
      <c r="W73" s="3">
        <v>0.01</v>
      </c>
      <c r="X73" s="3">
        <v>0.01</v>
      </c>
      <c r="Y73" s="3">
        <v>0.01</v>
      </c>
      <c r="Z73" s="3">
        <v>0.01</v>
      </c>
      <c r="AA73" s="3">
        <v>0.01</v>
      </c>
      <c r="AB73" s="3">
        <v>0.01</v>
      </c>
      <c r="AC73" s="3">
        <v>0.01</v>
      </c>
      <c r="AD73" s="3">
        <v>0.01</v>
      </c>
      <c r="AE73" s="3">
        <v>0.01</v>
      </c>
      <c r="AF73" s="3">
        <v>0.01</v>
      </c>
      <c r="AG73" s="3">
        <v>0.01</v>
      </c>
      <c r="AH73" s="3">
        <v>0.01</v>
      </c>
      <c r="AI73" s="3">
        <v>0.01</v>
      </c>
      <c r="AJ73" s="3">
        <v>0.01</v>
      </c>
      <c r="AK73" s="3">
        <v>0.01</v>
      </c>
      <c r="AL73" s="3">
        <v>0.01</v>
      </c>
      <c r="AM73" s="3">
        <v>0.01</v>
      </c>
      <c r="AN73" s="3">
        <v>0.01</v>
      </c>
      <c r="AO73" s="3">
        <v>0.01</v>
      </c>
      <c r="AP73" s="3">
        <v>0.01</v>
      </c>
    </row>
    <row r="74" spans="1:42" hidden="1" x14ac:dyDescent="0.3">
      <c r="A74" s="5" t="s">
        <v>214</v>
      </c>
      <c r="B74" s="5" t="s">
        <v>31</v>
      </c>
      <c r="C74" s="22">
        <v>44677</v>
      </c>
      <c r="D74" s="22">
        <v>44678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0.01</v>
      </c>
      <c r="O74" s="3">
        <v>0.01</v>
      </c>
      <c r="P74" s="3">
        <v>0.01</v>
      </c>
      <c r="Q74" s="3">
        <v>0.01</v>
      </c>
      <c r="R74" s="3">
        <v>0.01</v>
      </c>
      <c r="S74" s="3">
        <v>0.01</v>
      </c>
      <c r="T74" s="3">
        <v>0.01</v>
      </c>
      <c r="U74" s="3">
        <v>0.01</v>
      </c>
      <c r="V74" s="3">
        <v>0.01</v>
      </c>
      <c r="W74" s="3">
        <v>0.01</v>
      </c>
      <c r="X74" s="3">
        <v>0.01</v>
      </c>
      <c r="Y74" s="3">
        <v>0.01</v>
      </c>
      <c r="Z74" s="3">
        <v>0.01</v>
      </c>
      <c r="AA74" s="3">
        <v>0.01</v>
      </c>
      <c r="AB74" s="3">
        <v>0.01</v>
      </c>
      <c r="AC74" s="3">
        <v>0.01</v>
      </c>
      <c r="AD74" s="3">
        <v>0.01</v>
      </c>
      <c r="AE74" s="3">
        <v>0.01</v>
      </c>
      <c r="AF74" s="3">
        <v>0.01</v>
      </c>
      <c r="AG74" s="3">
        <v>0.01</v>
      </c>
      <c r="AH74" s="3">
        <v>0.01</v>
      </c>
      <c r="AI74" s="3">
        <v>0.01</v>
      </c>
      <c r="AJ74" s="3">
        <v>0.01</v>
      </c>
      <c r="AK74" s="3">
        <v>0.01</v>
      </c>
      <c r="AL74" s="3">
        <v>0.01</v>
      </c>
      <c r="AM74" s="3">
        <v>0.01</v>
      </c>
      <c r="AN74" s="3">
        <v>0.01</v>
      </c>
      <c r="AO74" s="3">
        <v>0.01</v>
      </c>
      <c r="AP74" s="3">
        <v>0.01</v>
      </c>
    </row>
    <row r="75" spans="1:42" hidden="1" x14ac:dyDescent="0.3">
      <c r="A75" s="5" t="s">
        <v>215</v>
      </c>
      <c r="B75" s="5" t="s">
        <v>31</v>
      </c>
      <c r="C75" s="22">
        <v>44656</v>
      </c>
      <c r="D75" s="22">
        <v>44657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0.01</v>
      </c>
      <c r="O75" s="3">
        <v>0.01</v>
      </c>
      <c r="P75" s="3">
        <v>0.01</v>
      </c>
      <c r="Q75" s="3">
        <v>0.01</v>
      </c>
      <c r="R75" s="3">
        <v>0.01</v>
      </c>
      <c r="S75" s="3">
        <v>0.01</v>
      </c>
      <c r="T75" s="3">
        <v>0.01</v>
      </c>
      <c r="U75" s="3">
        <v>0.01</v>
      </c>
      <c r="V75" s="3">
        <v>0.01</v>
      </c>
      <c r="W75" s="3">
        <v>0.01</v>
      </c>
      <c r="X75" s="3">
        <v>0.01</v>
      </c>
      <c r="Y75" s="3">
        <v>0.01</v>
      </c>
      <c r="Z75" s="3">
        <v>0.01</v>
      </c>
      <c r="AA75" s="3">
        <v>0.01</v>
      </c>
      <c r="AB75" s="3">
        <v>0.01</v>
      </c>
      <c r="AC75" s="3">
        <v>0.01</v>
      </c>
      <c r="AD75" s="3">
        <v>0.01</v>
      </c>
      <c r="AE75" s="3">
        <v>0.01</v>
      </c>
      <c r="AF75" s="3">
        <v>0.01</v>
      </c>
      <c r="AG75" s="3">
        <v>0.01</v>
      </c>
      <c r="AH75" s="3">
        <v>0.01</v>
      </c>
      <c r="AI75" s="3">
        <v>0.01</v>
      </c>
      <c r="AJ75" s="3">
        <v>0.01</v>
      </c>
      <c r="AK75" s="3">
        <v>0.01</v>
      </c>
      <c r="AL75" s="3">
        <v>0.01</v>
      </c>
      <c r="AM75" s="3">
        <v>0.01</v>
      </c>
      <c r="AN75" s="3">
        <v>0.01</v>
      </c>
      <c r="AO75" s="3">
        <v>0.01</v>
      </c>
      <c r="AP75" s="3">
        <v>0.01</v>
      </c>
    </row>
    <row r="76" spans="1:42" hidden="1" x14ac:dyDescent="0.3">
      <c r="A76" s="5" t="s">
        <v>216</v>
      </c>
      <c r="B76" s="5" t="s">
        <v>31</v>
      </c>
      <c r="C76" s="22">
        <v>44635</v>
      </c>
      <c r="D76" s="22">
        <v>44636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0.01</v>
      </c>
      <c r="N76" s="3">
        <v>0.01</v>
      </c>
      <c r="O76" s="3">
        <v>0.01</v>
      </c>
      <c r="P76" s="3">
        <v>0.01</v>
      </c>
      <c r="Q76" s="3">
        <v>0.01</v>
      </c>
      <c r="R76" s="3">
        <v>0.01</v>
      </c>
      <c r="S76" s="3">
        <v>0.01</v>
      </c>
      <c r="T76" s="3">
        <v>0.01</v>
      </c>
      <c r="U76" s="3">
        <v>0.01</v>
      </c>
      <c r="V76" s="3">
        <v>0.01</v>
      </c>
      <c r="W76" s="3">
        <v>0.01</v>
      </c>
      <c r="X76" s="3">
        <v>0.01</v>
      </c>
      <c r="Y76" s="3">
        <v>0.01</v>
      </c>
      <c r="Z76" s="3">
        <v>0.01</v>
      </c>
      <c r="AA76" s="3">
        <v>0.01</v>
      </c>
      <c r="AB76" s="3">
        <v>0.01</v>
      </c>
      <c r="AC76" s="3">
        <v>0.01</v>
      </c>
      <c r="AD76" s="3">
        <v>0.01</v>
      </c>
      <c r="AE76" s="3">
        <v>0.01</v>
      </c>
      <c r="AF76" s="3">
        <v>0.01</v>
      </c>
      <c r="AG76" s="3">
        <v>0.01</v>
      </c>
      <c r="AH76" s="3">
        <v>0.01</v>
      </c>
      <c r="AI76" s="3">
        <v>0.01</v>
      </c>
      <c r="AJ76" s="3">
        <v>0.01</v>
      </c>
      <c r="AK76" s="3">
        <v>0.01</v>
      </c>
      <c r="AL76" s="3">
        <v>0.01</v>
      </c>
      <c r="AM76" s="3">
        <v>0.01</v>
      </c>
      <c r="AN76" s="3">
        <v>0.01</v>
      </c>
      <c r="AO76" s="3">
        <v>0.01</v>
      </c>
      <c r="AP76" s="3">
        <v>0.01</v>
      </c>
    </row>
    <row r="77" spans="1:42" hidden="1" x14ac:dyDescent="0.3">
      <c r="A77" s="5" t="s">
        <v>217</v>
      </c>
      <c r="B77" s="5" t="s">
        <v>31</v>
      </c>
      <c r="C77" s="22">
        <v>44616</v>
      </c>
      <c r="D77" s="22">
        <v>44620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0.01</v>
      </c>
      <c r="M77" s="3">
        <v>0.01</v>
      </c>
      <c r="N77" s="3">
        <v>0.01</v>
      </c>
      <c r="O77" s="3">
        <v>0.01</v>
      </c>
      <c r="P77" s="3">
        <v>0.01</v>
      </c>
      <c r="Q77" s="3">
        <v>0.01</v>
      </c>
      <c r="R77" s="3">
        <v>0.01</v>
      </c>
      <c r="S77" s="3">
        <v>0.01</v>
      </c>
      <c r="T77" s="3">
        <v>0.01</v>
      </c>
      <c r="U77" s="3">
        <v>0.01</v>
      </c>
      <c r="V77" s="3">
        <v>0.01</v>
      </c>
      <c r="W77" s="3">
        <v>0.01</v>
      </c>
      <c r="X77" s="3">
        <v>0.01</v>
      </c>
      <c r="Y77" s="3">
        <v>0.01</v>
      </c>
      <c r="Z77" s="3">
        <v>0.01</v>
      </c>
      <c r="AA77" s="3">
        <v>0.01</v>
      </c>
      <c r="AB77" s="3">
        <v>0.01</v>
      </c>
      <c r="AC77" s="3">
        <v>0.01</v>
      </c>
      <c r="AD77" s="3">
        <v>0.01</v>
      </c>
      <c r="AE77" s="3">
        <v>0.01</v>
      </c>
      <c r="AF77" s="3">
        <v>0.01</v>
      </c>
      <c r="AG77" s="3">
        <v>0.01</v>
      </c>
      <c r="AH77" s="3">
        <v>0.01</v>
      </c>
      <c r="AI77" s="3">
        <v>0.01</v>
      </c>
      <c r="AJ77" s="3">
        <v>0.01</v>
      </c>
      <c r="AK77" s="3">
        <v>0.01</v>
      </c>
      <c r="AL77" s="3">
        <v>0.01</v>
      </c>
      <c r="AM77" s="3">
        <v>0.01</v>
      </c>
      <c r="AN77" s="3">
        <v>0.01</v>
      </c>
      <c r="AO77" s="3">
        <v>0.01</v>
      </c>
      <c r="AP77" s="3">
        <v>0.01</v>
      </c>
    </row>
    <row r="78" spans="1:42" hidden="1" x14ac:dyDescent="0.3">
      <c r="A78" s="14" t="s">
        <v>218</v>
      </c>
      <c r="B78" s="14" t="s">
        <v>32</v>
      </c>
      <c r="C78" s="19">
        <v>44694</v>
      </c>
      <c r="D78" s="19">
        <v>45051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0.15</v>
      </c>
      <c r="P78" s="7">
        <v>0.39</v>
      </c>
      <c r="Q78" s="7">
        <v>1.02</v>
      </c>
      <c r="R78" s="7">
        <v>1.71</v>
      </c>
      <c r="S78" s="7">
        <v>2.4900000000000002</v>
      </c>
      <c r="T78" s="7">
        <v>4.87</v>
      </c>
      <c r="U78" s="7">
        <v>5.03</v>
      </c>
      <c r="V78" s="7">
        <v>5.18</v>
      </c>
      <c r="W78" s="7">
        <v>5.39</v>
      </c>
      <c r="X78" s="7">
        <v>6.06</v>
      </c>
      <c r="Y78" s="7">
        <v>6.06</v>
      </c>
      <c r="Z78" s="7">
        <v>6.06</v>
      </c>
      <c r="AA78" s="7">
        <v>6.06</v>
      </c>
      <c r="AB78" s="7">
        <v>6.06</v>
      </c>
      <c r="AC78" s="7">
        <v>6.06</v>
      </c>
      <c r="AD78" s="7">
        <v>6.06</v>
      </c>
      <c r="AE78" s="7">
        <v>6.06</v>
      </c>
      <c r="AF78" s="7">
        <v>6.06</v>
      </c>
      <c r="AG78" s="7">
        <v>6.06</v>
      </c>
      <c r="AH78" s="7">
        <v>6.06</v>
      </c>
      <c r="AI78" s="7">
        <v>6.06</v>
      </c>
      <c r="AJ78" s="7">
        <v>6.06</v>
      </c>
      <c r="AK78" s="7">
        <v>6.06</v>
      </c>
      <c r="AL78" s="7">
        <v>6.06</v>
      </c>
      <c r="AM78" s="7">
        <v>6.06</v>
      </c>
      <c r="AN78" s="7">
        <v>6.06</v>
      </c>
      <c r="AO78" s="7">
        <v>6.06</v>
      </c>
      <c r="AP78" s="7">
        <v>6.06</v>
      </c>
    </row>
    <row r="79" spans="1:42" hidden="1" x14ac:dyDescent="0.3">
      <c r="A79" s="15" t="s">
        <v>219</v>
      </c>
      <c r="B79" s="15" t="s">
        <v>32</v>
      </c>
      <c r="C79" s="20">
        <v>44694</v>
      </c>
      <c r="D79" s="20">
        <v>45051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0.15</v>
      </c>
      <c r="P79" s="8">
        <v>0.39</v>
      </c>
      <c r="Q79" s="8">
        <v>0.62</v>
      </c>
      <c r="R79" s="8">
        <v>0.76</v>
      </c>
      <c r="S79" s="8">
        <v>0.78</v>
      </c>
      <c r="T79" s="8">
        <v>0.98</v>
      </c>
      <c r="U79" s="8">
        <v>0.99</v>
      </c>
      <c r="V79" s="8">
        <v>0.99</v>
      </c>
      <c r="W79" s="8">
        <v>0.99</v>
      </c>
      <c r="X79" s="8">
        <v>0.99</v>
      </c>
      <c r="Y79" s="8">
        <v>0.99</v>
      </c>
      <c r="Z79" s="8">
        <v>0.99</v>
      </c>
      <c r="AA79" s="8">
        <v>0.99</v>
      </c>
      <c r="AB79" s="8">
        <v>0.99</v>
      </c>
      <c r="AC79" s="8">
        <v>0.99</v>
      </c>
      <c r="AD79" s="8">
        <v>0.99</v>
      </c>
      <c r="AE79" s="8">
        <v>0.99</v>
      </c>
      <c r="AF79" s="8">
        <v>0.99</v>
      </c>
      <c r="AG79" s="8">
        <v>0.99</v>
      </c>
      <c r="AH79" s="8">
        <v>0.99</v>
      </c>
      <c r="AI79" s="8">
        <v>0.99</v>
      </c>
      <c r="AJ79" s="8">
        <v>0.99</v>
      </c>
      <c r="AK79" s="8">
        <v>0.99</v>
      </c>
      <c r="AL79" s="8">
        <v>0.99</v>
      </c>
      <c r="AM79" s="8">
        <v>0.99</v>
      </c>
      <c r="AN79" s="8">
        <v>0.99</v>
      </c>
      <c r="AO79" s="8">
        <v>0.99</v>
      </c>
      <c r="AP79" s="8">
        <v>0.99</v>
      </c>
    </row>
    <row r="80" spans="1:42" hidden="1" x14ac:dyDescent="0.3">
      <c r="A80" s="5" t="s">
        <v>220</v>
      </c>
      <c r="B80" s="5" t="s">
        <v>16</v>
      </c>
      <c r="C80" s="22">
        <v>44802</v>
      </c>
      <c r="D80" s="22">
        <v>44806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0.02</v>
      </c>
      <c r="S80" s="3">
        <v>0.04</v>
      </c>
      <c r="T80" s="3">
        <v>0.04</v>
      </c>
      <c r="U80" s="3">
        <v>0.04</v>
      </c>
      <c r="V80" s="3">
        <v>0.04</v>
      </c>
      <c r="W80" s="3">
        <v>0.04</v>
      </c>
      <c r="X80" s="3">
        <v>0.04</v>
      </c>
      <c r="Y80" s="3">
        <v>0.04</v>
      </c>
      <c r="Z80" s="3">
        <v>0.04</v>
      </c>
      <c r="AA80" s="3">
        <v>0.04</v>
      </c>
      <c r="AB80" s="3">
        <v>0.04</v>
      </c>
      <c r="AC80" s="3">
        <v>0.04</v>
      </c>
      <c r="AD80" s="3">
        <v>0.04</v>
      </c>
      <c r="AE80" s="3">
        <v>0.04</v>
      </c>
      <c r="AF80" s="3">
        <v>0.04</v>
      </c>
      <c r="AG80" s="3">
        <v>0.04</v>
      </c>
      <c r="AH80" s="3">
        <v>0.04</v>
      </c>
      <c r="AI80" s="3">
        <v>0.04</v>
      </c>
      <c r="AJ80" s="3">
        <v>0.04</v>
      </c>
      <c r="AK80" s="3">
        <v>0.04</v>
      </c>
      <c r="AL80" s="3">
        <v>0.04</v>
      </c>
      <c r="AM80" s="3">
        <v>0.04</v>
      </c>
      <c r="AN80" s="3">
        <v>0.04</v>
      </c>
      <c r="AO80" s="3">
        <v>0.04</v>
      </c>
      <c r="AP80" s="3">
        <v>0.04</v>
      </c>
    </row>
    <row r="81" spans="1:42" hidden="1" x14ac:dyDescent="0.3">
      <c r="A81" s="5" t="s">
        <v>221</v>
      </c>
      <c r="B81" s="5" t="s">
        <v>33</v>
      </c>
      <c r="C81" s="22">
        <v>44790</v>
      </c>
      <c r="D81" s="22">
        <v>44802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0.04</v>
      </c>
      <c r="S81" s="3">
        <v>0.04</v>
      </c>
      <c r="T81" s="3">
        <v>0.04</v>
      </c>
      <c r="U81" s="3">
        <v>0.04</v>
      </c>
      <c r="V81" s="3">
        <v>0.04</v>
      </c>
      <c r="W81" s="3">
        <v>0.04</v>
      </c>
      <c r="X81" s="3">
        <v>0.04</v>
      </c>
      <c r="Y81" s="3">
        <v>0.04</v>
      </c>
      <c r="Z81" s="3">
        <v>0.04</v>
      </c>
      <c r="AA81" s="3">
        <v>0.04</v>
      </c>
      <c r="AB81" s="3">
        <v>0.04</v>
      </c>
      <c r="AC81" s="3">
        <v>0.04</v>
      </c>
      <c r="AD81" s="3">
        <v>0.04</v>
      </c>
      <c r="AE81" s="3">
        <v>0.04</v>
      </c>
      <c r="AF81" s="3">
        <v>0.04</v>
      </c>
      <c r="AG81" s="3">
        <v>0.04</v>
      </c>
      <c r="AH81" s="3">
        <v>0.04</v>
      </c>
      <c r="AI81" s="3">
        <v>0.04</v>
      </c>
      <c r="AJ81" s="3">
        <v>0.04</v>
      </c>
      <c r="AK81" s="3">
        <v>0.04</v>
      </c>
      <c r="AL81" s="3">
        <v>0.04</v>
      </c>
      <c r="AM81" s="3">
        <v>0.04</v>
      </c>
      <c r="AN81" s="3">
        <v>0.04</v>
      </c>
      <c r="AO81" s="3">
        <v>0.04</v>
      </c>
      <c r="AP81" s="3">
        <v>0.04</v>
      </c>
    </row>
    <row r="82" spans="1:42" hidden="1" x14ac:dyDescent="0.3">
      <c r="A82" s="5" t="s">
        <v>222</v>
      </c>
      <c r="B82" s="5" t="s">
        <v>33</v>
      </c>
      <c r="C82" s="22">
        <v>45040</v>
      </c>
      <c r="D82" s="22">
        <v>45051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</row>
    <row r="83" spans="1:42" hidden="1" x14ac:dyDescent="0.3">
      <c r="A83" s="5" t="s">
        <v>223</v>
      </c>
      <c r="B83" s="5" t="s">
        <v>10</v>
      </c>
      <c r="C83" s="22">
        <v>44774</v>
      </c>
      <c r="D83" s="22">
        <v>44790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7.0000000000000007E-2</v>
      </c>
      <c r="S83" s="3">
        <v>7.0000000000000007E-2</v>
      </c>
      <c r="T83" s="3">
        <v>7.0000000000000007E-2</v>
      </c>
      <c r="U83" s="3">
        <v>7.0000000000000007E-2</v>
      </c>
      <c r="V83" s="3">
        <v>7.0000000000000007E-2</v>
      </c>
      <c r="W83" s="3">
        <v>7.0000000000000007E-2</v>
      </c>
      <c r="X83" s="3">
        <v>7.0000000000000007E-2</v>
      </c>
      <c r="Y83" s="3">
        <v>7.0000000000000007E-2</v>
      </c>
      <c r="Z83" s="3">
        <v>7.0000000000000007E-2</v>
      </c>
      <c r="AA83" s="3">
        <v>7.0000000000000007E-2</v>
      </c>
      <c r="AB83" s="3">
        <v>7.0000000000000007E-2</v>
      </c>
      <c r="AC83" s="3">
        <v>7.0000000000000007E-2</v>
      </c>
      <c r="AD83" s="3">
        <v>7.0000000000000007E-2</v>
      </c>
      <c r="AE83" s="3">
        <v>7.0000000000000007E-2</v>
      </c>
      <c r="AF83" s="3">
        <v>7.0000000000000007E-2</v>
      </c>
      <c r="AG83" s="3">
        <v>7.0000000000000007E-2</v>
      </c>
      <c r="AH83" s="3">
        <v>7.0000000000000007E-2</v>
      </c>
      <c r="AI83" s="3">
        <v>7.0000000000000007E-2</v>
      </c>
      <c r="AJ83" s="3">
        <v>7.0000000000000007E-2</v>
      </c>
      <c r="AK83" s="3">
        <v>7.0000000000000007E-2</v>
      </c>
      <c r="AL83" s="3">
        <v>7.0000000000000007E-2</v>
      </c>
      <c r="AM83" s="3">
        <v>7.0000000000000007E-2</v>
      </c>
      <c r="AN83" s="3">
        <v>7.0000000000000007E-2</v>
      </c>
      <c r="AO83" s="3">
        <v>7.0000000000000007E-2</v>
      </c>
      <c r="AP83" s="3">
        <v>7.0000000000000007E-2</v>
      </c>
    </row>
    <row r="84" spans="1:42" hidden="1" x14ac:dyDescent="0.3">
      <c r="A84" s="5" t="s">
        <v>224</v>
      </c>
      <c r="B84" s="5" t="s">
        <v>34</v>
      </c>
      <c r="C84" s="22">
        <v>44757</v>
      </c>
      <c r="D84" s="22">
        <v>44774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0.13</v>
      </c>
      <c r="R84" s="3">
        <v>0.14000000000000001</v>
      </c>
      <c r="S84" s="3">
        <v>0.14000000000000001</v>
      </c>
      <c r="T84" s="3">
        <v>0.14000000000000001</v>
      </c>
      <c r="U84" s="3">
        <v>0.14000000000000001</v>
      </c>
      <c r="V84" s="3">
        <v>0.14000000000000001</v>
      </c>
      <c r="W84" s="3">
        <v>0.14000000000000001</v>
      </c>
      <c r="X84" s="3">
        <v>0.14000000000000001</v>
      </c>
      <c r="Y84" s="3">
        <v>0.14000000000000001</v>
      </c>
      <c r="Z84" s="3">
        <v>0.14000000000000001</v>
      </c>
      <c r="AA84" s="3">
        <v>0.14000000000000001</v>
      </c>
      <c r="AB84" s="3">
        <v>0.14000000000000001</v>
      </c>
      <c r="AC84" s="3">
        <v>0.14000000000000001</v>
      </c>
      <c r="AD84" s="3">
        <v>0.14000000000000001</v>
      </c>
      <c r="AE84" s="3">
        <v>0.14000000000000001</v>
      </c>
      <c r="AF84" s="3">
        <v>0.14000000000000001</v>
      </c>
      <c r="AG84" s="3">
        <v>0.14000000000000001</v>
      </c>
      <c r="AH84" s="3">
        <v>0.14000000000000001</v>
      </c>
      <c r="AI84" s="3">
        <v>0.14000000000000001</v>
      </c>
      <c r="AJ84" s="3">
        <v>0.14000000000000001</v>
      </c>
      <c r="AK84" s="3">
        <v>0.14000000000000001</v>
      </c>
      <c r="AL84" s="3">
        <v>0.14000000000000001</v>
      </c>
      <c r="AM84" s="3">
        <v>0.14000000000000001</v>
      </c>
      <c r="AN84" s="3">
        <v>0.14000000000000001</v>
      </c>
      <c r="AO84" s="3">
        <v>0.14000000000000001</v>
      </c>
      <c r="AP84" s="3">
        <v>0.14000000000000001</v>
      </c>
    </row>
    <row r="85" spans="1:42" hidden="1" x14ac:dyDescent="0.3">
      <c r="A85" s="5" t="s">
        <v>225</v>
      </c>
      <c r="B85" s="5" t="s">
        <v>17</v>
      </c>
      <c r="C85" s="22">
        <v>44736</v>
      </c>
      <c r="D85" s="22">
        <v>44757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0.04</v>
      </c>
      <c r="Q85" s="3">
        <v>0.13</v>
      </c>
      <c r="R85" s="3">
        <v>0.13</v>
      </c>
      <c r="S85" s="3">
        <v>0.13</v>
      </c>
      <c r="T85" s="3">
        <v>0.13</v>
      </c>
      <c r="U85" s="3">
        <v>0.13</v>
      </c>
      <c r="V85" s="3">
        <v>0.13</v>
      </c>
      <c r="W85" s="3">
        <v>0.13</v>
      </c>
      <c r="X85" s="3">
        <v>0.13</v>
      </c>
      <c r="Y85" s="3">
        <v>0.13</v>
      </c>
      <c r="Z85" s="3">
        <v>0.13</v>
      </c>
      <c r="AA85" s="3">
        <v>0.13</v>
      </c>
      <c r="AB85" s="3">
        <v>0.13</v>
      </c>
      <c r="AC85" s="3">
        <v>0.13</v>
      </c>
      <c r="AD85" s="3">
        <v>0.13</v>
      </c>
      <c r="AE85" s="3">
        <v>0.13</v>
      </c>
      <c r="AF85" s="3">
        <v>0.13</v>
      </c>
      <c r="AG85" s="3">
        <v>0.13</v>
      </c>
      <c r="AH85" s="3">
        <v>0.13</v>
      </c>
      <c r="AI85" s="3">
        <v>0.13</v>
      </c>
      <c r="AJ85" s="3">
        <v>0.13</v>
      </c>
      <c r="AK85" s="3">
        <v>0.13</v>
      </c>
      <c r="AL85" s="3">
        <v>0.13</v>
      </c>
      <c r="AM85" s="3">
        <v>0.13</v>
      </c>
      <c r="AN85" s="3">
        <v>0.13</v>
      </c>
      <c r="AO85" s="3">
        <v>0.13</v>
      </c>
      <c r="AP85" s="3">
        <v>0.13</v>
      </c>
    </row>
    <row r="86" spans="1:42" hidden="1" x14ac:dyDescent="0.3">
      <c r="A86" s="5" t="s">
        <v>226</v>
      </c>
      <c r="B86" s="5" t="s">
        <v>17</v>
      </c>
      <c r="C86" s="22">
        <v>44715</v>
      </c>
      <c r="D86" s="22">
        <v>44736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0.18</v>
      </c>
      <c r="Q86" s="3">
        <v>0.18</v>
      </c>
      <c r="R86" s="3">
        <v>0.18</v>
      </c>
      <c r="S86" s="3">
        <v>0.18</v>
      </c>
      <c r="T86" s="3">
        <v>0.18</v>
      </c>
      <c r="U86" s="3">
        <v>0.18</v>
      </c>
      <c r="V86" s="3">
        <v>0.18</v>
      </c>
      <c r="W86" s="3">
        <v>0.18</v>
      </c>
      <c r="X86" s="3">
        <v>0.18</v>
      </c>
      <c r="Y86" s="3">
        <v>0.18</v>
      </c>
      <c r="Z86" s="3">
        <v>0.18</v>
      </c>
      <c r="AA86" s="3">
        <v>0.18</v>
      </c>
      <c r="AB86" s="3">
        <v>0.18</v>
      </c>
      <c r="AC86" s="3">
        <v>0.18</v>
      </c>
      <c r="AD86" s="3">
        <v>0.18</v>
      </c>
      <c r="AE86" s="3">
        <v>0.18</v>
      </c>
      <c r="AF86" s="3">
        <v>0.18</v>
      </c>
      <c r="AG86" s="3">
        <v>0.18</v>
      </c>
      <c r="AH86" s="3">
        <v>0.18</v>
      </c>
      <c r="AI86" s="3">
        <v>0.18</v>
      </c>
      <c r="AJ86" s="3">
        <v>0.18</v>
      </c>
      <c r="AK86" s="3">
        <v>0.18</v>
      </c>
      <c r="AL86" s="3">
        <v>0.18</v>
      </c>
      <c r="AM86" s="3">
        <v>0.18</v>
      </c>
      <c r="AN86" s="3">
        <v>0.18</v>
      </c>
      <c r="AO86" s="3">
        <v>0.18</v>
      </c>
      <c r="AP86" s="3">
        <v>0.18</v>
      </c>
    </row>
    <row r="87" spans="1:42" hidden="1" x14ac:dyDescent="0.3">
      <c r="A87" s="5" t="s">
        <v>227</v>
      </c>
      <c r="B87" s="5" t="s">
        <v>17</v>
      </c>
      <c r="C87" s="22">
        <v>44694</v>
      </c>
      <c r="D87" s="22">
        <v>44715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0.15</v>
      </c>
      <c r="P87" s="3">
        <v>0.18</v>
      </c>
      <c r="Q87" s="3">
        <v>0.18</v>
      </c>
      <c r="R87" s="3">
        <v>0.18</v>
      </c>
      <c r="S87" s="3">
        <v>0.18</v>
      </c>
      <c r="T87" s="3">
        <v>0.18</v>
      </c>
      <c r="U87" s="3">
        <v>0.18</v>
      </c>
      <c r="V87" s="3">
        <v>0.18</v>
      </c>
      <c r="W87" s="3">
        <v>0.18</v>
      </c>
      <c r="X87" s="3">
        <v>0.18</v>
      </c>
      <c r="Y87" s="3">
        <v>0.18</v>
      </c>
      <c r="Z87" s="3">
        <v>0.18</v>
      </c>
      <c r="AA87" s="3">
        <v>0.18</v>
      </c>
      <c r="AB87" s="3">
        <v>0.18</v>
      </c>
      <c r="AC87" s="3">
        <v>0.18</v>
      </c>
      <c r="AD87" s="3">
        <v>0.18</v>
      </c>
      <c r="AE87" s="3">
        <v>0.18</v>
      </c>
      <c r="AF87" s="3">
        <v>0.18</v>
      </c>
      <c r="AG87" s="3">
        <v>0.18</v>
      </c>
      <c r="AH87" s="3">
        <v>0.18</v>
      </c>
      <c r="AI87" s="3">
        <v>0.18</v>
      </c>
      <c r="AJ87" s="3">
        <v>0.18</v>
      </c>
      <c r="AK87" s="3">
        <v>0.18</v>
      </c>
      <c r="AL87" s="3">
        <v>0.18</v>
      </c>
      <c r="AM87" s="3">
        <v>0.18</v>
      </c>
      <c r="AN87" s="3">
        <v>0.18</v>
      </c>
      <c r="AO87" s="3">
        <v>0.18</v>
      </c>
      <c r="AP87" s="3">
        <v>0.18</v>
      </c>
    </row>
    <row r="88" spans="1:42" hidden="1" x14ac:dyDescent="0.3">
      <c r="A88" s="4" t="s">
        <v>228</v>
      </c>
      <c r="B88" s="4" t="s">
        <v>35</v>
      </c>
      <c r="C88" s="21">
        <v>44841</v>
      </c>
      <c r="D88" s="21">
        <v>44860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0.2</v>
      </c>
      <c r="U88" s="2">
        <v>0.2</v>
      </c>
      <c r="V88" s="2">
        <v>0.2</v>
      </c>
      <c r="W88" s="2">
        <v>0.2</v>
      </c>
      <c r="X88" s="2">
        <v>0.2</v>
      </c>
      <c r="Y88" s="2">
        <v>0.2</v>
      </c>
      <c r="Z88" s="2">
        <v>0.2</v>
      </c>
      <c r="AA88" s="2">
        <v>0.2</v>
      </c>
      <c r="AB88" s="2">
        <v>0.2</v>
      </c>
      <c r="AC88" s="2">
        <v>0.2</v>
      </c>
      <c r="AD88" s="2">
        <v>0.2</v>
      </c>
      <c r="AE88" s="2">
        <v>0.2</v>
      </c>
      <c r="AF88" s="2">
        <v>0.2</v>
      </c>
      <c r="AG88" s="2">
        <v>0.2</v>
      </c>
      <c r="AH88" s="2">
        <v>0.2</v>
      </c>
      <c r="AI88" s="2">
        <v>0.2</v>
      </c>
      <c r="AJ88" s="2">
        <v>0.2</v>
      </c>
      <c r="AK88" s="2">
        <v>0.2</v>
      </c>
      <c r="AL88" s="2">
        <v>0.2</v>
      </c>
      <c r="AM88" s="2">
        <v>0.2</v>
      </c>
      <c r="AN88" s="2">
        <v>0.2</v>
      </c>
      <c r="AO88" s="2">
        <v>0.2</v>
      </c>
      <c r="AP88" s="2">
        <v>0.2</v>
      </c>
    </row>
    <row r="89" spans="1:42" hidden="1" x14ac:dyDescent="0.3">
      <c r="A89" s="5" t="s">
        <v>229</v>
      </c>
      <c r="B89" s="5" t="s">
        <v>29</v>
      </c>
      <c r="C89" s="22">
        <v>44841</v>
      </c>
      <c r="D89" s="22">
        <v>44844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0.1</v>
      </c>
      <c r="U89" s="3">
        <v>0.1</v>
      </c>
      <c r="V89" s="3">
        <v>0.1</v>
      </c>
      <c r="W89" s="3">
        <v>0.1</v>
      </c>
      <c r="X89" s="3">
        <v>0.1</v>
      </c>
      <c r="Y89" s="3">
        <v>0.1</v>
      </c>
      <c r="Z89" s="3">
        <v>0.1</v>
      </c>
      <c r="AA89" s="3">
        <v>0.1</v>
      </c>
      <c r="AB89" s="3">
        <v>0.1</v>
      </c>
      <c r="AC89" s="3">
        <v>0.1</v>
      </c>
      <c r="AD89" s="3">
        <v>0.1</v>
      </c>
      <c r="AE89" s="3">
        <v>0.1</v>
      </c>
      <c r="AF89" s="3">
        <v>0.1</v>
      </c>
      <c r="AG89" s="3">
        <v>0.1</v>
      </c>
      <c r="AH89" s="3">
        <v>0.1</v>
      </c>
      <c r="AI89" s="3">
        <v>0.1</v>
      </c>
      <c r="AJ89" s="3">
        <v>0.1</v>
      </c>
      <c r="AK89" s="3">
        <v>0.1</v>
      </c>
      <c r="AL89" s="3">
        <v>0.1</v>
      </c>
      <c r="AM89" s="3">
        <v>0.1</v>
      </c>
      <c r="AN89" s="3">
        <v>0.1</v>
      </c>
      <c r="AO89" s="3">
        <v>0.1</v>
      </c>
      <c r="AP89" s="3">
        <v>0.1</v>
      </c>
    </row>
    <row r="90" spans="1:42" hidden="1" x14ac:dyDescent="0.3">
      <c r="A90" s="5" t="s">
        <v>230</v>
      </c>
      <c r="B90" s="5" t="s">
        <v>31</v>
      </c>
      <c r="C90" s="22">
        <v>44858</v>
      </c>
      <c r="D90" s="22">
        <v>44860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0.01</v>
      </c>
      <c r="U90" s="3">
        <v>0.01</v>
      </c>
      <c r="V90" s="3">
        <v>0.01</v>
      </c>
      <c r="W90" s="3">
        <v>0.01</v>
      </c>
      <c r="X90" s="3">
        <v>0.01</v>
      </c>
      <c r="Y90" s="3">
        <v>0.01</v>
      </c>
      <c r="Z90" s="3">
        <v>0.01</v>
      </c>
      <c r="AA90" s="3">
        <v>0.01</v>
      </c>
      <c r="AB90" s="3">
        <v>0.01</v>
      </c>
      <c r="AC90" s="3">
        <v>0.01</v>
      </c>
      <c r="AD90" s="3">
        <v>0.01</v>
      </c>
      <c r="AE90" s="3">
        <v>0.01</v>
      </c>
      <c r="AF90" s="3">
        <v>0.01</v>
      </c>
      <c r="AG90" s="3">
        <v>0.01</v>
      </c>
      <c r="AH90" s="3">
        <v>0.01</v>
      </c>
      <c r="AI90" s="3">
        <v>0.01</v>
      </c>
      <c r="AJ90" s="3">
        <v>0.01</v>
      </c>
      <c r="AK90" s="3">
        <v>0.01</v>
      </c>
      <c r="AL90" s="3">
        <v>0.01</v>
      </c>
      <c r="AM90" s="3">
        <v>0.01</v>
      </c>
      <c r="AN90" s="3">
        <v>0.01</v>
      </c>
      <c r="AO90" s="3">
        <v>0.01</v>
      </c>
      <c r="AP90" s="3">
        <v>0.01</v>
      </c>
    </row>
    <row r="91" spans="1:42" hidden="1" x14ac:dyDescent="0.3">
      <c r="A91" s="5" t="s">
        <v>231</v>
      </c>
      <c r="B91" s="5" t="s">
        <v>31</v>
      </c>
      <c r="C91" s="22">
        <v>44844</v>
      </c>
      <c r="D91" s="22">
        <v>44846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0.01</v>
      </c>
      <c r="U91" s="3">
        <v>0.01</v>
      </c>
      <c r="V91" s="3">
        <v>0.01</v>
      </c>
      <c r="W91" s="3">
        <v>0.01</v>
      </c>
      <c r="X91" s="3">
        <v>0.01</v>
      </c>
      <c r="Y91" s="3">
        <v>0.01</v>
      </c>
      <c r="Z91" s="3">
        <v>0.01</v>
      </c>
      <c r="AA91" s="3">
        <v>0.01</v>
      </c>
      <c r="AB91" s="3">
        <v>0.01</v>
      </c>
      <c r="AC91" s="3">
        <v>0.01</v>
      </c>
      <c r="AD91" s="3">
        <v>0.01</v>
      </c>
      <c r="AE91" s="3">
        <v>0.01</v>
      </c>
      <c r="AF91" s="3">
        <v>0.01</v>
      </c>
      <c r="AG91" s="3">
        <v>0.01</v>
      </c>
      <c r="AH91" s="3">
        <v>0.01</v>
      </c>
      <c r="AI91" s="3">
        <v>0.01</v>
      </c>
      <c r="AJ91" s="3">
        <v>0.01</v>
      </c>
      <c r="AK91" s="3">
        <v>0.01</v>
      </c>
      <c r="AL91" s="3">
        <v>0.01</v>
      </c>
      <c r="AM91" s="3">
        <v>0.01</v>
      </c>
      <c r="AN91" s="3">
        <v>0.01</v>
      </c>
      <c r="AO91" s="3">
        <v>0.01</v>
      </c>
      <c r="AP91" s="3">
        <v>0.01</v>
      </c>
    </row>
    <row r="92" spans="1:42" hidden="1" x14ac:dyDescent="0.3">
      <c r="A92" s="5" t="s">
        <v>232</v>
      </c>
      <c r="B92" s="5" t="s">
        <v>31</v>
      </c>
      <c r="C92" s="22">
        <v>44846</v>
      </c>
      <c r="D92" s="22">
        <v>44848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0.02</v>
      </c>
      <c r="U92" s="3">
        <v>0.02</v>
      </c>
      <c r="V92" s="3">
        <v>0.02</v>
      </c>
      <c r="W92" s="3">
        <v>0.02</v>
      </c>
      <c r="X92" s="3">
        <v>0.02</v>
      </c>
      <c r="Y92" s="3">
        <v>0.02</v>
      </c>
      <c r="Z92" s="3">
        <v>0.02</v>
      </c>
      <c r="AA92" s="3">
        <v>0.02</v>
      </c>
      <c r="AB92" s="3">
        <v>0.02</v>
      </c>
      <c r="AC92" s="3">
        <v>0.02</v>
      </c>
      <c r="AD92" s="3">
        <v>0.02</v>
      </c>
      <c r="AE92" s="3">
        <v>0.02</v>
      </c>
      <c r="AF92" s="3">
        <v>0.02</v>
      </c>
      <c r="AG92" s="3">
        <v>0.02</v>
      </c>
      <c r="AH92" s="3">
        <v>0.02</v>
      </c>
      <c r="AI92" s="3">
        <v>0.02</v>
      </c>
      <c r="AJ92" s="3">
        <v>0.02</v>
      </c>
      <c r="AK92" s="3">
        <v>0.02</v>
      </c>
      <c r="AL92" s="3">
        <v>0.02</v>
      </c>
      <c r="AM92" s="3">
        <v>0.02</v>
      </c>
      <c r="AN92" s="3">
        <v>0.02</v>
      </c>
      <c r="AO92" s="3">
        <v>0.02</v>
      </c>
      <c r="AP92" s="3">
        <v>0.02</v>
      </c>
    </row>
    <row r="93" spans="1:42" hidden="1" x14ac:dyDescent="0.3">
      <c r="A93" s="5" t="s">
        <v>233</v>
      </c>
      <c r="B93" s="5" t="s">
        <v>31</v>
      </c>
      <c r="C93" s="22">
        <v>44848</v>
      </c>
      <c r="D93" s="22">
        <v>44852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0.02</v>
      </c>
      <c r="U93" s="3">
        <v>0.02</v>
      </c>
      <c r="V93" s="3">
        <v>0.02</v>
      </c>
      <c r="W93" s="3">
        <v>0.02</v>
      </c>
      <c r="X93" s="3">
        <v>0.02</v>
      </c>
      <c r="Y93" s="3">
        <v>0.02</v>
      </c>
      <c r="Z93" s="3">
        <v>0.02</v>
      </c>
      <c r="AA93" s="3">
        <v>0.02</v>
      </c>
      <c r="AB93" s="3">
        <v>0.02</v>
      </c>
      <c r="AC93" s="3">
        <v>0.02</v>
      </c>
      <c r="AD93" s="3">
        <v>0.02</v>
      </c>
      <c r="AE93" s="3">
        <v>0.02</v>
      </c>
      <c r="AF93" s="3">
        <v>0.02</v>
      </c>
      <c r="AG93" s="3">
        <v>0.02</v>
      </c>
      <c r="AH93" s="3">
        <v>0.02</v>
      </c>
      <c r="AI93" s="3">
        <v>0.02</v>
      </c>
      <c r="AJ93" s="3">
        <v>0.02</v>
      </c>
      <c r="AK93" s="3">
        <v>0.02</v>
      </c>
      <c r="AL93" s="3">
        <v>0.02</v>
      </c>
      <c r="AM93" s="3">
        <v>0.02</v>
      </c>
      <c r="AN93" s="3">
        <v>0.02</v>
      </c>
      <c r="AO93" s="3">
        <v>0.02</v>
      </c>
      <c r="AP93" s="3">
        <v>0.02</v>
      </c>
    </row>
    <row r="94" spans="1:42" hidden="1" x14ac:dyDescent="0.3">
      <c r="A94" s="5" t="s">
        <v>234</v>
      </c>
      <c r="B94" s="5" t="s">
        <v>31</v>
      </c>
      <c r="C94" s="22">
        <v>44852</v>
      </c>
      <c r="D94" s="22">
        <v>44854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0.02</v>
      </c>
      <c r="U94" s="3">
        <v>0.02</v>
      </c>
      <c r="V94" s="3">
        <v>0.02</v>
      </c>
      <c r="W94" s="3">
        <v>0.02</v>
      </c>
      <c r="X94" s="3">
        <v>0.02</v>
      </c>
      <c r="Y94" s="3">
        <v>0.02</v>
      </c>
      <c r="Z94" s="3">
        <v>0.02</v>
      </c>
      <c r="AA94" s="3">
        <v>0.02</v>
      </c>
      <c r="AB94" s="3">
        <v>0.02</v>
      </c>
      <c r="AC94" s="3">
        <v>0.02</v>
      </c>
      <c r="AD94" s="3">
        <v>0.02</v>
      </c>
      <c r="AE94" s="3">
        <v>0.02</v>
      </c>
      <c r="AF94" s="3">
        <v>0.02</v>
      </c>
      <c r="AG94" s="3">
        <v>0.02</v>
      </c>
      <c r="AH94" s="3">
        <v>0.02</v>
      </c>
      <c r="AI94" s="3">
        <v>0.02</v>
      </c>
      <c r="AJ94" s="3">
        <v>0.02</v>
      </c>
      <c r="AK94" s="3">
        <v>0.02</v>
      </c>
      <c r="AL94" s="3">
        <v>0.02</v>
      </c>
      <c r="AM94" s="3">
        <v>0.02</v>
      </c>
      <c r="AN94" s="3">
        <v>0.02</v>
      </c>
      <c r="AO94" s="3">
        <v>0.02</v>
      </c>
      <c r="AP94" s="3">
        <v>0.02</v>
      </c>
    </row>
    <row r="95" spans="1:42" hidden="1" x14ac:dyDescent="0.3">
      <c r="A95" s="5" t="s">
        <v>235</v>
      </c>
      <c r="B95" s="5" t="s">
        <v>31</v>
      </c>
      <c r="C95" s="22">
        <v>44854</v>
      </c>
      <c r="D95" s="22">
        <v>44858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0.02</v>
      </c>
      <c r="U95" s="3">
        <v>0.02</v>
      </c>
      <c r="V95" s="3">
        <v>0.02</v>
      </c>
      <c r="W95" s="3">
        <v>0.02</v>
      </c>
      <c r="X95" s="3">
        <v>0.02</v>
      </c>
      <c r="Y95" s="3">
        <v>0.02</v>
      </c>
      <c r="Z95" s="3">
        <v>0.02</v>
      </c>
      <c r="AA95" s="3">
        <v>0.02</v>
      </c>
      <c r="AB95" s="3">
        <v>0.02</v>
      </c>
      <c r="AC95" s="3">
        <v>0.02</v>
      </c>
      <c r="AD95" s="3">
        <v>0.02</v>
      </c>
      <c r="AE95" s="3">
        <v>0.02</v>
      </c>
      <c r="AF95" s="3">
        <v>0.02</v>
      </c>
      <c r="AG95" s="3">
        <v>0.02</v>
      </c>
      <c r="AH95" s="3">
        <v>0.02</v>
      </c>
      <c r="AI95" s="3">
        <v>0.02</v>
      </c>
      <c r="AJ95" s="3">
        <v>0.02</v>
      </c>
      <c r="AK95" s="3">
        <v>0.02</v>
      </c>
      <c r="AL95" s="3">
        <v>0.02</v>
      </c>
      <c r="AM95" s="3">
        <v>0.02</v>
      </c>
      <c r="AN95" s="3">
        <v>0.02</v>
      </c>
      <c r="AO95" s="3">
        <v>0.02</v>
      </c>
      <c r="AP95" s="3">
        <v>0.02</v>
      </c>
    </row>
    <row r="96" spans="1:42" hidden="1" x14ac:dyDescent="0.3">
      <c r="A96" s="5" t="s">
        <v>236</v>
      </c>
      <c r="B96" s="5" t="s">
        <v>14</v>
      </c>
      <c r="C96" s="22">
        <v>44860</v>
      </c>
      <c r="D96" s="22">
        <v>44874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0.01</v>
      </c>
      <c r="U96" s="3">
        <v>0.02</v>
      </c>
      <c r="V96" s="3">
        <v>0.02</v>
      </c>
      <c r="W96" s="3">
        <v>0.02</v>
      </c>
      <c r="X96" s="3">
        <v>0.02</v>
      </c>
      <c r="Y96" s="3">
        <v>0.02</v>
      </c>
      <c r="Z96" s="3">
        <v>0.02</v>
      </c>
      <c r="AA96" s="3">
        <v>0.02</v>
      </c>
      <c r="AB96" s="3">
        <v>0.02</v>
      </c>
      <c r="AC96" s="3">
        <v>0.02</v>
      </c>
      <c r="AD96" s="3">
        <v>0.02</v>
      </c>
      <c r="AE96" s="3">
        <v>0.02</v>
      </c>
      <c r="AF96" s="3">
        <v>0.02</v>
      </c>
      <c r="AG96" s="3">
        <v>0.02</v>
      </c>
      <c r="AH96" s="3">
        <v>0.02</v>
      </c>
      <c r="AI96" s="3">
        <v>0.02</v>
      </c>
      <c r="AJ96" s="3">
        <v>0.02</v>
      </c>
      <c r="AK96" s="3">
        <v>0.02</v>
      </c>
      <c r="AL96" s="3">
        <v>0.02</v>
      </c>
      <c r="AM96" s="3">
        <v>0.02</v>
      </c>
      <c r="AN96" s="3">
        <v>0.02</v>
      </c>
      <c r="AO96" s="3">
        <v>0.02</v>
      </c>
      <c r="AP96" s="3">
        <v>0.02</v>
      </c>
    </row>
    <row r="97" spans="1:42" hidden="1" x14ac:dyDescent="0.3">
      <c r="A97" s="15" t="s">
        <v>237</v>
      </c>
      <c r="B97" s="15" t="s">
        <v>36</v>
      </c>
      <c r="C97" s="20">
        <v>44908</v>
      </c>
      <c r="D97" s="20">
        <v>44959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7.0000000000000007E-2</v>
      </c>
      <c r="W97" s="8">
        <v>0.17</v>
      </c>
      <c r="X97" s="8">
        <v>0.5</v>
      </c>
      <c r="Y97" s="8">
        <v>0.5</v>
      </c>
      <c r="Z97" s="8">
        <v>0.5</v>
      </c>
      <c r="AA97" s="8">
        <v>0.5</v>
      </c>
      <c r="AB97" s="8">
        <v>0.5</v>
      </c>
      <c r="AC97" s="8">
        <v>0.5</v>
      </c>
      <c r="AD97" s="8">
        <v>0.5</v>
      </c>
      <c r="AE97" s="8">
        <v>0.5</v>
      </c>
      <c r="AF97" s="8">
        <v>0.5</v>
      </c>
      <c r="AG97" s="8">
        <v>0.5</v>
      </c>
      <c r="AH97" s="8">
        <v>0.5</v>
      </c>
      <c r="AI97" s="8">
        <v>0.5</v>
      </c>
      <c r="AJ97" s="8">
        <v>0.5</v>
      </c>
      <c r="AK97" s="8">
        <v>0.5</v>
      </c>
      <c r="AL97" s="8">
        <v>0.5</v>
      </c>
      <c r="AM97" s="8">
        <v>0.5</v>
      </c>
      <c r="AN97" s="8">
        <v>0.5</v>
      </c>
      <c r="AO97" s="8">
        <v>0.5</v>
      </c>
      <c r="AP97" s="8">
        <v>0.5</v>
      </c>
    </row>
    <row r="98" spans="1:42" hidden="1" x14ac:dyDescent="0.3">
      <c r="A98" s="5" t="s">
        <v>238</v>
      </c>
      <c r="B98" s="5" t="s">
        <v>31</v>
      </c>
      <c r="C98" s="22">
        <v>44958</v>
      </c>
      <c r="D98" s="22">
        <v>44959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0.33</v>
      </c>
      <c r="Y98" s="3">
        <v>0.33</v>
      </c>
      <c r="Z98" s="3">
        <v>0.33</v>
      </c>
      <c r="AA98" s="3">
        <v>0.33</v>
      </c>
      <c r="AB98" s="3">
        <v>0.33</v>
      </c>
      <c r="AC98" s="3">
        <v>0.33</v>
      </c>
      <c r="AD98" s="3">
        <v>0.33</v>
      </c>
      <c r="AE98" s="3">
        <v>0.33</v>
      </c>
      <c r="AF98" s="3">
        <v>0.33</v>
      </c>
      <c r="AG98" s="3">
        <v>0.33</v>
      </c>
      <c r="AH98" s="3">
        <v>0.33</v>
      </c>
      <c r="AI98" s="3">
        <v>0.33</v>
      </c>
      <c r="AJ98" s="3">
        <v>0.33</v>
      </c>
      <c r="AK98" s="3">
        <v>0.33</v>
      </c>
      <c r="AL98" s="3">
        <v>0.33</v>
      </c>
      <c r="AM98" s="3">
        <v>0.33</v>
      </c>
      <c r="AN98" s="3">
        <v>0.33</v>
      </c>
      <c r="AO98" s="3">
        <v>0.33</v>
      </c>
      <c r="AP98" s="3">
        <v>0.33</v>
      </c>
    </row>
    <row r="99" spans="1:42" hidden="1" x14ac:dyDescent="0.3">
      <c r="A99" s="5" t="s">
        <v>239</v>
      </c>
      <c r="B99" s="5" t="s">
        <v>31</v>
      </c>
      <c r="C99" s="22">
        <v>44952</v>
      </c>
      <c r="D99" s="22">
        <v>44953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0.02</v>
      </c>
      <c r="X99" s="3">
        <v>0.02</v>
      </c>
      <c r="Y99" s="3">
        <v>0.02</v>
      </c>
      <c r="Z99" s="3">
        <v>0.02</v>
      </c>
      <c r="AA99" s="3">
        <v>0.02</v>
      </c>
      <c r="AB99" s="3">
        <v>0.02</v>
      </c>
      <c r="AC99" s="3">
        <v>0.02</v>
      </c>
      <c r="AD99" s="3">
        <v>0.02</v>
      </c>
      <c r="AE99" s="3">
        <v>0.02</v>
      </c>
      <c r="AF99" s="3">
        <v>0.02</v>
      </c>
      <c r="AG99" s="3">
        <v>0.02</v>
      </c>
      <c r="AH99" s="3">
        <v>0.02</v>
      </c>
      <c r="AI99" s="3">
        <v>0.02</v>
      </c>
      <c r="AJ99" s="3">
        <v>0.02</v>
      </c>
      <c r="AK99" s="3">
        <v>0.02</v>
      </c>
      <c r="AL99" s="3">
        <v>0.02</v>
      </c>
      <c r="AM99" s="3">
        <v>0.02</v>
      </c>
      <c r="AN99" s="3">
        <v>0.02</v>
      </c>
      <c r="AO99" s="3">
        <v>0.02</v>
      </c>
      <c r="AP99" s="3">
        <v>0.02</v>
      </c>
    </row>
    <row r="100" spans="1:42" hidden="1" x14ac:dyDescent="0.3">
      <c r="A100" s="5" t="s">
        <v>240</v>
      </c>
      <c r="B100" s="5" t="s">
        <v>31</v>
      </c>
      <c r="C100" s="22">
        <v>44946</v>
      </c>
      <c r="D100" s="22">
        <v>44949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0.02</v>
      </c>
      <c r="X100" s="3">
        <v>0.02</v>
      </c>
      <c r="Y100" s="3">
        <v>0.02</v>
      </c>
      <c r="Z100" s="3">
        <v>0.02</v>
      </c>
      <c r="AA100" s="3">
        <v>0.02</v>
      </c>
      <c r="AB100" s="3">
        <v>0.02</v>
      </c>
      <c r="AC100" s="3">
        <v>0.02</v>
      </c>
      <c r="AD100" s="3">
        <v>0.02</v>
      </c>
      <c r="AE100" s="3">
        <v>0.02</v>
      </c>
      <c r="AF100" s="3">
        <v>0.02</v>
      </c>
      <c r="AG100" s="3">
        <v>0.02</v>
      </c>
      <c r="AH100" s="3">
        <v>0.02</v>
      </c>
      <c r="AI100" s="3">
        <v>0.02</v>
      </c>
      <c r="AJ100" s="3">
        <v>0.02</v>
      </c>
      <c r="AK100" s="3">
        <v>0.02</v>
      </c>
      <c r="AL100" s="3">
        <v>0.02</v>
      </c>
      <c r="AM100" s="3">
        <v>0.02</v>
      </c>
      <c r="AN100" s="3">
        <v>0.02</v>
      </c>
      <c r="AO100" s="3">
        <v>0.02</v>
      </c>
      <c r="AP100" s="3">
        <v>0.02</v>
      </c>
    </row>
    <row r="101" spans="1:42" hidden="1" x14ac:dyDescent="0.3">
      <c r="A101" s="5" t="s">
        <v>241</v>
      </c>
      <c r="B101" s="5" t="s">
        <v>31</v>
      </c>
      <c r="C101" s="22">
        <v>44942</v>
      </c>
      <c r="D101" s="22">
        <v>44943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0.02</v>
      </c>
      <c r="X101" s="3">
        <v>0.02</v>
      </c>
      <c r="Y101" s="3">
        <v>0.02</v>
      </c>
      <c r="Z101" s="3">
        <v>0.02</v>
      </c>
      <c r="AA101" s="3">
        <v>0.02</v>
      </c>
      <c r="AB101" s="3">
        <v>0.02</v>
      </c>
      <c r="AC101" s="3">
        <v>0.02</v>
      </c>
      <c r="AD101" s="3">
        <v>0.02</v>
      </c>
      <c r="AE101" s="3">
        <v>0.02</v>
      </c>
      <c r="AF101" s="3">
        <v>0.02</v>
      </c>
      <c r="AG101" s="3">
        <v>0.02</v>
      </c>
      <c r="AH101" s="3">
        <v>0.02</v>
      </c>
      <c r="AI101" s="3">
        <v>0.02</v>
      </c>
      <c r="AJ101" s="3">
        <v>0.02</v>
      </c>
      <c r="AK101" s="3">
        <v>0.02</v>
      </c>
      <c r="AL101" s="3">
        <v>0.02</v>
      </c>
      <c r="AM101" s="3">
        <v>0.02</v>
      </c>
      <c r="AN101" s="3">
        <v>0.02</v>
      </c>
      <c r="AO101" s="3">
        <v>0.02</v>
      </c>
      <c r="AP101" s="3">
        <v>0.02</v>
      </c>
    </row>
    <row r="102" spans="1:42" hidden="1" x14ac:dyDescent="0.3">
      <c r="A102" s="5" t="s">
        <v>242</v>
      </c>
      <c r="B102" s="5" t="s">
        <v>31</v>
      </c>
      <c r="C102" s="22">
        <v>44936</v>
      </c>
      <c r="D102" s="22">
        <v>44937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0.02</v>
      </c>
      <c r="X102" s="3">
        <v>0.02</v>
      </c>
      <c r="Y102" s="3">
        <v>0.02</v>
      </c>
      <c r="Z102" s="3">
        <v>0.02</v>
      </c>
      <c r="AA102" s="3">
        <v>0.02</v>
      </c>
      <c r="AB102" s="3">
        <v>0.02</v>
      </c>
      <c r="AC102" s="3">
        <v>0.02</v>
      </c>
      <c r="AD102" s="3">
        <v>0.02</v>
      </c>
      <c r="AE102" s="3">
        <v>0.02</v>
      </c>
      <c r="AF102" s="3">
        <v>0.02</v>
      </c>
      <c r="AG102" s="3">
        <v>0.02</v>
      </c>
      <c r="AH102" s="3">
        <v>0.02</v>
      </c>
      <c r="AI102" s="3">
        <v>0.02</v>
      </c>
      <c r="AJ102" s="3">
        <v>0.02</v>
      </c>
      <c r="AK102" s="3">
        <v>0.02</v>
      </c>
      <c r="AL102" s="3">
        <v>0.02</v>
      </c>
      <c r="AM102" s="3">
        <v>0.02</v>
      </c>
      <c r="AN102" s="3">
        <v>0.02</v>
      </c>
      <c r="AO102" s="3">
        <v>0.02</v>
      </c>
      <c r="AP102" s="3">
        <v>0.02</v>
      </c>
    </row>
    <row r="103" spans="1:42" hidden="1" x14ac:dyDescent="0.3">
      <c r="A103" s="5" t="s">
        <v>243</v>
      </c>
      <c r="B103" s="5" t="s">
        <v>31</v>
      </c>
      <c r="C103" s="22">
        <v>44930</v>
      </c>
      <c r="D103" s="22">
        <v>44931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0.02</v>
      </c>
      <c r="X103" s="3">
        <v>0.02</v>
      </c>
      <c r="Y103" s="3">
        <v>0.02</v>
      </c>
      <c r="Z103" s="3">
        <v>0.02</v>
      </c>
      <c r="AA103" s="3">
        <v>0.02</v>
      </c>
      <c r="AB103" s="3">
        <v>0.02</v>
      </c>
      <c r="AC103" s="3">
        <v>0.02</v>
      </c>
      <c r="AD103" s="3">
        <v>0.02</v>
      </c>
      <c r="AE103" s="3">
        <v>0.02</v>
      </c>
      <c r="AF103" s="3">
        <v>0.02</v>
      </c>
      <c r="AG103" s="3">
        <v>0.02</v>
      </c>
      <c r="AH103" s="3">
        <v>0.02</v>
      </c>
      <c r="AI103" s="3">
        <v>0.02</v>
      </c>
      <c r="AJ103" s="3">
        <v>0.02</v>
      </c>
      <c r="AK103" s="3">
        <v>0.02</v>
      </c>
      <c r="AL103" s="3">
        <v>0.02</v>
      </c>
      <c r="AM103" s="3">
        <v>0.02</v>
      </c>
      <c r="AN103" s="3">
        <v>0.02</v>
      </c>
      <c r="AO103" s="3">
        <v>0.02</v>
      </c>
      <c r="AP103" s="3">
        <v>0.02</v>
      </c>
    </row>
    <row r="104" spans="1:42" hidden="1" x14ac:dyDescent="0.3">
      <c r="A104" s="5" t="s">
        <v>244</v>
      </c>
      <c r="B104" s="5" t="s">
        <v>31</v>
      </c>
      <c r="C104" s="22">
        <v>44924</v>
      </c>
      <c r="D104" s="22">
        <v>44925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0.02</v>
      </c>
      <c r="W104" s="3">
        <v>0.02</v>
      </c>
      <c r="X104" s="3">
        <v>0.02</v>
      </c>
      <c r="Y104" s="3">
        <v>0.02</v>
      </c>
      <c r="Z104" s="3">
        <v>0.02</v>
      </c>
      <c r="AA104" s="3">
        <v>0.02</v>
      </c>
      <c r="AB104" s="3">
        <v>0.02</v>
      </c>
      <c r="AC104" s="3">
        <v>0.02</v>
      </c>
      <c r="AD104" s="3">
        <v>0.02</v>
      </c>
      <c r="AE104" s="3">
        <v>0.02</v>
      </c>
      <c r="AF104" s="3">
        <v>0.02</v>
      </c>
      <c r="AG104" s="3">
        <v>0.02</v>
      </c>
      <c r="AH104" s="3">
        <v>0.02</v>
      </c>
      <c r="AI104" s="3">
        <v>0.02</v>
      </c>
      <c r="AJ104" s="3">
        <v>0.02</v>
      </c>
      <c r="AK104" s="3">
        <v>0.02</v>
      </c>
      <c r="AL104" s="3">
        <v>0.02</v>
      </c>
      <c r="AM104" s="3">
        <v>0.02</v>
      </c>
      <c r="AN104" s="3">
        <v>0.02</v>
      </c>
      <c r="AO104" s="3">
        <v>0.02</v>
      </c>
      <c r="AP104" s="3">
        <v>0.02</v>
      </c>
    </row>
    <row r="105" spans="1:42" hidden="1" x14ac:dyDescent="0.3">
      <c r="A105" s="5" t="s">
        <v>245</v>
      </c>
      <c r="B105" s="5" t="s">
        <v>31</v>
      </c>
      <c r="C105" s="22">
        <v>44918</v>
      </c>
      <c r="D105" s="22">
        <v>44921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0.02</v>
      </c>
      <c r="W105" s="3">
        <v>0.02</v>
      </c>
      <c r="X105" s="3">
        <v>0.02</v>
      </c>
      <c r="Y105" s="3">
        <v>0.02</v>
      </c>
      <c r="Z105" s="3">
        <v>0.02</v>
      </c>
      <c r="AA105" s="3">
        <v>0.02</v>
      </c>
      <c r="AB105" s="3">
        <v>0.02</v>
      </c>
      <c r="AC105" s="3">
        <v>0.02</v>
      </c>
      <c r="AD105" s="3">
        <v>0.02</v>
      </c>
      <c r="AE105" s="3">
        <v>0.02</v>
      </c>
      <c r="AF105" s="3">
        <v>0.02</v>
      </c>
      <c r="AG105" s="3">
        <v>0.02</v>
      </c>
      <c r="AH105" s="3">
        <v>0.02</v>
      </c>
      <c r="AI105" s="3">
        <v>0.02</v>
      </c>
      <c r="AJ105" s="3">
        <v>0.02</v>
      </c>
      <c r="AK105" s="3">
        <v>0.02</v>
      </c>
      <c r="AL105" s="3">
        <v>0.02</v>
      </c>
      <c r="AM105" s="3">
        <v>0.02</v>
      </c>
      <c r="AN105" s="3">
        <v>0.02</v>
      </c>
      <c r="AO105" s="3">
        <v>0.02</v>
      </c>
      <c r="AP105" s="3">
        <v>0.02</v>
      </c>
    </row>
    <row r="106" spans="1:42" hidden="1" x14ac:dyDescent="0.3">
      <c r="A106" s="5" t="s">
        <v>246</v>
      </c>
      <c r="B106" s="5" t="s">
        <v>31</v>
      </c>
      <c r="C106" s="22">
        <v>44914</v>
      </c>
      <c r="D106" s="22">
        <v>44915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0.02</v>
      </c>
      <c r="W106" s="3">
        <v>0.02</v>
      </c>
      <c r="X106" s="3">
        <v>0.02</v>
      </c>
      <c r="Y106" s="3">
        <v>0.02</v>
      </c>
      <c r="Z106" s="3">
        <v>0.02</v>
      </c>
      <c r="AA106" s="3">
        <v>0.02</v>
      </c>
      <c r="AB106" s="3">
        <v>0.02</v>
      </c>
      <c r="AC106" s="3">
        <v>0.02</v>
      </c>
      <c r="AD106" s="3">
        <v>0.02</v>
      </c>
      <c r="AE106" s="3">
        <v>0.02</v>
      </c>
      <c r="AF106" s="3">
        <v>0.02</v>
      </c>
      <c r="AG106" s="3">
        <v>0.02</v>
      </c>
      <c r="AH106" s="3">
        <v>0.02</v>
      </c>
      <c r="AI106" s="3">
        <v>0.02</v>
      </c>
      <c r="AJ106" s="3">
        <v>0.02</v>
      </c>
      <c r="AK106" s="3">
        <v>0.02</v>
      </c>
      <c r="AL106" s="3">
        <v>0.02</v>
      </c>
      <c r="AM106" s="3">
        <v>0.02</v>
      </c>
      <c r="AN106" s="3">
        <v>0.02</v>
      </c>
      <c r="AO106" s="3">
        <v>0.02</v>
      </c>
      <c r="AP106" s="3">
        <v>0.02</v>
      </c>
    </row>
    <row r="107" spans="1:42" hidden="1" x14ac:dyDescent="0.3">
      <c r="A107" s="5" t="s">
        <v>247</v>
      </c>
      <c r="B107" s="5" t="s">
        <v>31</v>
      </c>
      <c r="C107" s="22">
        <v>44908</v>
      </c>
      <c r="D107" s="22">
        <v>44909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0.02</v>
      </c>
      <c r="W107" s="3">
        <v>0.02</v>
      </c>
      <c r="X107" s="3">
        <v>0.02</v>
      </c>
      <c r="Y107" s="3">
        <v>0.02</v>
      </c>
      <c r="Z107" s="3">
        <v>0.02</v>
      </c>
      <c r="AA107" s="3">
        <v>0.02</v>
      </c>
      <c r="AB107" s="3">
        <v>0.02</v>
      </c>
      <c r="AC107" s="3">
        <v>0.02</v>
      </c>
      <c r="AD107" s="3">
        <v>0.02</v>
      </c>
      <c r="AE107" s="3">
        <v>0.02</v>
      </c>
      <c r="AF107" s="3">
        <v>0.02</v>
      </c>
      <c r="AG107" s="3">
        <v>0.02</v>
      </c>
      <c r="AH107" s="3">
        <v>0.02</v>
      </c>
      <c r="AI107" s="3">
        <v>0.02</v>
      </c>
      <c r="AJ107" s="3">
        <v>0.02</v>
      </c>
      <c r="AK107" s="3">
        <v>0.02</v>
      </c>
      <c r="AL107" s="3">
        <v>0.02</v>
      </c>
      <c r="AM107" s="3">
        <v>0.02</v>
      </c>
      <c r="AN107" s="3">
        <v>0.02</v>
      </c>
      <c r="AO107" s="3">
        <v>0.02</v>
      </c>
      <c r="AP107" s="3">
        <v>0.02</v>
      </c>
    </row>
    <row r="108" spans="1:42" hidden="1" x14ac:dyDescent="0.3">
      <c r="A108" s="15" t="s">
        <v>248</v>
      </c>
      <c r="B108" s="15" t="s">
        <v>37</v>
      </c>
      <c r="C108" s="20">
        <v>44910</v>
      </c>
      <c r="D108" s="20">
        <v>44963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0.06</v>
      </c>
      <c r="W108" s="8">
        <v>0.17</v>
      </c>
      <c r="X108" s="8">
        <v>0.51</v>
      </c>
      <c r="Y108" s="8">
        <v>0.51</v>
      </c>
      <c r="Z108" s="8">
        <v>0.51</v>
      </c>
      <c r="AA108" s="8">
        <v>0.51</v>
      </c>
      <c r="AB108" s="8">
        <v>0.51</v>
      </c>
      <c r="AC108" s="8">
        <v>0.51</v>
      </c>
      <c r="AD108" s="8">
        <v>0.51</v>
      </c>
      <c r="AE108" s="8">
        <v>0.51</v>
      </c>
      <c r="AF108" s="8">
        <v>0.51</v>
      </c>
      <c r="AG108" s="8">
        <v>0.51</v>
      </c>
      <c r="AH108" s="8">
        <v>0.51</v>
      </c>
      <c r="AI108" s="8">
        <v>0.51</v>
      </c>
      <c r="AJ108" s="8">
        <v>0.51</v>
      </c>
      <c r="AK108" s="8">
        <v>0.51</v>
      </c>
      <c r="AL108" s="8">
        <v>0.51</v>
      </c>
      <c r="AM108" s="8">
        <v>0.51</v>
      </c>
      <c r="AN108" s="8">
        <v>0.51</v>
      </c>
      <c r="AO108" s="8">
        <v>0.51</v>
      </c>
      <c r="AP108" s="8">
        <v>0.51</v>
      </c>
    </row>
    <row r="109" spans="1:42" hidden="1" x14ac:dyDescent="0.3">
      <c r="A109" s="5" t="s">
        <v>249</v>
      </c>
      <c r="B109" s="5" t="s">
        <v>31</v>
      </c>
      <c r="C109" s="22">
        <v>44960</v>
      </c>
      <c r="D109" s="22">
        <v>44963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0.34</v>
      </c>
      <c r="Y109" s="3">
        <v>0.34</v>
      </c>
      <c r="Z109" s="3">
        <v>0.34</v>
      </c>
      <c r="AA109" s="3">
        <v>0.34</v>
      </c>
      <c r="AB109" s="3">
        <v>0.34</v>
      </c>
      <c r="AC109" s="3">
        <v>0.34</v>
      </c>
      <c r="AD109" s="3">
        <v>0.34</v>
      </c>
      <c r="AE109" s="3">
        <v>0.34</v>
      </c>
      <c r="AF109" s="3">
        <v>0.34</v>
      </c>
      <c r="AG109" s="3">
        <v>0.34</v>
      </c>
      <c r="AH109" s="3">
        <v>0.34</v>
      </c>
      <c r="AI109" s="3">
        <v>0.34</v>
      </c>
      <c r="AJ109" s="3">
        <v>0.34</v>
      </c>
      <c r="AK109" s="3">
        <v>0.34</v>
      </c>
      <c r="AL109" s="3">
        <v>0.34</v>
      </c>
      <c r="AM109" s="3">
        <v>0.34</v>
      </c>
      <c r="AN109" s="3">
        <v>0.34</v>
      </c>
      <c r="AO109" s="3">
        <v>0.34</v>
      </c>
      <c r="AP109" s="3">
        <v>0.34</v>
      </c>
    </row>
    <row r="110" spans="1:42" hidden="1" x14ac:dyDescent="0.3">
      <c r="A110" s="5" t="s">
        <v>250</v>
      </c>
      <c r="B110" s="5" t="s">
        <v>31</v>
      </c>
      <c r="C110" s="22">
        <v>44956</v>
      </c>
      <c r="D110" s="22">
        <v>44957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0.02</v>
      </c>
      <c r="X110" s="3">
        <v>0.02</v>
      </c>
      <c r="Y110" s="3">
        <v>0.02</v>
      </c>
      <c r="Z110" s="3">
        <v>0.02</v>
      </c>
      <c r="AA110" s="3">
        <v>0.02</v>
      </c>
      <c r="AB110" s="3">
        <v>0.02</v>
      </c>
      <c r="AC110" s="3">
        <v>0.02</v>
      </c>
      <c r="AD110" s="3">
        <v>0.02</v>
      </c>
      <c r="AE110" s="3">
        <v>0.02</v>
      </c>
      <c r="AF110" s="3">
        <v>0.02</v>
      </c>
      <c r="AG110" s="3">
        <v>0.02</v>
      </c>
      <c r="AH110" s="3">
        <v>0.02</v>
      </c>
      <c r="AI110" s="3">
        <v>0.02</v>
      </c>
      <c r="AJ110" s="3">
        <v>0.02</v>
      </c>
      <c r="AK110" s="3">
        <v>0.02</v>
      </c>
      <c r="AL110" s="3">
        <v>0.02</v>
      </c>
      <c r="AM110" s="3">
        <v>0.02</v>
      </c>
      <c r="AN110" s="3">
        <v>0.02</v>
      </c>
      <c r="AO110" s="3">
        <v>0.02</v>
      </c>
      <c r="AP110" s="3">
        <v>0.02</v>
      </c>
    </row>
    <row r="111" spans="1:42" hidden="1" x14ac:dyDescent="0.3">
      <c r="A111" s="5" t="s">
        <v>251</v>
      </c>
      <c r="B111" s="5" t="s">
        <v>31</v>
      </c>
      <c r="C111" s="22">
        <v>44950</v>
      </c>
      <c r="D111" s="22">
        <v>44951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0.02</v>
      </c>
      <c r="X111" s="3">
        <v>0.02</v>
      </c>
      <c r="Y111" s="3">
        <v>0.02</v>
      </c>
      <c r="Z111" s="3">
        <v>0.02</v>
      </c>
      <c r="AA111" s="3">
        <v>0.02</v>
      </c>
      <c r="AB111" s="3">
        <v>0.02</v>
      </c>
      <c r="AC111" s="3">
        <v>0.02</v>
      </c>
      <c r="AD111" s="3">
        <v>0.02</v>
      </c>
      <c r="AE111" s="3">
        <v>0.02</v>
      </c>
      <c r="AF111" s="3">
        <v>0.02</v>
      </c>
      <c r="AG111" s="3">
        <v>0.02</v>
      </c>
      <c r="AH111" s="3">
        <v>0.02</v>
      </c>
      <c r="AI111" s="3">
        <v>0.02</v>
      </c>
      <c r="AJ111" s="3">
        <v>0.02</v>
      </c>
      <c r="AK111" s="3">
        <v>0.02</v>
      </c>
      <c r="AL111" s="3">
        <v>0.02</v>
      </c>
      <c r="AM111" s="3">
        <v>0.02</v>
      </c>
      <c r="AN111" s="3">
        <v>0.02</v>
      </c>
      <c r="AO111" s="3">
        <v>0.02</v>
      </c>
      <c r="AP111" s="3">
        <v>0.02</v>
      </c>
    </row>
    <row r="112" spans="1:42" hidden="1" x14ac:dyDescent="0.3">
      <c r="A112" s="5" t="s">
        <v>252</v>
      </c>
      <c r="B112" s="5" t="s">
        <v>31</v>
      </c>
      <c r="C112" s="22">
        <v>44944</v>
      </c>
      <c r="D112" s="22">
        <v>44945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0.02</v>
      </c>
      <c r="X112" s="3">
        <v>0.02</v>
      </c>
      <c r="Y112" s="3">
        <v>0.02</v>
      </c>
      <c r="Z112" s="3">
        <v>0.02</v>
      </c>
      <c r="AA112" s="3">
        <v>0.02</v>
      </c>
      <c r="AB112" s="3">
        <v>0.02</v>
      </c>
      <c r="AC112" s="3">
        <v>0.02</v>
      </c>
      <c r="AD112" s="3">
        <v>0.02</v>
      </c>
      <c r="AE112" s="3">
        <v>0.02</v>
      </c>
      <c r="AF112" s="3">
        <v>0.02</v>
      </c>
      <c r="AG112" s="3">
        <v>0.02</v>
      </c>
      <c r="AH112" s="3">
        <v>0.02</v>
      </c>
      <c r="AI112" s="3">
        <v>0.02</v>
      </c>
      <c r="AJ112" s="3">
        <v>0.02</v>
      </c>
      <c r="AK112" s="3">
        <v>0.02</v>
      </c>
      <c r="AL112" s="3">
        <v>0.02</v>
      </c>
      <c r="AM112" s="3">
        <v>0.02</v>
      </c>
      <c r="AN112" s="3">
        <v>0.02</v>
      </c>
      <c r="AO112" s="3">
        <v>0.02</v>
      </c>
      <c r="AP112" s="3">
        <v>0.02</v>
      </c>
    </row>
    <row r="113" spans="1:42" hidden="1" x14ac:dyDescent="0.3">
      <c r="A113" s="5" t="s">
        <v>253</v>
      </c>
      <c r="B113" s="5" t="s">
        <v>31</v>
      </c>
      <c r="C113" s="22">
        <v>44938</v>
      </c>
      <c r="D113" s="22">
        <v>44939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0.02</v>
      </c>
      <c r="X113" s="3">
        <v>0.02</v>
      </c>
      <c r="Y113" s="3">
        <v>0.02</v>
      </c>
      <c r="Z113" s="3">
        <v>0.02</v>
      </c>
      <c r="AA113" s="3">
        <v>0.02</v>
      </c>
      <c r="AB113" s="3">
        <v>0.02</v>
      </c>
      <c r="AC113" s="3">
        <v>0.02</v>
      </c>
      <c r="AD113" s="3">
        <v>0.02</v>
      </c>
      <c r="AE113" s="3">
        <v>0.02</v>
      </c>
      <c r="AF113" s="3">
        <v>0.02</v>
      </c>
      <c r="AG113" s="3">
        <v>0.02</v>
      </c>
      <c r="AH113" s="3">
        <v>0.02</v>
      </c>
      <c r="AI113" s="3">
        <v>0.02</v>
      </c>
      <c r="AJ113" s="3">
        <v>0.02</v>
      </c>
      <c r="AK113" s="3">
        <v>0.02</v>
      </c>
      <c r="AL113" s="3">
        <v>0.02</v>
      </c>
      <c r="AM113" s="3">
        <v>0.02</v>
      </c>
      <c r="AN113" s="3">
        <v>0.02</v>
      </c>
      <c r="AO113" s="3">
        <v>0.02</v>
      </c>
      <c r="AP113" s="3">
        <v>0.02</v>
      </c>
    </row>
    <row r="114" spans="1:42" hidden="1" x14ac:dyDescent="0.3">
      <c r="A114" s="5" t="s">
        <v>254</v>
      </c>
      <c r="B114" s="5" t="s">
        <v>31</v>
      </c>
      <c r="C114" s="22">
        <v>44932</v>
      </c>
      <c r="D114" s="22">
        <v>44935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0.02</v>
      </c>
      <c r="X114" s="3">
        <v>0.02</v>
      </c>
      <c r="Y114" s="3">
        <v>0.02</v>
      </c>
      <c r="Z114" s="3">
        <v>0.02</v>
      </c>
      <c r="AA114" s="3">
        <v>0.02</v>
      </c>
      <c r="AB114" s="3">
        <v>0.02</v>
      </c>
      <c r="AC114" s="3">
        <v>0.02</v>
      </c>
      <c r="AD114" s="3">
        <v>0.02</v>
      </c>
      <c r="AE114" s="3">
        <v>0.02</v>
      </c>
      <c r="AF114" s="3">
        <v>0.02</v>
      </c>
      <c r="AG114" s="3">
        <v>0.02</v>
      </c>
      <c r="AH114" s="3">
        <v>0.02</v>
      </c>
      <c r="AI114" s="3">
        <v>0.02</v>
      </c>
      <c r="AJ114" s="3">
        <v>0.02</v>
      </c>
      <c r="AK114" s="3">
        <v>0.02</v>
      </c>
      <c r="AL114" s="3">
        <v>0.02</v>
      </c>
      <c r="AM114" s="3">
        <v>0.02</v>
      </c>
      <c r="AN114" s="3">
        <v>0.02</v>
      </c>
      <c r="AO114" s="3">
        <v>0.02</v>
      </c>
      <c r="AP114" s="3">
        <v>0.02</v>
      </c>
    </row>
    <row r="115" spans="1:42" hidden="1" x14ac:dyDescent="0.3">
      <c r="A115" s="5" t="s">
        <v>255</v>
      </c>
      <c r="B115" s="5" t="s">
        <v>31</v>
      </c>
      <c r="C115" s="22">
        <v>44928</v>
      </c>
      <c r="D115" s="22">
        <v>44929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0.02</v>
      </c>
      <c r="X115" s="3">
        <v>0.02</v>
      </c>
      <c r="Y115" s="3">
        <v>0.02</v>
      </c>
      <c r="Z115" s="3">
        <v>0.02</v>
      </c>
      <c r="AA115" s="3">
        <v>0.02</v>
      </c>
      <c r="AB115" s="3">
        <v>0.02</v>
      </c>
      <c r="AC115" s="3">
        <v>0.02</v>
      </c>
      <c r="AD115" s="3">
        <v>0.02</v>
      </c>
      <c r="AE115" s="3">
        <v>0.02</v>
      </c>
      <c r="AF115" s="3">
        <v>0.02</v>
      </c>
      <c r="AG115" s="3">
        <v>0.02</v>
      </c>
      <c r="AH115" s="3">
        <v>0.02</v>
      </c>
      <c r="AI115" s="3">
        <v>0.02</v>
      </c>
      <c r="AJ115" s="3">
        <v>0.02</v>
      </c>
      <c r="AK115" s="3">
        <v>0.02</v>
      </c>
      <c r="AL115" s="3">
        <v>0.02</v>
      </c>
      <c r="AM115" s="3">
        <v>0.02</v>
      </c>
      <c r="AN115" s="3">
        <v>0.02</v>
      </c>
      <c r="AO115" s="3">
        <v>0.02</v>
      </c>
      <c r="AP115" s="3">
        <v>0.02</v>
      </c>
    </row>
    <row r="116" spans="1:42" hidden="1" x14ac:dyDescent="0.3">
      <c r="A116" s="5" t="s">
        <v>256</v>
      </c>
      <c r="B116" s="5" t="s">
        <v>31</v>
      </c>
      <c r="C116" s="22">
        <v>44922</v>
      </c>
      <c r="D116" s="22">
        <v>44923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0.02</v>
      </c>
      <c r="W116" s="3">
        <v>0.02</v>
      </c>
      <c r="X116" s="3">
        <v>0.02</v>
      </c>
      <c r="Y116" s="3">
        <v>0.02</v>
      </c>
      <c r="Z116" s="3">
        <v>0.02</v>
      </c>
      <c r="AA116" s="3">
        <v>0.02</v>
      </c>
      <c r="AB116" s="3">
        <v>0.02</v>
      </c>
      <c r="AC116" s="3">
        <v>0.02</v>
      </c>
      <c r="AD116" s="3">
        <v>0.02</v>
      </c>
      <c r="AE116" s="3">
        <v>0.02</v>
      </c>
      <c r="AF116" s="3">
        <v>0.02</v>
      </c>
      <c r="AG116" s="3">
        <v>0.02</v>
      </c>
      <c r="AH116" s="3">
        <v>0.02</v>
      </c>
      <c r="AI116" s="3">
        <v>0.02</v>
      </c>
      <c r="AJ116" s="3">
        <v>0.02</v>
      </c>
      <c r="AK116" s="3">
        <v>0.02</v>
      </c>
      <c r="AL116" s="3">
        <v>0.02</v>
      </c>
      <c r="AM116" s="3">
        <v>0.02</v>
      </c>
      <c r="AN116" s="3">
        <v>0.02</v>
      </c>
      <c r="AO116" s="3">
        <v>0.02</v>
      </c>
      <c r="AP116" s="3">
        <v>0.02</v>
      </c>
    </row>
    <row r="117" spans="1:42" hidden="1" x14ac:dyDescent="0.3">
      <c r="A117" s="5" t="s">
        <v>257</v>
      </c>
      <c r="B117" s="5" t="s">
        <v>31</v>
      </c>
      <c r="C117" s="22">
        <v>44916</v>
      </c>
      <c r="D117" s="22">
        <v>44917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0.02</v>
      </c>
      <c r="W117" s="3">
        <v>0.02</v>
      </c>
      <c r="X117" s="3">
        <v>0.02</v>
      </c>
      <c r="Y117" s="3">
        <v>0.02</v>
      </c>
      <c r="Z117" s="3">
        <v>0.02</v>
      </c>
      <c r="AA117" s="3">
        <v>0.02</v>
      </c>
      <c r="AB117" s="3">
        <v>0.02</v>
      </c>
      <c r="AC117" s="3">
        <v>0.02</v>
      </c>
      <c r="AD117" s="3">
        <v>0.02</v>
      </c>
      <c r="AE117" s="3">
        <v>0.02</v>
      </c>
      <c r="AF117" s="3">
        <v>0.02</v>
      </c>
      <c r="AG117" s="3">
        <v>0.02</v>
      </c>
      <c r="AH117" s="3">
        <v>0.02</v>
      </c>
      <c r="AI117" s="3">
        <v>0.02</v>
      </c>
      <c r="AJ117" s="3">
        <v>0.02</v>
      </c>
      <c r="AK117" s="3">
        <v>0.02</v>
      </c>
      <c r="AL117" s="3">
        <v>0.02</v>
      </c>
      <c r="AM117" s="3">
        <v>0.02</v>
      </c>
      <c r="AN117" s="3">
        <v>0.02</v>
      </c>
      <c r="AO117" s="3">
        <v>0.02</v>
      </c>
      <c r="AP117" s="3">
        <v>0.02</v>
      </c>
    </row>
    <row r="118" spans="1:42" hidden="1" x14ac:dyDescent="0.3">
      <c r="A118" s="5" t="s">
        <v>258</v>
      </c>
      <c r="B118" s="5" t="s">
        <v>31</v>
      </c>
      <c r="C118" s="22">
        <v>44910</v>
      </c>
      <c r="D118" s="22">
        <v>44911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0.02</v>
      </c>
      <c r="W118" s="3">
        <v>0.02</v>
      </c>
      <c r="X118" s="3">
        <v>0.02</v>
      </c>
      <c r="Y118" s="3">
        <v>0.02</v>
      </c>
      <c r="Z118" s="3">
        <v>0.02</v>
      </c>
      <c r="AA118" s="3">
        <v>0.02</v>
      </c>
      <c r="AB118" s="3">
        <v>0.02</v>
      </c>
      <c r="AC118" s="3">
        <v>0.02</v>
      </c>
      <c r="AD118" s="3">
        <v>0.02</v>
      </c>
      <c r="AE118" s="3">
        <v>0.02</v>
      </c>
      <c r="AF118" s="3">
        <v>0.02</v>
      </c>
      <c r="AG118" s="3">
        <v>0.02</v>
      </c>
      <c r="AH118" s="3">
        <v>0.02</v>
      </c>
      <c r="AI118" s="3">
        <v>0.02</v>
      </c>
      <c r="AJ118" s="3">
        <v>0.02</v>
      </c>
      <c r="AK118" s="3">
        <v>0.02</v>
      </c>
      <c r="AL118" s="3">
        <v>0.02</v>
      </c>
      <c r="AM118" s="3">
        <v>0.02</v>
      </c>
      <c r="AN118" s="3">
        <v>0.02</v>
      </c>
      <c r="AO118" s="3">
        <v>0.02</v>
      </c>
      <c r="AP118" s="3">
        <v>0.02</v>
      </c>
    </row>
    <row r="119" spans="1:42" hidden="1" x14ac:dyDescent="0.3">
      <c r="A119" s="15" t="s">
        <v>259</v>
      </c>
      <c r="B119" s="15" t="s">
        <v>38</v>
      </c>
      <c r="C119" s="20">
        <v>44743</v>
      </c>
      <c r="D119" s="20">
        <v>44902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0.2</v>
      </c>
      <c r="R119" s="8">
        <v>0.41</v>
      </c>
      <c r="S119" s="8">
        <v>0.73</v>
      </c>
      <c r="T119" s="8">
        <v>1.71</v>
      </c>
      <c r="U119" s="8">
        <v>1.82</v>
      </c>
      <c r="V119" s="8">
        <v>1.83</v>
      </c>
      <c r="W119" s="8">
        <v>1.83</v>
      </c>
      <c r="X119" s="8">
        <v>1.83</v>
      </c>
      <c r="Y119" s="8">
        <v>1.83</v>
      </c>
      <c r="Z119" s="8">
        <v>1.83</v>
      </c>
      <c r="AA119" s="8">
        <v>1.83</v>
      </c>
      <c r="AB119" s="8">
        <v>1.83</v>
      </c>
      <c r="AC119" s="8">
        <v>1.83</v>
      </c>
      <c r="AD119" s="8">
        <v>1.83</v>
      </c>
      <c r="AE119" s="8">
        <v>1.83</v>
      </c>
      <c r="AF119" s="8">
        <v>1.83</v>
      </c>
      <c r="AG119" s="8">
        <v>1.83</v>
      </c>
      <c r="AH119" s="8">
        <v>1.83</v>
      </c>
      <c r="AI119" s="8">
        <v>1.83</v>
      </c>
      <c r="AJ119" s="8">
        <v>1.83</v>
      </c>
      <c r="AK119" s="8">
        <v>1.83</v>
      </c>
      <c r="AL119" s="8">
        <v>1.83</v>
      </c>
      <c r="AM119" s="8">
        <v>1.83</v>
      </c>
      <c r="AN119" s="8">
        <v>1.83</v>
      </c>
      <c r="AO119" s="8">
        <v>1.83</v>
      </c>
      <c r="AP119" s="8">
        <v>1.83</v>
      </c>
    </row>
    <row r="120" spans="1:42" hidden="1" x14ac:dyDescent="0.3">
      <c r="A120" s="5" t="s">
        <v>260</v>
      </c>
      <c r="B120" s="5" t="s">
        <v>9</v>
      </c>
      <c r="C120" s="22">
        <v>44834</v>
      </c>
      <c r="D120" s="22">
        <v>44841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0.17</v>
      </c>
      <c r="T120" s="3">
        <v>0.96</v>
      </c>
      <c r="U120" s="3">
        <v>0.96</v>
      </c>
      <c r="V120" s="3">
        <v>0.96</v>
      </c>
      <c r="W120" s="3">
        <v>0.96</v>
      </c>
      <c r="X120" s="3">
        <v>0.96</v>
      </c>
      <c r="Y120" s="3">
        <v>0.96</v>
      </c>
      <c r="Z120" s="3">
        <v>0.96</v>
      </c>
      <c r="AA120" s="3">
        <v>0.96</v>
      </c>
      <c r="AB120" s="3">
        <v>0.96</v>
      </c>
      <c r="AC120" s="3">
        <v>0.96</v>
      </c>
      <c r="AD120" s="3">
        <v>0.96</v>
      </c>
      <c r="AE120" s="3">
        <v>0.96</v>
      </c>
      <c r="AF120" s="3">
        <v>0.96</v>
      </c>
      <c r="AG120" s="3">
        <v>0.96</v>
      </c>
      <c r="AH120" s="3">
        <v>0.96</v>
      </c>
      <c r="AI120" s="3">
        <v>0.96</v>
      </c>
      <c r="AJ120" s="3">
        <v>0.96</v>
      </c>
      <c r="AK120" s="3">
        <v>0.96</v>
      </c>
      <c r="AL120" s="3">
        <v>0.96</v>
      </c>
      <c r="AM120" s="3">
        <v>0.96</v>
      </c>
      <c r="AN120" s="3">
        <v>0.96</v>
      </c>
      <c r="AO120" s="3">
        <v>0.96</v>
      </c>
      <c r="AP120" s="3">
        <v>0.96</v>
      </c>
    </row>
    <row r="121" spans="1:42" hidden="1" x14ac:dyDescent="0.3">
      <c r="A121" s="5" t="s">
        <v>261</v>
      </c>
      <c r="B121" s="5" t="s">
        <v>9</v>
      </c>
      <c r="C121" s="22">
        <v>44827</v>
      </c>
      <c r="D121" s="22">
        <v>44834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0.05</v>
      </c>
      <c r="T121" s="3">
        <v>0.05</v>
      </c>
      <c r="U121" s="3">
        <v>0.05</v>
      </c>
      <c r="V121" s="3">
        <v>0.05</v>
      </c>
      <c r="W121" s="3">
        <v>0.05</v>
      </c>
      <c r="X121" s="3">
        <v>0.05</v>
      </c>
      <c r="Y121" s="3">
        <v>0.05</v>
      </c>
      <c r="Z121" s="3">
        <v>0.05</v>
      </c>
      <c r="AA121" s="3">
        <v>0.05</v>
      </c>
      <c r="AB121" s="3">
        <v>0.05</v>
      </c>
      <c r="AC121" s="3">
        <v>0.05</v>
      </c>
      <c r="AD121" s="3">
        <v>0.05</v>
      </c>
      <c r="AE121" s="3">
        <v>0.05</v>
      </c>
      <c r="AF121" s="3">
        <v>0.05</v>
      </c>
      <c r="AG121" s="3">
        <v>0.05</v>
      </c>
      <c r="AH121" s="3">
        <v>0.05</v>
      </c>
      <c r="AI121" s="3">
        <v>0.05</v>
      </c>
      <c r="AJ121" s="3">
        <v>0.05</v>
      </c>
      <c r="AK121" s="3">
        <v>0.05</v>
      </c>
      <c r="AL121" s="3">
        <v>0.05</v>
      </c>
      <c r="AM121" s="3">
        <v>0.05</v>
      </c>
      <c r="AN121" s="3">
        <v>0.05</v>
      </c>
      <c r="AO121" s="3">
        <v>0.05</v>
      </c>
      <c r="AP121" s="3">
        <v>0.05</v>
      </c>
    </row>
    <row r="122" spans="1:42" hidden="1" x14ac:dyDescent="0.3">
      <c r="A122" s="5" t="s">
        <v>262</v>
      </c>
      <c r="B122" s="5" t="s">
        <v>14</v>
      </c>
      <c r="C122" s="22">
        <v>44813</v>
      </c>
      <c r="D122" s="22">
        <v>44827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0.05</v>
      </c>
      <c r="T122" s="3">
        <v>0.05</v>
      </c>
      <c r="U122" s="3">
        <v>0.05</v>
      </c>
      <c r="V122" s="3">
        <v>0.05</v>
      </c>
      <c r="W122" s="3">
        <v>0.05</v>
      </c>
      <c r="X122" s="3">
        <v>0.05</v>
      </c>
      <c r="Y122" s="3">
        <v>0.05</v>
      </c>
      <c r="Z122" s="3">
        <v>0.05</v>
      </c>
      <c r="AA122" s="3">
        <v>0.05</v>
      </c>
      <c r="AB122" s="3">
        <v>0.05</v>
      </c>
      <c r="AC122" s="3">
        <v>0.05</v>
      </c>
      <c r="AD122" s="3">
        <v>0.05</v>
      </c>
      <c r="AE122" s="3">
        <v>0.05</v>
      </c>
      <c r="AF122" s="3">
        <v>0.05</v>
      </c>
      <c r="AG122" s="3">
        <v>0.05</v>
      </c>
      <c r="AH122" s="3">
        <v>0.05</v>
      </c>
      <c r="AI122" s="3">
        <v>0.05</v>
      </c>
      <c r="AJ122" s="3">
        <v>0.05</v>
      </c>
      <c r="AK122" s="3">
        <v>0.05</v>
      </c>
      <c r="AL122" s="3">
        <v>0.05</v>
      </c>
      <c r="AM122" s="3">
        <v>0.05</v>
      </c>
      <c r="AN122" s="3">
        <v>0.05</v>
      </c>
      <c r="AO122" s="3">
        <v>0.05</v>
      </c>
      <c r="AP122" s="3">
        <v>0.05</v>
      </c>
    </row>
    <row r="123" spans="1:42" hidden="1" x14ac:dyDescent="0.3">
      <c r="A123" s="5" t="s">
        <v>263</v>
      </c>
      <c r="B123" s="5" t="s">
        <v>14</v>
      </c>
      <c r="C123" s="22">
        <v>44799</v>
      </c>
      <c r="D123" s="22">
        <v>44813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0.04</v>
      </c>
      <c r="S123" s="3">
        <v>0.09</v>
      </c>
      <c r="T123" s="3">
        <v>0.09</v>
      </c>
      <c r="U123" s="3">
        <v>0.09</v>
      </c>
      <c r="V123" s="3">
        <v>0.09</v>
      </c>
      <c r="W123" s="3">
        <v>0.09</v>
      </c>
      <c r="X123" s="3">
        <v>0.09</v>
      </c>
      <c r="Y123" s="3">
        <v>0.09</v>
      </c>
      <c r="Z123" s="3">
        <v>0.09</v>
      </c>
      <c r="AA123" s="3">
        <v>0.09</v>
      </c>
      <c r="AB123" s="3">
        <v>0.09</v>
      </c>
      <c r="AC123" s="3">
        <v>0.09</v>
      </c>
      <c r="AD123" s="3">
        <v>0.09</v>
      </c>
      <c r="AE123" s="3">
        <v>0.09</v>
      </c>
      <c r="AF123" s="3">
        <v>0.09</v>
      </c>
      <c r="AG123" s="3">
        <v>0.09</v>
      </c>
      <c r="AH123" s="3">
        <v>0.09</v>
      </c>
      <c r="AI123" s="3">
        <v>0.09</v>
      </c>
      <c r="AJ123" s="3">
        <v>0.09</v>
      </c>
      <c r="AK123" s="3">
        <v>0.09</v>
      </c>
      <c r="AL123" s="3">
        <v>0.09</v>
      </c>
      <c r="AM123" s="3">
        <v>0.09</v>
      </c>
      <c r="AN123" s="3">
        <v>0.09</v>
      </c>
      <c r="AO123" s="3">
        <v>0.09</v>
      </c>
      <c r="AP123" s="3">
        <v>0.09</v>
      </c>
    </row>
    <row r="124" spans="1:42" hidden="1" x14ac:dyDescent="0.3">
      <c r="A124" s="5" t="s">
        <v>264</v>
      </c>
      <c r="B124" s="5" t="s">
        <v>14</v>
      </c>
      <c r="C124" s="22">
        <v>44785</v>
      </c>
      <c r="D124" s="22">
        <v>44799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0.09</v>
      </c>
      <c r="S124" s="3">
        <v>0.09</v>
      </c>
      <c r="T124" s="3">
        <v>0.09</v>
      </c>
      <c r="U124" s="3">
        <v>0.09</v>
      </c>
      <c r="V124" s="3">
        <v>0.09</v>
      </c>
      <c r="W124" s="3">
        <v>0.09</v>
      </c>
      <c r="X124" s="3">
        <v>0.09</v>
      </c>
      <c r="Y124" s="3">
        <v>0.09</v>
      </c>
      <c r="Z124" s="3">
        <v>0.09</v>
      </c>
      <c r="AA124" s="3">
        <v>0.09</v>
      </c>
      <c r="AB124" s="3">
        <v>0.09</v>
      </c>
      <c r="AC124" s="3">
        <v>0.09</v>
      </c>
      <c r="AD124" s="3">
        <v>0.09</v>
      </c>
      <c r="AE124" s="3">
        <v>0.09</v>
      </c>
      <c r="AF124" s="3">
        <v>0.09</v>
      </c>
      <c r="AG124" s="3">
        <v>0.09</v>
      </c>
      <c r="AH124" s="3">
        <v>0.09</v>
      </c>
      <c r="AI124" s="3">
        <v>0.09</v>
      </c>
      <c r="AJ124" s="3">
        <v>0.09</v>
      </c>
      <c r="AK124" s="3">
        <v>0.09</v>
      </c>
      <c r="AL124" s="3">
        <v>0.09</v>
      </c>
      <c r="AM124" s="3">
        <v>0.09</v>
      </c>
      <c r="AN124" s="3">
        <v>0.09</v>
      </c>
      <c r="AO124" s="3">
        <v>0.09</v>
      </c>
      <c r="AP124" s="3">
        <v>0.09</v>
      </c>
    </row>
    <row r="125" spans="1:42" hidden="1" x14ac:dyDescent="0.3">
      <c r="A125" s="5" t="s">
        <v>265</v>
      </c>
      <c r="B125" s="5" t="s">
        <v>14</v>
      </c>
      <c r="C125" s="22">
        <v>44771</v>
      </c>
      <c r="D125" s="22">
        <v>44785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0.01</v>
      </c>
      <c r="R125" s="3">
        <v>0.09</v>
      </c>
      <c r="S125" s="3">
        <v>0.09</v>
      </c>
      <c r="T125" s="3">
        <v>0.09</v>
      </c>
      <c r="U125" s="3">
        <v>0.09</v>
      </c>
      <c r="V125" s="3">
        <v>0.09</v>
      </c>
      <c r="W125" s="3">
        <v>0.09</v>
      </c>
      <c r="X125" s="3">
        <v>0.09</v>
      </c>
      <c r="Y125" s="3">
        <v>0.09</v>
      </c>
      <c r="Z125" s="3">
        <v>0.09</v>
      </c>
      <c r="AA125" s="3">
        <v>0.09</v>
      </c>
      <c r="AB125" s="3">
        <v>0.09</v>
      </c>
      <c r="AC125" s="3">
        <v>0.09</v>
      </c>
      <c r="AD125" s="3">
        <v>0.09</v>
      </c>
      <c r="AE125" s="3">
        <v>0.09</v>
      </c>
      <c r="AF125" s="3">
        <v>0.09</v>
      </c>
      <c r="AG125" s="3">
        <v>0.09</v>
      </c>
      <c r="AH125" s="3">
        <v>0.09</v>
      </c>
      <c r="AI125" s="3">
        <v>0.09</v>
      </c>
      <c r="AJ125" s="3">
        <v>0.09</v>
      </c>
      <c r="AK125" s="3">
        <v>0.09</v>
      </c>
      <c r="AL125" s="3">
        <v>0.09</v>
      </c>
      <c r="AM125" s="3">
        <v>0.09</v>
      </c>
      <c r="AN125" s="3">
        <v>0.09</v>
      </c>
      <c r="AO125" s="3">
        <v>0.09</v>
      </c>
      <c r="AP125" s="3">
        <v>0.09</v>
      </c>
    </row>
    <row r="126" spans="1:42" hidden="1" x14ac:dyDescent="0.3">
      <c r="A126" s="5" t="s">
        <v>266</v>
      </c>
      <c r="B126" s="5" t="s">
        <v>14</v>
      </c>
      <c r="C126" s="22">
        <v>44757</v>
      </c>
      <c r="D126" s="22">
        <v>44771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0.09</v>
      </c>
      <c r="R126" s="3">
        <v>0.09</v>
      </c>
      <c r="S126" s="3">
        <v>0.09</v>
      </c>
      <c r="T126" s="3">
        <v>0.09</v>
      </c>
      <c r="U126" s="3">
        <v>0.09</v>
      </c>
      <c r="V126" s="3">
        <v>0.09</v>
      </c>
      <c r="W126" s="3">
        <v>0.09</v>
      </c>
      <c r="X126" s="3">
        <v>0.09</v>
      </c>
      <c r="Y126" s="3">
        <v>0.09</v>
      </c>
      <c r="Z126" s="3">
        <v>0.09</v>
      </c>
      <c r="AA126" s="3">
        <v>0.09</v>
      </c>
      <c r="AB126" s="3">
        <v>0.09</v>
      </c>
      <c r="AC126" s="3">
        <v>0.09</v>
      </c>
      <c r="AD126" s="3">
        <v>0.09</v>
      </c>
      <c r="AE126" s="3">
        <v>0.09</v>
      </c>
      <c r="AF126" s="3">
        <v>0.09</v>
      </c>
      <c r="AG126" s="3">
        <v>0.09</v>
      </c>
      <c r="AH126" s="3">
        <v>0.09</v>
      </c>
      <c r="AI126" s="3">
        <v>0.09</v>
      </c>
      <c r="AJ126" s="3">
        <v>0.09</v>
      </c>
      <c r="AK126" s="3">
        <v>0.09</v>
      </c>
      <c r="AL126" s="3">
        <v>0.09</v>
      </c>
      <c r="AM126" s="3">
        <v>0.09</v>
      </c>
      <c r="AN126" s="3">
        <v>0.09</v>
      </c>
      <c r="AO126" s="3">
        <v>0.09</v>
      </c>
      <c r="AP126" s="3">
        <v>0.09</v>
      </c>
    </row>
    <row r="127" spans="1:42" hidden="1" x14ac:dyDescent="0.3">
      <c r="A127" s="5" t="s">
        <v>267</v>
      </c>
      <c r="B127" s="5" t="s">
        <v>14</v>
      </c>
      <c r="C127" s="22">
        <v>44743</v>
      </c>
      <c r="D127" s="22">
        <v>44757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0.09</v>
      </c>
      <c r="R127" s="3">
        <v>0.09</v>
      </c>
      <c r="S127" s="3">
        <v>0.09</v>
      </c>
      <c r="T127" s="3">
        <v>0.09</v>
      </c>
      <c r="U127" s="3">
        <v>0.09</v>
      </c>
      <c r="V127" s="3">
        <v>0.09</v>
      </c>
      <c r="W127" s="3">
        <v>0.09</v>
      </c>
      <c r="X127" s="3">
        <v>0.09</v>
      </c>
      <c r="Y127" s="3">
        <v>0.09</v>
      </c>
      <c r="Z127" s="3">
        <v>0.09</v>
      </c>
      <c r="AA127" s="3">
        <v>0.09</v>
      </c>
      <c r="AB127" s="3">
        <v>0.09</v>
      </c>
      <c r="AC127" s="3">
        <v>0.09</v>
      </c>
      <c r="AD127" s="3">
        <v>0.09</v>
      </c>
      <c r="AE127" s="3">
        <v>0.09</v>
      </c>
      <c r="AF127" s="3">
        <v>0.09</v>
      </c>
      <c r="AG127" s="3">
        <v>0.09</v>
      </c>
      <c r="AH127" s="3">
        <v>0.09</v>
      </c>
      <c r="AI127" s="3">
        <v>0.09</v>
      </c>
      <c r="AJ127" s="3">
        <v>0.09</v>
      </c>
      <c r="AK127" s="3">
        <v>0.09</v>
      </c>
      <c r="AL127" s="3">
        <v>0.09</v>
      </c>
      <c r="AM127" s="3">
        <v>0.09</v>
      </c>
      <c r="AN127" s="3">
        <v>0.09</v>
      </c>
      <c r="AO127" s="3">
        <v>0.09</v>
      </c>
      <c r="AP127" s="3">
        <v>0.09</v>
      </c>
    </row>
    <row r="128" spans="1:42" hidden="1" x14ac:dyDescent="0.3">
      <c r="A128" s="4" t="s">
        <v>268</v>
      </c>
      <c r="B128" s="4" t="s">
        <v>39</v>
      </c>
      <c r="C128" s="21">
        <v>44852</v>
      </c>
      <c r="D128" s="21">
        <v>44875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0.19</v>
      </c>
      <c r="U128" s="2">
        <v>0.28999999999999998</v>
      </c>
      <c r="V128" s="2">
        <v>0.28999999999999998</v>
      </c>
      <c r="W128" s="2">
        <v>0.28999999999999998</v>
      </c>
      <c r="X128" s="2">
        <v>0.28999999999999998</v>
      </c>
      <c r="Y128" s="2">
        <v>0.28999999999999998</v>
      </c>
      <c r="Z128" s="2">
        <v>0.28999999999999998</v>
      </c>
      <c r="AA128" s="2">
        <v>0.28999999999999998</v>
      </c>
      <c r="AB128" s="2">
        <v>0.28999999999999998</v>
      </c>
      <c r="AC128" s="2">
        <v>0.28999999999999998</v>
      </c>
      <c r="AD128" s="2">
        <v>0.28999999999999998</v>
      </c>
      <c r="AE128" s="2">
        <v>0.28999999999999998</v>
      </c>
      <c r="AF128" s="2">
        <v>0.28999999999999998</v>
      </c>
      <c r="AG128" s="2">
        <v>0.28999999999999998</v>
      </c>
      <c r="AH128" s="2">
        <v>0.28999999999999998</v>
      </c>
      <c r="AI128" s="2">
        <v>0.28999999999999998</v>
      </c>
      <c r="AJ128" s="2">
        <v>0.28999999999999998</v>
      </c>
      <c r="AK128" s="2">
        <v>0.28999999999999998</v>
      </c>
      <c r="AL128" s="2">
        <v>0.28999999999999998</v>
      </c>
      <c r="AM128" s="2">
        <v>0.28999999999999998</v>
      </c>
      <c r="AN128" s="2">
        <v>0.28999999999999998</v>
      </c>
      <c r="AO128" s="2">
        <v>0.28999999999999998</v>
      </c>
      <c r="AP128" s="2">
        <v>0.28999999999999998</v>
      </c>
    </row>
    <row r="129" spans="1:42" hidden="1" x14ac:dyDescent="0.3">
      <c r="A129" s="5" t="s">
        <v>269</v>
      </c>
      <c r="B129" s="5" t="s">
        <v>9</v>
      </c>
      <c r="C129" s="22">
        <v>44852</v>
      </c>
      <c r="D129" s="22">
        <v>44859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0.15</v>
      </c>
      <c r="U129" s="3">
        <v>0.15</v>
      </c>
      <c r="V129" s="3">
        <v>0.15</v>
      </c>
      <c r="W129" s="3">
        <v>0.15</v>
      </c>
      <c r="X129" s="3">
        <v>0.15</v>
      </c>
      <c r="Y129" s="3">
        <v>0.15</v>
      </c>
      <c r="Z129" s="3">
        <v>0.15</v>
      </c>
      <c r="AA129" s="3">
        <v>0.15</v>
      </c>
      <c r="AB129" s="3">
        <v>0.15</v>
      </c>
      <c r="AC129" s="3">
        <v>0.15</v>
      </c>
      <c r="AD129" s="3">
        <v>0.15</v>
      </c>
      <c r="AE129" s="3">
        <v>0.15</v>
      </c>
      <c r="AF129" s="3">
        <v>0.15</v>
      </c>
      <c r="AG129" s="3">
        <v>0.15</v>
      </c>
      <c r="AH129" s="3">
        <v>0.15</v>
      </c>
      <c r="AI129" s="3">
        <v>0.15</v>
      </c>
      <c r="AJ129" s="3">
        <v>0.15</v>
      </c>
      <c r="AK129" s="3">
        <v>0.15</v>
      </c>
      <c r="AL129" s="3">
        <v>0.15</v>
      </c>
      <c r="AM129" s="3">
        <v>0.15</v>
      </c>
      <c r="AN129" s="3">
        <v>0.15</v>
      </c>
      <c r="AO129" s="3">
        <v>0.15</v>
      </c>
      <c r="AP129" s="3">
        <v>0.15</v>
      </c>
    </row>
    <row r="130" spans="1:42" hidden="1" x14ac:dyDescent="0.3">
      <c r="A130" s="5" t="s">
        <v>270</v>
      </c>
      <c r="B130" s="5" t="s">
        <v>31</v>
      </c>
      <c r="C130" s="22">
        <v>44873</v>
      </c>
      <c r="D130" s="22">
        <v>44875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0.05</v>
      </c>
      <c r="V130" s="3">
        <v>0.05</v>
      </c>
      <c r="W130" s="3">
        <v>0.05</v>
      </c>
      <c r="X130" s="3">
        <v>0.05</v>
      </c>
      <c r="Y130" s="3">
        <v>0.05</v>
      </c>
      <c r="Z130" s="3">
        <v>0.05</v>
      </c>
      <c r="AA130" s="3">
        <v>0.05</v>
      </c>
      <c r="AB130" s="3">
        <v>0.05</v>
      </c>
      <c r="AC130" s="3">
        <v>0.05</v>
      </c>
      <c r="AD130" s="3">
        <v>0.05</v>
      </c>
      <c r="AE130" s="3">
        <v>0.05</v>
      </c>
      <c r="AF130" s="3">
        <v>0.05</v>
      </c>
      <c r="AG130" s="3">
        <v>0.05</v>
      </c>
      <c r="AH130" s="3">
        <v>0.05</v>
      </c>
      <c r="AI130" s="3">
        <v>0.05</v>
      </c>
      <c r="AJ130" s="3">
        <v>0.05</v>
      </c>
      <c r="AK130" s="3">
        <v>0.05</v>
      </c>
      <c r="AL130" s="3">
        <v>0.05</v>
      </c>
      <c r="AM130" s="3">
        <v>0.05</v>
      </c>
      <c r="AN130" s="3">
        <v>0.05</v>
      </c>
      <c r="AO130" s="3">
        <v>0.05</v>
      </c>
      <c r="AP130" s="3">
        <v>0.05</v>
      </c>
    </row>
    <row r="131" spans="1:42" hidden="1" x14ac:dyDescent="0.3">
      <c r="A131" s="5" t="s">
        <v>271</v>
      </c>
      <c r="B131" s="5" t="s">
        <v>31</v>
      </c>
      <c r="C131" s="22">
        <v>44859</v>
      </c>
      <c r="D131" s="22">
        <v>44861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0.02</v>
      </c>
      <c r="U131" s="3">
        <v>0.02</v>
      </c>
      <c r="V131" s="3">
        <v>0.02</v>
      </c>
      <c r="W131" s="3">
        <v>0.02</v>
      </c>
      <c r="X131" s="3">
        <v>0.02</v>
      </c>
      <c r="Y131" s="3">
        <v>0.02</v>
      </c>
      <c r="Z131" s="3">
        <v>0.02</v>
      </c>
      <c r="AA131" s="3">
        <v>0.02</v>
      </c>
      <c r="AB131" s="3">
        <v>0.02</v>
      </c>
      <c r="AC131" s="3">
        <v>0.02</v>
      </c>
      <c r="AD131" s="3">
        <v>0.02</v>
      </c>
      <c r="AE131" s="3">
        <v>0.02</v>
      </c>
      <c r="AF131" s="3">
        <v>0.02</v>
      </c>
      <c r="AG131" s="3">
        <v>0.02</v>
      </c>
      <c r="AH131" s="3">
        <v>0.02</v>
      </c>
      <c r="AI131" s="3">
        <v>0.02</v>
      </c>
      <c r="AJ131" s="3">
        <v>0.02</v>
      </c>
      <c r="AK131" s="3">
        <v>0.02</v>
      </c>
      <c r="AL131" s="3">
        <v>0.02</v>
      </c>
      <c r="AM131" s="3">
        <v>0.02</v>
      </c>
      <c r="AN131" s="3">
        <v>0.02</v>
      </c>
      <c r="AO131" s="3">
        <v>0.02</v>
      </c>
      <c r="AP131" s="3">
        <v>0.02</v>
      </c>
    </row>
    <row r="132" spans="1:42" hidden="1" x14ac:dyDescent="0.3">
      <c r="A132" s="5" t="s">
        <v>272</v>
      </c>
      <c r="B132" s="5" t="s">
        <v>31</v>
      </c>
      <c r="C132" s="22">
        <v>44861</v>
      </c>
      <c r="D132" s="22">
        <v>44865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0.02</v>
      </c>
      <c r="U132" s="3">
        <v>0.02</v>
      </c>
      <c r="V132" s="3">
        <v>0.02</v>
      </c>
      <c r="W132" s="3">
        <v>0.02</v>
      </c>
      <c r="X132" s="3">
        <v>0.02</v>
      </c>
      <c r="Y132" s="3">
        <v>0.02</v>
      </c>
      <c r="Z132" s="3">
        <v>0.02</v>
      </c>
      <c r="AA132" s="3">
        <v>0.02</v>
      </c>
      <c r="AB132" s="3">
        <v>0.02</v>
      </c>
      <c r="AC132" s="3">
        <v>0.02</v>
      </c>
      <c r="AD132" s="3">
        <v>0.02</v>
      </c>
      <c r="AE132" s="3">
        <v>0.02</v>
      </c>
      <c r="AF132" s="3">
        <v>0.02</v>
      </c>
      <c r="AG132" s="3">
        <v>0.02</v>
      </c>
      <c r="AH132" s="3">
        <v>0.02</v>
      </c>
      <c r="AI132" s="3">
        <v>0.02</v>
      </c>
      <c r="AJ132" s="3">
        <v>0.02</v>
      </c>
      <c r="AK132" s="3">
        <v>0.02</v>
      </c>
      <c r="AL132" s="3">
        <v>0.02</v>
      </c>
      <c r="AM132" s="3">
        <v>0.02</v>
      </c>
      <c r="AN132" s="3">
        <v>0.02</v>
      </c>
      <c r="AO132" s="3">
        <v>0.02</v>
      </c>
      <c r="AP132" s="3">
        <v>0.02</v>
      </c>
    </row>
    <row r="133" spans="1:42" hidden="1" x14ac:dyDescent="0.3">
      <c r="A133" s="5" t="s">
        <v>273</v>
      </c>
      <c r="B133" s="5" t="s">
        <v>31</v>
      </c>
      <c r="C133" s="22">
        <v>44865</v>
      </c>
      <c r="D133" s="22">
        <v>44867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0.01</v>
      </c>
      <c r="U133" s="3">
        <v>0.02</v>
      </c>
      <c r="V133" s="3">
        <v>0.02</v>
      </c>
      <c r="W133" s="3">
        <v>0.02</v>
      </c>
      <c r="X133" s="3">
        <v>0.02</v>
      </c>
      <c r="Y133" s="3">
        <v>0.02</v>
      </c>
      <c r="Z133" s="3">
        <v>0.02</v>
      </c>
      <c r="AA133" s="3">
        <v>0.02</v>
      </c>
      <c r="AB133" s="3">
        <v>0.02</v>
      </c>
      <c r="AC133" s="3">
        <v>0.02</v>
      </c>
      <c r="AD133" s="3">
        <v>0.02</v>
      </c>
      <c r="AE133" s="3">
        <v>0.02</v>
      </c>
      <c r="AF133" s="3">
        <v>0.02</v>
      </c>
      <c r="AG133" s="3">
        <v>0.02</v>
      </c>
      <c r="AH133" s="3">
        <v>0.02</v>
      </c>
      <c r="AI133" s="3">
        <v>0.02</v>
      </c>
      <c r="AJ133" s="3">
        <v>0.02</v>
      </c>
      <c r="AK133" s="3">
        <v>0.02</v>
      </c>
      <c r="AL133" s="3">
        <v>0.02</v>
      </c>
      <c r="AM133" s="3">
        <v>0.02</v>
      </c>
      <c r="AN133" s="3">
        <v>0.02</v>
      </c>
      <c r="AO133" s="3">
        <v>0.02</v>
      </c>
      <c r="AP133" s="3">
        <v>0.02</v>
      </c>
    </row>
    <row r="134" spans="1:42" hidden="1" x14ac:dyDescent="0.3">
      <c r="A134" s="5" t="s">
        <v>274</v>
      </c>
      <c r="B134" s="5" t="s">
        <v>31</v>
      </c>
      <c r="C134" s="22">
        <v>44867</v>
      </c>
      <c r="D134" s="22">
        <v>44869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0.02</v>
      </c>
      <c r="V134" s="3">
        <v>0.02</v>
      </c>
      <c r="W134" s="3">
        <v>0.02</v>
      </c>
      <c r="X134" s="3">
        <v>0.02</v>
      </c>
      <c r="Y134" s="3">
        <v>0.02</v>
      </c>
      <c r="Z134" s="3">
        <v>0.02</v>
      </c>
      <c r="AA134" s="3">
        <v>0.02</v>
      </c>
      <c r="AB134" s="3">
        <v>0.02</v>
      </c>
      <c r="AC134" s="3">
        <v>0.02</v>
      </c>
      <c r="AD134" s="3">
        <v>0.02</v>
      </c>
      <c r="AE134" s="3">
        <v>0.02</v>
      </c>
      <c r="AF134" s="3">
        <v>0.02</v>
      </c>
      <c r="AG134" s="3">
        <v>0.02</v>
      </c>
      <c r="AH134" s="3">
        <v>0.02</v>
      </c>
      <c r="AI134" s="3">
        <v>0.02</v>
      </c>
      <c r="AJ134" s="3">
        <v>0.02</v>
      </c>
      <c r="AK134" s="3">
        <v>0.02</v>
      </c>
      <c r="AL134" s="3">
        <v>0.02</v>
      </c>
      <c r="AM134" s="3">
        <v>0.02</v>
      </c>
      <c r="AN134" s="3">
        <v>0.02</v>
      </c>
      <c r="AO134" s="3">
        <v>0.02</v>
      </c>
      <c r="AP134" s="3">
        <v>0.02</v>
      </c>
    </row>
    <row r="135" spans="1:42" hidden="1" x14ac:dyDescent="0.3">
      <c r="A135" s="5" t="s">
        <v>275</v>
      </c>
      <c r="B135" s="5" t="s">
        <v>31</v>
      </c>
      <c r="C135" s="22">
        <v>44869</v>
      </c>
      <c r="D135" s="22">
        <v>44873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0.02</v>
      </c>
      <c r="V135" s="3">
        <v>0.02</v>
      </c>
      <c r="W135" s="3">
        <v>0.02</v>
      </c>
      <c r="X135" s="3">
        <v>0.02</v>
      </c>
      <c r="Y135" s="3">
        <v>0.02</v>
      </c>
      <c r="Z135" s="3">
        <v>0.02</v>
      </c>
      <c r="AA135" s="3">
        <v>0.02</v>
      </c>
      <c r="AB135" s="3">
        <v>0.02</v>
      </c>
      <c r="AC135" s="3">
        <v>0.02</v>
      </c>
      <c r="AD135" s="3">
        <v>0.02</v>
      </c>
      <c r="AE135" s="3">
        <v>0.02</v>
      </c>
      <c r="AF135" s="3">
        <v>0.02</v>
      </c>
      <c r="AG135" s="3">
        <v>0.02</v>
      </c>
      <c r="AH135" s="3">
        <v>0.02</v>
      </c>
      <c r="AI135" s="3">
        <v>0.02</v>
      </c>
      <c r="AJ135" s="3">
        <v>0.02</v>
      </c>
      <c r="AK135" s="3">
        <v>0.02</v>
      </c>
      <c r="AL135" s="3">
        <v>0.02</v>
      </c>
      <c r="AM135" s="3">
        <v>0.02</v>
      </c>
      <c r="AN135" s="3">
        <v>0.02</v>
      </c>
      <c r="AO135" s="3">
        <v>0.02</v>
      </c>
      <c r="AP135" s="3">
        <v>0.02</v>
      </c>
    </row>
    <row r="136" spans="1:42" hidden="1" x14ac:dyDescent="0.3">
      <c r="A136" s="5" t="s">
        <v>276</v>
      </c>
      <c r="B136" s="5" t="s">
        <v>14</v>
      </c>
      <c r="C136" s="22">
        <v>44889</v>
      </c>
      <c r="D136" s="22">
        <v>44902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0.01</v>
      </c>
      <c r="V136" s="3">
        <v>0.02</v>
      </c>
      <c r="W136" s="3">
        <v>0.02</v>
      </c>
      <c r="X136" s="3">
        <v>0.02</v>
      </c>
      <c r="Y136" s="3">
        <v>0.02</v>
      </c>
      <c r="Z136" s="3">
        <v>0.02</v>
      </c>
      <c r="AA136" s="3">
        <v>0.02</v>
      </c>
      <c r="AB136" s="3">
        <v>0.02</v>
      </c>
      <c r="AC136" s="3">
        <v>0.02</v>
      </c>
      <c r="AD136" s="3">
        <v>0.02</v>
      </c>
      <c r="AE136" s="3">
        <v>0.02</v>
      </c>
      <c r="AF136" s="3">
        <v>0.02</v>
      </c>
      <c r="AG136" s="3">
        <v>0.02</v>
      </c>
      <c r="AH136" s="3">
        <v>0.02</v>
      </c>
      <c r="AI136" s="3">
        <v>0.02</v>
      </c>
      <c r="AJ136" s="3">
        <v>0.02</v>
      </c>
      <c r="AK136" s="3">
        <v>0.02</v>
      </c>
      <c r="AL136" s="3">
        <v>0.02</v>
      </c>
      <c r="AM136" s="3">
        <v>0.02</v>
      </c>
      <c r="AN136" s="3">
        <v>0.02</v>
      </c>
      <c r="AO136" s="3">
        <v>0.02</v>
      </c>
      <c r="AP136" s="3">
        <v>0.02</v>
      </c>
    </row>
    <row r="137" spans="1:42" hidden="1" x14ac:dyDescent="0.3">
      <c r="A137" s="15" t="s">
        <v>277</v>
      </c>
      <c r="B137" s="15" t="s">
        <v>40</v>
      </c>
      <c r="C137" s="20">
        <v>44749</v>
      </c>
      <c r="D137" s="20">
        <v>44907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0.15</v>
      </c>
      <c r="R137" s="8">
        <v>0.37</v>
      </c>
      <c r="S137" s="8">
        <v>0.55000000000000004</v>
      </c>
      <c r="T137" s="8">
        <v>1.64</v>
      </c>
      <c r="U137" s="8">
        <v>1.68</v>
      </c>
      <c r="V137" s="8">
        <v>1.69</v>
      </c>
      <c r="W137" s="8">
        <v>1.69</v>
      </c>
      <c r="X137" s="8">
        <v>1.69</v>
      </c>
      <c r="Y137" s="8">
        <v>1.69</v>
      </c>
      <c r="Z137" s="8">
        <v>1.69</v>
      </c>
      <c r="AA137" s="8">
        <v>1.69</v>
      </c>
      <c r="AB137" s="8">
        <v>1.69</v>
      </c>
      <c r="AC137" s="8">
        <v>1.69</v>
      </c>
      <c r="AD137" s="8">
        <v>1.69</v>
      </c>
      <c r="AE137" s="8">
        <v>1.69</v>
      </c>
      <c r="AF137" s="8">
        <v>1.69</v>
      </c>
      <c r="AG137" s="8">
        <v>1.69</v>
      </c>
      <c r="AH137" s="8">
        <v>1.69</v>
      </c>
      <c r="AI137" s="8">
        <v>1.69</v>
      </c>
      <c r="AJ137" s="8">
        <v>1.69</v>
      </c>
      <c r="AK137" s="8">
        <v>1.69</v>
      </c>
      <c r="AL137" s="8">
        <v>1.69</v>
      </c>
      <c r="AM137" s="8">
        <v>1.69</v>
      </c>
      <c r="AN137" s="8">
        <v>1.69</v>
      </c>
      <c r="AO137" s="8">
        <v>1.69</v>
      </c>
      <c r="AP137" s="8">
        <v>1.69</v>
      </c>
    </row>
    <row r="138" spans="1:42" hidden="1" x14ac:dyDescent="0.3">
      <c r="A138" s="5" t="s">
        <v>278</v>
      </c>
      <c r="B138" s="5" t="s">
        <v>31</v>
      </c>
      <c r="C138" s="22">
        <v>44845</v>
      </c>
      <c r="D138" s="22">
        <v>44847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0.94</v>
      </c>
      <c r="U138" s="3">
        <v>0.94</v>
      </c>
      <c r="V138" s="3">
        <v>0.94</v>
      </c>
      <c r="W138" s="3">
        <v>0.94</v>
      </c>
      <c r="X138" s="3">
        <v>0.94</v>
      </c>
      <c r="Y138" s="3">
        <v>0.94</v>
      </c>
      <c r="Z138" s="3">
        <v>0.94</v>
      </c>
      <c r="AA138" s="3">
        <v>0.94</v>
      </c>
      <c r="AB138" s="3">
        <v>0.94</v>
      </c>
      <c r="AC138" s="3">
        <v>0.94</v>
      </c>
      <c r="AD138" s="3">
        <v>0.94</v>
      </c>
      <c r="AE138" s="3">
        <v>0.94</v>
      </c>
      <c r="AF138" s="3">
        <v>0.94</v>
      </c>
      <c r="AG138" s="3">
        <v>0.94</v>
      </c>
      <c r="AH138" s="3">
        <v>0.94</v>
      </c>
      <c r="AI138" s="3">
        <v>0.94</v>
      </c>
      <c r="AJ138" s="3">
        <v>0.94</v>
      </c>
      <c r="AK138" s="3">
        <v>0.94</v>
      </c>
      <c r="AL138" s="3">
        <v>0.94</v>
      </c>
      <c r="AM138" s="3">
        <v>0.94</v>
      </c>
      <c r="AN138" s="3">
        <v>0.94</v>
      </c>
      <c r="AO138" s="3">
        <v>0.94</v>
      </c>
      <c r="AP138" s="3">
        <v>0.94</v>
      </c>
    </row>
    <row r="139" spans="1:42" hidden="1" x14ac:dyDescent="0.3">
      <c r="A139" s="5" t="s">
        <v>279</v>
      </c>
      <c r="B139" s="5" t="s">
        <v>33</v>
      </c>
      <c r="C139" s="22">
        <v>44833</v>
      </c>
      <c r="D139" s="22">
        <v>44845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0.02</v>
      </c>
      <c r="U139" s="3">
        <v>0.02</v>
      </c>
      <c r="V139" s="3">
        <v>0.02</v>
      </c>
      <c r="W139" s="3">
        <v>0.02</v>
      </c>
      <c r="X139" s="3">
        <v>0.02</v>
      </c>
      <c r="Y139" s="3">
        <v>0.02</v>
      </c>
      <c r="Z139" s="3">
        <v>0.02</v>
      </c>
      <c r="AA139" s="3">
        <v>0.02</v>
      </c>
      <c r="AB139" s="3">
        <v>0.02</v>
      </c>
      <c r="AC139" s="3">
        <v>0.02</v>
      </c>
      <c r="AD139" s="3">
        <v>0.02</v>
      </c>
      <c r="AE139" s="3">
        <v>0.02</v>
      </c>
      <c r="AF139" s="3">
        <v>0.02</v>
      </c>
      <c r="AG139" s="3">
        <v>0.02</v>
      </c>
      <c r="AH139" s="3">
        <v>0.02</v>
      </c>
      <c r="AI139" s="3">
        <v>0.02</v>
      </c>
      <c r="AJ139" s="3">
        <v>0.02</v>
      </c>
      <c r="AK139" s="3">
        <v>0.02</v>
      </c>
      <c r="AL139" s="3">
        <v>0.02</v>
      </c>
      <c r="AM139" s="3">
        <v>0.02</v>
      </c>
      <c r="AN139" s="3">
        <v>0.02</v>
      </c>
      <c r="AO139" s="3">
        <v>0.02</v>
      </c>
      <c r="AP139" s="3">
        <v>0.02</v>
      </c>
    </row>
    <row r="140" spans="1:42" hidden="1" x14ac:dyDescent="0.3">
      <c r="A140" s="5" t="s">
        <v>280</v>
      </c>
      <c r="B140" s="5" t="s">
        <v>14</v>
      </c>
      <c r="C140" s="22">
        <v>44819</v>
      </c>
      <c r="D140" s="22">
        <v>44833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7.0000000000000007E-2</v>
      </c>
      <c r="T140" s="3">
        <v>7.0000000000000007E-2</v>
      </c>
      <c r="U140" s="3">
        <v>7.0000000000000007E-2</v>
      </c>
      <c r="V140" s="3">
        <v>7.0000000000000007E-2</v>
      </c>
      <c r="W140" s="3">
        <v>7.0000000000000007E-2</v>
      </c>
      <c r="X140" s="3">
        <v>7.0000000000000007E-2</v>
      </c>
      <c r="Y140" s="3">
        <v>7.0000000000000007E-2</v>
      </c>
      <c r="Z140" s="3">
        <v>7.0000000000000007E-2</v>
      </c>
      <c r="AA140" s="3">
        <v>7.0000000000000007E-2</v>
      </c>
      <c r="AB140" s="3">
        <v>7.0000000000000007E-2</v>
      </c>
      <c r="AC140" s="3">
        <v>7.0000000000000007E-2</v>
      </c>
      <c r="AD140" s="3">
        <v>7.0000000000000007E-2</v>
      </c>
      <c r="AE140" s="3">
        <v>7.0000000000000007E-2</v>
      </c>
      <c r="AF140" s="3">
        <v>7.0000000000000007E-2</v>
      </c>
      <c r="AG140" s="3">
        <v>7.0000000000000007E-2</v>
      </c>
      <c r="AH140" s="3">
        <v>7.0000000000000007E-2</v>
      </c>
      <c r="AI140" s="3">
        <v>7.0000000000000007E-2</v>
      </c>
      <c r="AJ140" s="3">
        <v>7.0000000000000007E-2</v>
      </c>
      <c r="AK140" s="3">
        <v>7.0000000000000007E-2</v>
      </c>
      <c r="AL140" s="3">
        <v>7.0000000000000007E-2</v>
      </c>
      <c r="AM140" s="3">
        <v>7.0000000000000007E-2</v>
      </c>
      <c r="AN140" s="3">
        <v>7.0000000000000007E-2</v>
      </c>
      <c r="AO140" s="3">
        <v>7.0000000000000007E-2</v>
      </c>
      <c r="AP140" s="3">
        <v>7.0000000000000007E-2</v>
      </c>
    </row>
    <row r="141" spans="1:42" hidden="1" x14ac:dyDescent="0.3">
      <c r="A141" s="5" t="s">
        <v>281</v>
      </c>
      <c r="B141" s="5" t="s">
        <v>14</v>
      </c>
      <c r="C141" s="22">
        <v>44805</v>
      </c>
      <c r="D141" s="22">
        <v>44819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0.09</v>
      </c>
      <c r="T141" s="3">
        <v>0.09</v>
      </c>
      <c r="U141" s="3">
        <v>0.09</v>
      </c>
      <c r="V141" s="3">
        <v>0.09</v>
      </c>
      <c r="W141" s="3">
        <v>0.09</v>
      </c>
      <c r="X141" s="3">
        <v>0.09</v>
      </c>
      <c r="Y141" s="3">
        <v>0.09</v>
      </c>
      <c r="Z141" s="3">
        <v>0.09</v>
      </c>
      <c r="AA141" s="3">
        <v>0.09</v>
      </c>
      <c r="AB141" s="3">
        <v>0.09</v>
      </c>
      <c r="AC141" s="3">
        <v>0.09</v>
      </c>
      <c r="AD141" s="3">
        <v>0.09</v>
      </c>
      <c r="AE141" s="3">
        <v>0.09</v>
      </c>
      <c r="AF141" s="3">
        <v>0.09</v>
      </c>
      <c r="AG141" s="3">
        <v>0.09</v>
      </c>
      <c r="AH141" s="3">
        <v>0.09</v>
      </c>
      <c r="AI141" s="3">
        <v>0.09</v>
      </c>
      <c r="AJ141" s="3">
        <v>0.09</v>
      </c>
      <c r="AK141" s="3">
        <v>0.09</v>
      </c>
      <c r="AL141" s="3">
        <v>0.09</v>
      </c>
      <c r="AM141" s="3">
        <v>0.09</v>
      </c>
      <c r="AN141" s="3">
        <v>0.09</v>
      </c>
      <c r="AO141" s="3">
        <v>0.09</v>
      </c>
      <c r="AP141" s="3">
        <v>0.09</v>
      </c>
    </row>
    <row r="142" spans="1:42" hidden="1" x14ac:dyDescent="0.3">
      <c r="A142" s="5" t="s">
        <v>282</v>
      </c>
      <c r="B142" s="5" t="s">
        <v>14</v>
      </c>
      <c r="C142" s="22">
        <v>44791</v>
      </c>
      <c r="D142" s="22">
        <v>44805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0.09</v>
      </c>
      <c r="S142" s="3">
        <v>0.09</v>
      </c>
      <c r="T142" s="3">
        <v>0.09</v>
      </c>
      <c r="U142" s="3">
        <v>0.09</v>
      </c>
      <c r="V142" s="3">
        <v>0.09</v>
      </c>
      <c r="W142" s="3">
        <v>0.09</v>
      </c>
      <c r="X142" s="3">
        <v>0.09</v>
      </c>
      <c r="Y142" s="3">
        <v>0.09</v>
      </c>
      <c r="Z142" s="3">
        <v>0.09</v>
      </c>
      <c r="AA142" s="3">
        <v>0.09</v>
      </c>
      <c r="AB142" s="3">
        <v>0.09</v>
      </c>
      <c r="AC142" s="3">
        <v>0.09</v>
      </c>
      <c r="AD142" s="3">
        <v>0.09</v>
      </c>
      <c r="AE142" s="3">
        <v>0.09</v>
      </c>
      <c r="AF142" s="3">
        <v>0.09</v>
      </c>
      <c r="AG142" s="3">
        <v>0.09</v>
      </c>
      <c r="AH142" s="3">
        <v>0.09</v>
      </c>
      <c r="AI142" s="3">
        <v>0.09</v>
      </c>
      <c r="AJ142" s="3">
        <v>0.09</v>
      </c>
      <c r="AK142" s="3">
        <v>0.09</v>
      </c>
      <c r="AL142" s="3">
        <v>0.09</v>
      </c>
      <c r="AM142" s="3">
        <v>0.09</v>
      </c>
      <c r="AN142" s="3">
        <v>0.09</v>
      </c>
      <c r="AO142" s="3">
        <v>0.09</v>
      </c>
      <c r="AP142" s="3">
        <v>0.09</v>
      </c>
    </row>
    <row r="143" spans="1:42" hidden="1" x14ac:dyDescent="0.3">
      <c r="A143" s="5" t="s">
        <v>283</v>
      </c>
      <c r="B143" s="5" t="s">
        <v>14</v>
      </c>
      <c r="C143" s="22">
        <v>44777</v>
      </c>
      <c r="D143" s="22">
        <v>44791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0.09</v>
      </c>
      <c r="S143" s="3">
        <v>0.09</v>
      </c>
      <c r="T143" s="3">
        <v>0.09</v>
      </c>
      <c r="U143" s="3">
        <v>0.09</v>
      </c>
      <c r="V143" s="3">
        <v>0.09</v>
      </c>
      <c r="W143" s="3">
        <v>0.09</v>
      </c>
      <c r="X143" s="3">
        <v>0.09</v>
      </c>
      <c r="Y143" s="3">
        <v>0.09</v>
      </c>
      <c r="Z143" s="3">
        <v>0.09</v>
      </c>
      <c r="AA143" s="3">
        <v>0.09</v>
      </c>
      <c r="AB143" s="3">
        <v>0.09</v>
      </c>
      <c r="AC143" s="3">
        <v>0.09</v>
      </c>
      <c r="AD143" s="3">
        <v>0.09</v>
      </c>
      <c r="AE143" s="3">
        <v>0.09</v>
      </c>
      <c r="AF143" s="3">
        <v>0.09</v>
      </c>
      <c r="AG143" s="3">
        <v>0.09</v>
      </c>
      <c r="AH143" s="3">
        <v>0.09</v>
      </c>
      <c r="AI143" s="3">
        <v>0.09</v>
      </c>
      <c r="AJ143" s="3">
        <v>0.09</v>
      </c>
      <c r="AK143" s="3">
        <v>0.09</v>
      </c>
      <c r="AL143" s="3">
        <v>0.09</v>
      </c>
      <c r="AM143" s="3">
        <v>0.09</v>
      </c>
      <c r="AN143" s="3">
        <v>0.09</v>
      </c>
      <c r="AO143" s="3">
        <v>0.09</v>
      </c>
      <c r="AP143" s="3">
        <v>0.09</v>
      </c>
    </row>
    <row r="144" spans="1:42" hidden="1" x14ac:dyDescent="0.3">
      <c r="A144" s="5" t="s">
        <v>284</v>
      </c>
      <c r="B144" s="5" t="s">
        <v>14</v>
      </c>
      <c r="C144" s="22">
        <v>44763</v>
      </c>
      <c r="D144" s="22">
        <v>44777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0.06</v>
      </c>
      <c r="R144" s="3">
        <v>0.09</v>
      </c>
      <c r="S144" s="3">
        <v>0.09</v>
      </c>
      <c r="T144" s="3">
        <v>0.09</v>
      </c>
      <c r="U144" s="3">
        <v>0.09</v>
      </c>
      <c r="V144" s="3">
        <v>0.09</v>
      </c>
      <c r="W144" s="3">
        <v>0.09</v>
      </c>
      <c r="X144" s="3">
        <v>0.09</v>
      </c>
      <c r="Y144" s="3">
        <v>0.09</v>
      </c>
      <c r="Z144" s="3">
        <v>0.09</v>
      </c>
      <c r="AA144" s="3">
        <v>0.09</v>
      </c>
      <c r="AB144" s="3">
        <v>0.09</v>
      </c>
      <c r="AC144" s="3">
        <v>0.09</v>
      </c>
      <c r="AD144" s="3">
        <v>0.09</v>
      </c>
      <c r="AE144" s="3">
        <v>0.09</v>
      </c>
      <c r="AF144" s="3">
        <v>0.09</v>
      </c>
      <c r="AG144" s="3">
        <v>0.09</v>
      </c>
      <c r="AH144" s="3">
        <v>0.09</v>
      </c>
      <c r="AI144" s="3">
        <v>0.09</v>
      </c>
      <c r="AJ144" s="3">
        <v>0.09</v>
      </c>
      <c r="AK144" s="3">
        <v>0.09</v>
      </c>
      <c r="AL144" s="3">
        <v>0.09</v>
      </c>
      <c r="AM144" s="3">
        <v>0.09</v>
      </c>
      <c r="AN144" s="3">
        <v>0.09</v>
      </c>
      <c r="AO144" s="3">
        <v>0.09</v>
      </c>
      <c r="AP144" s="3">
        <v>0.09</v>
      </c>
    </row>
    <row r="145" spans="1:42" hidden="1" x14ac:dyDescent="0.3">
      <c r="A145" s="5" t="s">
        <v>285</v>
      </c>
      <c r="B145" s="5" t="s">
        <v>14</v>
      </c>
      <c r="C145" s="22">
        <v>44749</v>
      </c>
      <c r="D145" s="22">
        <v>44763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0.09</v>
      </c>
      <c r="R145" s="3">
        <v>0.09</v>
      </c>
      <c r="S145" s="3">
        <v>0.09</v>
      </c>
      <c r="T145" s="3">
        <v>0.09</v>
      </c>
      <c r="U145" s="3">
        <v>0.09</v>
      </c>
      <c r="V145" s="3">
        <v>0.09</v>
      </c>
      <c r="W145" s="3">
        <v>0.09</v>
      </c>
      <c r="X145" s="3">
        <v>0.09</v>
      </c>
      <c r="Y145" s="3">
        <v>0.09</v>
      </c>
      <c r="Z145" s="3">
        <v>0.09</v>
      </c>
      <c r="AA145" s="3">
        <v>0.09</v>
      </c>
      <c r="AB145" s="3">
        <v>0.09</v>
      </c>
      <c r="AC145" s="3">
        <v>0.09</v>
      </c>
      <c r="AD145" s="3">
        <v>0.09</v>
      </c>
      <c r="AE145" s="3">
        <v>0.09</v>
      </c>
      <c r="AF145" s="3">
        <v>0.09</v>
      </c>
      <c r="AG145" s="3">
        <v>0.09</v>
      </c>
      <c r="AH145" s="3">
        <v>0.09</v>
      </c>
      <c r="AI145" s="3">
        <v>0.09</v>
      </c>
      <c r="AJ145" s="3">
        <v>0.09</v>
      </c>
      <c r="AK145" s="3">
        <v>0.09</v>
      </c>
      <c r="AL145" s="3">
        <v>0.09</v>
      </c>
      <c r="AM145" s="3">
        <v>0.09</v>
      </c>
      <c r="AN145" s="3">
        <v>0.09</v>
      </c>
      <c r="AO145" s="3">
        <v>0.09</v>
      </c>
      <c r="AP145" s="3">
        <v>0.09</v>
      </c>
    </row>
    <row r="146" spans="1:42" hidden="1" x14ac:dyDescent="0.3">
      <c r="A146" s="4" t="s">
        <v>286</v>
      </c>
      <c r="B146" s="4" t="s">
        <v>35</v>
      </c>
      <c r="C146" s="21">
        <v>44859</v>
      </c>
      <c r="D146" s="21">
        <v>44876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0.14000000000000001</v>
      </c>
      <c r="U146" s="2">
        <v>0.18</v>
      </c>
      <c r="V146" s="2">
        <v>0.18</v>
      </c>
      <c r="W146" s="2">
        <v>0.18</v>
      </c>
      <c r="X146" s="2">
        <v>0.18</v>
      </c>
      <c r="Y146" s="2">
        <v>0.18</v>
      </c>
      <c r="Z146" s="2">
        <v>0.18</v>
      </c>
      <c r="AA146" s="2">
        <v>0.18</v>
      </c>
      <c r="AB146" s="2">
        <v>0.18</v>
      </c>
      <c r="AC146" s="2">
        <v>0.18</v>
      </c>
      <c r="AD146" s="2">
        <v>0.18</v>
      </c>
      <c r="AE146" s="2">
        <v>0.18</v>
      </c>
      <c r="AF146" s="2">
        <v>0.18</v>
      </c>
      <c r="AG146" s="2">
        <v>0.18</v>
      </c>
      <c r="AH146" s="2">
        <v>0.18</v>
      </c>
      <c r="AI146" s="2">
        <v>0.18</v>
      </c>
      <c r="AJ146" s="2">
        <v>0.18</v>
      </c>
      <c r="AK146" s="2">
        <v>0.18</v>
      </c>
      <c r="AL146" s="2">
        <v>0.18</v>
      </c>
      <c r="AM146" s="2">
        <v>0.18</v>
      </c>
      <c r="AN146" s="2">
        <v>0.18</v>
      </c>
      <c r="AO146" s="2">
        <v>0.18</v>
      </c>
      <c r="AP146" s="2">
        <v>0.18</v>
      </c>
    </row>
    <row r="147" spans="1:42" hidden="1" x14ac:dyDescent="0.3">
      <c r="A147" s="5" t="s">
        <v>287</v>
      </c>
      <c r="B147" s="5" t="s">
        <v>29</v>
      </c>
      <c r="C147" s="22">
        <v>44859</v>
      </c>
      <c r="D147" s="22">
        <v>44860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0.12</v>
      </c>
      <c r="U147" s="3">
        <v>0.12</v>
      </c>
      <c r="V147" s="3">
        <v>0.12</v>
      </c>
      <c r="W147" s="3">
        <v>0.12</v>
      </c>
      <c r="X147" s="3">
        <v>0.12</v>
      </c>
      <c r="Y147" s="3">
        <v>0.12</v>
      </c>
      <c r="Z147" s="3">
        <v>0.12</v>
      </c>
      <c r="AA147" s="3">
        <v>0.12</v>
      </c>
      <c r="AB147" s="3">
        <v>0.12</v>
      </c>
      <c r="AC147" s="3">
        <v>0.12</v>
      </c>
      <c r="AD147" s="3">
        <v>0.12</v>
      </c>
      <c r="AE147" s="3">
        <v>0.12</v>
      </c>
      <c r="AF147" s="3">
        <v>0.12</v>
      </c>
      <c r="AG147" s="3">
        <v>0.12</v>
      </c>
      <c r="AH147" s="3">
        <v>0.12</v>
      </c>
      <c r="AI147" s="3">
        <v>0.12</v>
      </c>
      <c r="AJ147" s="3">
        <v>0.12</v>
      </c>
      <c r="AK147" s="3">
        <v>0.12</v>
      </c>
      <c r="AL147" s="3">
        <v>0.12</v>
      </c>
      <c r="AM147" s="3">
        <v>0.12</v>
      </c>
      <c r="AN147" s="3">
        <v>0.12</v>
      </c>
      <c r="AO147" s="3">
        <v>0.12</v>
      </c>
      <c r="AP147" s="3">
        <v>0.12</v>
      </c>
    </row>
    <row r="148" spans="1:42" hidden="1" x14ac:dyDescent="0.3">
      <c r="A148" s="5" t="s">
        <v>288</v>
      </c>
      <c r="B148" s="5" t="s">
        <v>29</v>
      </c>
      <c r="C148" s="22">
        <v>44875</v>
      </c>
      <c r="D148" s="22">
        <v>44876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0.01</v>
      </c>
      <c r="V148" s="3">
        <v>0.01</v>
      </c>
      <c r="W148" s="3">
        <v>0.01</v>
      </c>
      <c r="X148" s="3">
        <v>0.01</v>
      </c>
      <c r="Y148" s="3">
        <v>0.01</v>
      </c>
      <c r="Z148" s="3">
        <v>0.01</v>
      </c>
      <c r="AA148" s="3">
        <v>0.01</v>
      </c>
      <c r="AB148" s="3">
        <v>0.01</v>
      </c>
      <c r="AC148" s="3">
        <v>0.01</v>
      </c>
      <c r="AD148" s="3">
        <v>0.01</v>
      </c>
      <c r="AE148" s="3">
        <v>0.01</v>
      </c>
      <c r="AF148" s="3">
        <v>0.01</v>
      </c>
      <c r="AG148" s="3">
        <v>0.01</v>
      </c>
      <c r="AH148" s="3">
        <v>0.01</v>
      </c>
      <c r="AI148" s="3">
        <v>0.01</v>
      </c>
      <c r="AJ148" s="3">
        <v>0.01</v>
      </c>
      <c r="AK148" s="3">
        <v>0.01</v>
      </c>
      <c r="AL148" s="3">
        <v>0.01</v>
      </c>
      <c r="AM148" s="3">
        <v>0.01</v>
      </c>
      <c r="AN148" s="3">
        <v>0.01</v>
      </c>
      <c r="AO148" s="3">
        <v>0.01</v>
      </c>
      <c r="AP148" s="3">
        <v>0.01</v>
      </c>
    </row>
    <row r="149" spans="1:42" hidden="1" x14ac:dyDescent="0.3">
      <c r="A149" s="5" t="s">
        <v>289</v>
      </c>
      <c r="B149" s="5" t="s">
        <v>29</v>
      </c>
      <c r="C149" s="22">
        <v>44861</v>
      </c>
      <c r="D149" s="22">
        <v>44862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0.01</v>
      </c>
      <c r="U149" s="3">
        <v>0.01</v>
      </c>
      <c r="V149" s="3">
        <v>0.01</v>
      </c>
      <c r="W149" s="3">
        <v>0.01</v>
      </c>
      <c r="X149" s="3">
        <v>0.01</v>
      </c>
      <c r="Y149" s="3">
        <v>0.01</v>
      </c>
      <c r="Z149" s="3">
        <v>0.01</v>
      </c>
      <c r="AA149" s="3">
        <v>0.01</v>
      </c>
      <c r="AB149" s="3">
        <v>0.01</v>
      </c>
      <c r="AC149" s="3">
        <v>0.01</v>
      </c>
      <c r="AD149" s="3">
        <v>0.01</v>
      </c>
      <c r="AE149" s="3">
        <v>0.01</v>
      </c>
      <c r="AF149" s="3">
        <v>0.01</v>
      </c>
      <c r="AG149" s="3">
        <v>0.01</v>
      </c>
      <c r="AH149" s="3">
        <v>0.01</v>
      </c>
      <c r="AI149" s="3">
        <v>0.01</v>
      </c>
      <c r="AJ149" s="3">
        <v>0.01</v>
      </c>
      <c r="AK149" s="3">
        <v>0.01</v>
      </c>
      <c r="AL149" s="3">
        <v>0.01</v>
      </c>
      <c r="AM149" s="3">
        <v>0.01</v>
      </c>
      <c r="AN149" s="3">
        <v>0.01</v>
      </c>
      <c r="AO149" s="3">
        <v>0.01</v>
      </c>
      <c r="AP149" s="3">
        <v>0.01</v>
      </c>
    </row>
    <row r="150" spans="1:42" hidden="1" x14ac:dyDescent="0.3">
      <c r="A150" s="5" t="s">
        <v>290</v>
      </c>
      <c r="B150" s="5" t="s">
        <v>29</v>
      </c>
      <c r="C150" s="22">
        <v>44865</v>
      </c>
      <c r="D150" s="22">
        <v>44866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0.01</v>
      </c>
      <c r="U150" s="3">
        <v>0.01</v>
      </c>
      <c r="V150" s="3">
        <v>0.01</v>
      </c>
      <c r="W150" s="3">
        <v>0.01</v>
      </c>
      <c r="X150" s="3">
        <v>0.01</v>
      </c>
      <c r="Y150" s="3">
        <v>0.01</v>
      </c>
      <c r="Z150" s="3">
        <v>0.01</v>
      </c>
      <c r="AA150" s="3">
        <v>0.01</v>
      </c>
      <c r="AB150" s="3">
        <v>0.01</v>
      </c>
      <c r="AC150" s="3">
        <v>0.01</v>
      </c>
      <c r="AD150" s="3">
        <v>0.01</v>
      </c>
      <c r="AE150" s="3">
        <v>0.01</v>
      </c>
      <c r="AF150" s="3">
        <v>0.01</v>
      </c>
      <c r="AG150" s="3">
        <v>0.01</v>
      </c>
      <c r="AH150" s="3">
        <v>0.01</v>
      </c>
      <c r="AI150" s="3">
        <v>0.01</v>
      </c>
      <c r="AJ150" s="3">
        <v>0.01</v>
      </c>
      <c r="AK150" s="3">
        <v>0.01</v>
      </c>
      <c r="AL150" s="3">
        <v>0.01</v>
      </c>
      <c r="AM150" s="3">
        <v>0.01</v>
      </c>
      <c r="AN150" s="3">
        <v>0.01</v>
      </c>
      <c r="AO150" s="3">
        <v>0.01</v>
      </c>
      <c r="AP150" s="3">
        <v>0.01</v>
      </c>
    </row>
    <row r="151" spans="1:42" hidden="1" x14ac:dyDescent="0.3">
      <c r="A151" s="5" t="s">
        <v>291</v>
      </c>
      <c r="B151" s="5" t="s">
        <v>29</v>
      </c>
      <c r="C151" s="22">
        <v>44867</v>
      </c>
      <c r="D151" s="22">
        <v>44868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0.01</v>
      </c>
      <c r="V151" s="3">
        <v>0.01</v>
      </c>
      <c r="W151" s="3">
        <v>0.01</v>
      </c>
      <c r="X151" s="3">
        <v>0.01</v>
      </c>
      <c r="Y151" s="3">
        <v>0.01</v>
      </c>
      <c r="Z151" s="3">
        <v>0.01</v>
      </c>
      <c r="AA151" s="3">
        <v>0.01</v>
      </c>
      <c r="AB151" s="3">
        <v>0.01</v>
      </c>
      <c r="AC151" s="3">
        <v>0.01</v>
      </c>
      <c r="AD151" s="3">
        <v>0.01</v>
      </c>
      <c r="AE151" s="3">
        <v>0.01</v>
      </c>
      <c r="AF151" s="3">
        <v>0.01</v>
      </c>
      <c r="AG151" s="3">
        <v>0.01</v>
      </c>
      <c r="AH151" s="3">
        <v>0.01</v>
      </c>
      <c r="AI151" s="3">
        <v>0.01</v>
      </c>
      <c r="AJ151" s="3">
        <v>0.01</v>
      </c>
      <c r="AK151" s="3">
        <v>0.01</v>
      </c>
      <c r="AL151" s="3">
        <v>0.01</v>
      </c>
      <c r="AM151" s="3">
        <v>0.01</v>
      </c>
      <c r="AN151" s="3">
        <v>0.01</v>
      </c>
      <c r="AO151" s="3">
        <v>0.01</v>
      </c>
      <c r="AP151" s="3">
        <v>0.01</v>
      </c>
    </row>
    <row r="152" spans="1:42" hidden="1" x14ac:dyDescent="0.3">
      <c r="A152" s="5" t="s">
        <v>292</v>
      </c>
      <c r="B152" s="5" t="s">
        <v>29</v>
      </c>
      <c r="C152" s="22">
        <v>44869</v>
      </c>
      <c r="D152" s="22">
        <v>44872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0.01</v>
      </c>
      <c r="V152" s="3">
        <v>0.01</v>
      </c>
      <c r="W152" s="3">
        <v>0.01</v>
      </c>
      <c r="X152" s="3">
        <v>0.01</v>
      </c>
      <c r="Y152" s="3">
        <v>0.01</v>
      </c>
      <c r="Z152" s="3">
        <v>0.01</v>
      </c>
      <c r="AA152" s="3">
        <v>0.01</v>
      </c>
      <c r="AB152" s="3">
        <v>0.01</v>
      </c>
      <c r="AC152" s="3">
        <v>0.01</v>
      </c>
      <c r="AD152" s="3">
        <v>0.01</v>
      </c>
      <c r="AE152" s="3">
        <v>0.01</v>
      </c>
      <c r="AF152" s="3">
        <v>0.01</v>
      </c>
      <c r="AG152" s="3">
        <v>0.01</v>
      </c>
      <c r="AH152" s="3">
        <v>0.01</v>
      </c>
      <c r="AI152" s="3">
        <v>0.01</v>
      </c>
      <c r="AJ152" s="3">
        <v>0.01</v>
      </c>
      <c r="AK152" s="3">
        <v>0.01</v>
      </c>
      <c r="AL152" s="3">
        <v>0.01</v>
      </c>
      <c r="AM152" s="3">
        <v>0.01</v>
      </c>
      <c r="AN152" s="3">
        <v>0.01</v>
      </c>
      <c r="AO152" s="3">
        <v>0.01</v>
      </c>
      <c r="AP152" s="3">
        <v>0.01</v>
      </c>
    </row>
    <row r="153" spans="1:42" hidden="1" x14ac:dyDescent="0.3">
      <c r="A153" s="5" t="s">
        <v>293</v>
      </c>
      <c r="B153" s="5" t="s">
        <v>29</v>
      </c>
      <c r="C153" s="22">
        <v>44873</v>
      </c>
      <c r="D153" s="22">
        <v>44874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0.01</v>
      </c>
      <c r="V153" s="3">
        <v>0.01</v>
      </c>
      <c r="W153" s="3">
        <v>0.01</v>
      </c>
      <c r="X153" s="3">
        <v>0.01</v>
      </c>
      <c r="Y153" s="3">
        <v>0.01</v>
      </c>
      <c r="Z153" s="3">
        <v>0.01</v>
      </c>
      <c r="AA153" s="3">
        <v>0.01</v>
      </c>
      <c r="AB153" s="3">
        <v>0.01</v>
      </c>
      <c r="AC153" s="3">
        <v>0.01</v>
      </c>
      <c r="AD153" s="3">
        <v>0.01</v>
      </c>
      <c r="AE153" s="3">
        <v>0.01</v>
      </c>
      <c r="AF153" s="3">
        <v>0.01</v>
      </c>
      <c r="AG153" s="3">
        <v>0.01</v>
      </c>
      <c r="AH153" s="3">
        <v>0.01</v>
      </c>
      <c r="AI153" s="3">
        <v>0.01</v>
      </c>
      <c r="AJ153" s="3">
        <v>0.01</v>
      </c>
      <c r="AK153" s="3">
        <v>0.01</v>
      </c>
      <c r="AL153" s="3">
        <v>0.01</v>
      </c>
      <c r="AM153" s="3">
        <v>0.01</v>
      </c>
      <c r="AN153" s="3">
        <v>0.01</v>
      </c>
      <c r="AO153" s="3">
        <v>0.01</v>
      </c>
      <c r="AP153" s="3">
        <v>0.01</v>
      </c>
    </row>
    <row r="154" spans="1:42" hidden="1" x14ac:dyDescent="0.3">
      <c r="A154" s="5" t="s">
        <v>294</v>
      </c>
      <c r="B154" s="5" t="s">
        <v>12</v>
      </c>
      <c r="C154" s="22">
        <v>44903</v>
      </c>
      <c r="D154" s="22">
        <v>44907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0.01</v>
      </c>
      <c r="W154" s="3">
        <v>0.01</v>
      </c>
      <c r="X154" s="3">
        <v>0.01</v>
      </c>
      <c r="Y154" s="3">
        <v>0.01</v>
      </c>
      <c r="Z154" s="3">
        <v>0.01</v>
      </c>
      <c r="AA154" s="3">
        <v>0.01</v>
      </c>
      <c r="AB154" s="3">
        <v>0.01</v>
      </c>
      <c r="AC154" s="3">
        <v>0.01</v>
      </c>
      <c r="AD154" s="3">
        <v>0.01</v>
      </c>
      <c r="AE154" s="3">
        <v>0.01</v>
      </c>
      <c r="AF154" s="3">
        <v>0.01</v>
      </c>
      <c r="AG154" s="3">
        <v>0.01</v>
      </c>
      <c r="AH154" s="3">
        <v>0.01</v>
      </c>
      <c r="AI154" s="3">
        <v>0.01</v>
      </c>
      <c r="AJ154" s="3">
        <v>0.01</v>
      </c>
      <c r="AK154" s="3">
        <v>0.01</v>
      </c>
      <c r="AL154" s="3">
        <v>0.01</v>
      </c>
      <c r="AM154" s="3">
        <v>0.01</v>
      </c>
      <c r="AN154" s="3">
        <v>0.01</v>
      </c>
      <c r="AO154" s="3">
        <v>0.01</v>
      </c>
      <c r="AP154" s="3">
        <v>0.01</v>
      </c>
    </row>
    <row r="155" spans="1:42" hidden="1" x14ac:dyDescent="0.3">
      <c r="A155" s="15" t="s">
        <v>295</v>
      </c>
      <c r="B155" s="15" t="s">
        <v>41</v>
      </c>
      <c r="C155" s="20">
        <v>44763</v>
      </c>
      <c r="D155" s="20">
        <v>44837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0.06</v>
      </c>
      <c r="R155" s="8">
        <v>0.17</v>
      </c>
      <c r="S155" s="8">
        <v>0.43</v>
      </c>
      <c r="T155" s="8">
        <v>0.54</v>
      </c>
      <c r="U155" s="8">
        <v>0.54</v>
      </c>
      <c r="V155" s="8">
        <v>0.54</v>
      </c>
      <c r="W155" s="8">
        <v>0.54</v>
      </c>
      <c r="X155" s="8">
        <v>0.54</v>
      </c>
      <c r="Y155" s="8">
        <v>0.54</v>
      </c>
      <c r="Z155" s="8">
        <v>0.54</v>
      </c>
      <c r="AA155" s="8">
        <v>0.54</v>
      </c>
      <c r="AB155" s="8">
        <v>0.54</v>
      </c>
      <c r="AC155" s="8">
        <v>0.54</v>
      </c>
      <c r="AD155" s="8">
        <v>0.54</v>
      </c>
      <c r="AE155" s="8">
        <v>0.54</v>
      </c>
      <c r="AF155" s="8">
        <v>0.54</v>
      </c>
      <c r="AG155" s="8">
        <v>0.54</v>
      </c>
      <c r="AH155" s="8">
        <v>0.54</v>
      </c>
      <c r="AI155" s="8">
        <v>0.54</v>
      </c>
      <c r="AJ155" s="8">
        <v>0.54</v>
      </c>
      <c r="AK155" s="8">
        <v>0.54</v>
      </c>
      <c r="AL155" s="8">
        <v>0.54</v>
      </c>
      <c r="AM155" s="8">
        <v>0.54</v>
      </c>
      <c r="AN155" s="8">
        <v>0.54</v>
      </c>
      <c r="AO155" s="8">
        <v>0.54</v>
      </c>
      <c r="AP155" s="8">
        <v>0.54</v>
      </c>
    </row>
    <row r="156" spans="1:42" hidden="1" x14ac:dyDescent="0.3">
      <c r="A156" s="5" t="s">
        <v>296</v>
      </c>
      <c r="B156" s="5" t="s">
        <v>31</v>
      </c>
      <c r="C156" s="22">
        <v>44833</v>
      </c>
      <c r="D156" s="22">
        <v>44837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0.19</v>
      </c>
      <c r="T156" s="3">
        <v>0.3</v>
      </c>
      <c r="U156" s="3">
        <v>0.3</v>
      </c>
      <c r="V156" s="3">
        <v>0.3</v>
      </c>
      <c r="W156" s="3">
        <v>0.3</v>
      </c>
      <c r="X156" s="3">
        <v>0.3</v>
      </c>
      <c r="Y156" s="3">
        <v>0.3</v>
      </c>
      <c r="Z156" s="3">
        <v>0.3</v>
      </c>
      <c r="AA156" s="3">
        <v>0.3</v>
      </c>
      <c r="AB156" s="3">
        <v>0.3</v>
      </c>
      <c r="AC156" s="3">
        <v>0.3</v>
      </c>
      <c r="AD156" s="3">
        <v>0.3</v>
      </c>
      <c r="AE156" s="3">
        <v>0.3</v>
      </c>
      <c r="AF156" s="3">
        <v>0.3</v>
      </c>
      <c r="AG156" s="3">
        <v>0.3</v>
      </c>
      <c r="AH156" s="3">
        <v>0.3</v>
      </c>
      <c r="AI156" s="3">
        <v>0.3</v>
      </c>
      <c r="AJ156" s="3">
        <v>0.3</v>
      </c>
      <c r="AK156" s="3">
        <v>0.3</v>
      </c>
      <c r="AL156" s="3">
        <v>0.3</v>
      </c>
      <c r="AM156" s="3">
        <v>0.3</v>
      </c>
      <c r="AN156" s="3">
        <v>0.3</v>
      </c>
      <c r="AO156" s="3">
        <v>0.3</v>
      </c>
      <c r="AP156" s="3">
        <v>0.3</v>
      </c>
    </row>
    <row r="157" spans="1:42" hidden="1" x14ac:dyDescent="0.3">
      <c r="A157" s="5" t="s">
        <v>297</v>
      </c>
      <c r="B157" s="5" t="s">
        <v>42</v>
      </c>
      <c r="C157" s="22">
        <v>44819</v>
      </c>
      <c r="D157" s="22">
        <v>44827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0.02</v>
      </c>
      <c r="T157" s="3">
        <v>0.02</v>
      </c>
      <c r="U157" s="3">
        <v>0.02</v>
      </c>
      <c r="V157" s="3">
        <v>0.02</v>
      </c>
      <c r="W157" s="3">
        <v>0.02</v>
      </c>
      <c r="X157" s="3">
        <v>0.02</v>
      </c>
      <c r="Y157" s="3">
        <v>0.02</v>
      </c>
      <c r="Z157" s="3">
        <v>0.02</v>
      </c>
      <c r="AA157" s="3">
        <v>0.02</v>
      </c>
      <c r="AB157" s="3">
        <v>0.02</v>
      </c>
      <c r="AC157" s="3">
        <v>0.02</v>
      </c>
      <c r="AD157" s="3">
        <v>0.02</v>
      </c>
      <c r="AE157" s="3">
        <v>0.02</v>
      </c>
      <c r="AF157" s="3">
        <v>0.02</v>
      </c>
      <c r="AG157" s="3">
        <v>0.02</v>
      </c>
      <c r="AH157" s="3">
        <v>0.02</v>
      </c>
      <c r="AI157" s="3">
        <v>0.02</v>
      </c>
      <c r="AJ157" s="3">
        <v>0.02</v>
      </c>
      <c r="AK157" s="3">
        <v>0.02</v>
      </c>
      <c r="AL157" s="3">
        <v>0.02</v>
      </c>
      <c r="AM157" s="3">
        <v>0.02</v>
      </c>
      <c r="AN157" s="3">
        <v>0.02</v>
      </c>
      <c r="AO157" s="3">
        <v>0.02</v>
      </c>
      <c r="AP157" s="3">
        <v>0.02</v>
      </c>
    </row>
    <row r="158" spans="1:42" hidden="1" x14ac:dyDescent="0.3">
      <c r="A158" s="5" t="s">
        <v>298</v>
      </c>
      <c r="B158" s="5" t="s">
        <v>42</v>
      </c>
      <c r="C158" s="22">
        <v>44805</v>
      </c>
      <c r="D158" s="22">
        <v>44813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0.06</v>
      </c>
      <c r="T158" s="3">
        <v>0.06</v>
      </c>
      <c r="U158" s="3">
        <v>0.06</v>
      </c>
      <c r="V158" s="3">
        <v>0.06</v>
      </c>
      <c r="W158" s="3">
        <v>0.06</v>
      </c>
      <c r="X158" s="3">
        <v>0.06</v>
      </c>
      <c r="Y158" s="3">
        <v>0.06</v>
      </c>
      <c r="Z158" s="3">
        <v>0.06</v>
      </c>
      <c r="AA158" s="3">
        <v>0.06</v>
      </c>
      <c r="AB158" s="3">
        <v>0.06</v>
      </c>
      <c r="AC158" s="3">
        <v>0.06</v>
      </c>
      <c r="AD158" s="3">
        <v>0.06</v>
      </c>
      <c r="AE158" s="3">
        <v>0.06</v>
      </c>
      <c r="AF158" s="3">
        <v>0.06</v>
      </c>
      <c r="AG158" s="3">
        <v>0.06</v>
      </c>
      <c r="AH158" s="3">
        <v>0.06</v>
      </c>
      <c r="AI158" s="3">
        <v>0.06</v>
      </c>
      <c r="AJ158" s="3">
        <v>0.06</v>
      </c>
      <c r="AK158" s="3">
        <v>0.06</v>
      </c>
      <c r="AL158" s="3">
        <v>0.06</v>
      </c>
      <c r="AM158" s="3">
        <v>0.06</v>
      </c>
      <c r="AN158" s="3">
        <v>0.06</v>
      </c>
      <c r="AO158" s="3">
        <v>0.06</v>
      </c>
      <c r="AP158" s="3">
        <v>0.06</v>
      </c>
    </row>
    <row r="159" spans="1:42" hidden="1" x14ac:dyDescent="0.3">
      <c r="A159" s="5" t="s">
        <v>299</v>
      </c>
      <c r="B159" s="5" t="s">
        <v>42</v>
      </c>
      <c r="C159" s="22">
        <v>44791</v>
      </c>
      <c r="D159" s="22">
        <v>44799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0.06</v>
      </c>
      <c r="S159" s="3">
        <v>0.06</v>
      </c>
      <c r="T159" s="3">
        <v>0.06</v>
      </c>
      <c r="U159" s="3">
        <v>0.06</v>
      </c>
      <c r="V159" s="3">
        <v>0.06</v>
      </c>
      <c r="W159" s="3">
        <v>0.06</v>
      </c>
      <c r="X159" s="3">
        <v>0.06</v>
      </c>
      <c r="Y159" s="3">
        <v>0.06</v>
      </c>
      <c r="Z159" s="3">
        <v>0.06</v>
      </c>
      <c r="AA159" s="3">
        <v>0.06</v>
      </c>
      <c r="AB159" s="3">
        <v>0.06</v>
      </c>
      <c r="AC159" s="3">
        <v>0.06</v>
      </c>
      <c r="AD159" s="3">
        <v>0.06</v>
      </c>
      <c r="AE159" s="3">
        <v>0.06</v>
      </c>
      <c r="AF159" s="3">
        <v>0.06</v>
      </c>
      <c r="AG159" s="3">
        <v>0.06</v>
      </c>
      <c r="AH159" s="3">
        <v>0.06</v>
      </c>
      <c r="AI159" s="3">
        <v>0.06</v>
      </c>
      <c r="AJ159" s="3">
        <v>0.06</v>
      </c>
      <c r="AK159" s="3">
        <v>0.06</v>
      </c>
      <c r="AL159" s="3">
        <v>0.06</v>
      </c>
      <c r="AM159" s="3">
        <v>0.06</v>
      </c>
      <c r="AN159" s="3">
        <v>0.06</v>
      </c>
      <c r="AO159" s="3">
        <v>0.06</v>
      </c>
      <c r="AP159" s="3">
        <v>0.06</v>
      </c>
    </row>
    <row r="160" spans="1:42" hidden="1" x14ac:dyDescent="0.3">
      <c r="A160" s="5" t="s">
        <v>300</v>
      </c>
      <c r="B160" s="5" t="s">
        <v>42</v>
      </c>
      <c r="C160" s="22">
        <v>44777</v>
      </c>
      <c r="D160" s="22">
        <v>44785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0.06</v>
      </c>
      <c r="S160" s="3">
        <v>0.06</v>
      </c>
      <c r="T160" s="3">
        <v>0.06</v>
      </c>
      <c r="U160" s="3">
        <v>0.06</v>
      </c>
      <c r="V160" s="3">
        <v>0.06</v>
      </c>
      <c r="W160" s="3">
        <v>0.06</v>
      </c>
      <c r="X160" s="3">
        <v>0.06</v>
      </c>
      <c r="Y160" s="3">
        <v>0.06</v>
      </c>
      <c r="Z160" s="3">
        <v>0.06</v>
      </c>
      <c r="AA160" s="3">
        <v>0.06</v>
      </c>
      <c r="AB160" s="3">
        <v>0.06</v>
      </c>
      <c r="AC160" s="3">
        <v>0.06</v>
      </c>
      <c r="AD160" s="3">
        <v>0.06</v>
      </c>
      <c r="AE160" s="3">
        <v>0.06</v>
      </c>
      <c r="AF160" s="3">
        <v>0.06</v>
      </c>
      <c r="AG160" s="3">
        <v>0.06</v>
      </c>
      <c r="AH160" s="3">
        <v>0.06</v>
      </c>
      <c r="AI160" s="3">
        <v>0.06</v>
      </c>
      <c r="AJ160" s="3">
        <v>0.06</v>
      </c>
      <c r="AK160" s="3">
        <v>0.06</v>
      </c>
      <c r="AL160" s="3">
        <v>0.06</v>
      </c>
      <c r="AM160" s="3">
        <v>0.06</v>
      </c>
      <c r="AN160" s="3">
        <v>0.06</v>
      </c>
      <c r="AO160" s="3">
        <v>0.06</v>
      </c>
      <c r="AP160" s="3">
        <v>0.06</v>
      </c>
    </row>
    <row r="161" spans="1:42" hidden="1" x14ac:dyDescent="0.3">
      <c r="A161" s="5" t="s">
        <v>301</v>
      </c>
      <c r="B161" s="5" t="s">
        <v>42</v>
      </c>
      <c r="C161" s="22">
        <v>44763</v>
      </c>
      <c r="D161" s="22">
        <v>44771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0.06</v>
      </c>
      <c r="R161" s="3">
        <v>0.06</v>
      </c>
      <c r="S161" s="3">
        <v>0.06</v>
      </c>
      <c r="T161" s="3">
        <v>0.06</v>
      </c>
      <c r="U161" s="3">
        <v>0.06</v>
      </c>
      <c r="V161" s="3">
        <v>0.06</v>
      </c>
      <c r="W161" s="3">
        <v>0.06</v>
      </c>
      <c r="X161" s="3">
        <v>0.06</v>
      </c>
      <c r="Y161" s="3">
        <v>0.06</v>
      </c>
      <c r="Z161" s="3">
        <v>0.06</v>
      </c>
      <c r="AA161" s="3">
        <v>0.06</v>
      </c>
      <c r="AB161" s="3">
        <v>0.06</v>
      </c>
      <c r="AC161" s="3">
        <v>0.06</v>
      </c>
      <c r="AD161" s="3">
        <v>0.06</v>
      </c>
      <c r="AE161" s="3">
        <v>0.06</v>
      </c>
      <c r="AF161" s="3">
        <v>0.06</v>
      </c>
      <c r="AG161" s="3">
        <v>0.06</v>
      </c>
      <c r="AH161" s="3">
        <v>0.06</v>
      </c>
      <c r="AI161" s="3">
        <v>0.06</v>
      </c>
      <c r="AJ161" s="3">
        <v>0.06</v>
      </c>
      <c r="AK161" s="3">
        <v>0.06</v>
      </c>
      <c r="AL161" s="3">
        <v>0.06</v>
      </c>
      <c r="AM161" s="3">
        <v>0.06</v>
      </c>
      <c r="AN161" s="3">
        <v>0.06</v>
      </c>
      <c r="AO161" s="3">
        <v>0.06</v>
      </c>
      <c r="AP161" s="3">
        <v>0.06</v>
      </c>
    </row>
    <row r="162" spans="1:42" hidden="1" x14ac:dyDescent="0.3">
      <c r="A162" s="14" t="s">
        <v>302</v>
      </c>
      <c r="B162" s="14" t="s">
        <v>43</v>
      </c>
      <c r="C162" s="19">
        <v>44763</v>
      </c>
      <c r="D162" s="19">
        <v>45314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0.05</v>
      </c>
      <c r="R162" s="7">
        <v>0.25</v>
      </c>
      <c r="S162" s="7">
        <v>0.43</v>
      </c>
      <c r="T162" s="7">
        <v>0.6</v>
      </c>
      <c r="U162" s="7">
        <v>0.81</v>
      </c>
      <c r="V162" s="7">
        <v>0.92</v>
      </c>
      <c r="W162" s="7">
        <v>2.4500000000000002</v>
      </c>
      <c r="X162" s="7">
        <v>2.61</v>
      </c>
      <c r="Y162" s="7">
        <v>2.78</v>
      </c>
      <c r="Z162" s="7">
        <v>4.1500000000000004</v>
      </c>
      <c r="AA162" s="7">
        <v>4.24</v>
      </c>
      <c r="AB162" s="7">
        <v>4.5199999999999996</v>
      </c>
      <c r="AC162" s="7">
        <v>4.88</v>
      </c>
      <c r="AD162" s="7">
        <v>4.88</v>
      </c>
      <c r="AE162" s="7">
        <v>4.88</v>
      </c>
      <c r="AF162" s="7">
        <v>5.09</v>
      </c>
      <c r="AG162" s="7">
        <v>7.9</v>
      </c>
      <c r="AH162" s="7">
        <v>7.93</v>
      </c>
      <c r="AI162" s="7">
        <v>8.09</v>
      </c>
      <c r="AJ162" s="7">
        <v>8.09</v>
      </c>
      <c r="AK162" s="7">
        <v>8.09</v>
      </c>
      <c r="AL162" s="7">
        <v>8.09</v>
      </c>
      <c r="AM162" s="7">
        <v>8.09</v>
      </c>
      <c r="AN162" s="7">
        <v>8.09</v>
      </c>
      <c r="AO162" s="7">
        <v>8.09</v>
      </c>
      <c r="AP162" s="7">
        <v>8.09</v>
      </c>
    </row>
    <row r="163" spans="1:42" hidden="1" x14ac:dyDescent="0.3">
      <c r="A163" s="15" t="s">
        <v>303</v>
      </c>
      <c r="B163" s="15" t="s">
        <v>44</v>
      </c>
      <c r="C163" s="20">
        <v>44763</v>
      </c>
      <c r="D163" s="20">
        <v>44951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0.05</v>
      </c>
      <c r="R163" s="8">
        <v>0.25</v>
      </c>
      <c r="S163" s="8">
        <v>0.43</v>
      </c>
      <c r="T163" s="8">
        <v>0.6</v>
      </c>
      <c r="U163" s="8">
        <v>0.72</v>
      </c>
      <c r="V163" s="8">
        <v>0.75</v>
      </c>
      <c r="W163" s="8">
        <v>2.0699999999999998</v>
      </c>
      <c r="X163" s="8">
        <v>2.0699999999999998</v>
      </c>
      <c r="Y163" s="8">
        <v>2.0699999999999998</v>
      </c>
      <c r="Z163" s="8">
        <v>2.0699999999999998</v>
      </c>
      <c r="AA163" s="8">
        <v>2.0699999999999998</v>
      </c>
      <c r="AB163" s="8">
        <v>2.0699999999999998</v>
      </c>
      <c r="AC163" s="8">
        <v>2.0699999999999998</v>
      </c>
      <c r="AD163" s="8">
        <v>2.0699999999999998</v>
      </c>
      <c r="AE163" s="8">
        <v>2.0699999999999998</v>
      </c>
      <c r="AF163" s="8">
        <v>2.0699999999999998</v>
      </c>
      <c r="AG163" s="8">
        <v>2.0699999999999998</v>
      </c>
      <c r="AH163" s="8">
        <v>2.0699999999999998</v>
      </c>
      <c r="AI163" s="8">
        <v>2.0699999999999998</v>
      </c>
      <c r="AJ163" s="8">
        <v>2.0699999999999998</v>
      </c>
      <c r="AK163" s="8">
        <v>2.0699999999999998</v>
      </c>
      <c r="AL163" s="8">
        <v>2.0699999999999998</v>
      </c>
      <c r="AM163" s="8">
        <v>2.0699999999999998</v>
      </c>
      <c r="AN163" s="8">
        <v>2.0699999999999998</v>
      </c>
      <c r="AO163" s="8">
        <v>2.0699999999999998</v>
      </c>
      <c r="AP163" s="8">
        <v>2.0699999999999998</v>
      </c>
    </row>
    <row r="164" spans="1:42" hidden="1" x14ac:dyDescent="0.3">
      <c r="A164" s="5" t="s">
        <v>304</v>
      </c>
      <c r="B164" s="5" t="s">
        <v>29</v>
      </c>
      <c r="C164" s="22">
        <v>44928</v>
      </c>
      <c r="D164" s="22">
        <v>44929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1.06</v>
      </c>
      <c r="X164" s="3">
        <v>1.06</v>
      </c>
      <c r="Y164" s="3">
        <v>1.06</v>
      </c>
      <c r="Z164" s="3">
        <v>1.06</v>
      </c>
      <c r="AA164" s="3">
        <v>1.06</v>
      </c>
      <c r="AB164" s="3">
        <v>1.06</v>
      </c>
      <c r="AC164" s="3">
        <v>1.06</v>
      </c>
      <c r="AD164" s="3">
        <v>1.06</v>
      </c>
      <c r="AE164" s="3">
        <v>1.06</v>
      </c>
      <c r="AF164" s="3">
        <v>1.06</v>
      </c>
      <c r="AG164" s="3">
        <v>1.06</v>
      </c>
      <c r="AH164" s="3">
        <v>1.06</v>
      </c>
      <c r="AI164" s="3">
        <v>1.06</v>
      </c>
      <c r="AJ164" s="3">
        <v>1.06</v>
      </c>
      <c r="AK164" s="3">
        <v>1.06</v>
      </c>
      <c r="AL164" s="3">
        <v>1.06</v>
      </c>
      <c r="AM164" s="3">
        <v>1.06</v>
      </c>
      <c r="AN164" s="3">
        <v>1.06</v>
      </c>
      <c r="AO164" s="3">
        <v>1.06</v>
      </c>
      <c r="AP164" s="3">
        <v>1.06</v>
      </c>
    </row>
    <row r="165" spans="1:42" hidden="1" x14ac:dyDescent="0.3">
      <c r="A165" s="5" t="s">
        <v>305</v>
      </c>
      <c r="B165" s="5" t="s">
        <v>9</v>
      </c>
      <c r="C165" s="22">
        <v>44908</v>
      </c>
      <c r="D165" s="22">
        <v>44928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0.01</v>
      </c>
      <c r="W165" s="3">
        <v>0.01</v>
      </c>
      <c r="X165" s="3">
        <v>0.01</v>
      </c>
      <c r="Y165" s="3">
        <v>0.01</v>
      </c>
      <c r="Z165" s="3">
        <v>0.01</v>
      </c>
      <c r="AA165" s="3">
        <v>0.01</v>
      </c>
      <c r="AB165" s="3">
        <v>0.01</v>
      </c>
      <c r="AC165" s="3">
        <v>0.01</v>
      </c>
      <c r="AD165" s="3">
        <v>0.01</v>
      </c>
      <c r="AE165" s="3">
        <v>0.01</v>
      </c>
      <c r="AF165" s="3">
        <v>0.01</v>
      </c>
      <c r="AG165" s="3">
        <v>0.01</v>
      </c>
      <c r="AH165" s="3">
        <v>0.01</v>
      </c>
      <c r="AI165" s="3">
        <v>0.01</v>
      </c>
      <c r="AJ165" s="3">
        <v>0.01</v>
      </c>
      <c r="AK165" s="3">
        <v>0.01</v>
      </c>
      <c r="AL165" s="3">
        <v>0.01</v>
      </c>
      <c r="AM165" s="3">
        <v>0.01</v>
      </c>
      <c r="AN165" s="3">
        <v>0.01</v>
      </c>
      <c r="AO165" s="3">
        <v>0.01</v>
      </c>
      <c r="AP165" s="3">
        <v>0.01</v>
      </c>
    </row>
    <row r="166" spans="1:42" hidden="1" x14ac:dyDescent="0.3">
      <c r="A166" s="5" t="s">
        <v>306</v>
      </c>
      <c r="B166" s="5" t="s">
        <v>45</v>
      </c>
      <c r="C166" s="22">
        <v>44883</v>
      </c>
      <c r="D166" s="22">
        <v>44908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0.02</v>
      </c>
      <c r="V166" s="3">
        <v>0.04</v>
      </c>
      <c r="W166" s="3">
        <v>0.04</v>
      </c>
      <c r="X166" s="3">
        <v>0.04</v>
      </c>
      <c r="Y166" s="3">
        <v>0.04</v>
      </c>
      <c r="Z166" s="3">
        <v>0.04</v>
      </c>
      <c r="AA166" s="3">
        <v>0.04</v>
      </c>
      <c r="AB166" s="3">
        <v>0.04</v>
      </c>
      <c r="AC166" s="3">
        <v>0.04</v>
      </c>
      <c r="AD166" s="3">
        <v>0.04</v>
      </c>
      <c r="AE166" s="3">
        <v>0.04</v>
      </c>
      <c r="AF166" s="3">
        <v>0.04</v>
      </c>
      <c r="AG166" s="3">
        <v>0.04</v>
      </c>
      <c r="AH166" s="3">
        <v>0.04</v>
      </c>
      <c r="AI166" s="3">
        <v>0.04</v>
      </c>
      <c r="AJ166" s="3">
        <v>0.04</v>
      </c>
      <c r="AK166" s="3">
        <v>0.04</v>
      </c>
      <c r="AL166" s="3">
        <v>0.04</v>
      </c>
      <c r="AM166" s="3">
        <v>0.04</v>
      </c>
      <c r="AN166" s="3">
        <v>0.04</v>
      </c>
      <c r="AO166" s="3">
        <v>0.04</v>
      </c>
      <c r="AP166" s="3">
        <v>0.04</v>
      </c>
    </row>
    <row r="167" spans="1:42" hidden="1" x14ac:dyDescent="0.3">
      <c r="A167" s="5" t="s">
        <v>307</v>
      </c>
      <c r="B167" s="5" t="s">
        <v>45</v>
      </c>
      <c r="C167" s="22">
        <v>44859</v>
      </c>
      <c r="D167" s="22">
        <v>44883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0.04</v>
      </c>
      <c r="U167" s="3">
        <v>0.14000000000000001</v>
      </c>
      <c r="V167" s="3">
        <v>0.14000000000000001</v>
      </c>
      <c r="W167" s="3">
        <v>0.14000000000000001</v>
      </c>
      <c r="X167" s="3">
        <v>0.14000000000000001</v>
      </c>
      <c r="Y167" s="3">
        <v>0.14000000000000001</v>
      </c>
      <c r="Z167" s="3">
        <v>0.14000000000000001</v>
      </c>
      <c r="AA167" s="3">
        <v>0.14000000000000001</v>
      </c>
      <c r="AB167" s="3">
        <v>0.14000000000000001</v>
      </c>
      <c r="AC167" s="3">
        <v>0.14000000000000001</v>
      </c>
      <c r="AD167" s="3">
        <v>0.14000000000000001</v>
      </c>
      <c r="AE167" s="3">
        <v>0.14000000000000001</v>
      </c>
      <c r="AF167" s="3">
        <v>0.14000000000000001</v>
      </c>
      <c r="AG167" s="3">
        <v>0.14000000000000001</v>
      </c>
      <c r="AH167" s="3">
        <v>0.14000000000000001</v>
      </c>
      <c r="AI167" s="3">
        <v>0.14000000000000001</v>
      </c>
      <c r="AJ167" s="3">
        <v>0.14000000000000001</v>
      </c>
      <c r="AK167" s="3">
        <v>0.14000000000000001</v>
      </c>
      <c r="AL167" s="3">
        <v>0.14000000000000001</v>
      </c>
      <c r="AM167" s="3">
        <v>0.14000000000000001</v>
      </c>
      <c r="AN167" s="3">
        <v>0.14000000000000001</v>
      </c>
      <c r="AO167" s="3">
        <v>0.14000000000000001</v>
      </c>
      <c r="AP167" s="3">
        <v>0.14000000000000001</v>
      </c>
    </row>
    <row r="168" spans="1:42" hidden="1" x14ac:dyDescent="0.3">
      <c r="A168" s="5" t="s">
        <v>308</v>
      </c>
      <c r="B168" s="5" t="s">
        <v>45</v>
      </c>
      <c r="C168" s="22">
        <v>44834</v>
      </c>
      <c r="D168" s="22">
        <v>44859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0.01</v>
      </c>
      <c r="T168" s="3">
        <v>0.14000000000000001</v>
      </c>
      <c r="U168" s="3">
        <v>0.14000000000000001</v>
      </c>
      <c r="V168" s="3">
        <v>0.14000000000000001</v>
      </c>
      <c r="W168" s="3">
        <v>0.14000000000000001</v>
      </c>
      <c r="X168" s="3">
        <v>0.14000000000000001</v>
      </c>
      <c r="Y168" s="3">
        <v>0.14000000000000001</v>
      </c>
      <c r="Z168" s="3">
        <v>0.14000000000000001</v>
      </c>
      <c r="AA168" s="3">
        <v>0.14000000000000001</v>
      </c>
      <c r="AB168" s="3">
        <v>0.14000000000000001</v>
      </c>
      <c r="AC168" s="3">
        <v>0.14000000000000001</v>
      </c>
      <c r="AD168" s="3">
        <v>0.14000000000000001</v>
      </c>
      <c r="AE168" s="3">
        <v>0.14000000000000001</v>
      </c>
      <c r="AF168" s="3">
        <v>0.14000000000000001</v>
      </c>
      <c r="AG168" s="3">
        <v>0.14000000000000001</v>
      </c>
      <c r="AH168" s="3">
        <v>0.14000000000000001</v>
      </c>
      <c r="AI168" s="3">
        <v>0.14000000000000001</v>
      </c>
      <c r="AJ168" s="3">
        <v>0.14000000000000001</v>
      </c>
      <c r="AK168" s="3">
        <v>0.14000000000000001</v>
      </c>
      <c r="AL168" s="3">
        <v>0.14000000000000001</v>
      </c>
      <c r="AM168" s="3">
        <v>0.14000000000000001</v>
      </c>
      <c r="AN168" s="3">
        <v>0.14000000000000001</v>
      </c>
      <c r="AO168" s="3">
        <v>0.14000000000000001</v>
      </c>
      <c r="AP168" s="3">
        <v>0.14000000000000001</v>
      </c>
    </row>
    <row r="169" spans="1:42" hidden="1" x14ac:dyDescent="0.3">
      <c r="A169" s="5" t="s">
        <v>309</v>
      </c>
      <c r="B169" s="5" t="s">
        <v>45</v>
      </c>
      <c r="C169" s="22">
        <v>44810</v>
      </c>
      <c r="D169" s="22">
        <v>44833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0.14000000000000001</v>
      </c>
      <c r="T169" s="3">
        <v>0.14000000000000001</v>
      </c>
      <c r="U169" s="3">
        <v>0.14000000000000001</v>
      </c>
      <c r="V169" s="3">
        <v>0.14000000000000001</v>
      </c>
      <c r="W169" s="3">
        <v>0.14000000000000001</v>
      </c>
      <c r="X169" s="3">
        <v>0.14000000000000001</v>
      </c>
      <c r="Y169" s="3">
        <v>0.14000000000000001</v>
      </c>
      <c r="Z169" s="3">
        <v>0.14000000000000001</v>
      </c>
      <c r="AA169" s="3">
        <v>0.14000000000000001</v>
      </c>
      <c r="AB169" s="3">
        <v>0.14000000000000001</v>
      </c>
      <c r="AC169" s="3">
        <v>0.14000000000000001</v>
      </c>
      <c r="AD169" s="3">
        <v>0.14000000000000001</v>
      </c>
      <c r="AE169" s="3">
        <v>0.14000000000000001</v>
      </c>
      <c r="AF169" s="3">
        <v>0.14000000000000001</v>
      </c>
      <c r="AG169" s="3">
        <v>0.14000000000000001</v>
      </c>
      <c r="AH169" s="3">
        <v>0.14000000000000001</v>
      </c>
      <c r="AI169" s="3">
        <v>0.14000000000000001</v>
      </c>
      <c r="AJ169" s="3">
        <v>0.14000000000000001</v>
      </c>
      <c r="AK169" s="3">
        <v>0.14000000000000001</v>
      </c>
      <c r="AL169" s="3">
        <v>0.14000000000000001</v>
      </c>
      <c r="AM169" s="3">
        <v>0.14000000000000001</v>
      </c>
      <c r="AN169" s="3">
        <v>0.14000000000000001</v>
      </c>
      <c r="AO169" s="3">
        <v>0.14000000000000001</v>
      </c>
      <c r="AP169" s="3">
        <v>0.14000000000000001</v>
      </c>
    </row>
    <row r="170" spans="1:42" hidden="1" x14ac:dyDescent="0.3">
      <c r="A170" s="5" t="s">
        <v>310</v>
      </c>
      <c r="B170" s="5" t="s">
        <v>45</v>
      </c>
      <c r="C170" s="22">
        <v>44788</v>
      </c>
      <c r="D170" s="22">
        <v>44810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0.11</v>
      </c>
      <c r="S170" s="3">
        <v>0.14000000000000001</v>
      </c>
      <c r="T170" s="3">
        <v>0.14000000000000001</v>
      </c>
      <c r="U170" s="3">
        <v>0.14000000000000001</v>
      </c>
      <c r="V170" s="3">
        <v>0.14000000000000001</v>
      </c>
      <c r="W170" s="3">
        <v>0.14000000000000001</v>
      </c>
      <c r="X170" s="3">
        <v>0.14000000000000001</v>
      </c>
      <c r="Y170" s="3">
        <v>0.14000000000000001</v>
      </c>
      <c r="Z170" s="3">
        <v>0.14000000000000001</v>
      </c>
      <c r="AA170" s="3">
        <v>0.14000000000000001</v>
      </c>
      <c r="AB170" s="3">
        <v>0.14000000000000001</v>
      </c>
      <c r="AC170" s="3">
        <v>0.14000000000000001</v>
      </c>
      <c r="AD170" s="3">
        <v>0.14000000000000001</v>
      </c>
      <c r="AE170" s="3">
        <v>0.14000000000000001</v>
      </c>
      <c r="AF170" s="3">
        <v>0.14000000000000001</v>
      </c>
      <c r="AG170" s="3">
        <v>0.14000000000000001</v>
      </c>
      <c r="AH170" s="3">
        <v>0.14000000000000001</v>
      </c>
      <c r="AI170" s="3">
        <v>0.14000000000000001</v>
      </c>
      <c r="AJ170" s="3">
        <v>0.14000000000000001</v>
      </c>
      <c r="AK170" s="3">
        <v>0.14000000000000001</v>
      </c>
      <c r="AL170" s="3">
        <v>0.14000000000000001</v>
      </c>
      <c r="AM170" s="3">
        <v>0.14000000000000001</v>
      </c>
      <c r="AN170" s="3">
        <v>0.14000000000000001</v>
      </c>
      <c r="AO170" s="3">
        <v>0.14000000000000001</v>
      </c>
      <c r="AP170" s="3">
        <v>0.14000000000000001</v>
      </c>
    </row>
    <row r="171" spans="1:42" hidden="1" x14ac:dyDescent="0.3">
      <c r="A171" s="5" t="s">
        <v>311</v>
      </c>
      <c r="B171" s="5" t="s">
        <v>45</v>
      </c>
      <c r="C171" s="22">
        <v>44763</v>
      </c>
      <c r="D171" s="22">
        <v>44788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0.05</v>
      </c>
      <c r="R171" s="3">
        <v>0.14000000000000001</v>
      </c>
      <c r="S171" s="3">
        <v>0.14000000000000001</v>
      </c>
      <c r="T171" s="3">
        <v>0.14000000000000001</v>
      </c>
      <c r="U171" s="3">
        <v>0.14000000000000001</v>
      </c>
      <c r="V171" s="3">
        <v>0.14000000000000001</v>
      </c>
      <c r="W171" s="3">
        <v>0.14000000000000001</v>
      </c>
      <c r="X171" s="3">
        <v>0.14000000000000001</v>
      </c>
      <c r="Y171" s="3">
        <v>0.14000000000000001</v>
      </c>
      <c r="Z171" s="3">
        <v>0.14000000000000001</v>
      </c>
      <c r="AA171" s="3">
        <v>0.14000000000000001</v>
      </c>
      <c r="AB171" s="3">
        <v>0.14000000000000001</v>
      </c>
      <c r="AC171" s="3">
        <v>0.14000000000000001</v>
      </c>
      <c r="AD171" s="3">
        <v>0.14000000000000001</v>
      </c>
      <c r="AE171" s="3">
        <v>0.14000000000000001</v>
      </c>
      <c r="AF171" s="3">
        <v>0.14000000000000001</v>
      </c>
      <c r="AG171" s="3">
        <v>0.14000000000000001</v>
      </c>
      <c r="AH171" s="3">
        <v>0.14000000000000001</v>
      </c>
      <c r="AI171" s="3">
        <v>0.14000000000000001</v>
      </c>
      <c r="AJ171" s="3">
        <v>0.14000000000000001</v>
      </c>
      <c r="AK171" s="3">
        <v>0.14000000000000001</v>
      </c>
      <c r="AL171" s="3">
        <v>0.14000000000000001</v>
      </c>
      <c r="AM171" s="3">
        <v>0.14000000000000001</v>
      </c>
      <c r="AN171" s="3">
        <v>0.14000000000000001</v>
      </c>
      <c r="AO171" s="3">
        <v>0.14000000000000001</v>
      </c>
      <c r="AP171" s="3">
        <v>0.14000000000000001</v>
      </c>
    </row>
    <row r="172" spans="1:42" hidden="1" x14ac:dyDescent="0.3">
      <c r="A172" s="4" t="s">
        <v>312</v>
      </c>
      <c r="B172" s="4" t="s">
        <v>46</v>
      </c>
      <c r="C172" s="21">
        <v>44928</v>
      </c>
      <c r="D172" s="21">
        <v>44945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0.24</v>
      </c>
      <c r="X172" s="2">
        <v>0.24</v>
      </c>
      <c r="Y172" s="2">
        <v>0.24</v>
      </c>
      <c r="Z172" s="2">
        <v>0.24</v>
      </c>
      <c r="AA172" s="2">
        <v>0.24</v>
      </c>
      <c r="AB172" s="2">
        <v>0.24</v>
      </c>
      <c r="AC172" s="2">
        <v>0.24</v>
      </c>
      <c r="AD172" s="2">
        <v>0.24</v>
      </c>
      <c r="AE172" s="2">
        <v>0.24</v>
      </c>
      <c r="AF172" s="2">
        <v>0.24</v>
      </c>
      <c r="AG172" s="2">
        <v>0.24</v>
      </c>
      <c r="AH172" s="2">
        <v>0.24</v>
      </c>
      <c r="AI172" s="2">
        <v>0.24</v>
      </c>
      <c r="AJ172" s="2">
        <v>0.24</v>
      </c>
      <c r="AK172" s="2">
        <v>0.24</v>
      </c>
      <c r="AL172" s="2">
        <v>0.24</v>
      </c>
      <c r="AM172" s="2">
        <v>0.24</v>
      </c>
      <c r="AN172" s="2">
        <v>0.24</v>
      </c>
      <c r="AO172" s="2">
        <v>0.24</v>
      </c>
      <c r="AP172" s="2">
        <v>0.24</v>
      </c>
    </row>
    <row r="173" spans="1:42" hidden="1" x14ac:dyDescent="0.3">
      <c r="A173" s="5" t="s">
        <v>313</v>
      </c>
      <c r="B173" s="5" t="s">
        <v>29</v>
      </c>
      <c r="C173" s="22">
        <v>44928</v>
      </c>
      <c r="D173" s="22">
        <v>44929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0.13</v>
      </c>
      <c r="X173" s="3">
        <v>0.13</v>
      </c>
      <c r="Y173" s="3">
        <v>0.13</v>
      </c>
      <c r="Z173" s="3">
        <v>0.13</v>
      </c>
      <c r="AA173" s="3">
        <v>0.13</v>
      </c>
      <c r="AB173" s="3">
        <v>0.13</v>
      </c>
      <c r="AC173" s="3">
        <v>0.13</v>
      </c>
      <c r="AD173" s="3">
        <v>0.13</v>
      </c>
      <c r="AE173" s="3">
        <v>0.13</v>
      </c>
      <c r="AF173" s="3">
        <v>0.13</v>
      </c>
      <c r="AG173" s="3">
        <v>0.13</v>
      </c>
      <c r="AH173" s="3">
        <v>0.13</v>
      </c>
      <c r="AI173" s="3">
        <v>0.13</v>
      </c>
      <c r="AJ173" s="3">
        <v>0.13</v>
      </c>
      <c r="AK173" s="3">
        <v>0.13</v>
      </c>
      <c r="AL173" s="3">
        <v>0.13</v>
      </c>
      <c r="AM173" s="3">
        <v>0.13</v>
      </c>
      <c r="AN173" s="3">
        <v>0.13</v>
      </c>
      <c r="AO173" s="3">
        <v>0.13</v>
      </c>
      <c r="AP173" s="3">
        <v>0.13</v>
      </c>
    </row>
    <row r="174" spans="1:42" hidden="1" x14ac:dyDescent="0.3">
      <c r="A174" s="5" t="s">
        <v>314</v>
      </c>
      <c r="B174" s="5" t="s">
        <v>12</v>
      </c>
      <c r="C174" s="22">
        <v>44942</v>
      </c>
      <c r="D174" s="22">
        <v>44945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0.01</v>
      </c>
      <c r="X174" s="3">
        <v>0.01</v>
      </c>
      <c r="Y174" s="3">
        <v>0.01</v>
      </c>
      <c r="Z174" s="3">
        <v>0.01</v>
      </c>
      <c r="AA174" s="3">
        <v>0.01</v>
      </c>
      <c r="AB174" s="3">
        <v>0.01</v>
      </c>
      <c r="AC174" s="3">
        <v>0.01</v>
      </c>
      <c r="AD174" s="3">
        <v>0.01</v>
      </c>
      <c r="AE174" s="3">
        <v>0.01</v>
      </c>
      <c r="AF174" s="3">
        <v>0.01</v>
      </c>
      <c r="AG174" s="3">
        <v>0.01</v>
      </c>
      <c r="AH174" s="3">
        <v>0.01</v>
      </c>
      <c r="AI174" s="3">
        <v>0.01</v>
      </c>
      <c r="AJ174" s="3">
        <v>0.01</v>
      </c>
      <c r="AK174" s="3">
        <v>0.01</v>
      </c>
      <c r="AL174" s="3">
        <v>0.01</v>
      </c>
      <c r="AM174" s="3">
        <v>0.01</v>
      </c>
      <c r="AN174" s="3">
        <v>0.01</v>
      </c>
      <c r="AO174" s="3">
        <v>0.01</v>
      </c>
      <c r="AP174" s="3">
        <v>0.01</v>
      </c>
    </row>
    <row r="175" spans="1:42" hidden="1" x14ac:dyDescent="0.3">
      <c r="A175" s="5" t="s">
        <v>315</v>
      </c>
      <c r="B175" s="5" t="s">
        <v>31</v>
      </c>
      <c r="C175" s="22">
        <v>44929</v>
      </c>
      <c r="D175" s="22">
        <v>44931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0.03</v>
      </c>
      <c r="X175" s="3">
        <v>0.03</v>
      </c>
      <c r="Y175" s="3">
        <v>0.03</v>
      </c>
      <c r="Z175" s="3">
        <v>0.03</v>
      </c>
      <c r="AA175" s="3">
        <v>0.03</v>
      </c>
      <c r="AB175" s="3">
        <v>0.03</v>
      </c>
      <c r="AC175" s="3">
        <v>0.03</v>
      </c>
      <c r="AD175" s="3">
        <v>0.03</v>
      </c>
      <c r="AE175" s="3">
        <v>0.03</v>
      </c>
      <c r="AF175" s="3">
        <v>0.03</v>
      </c>
      <c r="AG175" s="3">
        <v>0.03</v>
      </c>
      <c r="AH175" s="3">
        <v>0.03</v>
      </c>
      <c r="AI175" s="3">
        <v>0.03</v>
      </c>
      <c r="AJ175" s="3">
        <v>0.03</v>
      </c>
      <c r="AK175" s="3">
        <v>0.03</v>
      </c>
      <c r="AL175" s="3">
        <v>0.03</v>
      </c>
      <c r="AM175" s="3">
        <v>0.03</v>
      </c>
      <c r="AN175" s="3">
        <v>0.03</v>
      </c>
      <c r="AO175" s="3">
        <v>0.03</v>
      </c>
      <c r="AP175" s="3">
        <v>0.03</v>
      </c>
    </row>
    <row r="176" spans="1:42" hidden="1" x14ac:dyDescent="0.3">
      <c r="A176" s="5" t="s">
        <v>316</v>
      </c>
      <c r="B176" s="5" t="s">
        <v>31</v>
      </c>
      <c r="C176" s="22">
        <v>44931</v>
      </c>
      <c r="D176" s="22">
        <v>44935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0.02</v>
      </c>
      <c r="X176" s="3">
        <v>0.02</v>
      </c>
      <c r="Y176" s="3">
        <v>0.02</v>
      </c>
      <c r="Z176" s="3">
        <v>0.02</v>
      </c>
      <c r="AA176" s="3">
        <v>0.02</v>
      </c>
      <c r="AB176" s="3">
        <v>0.02</v>
      </c>
      <c r="AC176" s="3">
        <v>0.02</v>
      </c>
      <c r="AD176" s="3">
        <v>0.02</v>
      </c>
      <c r="AE176" s="3">
        <v>0.02</v>
      </c>
      <c r="AF176" s="3">
        <v>0.02</v>
      </c>
      <c r="AG176" s="3">
        <v>0.02</v>
      </c>
      <c r="AH176" s="3">
        <v>0.02</v>
      </c>
      <c r="AI176" s="3">
        <v>0.02</v>
      </c>
      <c r="AJ176" s="3">
        <v>0.02</v>
      </c>
      <c r="AK176" s="3">
        <v>0.02</v>
      </c>
      <c r="AL176" s="3">
        <v>0.02</v>
      </c>
      <c r="AM176" s="3">
        <v>0.02</v>
      </c>
      <c r="AN176" s="3">
        <v>0.02</v>
      </c>
      <c r="AO176" s="3">
        <v>0.02</v>
      </c>
      <c r="AP176" s="3">
        <v>0.02</v>
      </c>
    </row>
    <row r="177" spans="1:42" hidden="1" x14ac:dyDescent="0.3">
      <c r="A177" s="5" t="s">
        <v>317</v>
      </c>
      <c r="B177" s="5" t="s">
        <v>31</v>
      </c>
      <c r="C177" s="22">
        <v>44935</v>
      </c>
      <c r="D177" s="22">
        <v>44937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0.02</v>
      </c>
      <c r="X177" s="3">
        <v>0.02</v>
      </c>
      <c r="Y177" s="3">
        <v>0.02</v>
      </c>
      <c r="Z177" s="3">
        <v>0.02</v>
      </c>
      <c r="AA177" s="3">
        <v>0.02</v>
      </c>
      <c r="AB177" s="3">
        <v>0.02</v>
      </c>
      <c r="AC177" s="3">
        <v>0.02</v>
      </c>
      <c r="AD177" s="3">
        <v>0.02</v>
      </c>
      <c r="AE177" s="3">
        <v>0.02</v>
      </c>
      <c r="AF177" s="3">
        <v>0.02</v>
      </c>
      <c r="AG177" s="3">
        <v>0.02</v>
      </c>
      <c r="AH177" s="3">
        <v>0.02</v>
      </c>
      <c r="AI177" s="3">
        <v>0.02</v>
      </c>
      <c r="AJ177" s="3">
        <v>0.02</v>
      </c>
      <c r="AK177" s="3">
        <v>0.02</v>
      </c>
      <c r="AL177" s="3">
        <v>0.02</v>
      </c>
      <c r="AM177" s="3">
        <v>0.02</v>
      </c>
      <c r="AN177" s="3">
        <v>0.02</v>
      </c>
      <c r="AO177" s="3">
        <v>0.02</v>
      </c>
      <c r="AP177" s="3">
        <v>0.02</v>
      </c>
    </row>
    <row r="178" spans="1:42" hidden="1" x14ac:dyDescent="0.3">
      <c r="A178" s="5" t="s">
        <v>318</v>
      </c>
      <c r="B178" s="5" t="s">
        <v>31</v>
      </c>
      <c r="C178" s="22">
        <v>44937</v>
      </c>
      <c r="D178" s="22">
        <v>44938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0.02</v>
      </c>
      <c r="X178" s="3">
        <v>0.02</v>
      </c>
      <c r="Y178" s="3">
        <v>0.02</v>
      </c>
      <c r="Z178" s="3">
        <v>0.02</v>
      </c>
      <c r="AA178" s="3">
        <v>0.02</v>
      </c>
      <c r="AB178" s="3">
        <v>0.02</v>
      </c>
      <c r="AC178" s="3">
        <v>0.02</v>
      </c>
      <c r="AD178" s="3">
        <v>0.02</v>
      </c>
      <c r="AE178" s="3">
        <v>0.02</v>
      </c>
      <c r="AF178" s="3">
        <v>0.02</v>
      </c>
      <c r="AG178" s="3">
        <v>0.02</v>
      </c>
      <c r="AH178" s="3">
        <v>0.02</v>
      </c>
      <c r="AI178" s="3">
        <v>0.02</v>
      </c>
      <c r="AJ178" s="3">
        <v>0.02</v>
      </c>
      <c r="AK178" s="3">
        <v>0.02</v>
      </c>
      <c r="AL178" s="3">
        <v>0.02</v>
      </c>
      <c r="AM178" s="3">
        <v>0.02</v>
      </c>
      <c r="AN178" s="3">
        <v>0.02</v>
      </c>
      <c r="AO178" s="3">
        <v>0.02</v>
      </c>
      <c r="AP178" s="3">
        <v>0.02</v>
      </c>
    </row>
    <row r="179" spans="1:42" hidden="1" x14ac:dyDescent="0.3">
      <c r="A179" s="5" t="s">
        <v>319</v>
      </c>
      <c r="B179" s="5" t="s">
        <v>31</v>
      </c>
      <c r="C179" s="22">
        <v>44938</v>
      </c>
      <c r="D179" s="22">
        <v>44942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0.02</v>
      </c>
      <c r="X179" s="3">
        <v>0.02</v>
      </c>
      <c r="Y179" s="3">
        <v>0.02</v>
      </c>
      <c r="Z179" s="3">
        <v>0.02</v>
      </c>
      <c r="AA179" s="3">
        <v>0.02</v>
      </c>
      <c r="AB179" s="3">
        <v>0.02</v>
      </c>
      <c r="AC179" s="3">
        <v>0.02</v>
      </c>
      <c r="AD179" s="3">
        <v>0.02</v>
      </c>
      <c r="AE179" s="3">
        <v>0.02</v>
      </c>
      <c r="AF179" s="3">
        <v>0.02</v>
      </c>
      <c r="AG179" s="3">
        <v>0.02</v>
      </c>
      <c r="AH179" s="3">
        <v>0.02</v>
      </c>
      <c r="AI179" s="3">
        <v>0.02</v>
      </c>
      <c r="AJ179" s="3">
        <v>0.02</v>
      </c>
      <c r="AK179" s="3">
        <v>0.02</v>
      </c>
      <c r="AL179" s="3">
        <v>0.02</v>
      </c>
      <c r="AM179" s="3">
        <v>0.02</v>
      </c>
      <c r="AN179" s="3">
        <v>0.02</v>
      </c>
      <c r="AO179" s="3">
        <v>0.02</v>
      </c>
      <c r="AP179" s="3">
        <v>0.02</v>
      </c>
    </row>
    <row r="180" spans="1:42" hidden="1" x14ac:dyDescent="0.3">
      <c r="A180" s="5" t="s">
        <v>320</v>
      </c>
      <c r="B180" s="5" t="s">
        <v>9</v>
      </c>
      <c r="C180" s="22">
        <v>44945</v>
      </c>
      <c r="D180" s="22">
        <v>44951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0.02</v>
      </c>
      <c r="X180" s="3">
        <v>0.02</v>
      </c>
      <c r="Y180" s="3">
        <v>0.02</v>
      </c>
      <c r="Z180" s="3">
        <v>0.02</v>
      </c>
      <c r="AA180" s="3">
        <v>0.02</v>
      </c>
      <c r="AB180" s="3">
        <v>0.02</v>
      </c>
      <c r="AC180" s="3">
        <v>0.02</v>
      </c>
      <c r="AD180" s="3">
        <v>0.02</v>
      </c>
      <c r="AE180" s="3">
        <v>0.02</v>
      </c>
      <c r="AF180" s="3">
        <v>0.02</v>
      </c>
      <c r="AG180" s="3">
        <v>0.02</v>
      </c>
      <c r="AH180" s="3">
        <v>0.02</v>
      </c>
      <c r="AI180" s="3">
        <v>0.02</v>
      </c>
      <c r="AJ180" s="3">
        <v>0.02</v>
      </c>
      <c r="AK180" s="3">
        <v>0.02</v>
      </c>
      <c r="AL180" s="3">
        <v>0.02</v>
      </c>
      <c r="AM180" s="3">
        <v>0.02</v>
      </c>
      <c r="AN180" s="3">
        <v>0.02</v>
      </c>
      <c r="AO180" s="3">
        <v>0.02</v>
      </c>
      <c r="AP180" s="3">
        <v>0.02</v>
      </c>
    </row>
    <row r="181" spans="1:42" hidden="1" x14ac:dyDescent="0.3">
      <c r="A181" s="15" t="s">
        <v>321</v>
      </c>
      <c r="B181" s="15" t="s">
        <v>45</v>
      </c>
      <c r="C181" s="20">
        <v>45092</v>
      </c>
      <c r="D181" s="20">
        <v>45114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0.27</v>
      </c>
      <c r="AC181" s="8">
        <v>0.32</v>
      </c>
      <c r="AD181" s="8">
        <v>0.32</v>
      </c>
      <c r="AE181" s="8">
        <v>0.32</v>
      </c>
      <c r="AF181" s="8">
        <v>0.32</v>
      </c>
      <c r="AG181" s="8">
        <v>0.32</v>
      </c>
      <c r="AH181" s="8">
        <v>0.32</v>
      </c>
      <c r="AI181" s="8">
        <v>0.32</v>
      </c>
      <c r="AJ181" s="8">
        <v>0.32</v>
      </c>
      <c r="AK181" s="8">
        <v>0.32</v>
      </c>
      <c r="AL181" s="8">
        <v>0.32</v>
      </c>
      <c r="AM181" s="8">
        <v>0.32</v>
      </c>
      <c r="AN181" s="8">
        <v>0.32</v>
      </c>
      <c r="AO181" s="8">
        <v>0.32</v>
      </c>
      <c r="AP181" s="8">
        <v>0.32</v>
      </c>
    </row>
    <row r="182" spans="1:42" hidden="1" x14ac:dyDescent="0.3">
      <c r="A182" s="5" t="s">
        <v>322</v>
      </c>
      <c r="B182" s="5" t="s">
        <v>31</v>
      </c>
      <c r="C182" s="22">
        <v>45092</v>
      </c>
      <c r="D182" s="22">
        <v>45093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0.17</v>
      </c>
      <c r="AC182" s="3">
        <v>0.17</v>
      </c>
      <c r="AD182" s="3">
        <v>0.17</v>
      </c>
      <c r="AE182" s="3">
        <v>0.17</v>
      </c>
      <c r="AF182" s="3">
        <v>0.17</v>
      </c>
      <c r="AG182" s="3">
        <v>0.17</v>
      </c>
      <c r="AH182" s="3">
        <v>0.17</v>
      </c>
      <c r="AI182" s="3">
        <v>0.17</v>
      </c>
      <c r="AJ182" s="3">
        <v>0.17</v>
      </c>
      <c r="AK182" s="3">
        <v>0.17</v>
      </c>
      <c r="AL182" s="3">
        <v>0.17</v>
      </c>
      <c r="AM182" s="3">
        <v>0.17</v>
      </c>
      <c r="AN182" s="3">
        <v>0.17</v>
      </c>
      <c r="AO182" s="3">
        <v>0.17</v>
      </c>
      <c r="AP182" s="3">
        <v>0.17</v>
      </c>
    </row>
    <row r="183" spans="1:42" hidden="1" x14ac:dyDescent="0.3">
      <c r="A183" s="5" t="s">
        <v>323</v>
      </c>
      <c r="B183" s="5" t="s">
        <v>31</v>
      </c>
      <c r="C183" s="22">
        <v>45093</v>
      </c>
      <c r="D183" s="22">
        <v>45097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0.02</v>
      </c>
      <c r="AC183" s="3">
        <v>0.02</v>
      </c>
      <c r="AD183" s="3">
        <v>0.02</v>
      </c>
      <c r="AE183" s="3">
        <v>0.02</v>
      </c>
      <c r="AF183" s="3">
        <v>0.02</v>
      </c>
      <c r="AG183" s="3">
        <v>0.02</v>
      </c>
      <c r="AH183" s="3">
        <v>0.02</v>
      </c>
      <c r="AI183" s="3">
        <v>0.02</v>
      </c>
      <c r="AJ183" s="3">
        <v>0.02</v>
      </c>
      <c r="AK183" s="3">
        <v>0.02</v>
      </c>
      <c r="AL183" s="3">
        <v>0.02</v>
      </c>
      <c r="AM183" s="3">
        <v>0.02</v>
      </c>
      <c r="AN183" s="3">
        <v>0.02</v>
      </c>
      <c r="AO183" s="3">
        <v>0.02</v>
      </c>
      <c r="AP183" s="3">
        <v>0.02</v>
      </c>
    </row>
    <row r="184" spans="1:42" hidden="1" x14ac:dyDescent="0.3">
      <c r="A184" s="5" t="s">
        <v>324</v>
      </c>
      <c r="B184" s="5" t="s">
        <v>31</v>
      </c>
      <c r="C184" s="22">
        <v>45097</v>
      </c>
      <c r="D184" s="22">
        <v>45099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0.02</v>
      </c>
      <c r="AC184" s="3">
        <v>0.02</v>
      </c>
      <c r="AD184" s="3">
        <v>0.02</v>
      </c>
      <c r="AE184" s="3">
        <v>0.02</v>
      </c>
      <c r="AF184" s="3">
        <v>0.02</v>
      </c>
      <c r="AG184" s="3">
        <v>0.02</v>
      </c>
      <c r="AH184" s="3">
        <v>0.02</v>
      </c>
      <c r="AI184" s="3">
        <v>0.02</v>
      </c>
      <c r="AJ184" s="3">
        <v>0.02</v>
      </c>
      <c r="AK184" s="3">
        <v>0.02</v>
      </c>
      <c r="AL184" s="3">
        <v>0.02</v>
      </c>
      <c r="AM184" s="3">
        <v>0.02</v>
      </c>
      <c r="AN184" s="3">
        <v>0.02</v>
      </c>
      <c r="AO184" s="3">
        <v>0.02</v>
      </c>
      <c r="AP184" s="3">
        <v>0.02</v>
      </c>
    </row>
    <row r="185" spans="1:42" hidden="1" x14ac:dyDescent="0.3">
      <c r="A185" s="5" t="s">
        <v>325</v>
      </c>
      <c r="B185" s="5" t="s">
        <v>31</v>
      </c>
      <c r="C185" s="22">
        <v>45099</v>
      </c>
      <c r="D185" s="22">
        <v>45103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0.02</v>
      </c>
      <c r="AC185" s="3">
        <v>0.02</v>
      </c>
      <c r="AD185" s="3">
        <v>0.02</v>
      </c>
      <c r="AE185" s="3">
        <v>0.02</v>
      </c>
      <c r="AF185" s="3">
        <v>0.02</v>
      </c>
      <c r="AG185" s="3">
        <v>0.02</v>
      </c>
      <c r="AH185" s="3">
        <v>0.02</v>
      </c>
      <c r="AI185" s="3">
        <v>0.02</v>
      </c>
      <c r="AJ185" s="3">
        <v>0.02</v>
      </c>
      <c r="AK185" s="3">
        <v>0.02</v>
      </c>
      <c r="AL185" s="3">
        <v>0.02</v>
      </c>
      <c r="AM185" s="3">
        <v>0.02</v>
      </c>
      <c r="AN185" s="3">
        <v>0.02</v>
      </c>
      <c r="AO185" s="3">
        <v>0.02</v>
      </c>
      <c r="AP185" s="3">
        <v>0.02</v>
      </c>
    </row>
    <row r="186" spans="1:42" hidden="1" x14ac:dyDescent="0.3">
      <c r="A186" s="5" t="s">
        <v>326</v>
      </c>
      <c r="B186" s="5" t="s">
        <v>31</v>
      </c>
      <c r="C186" s="22">
        <v>45103</v>
      </c>
      <c r="D186" s="22">
        <v>45105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0.02</v>
      </c>
      <c r="AC186" s="3">
        <v>0.02</v>
      </c>
      <c r="AD186" s="3">
        <v>0.02</v>
      </c>
      <c r="AE186" s="3">
        <v>0.02</v>
      </c>
      <c r="AF186" s="3">
        <v>0.02</v>
      </c>
      <c r="AG186" s="3">
        <v>0.02</v>
      </c>
      <c r="AH186" s="3">
        <v>0.02</v>
      </c>
      <c r="AI186" s="3">
        <v>0.02</v>
      </c>
      <c r="AJ186" s="3">
        <v>0.02</v>
      </c>
      <c r="AK186" s="3">
        <v>0.02</v>
      </c>
      <c r="AL186" s="3">
        <v>0.02</v>
      </c>
      <c r="AM186" s="3">
        <v>0.02</v>
      </c>
      <c r="AN186" s="3">
        <v>0.02</v>
      </c>
      <c r="AO186" s="3">
        <v>0.02</v>
      </c>
      <c r="AP186" s="3">
        <v>0.02</v>
      </c>
    </row>
    <row r="187" spans="1:42" hidden="1" x14ac:dyDescent="0.3">
      <c r="A187" s="5" t="s">
        <v>327</v>
      </c>
      <c r="B187" s="5" t="s">
        <v>31</v>
      </c>
      <c r="C187" s="22">
        <v>45105</v>
      </c>
      <c r="D187" s="22">
        <v>45106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0.02</v>
      </c>
      <c r="AC187" s="3">
        <v>0.02</v>
      </c>
      <c r="AD187" s="3">
        <v>0.02</v>
      </c>
      <c r="AE187" s="3">
        <v>0.02</v>
      </c>
      <c r="AF187" s="3">
        <v>0.02</v>
      </c>
      <c r="AG187" s="3">
        <v>0.02</v>
      </c>
      <c r="AH187" s="3">
        <v>0.02</v>
      </c>
      <c r="AI187" s="3">
        <v>0.02</v>
      </c>
      <c r="AJ187" s="3">
        <v>0.02</v>
      </c>
      <c r="AK187" s="3">
        <v>0.02</v>
      </c>
      <c r="AL187" s="3">
        <v>0.02</v>
      </c>
      <c r="AM187" s="3">
        <v>0.02</v>
      </c>
      <c r="AN187" s="3">
        <v>0.02</v>
      </c>
      <c r="AO187" s="3">
        <v>0.02</v>
      </c>
      <c r="AP187" s="3">
        <v>0.02</v>
      </c>
    </row>
    <row r="188" spans="1:42" hidden="1" x14ac:dyDescent="0.3">
      <c r="A188" s="5" t="s">
        <v>328</v>
      </c>
      <c r="B188" s="5" t="s">
        <v>31</v>
      </c>
      <c r="C188" s="22">
        <v>45106</v>
      </c>
      <c r="D188" s="22">
        <v>45110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0.01</v>
      </c>
      <c r="AC188" s="3">
        <v>0.02</v>
      </c>
      <c r="AD188" s="3">
        <v>0.02</v>
      </c>
      <c r="AE188" s="3">
        <v>0.02</v>
      </c>
      <c r="AF188" s="3">
        <v>0.02</v>
      </c>
      <c r="AG188" s="3">
        <v>0.02</v>
      </c>
      <c r="AH188" s="3">
        <v>0.02</v>
      </c>
      <c r="AI188" s="3">
        <v>0.02</v>
      </c>
      <c r="AJ188" s="3">
        <v>0.02</v>
      </c>
      <c r="AK188" s="3">
        <v>0.02</v>
      </c>
      <c r="AL188" s="3">
        <v>0.02</v>
      </c>
      <c r="AM188" s="3">
        <v>0.02</v>
      </c>
      <c r="AN188" s="3">
        <v>0.02</v>
      </c>
      <c r="AO188" s="3">
        <v>0.02</v>
      </c>
      <c r="AP188" s="3">
        <v>0.02</v>
      </c>
    </row>
    <row r="189" spans="1:42" hidden="1" x14ac:dyDescent="0.3">
      <c r="A189" s="5" t="s">
        <v>329</v>
      </c>
      <c r="B189" s="5" t="s">
        <v>31</v>
      </c>
      <c r="C189" s="22">
        <v>45110</v>
      </c>
      <c r="D189" s="22">
        <v>45112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0.02</v>
      </c>
      <c r="AD189" s="3">
        <v>0.02</v>
      </c>
      <c r="AE189" s="3">
        <v>0.02</v>
      </c>
      <c r="AF189" s="3">
        <v>0.02</v>
      </c>
      <c r="AG189" s="3">
        <v>0.02</v>
      </c>
      <c r="AH189" s="3">
        <v>0.02</v>
      </c>
      <c r="AI189" s="3">
        <v>0.02</v>
      </c>
      <c r="AJ189" s="3">
        <v>0.02</v>
      </c>
      <c r="AK189" s="3">
        <v>0.02</v>
      </c>
      <c r="AL189" s="3">
        <v>0.02</v>
      </c>
      <c r="AM189" s="3">
        <v>0.02</v>
      </c>
      <c r="AN189" s="3">
        <v>0.02</v>
      </c>
      <c r="AO189" s="3">
        <v>0.02</v>
      </c>
      <c r="AP189" s="3">
        <v>0.02</v>
      </c>
    </row>
    <row r="190" spans="1:42" hidden="1" x14ac:dyDescent="0.3">
      <c r="A190" s="5" t="s">
        <v>330</v>
      </c>
      <c r="B190" s="5" t="s">
        <v>31</v>
      </c>
      <c r="C190" s="22">
        <v>45112</v>
      </c>
      <c r="D190" s="22">
        <v>45114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0.02</v>
      </c>
      <c r="AD190" s="3">
        <v>0.02</v>
      </c>
      <c r="AE190" s="3">
        <v>0.02</v>
      </c>
      <c r="AF190" s="3">
        <v>0.02</v>
      </c>
      <c r="AG190" s="3">
        <v>0.02</v>
      </c>
      <c r="AH190" s="3">
        <v>0.02</v>
      </c>
      <c r="AI190" s="3">
        <v>0.02</v>
      </c>
      <c r="AJ190" s="3">
        <v>0.02</v>
      </c>
      <c r="AK190" s="3">
        <v>0.02</v>
      </c>
      <c r="AL190" s="3">
        <v>0.02</v>
      </c>
      <c r="AM190" s="3">
        <v>0.02</v>
      </c>
      <c r="AN190" s="3">
        <v>0.02</v>
      </c>
      <c r="AO190" s="3">
        <v>0.02</v>
      </c>
      <c r="AP190" s="3">
        <v>0.02</v>
      </c>
    </row>
    <row r="191" spans="1:42" hidden="1" x14ac:dyDescent="0.3">
      <c r="A191" s="15" t="s">
        <v>331</v>
      </c>
      <c r="B191" s="15" t="s">
        <v>45</v>
      </c>
      <c r="C191" s="20">
        <v>45114</v>
      </c>
      <c r="D191" s="20">
        <v>45138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0.32</v>
      </c>
      <c r="AD191" s="8">
        <v>0.32</v>
      </c>
      <c r="AE191" s="8">
        <v>0.32</v>
      </c>
      <c r="AF191" s="8">
        <v>0.32</v>
      </c>
      <c r="AG191" s="8">
        <v>0.32</v>
      </c>
      <c r="AH191" s="8">
        <v>0.32</v>
      </c>
      <c r="AI191" s="8">
        <v>0.32</v>
      </c>
      <c r="AJ191" s="8">
        <v>0.32</v>
      </c>
      <c r="AK191" s="8">
        <v>0.32</v>
      </c>
      <c r="AL191" s="8">
        <v>0.32</v>
      </c>
      <c r="AM191" s="8">
        <v>0.32</v>
      </c>
      <c r="AN191" s="8">
        <v>0.32</v>
      </c>
      <c r="AO191" s="8">
        <v>0.32</v>
      </c>
      <c r="AP191" s="8">
        <v>0.32</v>
      </c>
    </row>
    <row r="192" spans="1:42" hidden="1" x14ac:dyDescent="0.3">
      <c r="A192" s="5" t="s">
        <v>332</v>
      </c>
      <c r="B192" s="5" t="s">
        <v>31</v>
      </c>
      <c r="C192" s="22">
        <v>45114</v>
      </c>
      <c r="D192" s="22">
        <v>45118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0.17</v>
      </c>
      <c r="AD192" s="3">
        <v>0.17</v>
      </c>
      <c r="AE192" s="3">
        <v>0.17</v>
      </c>
      <c r="AF192" s="3">
        <v>0.17</v>
      </c>
      <c r="AG192" s="3">
        <v>0.17</v>
      </c>
      <c r="AH192" s="3">
        <v>0.17</v>
      </c>
      <c r="AI192" s="3">
        <v>0.17</v>
      </c>
      <c r="AJ192" s="3">
        <v>0.17</v>
      </c>
      <c r="AK192" s="3">
        <v>0.17</v>
      </c>
      <c r="AL192" s="3">
        <v>0.17</v>
      </c>
      <c r="AM192" s="3">
        <v>0.17</v>
      </c>
      <c r="AN192" s="3">
        <v>0.17</v>
      </c>
      <c r="AO192" s="3">
        <v>0.17</v>
      </c>
      <c r="AP192" s="3">
        <v>0.17</v>
      </c>
    </row>
    <row r="193" spans="1:42" hidden="1" x14ac:dyDescent="0.3">
      <c r="A193" s="5" t="s">
        <v>333</v>
      </c>
      <c r="B193" s="5" t="s">
        <v>31</v>
      </c>
      <c r="C193" s="22">
        <v>45118</v>
      </c>
      <c r="D193" s="22">
        <v>45119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0.02</v>
      </c>
      <c r="AD193" s="3">
        <v>0.02</v>
      </c>
      <c r="AE193" s="3">
        <v>0.02</v>
      </c>
      <c r="AF193" s="3">
        <v>0.02</v>
      </c>
      <c r="AG193" s="3">
        <v>0.02</v>
      </c>
      <c r="AH193" s="3">
        <v>0.02</v>
      </c>
      <c r="AI193" s="3">
        <v>0.02</v>
      </c>
      <c r="AJ193" s="3">
        <v>0.02</v>
      </c>
      <c r="AK193" s="3">
        <v>0.02</v>
      </c>
      <c r="AL193" s="3">
        <v>0.02</v>
      </c>
      <c r="AM193" s="3">
        <v>0.02</v>
      </c>
      <c r="AN193" s="3">
        <v>0.02</v>
      </c>
      <c r="AO193" s="3">
        <v>0.02</v>
      </c>
      <c r="AP193" s="3">
        <v>0.02</v>
      </c>
    </row>
    <row r="194" spans="1:42" hidden="1" x14ac:dyDescent="0.3">
      <c r="A194" s="5" t="s">
        <v>334</v>
      </c>
      <c r="B194" s="5" t="s">
        <v>31</v>
      </c>
      <c r="C194" s="22">
        <v>45120</v>
      </c>
      <c r="D194" s="22">
        <v>45121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0.02</v>
      </c>
      <c r="AD194" s="3">
        <v>0.02</v>
      </c>
      <c r="AE194" s="3">
        <v>0.02</v>
      </c>
      <c r="AF194" s="3">
        <v>0.02</v>
      </c>
      <c r="AG194" s="3">
        <v>0.02</v>
      </c>
      <c r="AH194" s="3">
        <v>0.02</v>
      </c>
      <c r="AI194" s="3">
        <v>0.02</v>
      </c>
      <c r="AJ194" s="3">
        <v>0.02</v>
      </c>
      <c r="AK194" s="3">
        <v>0.02</v>
      </c>
      <c r="AL194" s="3">
        <v>0.02</v>
      </c>
      <c r="AM194" s="3">
        <v>0.02</v>
      </c>
      <c r="AN194" s="3">
        <v>0.02</v>
      </c>
      <c r="AO194" s="3">
        <v>0.02</v>
      </c>
      <c r="AP194" s="3">
        <v>0.02</v>
      </c>
    </row>
    <row r="195" spans="1:42" hidden="1" x14ac:dyDescent="0.3">
      <c r="A195" s="5" t="s">
        <v>335</v>
      </c>
      <c r="B195" s="5" t="s">
        <v>31</v>
      </c>
      <c r="C195" s="22">
        <v>45121</v>
      </c>
      <c r="D195" s="22">
        <v>45125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0.02</v>
      </c>
      <c r="AD195" s="3">
        <v>0.02</v>
      </c>
      <c r="AE195" s="3">
        <v>0.02</v>
      </c>
      <c r="AF195" s="3">
        <v>0.02</v>
      </c>
      <c r="AG195" s="3">
        <v>0.02</v>
      </c>
      <c r="AH195" s="3">
        <v>0.02</v>
      </c>
      <c r="AI195" s="3">
        <v>0.02</v>
      </c>
      <c r="AJ195" s="3">
        <v>0.02</v>
      </c>
      <c r="AK195" s="3">
        <v>0.02</v>
      </c>
      <c r="AL195" s="3">
        <v>0.02</v>
      </c>
      <c r="AM195" s="3">
        <v>0.02</v>
      </c>
      <c r="AN195" s="3">
        <v>0.02</v>
      </c>
      <c r="AO195" s="3">
        <v>0.02</v>
      </c>
      <c r="AP195" s="3">
        <v>0.02</v>
      </c>
    </row>
    <row r="196" spans="1:42" hidden="1" x14ac:dyDescent="0.3">
      <c r="A196" s="5" t="s">
        <v>336</v>
      </c>
      <c r="B196" s="5" t="s">
        <v>31</v>
      </c>
      <c r="C196" s="22">
        <v>45125</v>
      </c>
      <c r="D196" s="22">
        <v>45127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0.02</v>
      </c>
      <c r="AD196" s="3">
        <v>0.02</v>
      </c>
      <c r="AE196" s="3">
        <v>0.02</v>
      </c>
      <c r="AF196" s="3">
        <v>0.02</v>
      </c>
      <c r="AG196" s="3">
        <v>0.02</v>
      </c>
      <c r="AH196" s="3">
        <v>0.02</v>
      </c>
      <c r="AI196" s="3">
        <v>0.02</v>
      </c>
      <c r="AJ196" s="3">
        <v>0.02</v>
      </c>
      <c r="AK196" s="3">
        <v>0.02</v>
      </c>
      <c r="AL196" s="3">
        <v>0.02</v>
      </c>
      <c r="AM196" s="3">
        <v>0.02</v>
      </c>
      <c r="AN196" s="3">
        <v>0.02</v>
      </c>
      <c r="AO196" s="3">
        <v>0.02</v>
      </c>
      <c r="AP196" s="3">
        <v>0.02</v>
      </c>
    </row>
    <row r="197" spans="1:42" hidden="1" x14ac:dyDescent="0.3">
      <c r="A197" s="5" t="s">
        <v>337</v>
      </c>
      <c r="B197" s="5" t="s">
        <v>31</v>
      </c>
      <c r="C197" s="22">
        <v>45127</v>
      </c>
      <c r="D197" s="22">
        <v>45131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0.02</v>
      </c>
      <c r="AD197" s="3">
        <v>0.02</v>
      </c>
      <c r="AE197" s="3">
        <v>0.02</v>
      </c>
      <c r="AF197" s="3">
        <v>0.02</v>
      </c>
      <c r="AG197" s="3">
        <v>0.02</v>
      </c>
      <c r="AH197" s="3">
        <v>0.02</v>
      </c>
      <c r="AI197" s="3">
        <v>0.02</v>
      </c>
      <c r="AJ197" s="3">
        <v>0.02</v>
      </c>
      <c r="AK197" s="3">
        <v>0.02</v>
      </c>
      <c r="AL197" s="3">
        <v>0.02</v>
      </c>
      <c r="AM197" s="3">
        <v>0.02</v>
      </c>
      <c r="AN197" s="3">
        <v>0.02</v>
      </c>
      <c r="AO197" s="3">
        <v>0.02</v>
      </c>
      <c r="AP197" s="3">
        <v>0.02</v>
      </c>
    </row>
    <row r="198" spans="1:42" hidden="1" x14ac:dyDescent="0.3">
      <c r="A198" s="5" t="s">
        <v>338</v>
      </c>
      <c r="B198" s="5" t="s">
        <v>31</v>
      </c>
      <c r="C198" s="22">
        <v>45131</v>
      </c>
      <c r="D198" s="22">
        <v>45133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0.02</v>
      </c>
      <c r="AD198" s="3">
        <v>0.02</v>
      </c>
      <c r="AE198" s="3">
        <v>0.02</v>
      </c>
      <c r="AF198" s="3">
        <v>0.02</v>
      </c>
      <c r="AG198" s="3">
        <v>0.02</v>
      </c>
      <c r="AH198" s="3">
        <v>0.02</v>
      </c>
      <c r="AI198" s="3">
        <v>0.02</v>
      </c>
      <c r="AJ198" s="3">
        <v>0.02</v>
      </c>
      <c r="AK198" s="3">
        <v>0.02</v>
      </c>
      <c r="AL198" s="3">
        <v>0.02</v>
      </c>
      <c r="AM198" s="3">
        <v>0.02</v>
      </c>
      <c r="AN198" s="3">
        <v>0.02</v>
      </c>
      <c r="AO198" s="3">
        <v>0.02</v>
      </c>
      <c r="AP198" s="3">
        <v>0.02</v>
      </c>
    </row>
    <row r="199" spans="1:42" hidden="1" x14ac:dyDescent="0.3">
      <c r="A199" s="5" t="s">
        <v>339</v>
      </c>
      <c r="B199" s="5" t="s">
        <v>31</v>
      </c>
      <c r="C199" s="22">
        <v>45133</v>
      </c>
      <c r="D199" s="22">
        <v>45134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0.02</v>
      </c>
      <c r="AD199" s="3">
        <v>0.02</v>
      </c>
      <c r="AE199" s="3">
        <v>0.02</v>
      </c>
      <c r="AF199" s="3">
        <v>0.02</v>
      </c>
      <c r="AG199" s="3">
        <v>0.02</v>
      </c>
      <c r="AH199" s="3">
        <v>0.02</v>
      </c>
      <c r="AI199" s="3">
        <v>0.02</v>
      </c>
      <c r="AJ199" s="3">
        <v>0.02</v>
      </c>
      <c r="AK199" s="3">
        <v>0.02</v>
      </c>
      <c r="AL199" s="3">
        <v>0.02</v>
      </c>
      <c r="AM199" s="3">
        <v>0.02</v>
      </c>
      <c r="AN199" s="3">
        <v>0.02</v>
      </c>
      <c r="AO199" s="3">
        <v>0.02</v>
      </c>
      <c r="AP199" s="3">
        <v>0.02</v>
      </c>
    </row>
    <row r="200" spans="1:42" hidden="1" x14ac:dyDescent="0.3">
      <c r="A200" s="5" t="s">
        <v>340</v>
      </c>
      <c r="B200" s="5" t="s">
        <v>31</v>
      </c>
      <c r="C200" s="22">
        <v>45134</v>
      </c>
      <c r="D200" s="22">
        <v>45138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0.02</v>
      </c>
      <c r="AD200" s="3">
        <v>0.02</v>
      </c>
      <c r="AE200" s="3">
        <v>0.02</v>
      </c>
      <c r="AF200" s="3">
        <v>0.02</v>
      </c>
      <c r="AG200" s="3">
        <v>0.02</v>
      </c>
      <c r="AH200" s="3">
        <v>0.02</v>
      </c>
      <c r="AI200" s="3">
        <v>0.02</v>
      </c>
      <c r="AJ200" s="3">
        <v>0.02</v>
      </c>
      <c r="AK200" s="3">
        <v>0.02</v>
      </c>
      <c r="AL200" s="3">
        <v>0.02</v>
      </c>
      <c r="AM200" s="3">
        <v>0.02</v>
      </c>
      <c r="AN200" s="3">
        <v>0.02</v>
      </c>
      <c r="AO200" s="3">
        <v>0.02</v>
      </c>
      <c r="AP200" s="3">
        <v>0.02</v>
      </c>
    </row>
    <row r="201" spans="1:42" hidden="1" x14ac:dyDescent="0.3">
      <c r="A201" s="15" t="s">
        <v>341</v>
      </c>
      <c r="B201" s="15" t="s">
        <v>47</v>
      </c>
      <c r="C201" s="20">
        <v>44883</v>
      </c>
      <c r="D201" s="20">
        <v>45079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  <c r="S201" s="8">
        <v>0</v>
      </c>
      <c r="T201" s="8">
        <v>0</v>
      </c>
      <c r="U201" s="8">
        <v>0.09</v>
      </c>
      <c r="V201" s="8">
        <v>0.17</v>
      </c>
      <c r="W201" s="8">
        <v>0.38</v>
      </c>
      <c r="X201" s="8">
        <v>0.54</v>
      </c>
      <c r="Y201" s="8">
        <v>0.71</v>
      </c>
      <c r="Z201" s="8">
        <v>2.08</v>
      </c>
      <c r="AA201" s="8">
        <v>2.17</v>
      </c>
      <c r="AB201" s="8">
        <v>2.17</v>
      </c>
      <c r="AC201" s="8">
        <v>2.17</v>
      </c>
      <c r="AD201" s="8">
        <v>2.17</v>
      </c>
      <c r="AE201" s="8">
        <v>2.17</v>
      </c>
      <c r="AF201" s="8">
        <v>2.17</v>
      </c>
      <c r="AG201" s="8">
        <v>2.17</v>
      </c>
      <c r="AH201" s="8">
        <v>2.17</v>
      </c>
      <c r="AI201" s="8">
        <v>2.17</v>
      </c>
      <c r="AJ201" s="8">
        <v>2.17</v>
      </c>
      <c r="AK201" s="8">
        <v>2.17</v>
      </c>
      <c r="AL201" s="8">
        <v>2.17</v>
      </c>
      <c r="AM201" s="8">
        <v>2.17</v>
      </c>
      <c r="AN201" s="8">
        <v>2.17</v>
      </c>
      <c r="AO201" s="8">
        <v>2.17</v>
      </c>
      <c r="AP201" s="8">
        <v>2.17</v>
      </c>
    </row>
    <row r="202" spans="1:42" hidden="1" x14ac:dyDescent="0.3">
      <c r="A202" s="5" t="s">
        <v>342</v>
      </c>
      <c r="B202" s="5" t="s">
        <v>29</v>
      </c>
      <c r="C202" s="22">
        <v>45041</v>
      </c>
      <c r="D202" s="22">
        <v>45042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1.1200000000000001</v>
      </c>
      <c r="AA202" s="3">
        <v>1.1200000000000001</v>
      </c>
      <c r="AB202" s="3">
        <v>1.1200000000000001</v>
      </c>
      <c r="AC202" s="3">
        <v>1.1200000000000001</v>
      </c>
      <c r="AD202" s="3">
        <v>1.1200000000000001</v>
      </c>
      <c r="AE202" s="3">
        <v>1.1200000000000001</v>
      </c>
      <c r="AF202" s="3">
        <v>1.1200000000000001</v>
      </c>
      <c r="AG202" s="3">
        <v>1.1200000000000001</v>
      </c>
      <c r="AH202" s="3">
        <v>1.1200000000000001</v>
      </c>
      <c r="AI202" s="3">
        <v>1.1200000000000001</v>
      </c>
      <c r="AJ202" s="3">
        <v>1.1200000000000001</v>
      </c>
      <c r="AK202" s="3">
        <v>1.1200000000000001</v>
      </c>
      <c r="AL202" s="3">
        <v>1.1200000000000001</v>
      </c>
      <c r="AM202" s="3">
        <v>1.1200000000000001</v>
      </c>
      <c r="AN202" s="3">
        <v>1.1200000000000001</v>
      </c>
      <c r="AO202" s="3">
        <v>1.1200000000000001</v>
      </c>
      <c r="AP202" s="3">
        <v>1.1200000000000001</v>
      </c>
    </row>
    <row r="203" spans="1:42" hidden="1" x14ac:dyDescent="0.3">
      <c r="A203" s="5" t="s">
        <v>343</v>
      </c>
      <c r="B203" s="5" t="s">
        <v>14</v>
      </c>
      <c r="C203" s="22">
        <v>45027</v>
      </c>
      <c r="D203" s="22">
        <v>45041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0.01</v>
      </c>
      <c r="AA203" s="3">
        <v>0.01</v>
      </c>
      <c r="AB203" s="3">
        <v>0.01</v>
      </c>
      <c r="AC203" s="3">
        <v>0.01</v>
      </c>
      <c r="AD203" s="3">
        <v>0.01</v>
      </c>
      <c r="AE203" s="3">
        <v>0.01</v>
      </c>
      <c r="AF203" s="3">
        <v>0.01</v>
      </c>
      <c r="AG203" s="3">
        <v>0.01</v>
      </c>
      <c r="AH203" s="3">
        <v>0.01</v>
      </c>
      <c r="AI203" s="3">
        <v>0.01</v>
      </c>
      <c r="AJ203" s="3">
        <v>0.01</v>
      </c>
      <c r="AK203" s="3">
        <v>0.01</v>
      </c>
      <c r="AL203" s="3">
        <v>0.01</v>
      </c>
      <c r="AM203" s="3">
        <v>0.01</v>
      </c>
      <c r="AN203" s="3">
        <v>0.01</v>
      </c>
      <c r="AO203" s="3">
        <v>0.01</v>
      </c>
      <c r="AP203" s="3">
        <v>0.01</v>
      </c>
    </row>
    <row r="204" spans="1:42" hidden="1" x14ac:dyDescent="0.3">
      <c r="A204" s="5" t="s">
        <v>344</v>
      </c>
      <c r="B204" s="5" t="s">
        <v>33</v>
      </c>
      <c r="C204" s="22">
        <v>45015</v>
      </c>
      <c r="D204" s="22">
        <v>45027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0.02</v>
      </c>
      <c r="Z204" s="3">
        <v>0.09</v>
      </c>
      <c r="AA204" s="3">
        <v>0.09</v>
      </c>
      <c r="AB204" s="3">
        <v>0.09</v>
      </c>
      <c r="AC204" s="3">
        <v>0.09</v>
      </c>
      <c r="AD204" s="3">
        <v>0.09</v>
      </c>
      <c r="AE204" s="3">
        <v>0.09</v>
      </c>
      <c r="AF204" s="3">
        <v>0.09</v>
      </c>
      <c r="AG204" s="3">
        <v>0.09</v>
      </c>
      <c r="AH204" s="3">
        <v>0.09</v>
      </c>
      <c r="AI204" s="3">
        <v>0.09</v>
      </c>
      <c r="AJ204" s="3">
        <v>0.09</v>
      </c>
      <c r="AK204" s="3">
        <v>0.09</v>
      </c>
      <c r="AL204" s="3">
        <v>0.09</v>
      </c>
      <c r="AM204" s="3">
        <v>0.09</v>
      </c>
      <c r="AN204" s="3">
        <v>0.09</v>
      </c>
      <c r="AO204" s="3">
        <v>0.09</v>
      </c>
      <c r="AP204" s="3">
        <v>0.09</v>
      </c>
    </row>
    <row r="205" spans="1:42" hidden="1" x14ac:dyDescent="0.3">
      <c r="A205" s="5" t="s">
        <v>345</v>
      </c>
      <c r="B205" s="5" t="s">
        <v>17</v>
      </c>
      <c r="C205" s="22">
        <v>44994</v>
      </c>
      <c r="D205" s="22">
        <v>45015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7.0000000000000007E-2</v>
      </c>
      <c r="Z205" s="3">
        <v>7.0000000000000007E-2</v>
      </c>
      <c r="AA205" s="3">
        <v>7.0000000000000007E-2</v>
      </c>
      <c r="AB205" s="3">
        <v>7.0000000000000007E-2</v>
      </c>
      <c r="AC205" s="3">
        <v>7.0000000000000007E-2</v>
      </c>
      <c r="AD205" s="3">
        <v>7.0000000000000007E-2</v>
      </c>
      <c r="AE205" s="3">
        <v>7.0000000000000007E-2</v>
      </c>
      <c r="AF205" s="3">
        <v>7.0000000000000007E-2</v>
      </c>
      <c r="AG205" s="3">
        <v>7.0000000000000007E-2</v>
      </c>
      <c r="AH205" s="3">
        <v>7.0000000000000007E-2</v>
      </c>
      <c r="AI205" s="3">
        <v>7.0000000000000007E-2</v>
      </c>
      <c r="AJ205" s="3">
        <v>7.0000000000000007E-2</v>
      </c>
      <c r="AK205" s="3">
        <v>7.0000000000000007E-2</v>
      </c>
      <c r="AL205" s="3">
        <v>7.0000000000000007E-2</v>
      </c>
      <c r="AM205" s="3">
        <v>7.0000000000000007E-2</v>
      </c>
      <c r="AN205" s="3">
        <v>7.0000000000000007E-2</v>
      </c>
      <c r="AO205" s="3">
        <v>7.0000000000000007E-2</v>
      </c>
      <c r="AP205" s="3">
        <v>7.0000000000000007E-2</v>
      </c>
    </row>
    <row r="206" spans="1:42" hidden="1" x14ac:dyDescent="0.3">
      <c r="A206" s="5" t="s">
        <v>346</v>
      </c>
      <c r="B206" s="5" t="s">
        <v>46</v>
      </c>
      <c r="C206" s="22">
        <v>44974</v>
      </c>
      <c r="D206" s="22">
        <v>44994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7.0000000000000007E-2</v>
      </c>
      <c r="Y206" s="3">
        <v>0.14000000000000001</v>
      </c>
      <c r="Z206" s="3">
        <v>0.14000000000000001</v>
      </c>
      <c r="AA206" s="3">
        <v>0.14000000000000001</v>
      </c>
      <c r="AB206" s="3">
        <v>0.14000000000000001</v>
      </c>
      <c r="AC206" s="3">
        <v>0.14000000000000001</v>
      </c>
      <c r="AD206" s="3">
        <v>0.14000000000000001</v>
      </c>
      <c r="AE206" s="3">
        <v>0.14000000000000001</v>
      </c>
      <c r="AF206" s="3">
        <v>0.14000000000000001</v>
      </c>
      <c r="AG206" s="3">
        <v>0.14000000000000001</v>
      </c>
      <c r="AH206" s="3">
        <v>0.14000000000000001</v>
      </c>
      <c r="AI206" s="3">
        <v>0.14000000000000001</v>
      </c>
      <c r="AJ206" s="3">
        <v>0.14000000000000001</v>
      </c>
      <c r="AK206" s="3">
        <v>0.14000000000000001</v>
      </c>
      <c r="AL206" s="3">
        <v>0.14000000000000001</v>
      </c>
      <c r="AM206" s="3">
        <v>0.14000000000000001</v>
      </c>
      <c r="AN206" s="3">
        <v>0.14000000000000001</v>
      </c>
      <c r="AO206" s="3">
        <v>0.14000000000000001</v>
      </c>
      <c r="AP206" s="3">
        <v>0.14000000000000001</v>
      </c>
    </row>
    <row r="207" spans="1:42" hidden="1" x14ac:dyDescent="0.3">
      <c r="A207" s="5" t="s">
        <v>347</v>
      </c>
      <c r="B207" s="5" t="s">
        <v>45</v>
      </c>
      <c r="C207" s="22">
        <v>44950</v>
      </c>
      <c r="D207" s="22">
        <v>44972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0.04</v>
      </c>
      <c r="X207" s="3">
        <v>0.13</v>
      </c>
      <c r="Y207" s="3">
        <v>0.13</v>
      </c>
      <c r="Z207" s="3">
        <v>0.13</v>
      </c>
      <c r="AA207" s="3">
        <v>0.13</v>
      </c>
      <c r="AB207" s="3">
        <v>0.13</v>
      </c>
      <c r="AC207" s="3">
        <v>0.13</v>
      </c>
      <c r="AD207" s="3">
        <v>0.13</v>
      </c>
      <c r="AE207" s="3">
        <v>0.13</v>
      </c>
      <c r="AF207" s="3">
        <v>0.13</v>
      </c>
      <c r="AG207" s="3">
        <v>0.13</v>
      </c>
      <c r="AH207" s="3">
        <v>0.13</v>
      </c>
      <c r="AI207" s="3">
        <v>0.13</v>
      </c>
      <c r="AJ207" s="3">
        <v>0.13</v>
      </c>
      <c r="AK207" s="3">
        <v>0.13</v>
      </c>
      <c r="AL207" s="3">
        <v>0.13</v>
      </c>
      <c r="AM207" s="3">
        <v>0.13</v>
      </c>
      <c r="AN207" s="3">
        <v>0.13</v>
      </c>
      <c r="AO207" s="3">
        <v>0.13</v>
      </c>
      <c r="AP207" s="3">
        <v>0.13</v>
      </c>
    </row>
    <row r="208" spans="1:42" hidden="1" x14ac:dyDescent="0.3">
      <c r="A208" s="5" t="s">
        <v>348</v>
      </c>
      <c r="B208" s="5" t="s">
        <v>45</v>
      </c>
      <c r="C208" s="22">
        <v>44928</v>
      </c>
      <c r="D208" s="22">
        <v>44950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0.17</v>
      </c>
      <c r="X208" s="3">
        <v>0.17</v>
      </c>
      <c r="Y208" s="3">
        <v>0.17</v>
      </c>
      <c r="Z208" s="3">
        <v>0.17</v>
      </c>
      <c r="AA208" s="3">
        <v>0.17</v>
      </c>
      <c r="AB208" s="3">
        <v>0.17</v>
      </c>
      <c r="AC208" s="3">
        <v>0.17</v>
      </c>
      <c r="AD208" s="3">
        <v>0.17</v>
      </c>
      <c r="AE208" s="3">
        <v>0.17</v>
      </c>
      <c r="AF208" s="3">
        <v>0.17</v>
      </c>
      <c r="AG208" s="3">
        <v>0.17</v>
      </c>
      <c r="AH208" s="3">
        <v>0.17</v>
      </c>
      <c r="AI208" s="3">
        <v>0.17</v>
      </c>
      <c r="AJ208" s="3">
        <v>0.17</v>
      </c>
      <c r="AK208" s="3">
        <v>0.17</v>
      </c>
      <c r="AL208" s="3">
        <v>0.17</v>
      </c>
      <c r="AM208" s="3">
        <v>0.17</v>
      </c>
      <c r="AN208" s="3">
        <v>0.17</v>
      </c>
      <c r="AO208" s="3">
        <v>0.17</v>
      </c>
      <c r="AP208" s="3">
        <v>0.17</v>
      </c>
    </row>
    <row r="209" spans="1:42" hidden="1" x14ac:dyDescent="0.3">
      <c r="A209" s="5" t="s">
        <v>349</v>
      </c>
      <c r="B209" s="5" t="s">
        <v>45</v>
      </c>
      <c r="C209" s="22">
        <v>44883</v>
      </c>
      <c r="D209" s="22">
        <v>44908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0.09</v>
      </c>
      <c r="V209" s="3">
        <v>0.17</v>
      </c>
      <c r="W209" s="3">
        <v>0.17</v>
      </c>
      <c r="X209" s="3">
        <v>0.17</v>
      </c>
      <c r="Y209" s="3">
        <v>0.17</v>
      </c>
      <c r="Z209" s="3">
        <v>0.17</v>
      </c>
      <c r="AA209" s="3">
        <v>0.17</v>
      </c>
      <c r="AB209" s="3">
        <v>0.17</v>
      </c>
      <c r="AC209" s="3">
        <v>0.17</v>
      </c>
      <c r="AD209" s="3">
        <v>0.17</v>
      </c>
      <c r="AE209" s="3">
        <v>0.17</v>
      </c>
      <c r="AF209" s="3">
        <v>0.17</v>
      </c>
      <c r="AG209" s="3">
        <v>0.17</v>
      </c>
      <c r="AH209" s="3">
        <v>0.17</v>
      </c>
      <c r="AI209" s="3">
        <v>0.17</v>
      </c>
      <c r="AJ209" s="3">
        <v>0.17</v>
      </c>
      <c r="AK209" s="3">
        <v>0.17</v>
      </c>
      <c r="AL209" s="3">
        <v>0.17</v>
      </c>
      <c r="AM209" s="3">
        <v>0.17</v>
      </c>
      <c r="AN209" s="3">
        <v>0.17</v>
      </c>
      <c r="AO209" s="3">
        <v>0.17</v>
      </c>
      <c r="AP209" s="3">
        <v>0.17</v>
      </c>
    </row>
    <row r="210" spans="1:42" hidden="1" x14ac:dyDescent="0.3">
      <c r="A210" s="4" t="s">
        <v>350</v>
      </c>
      <c r="B210" s="4" t="s">
        <v>46</v>
      </c>
      <c r="C210" s="21">
        <v>45041</v>
      </c>
      <c r="D210" s="21">
        <v>45061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0.17</v>
      </c>
      <c r="AA210" s="2">
        <v>0.24</v>
      </c>
      <c r="AB210" s="2">
        <v>0.24</v>
      </c>
      <c r="AC210" s="2">
        <v>0.24</v>
      </c>
      <c r="AD210" s="2">
        <v>0.24</v>
      </c>
      <c r="AE210" s="2">
        <v>0.24</v>
      </c>
      <c r="AF210" s="2">
        <v>0.24</v>
      </c>
      <c r="AG210" s="2">
        <v>0.24</v>
      </c>
      <c r="AH210" s="2">
        <v>0.24</v>
      </c>
      <c r="AI210" s="2">
        <v>0.24</v>
      </c>
      <c r="AJ210" s="2">
        <v>0.24</v>
      </c>
      <c r="AK210" s="2">
        <v>0.24</v>
      </c>
      <c r="AL210" s="2">
        <v>0.24</v>
      </c>
      <c r="AM210" s="2">
        <v>0.24</v>
      </c>
      <c r="AN210" s="2">
        <v>0.24</v>
      </c>
      <c r="AO210" s="2">
        <v>0.24</v>
      </c>
      <c r="AP210" s="2">
        <v>0.24</v>
      </c>
    </row>
    <row r="211" spans="1:42" hidden="1" x14ac:dyDescent="0.3">
      <c r="A211" s="5" t="s">
        <v>351</v>
      </c>
      <c r="B211" s="5" t="s">
        <v>29</v>
      </c>
      <c r="C211" s="22">
        <v>45041</v>
      </c>
      <c r="D211" s="22">
        <v>45042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0.13</v>
      </c>
      <c r="AA211" s="3">
        <v>0.13</v>
      </c>
      <c r="AB211" s="3">
        <v>0.13</v>
      </c>
      <c r="AC211" s="3">
        <v>0.13</v>
      </c>
      <c r="AD211" s="3">
        <v>0.13</v>
      </c>
      <c r="AE211" s="3">
        <v>0.13</v>
      </c>
      <c r="AF211" s="3">
        <v>0.13</v>
      </c>
      <c r="AG211" s="3">
        <v>0.13</v>
      </c>
      <c r="AH211" s="3">
        <v>0.13</v>
      </c>
      <c r="AI211" s="3">
        <v>0.13</v>
      </c>
      <c r="AJ211" s="3">
        <v>0.13</v>
      </c>
      <c r="AK211" s="3">
        <v>0.13</v>
      </c>
      <c r="AL211" s="3">
        <v>0.13</v>
      </c>
      <c r="AM211" s="3">
        <v>0.13</v>
      </c>
      <c r="AN211" s="3">
        <v>0.13</v>
      </c>
      <c r="AO211" s="3">
        <v>0.13</v>
      </c>
      <c r="AP211" s="3">
        <v>0.13</v>
      </c>
    </row>
    <row r="212" spans="1:42" hidden="1" x14ac:dyDescent="0.3">
      <c r="A212" s="5" t="s">
        <v>352</v>
      </c>
      <c r="B212" s="5" t="s">
        <v>12</v>
      </c>
      <c r="C212" s="22">
        <v>45056</v>
      </c>
      <c r="D212" s="22">
        <v>45061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0.01</v>
      </c>
      <c r="AB212" s="3">
        <v>0.01</v>
      </c>
      <c r="AC212" s="3">
        <v>0.01</v>
      </c>
      <c r="AD212" s="3">
        <v>0.01</v>
      </c>
      <c r="AE212" s="3">
        <v>0.01</v>
      </c>
      <c r="AF212" s="3">
        <v>0.01</v>
      </c>
      <c r="AG212" s="3">
        <v>0.01</v>
      </c>
      <c r="AH212" s="3">
        <v>0.01</v>
      </c>
      <c r="AI212" s="3">
        <v>0.01</v>
      </c>
      <c r="AJ212" s="3">
        <v>0.01</v>
      </c>
      <c r="AK212" s="3">
        <v>0.01</v>
      </c>
      <c r="AL212" s="3">
        <v>0.01</v>
      </c>
      <c r="AM212" s="3">
        <v>0.01</v>
      </c>
      <c r="AN212" s="3">
        <v>0.01</v>
      </c>
      <c r="AO212" s="3">
        <v>0.01</v>
      </c>
      <c r="AP212" s="3">
        <v>0.01</v>
      </c>
    </row>
    <row r="213" spans="1:42" hidden="1" x14ac:dyDescent="0.3">
      <c r="A213" s="5" t="s">
        <v>353</v>
      </c>
      <c r="B213" s="5" t="s">
        <v>31</v>
      </c>
      <c r="C213" s="22">
        <v>45042</v>
      </c>
      <c r="D213" s="22">
        <v>45043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0.03</v>
      </c>
      <c r="AA213" s="3">
        <v>0.03</v>
      </c>
      <c r="AB213" s="3">
        <v>0.03</v>
      </c>
      <c r="AC213" s="3">
        <v>0.03</v>
      </c>
      <c r="AD213" s="3">
        <v>0.03</v>
      </c>
      <c r="AE213" s="3">
        <v>0.03</v>
      </c>
      <c r="AF213" s="3">
        <v>0.03</v>
      </c>
      <c r="AG213" s="3">
        <v>0.03</v>
      </c>
      <c r="AH213" s="3">
        <v>0.03</v>
      </c>
      <c r="AI213" s="3">
        <v>0.03</v>
      </c>
      <c r="AJ213" s="3">
        <v>0.03</v>
      </c>
      <c r="AK213" s="3">
        <v>0.03</v>
      </c>
      <c r="AL213" s="3">
        <v>0.03</v>
      </c>
      <c r="AM213" s="3">
        <v>0.03</v>
      </c>
      <c r="AN213" s="3">
        <v>0.03</v>
      </c>
      <c r="AO213" s="3">
        <v>0.03</v>
      </c>
      <c r="AP213" s="3">
        <v>0.03</v>
      </c>
    </row>
    <row r="214" spans="1:42" hidden="1" x14ac:dyDescent="0.3">
      <c r="A214" s="5" t="s">
        <v>354</v>
      </c>
      <c r="B214" s="5" t="s">
        <v>31</v>
      </c>
      <c r="C214" s="22">
        <v>45044</v>
      </c>
      <c r="D214" s="22">
        <v>45048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0.01</v>
      </c>
      <c r="AA214" s="3">
        <v>0.02</v>
      </c>
      <c r="AB214" s="3">
        <v>0.02</v>
      </c>
      <c r="AC214" s="3">
        <v>0.02</v>
      </c>
      <c r="AD214" s="3">
        <v>0.02</v>
      </c>
      <c r="AE214" s="3">
        <v>0.02</v>
      </c>
      <c r="AF214" s="3">
        <v>0.02</v>
      </c>
      <c r="AG214" s="3">
        <v>0.02</v>
      </c>
      <c r="AH214" s="3">
        <v>0.02</v>
      </c>
      <c r="AI214" s="3">
        <v>0.02</v>
      </c>
      <c r="AJ214" s="3">
        <v>0.02</v>
      </c>
      <c r="AK214" s="3">
        <v>0.02</v>
      </c>
      <c r="AL214" s="3">
        <v>0.02</v>
      </c>
      <c r="AM214" s="3">
        <v>0.02</v>
      </c>
      <c r="AN214" s="3">
        <v>0.02</v>
      </c>
      <c r="AO214" s="3">
        <v>0.02</v>
      </c>
      <c r="AP214" s="3">
        <v>0.02</v>
      </c>
    </row>
    <row r="215" spans="1:42" hidden="1" x14ac:dyDescent="0.3">
      <c r="A215" s="5" t="s">
        <v>355</v>
      </c>
      <c r="B215" s="5" t="s">
        <v>31</v>
      </c>
      <c r="C215" s="22">
        <v>45048</v>
      </c>
      <c r="D215" s="22">
        <v>45050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0.02</v>
      </c>
      <c r="AB215" s="3">
        <v>0.02</v>
      </c>
      <c r="AC215" s="3">
        <v>0.02</v>
      </c>
      <c r="AD215" s="3">
        <v>0.02</v>
      </c>
      <c r="AE215" s="3">
        <v>0.02</v>
      </c>
      <c r="AF215" s="3">
        <v>0.02</v>
      </c>
      <c r="AG215" s="3">
        <v>0.02</v>
      </c>
      <c r="AH215" s="3">
        <v>0.02</v>
      </c>
      <c r="AI215" s="3">
        <v>0.02</v>
      </c>
      <c r="AJ215" s="3">
        <v>0.02</v>
      </c>
      <c r="AK215" s="3">
        <v>0.02</v>
      </c>
      <c r="AL215" s="3">
        <v>0.02</v>
      </c>
      <c r="AM215" s="3">
        <v>0.02</v>
      </c>
      <c r="AN215" s="3">
        <v>0.02</v>
      </c>
      <c r="AO215" s="3">
        <v>0.02</v>
      </c>
      <c r="AP215" s="3">
        <v>0.02</v>
      </c>
    </row>
    <row r="216" spans="1:42" hidden="1" x14ac:dyDescent="0.3">
      <c r="A216" s="5" t="s">
        <v>356</v>
      </c>
      <c r="B216" s="5" t="s">
        <v>31</v>
      </c>
      <c r="C216" s="22">
        <v>45050</v>
      </c>
      <c r="D216" s="22">
        <v>45054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0.02</v>
      </c>
      <c r="AB216" s="3">
        <v>0.02</v>
      </c>
      <c r="AC216" s="3">
        <v>0.02</v>
      </c>
      <c r="AD216" s="3">
        <v>0.02</v>
      </c>
      <c r="AE216" s="3">
        <v>0.02</v>
      </c>
      <c r="AF216" s="3">
        <v>0.02</v>
      </c>
      <c r="AG216" s="3">
        <v>0.02</v>
      </c>
      <c r="AH216" s="3">
        <v>0.02</v>
      </c>
      <c r="AI216" s="3">
        <v>0.02</v>
      </c>
      <c r="AJ216" s="3">
        <v>0.02</v>
      </c>
      <c r="AK216" s="3">
        <v>0.02</v>
      </c>
      <c r="AL216" s="3">
        <v>0.02</v>
      </c>
      <c r="AM216" s="3">
        <v>0.02</v>
      </c>
      <c r="AN216" s="3">
        <v>0.02</v>
      </c>
      <c r="AO216" s="3">
        <v>0.02</v>
      </c>
      <c r="AP216" s="3">
        <v>0.02</v>
      </c>
    </row>
    <row r="217" spans="1:42" hidden="1" x14ac:dyDescent="0.3">
      <c r="A217" s="5" t="s">
        <v>357</v>
      </c>
      <c r="B217" s="5" t="s">
        <v>31</v>
      </c>
      <c r="C217" s="22">
        <v>45054</v>
      </c>
      <c r="D217" s="22">
        <v>45056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0.02</v>
      </c>
      <c r="AB217" s="3">
        <v>0.02</v>
      </c>
      <c r="AC217" s="3">
        <v>0.02</v>
      </c>
      <c r="AD217" s="3">
        <v>0.02</v>
      </c>
      <c r="AE217" s="3">
        <v>0.02</v>
      </c>
      <c r="AF217" s="3">
        <v>0.02</v>
      </c>
      <c r="AG217" s="3">
        <v>0.02</v>
      </c>
      <c r="AH217" s="3">
        <v>0.02</v>
      </c>
      <c r="AI217" s="3">
        <v>0.02</v>
      </c>
      <c r="AJ217" s="3">
        <v>0.02</v>
      </c>
      <c r="AK217" s="3">
        <v>0.02</v>
      </c>
      <c r="AL217" s="3">
        <v>0.02</v>
      </c>
      <c r="AM217" s="3">
        <v>0.02</v>
      </c>
      <c r="AN217" s="3">
        <v>0.02</v>
      </c>
      <c r="AO217" s="3">
        <v>0.02</v>
      </c>
      <c r="AP217" s="3">
        <v>0.02</v>
      </c>
    </row>
    <row r="218" spans="1:42" hidden="1" x14ac:dyDescent="0.3">
      <c r="A218" s="5" t="s">
        <v>358</v>
      </c>
      <c r="B218" s="5" t="s">
        <v>9</v>
      </c>
      <c r="C218" s="22">
        <v>45075</v>
      </c>
      <c r="D218" s="22">
        <v>45079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0.01</v>
      </c>
      <c r="AB218" s="3">
        <v>0.02</v>
      </c>
      <c r="AC218" s="3">
        <v>0.02</v>
      </c>
      <c r="AD218" s="3">
        <v>0.02</v>
      </c>
      <c r="AE218" s="3">
        <v>0.02</v>
      </c>
      <c r="AF218" s="3">
        <v>0.02</v>
      </c>
      <c r="AG218" s="3">
        <v>0.02</v>
      </c>
      <c r="AH218" s="3">
        <v>0.02</v>
      </c>
      <c r="AI218" s="3">
        <v>0.02</v>
      </c>
      <c r="AJ218" s="3">
        <v>0.02</v>
      </c>
      <c r="AK218" s="3">
        <v>0.02</v>
      </c>
      <c r="AL218" s="3">
        <v>0.02</v>
      </c>
      <c r="AM218" s="3">
        <v>0.02</v>
      </c>
      <c r="AN218" s="3">
        <v>0.02</v>
      </c>
      <c r="AO218" s="3">
        <v>0.02</v>
      </c>
      <c r="AP218" s="3">
        <v>0.02</v>
      </c>
    </row>
    <row r="219" spans="1:42" hidden="1" x14ac:dyDescent="0.3">
      <c r="A219" s="15" t="s">
        <v>359</v>
      </c>
      <c r="B219" s="15" t="s">
        <v>48</v>
      </c>
      <c r="C219" s="20">
        <v>45218</v>
      </c>
      <c r="D219" s="20">
        <v>45293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  <c r="S219" s="8">
        <v>0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0</v>
      </c>
      <c r="Z219" s="8">
        <v>0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7.0000000000000007E-2</v>
      </c>
      <c r="AG219" s="8">
        <v>1.03</v>
      </c>
      <c r="AH219" s="8">
        <v>1.04</v>
      </c>
      <c r="AI219" s="8">
        <v>1.04</v>
      </c>
      <c r="AJ219" s="8">
        <v>1.04</v>
      </c>
      <c r="AK219" s="8">
        <v>1.04</v>
      </c>
      <c r="AL219" s="8">
        <v>1.04</v>
      </c>
      <c r="AM219" s="8">
        <v>1.04</v>
      </c>
      <c r="AN219" s="8">
        <v>1.04</v>
      </c>
      <c r="AO219" s="8">
        <v>1.04</v>
      </c>
      <c r="AP219" s="8">
        <v>1.04</v>
      </c>
    </row>
    <row r="220" spans="1:42" hidden="1" x14ac:dyDescent="0.3">
      <c r="A220" s="5" t="s">
        <v>360</v>
      </c>
      <c r="B220" s="5" t="s">
        <v>29</v>
      </c>
      <c r="C220" s="22">
        <v>45238</v>
      </c>
      <c r="D220" s="22">
        <v>45239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0.54</v>
      </c>
      <c r="AH220" s="3">
        <v>0.54</v>
      </c>
      <c r="AI220" s="3">
        <v>0.54</v>
      </c>
      <c r="AJ220" s="3">
        <v>0.54</v>
      </c>
      <c r="AK220" s="3">
        <v>0.54</v>
      </c>
      <c r="AL220" s="3">
        <v>0.54</v>
      </c>
      <c r="AM220" s="3">
        <v>0.54</v>
      </c>
      <c r="AN220" s="3">
        <v>0.54</v>
      </c>
      <c r="AO220" s="3">
        <v>0.54</v>
      </c>
      <c r="AP220" s="3">
        <v>0.54</v>
      </c>
    </row>
    <row r="221" spans="1:42" hidden="1" x14ac:dyDescent="0.3">
      <c r="A221" s="5" t="s">
        <v>361</v>
      </c>
      <c r="B221" s="5" t="s">
        <v>29</v>
      </c>
      <c r="C221" s="22">
        <v>45237</v>
      </c>
      <c r="D221" s="22">
        <v>45238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0.01</v>
      </c>
      <c r="AH221" s="3">
        <v>0.01</v>
      </c>
      <c r="AI221" s="3">
        <v>0.01</v>
      </c>
      <c r="AJ221" s="3">
        <v>0.01</v>
      </c>
      <c r="AK221" s="3">
        <v>0.01</v>
      </c>
      <c r="AL221" s="3">
        <v>0.01</v>
      </c>
      <c r="AM221" s="3">
        <v>0.01</v>
      </c>
      <c r="AN221" s="3">
        <v>0.01</v>
      </c>
      <c r="AO221" s="3">
        <v>0.01</v>
      </c>
      <c r="AP221" s="3">
        <v>0.01</v>
      </c>
    </row>
    <row r="222" spans="1:42" hidden="1" x14ac:dyDescent="0.3">
      <c r="A222" s="5" t="s">
        <v>362</v>
      </c>
      <c r="B222" s="5" t="s">
        <v>31</v>
      </c>
      <c r="C222" s="22">
        <v>45236</v>
      </c>
      <c r="D222" s="22">
        <v>45237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0.01</v>
      </c>
      <c r="AH222" s="3">
        <v>0.01</v>
      </c>
      <c r="AI222" s="3">
        <v>0.01</v>
      </c>
      <c r="AJ222" s="3">
        <v>0.01</v>
      </c>
      <c r="AK222" s="3">
        <v>0.01</v>
      </c>
      <c r="AL222" s="3">
        <v>0.01</v>
      </c>
      <c r="AM222" s="3">
        <v>0.01</v>
      </c>
      <c r="AN222" s="3">
        <v>0.01</v>
      </c>
      <c r="AO222" s="3">
        <v>0.01</v>
      </c>
      <c r="AP222" s="3">
        <v>0.01</v>
      </c>
    </row>
    <row r="223" spans="1:42" hidden="1" x14ac:dyDescent="0.3">
      <c r="A223" s="5" t="s">
        <v>363</v>
      </c>
      <c r="B223" s="5" t="s">
        <v>31</v>
      </c>
      <c r="C223" s="22">
        <v>45231</v>
      </c>
      <c r="D223" s="22">
        <v>45233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0.02</v>
      </c>
      <c r="AH223" s="3">
        <v>0.02</v>
      </c>
      <c r="AI223" s="3">
        <v>0.02</v>
      </c>
      <c r="AJ223" s="3">
        <v>0.02</v>
      </c>
      <c r="AK223" s="3">
        <v>0.02</v>
      </c>
      <c r="AL223" s="3">
        <v>0.02</v>
      </c>
      <c r="AM223" s="3">
        <v>0.02</v>
      </c>
      <c r="AN223" s="3">
        <v>0.02</v>
      </c>
      <c r="AO223" s="3">
        <v>0.02</v>
      </c>
      <c r="AP223" s="3">
        <v>0.02</v>
      </c>
    </row>
    <row r="224" spans="1:42" hidden="1" x14ac:dyDescent="0.3">
      <c r="A224" s="5" t="s">
        <v>364</v>
      </c>
      <c r="B224" s="5" t="s">
        <v>31</v>
      </c>
      <c r="C224" s="22">
        <v>45226</v>
      </c>
      <c r="D224" s="22">
        <v>45230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0.02</v>
      </c>
      <c r="AG224" s="3">
        <v>0.02</v>
      </c>
      <c r="AH224" s="3">
        <v>0.02</v>
      </c>
      <c r="AI224" s="3">
        <v>0.02</v>
      </c>
      <c r="AJ224" s="3">
        <v>0.02</v>
      </c>
      <c r="AK224" s="3">
        <v>0.02</v>
      </c>
      <c r="AL224" s="3">
        <v>0.02</v>
      </c>
      <c r="AM224" s="3">
        <v>0.02</v>
      </c>
      <c r="AN224" s="3">
        <v>0.02</v>
      </c>
      <c r="AO224" s="3">
        <v>0.02</v>
      </c>
      <c r="AP224" s="3">
        <v>0.02</v>
      </c>
    </row>
    <row r="225" spans="1:42" hidden="1" x14ac:dyDescent="0.3">
      <c r="A225" s="5" t="s">
        <v>365</v>
      </c>
      <c r="B225" s="5" t="s">
        <v>31</v>
      </c>
      <c r="C225" s="22">
        <v>45224</v>
      </c>
      <c r="D225" s="22">
        <v>45226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0.02</v>
      </c>
      <c r="AG225" s="3">
        <v>0.02</v>
      </c>
      <c r="AH225" s="3">
        <v>0.02</v>
      </c>
      <c r="AI225" s="3">
        <v>0.02</v>
      </c>
      <c r="AJ225" s="3">
        <v>0.02</v>
      </c>
      <c r="AK225" s="3">
        <v>0.02</v>
      </c>
      <c r="AL225" s="3">
        <v>0.02</v>
      </c>
      <c r="AM225" s="3">
        <v>0.02</v>
      </c>
      <c r="AN225" s="3">
        <v>0.02</v>
      </c>
      <c r="AO225" s="3">
        <v>0.02</v>
      </c>
      <c r="AP225" s="3">
        <v>0.02</v>
      </c>
    </row>
    <row r="226" spans="1:42" hidden="1" x14ac:dyDescent="0.3">
      <c r="A226" s="5" t="s">
        <v>366</v>
      </c>
      <c r="B226" s="5" t="s">
        <v>31</v>
      </c>
      <c r="C226" s="22">
        <v>45222</v>
      </c>
      <c r="D226" s="22">
        <v>45224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0.02</v>
      </c>
      <c r="AG226" s="3">
        <v>0.02</v>
      </c>
      <c r="AH226" s="3">
        <v>0.02</v>
      </c>
      <c r="AI226" s="3">
        <v>0.02</v>
      </c>
      <c r="AJ226" s="3">
        <v>0.02</v>
      </c>
      <c r="AK226" s="3">
        <v>0.02</v>
      </c>
      <c r="AL226" s="3">
        <v>0.02</v>
      </c>
      <c r="AM226" s="3">
        <v>0.02</v>
      </c>
      <c r="AN226" s="3">
        <v>0.02</v>
      </c>
      <c r="AO226" s="3">
        <v>0.02</v>
      </c>
      <c r="AP226" s="3">
        <v>0.02</v>
      </c>
    </row>
    <row r="227" spans="1:42" hidden="1" x14ac:dyDescent="0.3">
      <c r="A227" s="5" t="s">
        <v>367</v>
      </c>
      <c r="B227" s="5" t="s">
        <v>31</v>
      </c>
      <c r="C227" s="22">
        <v>45218</v>
      </c>
      <c r="D227" s="22">
        <v>45222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0.02</v>
      </c>
      <c r="AG227" s="3">
        <v>0.02</v>
      </c>
      <c r="AH227" s="3">
        <v>0.02</v>
      </c>
      <c r="AI227" s="3">
        <v>0.02</v>
      </c>
      <c r="AJ227" s="3">
        <v>0.02</v>
      </c>
      <c r="AK227" s="3">
        <v>0.02</v>
      </c>
      <c r="AL227" s="3">
        <v>0.02</v>
      </c>
      <c r="AM227" s="3">
        <v>0.02</v>
      </c>
      <c r="AN227" s="3">
        <v>0.02</v>
      </c>
      <c r="AO227" s="3">
        <v>0.02</v>
      </c>
      <c r="AP227" s="3">
        <v>0.02</v>
      </c>
    </row>
    <row r="228" spans="1:42" hidden="1" x14ac:dyDescent="0.3">
      <c r="A228" s="4" t="s">
        <v>368</v>
      </c>
      <c r="B228" s="4" t="s">
        <v>49</v>
      </c>
      <c r="C228" s="21">
        <v>45238</v>
      </c>
      <c r="D228" s="21">
        <v>45265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0.37</v>
      </c>
      <c r="AH228" s="2">
        <v>0.37</v>
      </c>
      <c r="AI228" s="2">
        <v>0.37</v>
      </c>
      <c r="AJ228" s="2">
        <v>0.37</v>
      </c>
      <c r="AK228" s="2">
        <v>0.37</v>
      </c>
      <c r="AL228" s="2">
        <v>0.37</v>
      </c>
      <c r="AM228" s="2">
        <v>0.37</v>
      </c>
      <c r="AN228" s="2">
        <v>0.37</v>
      </c>
      <c r="AO228" s="2">
        <v>0.37</v>
      </c>
      <c r="AP228" s="2">
        <v>0.37</v>
      </c>
    </row>
    <row r="229" spans="1:42" hidden="1" x14ac:dyDescent="0.3">
      <c r="A229" s="5" t="s">
        <v>369</v>
      </c>
      <c r="B229" s="5" t="s">
        <v>29</v>
      </c>
      <c r="C229" s="22">
        <v>45238</v>
      </c>
      <c r="D229" s="22">
        <v>45239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0.28000000000000003</v>
      </c>
      <c r="AH229" s="3">
        <v>0.28000000000000003</v>
      </c>
      <c r="AI229" s="3">
        <v>0.28000000000000003</v>
      </c>
      <c r="AJ229" s="3">
        <v>0.28000000000000003</v>
      </c>
      <c r="AK229" s="3">
        <v>0.28000000000000003</v>
      </c>
      <c r="AL229" s="3">
        <v>0.28000000000000003</v>
      </c>
      <c r="AM229" s="3">
        <v>0.28000000000000003</v>
      </c>
      <c r="AN229" s="3">
        <v>0.28000000000000003</v>
      </c>
      <c r="AO229" s="3">
        <v>0.28000000000000003</v>
      </c>
      <c r="AP229" s="3">
        <v>0.28000000000000003</v>
      </c>
    </row>
    <row r="230" spans="1:42" hidden="1" x14ac:dyDescent="0.3">
      <c r="A230" s="5" t="s">
        <v>370</v>
      </c>
      <c r="B230" s="5" t="s">
        <v>9</v>
      </c>
      <c r="C230" s="22">
        <v>45258</v>
      </c>
      <c r="D230" s="22">
        <v>45265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0.01</v>
      </c>
      <c r="AH230" s="3">
        <v>0.01</v>
      </c>
      <c r="AI230" s="3">
        <v>0.01</v>
      </c>
      <c r="AJ230" s="3">
        <v>0.01</v>
      </c>
      <c r="AK230" s="3">
        <v>0.01</v>
      </c>
      <c r="AL230" s="3">
        <v>0.01</v>
      </c>
      <c r="AM230" s="3">
        <v>0.01</v>
      </c>
      <c r="AN230" s="3">
        <v>0.01</v>
      </c>
      <c r="AO230" s="3">
        <v>0.01</v>
      </c>
      <c r="AP230" s="3">
        <v>0.01</v>
      </c>
    </row>
    <row r="231" spans="1:42" hidden="1" x14ac:dyDescent="0.3">
      <c r="A231" s="5" t="s">
        <v>371</v>
      </c>
      <c r="B231" s="5" t="s">
        <v>29</v>
      </c>
      <c r="C231" s="22">
        <v>45239</v>
      </c>
      <c r="D231" s="22">
        <v>45240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0.05</v>
      </c>
      <c r="AH231" s="3">
        <v>0.05</v>
      </c>
      <c r="AI231" s="3">
        <v>0.05</v>
      </c>
      <c r="AJ231" s="3">
        <v>0.05</v>
      </c>
      <c r="AK231" s="3">
        <v>0.05</v>
      </c>
      <c r="AL231" s="3">
        <v>0.05</v>
      </c>
      <c r="AM231" s="3">
        <v>0.05</v>
      </c>
      <c r="AN231" s="3">
        <v>0.05</v>
      </c>
      <c r="AO231" s="3">
        <v>0.05</v>
      </c>
      <c r="AP231" s="3">
        <v>0.05</v>
      </c>
    </row>
    <row r="232" spans="1:42" hidden="1" x14ac:dyDescent="0.3">
      <c r="A232" s="5" t="s">
        <v>372</v>
      </c>
      <c r="B232" s="5" t="s">
        <v>29</v>
      </c>
      <c r="C232" s="22">
        <v>45240</v>
      </c>
      <c r="D232" s="22">
        <v>45243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0.01</v>
      </c>
      <c r="AH232" s="3">
        <v>0.01</v>
      </c>
      <c r="AI232" s="3">
        <v>0.01</v>
      </c>
      <c r="AJ232" s="3">
        <v>0.01</v>
      </c>
      <c r="AK232" s="3">
        <v>0.01</v>
      </c>
      <c r="AL232" s="3">
        <v>0.01</v>
      </c>
      <c r="AM232" s="3">
        <v>0.01</v>
      </c>
      <c r="AN232" s="3">
        <v>0.01</v>
      </c>
      <c r="AO232" s="3">
        <v>0.01</v>
      </c>
      <c r="AP232" s="3">
        <v>0.01</v>
      </c>
    </row>
    <row r="233" spans="1:42" hidden="1" x14ac:dyDescent="0.3">
      <c r="A233" s="5" t="s">
        <v>373</v>
      </c>
      <c r="B233" s="5" t="s">
        <v>29</v>
      </c>
      <c r="C233" s="22">
        <v>45243</v>
      </c>
      <c r="D233" s="22">
        <v>45244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0.01</v>
      </c>
      <c r="AH233" s="3">
        <v>0.01</v>
      </c>
      <c r="AI233" s="3">
        <v>0.01</v>
      </c>
      <c r="AJ233" s="3">
        <v>0.01</v>
      </c>
      <c r="AK233" s="3">
        <v>0.01</v>
      </c>
      <c r="AL233" s="3">
        <v>0.01</v>
      </c>
      <c r="AM233" s="3">
        <v>0.01</v>
      </c>
      <c r="AN233" s="3">
        <v>0.01</v>
      </c>
      <c r="AO233" s="3">
        <v>0.01</v>
      </c>
      <c r="AP233" s="3">
        <v>0.01</v>
      </c>
    </row>
    <row r="234" spans="1:42" hidden="1" x14ac:dyDescent="0.3">
      <c r="A234" s="5" t="s">
        <v>374</v>
      </c>
      <c r="B234" s="5" t="s">
        <v>29</v>
      </c>
      <c r="C234" s="22">
        <v>45247</v>
      </c>
      <c r="D234" s="22">
        <v>45250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0.01</v>
      </c>
      <c r="AH234" s="3">
        <v>0.01</v>
      </c>
      <c r="AI234" s="3">
        <v>0.01</v>
      </c>
      <c r="AJ234" s="3">
        <v>0.01</v>
      </c>
      <c r="AK234" s="3">
        <v>0.01</v>
      </c>
      <c r="AL234" s="3">
        <v>0.01</v>
      </c>
      <c r="AM234" s="3">
        <v>0.01</v>
      </c>
      <c r="AN234" s="3">
        <v>0.01</v>
      </c>
      <c r="AO234" s="3">
        <v>0.01</v>
      </c>
      <c r="AP234" s="3">
        <v>0.01</v>
      </c>
    </row>
    <row r="235" spans="1:42" hidden="1" x14ac:dyDescent="0.3">
      <c r="A235" s="5" t="s">
        <v>375</v>
      </c>
      <c r="B235" s="5" t="s">
        <v>29</v>
      </c>
      <c r="C235" s="22">
        <v>45252</v>
      </c>
      <c r="D235" s="22">
        <v>45253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0.01</v>
      </c>
      <c r="AH235" s="3">
        <v>0.01</v>
      </c>
      <c r="AI235" s="3">
        <v>0.01</v>
      </c>
      <c r="AJ235" s="3">
        <v>0.01</v>
      </c>
      <c r="AK235" s="3">
        <v>0.01</v>
      </c>
      <c r="AL235" s="3">
        <v>0.01</v>
      </c>
      <c r="AM235" s="3">
        <v>0.01</v>
      </c>
      <c r="AN235" s="3">
        <v>0.01</v>
      </c>
      <c r="AO235" s="3">
        <v>0.01</v>
      </c>
      <c r="AP235" s="3">
        <v>0.01</v>
      </c>
    </row>
    <row r="236" spans="1:42" hidden="1" x14ac:dyDescent="0.3">
      <c r="A236" s="5" t="s">
        <v>376</v>
      </c>
      <c r="B236" s="5" t="s">
        <v>9</v>
      </c>
      <c r="C236" s="22">
        <v>45271</v>
      </c>
      <c r="D236" s="22">
        <v>45293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0.01</v>
      </c>
      <c r="AI236" s="3">
        <v>0.01</v>
      </c>
      <c r="AJ236" s="3">
        <v>0.01</v>
      </c>
      <c r="AK236" s="3">
        <v>0.01</v>
      </c>
      <c r="AL236" s="3">
        <v>0.01</v>
      </c>
      <c r="AM236" s="3">
        <v>0.01</v>
      </c>
      <c r="AN236" s="3">
        <v>0.01</v>
      </c>
      <c r="AO236" s="3">
        <v>0.01</v>
      </c>
      <c r="AP236" s="3">
        <v>0.01</v>
      </c>
    </row>
    <row r="237" spans="1:42" hidden="1" x14ac:dyDescent="0.3">
      <c r="A237" s="15" t="s">
        <v>377</v>
      </c>
      <c r="B237" s="15" t="s">
        <v>50</v>
      </c>
      <c r="C237" s="20">
        <v>45222</v>
      </c>
      <c r="D237" s="20">
        <v>45294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8">
        <v>0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0</v>
      </c>
      <c r="Z237" s="8">
        <v>0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0.06</v>
      </c>
      <c r="AG237" s="8">
        <v>0.99</v>
      </c>
      <c r="AH237" s="8">
        <v>1</v>
      </c>
      <c r="AI237" s="8">
        <v>1.01</v>
      </c>
      <c r="AJ237" s="8">
        <v>1.01</v>
      </c>
      <c r="AK237" s="8">
        <v>1.01</v>
      </c>
      <c r="AL237" s="8">
        <v>1.01</v>
      </c>
      <c r="AM237" s="8">
        <v>1.01</v>
      </c>
      <c r="AN237" s="8">
        <v>1.01</v>
      </c>
      <c r="AO237" s="8">
        <v>1.01</v>
      </c>
      <c r="AP237" s="8">
        <v>1.01</v>
      </c>
    </row>
    <row r="238" spans="1:42" hidden="1" x14ac:dyDescent="0.3">
      <c r="A238" s="5" t="s">
        <v>378</v>
      </c>
      <c r="B238" s="5" t="s">
        <v>29</v>
      </c>
      <c r="C238" s="22">
        <v>45240</v>
      </c>
      <c r="D238" s="22">
        <v>45243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0.53</v>
      </c>
      <c r="AH238" s="3">
        <v>0.53</v>
      </c>
      <c r="AI238" s="3">
        <v>0.53</v>
      </c>
      <c r="AJ238" s="3">
        <v>0.53</v>
      </c>
      <c r="AK238" s="3">
        <v>0.53</v>
      </c>
      <c r="AL238" s="3">
        <v>0.53</v>
      </c>
      <c r="AM238" s="3">
        <v>0.53</v>
      </c>
      <c r="AN238" s="3">
        <v>0.53</v>
      </c>
      <c r="AO238" s="3">
        <v>0.53</v>
      </c>
      <c r="AP238" s="3">
        <v>0.53</v>
      </c>
    </row>
    <row r="239" spans="1:42" hidden="1" x14ac:dyDescent="0.3">
      <c r="A239" s="5" t="s">
        <v>379</v>
      </c>
      <c r="B239" s="5" t="s">
        <v>29</v>
      </c>
      <c r="C239" s="22">
        <v>45239</v>
      </c>
      <c r="D239" s="22">
        <v>45240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0.01</v>
      </c>
      <c r="AH239" s="3">
        <v>0.01</v>
      </c>
      <c r="AI239" s="3">
        <v>0.01</v>
      </c>
      <c r="AJ239" s="3">
        <v>0.01</v>
      </c>
      <c r="AK239" s="3">
        <v>0.01</v>
      </c>
      <c r="AL239" s="3">
        <v>0.01</v>
      </c>
      <c r="AM239" s="3">
        <v>0.01</v>
      </c>
      <c r="AN239" s="3">
        <v>0.01</v>
      </c>
      <c r="AO239" s="3">
        <v>0.01</v>
      </c>
      <c r="AP239" s="3">
        <v>0.01</v>
      </c>
    </row>
    <row r="240" spans="1:42" hidden="1" x14ac:dyDescent="0.3">
      <c r="A240" s="5" t="s">
        <v>380</v>
      </c>
      <c r="B240" s="5" t="s">
        <v>31</v>
      </c>
      <c r="C240" s="22">
        <v>45237</v>
      </c>
      <c r="D240" s="22">
        <v>45239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0.01</v>
      </c>
      <c r="AH240" s="3">
        <v>0.01</v>
      </c>
      <c r="AI240" s="3">
        <v>0.01</v>
      </c>
      <c r="AJ240" s="3">
        <v>0.01</v>
      </c>
      <c r="AK240" s="3">
        <v>0.01</v>
      </c>
      <c r="AL240" s="3">
        <v>0.01</v>
      </c>
      <c r="AM240" s="3">
        <v>0.01</v>
      </c>
      <c r="AN240" s="3">
        <v>0.01</v>
      </c>
      <c r="AO240" s="3">
        <v>0.01</v>
      </c>
      <c r="AP240" s="3">
        <v>0.01</v>
      </c>
    </row>
    <row r="241" spans="1:42" hidden="1" x14ac:dyDescent="0.3">
      <c r="A241" s="5" t="s">
        <v>381</v>
      </c>
      <c r="B241" s="5" t="s">
        <v>31</v>
      </c>
      <c r="C241" s="22">
        <v>45236</v>
      </c>
      <c r="D241" s="22">
        <v>45237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0.02</v>
      </c>
      <c r="AH241" s="3">
        <v>0.02</v>
      </c>
      <c r="AI241" s="3">
        <v>0.02</v>
      </c>
      <c r="AJ241" s="3">
        <v>0.02</v>
      </c>
      <c r="AK241" s="3">
        <v>0.02</v>
      </c>
      <c r="AL241" s="3">
        <v>0.02</v>
      </c>
      <c r="AM241" s="3">
        <v>0.02</v>
      </c>
      <c r="AN241" s="3">
        <v>0.02</v>
      </c>
      <c r="AO241" s="3">
        <v>0.02</v>
      </c>
      <c r="AP241" s="3">
        <v>0.02</v>
      </c>
    </row>
    <row r="242" spans="1:42" hidden="1" x14ac:dyDescent="0.3">
      <c r="A242" s="5" t="s">
        <v>382</v>
      </c>
      <c r="B242" s="5" t="s">
        <v>31</v>
      </c>
      <c r="C242" s="22">
        <v>45230</v>
      </c>
      <c r="D242" s="22">
        <v>45231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0.01</v>
      </c>
      <c r="AG242" s="3">
        <v>0.02</v>
      </c>
      <c r="AH242" s="3">
        <v>0.02</v>
      </c>
      <c r="AI242" s="3">
        <v>0.02</v>
      </c>
      <c r="AJ242" s="3">
        <v>0.02</v>
      </c>
      <c r="AK242" s="3">
        <v>0.02</v>
      </c>
      <c r="AL242" s="3">
        <v>0.02</v>
      </c>
      <c r="AM242" s="3">
        <v>0.02</v>
      </c>
      <c r="AN242" s="3">
        <v>0.02</v>
      </c>
      <c r="AO242" s="3">
        <v>0.02</v>
      </c>
      <c r="AP242" s="3">
        <v>0.02</v>
      </c>
    </row>
    <row r="243" spans="1:42" hidden="1" x14ac:dyDescent="0.3">
      <c r="A243" s="5" t="s">
        <v>383</v>
      </c>
      <c r="B243" s="5" t="s">
        <v>31</v>
      </c>
      <c r="C243" s="22">
        <v>45226</v>
      </c>
      <c r="D243" s="22">
        <v>45230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0.02</v>
      </c>
      <c r="AG243" s="3">
        <v>0.02</v>
      </c>
      <c r="AH243" s="3">
        <v>0.02</v>
      </c>
      <c r="AI243" s="3">
        <v>0.02</v>
      </c>
      <c r="AJ243" s="3">
        <v>0.02</v>
      </c>
      <c r="AK243" s="3">
        <v>0.02</v>
      </c>
      <c r="AL243" s="3">
        <v>0.02</v>
      </c>
      <c r="AM243" s="3">
        <v>0.02</v>
      </c>
      <c r="AN243" s="3">
        <v>0.02</v>
      </c>
      <c r="AO243" s="3">
        <v>0.02</v>
      </c>
      <c r="AP243" s="3">
        <v>0.02</v>
      </c>
    </row>
    <row r="244" spans="1:42" hidden="1" x14ac:dyDescent="0.3">
      <c r="A244" s="5" t="s">
        <v>384</v>
      </c>
      <c r="B244" s="5" t="s">
        <v>31</v>
      </c>
      <c r="C244" s="22">
        <v>45224</v>
      </c>
      <c r="D244" s="22">
        <v>45226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0.02</v>
      </c>
      <c r="AG244" s="3">
        <v>0.02</v>
      </c>
      <c r="AH244" s="3">
        <v>0.02</v>
      </c>
      <c r="AI244" s="3">
        <v>0.02</v>
      </c>
      <c r="AJ244" s="3">
        <v>0.02</v>
      </c>
      <c r="AK244" s="3">
        <v>0.02</v>
      </c>
      <c r="AL244" s="3">
        <v>0.02</v>
      </c>
      <c r="AM244" s="3">
        <v>0.02</v>
      </c>
      <c r="AN244" s="3">
        <v>0.02</v>
      </c>
      <c r="AO244" s="3">
        <v>0.02</v>
      </c>
      <c r="AP244" s="3">
        <v>0.02</v>
      </c>
    </row>
    <row r="245" spans="1:42" hidden="1" x14ac:dyDescent="0.3">
      <c r="A245" s="5" t="s">
        <v>385</v>
      </c>
      <c r="B245" s="5" t="s">
        <v>31</v>
      </c>
      <c r="C245" s="22">
        <v>45222</v>
      </c>
      <c r="D245" s="22">
        <v>45224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0.02</v>
      </c>
      <c r="AG245" s="3">
        <v>0.02</v>
      </c>
      <c r="AH245" s="3">
        <v>0.02</v>
      </c>
      <c r="AI245" s="3">
        <v>0.02</v>
      </c>
      <c r="AJ245" s="3">
        <v>0.02</v>
      </c>
      <c r="AK245" s="3">
        <v>0.02</v>
      </c>
      <c r="AL245" s="3">
        <v>0.02</v>
      </c>
      <c r="AM245" s="3">
        <v>0.02</v>
      </c>
      <c r="AN245" s="3">
        <v>0.02</v>
      </c>
      <c r="AO245" s="3">
        <v>0.02</v>
      </c>
      <c r="AP245" s="3">
        <v>0.02</v>
      </c>
    </row>
    <row r="246" spans="1:42" hidden="1" x14ac:dyDescent="0.3">
      <c r="A246" s="4" t="s">
        <v>386</v>
      </c>
      <c r="B246" s="4" t="s">
        <v>49</v>
      </c>
      <c r="C246" s="21">
        <v>45240</v>
      </c>
      <c r="D246" s="21">
        <v>45266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0.35</v>
      </c>
      <c r="AH246" s="2">
        <v>0.36</v>
      </c>
      <c r="AI246" s="2">
        <v>0.36</v>
      </c>
      <c r="AJ246" s="2">
        <v>0.36</v>
      </c>
      <c r="AK246" s="2">
        <v>0.36</v>
      </c>
      <c r="AL246" s="2">
        <v>0.36</v>
      </c>
      <c r="AM246" s="2">
        <v>0.36</v>
      </c>
      <c r="AN246" s="2">
        <v>0.36</v>
      </c>
      <c r="AO246" s="2">
        <v>0.36</v>
      </c>
      <c r="AP246" s="2">
        <v>0.36</v>
      </c>
    </row>
    <row r="247" spans="1:42" hidden="1" x14ac:dyDescent="0.3">
      <c r="A247" s="5" t="s">
        <v>387</v>
      </c>
      <c r="B247" s="5" t="s">
        <v>29</v>
      </c>
      <c r="C247" s="22">
        <v>45240</v>
      </c>
      <c r="D247" s="22">
        <v>45243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0.28999999999999998</v>
      </c>
      <c r="AH247" s="3">
        <v>0.28999999999999998</v>
      </c>
      <c r="AI247" s="3">
        <v>0.28999999999999998</v>
      </c>
      <c r="AJ247" s="3">
        <v>0.28999999999999998</v>
      </c>
      <c r="AK247" s="3">
        <v>0.28999999999999998</v>
      </c>
      <c r="AL247" s="3">
        <v>0.28999999999999998</v>
      </c>
      <c r="AM247" s="3">
        <v>0.28999999999999998</v>
      </c>
      <c r="AN247" s="3">
        <v>0.28999999999999998</v>
      </c>
      <c r="AO247" s="3">
        <v>0.28999999999999998</v>
      </c>
      <c r="AP247" s="3">
        <v>0.28999999999999998</v>
      </c>
    </row>
    <row r="248" spans="1:42" hidden="1" x14ac:dyDescent="0.3">
      <c r="A248" s="5" t="s">
        <v>388</v>
      </c>
      <c r="B248" s="5" t="s">
        <v>31</v>
      </c>
      <c r="C248" s="22">
        <v>45265</v>
      </c>
      <c r="D248" s="22">
        <v>45266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0.01</v>
      </c>
      <c r="AI248" s="3">
        <v>0.01</v>
      </c>
      <c r="AJ248" s="3">
        <v>0.01</v>
      </c>
      <c r="AK248" s="3">
        <v>0.01</v>
      </c>
      <c r="AL248" s="3">
        <v>0.01</v>
      </c>
      <c r="AM248" s="3">
        <v>0.01</v>
      </c>
      <c r="AN248" s="3">
        <v>0.01</v>
      </c>
      <c r="AO248" s="3">
        <v>0.01</v>
      </c>
      <c r="AP248" s="3">
        <v>0.01</v>
      </c>
    </row>
    <row r="249" spans="1:42" hidden="1" x14ac:dyDescent="0.3">
      <c r="A249" s="5" t="s">
        <v>389</v>
      </c>
      <c r="B249" s="5" t="s">
        <v>29</v>
      </c>
      <c r="C249" s="22">
        <v>45243</v>
      </c>
      <c r="D249" s="22">
        <v>45244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0.02</v>
      </c>
      <c r="AH249" s="3">
        <v>0.02</v>
      </c>
      <c r="AI249" s="3">
        <v>0.02</v>
      </c>
      <c r="AJ249" s="3">
        <v>0.02</v>
      </c>
      <c r="AK249" s="3">
        <v>0.02</v>
      </c>
      <c r="AL249" s="3">
        <v>0.02</v>
      </c>
      <c r="AM249" s="3">
        <v>0.02</v>
      </c>
      <c r="AN249" s="3">
        <v>0.02</v>
      </c>
      <c r="AO249" s="3">
        <v>0.02</v>
      </c>
      <c r="AP249" s="3">
        <v>0.02</v>
      </c>
    </row>
    <row r="250" spans="1:42" hidden="1" x14ac:dyDescent="0.3">
      <c r="A250" s="5" t="s">
        <v>390</v>
      </c>
      <c r="B250" s="5" t="s">
        <v>29</v>
      </c>
      <c r="C250" s="22">
        <v>45244</v>
      </c>
      <c r="D250" s="22">
        <v>45246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0.01</v>
      </c>
      <c r="AH250" s="3">
        <v>0.01</v>
      </c>
      <c r="AI250" s="3">
        <v>0.01</v>
      </c>
      <c r="AJ250" s="3">
        <v>0.01</v>
      </c>
      <c r="AK250" s="3">
        <v>0.01</v>
      </c>
      <c r="AL250" s="3">
        <v>0.01</v>
      </c>
      <c r="AM250" s="3">
        <v>0.01</v>
      </c>
      <c r="AN250" s="3">
        <v>0.01</v>
      </c>
      <c r="AO250" s="3">
        <v>0.01</v>
      </c>
      <c r="AP250" s="3">
        <v>0.01</v>
      </c>
    </row>
    <row r="251" spans="1:42" hidden="1" x14ac:dyDescent="0.3">
      <c r="A251" s="5" t="s">
        <v>391</v>
      </c>
      <c r="B251" s="5" t="s">
        <v>29</v>
      </c>
      <c r="C251" s="22">
        <v>45246</v>
      </c>
      <c r="D251" s="22">
        <v>45247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0.01</v>
      </c>
      <c r="AH251" s="3">
        <v>0.01</v>
      </c>
      <c r="AI251" s="3">
        <v>0.01</v>
      </c>
      <c r="AJ251" s="3">
        <v>0.01</v>
      </c>
      <c r="AK251" s="3">
        <v>0.01</v>
      </c>
      <c r="AL251" s="3">
        <v>0.01</v>
      </c>
      <c r="AM251" s="3">
        <v>0.01</v>
      </c>
      <c r="AN251" s="3">
        <v>0.01</v>
      </c>
      <c r="AO251" s="3">
        <v>0.01</v>
      </c>
      <c r="AP251" s="3">
        <v>0.01</v>
      </c>
    </row>
    <row r="252" spans="1:42" hidden="1" x14ac:dyDescent="0.3">
      <c r="A252" s="5" t="s">
        <v>392</v>
      </c>
      <c r="B252" s="5" t="s">
        <v>29</v>
      </c>
      <c r="C252" s="22">
        <v>45250</v>
      </c>
      <c r="D252" s="22">
        <v>45251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0.01</v>
      </c>
      <c r="AH252" s="3">
        <v>0.01</v>
      </c>
      <c r="AI252" s="3">
        <v>0.01</v>
      </c>
      <c r="AJ252" s="3">
        <v>0.01</v>
      </c>
      <c r="AK252" s="3">
        <v>0.01</v>
      </c>
      <c r="AL252" s="3">
        <v>0.01</v>
      </c>
      <c r="AM252" s="3">
        <v>0.01</v>
      </c>
      <c r="AN252" s="3">
        <v>0.01</v>
      </c>
      <c r="AO252" s="3">
        <v>0.01</v>
      </c>
      <c r="AP252" s="3">
        <v>0.01</v>
      </c>
    </row>
    <row r="253" spans="1:42" hidden="1" x14ac:dyDescent="0.3">
      <c r="A253" s="5" t="s">
        <v>393</v>
      </c>
      <c r="B253" s="5" t="s">
        <v>29</v>
      </c>
      <c r="C253" s="22">
        <v>45253</v>
      </c>
      <c r="D253" s="22">
        <v>45254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0.01</v>
      </c>
      <c r="AH253" s="3">
        <v>0.01</v>
      </c>
      <c r="AI253" s="3">
        <v>0.01</v>
      </c>
      <c r="AJ253" s="3">
        <v>0.01</v>
      </c>
      <c r="AK253" s="3">
        <v>0.01</v>
      </c>
      <c r="AL253" s="3">
        <v>0.01</v>
      </c>
      <c r="AM253" s="3">
        <v>0.01</v>
      </c>
      <c r="AN253" s="3">
        <v>0.01</v>
      </c>
      <c r="AO253" s="3">
        <v>0.01</v>
      </c>
      <c r="AP253" s="3">
        <v>0.01</v>
      </c>
    </row>
    <row r="254" spans="1:42" hidden="1" x14ac:dyDescent="0.3">
      <c r="A254" s="5" t="s">
        <v>394</v>
      </c>
      <c r="B254" s="5" t="s">
        <v>29</v>
      </c>
      <c r="C254" s="22">
        <v>45293</v>
      </c>
      <c r="D254" s="22">
        <v>45294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0.01</v>
      </c>
      <c r="AJ254" s="3">
        <v>0.01</v>
      </c>
      <c r="AK254" s="3">
        <v>0.01</v>
      </c>
      <c r="AL254" s="3">
        <v>0.01</v>
      </c>
      <c r="AM254" s="3">
        <v>0.01</v>
      </c>
      <c r="AN254" s="3">
        <v>0.01</v>
      </c>
      <c r="AO254" s="3">
        <v>0.01</v>
      </c>
      <c r="AP254" s="3">
        <v>0.01</v>
      </c>
    </row>
    <row r="255" spans="1:42" hidden="1" x14ac:dyDescent="0.3">
      <c r="A255" s="15" t="s">
        <v>395</v>
      </c>
      <c r="B255" s="15" t="s">
        <v>48</v>
      </c>
      <c r="C255" s="20">
        <v>45222</v>
      </c>
      <c r="D255" s="20">
        <v>45294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8">
        <v>0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0</v>
      </c>
      <c r="Z255" s="8">
        <v>0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0.06</v>
      </c>
      <c r="AG255" s="8">
        <v>0.99</v>
      </c>
      <c r="AH255" s="8">
        <v>1</v>
      </c>
      <c r="AI255" s="8">
        <v>1.01</v>
      </c>
      <c r="AJ255" s="8">
        <v>1.01</v>
      </c>
      <c r="AK255" s="8">
        <v>1.01</v>
      </c>
      <c r="AL255" s="8">
        <v>1.01</v>
      </c>
      <c r="AM255" s="8">
        <v>1.01</v>
      </c>
      <c r="AN255" s="8">
        <v>1.01</v>
      </c>
      <c r="AO255" s="8">
        <v>1.01</v>
      </c>
      <c r="AP255" s="8">
        <v>1.01</v>
      </c>
    </row>
    <row r="256" spans="1:42" hidden="1" x14ac:dyDescent="0.3">
      <c r="A256" s="5" t="s">
        <v>396</v>
      </c>
      <c r="B256" s="5" t="s">
        <v>29</v>
      </c>
      <c r="C256" s="22">
        <v>45240</v>
      </c>
      <c r="D256" s="22">
        <v>45243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0.53</v>
      </c>
      <c r="AH256" s="3">
        <v>0.53</v>
      </c>
      <c r="AI256" s="3">
        <v>0.53</v>
      </c>
      <c r="AJ256" s="3">
        <v>0.53</v>
      </c>
      <c r="AK256" s="3">
        <v>0.53</v>
      </c>
      <c r="AL256" s="3">
        <v>0.53</v>
      </c>
      <c r="AM256" s="3">
        <v>0.53</v>
      </c>
      <c r="AN256" s="3">
        <v>0.53</v>
      </c>
      <c r="AO256" s="3">
        <v>0.53</v>
      </c>
      <c r="AP256" s="3">
        <v>0.53</v>
      </c>
    </row>
    <row r="257" spans="1:42" hidden="1" x14ac:dyDescent="0.3">
      <c r="A257" s="5" t="s">
        <v>397</v>
      </c>
      <c r="B257" s="5" t="s">
        <v>29</v>
      </c>
      <c r="C257" s="22">
        <v>45239</v>
      </c>
      <c r="D257" s="22">
        <v>45240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0.01</v>
      </c>
      <c r="AH257" s="3">
        <v>0.01</v>
      </c>
      <c r="AI257" s="3">
        <v>0.01</v>
      </c>
      <c r="AJ257" s="3">
        <v>0.01</v>
      </c>
      <c r="AK257" s="3">
        <v>0.01</v>
      </c>
      <c r="AL257" s="3">
        <v>0.01</v>
      </c>
      <c r="AM257" s="3">
        <v>0.01</v>
      </c>
      <c r="AN257" s="3">
        <v>0.01</v>
      </c>
      <c r="AO257" s="3">
        <v>0.01</v>
      </c>
      <c r="AP257" s="3">
        <v>0.01</v>
      </c>
    </row>
    <row r="258" spans="1:42" hidden="1" x14ac:dyDescent="0.3">
      <c r="A258" s="5" t="s">
        <v>398</v>
      </c>
      <c r="B258" s="5" t="s">
        <v>31</v>
      </c>
      <c r="C258" s="22">
        <v>45237</v>
      </c>
      <c r="D258" s="22">
        <v>45239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0.01</v>
      </c>
      <c r="AH258" s="3">
        <v>0.01</v>
      </c>
      <c r="AI258" s="3">
        <v>0.01</v>
      </c>
      <c r="AJ258" s="3">
        <v>0.01</v>
      </c>
      <c r="AK258" s="3">
        <v>0.01</v>
      </c>
      <c r="AL258" s="3">
        <v>0.01</v>
      </c>
      <c r="AM258" s="3">
        <v>0.01</v>
      </c>
      <c r="AN258" s="3">
        <v>0.01</v>
      </c>
      <c r="AO258" s="3">
        <v>0.01</v>
      </c>
      <c r="AP258" s="3">
        <v>0.01</v>
      </c>
    </row>
    <row r="259" spans="1:42" hidden="1" x14ac:dyDescent="0.3">
      <c r="A259" s="5" t="s">
        <v>399</v>
      </c>
      <c r="B259" s="5" t="s">
        <v>31</v>
      </c>
      <c r="C259" s="22">
        <v>45236</v>
      </c>
      <c r="D259" s="22">
        <v>45237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0.02</v>
      </c>
      <c r="AH259" s="3">
        <v>0.02</v>
      </c>
      <c r="AI259" s="3">
        <v>0.02</v>
      </c>
      <c r="AJ259" s="3">
        <v>0.02</v>
      </c>
      <c r="AK259" s="3">
        <v>0.02</v>
      </c>
      <c r="AL259" s="3">
        <v>0.02</v>
      </c>
      <c r="AM259" s="3">
        <v>0.02</v>
      </c>
      <c r="AN259" s="3">
        <v>0.02</v>
      </c>
      <c r="AO259" s="3">
        <v>0.02</v>
      </c>
      <c r="AP259" s="3">
        <v>0.02</v>
      </c>
    </row>
    <row r="260" spans="1:42" hidden="1" x14ac:dyDescent="0.3">
      <c r="A260" s="5" t="s">
        <v>400</v>
      </c>
      <c r="B260" s="5" t="s">
        <v>31</v>
      </c>
      <c r="C260" s="22">
        <v>45230</v>
      </c>
      <c r="D260" s="22">
        <v>45231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0.01</v>
      </c>
      <c r="AG260" s="3">
        <v>0.02</v>
      </c>
      <c r="AH260" s="3">
        <v>0.02</v>
      </c>
      <c r="AI260" s="3">
        <v>0.02</v>
      </c>
      <c r="AJ260" s="3">
        <v>0.02</v>
      </c>
      <c r="AK260" s="3">
        <v>0.02</v>
      </c>
      <c r="AL260" s="3">
        <v>0.02</v>
      </c>
      <c r="AM260" s="3">
        <v>0.02</v>
      </c>
      <c r="AN260" s="3">
        <v>0.02</v>
      </c>
      <c r="AO260" s="3">
        <v>0.02</v>
      </c>
      <c r="AP260" s="3">
        <v>0.02</v>
      </c>
    </row>
    <row r="261" spans="1:42" hidden="1" x14ac:dyDescent="0.3">
      <c r="A261" s="5" t="s">
        <v>401</v>
      </c>
      <c r="B261" s="5" t="s">
        <v>31</v>
      </c>
      <c r="C261" s="22">
        <v>45226</v>
      </c>
      <c r="D261" s="22">
        <v>45230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0.02</v>
      </c>
      <c r="AG261" s="3">
        <v>0.02</v>
      </c>
      <c r="AH261" s="3">
        <v>0.02</v>
      </c>
      <c r="AI261" s="3">
        <v>0.02</v>
      </c>
      <c r="AJ261" s="3">
        <v>0.02</v>
      </c>
      <c r="AK261" s="3">
        <v>0.02</v>
      </c>
      <c r="AL261" s="3">
        <v>0.02</v>
      </c>
      <c r="AM261" s="3">
        <v>0.02</v>
      </c>
      <c r="AN261" s="3">
        <v>0.02</v>
      </c>
      <c r="AO261" s="3">
        <v>0.02</v>
      </c>
      <c r="AP261" s="3">
        <v>0.02</v>
      </c>
    </row>
    <row r="262" spans="1:42" hidden="1" x14ac:dyDescent="0.3">
      <c r="A262" s="5" t="s">
        <v>402</v>
      </c>
      <c r="B262" s="5" t="s">
        <v>31</v>
      </c>
      <c r="C262" s="22">
        <v>45224</v>
      </c>
      <c r="D262" s="22">
        <v>45226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0.02</v>
      </c>
      <c r="AG262" s="3">
        <v>0.02</v>
      </c>
      <c r="AH262" s="3">
        <v>0.02</v>
      </c>
      <c r="AI262" s="3">
        <v>0.02</v>
      </c>
      <c r="AJ262" s="3">
        <v>0.02</v>
      </c>
      <c r="AK262" s="3">
        <v>0.02</v>
      </c>
      <c r="AL262" s="3">
        <v>0.02</v>
      </c>
      <c r="AM262" s="3">
        <v>0.02</v>
      </c>
      <c r="AN262" s="3">
        <v>0.02</v>
      </c>
      <c r="AO262" s="3">
        <v>0.02</v>
      </c>
      <c r="AP262" s="3">
        <v>0.02</v>
      </c>
    </row>
    <row r="263" spans="1:42" hidden="1" x14ac:dyDescent="0.3">
      <c r="A263" s="5" t="s">
        <v>403</v>
      </c>
      <c r="B263" s="5" t="s">
        <v>31</v>
      </c>
      <c r="C263" s="22">
        <v>45222</v>
      </c>
      <c r="D263" s="22">
        <v>45224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0.02</v>
      </c>
      <c r="AG263" s="3">
        <v>0.02</v>
      </c>
      <c r="AH263" s="3">
        <v>0.02</v>
      </c>
      <c r="AI263" s="3">
        <v>0.02</v>
      </c>
      <c r="AJ263" s="3">
        <v>0.02</v>
      </c>
      <c r="AK263" s="3">
        <v>0.02</v>
      </c>
      <c r="AL263" s="3">
        <v>0.02</v>
      </c>
      <c r="AM263" s="3">
        <v>0.02</v>
      </c>
      <c r="AN263" s="3">
        <v>0.02</v>
      </c>
      <c r="AO263" s="3">
        <v>0.02</v>
      </c>
      <c r="AP263" s="3">
        <v>0.02</v>
      </c>
    </row>
    <row r="264" spans="1:42" hidden="1" x14ac:dyDescent="0.3">
      <c r="A264" s="4" t="s">
        <v>404</v>
      </c>
      <c r="B264" s="4" t="s">
        <v>51</v>
      </c>
      <c r="C264" s="21">
        <v>45243</v>
      </c>
      <c r="D264" s="21">
        <v>45268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0.35</v>
      </c>
      <c r="AH264" s="2">
        <v>0.36</v>
      </c>
      <c r="AI264" s="2">
        <v>0.36</v>
      </c>
      <c r="AJ264" s="2">
        <v>0.36</v>
      </c>
      <c r="AK264" s="2">
        <v>0.36</v>
      </c>
      <c r="AL264" s="2">
        <v>0.36</v>
      </c>
      <c r="AM264" s="2">
        <v>0.36</v>
      </c>
      <c r="AN264" s="2">
        <v>0.36</v>
      </c>
      <c r="AO264" s="2">
        <v>0.36</v>
      </c>
      <c r="AP264" s="2">
        <v>0.36</v>
      </c>
    </row>
    <row r="265" spans="1:42" hidden="1" x14ac:dyDescent="0.3">
      <c r="A265" s="5" t="s">
        <v>405</v>
      </c>
      <c r="B265" s="5" t="s">
        <v>29</v>
      </c>
      <c r="C265" s="22">
        <v>45243</v>
      </c>
      <c r="D265" s="22">
        <v>45244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0.28999999999999998</v>
      </c>
      <c r="AH265" s="3">
        <v>0.28999999999999998</v>
      </c>
      <c r="AI265" s="3">
        <v>0.28999999999999998</v>
      </c>
      <c r="AJ265" s="3">
        <v>0.28999999999999998</v>
      </c>
      <c r="AK265" s="3">
        <v>0.28999999999999998</v>
      </c>
      <c r="AL265" s="3">
        <v>0.28999999999999998</v>
      </c>
      <c r="AM265" s="3">
        <v>0.28999999999999998</v>
      </c>
      <c r="AN265" s="3">
        <v>0.28999999999999998</v>
      </c>
      <c r="AO265" s="3">
        <v>0.28999999999999998</v>
      </c>
      <c r="AP265" s="3">
        <v>0.28999999999999998</v>
      </c>
    </row>
    <row r="266" spans="1:42" hidden="1" x14ac:dyDescent="0.3">
      <c r="A266" s="5" t="s">
        <v>406</v>
      </c>
      <c r="B266" s="5" t="s">
        <v>31</v>
      </c>
      <c r="C266" s="22">
        <v>45266</v>
      </c>
      <c r="D266" s="22">
        <v>45268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0.01</v>
      </c>
      <c r="AI266" s="3">
        <v>0.01</v>
      </c>
      <c r="AJ266" s="3">
        <v>0.01</v>
      </c>
      <c r="AK266" s="3">
        <v>0.01</v>
      </c>
      <c r="AL266" s="3">
        <v>0.01</v>
      </c>
      <c r="AM266" s="3">
        <v>0.01</v>
      </c>
      <c r="AN266" s="3">
        <v>0.01</v>
      </c>
      <c r="AO266" s="3">
        <v>0.01</v>
      </c>
      <c r="AP266" s="3">
        <v>0.01</v>
      </c>
    </row>
    <row r="267" spans="1:42" hidden="1" x14ac:dyDescent="0.3">
      <c r="A267" s="5" t="s">
        <v>407</v>
      </c>
      <c r="B267" s="5" t="s">
        <v>29</v>
      </c>
      <c r="C267" s="22">
        <v>45244</v>
      </c>
      <c r="D267" s="22">
        <v>45246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0.02</v>
      </c>
      <c r="AH267" s="3">
        <v>0.02</v>
      </c>
      <c r="AI267" s="3">
        <v>0.02</v>
      </c>
      <c r="AJ267" s="3">
        <v>0.02</v>
      </c>
      <c r="AK267" s="3">
        <v>0.02</v>
      </c>
      <c r="AL267" s="3">
        <v>0.02</v>
      </c>
      <c r="AM267" s="3">
        <v>0.02</v>
      </c>
      <c r="AN267" s="3">
        <v>0.02</v>
      </c>
      <c r="AO267" s="3">
        <v>0.02</v>
      </c>
      <c r="AP267" s="3">
        <v>0.02</v>
      </c>
    </row>
    <row r="268" spans="1:42" hidden="1" x14ac:dyDescent="0.3">
      <c r="A268" s="5" t="s">
        <v>408</v>
      </c>
      <c r="B268" s="5" t="s">
        <v>29</v>
      </c>
      <c r="C268" s="22">
        <v>45246</v>
      </c>
      <c r="D268" s="22">
        <v>45247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0.01</v>
      </c>
      <c r="AH268" s="3">
        <v>0.01</v>
      </c>
      <c r="AI268" s="3">
        <v>0.01</v>
      </c>
      <c r="AJ268" s="3">
        <v>0.01</v>
      </c>
      <c r="AK268" s="3">
        <v>0.01</v>
      </c>
      <c r="AL268" s="3">
        <v>0.01</v>
      </c>
      <c r="AM268" s="3">
        <v>0.01</v>
      </c>
      <c r="AN268" s="3">
        <v>0.01</v>
      </c>
      <c r="AO268" s="3">
        <v>0.01</v>
      </c>
      <c r="AP268" s="3">
        <v>0.01</v>
      </c>
    </row>
    <row r="269" spans="1:42" hidden="1" x14ac:dyDescent="0.3">
      <c r="A269" s="5" t="s">
        <v>409</v>
      </c>
      <c r="B269" s="5" t="s">
        <v>29</v>
      </c>
      <c r="C269" s="22">
        <v>45247</v>
      </c>
      <c r="D269" s="22">
        <v>45250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0.01</v>
      </c>
      <c r="AH269" s="3">
        <v>0.01</v>
      </c>
      <c r="AI269" s="3">
        <v>0.01</v>
      </c>
      <c r="AJ269" s="3">
        <v>0.01</v>
      </c>
      <c r="AK269" s="3">
        <v>0.01</v>
      </c>
      <c r="AL269" s="3">
        <v>0.01</v>
      </c>
      <c r="AM269" s="3">
        <v>0.01</v>
      </c>
      <c r="AN269" s="3">
        <v>0.01</v>
      </c>
      <c r="AO269" s="3">
        <v>0.01</v>
      </c>
      <c r="AP269" s="3">
        <v>0.01</v>
      </c>
    </row>
    <row r="270" spans="1:42" hidden="1" x14ac:dyDescent="0.3">
      <c r="A270" s="5" t="s">
        <v>410</v>
      </c>
      <c r="B270" s="5" t="s">
        <v>29</v>
      </c>
      <c r="C270" s="22">
        <v>45251</v>
      </c>
      <c r="D270" s="22">
        <v>45252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0.01</v>
      </c>
      <c r="AH270" s="3">
        <v>0.01</v>
      </c>
      <c r="AI270" s="3">
        <v>0.01</v>
      </c>
      <c r="AJ270" s="3">
        <v>0.01</v>
      </c>
      <c r="AK270" s="3">
        <v>0.01</v>
      </c>
      <c r="AL270" s="3">
        <v>0.01</v>
      </c>
      <c r="AM270" s="3">
        <v>0.01</v>
      </c>
      <c r="AN270" s="3">
        <v>0.01</v>
      </c>
      <c r="AO270" s="3">
        <v>0.01</v>
      </c>
      <c r="AP270" s="3">
        <v>0.01</v>
      </c>
    </row>
    <row r="271" spans="1:42" hidden="1" x14ac:dyDescent="0.3">
      <c r="A271" s="5" t="s">
        <v>411</v>
      </c>
      <c r="B271" s="5" t="s">
        <v>29</v>
      </c>
      <c r="C271" s="22">
        <v>45254</v>
      </c>
      <c r="D271" s="22">
        <v>45257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0.01</v>
      </c>
      <c r="AH271" s="3">
        <v>0.01</v>
      </c>
      <c r="AI271" s="3">
        <v>0.01</v>
      </c>
      <c r="AJ271" s="3">
        <v>0.01</v>
      </c>
      <c r="AK271" s="3">
        <v>0.01</v>
      </c>
      <c r="AL271" s="3">
        <v>0.01</v>
      </c>
      <c r="AM271" s="3">
        <v>0.01</v>
      </c>
      <c r="AN271" s="3">
        <v>0.01</v>
      </c>
      <c r="AO271" s="3">
        <v>0.01</v>
      </c>
      <c r="AP271" s="3">
        <v>0.01</v>
      </c>
    </row>
    <row r="272" spans="1:42" hidden="1" x14ac:dyDescent="0.3">
      <c r="A272" s="5" t="s">
        <v>412</v>
      </c>
      <c r="B272" s="5" t="s">
        <v>29</v>
      </c>
      <c r="C272" s="22">
        <v>45294</v>
      </c>
      <c r="D272" s="22">
        <v>45294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0.01</v>
      </c>
      <c r="AJ272" s="3">
        <v>0.01</v>
      </c>
      <c r="AK272" s="3">
        <v>0.01</v>
      </c>
      <c r="AL272" s="3">
        <v>0.01</v>
      </c>
      <c r="AM272" s="3">
        <v>0.01</v>
      </c>
      <c r="AN272" s="3">
        <v>0.01</v>
      </c>
      <c r="AO272" s="3">
        <v>0.01</v>
      </c>
      <c r="AP272" s="3">
        <v>0.01</v>
      </c>
    </row>
    <row r="273" spans="1:42" hidden="1" x14ac:dyDescent="0.3">
      <c r="A273" s="15" t="s">
        <v>413</v>
      </c>
      <c r="B273" s="15" t="s">
        <v>17</v>
      </c>
      <c r="C273" s="20">
        <v>45295</v>
      </c>
      <c r="D273" s="20">
        <v>45314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  <c r="S273" s="8">
        <v>0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0</v>
      </c>
      <c r="Z273" s="8">
        <v>0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8">
        <v>0</v>
      </c>
      <c r="AH273" s="8">
        <v>0</v>
      </c>
      <c r="AI273" s="8">
        <v>0.14000000000000001</v>
      </c>
      <c r="AJ273" s="8">
        <v>0.14000000000000001</v>
      </c>
      <c r="AK273" s="8">
        <v>0.14000000000000001</v>
      </c>
      <c r="AL273" s="8">
        <v>0.14000000000000001</v>
      </c>
      <c r="AM273" s="8">
        <v>0.14000000000000001</v>
      </c>
      <c r="AN273" s="8">
        <v>0.14000000000000001</v>
      </c>
      <c r="AO273" s="8">
        <v>0.14000000000000001</v>
      </c>
      <c r="AP273" s="8">
        <v>0.14000000000000001</v>
      </c>
    </row>
    <row r="274" spans="1:42" hidden="1" x14ac:dyDescent="0.3">
      <c r="A274" s="5" t="s">
        <v>414</v>
      </c>
      <c r="B274" s="5" t="s">
        <v>17</v>
      </c>
      <c r="C274" s="22">
        <v>45295</v>
      </c>
      <c r="D274" s="22">
        <v>45314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0.14000000000000001</v>
      </c>
      <c r="AJ274" s="3">
        <v>0.14000000000000001</v>
      </c>
      <c r="AK274" s="3">
        <v>0.14000000000000001</v>
      </c>
      <c r="AL274" s="3">
        <v>0.14000000000000001</v>
      </c>
      <c r="AM274" s="3">
        <v>0.14000000000000001</v>
      </c>
      <c r="AN274" s="3">
        <v>0.14000000000000001</v>
      </c>
      <c r="AO274" s="3">
        <v>0.14000000000000001</v>
      </c>
      <c r="AP274" s="3">
        <v>0.14000000000000001</v>
      </c>
    </row>
    <row r="275" spans="1:42" hidden="1" x14ac:dyDescent="0.3">
      <c r="A275" s="14" t="s">
        <v>415</v>
      </c>
      <c r="B275" s="14" t="s">
        <v>52</v>
      </c>
      <c r="C275" s="19">
        <v>44736</v>
      </c>
      <c r="D275" s="19">
        <v>45272</v>
      </c>
      <c r="E275" s="7">
        <v>0</v>
      </c>
      <c r="F275" s="7">
        <v>0</v>
      </c>
      <c r="G275" s="7">
        <v>0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0.09</v>
      </c>
      <c r="Q275" s="7">
        <v>0.64</v>
      </c>
      <c r="R275" s="7">
        <v>1.38</v>
      </c>
      <c r="S275" s="7">
        <v>3.66</v>
      </c>
      <c r="T275" s="7">
        <v>4.49</v>
      </c>
      <c r="U275" s="7">
        <v>4.71</v>
      </c>
      <c r="V275" s="7">
        <v>4.74</v>
      </c>
      <c r="W275" s="7">
        <v>6.12</v>
      </c>
      <c r="X275" s="7">
        <v>6.14</v>
      </c>
      <c r="Y275" s="7">
        <v>6.48</v>
      </c>
      <c r="Z275" s="7">
        <v>6.48</v>
      </c>
      <c r="AA275" s="7">
        <v>6.48</v>
      </c>
      <c r="AB275" s="7">
        <v>6.48</v>
      </c>
      <c r="AC275" s="7">
        <v>6.48</v>
      </c>
      <c r="AD275" s="7">
        <v>6.48</v>
      </c>
      <c r="AE275" s="7">
        <v>6.48</v>
      </c>
      <c r="AF275" s="7">
        <v>7.32</v>
      </c>
      <c r="AG275" s="7">
        <v>8.06</v>
      </c>
      <c r="AH275" s="7">
        <v>8.14</v>
      </c>
      <c r="AI275" s="7">
        <v>8.14</v>
      </c>
      <c r="AJ275" s="7">
        <v>8.14</v>
      </c>
      <c r="AK275" s="7">
        <v>8.14</v>
      </c>
      <c r="AL275" s="7">
        <v>8.14</v>
      </c>
      <c r="AM275" s="7">
        <v>8.14</v>
      </c>
      <c r="AN275" s="7">
        <v>8.14</v>
      </c>
      <c r="AO275" s="7">
        <v>8.14</v>
      </c>
      <c r="AP275" s="7">
        <v>8.14</v>
      </c>
    </row>
    <row r="276" spans="1:42" hidden="1" x14ac:dyDescent="0.3">
      <c r="A276" s="15" t="s">
        <v>416</v>
      </c>
      <c r="B276" s="15" t="s">
        <v>53</v>
      </c>
      <c r="C276" s="20">
        <v>44768</v>
      </c>
      <c r="D276" s="20">
        <v>44965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0</v>
      </c>
      <c r="Q276" s="8">
        <v>0.03</v>
      </c>
      <c r="R276" s="8">
        <v>0.23</v>
      </c>
      <c r="S276" s="8">
        <v>0.41</v>
      </c>
      <c r="T276" s="8">
        <v>0.57999999999999996</v>
      </c>
      <c r="U276" s="8">
        <v>0.72</v>
      </c>
      <c r="V276" s="8">
        <v>0.74</v>
      </c>
      <c r="W276" s="8">
        <v>2.13</v>
      </c>
      <c r="X276" s="8">
        <v>2.14</v>
      </c>
      <c r="Y276" s="8">
        <v>2.14</v>
      </c>
      <c r="Z276" s="8">
        <v>2.14</v>
      </c>
      <c r="AA276" s="8">
        <v>2.14</v>
      </c>
      <c r="AB276" s="8">
        <v>2.14</v>
      </c>
      <c r="AC276" s="8">
        <v>2.14</v>
      </c>
      <c r="AD276" s="8">
        <v>2.14</v>
      </c>
      <c r="AE276" s="8">
        <v>2.14</v>
      </c>
      <c r="AF276" s="8">
        <v>2.14</v>
      </c>
      <c r="AG276" s="8">
        <v>2.14</v>
      </c>
      <c r="AH276" s="8">
        <v>2.14</v>
      </c>
      <c r="AI276" s="8">
        <v>2.14</v>
      </c>
      <c r="AJ276" s="8">
        <v>2.14</v>
      </c>
      <c r="AK276" s="8">
        <v>2.14</v>
      </c>
      <c r="AL276" s="8">
        <v>2.14</v>
      </c>
      <c r="AM276" s="8">
        <v>2.14</v>
      </c>
      <c r="AN276" s="8">
        <v>2.14</v>
      </c>
      <c r="AO276" s="8">
        <v>2.14</v>
      </c>
      <c r="AP276" s="8">
        <v>2.14</v>
      </c>
    </row>
    <row r="277" spans="1:42" hidden="1" x14ac:dyDescent="0.3">
      <c r="A277" s="5" t="s">
        <v>417</v>
      </c>
      <c r="B277" s="5" t="s">
        <v>29</v>
      </c>
      <c r="C277" s="22">
        <v>44931</v>
      </c>
      <c r="D277" s="22">
        <v>44932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1.1200000000000001</v>
      </c>
      <c r="X277" s="3">
        <v>1.1200000000000001</v>
      </c>
      <c r="Y277" s="3">
        <v>1.1200000000000001</v>
      </c>
      <c r="Z277" s="3">
        <v>1.1200000000000001</v>
      </c>
      <c r="AA277" s="3">
        <v>1.1200000000000001</v>
      </c>
      <c r="AB277" s="3">
        <v>1.1200000000000001</v>
      </c>
      <c r="AC277" s="3">
        <v>1.1200000000000001</v>
      </c>
      <c r="AD277" s="3">
        <v>1.1200000000000001</v>
      </c>
      <c r="AE277" s="3">
        <v>1.1200000000000001</v>
      </c>
      <c r="AF277" s="3">
        <v>1.1200000000000001</v>
      </c>
      <c r="AG277" s="3">
        <v>1.1200000000000001</v>
      </c>
      <c r="AH277" s="3">
        <v>1.1200000000000001</v>
      </c>
      <c r="AI277" s="3">
        <v>1.1200000000000001</v>
      </c>
      <c r="AJ277" s="3">
        <v>1.1200000000000001</v>
      </c>
      <c r="AK277" s="3">
        <v>1.1200000000000001</v>
      </c>
      <c r="AL277" s="3">
        <v>1.1200000000000001</v>
      </c>
      <c r="AM277" s="3">
        <v>1.1200000000000001</v>
      </c>
      <c r="AN277" s="3">
        <v>1.1200000000000001</v>
      </c>
      <c r="AO277" s="3">
        <v>1.1200000000000001</v>
      </c>
      <c r="AP277" s="3">
        <v>1.1200000000000001</v>
      </c>
    </row>
    <row r="278" spans="1:42" hidden="1" x14ac:dyDescent="0.3">
      <c r="A278" s="5" t="s">
        <v>418</v>
      </c>
      <c r="B278" s="5" t="s">
        <v>9</v>
      </c>
      <c r="C278" s="22">
        <v>44910</v>
      </c>
      <c r="D278" s="22">
        <v>44931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0.01</v>
      </c>
      <c r="X278" s="3">
        <v>0.01</v>
      </c>
      <c r="Y278" s="3">
        <v>0.01</v>
      </c>
      <c r="Z278" s="3">
        <v>0.01</v>
      </c>
      <c r="AA278" s="3">
        <v>0.01</v>
      </c>
      <c r="AB278" s="3">
        <v>0.01</v>
      </c>
      <c r="AC278" s="3">
        <v>0.01</v>
      </c>
      <c r="AD278" s="3">
        <v>0.01</v>
      </c>
      <c r="AE278" s="3">
        <v>0.01</v>
      </c>
      <c r="AF278" s="3">
        <v>0.01</v>
      </c>
      <c r="AG278" s="3">
        <v>0.01</v>
      </c>
      <c r="AH278" s="3">
        <v>0.01</v>
      </c>
      <c r="AI278" s="3">
        <v>0.01</v>
      </c>
      <c r="AJ278" s="3">
        <v>0.01</v>
      </c>
      <c r="AK278" s="3">
        <v>0.01</v>
      </c>
      <c r="AL278" s="3">
        <v>0.01</v>
      </c>
      <c r="AM278" s="3">
        <v>0.01</v>
      </c>
      <c r="AN278" s="3">
        <v>0.01</v>
      </c>
      <c r="AO278" s="3">
        <v>0.01</v>
      </c>
      <c r="AP278" s="3">
        <v>0.01</v>
      </c>
    </row>
    <row r="279" spans="1:42" hidden="1" x14ac:dyDescent="0.3">
      <c r="A279" s="5" t="s">
        <v>419</v>
      </c>
      <c r="B279" s="5" t="s">
        <v>45</v>
      </c>
      <c r="C279" s="22">
        <v>44888</v>
      </c>
      <c r="D279" s="22">
        <v>44910</v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0.01</v>
      </c>
      <c r="V279" s="3">
        <v>0.04</v>
      </c>
      <c r="W279" s="3">
        <v>0.04</v>
      </c>
      <c r="X279" s="3">
        <v>0.04</v>
      </c>
      <c r="Y279" s="3">
        <v>0.04</v>
      </c>
      <c r="Z279" s="3">
        <v>0.04</v>
      </c>
      <c r="AA279" s="3">
        <v>0.04</v>
      </c>
      <c r="AB279" s="3">
        <v>0.04</v>
      </c>
      <c r="AC279" s="3">
        <v>0.04</v>
      </c>
      <c r="AD279" s="3">
        <v>0.04</v>
      </c>
      <c r="AE279" s="3">
        <v>0.04</v>
      </c>
      <c r="AF279" s="3">
        <v>0.04</v>
      </c>
      <c r="AG279" s="3">
        <v>0.04</v>
      </c>
      <c r="AH279" s="3">
        <v>0.04</v>
      </c>
      <c r="AI279" s="3">
        <v>0.04</v>
      </c>
      <c r="AJ279" s="3">
        <v>0.04</v>
      </c>
      <c r="AK279" s="3">
        <v>0.04</v>
      </c>
      <c r="AL279" s="3">
        <v>0.04</v>
      </c>
      <c r="AM279" s="3">
        <v>0.04</v>
      </c>
      <c r="AN279" s="3">
        <v>0.04</v>
      </c>
      <c r="AO279" s="3">
        <v>0.04</v>
      </c>
      <c r="AP279" s="3">
        <v>0.04</v>
      </c>
    </row>
    <row r="280" spans="1:42" hidden="1" x14ac:dyDescent="0.3">
      <c r="A280" s="5" t="s">
        <v>420</v>
      </c>
      <c r="B280" s="5" t="s">
        <v>45</v>
      </c>
      <c r="C280" s="22">
        <v>44862</v>
      </c>
      <c r="D280" s="22">
        <v>44888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0.02</v>
      </c>
      <c r="U280" s="3">
        <v>0.14000000000000001</v>
      </c>
      <c r="V280" s="3">
        <v>0.14000000000000001</v>
      </c>
      <c r="W280" s="3">
        <v>0.14000000000000001</v>
      </c>
      <c r="X280" s="3">
        <v>0.14000000000000001</v>
      </c>
      <c r="Y280" s="3">
        <v>0.14000000000000001</v>
      </c>
      <c r="Z280" s="3">
        <v>0.14000000000000001</v>
      </c>
      <c r="AA280" s="3">
        <v>0.14000000000000001</v>
      </c>
      <c r="AB280" s="3">
        <v>0.14000000000000001</v>
      </c>
      <c r="AC280" s="3">
        <v>0.14000000000000001</v>
      </c>
      <c r="AD280" s="3">
        <v>0.14000000000000001</v>
      </c>
      <c r="AE280" s="3">
        <v>0.14000000000000001</v>
      </c>
      <c r="AF280" s="3">
        <v>0.14000000000000001</v>
      </c>
      <c r="AG280" s="3">
        <v>0.14000000000000001</v>
      </c>
      <c r="AH280" s="3">
        <v>0.14000000000000001</v>
      </c>
      <c r="AI280" s="3">
        <v>0.14000000000000001</v>
      </c>
      <c r="AJ280" s="3">
        <v>0.14000000000000001</v>
      </c>
      <c r="AK280" s="3">
        <v>0.14000000000000001</v>
      </c>
      <c r="AL280" s="3">
        <v>0.14000000000000001</v>
      </c>
      <c r="AM280" s="3">
        <v>0.14000000000000001</v>
      </c>
      <c r="AN280" s="3">
        <v>0.14000000000000001</v>
      </c>
      <c r="AO280" s="3">
        <v>0.14000000000000001</v>
      </c>
      <c r="AP280" s="3">
        <v>0.14000000000000001</v>
      </c>
    </row>
    <row r="281" spans="1:42" hidden="1" x14ac:dyDescent="0.3">
      <c r="A281" s="5" t="s">
        <v>421</v>
      </c>
      <c r="B281" s="5" t="s">
        <v>45</v>
      </c>
      <c r="C281" s="22">
        <v>44838</v>
      </c>
      <c r="D281" s="22">
        <v>44862</v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0.14000000000000001</v>
      </c>
      <c r="U281" s="3">
        <v>0.14000000000000001</v>
      </c>
      <c r="V281" s="3">
        <v>0.14000000000000001</v>
      </c>
      <c r="W281" s="3">
        <v>0.14000000000000001</v>
      </c>
      <c r="X281" s="3">
        <v>0.14000000000000001</v>
      </c>
      <c r="Y281" s="3">
        <v>0.14000000000000001</v>
      </c>
      <c r="Z281" s="3">
        <v>0.14000000000000001</v>
      </c>
      <c r="AA281" s="3">
        <v>0.14000000000000001</v>
      </c>
      <c r="AB281" s="3">
        <v>0.14000000000000001</v>
      </c>
      <c r="AC281" s="3">
        <v>0.14000000000000001</v>
      </c>
      <c r="AD281" s="3">
        <v>0.14000000000000001</v>
      </c>
      <c r="AE281" s="3">
        <v>0.14000000000000001</v>
      </c>
      <c r="AF281" s="3">
        <v>0.14000000000000001</v>
      </c>
      <c r="AG281" s="3">
        <v>0.14000000000000001</v>
      </c>
      <c r="AH281" s="3">
        <v>0.14000000000000001</v>
      </c>
      <c r="AI281" s="3">
        <v>0.14000000000000001</v>
      </c>
      <c r="AJ281" s="3">
        <v>0.14000000000000001</v>
      </c>
      <c r="AK281" s="3">
        <v>0.14000000000000001</v>
      </c>
      <c r="AL281" s="3">
        <v>0.14000000000000001</v>
      </c>
      <c r="AM281" s="3">
        <v>0.14000000000000001</v>
      </c>
      <c r="AN281" s="3">
        <v>0.14000000000000001</v>
      </c>
      <c r="AO281" s="3">
        <v>0.14000000000000001</v>
      </c>
      <c r="AP281" s="3">
        <v>0.14000000000000001</v>
      </c>
    </row>
    <row r="282" spans="1:42" hidden="1" x14ac:dyDescent="0.3">
      <c r="A282" s="5" t="s">
        <v>422</v>
      </c>
      <c r="B282" s="5" t="s">
        <v>45</v>
      </c>
      <c r="C282" s="22">
        <v>44816</v>
      </c>
      <c r="D282" s="22">
        <v>44838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0.13</v>
      </c>
      <c r="T282" s="3">
        <v>0.14000000000000001</v>
      </c>
      <c r="U282" s="3">
        <v>0.14000000000000001</v>
      </c>
      <c r="V282" s="3">
        <v>0.14000000000000001</v>
      </c>
      <c r="W282" s="3">
        <v>0.14000000000000001</v>
      </c>
      <c r="X282" s="3">
        <v>0.14000000000000001</v>
      </c>
      <c r="Y282" s="3">
        <v>0.14000000000000001</v>
      </c>
      <c r="Z282" s="3">
        <v>0.14000000000000001</v>
      </c>
      <c r="AA282" s="3">
        <v>0.14000000000000001</v>
      </c>
      <c r="AB282" s="3">
        <v>0.14000000000000001</v>
      </c>
      <c r="AC282" s="3">
        <v>0.14000000000000001</v>
      </c>
      <c r="AD282" s="3">
        <v>0.14000000000000001</v>
      </c>
      <c r="AE282" s="3">
        <v>0.14000000000000001</v>
      </c>
      <c r="AF282" s="3">
        <v>0.14000000000000001</v>
      </c>
      <c r="AG282" s="3">
        <v>0.14000000000000001</v>
      </c>
      <c r="AH282" s="3">
        <v>0.14000000000000001</v>
      </c>
      <c r="AI282" s="3">
        <v>0.14000000000000001</v>
      </c>
      <c r="AJ282" s="3">
        <v>0.14000000000000001</v>
      </c>
      <c r="AK282" s="3">
        <v>0.14000000000000001</v>
      </c>
      <c r="AL282" s="3">
        <v>0.14000000000000001</v>
      </c>
      <c r="AM282" s="3">
        <v>0.14000000000000001</v>
      </c>
      <c r="AN282" s="3">
        <v>0.14000000000000001</v>
      </c>
      <c r="AO282" s="3">
        <v>0.14000000000000001</v>
      </c>
      <c r="AP282" s="3">
        <v>0.14000000000000001</v>
      </c>
    </row>
    <row r="283" spans="1:42" hidden="1" x14ac:dyDescent="0.3">
      <c r="A283" s="5" t="s">
        <v>423</v>
      </c>
      <c r="B283" s="5" t="s">
        <v>45</v>
      </c>
      <c r="C283" s="22">
        <v>44791</v>
      </c>
      <c r="D283" s="22">
        <v>44816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0.09</v>
      </c>
      <c r="S283" s="3">
        <v>0.14000000000000001</v>
      </c>
      <c r="T283" s="3">
        <v>0.14000000000000001</v>
      </c>
      <c r="U283" s="3">
        <v>0.14000000000000001</v>
      </c>
      <c r="V283" s="3">
        <v>0.14000000000000001</v>
      </c>
      <c r="W283" s="3">
        <v>0.14000000000000001</v>
      </c>
      <c r="X283" s="3">
        <v>0.14000000000000001</v>
      </c>
      <c r="Y283" s="3">
        <v>0.14000000000000001</v>
      </c>
      <c r="Z283" s="3">
        <v>0.14000000000000001</v>
      </c>
      <c r="AA283" s="3">
        <v>0.14000000000000001</v>
      </c>
      <c r="AB283" s="3">
        <v>0.14000000000000001</v>
      </c>
      <c r="AC283" s="3">
        <v>0.14000000000000001</v>
      </c>
      <c r="AD283" s="3">
        <v>0.14000000000000001</v>
      </c>
      <c r="AE283" s="3">
        <v>0.14000000000000001</v>
      </c>
      <c r="AF283" s="3">
        <v>0.14000000000000001</v>
      </c>
      <c r="AG283" s="3">
        <v>0.14000000000000001</v>
      </c>
      <c r="AH283" s="3">
        <v>0.14000000000000001</v>
      </c>
      <c r="AI283" s="3">
        <v>0.14000000000000001</v>
      </c>
      <c r="AJ283" s="3">
        <v>0.14000000000000001</v>
      </c>
      <c r="AK283" s="3">
        <v>0.14000000000000001</v>
      </c>
      <c r="AL283" s="3">
        <v>0.14000000000000001</v>
      </c>
      <c r="AM283" s="3">
        <v>0.14000000000000001</v>
      </c>
      <c r="AN283" s="3">
        <v>0.14000000000000001</v>
      </c>
      <c r="AO283" s="3">
        <v>0.14000000000000001</v>
      </c>
      <c r="AP283" s="3">
        <v>0.14000000000000001</v>
      </c>
    </row>
    <row r="284" spans="1:42" hidden="1" x14ac:dyDescent="0.3">
      <c r="A284" s="5" t="s">
        <v>424</v>
      </c>
      <c r="B284" s="5" t="s">
        <v>45</v>
      </c>
      <c r="C284" s="22">
        <v>44768</v>
      </c>
      <c r="D284" s="22">
        <v>44790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0.03</v>
      </c>
      <c r="R284" s="3">
        <v>0.14000000000000001</v>
      </c>
      <c r="S284" s="3">
        <v>0.14000000000000001</v>
      </c>
      <c r="T284" s="3">
        <v>0.14000000000000001</v>
      </c>
      <c r="U284" s="3">
        <v>0.14000000000000001</v>
      </c>
      <c r="V284" s="3">
        <v>0.14000000000000001</v>
      </c>
      <c r="W284" s="3">
        <v>0.14000000000000001</v>
      </c>
      <c r="X284" s="3">
        <v>0.14000000000000001</v>
      </c>
      <c r="Y284" s="3">
        <v>0.14000000000000001</v>
      </c>
      <c r="Z284" s="3">
        <v>0.14000000000000001</v>
      </c>
      <c r="AA284" s="3">
        <v>0.14000000000000001</v>
      </c>
      <c r="AB284" s="3">
        <v>0.14000000000000001</v>
      </c>
      <c r="AC284" s="3">
        <v>0.14000000000000001</v>
      </c>
      <c r="AD284" s="3">
        <v>0.14000000000000001</v>
      </c>
      <c r="AE284" s="3">
        <v>0.14000000000000001</v>
      </c>
      <c r="AF284" s="3">
        <v>0.14000000000000001</v>
      </c>
      <c r="AG284" s="3">
        <v>0.14000000000000001</v>
      </c>
      <c r="AH284" s="3">
        <v>0.14000000000000001</v>
      </c>
      <c r="AI284" s="3">
        <v>0.14000000000000001</v>
      </c>
      <c r="AJ284" s="3">
        <v>0.14000000000000001</v>
      </c>
      <c r="AK284" s="3">
        <v>0.14000000000000001</v>
      </c>
      <c r="AL284" s="3">
        <v>0.14000000000000001</v>
      </c>
      <c r="AM284" s="3">
        <v>0.14000000000000001</v>
      </c>
      <c r="AN284" s="3">
        <v>0.14000000000000001</v>
      </c>
      <c r="AO284" s="3">
        <v>0.14000000000000001</v>
      </c>
      <c r="AP284" s="3">
        <v>0.14000000000000001</v>
      </c>
    </row>
    <row r="285" spans="1:42" hidden="1" x14ac:dyDescent="0.3">
      <c r="A285" s="4" t="s">
        <v>425</v>
      </c>
      <c r="B285" s="4" t="s">
        <v>46</v>
      </c>
      <c r="C285" s="21">
        <v>44931</v>
      </c>
      <c r="D285" s="21">
        <v>44950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0.24</v>
      </c>
      <c r="X285" s="2">
        <v>0.24</v>
      </c>
      <c r="Y285" s="2">
        <v>0.24</v>
      </c>
      <c r="Z285" s="2">
        <v>0.24</v>
      </c>
      <c r="AA285" s="2">
        <v>0.24</v>
      </c>
      <c r="AB285" s="2">
        <v>0.24</v>
      </c>
      <c r="AC285" s="2">
        <v>0.24</v>
      </c>
      <c r="AD285" s="2">
        <v>0.24</v>
      </c>
      <c r="AE285" s="2">
        <v>0.24</v>
      </c>
      <c r="AF285" s="2">
        <v>0.24</v>
      </c>
      <c r="AG285" s="2">
        <v>0.24</v>
      </c>
      <c r="AH285" s="2">
        <v>0.24</v>
      </c>
      <c r="AI285" s="2">
        <v>0.24</v>
      </c>
      <c r="AJ285" s="2">
        <v>0.24</v>
      </c>
      <c r="AK285" s="2">
        <v>0.24</v>
      </c>
      <c r="AL285" s="2">
        <v>0.24</v>
      </c>
      <c r="AM285" s="2">
        <v>0.24</v>
      </c>
      <c r="AN285" s="2">
        <v>0.24</v>
      </c>
      <c r="AO285" s="2">
        <v>0.24</v>
      </c>
      <c r="AP285" s="2">
        <v>0.24</v>
      </c>
    </row>
    <row r="286" spans="1:42" hidden="1" x14ac:dyDescent="0.3">
      <c r="A286" s="5" t="s">
        <v>426</v>
      </c>
      <c r="B286" s="5" t="s">
        <v>29</v>
      </c>
      <c r="C286" s="22">
        <v>44931</v>
      </c>
      <c r="D286" s="22">
        <v>44932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0.13</v>
      </c>
      <c r="X286" s="3">
        <v>0.13</v>
      </c>
      <c r="Y286" s="3">
        <v>0.13</v>
      </c>
      <c r="Z286" s="3">
        <v>0.13</v>
      </c>
      <c r="AA286" s="3">
        <v>0.13</v>
      </c>
      <c r="AB286" s="3">
        <v>0.13</v>
      </c>
      <c r="AC286" s="3">
        <v>0.13</v>
      </c>
      <c r="AD286" s="3">
        <v>0.13</v>
      </c>
      <c r="AE286" s="3">
        <v>0.13</v>
      </c>
      <c r="AF286" s="3">
        <v>0.13</v>
      </c>
      <c r="AG286" s="3">
        <v>0.13</v>
      </c>
      <c r="AH286" s="3">
        <v>0.13</v>
      </c>
      <c r="AI286" s="3">
        <v>0.13</v>
      </c>
      <c r="AJ286" s="3">
        <v>0.13</v>
      </c>
      <c r="AK286" s="3">
        <v>0.13</v>
      </c>
      <c r="AL286" s="3">
        <v>0.13</v>
      </c>
      <c r="AM286" s="3">
        <v>0.13</v>
      </c>
      <c r="AN286" s="3">
        <v>0.13</v>
      </c>
      <c r="AO286" s="3">
        <v>0.13</v>
      </c>
      <c r="AP286" s="3">
        <v>0.13</v>
      </c>
    </row>
    <row r="287" spans="1:42" hidden="1" x14ac:dyDescent="0.3">
      <c r="A287" s="5" t="s">
        <v>427</v>
      </c>
      <c r="B287" s="5" t="s">
        <v>12</v>
      </c>
      <c r="C287" s="22">
        <v>44945</v>
      </c>
      <c r="D287" s="22">
        <v>44950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0.01</v>
      </c>
      <c r="X287" s="3">
        <v>0.01</v>
      </c>
      <c r="Y287" s="3">
        <v>0.01</v>
      </c>
      <c r="Z287" s="3">
        <v>0.01</v>
      </c>
      <c r="AA287" s="3">
        <v>0.01</v>
      </c>
      <c r="AB287" s="3">
        <v>0.01</v>
      </c>
      <c r="AC287" s="3">
        <v>0.01</v>
      </c>
      <c r="AD287" s="3">
        <v>0.01</v>
      </c>
      <c r="AE287" s="3">
        <v>0.01</v>
      </c>
      <c r="AF287" s="3">
        <v>0.01</v>
      </c>
      <c r="AG287" s="3">
        <v>0.01</v>
      </c>
      <c r="AH287" s="3">
        <v>0.01</v>
      </c>
      <c r="AI287" s="3">
        <v>0.01</v>
      </c>
      <c r="AJ287" s="3">
        <v>0.01</v>
      </c>
      <c r="AK287" s="3">
        <v>0.01</v>
      </c>
      <c r="AL287" s="3">
        <v>0.01</v>
      </c>
      <c r="AM287" s="3">
        <v>0.01</v>
      </c>
      <c r="AN287" s="3">
        <v>0.01</v>
      </c>
      <c r="AO287" s="3">
        <v>0.01</v>
      </c>
      <c r="AP287" s="3">
        <v>0.01</v>
      </c>
    </row>
    <row r="288" spans="1:42" hidden="1" x14ac:dyDescent="0.3">
      <c r="A288" s="5" t="s">
        <v>428</v>
      </c>
      <c r="B288" s="5" t="s">
        <v>31</v>
      </c>
      <c r="C288" s="22">
        <v>44932</v>
      </c>
      <c r="D288" s="22">
        <v>44936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0.03</v>
      </c>
      <c r="X288" s="3">
        <v>0.03</v>
      </c>
      <c r="Y288" s="3">
        <v>0.03</v>
      </c>
      <c r="Z288" s="3">
        <v>0.03</v>
      </c>
      <c r="AA288" s="3">
        <v>0.03</v>
      </c>
      <c r="AB288" s="3">
        <v>0.03</v>
      </c>
      <c r="AC288" s="3">
        <v>0.03</v>
      </c>
      <c r="AD288" s="3">
        <v>0.03</v>
      </c>
      <c r="AE288" s="3">
        <v>0.03</v>
      </c>
      <c r="AF288" s="3">
        <v>0.03</v>
      </c>
      <c r="AG288" s="3">
        <v>0.03</v>
      </c>
      <c r="AH288" s="3">
        <v>0.03</v>
      </c>
      <c r="AI288" s="3">
        <v>0.03</v>
      </c>
      <c r="AJ288" s="3">
        <v>0.03</v>
      </c>
      <c r="AK288" s="3">
        <v>0.03</v>
      </c>
      <c r="AL288" s="3">
        <v>0.03</v>
      </c>
      <c r="AM288" s="3">
        <v>0.03</v>
      </c>
      <c r="AN288" s="3">
        <v>0.03</v>
      </c>
      <c r="AO288" s="3">
        <v>0.03</v>
      </c>
      <c r="AP288" s="3">
        <v>0.03</v>
      </c>
    </row>
    <row r="289" spans="1:42" hidden="1" x14ac:dyDescent="0.3">
      <c r="A289" s="5" t="s">
        <v>429</v>
      </c>
      <c r="B289" s="5" t="s">
        <v>31</v>
      </c>
      <c r="C289" s="22">
        <v>44936</v>
      </c>
      <c r="D289" s="22">
        <v>44937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0.02</v>
      </c>
      <c r="X289" s="3">
        <v>0.02</v>
      </c>
      <c r="Y289" s="3">
        <v>0.02</v>
      </c>
      <c r="Z289" s="3">
        <v>0.02</v>
      </c>
      <c r="AA289" s="3">
        <v>0.02</v>
      </c>
      <c r="AB289" s="3">
        <v>0.02</v>
      </c>
      <c r="AC289" s="3">
        <v>0.02</v>
      </c>
      <c r="AD289" s="3">
        <v>0.02</v>
      </c>
      <c r="AE289" s="3">
        <v>0.02</v>
      </c>
      <c r="AF289" s="3">
        <v>0.02</v>
      </c>
      <c r="AG289" s="3">
        <v>0.02</v>
      </c>
      <c r="AH289" s="3">
        <v>0.02</v>
      </c>
      <c r="AI289" s="3">
        <v>0.02</v>
      </c>
      <c r="AJ289" s="3">
        <v>0.02</v>
      </c>
      <c r="AK289" s="3">
        <v>0.02</v>
      </c>
      <c r="AL289" s="3">
        <v>0.02</v>
      </c>
      <c r="AM289" s="3">
        <v>0.02</v>
      </c>
      <c r="AN289" s="3">
        <v>0.02</v>
      </c>
      <c r="AO289" s="3">
        <v>0.02</v>
      </c>
      <c r="AP289" s="3">
        <v>0.02</v>
      </c>
    </row>
    <row r="290" spans="1:42" hidden="1" x14ac:dyDescent="0.3">
      <c r="A290" s="5" t="s">
        <v>430</v>
      </c>
      <c r="B290" s="5" t="s">
        <v>31</v>
      </c>
      <c r="C290" s="22">
        <v>44938</v>
      </c>
      <c r="D290" s="22">
        <v>44939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0.02</v>
      </c>
      <c r="X290" s="3">
        <v>0.02</v>
      </c>
      <c r="Y290" s="3">
        <v>0.02</v>
      </c>
      <c r="Z290" s="3">
        <v>0.02</v>
      </c>
      <c r="AA290" s="3">
        <v>0.02</v>
      </c>
      <c r="AB290" s="3">
        <v>0.02</v>
      </c>
      <c r="AC290" s="3">
        <v>0.02</v>
      </c>
      <c r="AD290" s="3">
        <v>0.02</v>
      </c>
      <c r="AE290" s="3">
        <v>0.02</v>
      </c>
      <c r="AF290" s="3">
        <v>0.02</v>
      </c>
      <c r="AG290" s="3">
        <v>0.02</v>
      </c>
      <c r="AH290" s="3">
        <v>0.02</v>
      </c>
      <c r="AI290" s="3">
        <v>0.02</v>
      </c>
      <c r="AJ290" s="3">
        <v>0.02</v>
      </c>
      <c r="AK290" s="3">
        <v>0.02</v>
      </c>
      <c r="AL290" s="3">
        <v>0.02</v>
      </c>
      <c r="AM290" s="3">
        <v>0.02</v>
      </c>
      <c r="AN290" s="3">
        <v>0.02</v>
      </c>
      <c r="AO290" s="3">
        <v>0.02</v>
      </c>
      <c r="AP290" s="3">
        <v>0.02</v>
      </c>
    </row>
    <row r="291" spans="1:42" hidden="1" x14ac:dyDescent="0.3">
      <c r="A291" s="5" t="s">
        <v>431</v>
      </c>
      <c r="B291" s="5" t="s">
        <v>31</v>
      </c>
      <c r="C291" s="22">
        <v>44939</v>
      </c>
      <c r="D291" s="22">
        <v>44943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0.02</v>
      </c>
      <c r="X291" s="3">
        <v>0.02</v>
      </c>
      <c r="Y291" s="3">
        <v>0.02</v>
      </c>
      <c r="Z291" s="3">
        <v>0.02</v>
      </c>
      <c r="AA291" s="3">
        <v>0.02</v>
      </c>
      <c r="AB291" s="3">
        <v>0.02</v>
      </c>
      <c r="AC291" s="3">
        <v>0.02</v>
      </c>
      <c r="AD291" s="3">
        <v>0.02</v>
      </c>
      <c r="AE291" s="3">
        <v>0.02</v>
      </c>
      <c r="AF291" s="3">
        <v>0.02</v>
      </c>
      <c r="AG291" s="3">
        <v>0.02</v>
      </c>
      <c r="AH291" s="3">
        <v>0.02</v>
      </c>
      <c r="AI291" s="3">
        <v>0.02</v>
      </c>
      <c r="AJ291" s="3">
        <v>0.02</v>
      </c>
      <c r="AK291" s="3">
        <v>0.02</v>
      </c>
      <c r="AL291" s="3">
        <v>0.02</v>
      </c>
      <c r="AM291" s="3">
        <v>0.02</v>
      </c>
      <c r="AN291" s="3">
        <v>0.02</v>
      </c>
      <c r="AO291" s="3">
        <v>0.02</v>
      </c>
      <c r="AP291" s="3">
        <v>0.02</v>
      </c>
    </row>
    <row r="292" spans="1:42" hidden="1" x14ac:dyDescent="0.3">
      <c r="A292" s="5" t="s">
        <v>432</v>
      </c>
      <c r="B292" s="5" t="s">
        <v>31</v>
      </c>
      <c r="C292" s="22">
        <v>44943</v>
      </c>
      <c r="D292" s="22">
        <v>44945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0.02</v>
      </c>
      <c r="X292" s="3">
        <v>0.02</v>
      </c>
      <c r="Y292" s="3">
        <v>0.02</v>
      </c>
      <c r="Z292" s="3">
        <v>0.02</v>
      </c>
      <c r="AA292" s="3">
        <v>0.02</v>
      </c>
      <c r="AB292" s="3">
        <v>0.02</v>
      </c>
      <c r="AC292" s="3">
        <v>0.02</v>
      </c>
      <c r="AD292" s="3">
        <v>0.02</v>
      </c>
      <c r="AE292" s="3">
        <v>0.02</v>
      </c>
      <c r="AF292" s="3">
        <v>0.02</v>
      </c>
      <c r="AG292" s="3">
        <v>0.02</v>
      </c>
      <c r="AH292" s="3">
        <v>0.02</v>
      </c>
      <c r="AI292" s="3">
        <v>0.02</v>
      </c>
      <c r="AJ292" s="3">
        <v>0.02</v>
      </c>
      <c r="AK292" s="3">
        <v>0.02</v>
      </c>
      <c r="AL292" s="3">
        <v>0.02</v>
      </c>
      <c r="AM292" s="3">
        <v>0.02</v>
      </c>
      <c r="AN292" s="3">
        <v>0.02</v>
      </c>
      <c r="AO292" s="3">
        <v>0.02</v>
      </c>
      <c r="AP292" s="3">
        <v>0.02</v>
      </c>
    </row>
    <row r="293" spans="1:42" hidden="1" x14ac:dyDescent="0.3">
      <c r="A293" s="5" t="s">
        <v>433</v>
      </c>
      <c r="B293" s="5" t="s">
        <v>14</v>
      </c>
      <c r="C293" s="22">
        <v>44952</v>
      </c>
      <c r="D293" s="22">
        <v>44965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0.01</v>
      </c>
      <c r="X293" s="3">
        <v>0.02</v>
      </c>
      <c r="Y293" s="3">
        <v>0.02</v>
      </c>
      <c r="Z293" s="3">
        <v>0.02</v>
      </c>
      <c r="AA293" s="3">
        <v>0.02</v>
      </c>
      <c r="AB293" s="3">
        <v>0.02</v>
      </c>
      <c r="AC293" s="3">
        <v>0.02</v>
      </c>
      <c r="AD293" s="3">
        <v>0.02</v>
      </c>
      <c r="AE293" s="3">
        <v>0.02</v>
      </c>
      <c r="AF293" s="3">
        <v>0.02</v>
      </c>
      <c r="AG293" s="3">
        <v>0.02</v>
      </c>
      <c r="AH293" s="3">
        <v>0.02</v>
      </c>
      <c r="AI293" s="3">
        <v>0.02</v>
      </c>
      <c r="AJ293" s="3">
        <v>0.02</v>
      </c>
      <c r="AK293" s="3">
        <v>0.02</v>
      </c>
      <c r="AL293" s="3">
        <v>0.02</v>
      </c>
      <c r="AM293" s="3">
        <v>0.02</v>
      </c>
      <c r="AN293" s="3">
        <v>0.02</v>
      </c>
      <c r="AO293" s="3">
        <v>0.02</v>
      </c>
      <c r="AP293" s="3">
        <v>0.02</v>
      </c>
    </row>
    <row r="294" spans="1:42" hidden="1" x14ac:dyDescent="0.3">
      <c r="A294" s="15" t="s">
        <v>434</v>
      </c>
      <c r="B294" s="15" t="s">
        <v>54</v>
      </c>
      <c r="C294" s="20">
        <v>44736</v>
      </c>
      <c r="D294" s="20">
        <v>44889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0.04</v>
      </c>
      <c r="Q294" s="8">
        <v>0.35</v>
      </c>
      <c r="R294" s="8">
        <v>0.67</v>
      </c>
      <c r="S294" s="8">
        <v>1.87</v>
      </c>
      <c r="T294" s="8">
        <v>2.13</v>
      </c>
      <c r="U294" s="8">
        <v>2.16</v>
      </c>
      <c r="V294" s="8">
        <v>2.16</v>
      </c>
      <c r="W294" s="8">
        <v>2.16</v>
      </c>
      <c r="X294" s="8">
        <v>2.16</v>
      </c>
      <c r="Y294" s="8">
        <v>2.16</v>
      </c>
      <c r="Z294" s="8">
        <v>2.16</v>
      </c>
      <c r="AA294" s="8">
        <v>2.16</v>
      </c>
      <c r="AB294" s="8">
        <v>2.16</v>
      </c>
      <c r="AC294" s="8">
        <v>2.16</v>
      </c>
      <c r="AD294" s="8">
        <v>2.16</v>
      </c>
      <c r="AE294" s="8">
        <v>2.16</v>
      </c>
      <c r="AF294" s="8">
        <v>2.16</v>
      </c>
      <c r="AG294" s="8">
        <v>2.16</v>
      </c>
      <c r="AH294" s="8">
        <v>2.16</v>
      </c>
      <c r="AI294" s="8">
        <v>2.16</v>
      </c>
      <c r="AJ294" s="8">
        <v>2.16</v>
      </c>
      <c r="AK294" s="8">
        <v>2.16</v>
      </c>
      <c r="AL294" s="8">
        <v>2.16</v>
      </c>
      <c r="AM294" s="8">
        <v>2.16</v>
      </c>
      <c r="AN294" s="8">
        <v>2.16</v>
      </c>
      <c r="AO294" s="8">
        <v>2.16</v>
      </c>
      <c r="AP294" s="8">
        <v>2.16</v>
      </c>
    </row>
    <row r="295" spans="1:42" hidden="1" x14ac:dyDescent="0.3">
      <c r="A295" s="5" t="s">
        <v>435</v>
      </c>
      <c r="B295" s="5" t="s">
        <v>9</v>
      </c>
      <c r="C295" s="22">
        <v>44824</v>
      </c>
      <c r="D295" s="22">
        <v>44831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1.1200000000000001</v>
      </c>
      <c r="T295" s="3">
        <v>1.1200000000000001</v>
      </c>
      <c r="U295" s="3">
        <v>1.1200000000000001</v>
      </c>
      <c r="V295" s="3">
        <v>1.1200000000000001</v>
      </c>
      <c r="W295" s="3">
        <v>1.1200000000000001</v>
      </c>
      <c r="X295" s="3">
        <v>1.1200000000000001</v>
      </c>
      <c r="Y295" s="3">
        <v>1.1200000000000001</v>
      </c>
      <c r="Z295" s="3">
        <v>1.1200000000000001</v>
      </c>
      <c r="AA295" s="3">
        <v>1.1200000000000001</v>
      </c>
      <c r="AB295" s="3">
        <v>1.1200000000000001</v>
      </c>
      <c r="AC295" s="3">
        <v>1.1200000000000001</v>
      </c>
      <c r="AD295" s="3">
        <v>1.1200000000000001</v>
      </c>
      <c r="AE295" s="3">
        <v>1.1200000000000001</v>
      </c>
      <c r="AF295" s="3">
        <v>1.1200000000000001</v>
      </c>
      <c r="AG295" s="3">
        <v>1.1200000000000001</v>
      </c>
      <c r="AH295" s="3">
        <v>1.1200000000000001</v>
      </c>
      <c r="AI295" s="3">
        <v>1.1200000000000001</v>
      </c>
      <c r="AJ295" s="3">
        <v>1.1200000000000001</v>
      </c>
      <c r="AK295" s="3">
        <v>1.1200000000000001</v>
      </c>
      <c r="AL295" s="3">
        <v>1.1200000000000001</v>
      </c>
      <c r="AM295" s="3">
        <v>1.1200000000000001</v>
      </c>
      <c r="AN295" s="3">
        <v>1.1200000000000001</v>
      </c>
      <c r="AO295" s="3">
        <v>1.1200000000000001</v>
      </c>
      <c r="AP295" s="3">
        <v>1.1200000000000001</v>
      </c>
    </row>
    <row r="296" spans="1:42" hidden="1" x14ac:dyDescent="0.3">
      <c r="A296" s="5" t="s">
        <v>436</v>
      </c>
      <c r="B296" s="5" t="s">
        <v>17</v>
      </c>
      <c r="C296" s="22">
        <v>44803</v>
      </c>
      <c r="D296" s="22">
        <v>44824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0.05</v>
      </c>
      <c r="T296" s="3">
        <v>0.05</v>
      </c>
      <c r="U296" s="3">
        <v>0.05</v>
      </c>
      <c r="V296" s="3">
        <v>0.05</v>
      </c>
      <c r="W296" s="3">
        <v>0.05</v>
      </c>
      <c r="X296" s="3">
        <v>0.05</v>
      </c>
      <c r="Y296" s="3">
        <v>0.05</v>
      </c>
      <c r="Z296" s="3">
        <v>0.05</v>
      </c>
      <c r="AA296" s="3">
        <v>0.05</v>
      </c>
      <c r="AB296" s="3">
        <v>0.05</v>
      </c>
      <c r="AC296" s="3">
        <v>0.05</v>
      </c>
      <c r="AD296" s="3">
        <v>0.05</v>
      </c>
      <c r="AE296" s="3">
        <v>0.05</v>
      </c>
      <c r="AF296" s="3">
        <v>0.05</v>
      </c>
      <c r="AG296" s="3">
        <v>0.05</v>
      </c>
      <c r="AH296" s="3">
        <v>0.05</v>
      </c>
      <c r="AI296" s="3">
        <v>0.05</v>
      </c>
      <c r="AJ296" s="3">
        <v>0.05</v>
      </c>
      <c r="AK296" s="3">
        <v>0.05</v>
      </c>
      <c r="AL296" s="3">
        <v>0.05</v>
      </c>
      <c r="AM296" s="3">
        <v>0.05</v>
      </c>
      <c r="AN296" s="3">
        <v>0.05</v>
      </c>
      <c r="AO296" s="3">
        <v>0.05</v>
      </c>
      <c r="AP296" s="3">
        <v>0.05</v>
      </c>
    </row>
    <row r="297" spans="1:42" hidden="1" x14ac:dyDescent="0.3">
      <c r="A297" s="5" t="s">
        <v>437</v>
      </c>
      <c r="B297" s="5" t="s">
        <v>17</v>
      </c>
      <c r="C297" s="22">
        <v>44790</v>
      </c>
      <c r="D297" s="22">
        <v>44810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0.11</v>
      </c>
      <c r="S297" s="3">
        <v>0.14000000000000001</v>
      </c>
      <c r="T297" s="3">
        <v>0.14000000000000001</v>
      </c>
      <c r="U297" s="3">
        <v>0.14000000000000001</v>
      </c>
      <c r="V297" s="3">
        <v>0.14000000000000001</v>
      </c>
      <c r="W297" s="3">
        <v>0.14000000000000001</v>
      </c>
      <c r="X297" s="3">
        <v>0.14000000000000001</v>
      </c>
      <c r="Y297" s="3">
        <v>0.14000000000000001</v>
      </c>
      <c r="Z297" s="3">
        <v>0.14000000000000001</v>
      </c>
      <c r="AA297" s="3">
        <v>0.14000000000000001</v>
      </c>
      <c r="AB297" s="3">
        <v>0.14000000000000001</v>
      </c>
      <c r="AC297" s="3">
        <v>0.14000000000000001</v>
      </c>
      <c r="AD297" s="3">
        <v>0.14000000000000001</v>
      </c>
      <c r="AE297" s="3">
        <v>0.14000000000000001</v>
      </c>
      <c r="AF297" s="3">
        <v>0.14000000000000001</v>
      </c>
      <c r="AG297" s="3">
        <v>0.14000000000000001</v>
      </c>
      <c r="AH297" s="3">
        <v>0.14000000000000001</v>
      </c>
      <c r="AI297" s="3">
        <v>0.14000000000000001</v>
      </c>
      <c r="AJ297" s="3">
        <v>0.14000000000000001</v>
      </c>
      <c r="AK297" s="3">
        <v>0.14000000000000001</v>
      </c>
      <c r="AL297" s="3">
        <v>0.14000000000000001</v>
      </c>
      <c r="AM297" s="3">
        <v>0.14000000000000001</v>
      </c>
      <c r="AN297" s="3">
        <v>0.14000000000000001</v>
      </c>
      <c r="AO297" s="3">
        <v>0.14000000000000001</v>
      </c>
      <c r="AP297" s="3">
        <v>0.14000000000000001</v>
      </c>
    </row>
    <row r="298" spans="1:42" hidden="1" x14ac:dyDescent="0.3">
      <c r="A298" s="5" t="s">
        <v>438</v>
      </c>
      <c r="B298" s="5" t="s">
        <v>17</v>
      </c>
      <c r="C298" s="22">
        <v>44776</v>
      </c>
      <c r="D298" s="22">
        <v>44795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0.14000000000000001</v>
      </c>
      <c r="S298" s="3">
        <v>0.14000000000000001</v>
      </c>
      <c r="T298" s="3">
        <v>0.14000000000000001</v>
      </c>
      <c r="U298" s="3">
        <v>0.14000000000000001</v>
      </c>
      <c r="V298" s="3">
        <v>0.14000000000000001</v>
      </c>
      <c r="W298" s="3">
        <v>0.14000000000000001</v>
      </c>
      <c r="X298" s="3">
        <v>0.14000000000000001</v>
      </c>
      <c r="Y298" s="3">
        <v>0.14000000000000001</v>
      </c>
      <c r="Z298" s="3">
        <v>0.14000000000000001</v>
      </c>
      <c r="AA298" s="3">
        <v>0.14000000000000001</v>
      </c>
      <c r="AB298" s="3">
        <v>0.14000000000000001</v>
      </c>
      <c r="AC298" s="3">
        <v>0.14000000000000001</v>
      </c>
      <c r="AD298" s="3">
        <v>0.14000000000000001</v>
      </c>
      <c r="AE298" s="3">
        <v>0.14000000000000001</v>
      </c>
      <c r="AF298" s="3">
        <v>0.14000000000000001</v>
      </c>
      <c r="AG298" s="3">
        <v>0.14000000000000001</v>
      </c>
      <c r="AH298" s="3">
        <v>0.14000000000000001</v>
      </c>
      <c r="AI298" s="3">
        <v>0.14000000000000001</v>
      </c>
      <c r="AJ298" s="3">
        <v>0.14000000000000001</v>
      </c>
      <c r="AK298" s="3">
        <v>0.14000000000000001</v>
      </c>
      <c r="AL298" s="3">
        <v>0.14000000000000001</v>
      </c>
      <c r="AM298" s="3">
        <v>0.14000000000000001</v>
      </c>
      <c r="AN298" s="3">
        <v>0.14000000000000001</v>
      </c>
      <c r="AO298" s="3">
        <v>0.14000000000000001</v>
      </c>
      <c r="AP298" s="3">
        <v>0.14000000000000001</v>
      </c>
    </row>
    <row r="299" spans="1:42" hidden="1" x14ac:dyDescent="0.3">
      <c r="A299" s="5" t="s">
        <v>439</v>
      </c>
      <c r="B299" s="5" t="s">
        <v>17</v>
      </c>
      <c r="C299" s="22">
        <v>44763</v>
      </c>
      <c r="D299" s="22">
        <v>44782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7.0000000000000007E-2</v>
      </c>
      <c r="R299" s="3">
        <v>0.14000000000000001</v>
      </c>
      <c r="S299" s="3">
        <v>0.14000000000000001</v>
      </c>
      <c r="T299" s="3">
        <v>0.14000000000000001</v>
      </c>
      <c r="U299" s="3">
        <v>0.14000000000000001</v>
      </c>
      <c r="V299" s="3">
        <v>0.14000000000000001</v>
      </c>
      <c r="W299" s="3">
        <v>0.14000000000000001</v>
      </c>
      <c r="X299" s="3">
        <v>0.14000000000000001</v>
      </c>
      <c r="Y299" s="3">
        <v>0.14000000000000001</v>
      </c>
      <c r="Z299" s="3">
        <v>0.14000000000000001</v>
      </c>
      <c r="AA299" s="3">
        <v>0.14000000000000001</v>
      </c>
      <c r="AB299" s="3">
        <v>0.14000000000000001</v>
      </c>
      <c r="AC299" s="3">
        <v>0.14000000000000001</v>
      </c>
      <c r="AD299" s="3">
        <v>0.14000000000000001</v>
      </c>
      <c r="AE299" s="3">
        <v>0.14000000000000001</v>
      </c>
      <c r="AF299" s="3">
        <v>0.14000000000000001</v>
      </c>
      <c r="AG299" s="3">
        <v>0.14000000000000001</v>
      </c>
      <c r="AH299" s="3">
        <v>0.14000000000000001</v>
      </c>
      <c r="AI299" s="3">
        <v>0.14000000000000001</v>
      </c>
      <c r="AJ299" s="3">
        <v>0.14000000000000001</v>
      </c>
      <c r="AK299" s="3">
        <v>0.14000000000000001</v>
      </c>
      <c r="AL299" s="3">
        <v>0.14000000000000001</v>
      </c>
      <c r="AM299" s="3">
        <v>0.14000000000000001</v>
      </c>
      <c r="AN299" s="3">
        <v>0.14000000000000001</v>
      </c>
      <c r="AO299" s="3">
        <v>0.14000000000000001</v>
      </c>
      <c r="AP299" s="3">
        <v>0.14000000000000001</v>
      </c>
    </row>
    <row r="300" spans="1:42" hidden="1" x14ac:dyDescent="0.3">
      <c r="A300" s="5" t="s">
        <v>440</v>
      </c>
      <c r="B300" s="5" t="s">
        <v>17</v>
      </c>
      <c r="C300" s="22">
        <v>44749</v>
      </c>
      <c r="D300" s="22">
        <v>44769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0.14000000000000001</v>
      </c>
      <c r="R300" s="3">
        <v>0.14000000000000001</v>
      </c>
      <c r="S300" s="3">
        <v>0.14000000000000001</v>
      </c>
      <c r="T300" s="3">
        <v>0.14000000000000001</v>
      </c>
      <c r="U300" s="3">
        <v>0.14000000000000001</v>
      </c>
      <c r="V300" s="3">
        <v>0.14000000000000001</v>
      </c>
      <c r="W300" s="3">
        <v>0.14000000000000001</v>
      </c>
      <c r="X300" s="3">
        <v>0.14000000000000001</v>
      </c>
      <c r="Y300" s="3">
        <v>0.14000000000000001</v>
      </c>
      <c r="Z300" s="3">
        <v>0.14000000000000001</v>
      </c>
      <c r="AA300" s="3">
        <v>0.14000000000000001</v>
      </c>
      <c r="AB300" s="3">
        <v>0.14000000000000001</v>
      </c>
      <c r="AC300" s="3">
        <v>0.14000000000000001</v>
      </c>
      <c r="AD300" s="3">
        <v>0.14000000000000001</v>
      </c>
      <c r="AE300" s="3">
        <v>0.14000000000000001</v>
      </c>
      <c r="AF300" s="3">
        <v>0.14000000000000001</v>
      </c>
      <c r="AG300" s="3">
        <v>0.14000000000000001</v>
      </c>
      <c r="AH300" s="3">
        <v>0.14000000000000001</v>
      </c>
      <c r="AI300" s="3">
        <v>0.14000000000000001</v>
      </c>
      <c r="AJ300" s="3">
        <v>0.14000000000000001</v>
      </c>
      <c r="AK300" s="3">
        <v>0.14000000000000001</v>
      </c>
      <c r="AL300" s="3">
        <v>0.14000000000000001</v>
      </c>
      <c r="AM300" s="3">
        <v>0.14000000000000001</v>
      </c>
      <c r="AN300" s="3">
        <v>0.14000000000000001</v>
      </c>
      <c r="AO300" s="3">
        <v>0.14000000000000001</v>
      </c>
      <c r="AP300" s="3">
        <v>0.14000000000000001</v>
      </c>
    </row>
    <row r="301" spans="1:42" hidden="1" x14ac:dyDescent="0.3">
      <c r="A301" s="5" t="s">
        <v>441</v>
      </c>
      <c r="B301" s="5" t="s">
        <v>17</v>
      </c>
      <c r="C301" s="22">
        <v>44736</v>
      </c>
      <c r="D301" s="22">
        <v>44756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0.04</v>
      </c>
      <c r="Q301" s="3">
        <v>0.14000000000000001</v>
      </c>
      <c r="R301" s="3">
        <v>0.14000000000000001</v>
      </c>
      <c r="S301" s="3">
        <v>0.14000000000000001</v>
      </c>
      <c r="T301" s="3">
        <v>0.14000000000000001</v>
      </c>
      <c r="U301" s="3">
        <v>0.14000000000000001</v>
      </c>
      <c r="V301" s="3">
        <v>0.14000000000000001</v>
      </c>
      <c r="W301" s="3">
        <v>0.14000000000000001</v>
      </c>
      <c r="X301" s="3">
        <v>0.14000000000000001</v>
      </c>
      <c r="Y301" s="3">
        <v>0.14000000000000001</v>
      </c>
      <c r="Z301" s="3">
        <v>0.14000000000000001</v>
      </c>
      <c r="AA301" s="3">
        <v>0.14000000000000001</v>
      </c>
      <c r="AB301" s="3">
        <v>0.14000000000000001</v>
      </c>
      <c r="AC301" s="3">
        <v>0.14000000000000001</v>
      </c>
      <c r="AD301" s="3">
        <v>0.14000000000000001</v>
      </c>
      <c r="AE301" s="3">
        <v>0.14000000000000001</v>
      </c>
      <c r="AF301" s="3">
        <v>0.14000000000000001</v>
      </c>
      <c r="AG301" s="3">
        <v>0.14000000000000001</v>
      </c>
      <c r="AH301" s="3">
        <v>0.14000000000000001</v>
      </c>
      <c r="AI301" s="3">
        <v>0.14000000000000001</v>
      </c>
      <c r="AJ301" s="3">
        <v>0.14000000000000001</v>
      </c>
      <c r="AK301" s="3">
        <v>0.14000000000000001</v>
      </c>
      <c r="AL301" s="3">
        <v>0.14000000000000001</v>
      </c>
      <c r="AM301" s="3">
        <v>0.14000000000000001</v>
      </c>
      <c r="AN301" s="3">
        <v>0.14000000000000001</v>
      </c>
      <c r="AO301" s="3">
        <v>0.14000000000000001</v>
      </c>
      <c r="AP301" s="3">
        <v>0.14000000000000001</v>
      </c>
    </row>
    <row r="302" spans="1:42" hidden="1" x14ac:dyDescent="0.3">
      <c r="A302" s="4" t="s">
        <v>442</v>
      </c>
      <c r="B302" s="4" t="s">
        <v>45</v>
      </c>
      <c r="C302" s="21">
        <v>44845</v>
      </c>
      <c r="D302" s="21">
        <v>44869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0.25</v>
      </c>
      <c r="U302" s="2">
        <v>0.26</v>
      </c>
      <c r="V302" s="2">
        <v>0.26</v>
      </c>
      <c r="W302" s="2">
        <v>0.26</v>
      </c>
      <c r="X302" s="2">
        <v>0.26</v>
      </c>
      <c r="Y302" s="2">
        <v>0.26</v>
      </c>
      <c r="Z302" s="2">
        <v>0.26</v>
      </c>
      <c r="AA302" s="2">
        <v>0.26</v>
      </c>
      <c r="AB302" s="2">
        <v>0.26</v>
      </c>
      <c r="AC302" s="2">
        <v>0.26</v>
      </c>
      <c r="AD302" s="2">
        <v>0.26</v>
      </c>
      <c r="AE302" s="2">
        <v>0.26</v>
      </c>
      <c r="AF302" s="2">
        <v>0.26</v>
      </c>
      <c r="AG302" s="2">
        <v>0.26</v>
      </c>
      <c r="AH302" s="2">
        <v>0.26</v>
      </c>
      <c r="AI302" s="2">
        <v>0.26</v>
      </c>
      <c r="AJ302" s="2">
        <v>0.26</v>
      </c>
      <c r="AK302" s="2">
        <v>0.26</v>
      </c>
      <c r="AL302" s="2">
        <v>0.26</v>
      </c>
      <c r="AM302" s="2">
        <v>0.26</v>
      </c>
      <c r="AN302" s="2">
        <v>0.26</v>
      </c>
      <c r="AO302" s="2">
        <v>0.26</v>
      </c>
      <c r="AP302" s="2">
        <v>0.26</v>
      </c>
    </row>
    <row r="303" spans="1:42" hidden="1" x14ac:dyDescent="0.3">
      <c r="A303" s="5" t="s">
        <v>443</v>
      </c>
      <c r="B303" s="5" t="s">
        <v>29</v>
      </c>
      <c r="C303" s="22">
        <v>44845</v>
      </c>
      <c r="D303" s="22">
        <v>44845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0.15</v>
      </c>
      <c r="U303" s="3">
        <v>0.15</v>
      </c>
      <c r="V303" s="3">
        <v>0.15</v>
      </c>
      <c r="W303" s="3">
        <v>0.15</v>
      </c>
      <c r="X303" s="3">
        <v>0.15</v>
      </c>
      <c r="Y303" s="3">
        <v>0.15</v>
      </c>
      <c r="Z303" s="3">
        <v>0.15</v>
      </c>
      <c r="AA303" s="3">
        <v>0.15</v>
      </c>
      <c r="AB303" s="3">
        <v>0.15</v>
      </c>
      <c r="AC303" s="3">
        <v>0.15</v>
      </c>
      <c r="AD303" s="3">
        <v>0.15</v>
      </c>
      <c r="AE303" s="3">
        <v>0.15</v>
      </c>
      <c r="AF303" s="3">
        <v>0.15</v>
      </c>
      <c r="AG303" s="3">
        <v>0.15</v>
      </c>
      <c r="AH303" s="3">
        <v>0.15</v>
      </c>
      <c r="AI303" s="3">
        <v>0.15</v>
      </c>
      <c r="AJ303" s="3">
        <v>0.15</v>
      </c>
      <c r="AK303" s="3">
        <v>0.15</v>
      </c>
      <c r="AL303" s="3">
        <v>0.15</v>
      </c>
      <c r="AM303" s="3">
        <v>0.15</v>
      </c>
      <c r="AN303" s="3">
        <v>0.15</v>
      </c>
      <c r="AO303" s="3">
        <v>0.15</v>
      </c>
      <c r="AP303" s="3">
        <v>0.15</v>
      </c>
    </row>
    <row r="304" spans="1:42" hidden="1" x14ac:dyDescent="0.3">
      <c r="A304" s="5" t="s">
        <v>444</v>
      </c>
      <c r="B304" s="5" t="s">
        <v>12</v>
      </c>
      <c r="C304" s="22">
        <v>44865</v>
      </c>
      <c r="D304" s="22">
        <v>44869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0.01</v>
      </c>
      <c r="V304" s="3">
        <v>0.01</v>
      </c>
      <c r="W304" s="3">
        <v>0.01</v>
      </c>
      <c r="X304" s="3">
        <v>0.01</v>
      </c>
      <c r="Y304" s="3">
        <v>0.01</v>
      </c>
      <c r="Z304" s="3">
        <v>0.01</v>
      </c>
      <c r="AA304" s="3">
        <v>0.01</v>
      </c>
      <c r="AB304" s="3">
        <v>0.01</v>
      </c>
      <c r="AC304" s="3">
        <v>0.01</v>
      </c>
      <c r="AD304" s="3">
        <v>0.01</v>
      </c>
      <c r="AE304" s="3">
        <v>0.01</v>
      </c>
      <c r="AF304" s="3">
        <v>0.01</v>
      </c>
      <c r="AG304" s="3">
        <v>0.01</v>
      </c>
      <c r="AH304" s="3">
        <v>0.01</v>
      </c>
      <c r="AI304" s="3">
        <v>0.01</v>
      </c>
      <c r="AJ304" s="3">
        <v>0.01</v>
      </c>
      <c r="AK304" s="3">
        <v>0.01</v>
      </c>
      <c r="AL304" s="3">
        <v>0.01</v>
      </c>
      <c r="AM304" s="3">
        <v>0.01</v>
      </c>
      <c r="AN304" s="3">
        <v>0.01</v>
      </c>
      <c r="AO304" s="3">
        <v>0.01</v>
      </c>
      <c r="AP304" s="3">
        <v>0.01</v>
      </c>
    </row>
    <row r="305" spans="1:42" hidden="1" x14ac:dyDescent="0.3">
      <c r="A305" s="5" t="s">
        <v>445</v>
      </c>
      <c r="B305" s="5" t="s">
        <v>31</v>
      </c>
      <c r="C305" s="22">
        <v>44852</v>
      </c>
      <c r="D305" s="22">
        <v>44854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0.03</v>
      </c>
      <c r="U305" s="3">
        <v>0.03</v>
      </c>
      <c r="V305" s="3">
        <v>0.03</v>
      </c>
      <c r="W305" s="3">
        <v>0.03</v>
      </c>
      <c r="X305" s="3">
        <v>0.03</v>
      </c>
      <c r="Y305" s="3">
        <v>0.03</v>
      </c>
      <c r="Z305" s="3">
        <v>0.03</v>
      </c>
      <c r="AA305" s="3">
        <v>0.03</v>
      </c>
      <c r="AB305" s="3">
        <v>0.03</v>
      </c>
      <c r="AC305" s="3">
        <v>0.03</v>
      </c>
      <c r="AD305" s="3">
        <v>0.03</v>
      </c>
      <c r="AE305" s="3">
        <v>0.03</v>
      </c>
      <c r="AF305" s="3">
        <v>0.03</v>
      </c>
      <c r="AG305" s="3">
        <v>0.03</v>
      </c>
      <c r="AH305" s="3">
        <v>0.03</v>
      </c>
      <c r="AI305" s="3">
        <v>0.03</v>
      </c>
      <c r="AJ305" s="3">
        <v>0.03</v>
      </c>
      <c r="AK305" s="3">
        <v>0.03</v>
      </c>
      <c r="AL305" s="3">
        <v>0.03</v>
      </c>
      <c r="AM305" s="3">
        <v>0.03</v>
      </c>
      <c r="AN305" s="3">
        <v>0.03</v>
      </c>
      <c r="AO305" s="3">
        <v>0.03</v>
      </c>
      <c r="AP305" s="3">
        <v>0.03</v>
      </c>
    </row>
    <row r="306" spans="1:42" hidden="1" x14ac:dyDescent="0.3">
      <c r="A306" s="5" t="s">
        <v>446</v>
      </c>
      <c r="B306" s="5" t="s">
        <v>31</v>
      </c>
      <c r="C306" s="22">
        <v>44854</v>
      </c>
      <c r="D306" s="22">
        <v>44858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0.02</v>
      </c>
      <c r="U306" s="3">
        <v>0.02</v>
      </c>
      <c r="V306" s="3">
        <v>0.02</v>
      </c>
      <c r="W306" s="3">
        <v>0.02</v>
      </c>
      <c r="X306" s="3">
        <v>0.02</v>
      </c>
      <c r="Y306" s="3">
        <v>0.02</v>
      </c>
      <c r="Z306" s="3">
        <v>0.02</v>
      </c>
      <c r="AA306" s="3">
        <v>0.02</v>
      </c>
      <c r="AB306" s="3">
        <v>0.02</v>
      </c>
      <c r="AC306" s="3">
        <v>0.02</v>
      </c>
      <c r="AD306" s="3">
        <v>0.02</v>
      </c>
      <c r="AE306" s="3">
        <v>0.02</v>
      </c>
      <c r="AF306" s="3">
        <v>0.02</v>
      </c>
      <c r="AG306" s="3">
        <v>0.02</v>
      </c>
      <c r="AH306" s="3">
        <v>0.02</v>
      </c>
      <c r="AI306" s="3">
        <v>0.02</v>
      </c>
      <c r="AJ306" s="3">
        <v>0.02</v>
      </c>
      <c r="AK306" s="3">
        <v>0.02</v>
      </c>
      <c r="AL306" s="3">
        <v>0.02</v>
      </c>
      <c r="AM306" s="3">
        <v>0.02</v>
      </c>
      <c r="AN306" s="3">
        <v>0.02</v>
      </c>
      <c r="AO306" s="3">
        <v>0.02</v>
      </c>
      <c r="AP306" s="3">
        <v>0.02</v>
      </c>
    </row>
    <row r="307" spans="1:42" hidden="1" x14ac:dyDescent="0.3">
      <c r="A307" s="5" t="s">
        <v>447</v>
      </c>
      <c r="B307" s="5" t="s">
        <v>31</v>
      </c>
      <c r="C307" s="22">
        <v>44858</v>
      </c>
      <c r="D307" s="22">
        <v>44859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0.02</v>
      </c>
      <c r="U307" s="3">
        <v>0.02</v>
      </c>
      <c r="V307" s="3">
        <v>0.02</v>
      </c>
      <c r="W307" s="3">
        <v>0.02</v>
      </c>
      <c r="X307" s="3">
        <v>0.02</v>
      </c>
      <c r="Y307" s="3">
        <v>0.02</v>
      </c>
      <c r="Z307" s="3">
        <v>0.02</v>
      </c>
      <c r="AA307" s="3">
        <v>0.02</v>
      </c>
      <c r="AB307" s="3">
        <v>0.02</v>
      </c>
      <c r="AC307" s="3">
        <v>0.02</v>
      </c>
      <c r="AD307" s="3">
        <v>0.02</v>
      </c>
      <c r="AE307" s="3">
        <v>0.02</v>
      </c>
      <c r="AF307" s="3">
        <v>0.02</v>
      </c>
      <c r="AG307" s="3">
        <v>0.02</v>
      </c>
      <c r="AH307" s="3">
        <v>0.02</v>
      </c>
      <c r="AI307" s="3">
        <v>0.02</v>
      </c>
      <c r="AJ307" s="3">
        <v>0.02</v>
      </c>
      <c r="AK307" s="3">
        <v>0.02</v>
      </c>
      <c r="AL307" s="3">
        <v>0.02</v>
      </c>
      <c r="AM307" s="3">
        <v>0.02</v>
      </c>
      <c r="AN307" s="3">
        <v>0.02</v>
      </c>
      <c r="AO307" s="3">
        <v>0.02</v>
      </c>
      <c r="AP307" s="3">
        <v>0.02</v>
      </c>
    </row>
    <row r="308" spans="1:42" hidden="1" x14ac:dyDescent="0.3">
      <c r="A308" s="5" t="s">
        <v>448</v>
      </c>
      <c r="B308" s="5" t="s">
        <v>31</v>
      </c>
      <c r="C308" s="22">
        <v>44860</v>
      </c>
      <c r="D308" s="22">
        <v>44861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0.02</v>
      </c>
      <c r="U308" s="3">
        <v>0.02</v>
      </c>
      <c r="V308" s="3">
        <v>0.02</v>
      </c>
      <c r="W308" s="3">
        <v>0.02</v>
      </c>
      <c r="X308" s="3">
        <v>0.02</v>
      </c>
      <c r="Y308" s="3">
        <v>0.02</v>
      </c>
      <c r="Z308" s="3">
        <v>0.02</v>
      </c>
      <c r="AA308" s="3">
        <v>0.02</v>
      </c>
      <c r="AB308" s="3">
        <v>0.02</v>
      </c>
      <c r="AC308" s="3">
        <v>0.02</v>
      </c>
      <c r="AD308" s="3">
        <v>0.02</v>
      </c>
      <c r="AE308" s="3">
        <v>0.02</v>
      </c>
      <c r="AF308" s="3">
        <v>0.02</v>
      </c>
      <c r="AG308" s="3">
        <v>0.02</v>
      </c>
      <c r="AH308" s="3">
        <v>0.02</v>
      </c>
      <c r="AI308" s="3">
        <v>0.02</v>
      </c>
      <c r="AJ308" s="3">
        <v>0.02</v>
      </c>
      <c r="AK308" s="3">
        <v>0.02</v>
      </c>
      <c r="AL308" s="3">
        <v>0.02</v>
      </c>
      <c r="AM308" s="3">
        <v>0.02</v>
      </c>
      <c r="AN308" s="3">
        <v>0.02</v>
      </c>
      <c r="AO308" s="3">
        <v>0.02</v>
      </c>
      <c r="AP308" s="3">
        <v>0.02</v>
      </c>
    </row>
    <row r="309" spans="1:42" hidden="1" x14ac:dyDescent="0.3">
      <c r="A309" s="5" t="s">
        <v>449</v>
      </c>
      <c r="B309" s="5" t="s">
        <v>31</v>
      </c>
      <c r="C309" s="22">
        <v>44861</v>
      </c>
      <c r="D309" s="22">
        <v>44865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0.02</v>
      </c>
      <c r="U309" s="3">
        <v>0.02</v>
      </c>
      <c r="V309" s="3">
        <v>0.02</v>
      </c>
      <c r="W309" s="3">
        <v>0.02</v>
      </c>
      <c r="X309" s="3">
        <v>0.02</v>
      </c>
      <c r="Y309" s="3">
        <v>0.02</v>
      </c>
      <c r="Z309" s="3">
        <v>0.02</v>
      </c>
      <c r="AA309" s="3">
        <v>0.02</v>
      </c>
      <c r="AB309" s="3">
        <v>0.02</v>
      </c>
      <c r="AC309" s="3">
        <v>0.02</v>
      </c>
      <c r="AD309" s="3">
        <v>0.02</v>
      </c>
      <c r="AE309" s="3">
        <v>0.02</v>
      </c>
      <c r="AF309" s="3">
        <v>0.02</v>
      </c>
      <c r="AG309" s="3">
        <v>0.02</v>
      </c>
      <c r="AH309" s="3">
        <v>0.02</v>
      </c>
      <c r="AI309" s="3">
        <v>0.02</v>
      </c>
      <c r="AJ309" s="3">
        <v>0.02</v>
      </c>
      <c r="AK309" s="3">
        <v>0.02</v>
      </c>
      <c r="AL309" s="3">
        <v>0.02</v>
      </c>
      <c r="AM309" s="3">
        <v>0.02</v>
      </c>
      <c r="AN309" s="3">
        <v>0.02</v>
      </c>
      <c r="AO309" s="3">
        <v>0.02</v>
      </c>
      <c r="AP309" s="3">
        <v>0.02</v>
      </c>
    </row>
    <row r="310" spans="1:42" hidden="1" x14ac:dyDescent="0.3">
      <c r="A310" s="5" t="s">
        <v>450</v>
      </c>
      <c r="B310" s="5" t="s">
        <v>14</v>
      </c>
      <c r="C310" s="22">
        <v>44875</v>
      </c>
      <c r="D310" s="22">
        <v>44889</v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0.02</v>
      </c>
      <c r="V310" s="3">
        <v>0.02</v>
      </c>
      <c r="W310" s="3">
        <v>0.02</v>
      </c>
      <c r="X310" s="3">
        <v>0.02</v>
      </c>
      <c r="Y310" s="3">
        <v>0.02</v>
      </c>
      <c r="Z310" s="3">
        <v>0.02</v>
      </c>
      <c r="AA310" s="3">
        <v>0.02</v>
      </c>
      <c r="AB310" s="3">
        <v>0.02</v>
      </c>
      <c r="AC310" s="3">
        <v>0.02</v>
      </c>
      <c r="AD310" s="3">
        <v>0.02</v>
      </c>
      <c r="AE310" s="3">
        <v>0.02</v>
      </c>
      <c r="AF310" s="3">
        <v>0.02</v>
      </c>
      <c r="AG310" s="3">
        <v>0.02</v>
      </c>
      <c r="AH310" s="3">
        <v>0.02</v>
      </c>
      <c r="AI310" s="3">
        <v>0.02</v>
      </c>
      <c r="AJ310" s="3">
        <v>0.02</v>
      </c>
      <c r="AK310" s="3">
        <v>0.02</v>
      </c>
      <c r="AL310" s="3">
        <v>0.02</v>
      </c>
      <c r="AM310" s="3">
        <v>0.02</v>
      </c>
      <c r="AN310" s="3">
        <v>0.02</v>
      </c>
      <c r="AO310" s="3">
        <v>0.02</v>
      </c>
      <c r="AP310" s="3">
        <v>0.02</v>
      </c>
    </row>
    <row r="311" spans="1:42" hidden="1" x14ac:dyDescent="0.3">
      <c r="A311" s="15" t="s">
        <v>451</v>
      </c>
      <c r="B311" s="15" t="s">
        <v>54</v>
      </c>
      <c r="C311" s="20">
        <v>44736</v>
      </c>
      <c r="D311" s="20">
        <v>44889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0.04</v>
      </c>
      <c r="Q311" s="8">
        <v>0.26</v>
      </c>
      <c r="R311" s="8">
        <v>0.48</v>
      </c>
      <c r="S311" s="8">
        <v>1.38</v>
      </c>
      <c r="T311" s="8">
        <v>1.78</v>
      </c>
      <c r="U311" s="8">
        <v>1.84</v>
      </c>
      <c r="V311" s="8">
        <v>1.84</v>
      </c>
      <c r="W311" s="8">
        <v>1.84</v>
      </c>
      <c r="X311" s="8">
        <v>1.84</v>
      </c>
      <c r="Y311" s="8">
        <v>1.84</v>
      </c>
      <c r="Z311" s="8">
        <v>1.84</v>
      </c>
      <c r="AA311" s="8">
        <v>1.84</v>
      </c>
      <c r="AB311" s="8">
        <v>1.84</v>
      </c>
      <c r="AC311" s="8">
        <v>1.84</v>
      </c>
      <c r="AD311" s="8">
        <v>1.84</v>
      </c>
      <c r="AE311" s="8">
        <v>1.84</v>
      </c>
      <c r="AF311" s="8">
        <v>1.84</v>
      </c>
      <c r="AG311" s="8">
        <v>1.84</v>
      </c>
      <c r="AH311" s="8">
        <v>1.84</v>
      </c>
      <c r="AI311" s="8">
        <v>1.84</v>
      </c>
      <c r="AJ311" s="8">
        <v>1.84</v>
      </c>
      <c r="AK311" s="8">
        <v>1.84</v>
      </c>
      <c r="AL311" s="8">
        <v>1.84</v>
      </c>
      <c r="AM311" s="8">
        <v>1.84</v>
      </c>
      <c r="AN311" s="8">
        <v>1.84</v>
      </c>
      <c r="AO311" s="8">
        <v>1.84</v>
      </c>
      <c r="AP311" s="8">
        <v>1.84</v>
      </c>
    </row>
    <row r="312" spans="1:42" hidden="1" x14ac:dyDescent="0.3">
      <c r="A312" s="5" t="s">
        <v>452</v>
      </c>
      <c r="B312" s="5" t="s">
        <v>9</v>
      </c>
      <c r="C312" s="22">
        <v>44831</v>
      </c>
      <c r="D312" s="22">
        <v>44837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0.77</v>
      </c>
      <c r="T312" s="3">
        <v>0.91</v>
      </c>
      <c r="U312" s="3">
        <v>0.91</v>
      </c>
      <c r="V312" s="3">
        <v>0.91</v>
      </c>
      <c r="W312" s="3">
        <v>0.91</v>
      </c>
      <c r="X312" s="3">
        <v>0.91</v>
      </c>
      <c r="Y312" s="3">
        <v>0.91</v>
      </c>
      <c r="Z312" s="3">
        <v>0.91</v>
      </c>
      <c r="AA312" s="3">
        <v>0.91</v>
      </c>
      <c r="AB312" s="3">
        <v>0.91</v>
      </c>
      <c r="AC312" s="3">
        <v>0.91</v>
      </c>
      <c r="AD312" s="3">
        <v>0.91</v>
      </c>
      <c r="AE312" s="3">
        <v>0.91</v>
      </c>
      <c r="AF312" s="3">
        <v>0.91</v>
      </c>
      <c r="AG312" s="3">
        <v>0.91</v>
      </c>
      <c r="AH312" s="3">
        <v>0.91</v>
      </c>
      <c r="AI312" s="3">
        <v>0.91</v>
      </c>
      <c r="AJ312" s="3">
        <v>0.91</v>
      </c>
      <c r="AK312" s="3">
        <v>0.91</v>
      </c>
      <c r="AL312" s="3">
        <v>0.91</v>
      </c>
      <c r="AM312" s="3">
        <v>0.91</v>
      </c>
      <c r="AN312" s="3">
        <v>0.91</v>
      </c>
      <c r="AO312" s="3">
        <v>0.91</v>
      </c>
      <c r="AP312" s="3">
        <v>0.91</v>
      </c>
    </row>
    <row r="313" spans="1:42" hidden="1" x14ac:dyDescent="0.3">
      <c r="A313" s="5" t="s">
        <v>453</v>
      </c>
      <c r="B313" s="5" t="s">
        <v>14</v>
      </c>
      <c r="C313" s="22">
        <v>44818</v>
      </c>
      <c r="D313" s="22">
        <v>44831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0.05</v>
      </c>
      <c r="T313" s="3">
        <v>0.05</v>
      </c>
      <c r="U313" s="3">
        <v>0.05</v>
      </c>
      <c r="V313" s="3">
        <v>0.05</v>
      </c>
      <c r="W313" s="3">
        <v>0.05</v>
      </c>
      <c r="X313" s="3">
        <v>0.05</v>
      </c>
      <c r="Y313" s="3">
        <v>0.05</v>
      </c>
      <c r="Z313" s="3">
        <v>0.05</v>
      </c>
      <c r="AA313" s="3">
        <v>0.05</v>
      </c>
      <c r="AB313" s="3">
        <v>0.05</v>
      </c>
      <c r="AC313" s="3">
        <v>0.05</v>
      </c>
      <c r="AD313" s="3">
        <v>0.05</v>
      </c>
      <c r="AE313" s="3">
        <v>0.05</v>
      </c>
      <c r="AF313" s="3">
        <v>0.05</v>
      </c>
      <c r="AG313" s="3">
        <v>0.05</v>
      </c>
      <c r="AH313" s="3">
        <v>0.05</v>
      </c>
      <c r="AI313" s="3">
        <v>0.05</v>
      </c>
      <c r="AJ313" s="3">
        <v>0.05</v>
      </c>
      <c r="AK313" s="3">
        <v>0.05</v>
      </c>
      <c r="AL313" s="3">
        <v>0.05</v>
      </c>
      <c r="AM313" s="3">
        <v>0.05</v>
      </c>
      <c r="AN313" s="3">
        <v>0.05</v>
      </c>
      <c r="AO313" s="3">
        <v>0.05</v>
      </c>
      <c r="AP313" s="3">
        <v>0.05</v>
      </c>
    </row>
    <row r="314" spans="1:42" hidden="1" x14ac:dyDescent="0.3">
      <c r="A314" s="5" t="s">
        <v>454</v>
      </c>
      <c r="B314" s="5" t="s">
        <v>14</v>
      </c>
      <c r="C314" s="22">
        <v>44803</v>
      </c>
      <c r="D314" s="22">
        <v>44817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0.01</v>
      </c>
      <c r="S314" s="3">
        <v>0.09</v>
      </c>
      <c r="T314" s="3">
        <v>0.09</v>
      </c>
      <c r="U314" s="3">
        <v>0.09</v>
      </c>
      <c r="V314" s="3">
        <v>0.09</v>
      </c>
      <c r="W314" s="3">
        <v>0.09</v>
      </c>
      <c r="X314" s="3">
        <v>0.09</v>
      </c>
      <c r="Y314" s="3">
        <v>0.09</v>
      </c>
      <c r="Z314" s="3">
        <v>0.09</v>
      </c>
      <c r="AA314" s="3">
        <v>0.09</v>
      </c>
      <c r="AB314" s="3">
        <v>0.09</v>
      </c>
      <c r="AC314" s="3">
        <v>0.09</v>
      </c>
      <c r="AD314" s="3">
        <v>0.09</v>
      </c>
      <c r="AE314" s="3">
        <v>0.09</v>
      </c>
      <c r="AF314" s="3">
        <v>0.09</v>
      </c>
      <c r="AG314" s="3">
        <v>0.09</v>
      </c>
      <c r="AH314" s="3">
        <v>0.09</v>
      </c>
      <c r="AI314" s="3">
        <v>0.09</v>
      </c>
      <c r="AJ314" s="3">
        <v>0.09</v>
      </c>
      <c r="AK314" s="3">
        <v>0.09</v>
      </c>
      <c r="AL314" s="3">
        <v>0.09</v>
      </c>
      <c r="AM314" s="3">
        <v>0.09</v>
      </c>
      <c r="AN314" s="3">
        <v>0.09</v>
      </c>
      <c r="AO314" s="3">
        <v>0.09</v>
      </c>
      <c r="AP314" s="3">
        <v>0.09</v>
      </c>
    </row>
    <row r="315" spans="1:42" hidden="1" x14ac:dyDescent="0.3">
      <c r="A315" s="5" t="s">
        <v>455</v>
      </c>
      <c r="B315" s="5" t="s">
        <v>14</v>
      </c>
      <c r="C315" s="22">
        <v>44790</v>
      </c>
      <c r="D315" s="22">
        <v>44803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0.09</v>
      </c>
      <c r="S315" s="3">
        <v>0.09</v>
      </c>
      <c r="T315" s="3">
        <v>0.09</v>
      </c>
      <c r="U315" s="3">
        <v>0.09</v>
      </c>
      <c r="V315" s="3">
        <v>0.09</v>
      </c>
      <c r="W315" s="3">
        <v>0.09</v>
      </c>
      <c r="X315" s="3">
        <v>0.09</v>
      </c>
      <c r="Y315" s="3">
        <v>0.09</v>
      </c>
      <c r="Z315" s="3">
        <v>0.09</v>
      </c>
      <c r="AA315" s="3">
        <v>0.09</v>
      </c>
      <c r="AB315" s="3">
        <v>0.09</v>
      </c>
      <c r="AC315" s="3">
        <v>0.09</v>
      </c>
      <c r="AD315" s="3">
        <v>0.09</v>
      </c>
      <c r="AE315" s="3">
        <v>0.09</v>
      </c>
      <c r="AF315" s="3">
        <v>0.09</v>
      </c>
      <c r="AG315" s="3">
        <v>0.09</v>
      </c>
      <c r="AH315" s="3">
        <v>0.09</v>
      </c>
      <c r="AI315" s="3">
        <v>0.09</v>
      </c>
      <c r="AJ315" s="3">
        <v>0.09</v>
      </c>
      <c r="AK315" s="3">
        <v>0.09</v>
      </c>
      <c r="AL315" s="3">
        <v>0.09</v>
      </c>
      <c r="AM315" s="3">
        <v>0.09</v>
      </c>
      <c r="AN315" s="3">
        <v>0.09</v>
      </c>
      <c r="AO315" s="3">
        <v>0.09</v>
      </c>
      <c r="AP315" s="3">
        <v>0.09</v>
      </c>
    </row>
    <row r="316" spans="1:42" hidden="1" x14ac:dyDescent="0.3">
      <c r="A316" s="5" t="s">
        <v>456</v>
      </c>
      <c r="B316" s="5" t="s">
        <v>14</v>
      </c>
      <c r="C316" s="22">
        <v>44776</v>
      </c>
      <c r="D316" s="22">
        <v>44789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0.09</v>
      </c>
      <c r="S316" s="3">
        <v>0.09</v>
      </c>
      <c r="T316" s="3">
        <v>0.09</v>
      </c>
      <c r="U316" s="3">
        <v>0.09</v>
      </c>
      <c r="V316" s="3">
        <v>0.09</v>
      </c>
      <c r="W316" s="3">
        <v>0.09</v>
      </c>
      <c r="X316" s="3">
        <v>0.09</v>
      </c>
      <c r="Y316" s="3">
        <v>0.09</v>
      </c>
      <c r="Z316" s="3">
        <v>0.09</v>
      </c>
      <c r="AA316" s="3">
        <v>0.09</v>
      </c>
      <c r="AB316" s="3">
        <v>0.09</v>
      </c>
      <c r="AC316" s="3">
        <v>0.09</v>
      </c>
      <c r="AD316" s="3">
        <v>0.09</v>
      </c>
      <c r="AE316" s="3">
        <v>0.09</v>
      </c>
      <c r="AF316" s="3">
        <v>0.09</v>
      </c>
      <c r="AG316" s="3">
        <v>0.09</v>
      </c>
      <c r="AH316" s="3">
        <v>0.09</v>
      </c>
      <c r="AI316" s="3">
        <v>0.09</v>
      </c>
      <c r="AJ316" s="3">
        <v>0.09</v>
      </c>
      <c r="AK316" s="3">
        <v>0.09</v>
      </c>
      <c r="AL316" s="3">
        <v>0.09</v>
      </c>
      <c r="AM316" s="3">
        <v>0.09</v>
      </c>
      <c r="AN316" s="3">
        <v>0.09</v>
      </c>
      <c r="AO316" s="3">
        <v>0.09</v>
      </c>
      <c r="AP316" s="3">
        <v>0.09</v>
      </c>
    </row>
    <row r="317" spans="1:42" hidden="1" x14ac:dyDescent="0.3">
      <c r="A317" s="5" t="s">
        <v>457</v>
      </c>
      <c r="B317" s="5" t="s">
        <v>14</v>
      </c>
      <c r="C317" s="22">
        <v>44763</v>
      </c>
      <c r="D317" s="22">
        <v>44776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7.0000000000000007E-2</v>
      </c>
      <c r="R317" s="3">
        <v>0.09</v>
      </c>
      <c r="S317" s="3">
        <v>0.09</v>
      </c>
      <c r="T317" s="3">
        <v>0.09</v>
      </c>
      <c r="U317" s="3">
        <v>0.09</v>
      </c>
      <c r="V317" s="3">
        <v>0.09</v>
      </c>
      <c r="W317" s="3">
        <v>0.09</v>
      </c>
      <c r="X317" s="3">
        <v>0.09</v>
      </c>
      <c r="Y317" s="3">
        <v>0.09</v>
      </c>
      <c r="Z317" s="3">
        <v>0.09</v>
      </c>
      <c r="AA317" s="3">
        <v>0.09</v>
      </c>
      <c r="AB317" s="3">
        <v>0.09</v>
      </c>
      <c r="AC317" s="3">
        <v>0.09</v>
      </c>
      <c r="AD317" s="3">
        <v>0.09</v>
      </c>
      <c r="AE317" s="3">
        <v>0.09</v>
      </c>
      <c r="AF317" s="3">
        <v>0.09</v>
      </c>
      <c r="AG317" s="3">
        <v>0.09</v>
      </c>
      <c r="AH317" s="3">
        <v>0.09</v>
      </c>
      <c r="AI317" s="3">
        <v>0.09</v>
      </c>
      <c r="AJ317" s="3">
        <v>0.09</v>
      </c>
      <c r="AK317" s="3">
        <v>0.09</v>
      </c>
      <c r="AL317" s="3">
        <v>0.09</v>
      </c>
      <c r="AM317" s="3">
        <v>0.09</v>
      </c>
      <c r="AN317" s="3">
        <v>0.09</v>
      </c>
      <c r="AO317" s="3">
        <v>0.09</v>
      </c>
      <c r="AP317" s="3">
        <v>0.09</v>
      </c>
    </row>
    <row r="318" spans="1:42" hidden="1" x14ac:dyDescent="0.3">
      <c r="A318" s="5" t="s">
        <v>458</v>
      </c>
      <c r="B318" s="5" t="s">
        <v>14</v>
      </c>
      <c r="C318" s="22">
        <v>44749</v>
      </c>
      <c r="D318" s="22">
        <v>44762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0.09</v>
      </c>
      <c r="R318" s="3">
        <v>0.09</v>
      </c>
      <c r="S318" s="3">
        <v>0.09</v>
      </c>
      <c r="T318" s="3">
        <v>0.09</v>
      </c>
      <c r="U318" s="3">
        <v>0.09</v>
      </c>
      <c r="V318" s="3">
        <v>0.09</v>
      </c>
      <c r="W318" s="3">
        <v>0.09</v>
      </c>
      <c r="X318" s="3">
        <v>0.09</v>
      </c>
      <c r="Y318" s="3">
        <v>0.09</v>
      </c>
      <c r="Z318" s="3">
        <v>0.09</v>
      </c>
      <c r="AA318" s="3">
        <v>0.09</v>
      </c>
      <c r="AB318" s="3">
        <v>0.09</v>
      </c>
      <c r="AC318" s="3">
        <v>0.09</v>
      </c>
      <c r="AD318" s="3">
        <v>0.09</v>
      </c>
      <c r="AE318" s="3">
        <v>0.09</v>
      </c>
      <c r="AF318" s="3">
        <v>0.09</v>
      </c>
      <c r="AG318" s="3">
        <v>0.09</v>
      </c>
      <c r="AH318" s="3">
        <v>0.09</v>
      </c>
      <c r="AI318" s="3">
        <v>0.09</v>
      </c>
      <c r="AJ318" s="3">
        <v>0.09</v>
      </c>
      <c r="AK318" s="3">
        <v>0.09</v>
      </c>
      <c r="AL318" s="3">
        <v>0.09</v>
      </c>
      <c r="AM318" s="3">
        <v>0.09</v>
      </c>
      <c r="AN318" s="3">
        <v>0.09</v>
      </c>
      <c r="AO318" s="3">
        <v>0.09</v>
      </c>
      <c r="AP318" s="3">
        <v>0.09</v>
      </c>
    </row>
    <row r="319" spans="1:42" hidden="1" x14ac:dyDescent="0.3">
      <c r="A319" s="5" t="s">
        <v>459</v>
      </c>
      <c r="B319" s="5" t="s">
        <v>14</v>
      </c>
      <c r="C319" s="22">
        <v>44736</v>
      </c>
      <c r="D319" s="22">
        <v>44749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0.04</v>
      </c>
      <c r="Q319" s="3">
        <v>0.09</v>
      </c>
      <c r="R319" s="3">
        <v>0.09</v>
      </c>
      <c r="S319" s="3">
        <v>0.09</v>
      </c>
      <c r="T319" s="3">
        <v>0.09</v>
      </c>
      <c r="U319" s="3">
        <v>0.09</v>
      </c>
      <c r="V319" s="3">
        <v>0.09</v>
      </c>
      <c r="W319" s="3">
        <v>0.09</v>
      </c>
      <c r="X319" s="3">
        <v>0.09</v>
      </c>
      <c r="Y319" s="3">
        <v>0.09</v>
      </c>
      <c r="Z319" s="3">
        <v>0.09</v>
      </c>
      <c r="AA319" s="3">
        <v>0.09</v>
      </c>
      <c r="AB319" s="3">
        <v>0.09</v>
      </c>
      <c r="AC319" s="3">
        <v>0.09</v>
      </c>
      <c r="AD319" s="3">
        <v>0.09</v>
      </c>
      <c r="AE319" s="3">
        <v>0.09</v>
      </c>
      <c r="AF319" s="3">
        <v>0.09</v>
      </c>
      <c r="AG319" s="3">
        <v>0.09</v>
      </c>
      <c r="AH319" s="3">
        <v>0.09</v>
      </c>
      <c r="AI319" s="3">
        <v>0.09</v>
      </c>
      <c r="AJ319" s="3">
        <v>0.09</v>
      </c>
      <c r="AK319" s="3">
        <v>0.09</v>
      </c>
      <c r="AL319" s="3">
        <v>0.09</v>
      </c>
      <c r="AM319" s="3">
        <v>0.09</v>
      </c>
      <c r="AN319" s="3">
        <v>0.09</v>
      </c>
      <c r="AO319" s="3">
        <v>0.09</v>
      </c>
      <c r="AP319" s="3">
        <v>0.09</v>
      </c>
    </row>
    <row r="320" spans="1:42" hidden="1" x14ac:dyDescent="0.3">
      <c r="A320" s="4" t="s">
        <v>460</v>
      </c>
      <c r="B320" s="4" t="s">
        <v>55</v>
      </c>
      <c r="C320" s="21">
        <v>44845</v>
      </c>
      <c r="D320" s="21">
        <v>44868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0.26</v>
      </c>
      <c r="U320" s="2">
        <v>0.3</v>
      </c>
      <c r="V320" s="2">
        <v>0.3</v>
      </c>
      <c r="W320" s="2">
        <v>0.3</v>
      </c>
      <c r="X320" s="2">
        <v>0.3</v>
      </c>
      <c r="Y320" s="2">
        <v>0.3</v>
      </c>
      <c r="Z320" s="2">
        <v>0.3</v>
      </c>
      <c r="AA320" s="2">
        <v>0.3</v>
      </c>
      <c r="AB320" s="2">
        <v>0.3</v>
      </c>
      <c r="AC320" s="2">
        <v>0.3</v>
      </c>
      <c r="AD320" s="2">
        <v>0.3</v>
      </c>
      <c r="AE320" s="2">
        <v>0.3</v>
      </c>
      <c r="AF320" s="2">
        <v>0.3</v>
      </c>
      <c r="AG320" s="2">
        <v>0.3</v>
      </c>
      <c r="AH320" s="2">
        <v>0.3</v>
      </c>
      <c r="AI320" s="2">
        <v>0.3</v>
      </c>
      <c r="AJ320" s="2">
        <v>0.3</v>
      </c>
      <c r="AK320" s="2">
        <v>0.3</v>
      </c>
      <c r="AL320" s="2">
        <v>0.3</v>
      </c>
      <c r="AM320" s="2">
        <v>0.3</v>
      </c>
      <c r="AN320" s="2">
        <v>0.3</v>
      </c>
      <c r="AO320" s="2">
        <v>0.3</v>
      </c>
      <c r="AP320" s="2">
        <v>0.3</v>
      </c>
    </row>
    <row r="321" spans="1:42" hidden="1" x14ac:dyDescent="0.3">
      <c r="A321" s="5" t="s">
        <v>461</v>
      </c>
      <c r="B321" s="5" t="s">
        <v>9</v>
      </c>
      <c r="C321" s="22">
        <v>44845</v>
      </c>
      <c r="D321" s="22">
        <v>44852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0.16</v>
      </c>
      <c r="U321" s="3">
        <v>0.16</v>
      </c>
      <c r="V321" s="3">
        <v>0.16</v>
      </c>
      <c r="W321" s="3">
        <v>0.16</v>
      </c>
      <c r="X321" s="3">
        <v>0.16</v>
      </c>
      <c r="Y321" s="3">
        <v>0.16</v>
      </c>
      <c r="Z321" s="3">
        <v>0.16</v>
      </c>
      <c r="AA321" s="3">
        <v>0.16</v>
      </c>
      <c r="AB321" s="3">
        <v>0.16</v>
      </c>
      <c r="AC321" s="3">
        <v>0.16</v>
      </c>
      <c r="AD321" s="3">
        <v>0.16</v>
      </c>
      <c r="AE321" s="3">
        <v>0.16</v>
      </c>
      <c r="AF321" s="3">
        <v>0.16</v>
      </c>
      <c r="AG321" s="3">
        <v>0.16</v>
      </c>
      <c r="AH321" s="3">
        <v>0.16</v>
      </c>
      <c r="AI321" s="3">
        <v>0.16</v>
      </c>
      <c r="AJ321" s="3">
        <v>0.16</v>
      </c>
      <c r="AK321" s="3">
        <v>0.16</v>
      </c>
      <c r="AL321" s="3">
        <v>0.16</v>
      </c>
      <c r="AM321" s="3">
        <v>0.16</v>
      </c>
      <c r="AN321" s="3">
        <v>0.16</v>
      </c>
      <c r="AO321" s="3">
        <v>0.16</v>
      </c>
      <c r="AP321" s="3">
        <v>0.16</v>
      </c>
    </row>
    <row r="322" spans="1:42" hidden="1" x14ac:dyDescent="0.3">
      <c r="A322" s="5" t="s">
        <v>462</v>
      </c>
      <c r="B322" s="5" t="s">
        <v>31</v>
      </c>
      <c r="C322" s="22">
        <v>44865</v>
      </c>
      <c r="D322" s="22">
        <v>44868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0.01</v>
      </c>
      <c r="U322" s="3">
        <v>0.05</v>
      </c>
      <c r="V322" s="3">
        <v>0.05</v>
      </c>
      <c r="W322" s="3">
        <v>0.05</v>
      </c>
      <c r="X322" s="3">
        <v>0.05</v>
      </c>
      <c r="Y322" s="3">
        <v>0.05</v>
      </c>
      <c r="Z322" s="3">
        <v>0.05</v>
      </c>
      <c r="AA322" s="3">
        <v>0.05</v>
      </c>
      <c r="AB322" s="3">
        <v>0.05</v>
      </c>
      <c r="AC322" s="3">
        <v>0.05</v>
      </c>
      <c r="AD322" s="3">
        <v>0.05</v>
      </c>
      <c r="AE322" s="3">
        <v>0.05</v>
      </c>
      <c r="AF322" s="3">
        <v>0.05</v>
      </c>
      <c r="AG322" s="3">
        <v>0.05</v>
      </c>
      <c r="AH322" s="3">
        <v>0.05</v>
      </c>
      <c r="AI322" s="3">
        <v>0.05</v>
      </c>
      <c r="AJ322" s="3">
        <v>0.05</v>
      </c>
      <c r="AK322" s="3">
        <v>0.05</v>
      </c>
      <c r="AL322" s="3">
        <v>0.05</v>
      </c>
      <c r="AM322" s="3">
        <v>0.05</v>
      </c>
      <c r="AN322" s="3">
        <v>0.05</v>
      </c>
      <c r="AO322" s="3">
        <v>0.05</v>
      </c>
      <c r="AP322" s="3">
        <v>0.05</v>
      </c>
    </row>
    <row r="323" spans="1:42" hidden="1" x14ac:dyDescent="0.3">
      <c r="A323" s="5" t="s">
        <v>463</v>
      </c>
      <c r="B323" s="5" t="s">
        <v>31</v>
      </c>
      <c r="C323" s="22">
        <v>44852</v>
      </c>
      <c r="D323" s="22">
        <v>44854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0.02</v>
      </c>
      <c r="U323" s="3">
        <v>0.02</v>
      </c>
      <c r="V323" s="3">
        <v>0.02</v>
      </c>
      <c r="W323" s="3">
        <v>0.02</v>
      </c>
      <c r="X323" s="3">
        <v>0.02</v>
      </c>
      <c r="Y323" s="3">
        <v>0.02</v>
      </c>
      <c r="Z323" s="3">
        <v>0.02</v>
      </c>
      <c r="AA323" s="3">
        <v>0.02</v>
      </c>
      <c r="AB323" s="3">
        <v>0.02</v>
      </c>
      <c r="AC323" s="3">
        <v>0.02</v>
      </c>
      <c r="AD323" s="3">
        <v>0.02</v>
      </c>
      <c r="AE323" s="3">
        <v>0.02</v>
      </c>
      <c r="AF323" s="3">
        <v>0.02</v>
      </c>
      <c r="AG323" s="3">
        <v>0.02</v>
      </c>
      <c r="AH323" s="3">
        <v>0.02</v>
      </c>
      <c r="AI323" s="3">
        <v>0.02</v>
      </c>
      <c r="AJ323" s="3">
        <v>0.02</v>
      </c>
      <c r="AK323" s="3">
        <v>0.02</v>
      </c>
      <c r="AL323" s="3">
        <v>0.02</v>
      </c>
      <c r="AM323" s="3">
        <v>0.02</v>
      </c>
      <c r="AN323" s="3">
        <v>0.02</v>
      </c>
      <c r="AO323" s="3">
        <v>0.02</v>
      </c>
      <c r="AP323" s="3">
        <v>0.02</v>
      </c>
    </row>
    <row r="324" spans="1:42" hidden="1" x14ac:dyDescent="0.3">
      <c r="A324" s="5" t="s">
        <v>464</v>
      </c>
      <c r="B324" s="5" t="s">
        <v>31</v>
      </c>
      <c r="C324" s="22">
        <v>44854</v>
      </c>
      <c r="D324" s="22">
        <v>44858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0.02</v>
      </c>
      <c r="U324" s="3">
        <v>0.02</v>
      </c>
      <c r="V324" s="3">
        <v>0.02</v>
      </c>
      <c r="W324" s="3">
        <v>0.02</v>
      </c>
      <c r="X324" s="3">
        <v>0.02</v>
      </c>
      <c r="Y324" s="3">
        <v>0.02</v>
      </c>
      <c r="Z324" s="3">
        <v>0.02</v>
      </c>
      <c r="AA324" s="3">
        <v>0.02</v>
      </c>
      <c r="AB324" s="3">
        <v>0.02</v>
      </c>
      <c r="AC324" s="3">
        <v>0.02</v>
      </c>
      <c r="AD324" s="3">
        <v>0.02</v>
      </c>
      <c r="AE324" s="3">
        <v>0.02</v>
      </c>
      <c r="AF324" s="3">
        <v>0.02</v>
      </c>
      <c r="AG324" s="3">
        <v>0.02</v>
      </c>
      <c r="AH324" s="3">
        <v>0.02</v>
      </c>
      <c r="AI324" s="3">
        <v>0.02</v>
      </c>
      <c r="AJ324" s="3">
        <v>0.02</v>
      </c>
      <c r="AK324" s="3">
        <v>0.02</v>
      </c>
      <c r="AL324" s="3">
        <v>0.02</v>
      </c>
      <c r="AM324" s="3">
        <v>0.02</v>
      </c>
      <c r="AN324" s="3">
        <v>0.02</v>
      </c>
      <c r="AO324" s="3">
        <v>0.02</v>
      </c>
      <c r="AP324" s="3">
        <v>0.02</v>
      </c>
    </row>
    <row r="325" spans="1:42" hidden="1" x14ac:dyDescent="0.3">
      <c r="A325" s="5" t="s">
        <v>465</v>
      </c>
      <c r="B325" s="5" t="s">
        <v>31</v>
      </c>
      <c r="C325" s="22">
        <v>44858</v>
      </c>
      <c r="D325" s="22">
        <v>44859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0.02</v>
      </c>
      <c r="U325" s="3">
        <v>0.02</v>
      </c>
      <c r="V325" s="3">
        <v>0.02</v>
      </c>
      <c r="W325" s="3">
        <v>0.02</v>
      </c>
      <c r="X325" s="3">
        <v>0.02</v>
      </c>
      <c r="Y325" s="3">
        <v>0.02</v>
      </c>
      <c r="Z325" s="3">
        <v>0.02</v>
      </c>
      <c r="AA325" s="3">
        <v>0.02</v>
      </c>
      <c r="AB325" s="3">
        <v>0.02</v>
      </c>
      <c r="AC325" s="3">
        <v>0.02</v>
      </c>
      <c r="AD325" s="3">
        <v>0.02</v>
      </c>
      <c r="AE325" s="3">
        <v>0.02</v>
      </c>
      <c r="AF325" s="3">
        <v>0.02</v>
      </c>
      <c r="AG325" s="3">
        <v>0.02</v>
      </c>
      <c r="AH325" s="3">
        <v>0.02</v>
      </c>
      <c r="AI325" s="3">
        <v>0.02</v>
      </c>
      <c r="AJ325" s="3">
        <v>0.02</v>
      </c>
      <c r="AK325" s="3">
        <v>0.02</v>
      </c>
      <c r="AL325" s="3">
        <v>0.02</v>
      </c>
      <c r="AM325" s="3">
        <v>0.02</v>
      </c>
      <c r="AN325" s="3">
        <v>0.02</v>
      </c>
      <c r="AO325" s="3">
        <v>0.02</v>
      </c>
      <c r="AP325" s="3">
        <v>0.02</v>
      </c>
    </row>
    <row r="326" spans="1:42" hidden="1" x14ac:dyDescent="0.3">
      <c r="A326" s="5" t="s">
        <v>466</v>
      </c>
      <c r="B326" s="5" t="s">
        <v>31</v>
      </c>
      <c r="C326" s="22">
        <v>44860</v>
      </c>
      <c r="D326" s="22">
        <v>44861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0.02</v>
      </c>
      <c r="U326" s="3">
        <v>0.02</v>
      </c>
      <c r="V326" s="3">
        <v>0.02</v>
      </c>
      <c r="W326" s="3">
        <v>0.02</v>
      </c>
      <c r="X326" s="3">
        <v>0.02</v>
      </c>
      <c r="Y326" s="3">
        <v>0.02</v>
      </c>
      <c r="Z326" s="3">
        <v>0.02</v>
      </c>
      <c r="AA326" s="3">
        <v>0.02</v>
      </c>
      <c r="AB326" s="3">
        <v>0.02</v>
      </c>
      <c r="AC326" s="3">
        <v>0.02</v>
      </c>
      <c r="AD326" s="3">
        <v>0.02</v>
      </c>
      <c r="AE326" s="3">
        <v>0.02</v>
      </c>
      <c r="AF326" s="3">
        <v>0.02</v>
      </c>
      <c r="AG326" s="3">
        <v>0.02</v>
      </c>
      <c r="AH326" s="3">
        <v>0.02</v>
      </c>
      <c r="AI326" s="3">
        <v>0.02</v>
      </c>
      <c r="AJ326" s="3">
        <v>0.02</v>
      </c>
      <c r="AK326" s="3">
        <v>0.02</v>
      </c>
      <c r="AL326" s="3">
        <v>0.02</v>
      </c>
      <c r="AM326" s="3">
        <v>0.02</v>
      </c>
      <c r="AN326" s="3">
        <v>0.02</v>
      </c>
      <c r="AO326" s="3">
        <v>0.02</v>
      </c>
      <c r="AP326" s="3">
        <v>0.02</v>
      </c>
    </row>
    <row r="327" spans="1:42" hidden="1" x14ac:dyDescent="0.3">
      <c r="A327" s="5" t="s">
        <v>467</v>
      </c>
      <c r="B327" s="5" t="s">
        <v>31</v>
      </c>
      <c r="C327" s="22">
        <v>44861</v>
      </c>
      <c r="D327" s="22">
        <v>44865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0.02</v>
      </c>
      <c r="U327" s="3">
        <v>0.02</v>
      </c>
      <c r="V327" s="3">
        <v>0.02</v>
      </c>
      <c r="W327" s="3">
        <v>0.02</v>
      </c>
      <c r="X327" s="3">
        <v>0.02</v>
      </c>
      <c r="Y327" s="3">
        <v>0.02</v>
      </c>
      <c r="Z327" s="3">
        <v>0.02</v>
      </c>
      <c r="AA327" s="3">
        <v>0.02</v>
      </c>
      <c r="AB327" s="3">
        <v>0.02</v>
      </c>
      <c r="AC327" s="3">
        <v>0.02</v>
      </c>
      <c r="AD327" s="3">
        <v>0.02</v>
      </c>
      <c r="AE327" s="3">
        <v>0.02</v>
      </c>
      <c r="AF327" s="3">
        <v>0.02</v>
      </c>
      <c r="AG327" s="3">
        <v>0.02</v>
      </c>
      <c r="AH327" s="3">
        <v>0.02</v>
      </c>
      <c r="AI327" s="3">
        <v>0.02</v>
      </c>
      <c r="AJ327" s="3">
        <v>0.02</v>
      </c>
      <c r="AK327" s="3">
        <v>0.02</v>
      </c>
      <c r="AL327" s="3">
        <v>0.02</v>
      </c>
      <c r="AM327" s="3">
        <v>0.02</v>
      </c>
      <c r="AN327" s="3">
        <v>0.02</v>
      </c>
      <c r="AO327" s="3">
        <v>0.02</v>
      </c>
      <c r="AP327" s="3">
        <v>0.02</v>
      </c>
    </row>
    <row r="328" spans="1:42" hidden="1" x14ac:dyDescent="0.3">
      <c r="A328" s="5" t="s">
        <v>468</v>
      </c>
      <c r="B328" s="5" t="s">
        <v>14</v>
      </c>
      <c r="C328" s="22">
        <v>44875</v>
      </c>
      <c r="D328" s="22">
        <v>44889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0.02</v>
      </c>
      <c r="V328" s="3">
        <v>0.02</v>
      </c>
      <c r="W328" s="3">
        <v>0.02</v>
      </c>
      <c r="X328" s="3">
        <v>0.02</v>
      </c>
      <c r="Y328" s="3">
        <v>0.02</v>
      </c>
      <c r="Z328" s="3">
        <v>0.02</v>
      </c>
      <c r="AA328" s="3">
        <v>0.02</v>
      </c>
      <c r="AB328" s="3">
        <v>0.02</v>
      </c>
      <c r="AC328" s="3">
        <v>0.02</v>
      </c>
      <c r="AD328" s="3">
        <v>0.02</v>
      </c>
      <c r="AE328" s="3">
        <v>0.02</v>
      </c>
      <c r="AF328" s="3">
        <v>0.02</v>
      </c>
      <c r="AG328" s="3">
        <v>0.02</v>
      </c>
      <c r="AH328" s="3">
        <v>0.02</v>
      </c>
      <c r="AI328" s="3">
        <v>0.02</v>
      </c>
      <c r="AJ328" s="3">
        <v>0.02</v>
      </c>
      <c r="AK328" s="3">
        <v>0.02</v>
      </c>
      <c r="AL328" s="3">
        <v>0.02</v>
      </c>
      <c r="AM328" s="3">
        <v>0.02</v>
      </c>
      <c r="AN328" s="3">
        <v>0.02</v>
      </c>
      <c r="AO328" s="3">
        <v>0.02</v>
      </c>
      <c r="AP328" s="3">
        <v>0.02</v>
      </c>
    </row>
    <row r="329" spans="1:42" hidden="1" x14ac:dyDescent="0.3">
      <c r="A329" s="15" t="s">
        <v>469</v>
      </c>
      <c r="B329" s="15" t="s">
        <v>11</v>
      </c>
      <c r="C329" s="20">
        <v>44985</v>
      </c>
      <c r="D329" s="20">
        <v>45012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S329" s="8">
        <v>0</v>
      </c>
      <c r="T329" s="8">
        <v>0</v>
      </c>
      <c r="U329" s="8">
        <v>0</v>
      </c>
      <c r="V329" s="8">
        <v>0</v>
      </c>
      <c r="W329" s="8">
        <v>0</v>
      </c>
      <c r="X329" s="8">
        <v>0.01</v>
      </c>
      <c r="Y329" s="8">
        <v>0.35</v>
      </c>
      <c r="Z329" s="8">
        <v>0.35</v>
      </c>
      <c r="AA329" s="8">
        <v>0.35</v>
      </c>
      <c r="AB329" s="8">
        <v>0.35</v>
      </c>
      <c r="AC329" s="8">
        <v>0.35</v>
      </c>
      <c r="AD329" s="8">
        <v>0.35</v>
      </c>
      <c r="AE329" s="8">
        <v>0.35</v>
      </c>
      <c r="AF329" s="8">
        <v>0.35</v>
      </c>
      <c r="AG329" s="8">
        <v>0.35</v>
      </c>
      <c r="AH329" s="8">
        <v>0.35</v>
      </c>
      <c r="AI329" s="8">
        <v>0.35</v>
      </c>
      <c r="AJ329" s="8">
        <v>0.35</v>
      </c>
      <c r="AK329" s="8">
        <v>0.35</v>
      </c>
      <c r="AL329" s="8">
        <v>0.35</v>
      </c>
      <c r="AM329" s="8">
        <v>0.35</v>
      </c>
      <c r="AN329" s="8">
        <v>0.35</v>
      </c>
      <c r="AO329" s="8">
        <v>0.35</v>
      </c>
      <c r="AP329" s="8">
        <v>0.35</v>
      </c>
    </row>
    <row r="330" spans="1:42" hidden="1" x14ac:dyDescent="0.3">
      <c r="A330" s="4" t="s">
        <v>470</v>
      </c>
      <c r="B330" s="4" t="s">
        <v>11</v>
      </c>
      <c r="C330" s="21">
        <v>44985</v>
      </c>
      <c r="D330" s="21">
        <v>45012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0.01</v>
      </c>
      <c r="Y330" s="2">
        <v>0.35</v>
      </c>
      <c r="Z330" s="2">
        <v>0.35</v>
      </c>
      <c r="AA330" s="2">
        <v>0.35</v>
      </c>
      <c r="AB330" s="2">
        <v>0.35</v>
      </c>
      <c r="AC330" s="2">
        <v>0.35</v>
      </c>
      <c r="AD330" s="2">
        <v>0.35</v>
      </c>
      <c r="AE330" s="2">
        <v>0.35</v>
      </c>
      <c r="AF330" s="2">
        <v>0.35</v>
      </c>
      <c r="AG330" s="2">
        <v>0.35</v>
      </c>
      <c r="AH330" s="2">
        <v>0.35</v>
      </c>
      <c r="AI330" s="2">
        <v>0.35</v>
      </c>
      <c r="AJ330" s="2">
        <v>0.35</v>
      </c>
      <c r="AK330" s="2">
        <v>0.35</v>
      </c>
      <c r="AL330" s="2">
        <v>0.35</v>
      </c>
      <c r="AM330" s="2">
        <v>0.35</v>
      </c>
      <c r="AN330" s="2">
        <v>0.35</v>
      </c>
      <c r="AO330" s="2">
        <v>0.35</v>
      </c>
      <c r="AP330" s="2">
        <v>0.35</v>
      </c>
    </row>
    <row r="331" spans="1:42" hidden="1" x14ac:dyDescent="0.3">
      <c r="A331" s="5" t="s">
        <v>471</v>
      </c>
      <c r="B331" s="5" t="s">
        <v>9</v>
      </c>
      <c r="C331" s="22">
        <v>45002</v>
      </c>
      <c r="D331" s="22">
        <v>45012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0.19</v>
      </c>
      <c r="Z331" s="3">
        <v>0.19</v>
      </c>
      <c r="AA331" s="3">
        <v>0.19</v>
      </c>
      <c r="AB331" s="3">
        <v>0.19</v>
      </c>
      <c r="AC331" s="3">
        <v>0.19</v>
      </c>
      <c r="AD331" s="3">
        <v>0.19</v>
      </c>
      <c r="AE331" s="3">
        <v>0.19</v>
      </c>
      <c r="AF331" s="3">
        <v>0.19</v>
      </c>
      <c r="AG331" s="3">
        <v>0.19</v>
      </c>
      <c r="AH331" s="3">
        <v>0.19</v>
      </c>
      <c r="AI331" s="3">
        <v>0.19</v>
      </c>
      <c r="AJ331" s="3">
        <v>0.19</v>
      </c>
      <c r="AK331" s="3">
        <v>0.19</v>
      </c>
      <c r="AL331" s="3">
        <v>0.19</v>
      </c>
      <c r="AM331" s="3">
        <v>0.19</v>
      </c>
      <c r="AN331" s="3">
        <v>0.19</v>
      </c>
      <c r="AO331" s="3">
        <v>0.19</v>
      </c>
      <c r="AP331" s="3">
        <v>0.19</v>
      </c>
    </row>
    <row r="332" spans="1:42" hidden="1" x14ac:dyDescent="0.3">
      <c r="A332" s="5" t="s">
        <v>472</v>
      </c>
      <c r="B332" s="5" t="s">
        <v>12</v>
      </c>
      <c r="C332" s="22">
        <v>44985</v>
      </c>
      <c r="D332" s="22">
        <v>44987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0.01</v>
      </c>
      <c r="Y332" s="3">
        <v>0.05</v>
      </c>
      <c r="Z332" s="3">
        <v>0.05</v>
      </c>
      <c r="AA332" s="3">
        <v>0.05</v>
      </c>
      <c r="AB332" s="3">
        <v>0.05</v>
      </c>
      <c r="AC332" s="3">
        <v>0.05</v>
      </c>
      <c r="AD332" s="3">
        <v>0.05</v>
      </c>
      <c r="AE332" s="3">
        <v>0.05</v>
      </c>
      <c r="AF332" s="3">
        <v>0.05</v>
      </c>
      <c r="AG332" s="3">
        <v>0.05</v>
      </c>
      <c r="AH332" s="3">
        <v>0.05</v>
      </c>
      <c r="AI332" s="3">
        <v>0.05</v>
      </c>
      <c r="AJ332" s="3">
        <v>0.05</v>
      </c>
      <c r="AK332" s="3">
        <v>0.05</v>
      </c>
      <c r="AL332" s="3">
        <v>0.05</v>
      </c>
      <c r="AM332" s="3">
        <v>0.05</v>
      </c>
      <c r="AN332" s="3">
        <v>0.05</v>
      </c>
      <c r="AO332" s="3">
        <v>0.05</v>
      </c>
      <c r="AP332" s="3">
        <v>0.05</v>
      </c>
    </row>
    <row r="333" spans="1:42" hidden="1" x14ac:dyDescent="0.3">
      <c r="A333" s="5" t="s">
        <v>473</v>
      </c>
      <c r="B333" s="5" t="s">
        <v>12</v>
      </c>
      <c r="C333" s="22">
        <v>44987</v>
      </c>
      <c r="D333" s="22">
        <v>44992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0.03</v>
      </c>
      <c r="Z333" s="3">
        <v>0.03</v>
      </c>
      <c r="AA333" s="3">
        <v>0.03</v>
      </c>
      <c r="AB333" s="3">
        <v>0.03</v>
      </c>
      <c r="AC333" s="3">
        <v>0.03</v>
      </c>
      <c r="AD333" s="3">
        <v>0.03</v>
      </c>
      <c r="AE333" s="3">
        <v>0.03</v>
      </c>
      <c r="AF333" s="3">
        <v>0.03</v>
      </c>
      <c r="AG333" s="3">
        <v>0.03</v>
      </c>
      <c r="AH333" s="3">
        <v>0.03</v>
      </c>
      <c r="AI333" s="3">
        <v>0.03</v>
      </c>
      <c r="AJ333" s="3">
        <v>0.03</v>
      </c>
      <c r="AK333" s="3">
        <v>0.03</v>
      </c>
      <c r="AL333" s="3">
        <v>0.03</v>
      </c>
      <c r="AM333" s="3">
        <v>0.03</v>
      </c>
      <c r="AN333" s="3">
        <v>0.03</v>
      </c>
      <c r="AO333" s="3">
        <v>0.03</v>
      </c>
      <c r="AP333" s="3">
        <v>0.03</v>
      </c>
    </row>
    <row r="334" spans="1:42" hidden="1" x14ac:dyDescent="0.3">
      <c r="A334" s="5" t="s">
        <v>474</v>
      </c>
      <c r="B334" s="5" t="s">
        <v>12</v>
      </c>
      <c r="C334" s="22">
        <v>44992</v>
      </c>
      <c r="D334" s="22">
        <v>44995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0.03</v>
      </c>
      <c r="Z334" s="3">
        <v>0.03</v>
      </c>
      <c r="AA334" s="3">
        <v>0.03</v>
      </c>
      <c r="AB334" s="3">
        <v>0.03</v>
      </c>
      <c r="AC334" s="3">
        <v>0.03</v>
      </c>
      <c r="AD334" s="3">
        <v>0.03</v>
      </c>
      <c r="AE334" s="3">
        <v>0.03</v>
      </c>
      <c r="AF334" s="3">
        <v>0.03</v>
      </c>
      <c r="AG334" s="3">
        <v>0.03</v>
      </c>
      <c r="AH334" s="3">
        <v>0.03</v>
      </c>
      <c r="AI334" s="3">
        <v>0.03</v>
      </c>
      <c r="AJ334" s="3">
        <v>0.03</v>
      </c>
      <c r="AK334" s="3">
        <v>0.03</v>
      </c>
      <c r="AL334" s="3">
        <v>0.03</v>
      </c>
      <c r="AM334" s="3">
        <v>0.03</v>
      </c>
      <c r="AN334" s="3">
        <v>0.03</v>
      </c>
      <c r="AO334" s="3">
        <v>0.03</v>
      </c>
      <c r="AP334" s="3">
        <v>0.03</v>
      </c>
    </row>
    <row r="335" spans="1:42" hidden="1" x14ac:dyDescent="0.3">
      <c r="A335" s="5" t="s">
        <v>475</v>
      </c>
      <c r="B335" s="5" t="s">
        <v>12</v>
      </c>
      <c r="C335" s="22">
        <v>44995</v>
      </c>
      <c r="D335" s="22">
        <v>45000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0.03</v>
      </c>
      <c r="Z335" s="3">
        <v>0.03</v>
      </c>
      <c r="AA335" s="3">
        <v>0.03</v>
      </c>
      <c r="AB335" s="3">
        <v>0.03</v>
      </c>
      <c r="AC335" s="3">
        <v>0.03</v>
      </c>
      <c r="AD335" s="3">
        <v>0.03</v>
      </c>
      <c r="AE335" s="3">
        <v>0.03</v>
      </c>
      <c r="AF335" s="3">
        <v>0.03</v>
      </c>
      <c r="AG335" s="3">
        <v>0.03</v>
      </c>
      <c r="AH335" s="3">
        <v>0.03</v>
      </c>
      <c r="AI335" s="3">
        <v>0.03</v>
      </c>
      <c r="AJ335" s="3">
        <v>0.03</v>
      </c>
      <c r="AK335" s="3">
        <v>0.03</v>
      </c>
      <c r="AL335" s="3">
        <v>0.03</v>
      </c>
      <c r="AM335" s="3">
        <v>0.03</v>
      </c>
      <c r="AN335" s="3">
        <v>0.03</v>
      </c>
      <c r="AO335" s="3">
        <v>0.03</v>
      </c>
      <c r="AP335" s="3">
        <v>0.03</v>
      </c>
    </row>
    <row r="336" spans="1:42" hidden="1" x14ac:dyDescent="0.3">
      <c r="A336" s="5" t="s">
        <v>476</v>
      </c>
      <c r="B336" s="5" t="s">
        <v>12</v>
      </c>
      <c r="C336" s="22">
        <v>45000</v>
      </c>
      <c r="D336" s="22">
        <v>45002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0.03</v>
      </c>
      <c r="Z336" s="3">
        <v>0.03</v>
      </c>
      <c r="AA336" s="3">
        <v>0.03</v>
      </c>
      <c r="AB336" s="3">
        <v>0.03</v>
      </c>
      <c r="AC336" s="3">
        <v>0.03</v>
      </c>
      <c r="AD336" s="3">
        <v>0.03</v>
      </c>
      <c r="AE336" s="3">
        <v>0.03</v>
      </c>
      <c r="AF336" s="3">
        <v>0.03</v>
      </c>
      <c r="AG336" s="3">
        <v>0.03</v>
      </c>
      <c r="AH336" s="3">
        <v>0.03</v>
      </c>
      <c r="AI336" s="3">
        <v>0.03</v>
      </c>
      <c r="AJ336" s="3">
        <v>0.03</v>
      </c>
      <c r="AK336" s="3">
        <v>0.03</v>
      </c>
      <c r="AL336" s="3">
        <v>0.03</v>
      </c>
      <c r="AM336" s="3">
        <v>0.03</v>
      </c>
      <c r="AN336" s="3">
        <v>0.03</v>
      </c>
      <c r="AO336" s="3">
        <v>0.03</v>
      </c>
      <c r="AP336" s="3">
        <v>0.03</v>
      </c>
    </row>
    <row r="337" spans="1:42" hidden="1" x14ac:dyDescent="0.3">
      <c r="A337" s="15" t="s">
        <v>477</v>
      </c>
      <c r="B337" s="15" t="s">
        <v>56</v>
      </c>
      <c r="C337" s="20">
        <v>45051</v>
      </c>
      <c r="D337" s="20">
        <v>45258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8">
        <v>0</v>
      </c>
      <c r="R337" s="8">
        <v>0</v>
      </c>
      <c r="S337" s="8">
        <v>0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  <c r="Y337" s="8">
        <v>0</v>
      </c>
      <c r="Z337" s="8">
        <v>0</v>
      </c>
      <c r="AA337" s="8">
        <v>0</v>
      </c>
      <c r="AB337" s="8">
        <v>0</v>
      </c>
      <c r="AC337" s="8">
        <v>0</v>
      </c>
      <c r="AD337" s="8">
        <v>0</v>
      </c>
      <c r="AE337" s="8">
        <v>0</v>
      </c>
      <c r="AF337" s="8">
        <v>0.56000000000000005</v>
      </c>
      <c r="AG337" s="8">
        <v>0.8</v>
      </c>
      <c r="AH337" s="8">
        <v>0.8</v>
      </c>
      <c r="AI337" s="8">
        <v>0.8</v>
      </c>
      <c r="AJ337" s="8">
        <v>0.8</v>
      </c>
      <c r="AK337" s="8">
        <v>0.8</v>
      </c>
      <c r="AL337" s="8">
        <v>0.8</v>
      </c>
      <c r="AM337" s="8">
        <v>0.8</v>
      </c>
      <c r="AN337" s="8">
        <v>0.8</v>
      </c>
      <c r="AO337" s="8">
        <v>0.8</v>
      </c>
      <c r="AP337" s="8">
        <v>0.8</v>
      </c>
    </row>
    <row r="338" spans="1:42" hidden="1" x14ac:dyDescent="0.3">
      <c r="A338" s="5" t="s">
        <v>478</v>
      </c>
      <c r="B338" s="5" t="s">
        <v>31</v>
      </c>
      <c r="C338" s="22">
        <v>45222</v>
      </c>
      <c r="D338" s="22">
        <v>45224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0.46</v>
      </c>
      <c r="AG338" s="3">
        <v>0.46</v>
      </c>
      <c r="AH338" s="3">
        <v>0.46</v>
      </c>
      <c r="AI338" s="3">
        <v>0.46</v>
      </c>
      <c r="AJ338" s="3">
        <v>0.46</v>
      </c>
      <c r="AK338" s="3">
        <v>0.46</v>
      </c>
      <c r="AL338" s="3">
        <v>0.46</v>
      </c>
      <c r="AM338" s="3">
        <v>0.46</v>
      </c>
      <c r="AN338" s="3">
        <v>0.46</v>
      </c>
      <c r="AO338" s="3">
        <v>0.46</v>
      </c>
      <c r="AP338" s="3">
        <v>0.46</v>
      </c>
    </row>
    <row r="339" spans="1:42" hidden="1" x14ac:dyDescent="0.3">
      <c r="A339" s="5" t="s">
        <v>479</v>
      </c>
      <c r="B339" s="5" t="s">
        <v>17</v>
      </c>
      <c r="C339" s="22">
        <v>45051</v>
      </c>
      <c r="D339" s="22">
        <v>45070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</row>
    <row r="340" spans="1:42" hidden="1" x14ac:dyDescent="0.3">
      <c r="A340" s="5" t="s">
        <v>480</v>
      </c>
      <c r="B340" s="5" t="s">
        <v>31</v>
      </c>
      <c r="C340" s="22">
        <v>45218</v>
      </c>
      <c r="D340" s="22">
        <v>45222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0.02</v>
      </c>
      <c r="AG340" s="3">
        <v>0.02</v>
      </c>
      <c r="AH340" s="3">
        <v>0.02</v>
      </c>
      <c r="AI340" s="3">
        <v>0.02</v>
      </c>
      <c r="AJ340" s="3">
        <v>0.02</v>
      </c>
      <c r="AK340" s="3">
        <v>0.02</v>
      </c>
      <c r="AL340" s="3">
        <v>0.02</v>
      </c>
      <c r="AM340" s="3">
        <v>0.02</v>
      </c>
      <c r="AN340" s="3">
        <v>0.02</v>
      </c>
      <c r="AO340" s="3">
        <v>0.02</v>
      </c>
      <c r="AP340" s="3">
        <v>0.02</v>
      </c>
    </row>
    <row r="341" spans="1:42" hidden="1" x14ac:dyDescent="0.3">
      <c r="A341" s="5" t="s">
        <v>481</v>
      </c>
      <c r="B341" s="5" t="s">
        <v>31</v>
      </c>
      <c r="C341" s="22">
        <v>45217</v>
      </c>
      <c r="D341" s="22">
        <v>45218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0.02</v>
      </c>
      <c r="AG341" s="3">
        <v>0.02</v>
      </c>
      <c r="AH341" s="3">
        <v>0.02</v>
      </c>
      <c r="AI341" s="3">
        <v>0.02</v>
      </c>
      <c r="AJ341" s="3">
        <v>0.02</v>
      </c>
      <c r="AK341" s="3">
        <v>0.02</v>
      </c>
      <c r="AL341" s="3">
        <v>0.02</v>
      </c>
      <c r="AM341" s="3">
        <v>0.02</v>
      </c>
      <c r="AN341" s="3">
        <v>0.02</v>
      </c>
      <c r="AO341" s="3">
        <v>0.02</v>
      </c>
      <c r="AP341" s="3">
        <v>0.02</v>
      </c>
    </row>
    <row r="342" spans="1:42" hidden="1" x14ac:dyDescent="0.3">
      <c r="A342" s="5" t="s">
        <v>482</v>
      </c>
      <c r="B342" s="5" t="s">
        <v>31</v>
      </c>
      <c r="C342" s="22">
        <v>45215</v>
      </c>
      <c r="D342" s="22">
        <v>45217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0.02</v>
      </c>
      <c r="AG342" s="3">
        <v>0.02</v>
      </c>
      <c r="AH342" s="3">
        <v>0.02</v>
      </c>
      <c r="AI342" s="3">
        <v>0.02</v>
      </c>
      <c r="AJ342" s="3">
        <v>0.02</v>
      </c>
      <c r="AK342" s="3">
        <v>0.02</v>
      </c>
      <c r="AL342" s="3">
        <v>0.02</v>
      </c>
      <c r="AM342" s="3">
        <v>0.02</v>
      </c>
      <c r="AN342" s="3">
        <v>0.02</v>
      </c>
      <c r="AO342" s="3">
        <v>0.02</v>
      </c>
      <c r="AP342" s="3">
        <v>0.02</v>
      </c>
    </row>
    <row r="343" spans="1:42" hidden="1" x14ac:dyDescent="0.3">
      <c r="A343" s="5" t="s">
        <v>483</v>
      </c>
      <c r="B343" s="5" t="s">
        <v>31</v>
      </c>
      <c r="C343" s="22">
        <v>45210</v>
      </c>
      <c r="D343" s="22">
        <v>45215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0.02</v>
      </c>
      <c r="AG343" s="3">
        <v>0.02</v>
      </c>
      <c r="AH343" s="3">
        <v>0.02</v>
      </c>
      <c r="AI343" s="3">
        <v>0.02</v>
      </c>
      <c r="AJ343" s="3">
        <v>0.02</v>
      </c>
      <c r="AK343" s="3">
        <v>0.02</v>
      </c>
      <c r="AL343" s="3">
        <v>0.02</v>
      </c>
      <c r="AM343" s="3">
        <v>0.02</v>
      </c>
      <c r="AN343" s="3">
        <v>0.02</v>
      </c>
      <c r="AO343" s="3">
        <v>0.02</v>
      </c>
      <c r="AP343" s="3">
        <v>0.02</v>
      </c>
    </row>
    <row r="344" spans="1:42" hidden="1" x14ac:dyDescent="0.3">
      <c r="A344" s="5" t="s">
        <v>484</v>
      </c>
      <c r="B344" s="5" t="s">
        <v>31</v>
      </c>
      <c r="C344" s="22">
        <v>45208</v>
      </c>
      <c r="D344" s="22">
        <v>45210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0.02</v>
      </c>
      <c r="AG344" s="3">
        <v>0.02</v>
      </c>
      <c r="AH344" s="3">
        <v>0.02</v>
      </c>
      <c r="AI344" s="3">
        <v>0.02</v>
      </c>
      <c r="AJ344" s="3">
        <v>0.02</v>
      </c>
      <c r="AK344" s="3">
        <v>0.02</v>
      </c>
      <c r="AL344" s="3">
        <v>0.02</v>
      </c>
      <c r="AM344" s="3">
        <v>0.02</v>
      </c>
      <c r="AN344" s="3">
        <v>0.02</v>
      </c>
      <c r="AO344" s="3">
        <v>0.02</v>
      </c>
      <c r="AP344" s="3">
        <v>0.02</v>
      </c>
    </row>
    <row r="345" spans="1:42" hidden="1" x14ac:dyDescent="0.3">
      <c r="A345" s="4" t="s">
        <v>485</v>
      </c>
      <c r="B345" s="4" t="s">
        <v>57</v>
      </c>
      <c r="C345" s="21">
        <v>45226</v>
      </c>
      <c r="D345" s="21">
        <v>45258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0.01</v>
      </c>
      <c r="AG345" s="2">
        <v>0.24</v>
      </c>
      <c r="AH345" s="2">
        <v>0.24</v>
      </c>
      <c r="AI345" s="2">
        <v>0.24</v>
      </c>
      <c r="AJ345" s="2">
        <v>0.24</v>
      </c>
      <c r="AK345" s="2">
        <v>0.24</v>
      </c>
      <c r="AL345" s="2">
        <v>0.24</v>
      </c>
      <c r="AM345" s="2">
        <v>0.24</v>
      </c>
      <c r="AN345" s="2">
        <v>0.24</v>
      </c>
      <c r="AO345" s="2">
        <v>0.24</v>
      </c>
      <c r="AP345" s="2">
        <v>0.24</v>
      </c>
    </row>
    <row r="346" spans="1:42" hidden="1" x14ac:dyDescent="0.3">
      <c r="A346" s="5" t="s">
        <v>486</v>
      </c>
      <c r="B346" s="5" t="s">
        <v>29</v>
      </c>
      <c r="C346" s="22">
        <v>45257</v>
      </c>
      <c r="D346" s="22">
        <v>45258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0.2</v>
      </c>
      <c r="AH346" s="3">
        <v>0.2</v>
      </c>
      <c r="AI346" s="3">
        <v>0.2</v>
      </c>
      <c r="AJ346" s="3">
        <v>0.2</v>
      </c>
      <c r="AK346" s="3">
        <v>0.2</v>
      </c>
      <c r="AL346" s="3">
        <v>0.2</v>
      </c>
      <c r="AM346" s="3">
        <v>0.2</v>
      </c>
      <c r="AN346" s="3">
        <v>0.2</v>
      </c>
      <c r="AO346" s="3">
        <v>0.2</v>
      </c>
      <c r="AP346" s="3">
        <v>0.2</v>
      </c>
    </row>
    <row r="347" spans="1:42" hidden="1" x14ac:dyDescent="0.3">
      <c r="A347" s="5" t="s">
        <v>487</v>
      </c>
      <c r="B347" s="5" t="s">
        <v>29</v>
      </c>
      <c r="C347" s="22">
        <v>45226</v>
      </c>
      <c r="D347" s="22">
        <v>45229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0.01</v>
      </c>
      <c r="AG347" s="3">
        <v>0.01</v>
      </c>
      <c r="AH347" s="3">
        <v>0.01</v>
      </c>
      <c r="AI347" s="3">
        <v>0.01</v>
      </c>
      <c r="AJ347" s="3">
        <v>0.01</v>
      </c>
      <c r="AK347" s="3">
        <v>0.01</v>
      </c>
      <c r="AL347" s="3">
        <v>0.01</v>
      </c>
      <c r="AM347" s="3">
        <v>0.01</v>
      </c>
      <c r="AN347" s="3">
        <v>0.01</v>
      </c>
      <c r="AO347" s="3">
        <v>0.01</v>
      </c>
      <c r="AP347" s="3">
        <v>0.01</v>
      </c>
    </row>
    <row r="348" spans="1:42" hidden="1" x14ac:dyDescent="0.3">
      <c r="A348" s="5" t="s">
        <v>488</v>
      </c>
      <c r="B348" s="5" t="s">
        <v>29</v>
      </c>
      <c r="C348" s="22">
        <v>45233</v>
      </c>
      <c r="D348" s="22">
        <v>45233</v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0.01</v>
      </c>
      <c r="AH348" s="3">
        <v>0.01</v>
      </c>
      <c r="AI348" s="3">
        <v>0.01</v>
      </c>
      <c r="AJ348" s="3">
        <v>0.01</v>
      </c>
      <c r="AK348" s="3">
        <v>0.01</v>
      </c>
      <c r="AL348" s="3">
        <v>0.01</v>
      </c>
      <c r="AM348" s="3">
        <v>0.01</v>
      </c>
      <c r="AN348" s="3">
        <v>0.01</v>
      </c>
      <c r="AO348" s="3">
        <v>0.01</v>
      </c>
      <c r="AP348" s="3">
        <v>0.01</v>
      </c>
    </row>
    <row r="349" spans="1:42" hidden="1" x14ac:dyDescent="0.3">
      <c r="A349" s="5" t="s">
        <v>489</v>
      </c>
      <c r="B349" s="5" t="s">
        <v>29</v>
      </c>
      <c r="C349" s="22">
        <v>45238</v>
      </c>
      <c r="D349" s="22">
        <v>45239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0.01</v>
      </c>
      <c r="AH349" s="3">
        <v>0.01</v>
      </c>
      <c r="AI349" s="3">
        <v>0.01</v>
      </c>
      <c r="AJ349" s="3">
        <v>0.01</v>
      </c>
      <c r="AK349" s="3">
        <v>0.01</v>
      </c>
      <c r="AL349" s="3">
        <v>0.01</v>
      </c>
      <c r="AM349" s="3">
        <v>0.01</v>
      </c>
      <c r="AN349" s="3">
        <v>0.01</v>
      </c>
      <c r="AO349" s="3">
        <v>0.01</v>
      </c>
      <c r="AP349" s="3">
        <v>0.01</v>
      </c>
    </row>
    <row r="350" spans="1:42" hidden="1" x14ac:dyDescent="0.3">
      <c r="A350" s="5" t="s">
        <v>490</v>
      </c>
      <c r="B350" s="5" t="s">
        <v>29</v>
      </c>
      <c r="C350" s="22">
        <v>45244</v>
      </c>
      <c r="D350" s="22">
        <v>45246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0.01</v>
      </c>
      <c r="AH350" s="3">
        <v>0.01</v>
      </c>
      <c r="AI350" s="3">
        <v>0.01</v>
      </c>
      <c r="AJ350" s="3">
        <v>0.01</v>
      </c>
      <c r="AK350" s="3">
        <v>0.01</v>
      </c>
      <c r="AL350" s="3">
        <v>0.01</v>
      </c>
      <c r="AM350" s="3">
        <v>0.01</v>
      </c>
      <c r="AN350" s="3">
        <v>0.01</v>
      </c>
      <c r="AO350" s="3">
        <v>0.01</v>
      </c>
      <c r="AP350" s="3">
        <v>0.01</v>
      </c>
    </row>
    <row r="351" spans="1:42" hidden="1" x14ac:dyDescent="0.3">
      <c r="A351" s="5" t="s">
        <v>491</v>
      </c>
      <c r="B351" s="5" t="s">
        <v>29</v>
      </c>
      <c r="C351" s="22">
        <v>45250</v>
      </c>
      <c r="D351" s="22">
        <v>45251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0.01</v>
      </c>
      <c r="AH351" s="3">
        <v>0.01</v>
      </c>
      <c r="AI351" s="3">
        <v>0.01</v>
      </c>
      <c r="AJ351" s="3">
        <v>0.01</v>
      </c>
      <c r="AK351" s="3">
        <v>0.01</v>
      </c>
      <c r="AL351" s="3">
        <v>0.01</v>
      </c>
      <c r="AM351" s="3">
        <v>0.01</v>
      </c>
      <c r="AN351" s="3">
        <v>0.01</v>
      </c>
      <c r="AO351" s="3">
        <v>0.01</v>
      </c>
      <c r="AP351" s="3">
        <v>0.01</v>
      </c>
    </row>
    <row r="352" spans="1:42" hidden="1" x14ac:dyDescent="0.3">
      <c r="A352" s="15" t="s">
        <v>492</v>
      </c>
      <c r="B352" s="15" t="s">
        <v>58</v>
      </c>
      <c r="C352" s="20">
        <v>45210</v>
      </c>
      <c r="D352" s="20">
        <v>45252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S352" s="8">
        <v>0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0</v>
      </c>
      <c r="Z352" s="8">
        <v>0</v>
      </c>
      <c r="AA352" s="8">
        <v>0</v>
      </c>
      <c r="AB352" s="8">
        <v>0</v>
      </c>
      <c r="AC352" s="8">
        <v>0</v>
      </c>
      <c r="AD352" s="8">
        <v>0</v>
      </c>
      <c r="AE352" s="8">
        <v>0</v>
      </c>
      <c r="AF352" s="8">
        <v>0.28000000000000003</v>
      </c>
      <c r="AG352" s="8">
        <v>0.72</v>
      </c>
      <c r="AH352" s="8">
        <v>0.72</v>
      </c>
      <c r="AI352" s="8">
        <v>0.72</v>
      </c>
      <c r="AJ352" s="8">
        <v>0.72</v>
      </c>
      <c r="AK352" s="8">
        <v>0.72</v>
      </c>
      <c r="AL352" s="8">
        <v>0.72</v>
      </c>
      <c r="AM352" s="8">
        <v>0.72</v>
      </c>
      <c r="AN352" s="8">
        <v>0.72</v>
      </c>
      <c r="AO352" s="8">
        <v>0.72</v>
      </c>
      <c r="AP352" s="8">
        <v>0.72</v>
      </c>
    </row>
    <row r="353" spans="1:42" hidden="1" x14ac:dyDescent="0.3">
      <c r="A353" s="5" t="s">
        <v>493</v>
      </c>
      <c r="B353" s="5" t="s">
        <v>31</v>
      </c>
      <c r="C353" s="22">
        <v>45231</v>
      </c>
      <c r="D353" s="22">
        <v>45233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0.4</v>
      </c>
      <c r="AH353" s="3">
        <v>0.4</v>
      </c>
      <c r="AI353" s="3">
        <v>0.4</v>
      </c>
      <c r="AJ353" s="3">
        <v>0.4</v>
      </c>
      <c r="AK353" s="3">
        <v>0.4</v>
      </c>
      <c r="AL353" s="3">
        <v>0.4</v>
      </c>
      <c r="AM353" s="3">
        <v>0.4</v>
      </c>
      <c r="AN353" s="3">
        <v>0.4</v>
      </c>
      <c r="AO353" s="3">
        <v>0.4</v>
      </c>
      <c r="AP353" s="3">
        <v>0.4</v>
      </c>
    </row>
    <row r="354" spans="1:42" hidden="1" x14ac:dyDescent="0.3">
      <c r="A354" s="5" t="s">
        <v>494</v>
      </c>
      <c r="B354" s="5" t="s">
        <v>12</v>
      </c>
      <c r="C354" s="22">
        <v>45226</v>
      </c>
      <c r="D354" s="22">
        <v>45231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0.02</v>
      </c>
      <c r="AG354" s="3">
        <v>0.02</v>
      </c>
      <c r="AH354" s="3">
        <v>0.02</v>
      </c>
      <c r="AI354" s="3">
        <v>0.02</v>
      </c>
      <c r="AJ354" s="3">
        <v>0.02</v>
      </c>
      <c r="AK354" s="3">
        <v>0.02</v>
      </c>
      <c r="AL354" s="3">
        <v>0.02</v>
      </c>
      <c r="AM354" s="3">
        <v>0.02</v>
      </c>
      <c r="AN354" s="3">
        <v>0.02</v>
      </c>
      <c r="AO354" s="3">
        <v>0.02</v>
      </c>
      <c r="AP354" s="3">
        <v>0.02</v>
      </c>
    </row>
    <row r="355" spans="1:42" hidden="1" x14ac:dyDescent="0.3">
      <c r="A355" s="5" t="s">
        <v>495</v>
      </c>
      <c r="B355" s="5" t="s">
        <v>12</v>
      </c>
      <c r="C355" s="22">
        <v>45223</v>
      </c>
      <c r="D355" s="22">
        <v>45226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0.03</v>
      </c>
      <c r="AG355" s="3">
        <v>0.03</v>
      </c>
      <c r="AH355" s="3">
        <v>0.03</v>
      </c>
      <c r="AI355" s="3">
        <v>0.03</v>
      </c>
      <c r="AJ355" s="3">
        <v>0.03</v>
      </c>
      <c r="AK355" s="3">
        <v>0.03</v>
      </c>
      <c r="AL355" s="3">
        <v>0.03</v>
      </c>
      <c r="AM355" s="3">
        <v>0.03</v>
      </c>
      <c r="AN355" s="3">
        <v>0.03</v>
      </c>
      <c r="AO355" s="3">
        <v>0.03</v>
      </c>
      <c r="AP355" s="3">
        <v>0.03</v>
      </c>
    </row>
    <row r="356" spans="1:42" hidden="1" x14ac:dyDescent="0.3">
      <c r="A356" s="5" t="s">
        <v>496</v>
      </c>
      <c r="B356" s="5" t="s">
        <v>12</v>
      </c>
      <c r="C356" s="22">
        <v>45218</v>
      </c>
      <c r="D356" s="22">
        <v>45223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0.03</v>
      </c>
      <c r="AG356" s="3">
        <v>0.03</v>
      </c>
      <c r="AH356" s="3">
        <v>0.03</v>
      </c>
      <c r="AI356" s="3">
        <v>0.03</v>
      </c>
      <c r="AJ356" s="3">
        <v>0.03</v>
      </c>
      <c r="AK356" s="3">
        <v>0.03</v>
      </c>
      <c r="AL356" s="3">
        <v>0.03</v>
      </c>
      <c r="AM356" s="3">
        <v>0.03</v>
      </c>
      <c r="AN356" s="3">
        <v>0.03</v>
      </c>
      <c r="AO356" s="3">
        <v>0.03</v>
      </c>
      <c r="AP356" s="3">
        <v>0.03</v>
      </c>
    </row>
    <row r="357" spans="1:42" hidden="1" x14ac:dyDescent="0.3">
      <c r="A357" s="5" t="s">
        <v>497</v>
      </c>
      <c r="B357" s="5" t="s">
        <v>12</v>
      </c>
      <c r="C357" s="22">
        <v>45216</v>
      </c>
      <c r="D357" s="22">
        <v>45218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0.03</v>
      </c>
      <c r="AG357" s="3">
        <v>0.03</v>
      </c>
      <c r="AH357" s="3">
        <v>0.03</v>
      </c>
      <c r="AI357" s="3">
        <v>0.03</v>
      </c>
      <c r="AJ357" s="3">
        <v>0.03</v>
      </c>
      <c r="AK357" s="3">
        <v>0.03</v>
      </c>
      <c r="AL357" s="3">
        <v>0.03</v>
      </c>
      <c r="AM357" s="3">
        <v>0.03</v>
      </c>
      <c r="AN357" s="3">
        <v>0.03</v>
      </c>
      <c r="AO357" s="3">
        <v>0.03</v>
      </c>
      <c r="AP357" s="3">
        <v>0.03</v>
      </c>
    </row>
    <row r="358" spans="1:42" hidden="1" x14ac:dyDescent="0.3">
      <c r="A358" s="5" t="s">
        <v>498</v>
      </c>
      <c r="B358" s="5" t="s">
        <v>12</v>
      </c>
      <c r="C358" s="22">
        <v>45210</v>
      </c>
      <c r="D358" s="22">
        <v>45216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0.03</v>
      </c>
      <c r="AG358" s="3">
        <v>0.03</v>
      </c>
      <c r="AH358" s="3">
        <v>0.03</v>
      </c>
      <c r="AI358" s="3">
        <v>0.03</v>
      </c>
      <c r="AJ358" s="3">
        <v>0.03</v>
      </c>
      <c r="AK358" s="3">
        <v>0.03</v>
      </c>
      <c r="AL358" s="3">
        <v>0.03</v>
      </c>
      <c r="AM358" s="3">
        <v>0.03</v>
      </c>
      <c r="AN358" s="3">
        <v>0.03</v>
      </c>
      <c r="AO358" s="3">
        <v>0.03</v>
      </c>
      <c r="AP358" s="3">
        <v>0.03</v>
      </c>
    </row>
    <row r="359" spans="1:42" hidden="1" x14ac:dyDescent="0.3">
      <c r="A359" s="4" t="s">
        <v>499</v>
      </c>
      <c r="B359" s="4" t="s">
        <v>59</v>
      </c>
      <c r="C359" s="21">
        <v>45229</v>
      </c>
      <c r="D359" s="21">
        <v>45252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0.15</v>
      </c>
      <c r="AG359" s="2">
        <v>0.19</v>
      </c>
      <c r="AH359" s="2">
        <v>0.19</v>
      </c>
      <c r="AI359" s="2">
        <v>0.19</v>
      </c>
      <c r="AJ359" s="2">
        <v>0.19</v>
      </c>
      <c r="AK359" s="2">
        <v>0.19</v>
      </c>
      <c r="AL359" s="2">
        <v>0.19</v>
      </c>
      <c r="AM359" s="2">
        <v>0.19</v>
      </c>
      <c r="AN359" s="2">
        <v>0.19</v>
      </c>
      <c r="AO359" s="2">
        <v>0.19</v>
      </c>
      <c r="AP359" s="2">
        <v>0.19</v>
      </c>
    </row>
    <row r="360" spans="1:42" hidden="1" x14ac:dyDescent="0.3">
      <c r="A360" s="5" t="s">
        <v>500</v>
      </c>
      <c r="B360" s="5" t="s">
        <v>29</v>
      </c>
      <c r="C360" s="22">
        <v>45229</v>
      </c>
      <c r="D360" s="22">
        <v>45230</v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0.15</v>
      </c>
      <c r="AG360" s="3">
        <v>0.15</v>
      </c>
      <c r="AH360" s="3">
        <v>0.15</v>
      </c>
      <c r="AI360" s="3">
        <v>0.15</v>
      </c>
      <c r="AJ360" s="3">
        <v>0.15</v>
      </c>
      <c r="AK360" s="3">
        <v>0.15</v>
      </c>
      <c r="AL360" s="3">
        <v>0.15</v>
      </c>
      <c r="AM360" s="3">
        <v>0.15</v>
      </c>
      <c r="AN360" s="3">
        <v>0.15</v>
      </c>
      <c r="AO360" s="3">
        <v>0.15</v>
      </c>
      <c r="AP360" s="3">
        <v>0.15</v>
      </c>
    </row>
    <row r="361" spans="1:42" hidden="1" x14ac:dyDescent="0.3">
      <c r="A361" s="5" t="s">
        <v>501</v>
      </c>
      <c r="B361" s="5" t="s">
        <v>29</v>
      </c>
      <c r="C361" s="22">
        <v>45236</v>
      </c>
      <c r="D361" s="22">
        <v>45236</v>
      </c>
      <c r="E361" s="3">
        <v>0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0.01</v>
      </c>
      <c r="AH361" s="3">
        <v>0.01</v>
      </c>
      <c r="AI361" s="3">
        <v>0.01</v>
      </c>
      <c r="AJ361" s="3">
        <v>0.01</v>
      </c>
      <c r="AK361" s="3">
        <v>0.01</v>
      </c>
      <c r="AL361" s="3">
        <v>0.01</v>
      </c>
      <c r="AM361" s="3">
        <v>0.01</v>
      </c>
      <c r="AN361" s="3">
        <v>0.01</v>
      </c>
      <c r="AO361" s="3">
        <v>0.01</v>
      </c>
      <c r="AP361" s="3">
        <v>0.01</v>
      </c>
    </row>
    <row r="362" spans="1:42" hidden="1" x14ac:dyDescent="0.3">
      <c r="A362" s="5" t="s">
        <v>502</v>
      </c>
      <c r="B362" s="5" t="s">
        <v>29</v>
      </c>
      <c r="C362" s="22">
        <v>45239</v>
      </c>
      <c r="D362" s="22">
        <v>45240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0.01</v>
      </c>
      <c r="AH362" s="3">
        <v>0.01</v>
      </c>
      <c r="AI362" s="3">
        <v>0.01</v>
      </c>
      <c r="AJ362" s="3">
        <v>0.01</v>
      </c>
      <c r="AK362" s="3">
        <v>0.01</v>
      </c>
      <c r="AL362" s="3">
        <v>0.01</v>
      </c>
      <c r="AM362" s="3">
        <v>0.01</v>
      </c>
      <c r="AN362" s="3">
        <v>0.01</v>
      </c>
      <c r="AO362" s="3">
        <v>0.01</v>
      </c>
      <c r="AP362" s="3">
        <v>0.01</v>
      </c>
    </row>
    <row r="363" spans="1:42" hidden="1" x14ac:dyDescent="0.3">
      <c r="A363" s="5" t="s">
        <v>503</v>
      </c>
      <c r="B363" s="5" t="s">
        <v>29</v>
      </c>
      <c r="C363" s="22">
        <v>45246</v>
      </c>
      <c r="D363" s="22">
        <v>45247</v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0.01</v>
      </c>
      <c r="AH363" s="3">
        <v>0.01</v>
      </c>
      <c r="AI363" s="3">
        <v>0.01</v>
      </c>
      <c r="AJ363" s="3">
        <v>0.01</v>
      </c>
      <c r="AK363" s="3">
        <v>0.01</v>
      </c>
      <c r="AL363" s="3">
        <v>0.01</v>
      </c>
      <c r="AM363" s="3">
        <v>0.01</v>
      </c>
      <c r="AN363" s="3">
        <v>0.01</v>
      </c>
      <c r="AO363" s="3">
        <v>0.01</v>
      </c>
      <c r="AP363" s="3">
        <v>0.01</v>
      </c>
    </row>
    <row r="364" spans="1:42" hidden="1" x14ac:dyDescent="0.3">
      <c r="A364" s="5" t="s">
        <v>504</v>
      </c>
      <c r="B364" s="5" t="s">
        <v>29</v>
      </c>
      <c r="C364" s="22">
        <v>45251</v>
      </c>
      <c r="D364" s="22">
        <v>45252</v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0.01</v>
      </c>
      <c r="AH364" s="3">
        <v>0.01</v>
      </c>
      <c r="AI364" s="3">
        <v>0.01</v>
      </c>
      <c r="AJ364" s="3">
        <v>0.01</v>
      </c>
      <c r="AK364" s="3">
        <v>0.01</v>
      </c>
      <c r="AL364" s="3">
        <v>0.01</v>
      </c>
      <c r="AM364" s="3">
        <v>0.01</v>
      </c>
      <c r="AN364" s="3">
        <v>0.01</v>
      </c>
      <c r="AO364" s="3">
        <v>0.01</v>
      </c>
      <c r="AP364" s="3">
        <v>0.01</v>
      </c>
    </row>
    <row r="365" spans="1:42" hidden="1" x14ac:dyDescent="0.3">
      <c r="A365" s="15" t="s">
        <v>505</v>
      </c>
      <c r="B365" s="15" t="s">
        <v>17</v>
      </c>
      <c r="C365" s="20">
        <v>45252</v>
      </c>
      <c r="D365" s="20">
        <v>45272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8">
        <v>0</v>
      </c>
      <c r="R365" s="8">
        <v>0</v>
      </c>
      <c r="S365" s="8">
        <v>0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0</v>
      </c>
      <c r="Z365" s="8">
        <v>0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8">
        <v>7.0000000000000007E-2</v>
      </c>
      <c r="AH365" s="8">
        <v>0.14000000000000001</v>
      </c>
      <c r="AI365" s="8">
        <v>0.14000000000000001</v>
      </c>
      <c r="AJ365" s="8">
        <v>0.14000000000000001</v>
      </c>
      <c r="AK365" s="8">
        <v>0.14000000000000001</v>
      </c>
      <c r="AL365" s="8">
        <v>0.14000000000000001</v>
      </c>
      <c r="AM365" s="8">
        <v>0.14000000000000001</v>
      </c>
      <c r="AN365" s="8">
        <v>0.14000000000000001</v>
      </c>
      <c r="AO365" s="8">
        <v>0.14000000000000001</v>
      </c>
      <c r="AP365" s="8">
        <v>0.14000000000000001</v>
      </c>
    </row>
    <row r="366" spans="1:42" hidden="1" x14ac:dyDescent="0.3">
      <c r="A366" s="5" t="s">
        <v>506</v>
      </c>
      <c r="B366" s="5" t="s">
        <v>17</v>
      </c>
      <c r="C366" s="22">
        <v>45252</v>
      </c>
      <c r="D366" s="22">
        <v>45272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7.0000000000000007E-2</v>
      </c>
      <c r="AH366" s="3">
        <v>0.14000000000000001</v>
      </c>
      <c r="AI366" s="3">
        <v>0.14000000000000001</v>
      </c>
      <c r="AJ366" s="3">
        <v>0.14000000000000001</v>
      </c>
      <c r="AK366" s="3">
        <v>0.14000000000000001</v>
      </c>
      <c r="AL366" s="3">
        <v>0.14000000000000001</v>
      </c>
      <c r="AM366" s="3">
        <v>0.14000000000000001</v>
      </c>
      <c r="AN366" s="3">
        <v>0.14000000000000001</v>
      </c>
      <c r="AO366" s="3">
        <v>0.14000000000000001</v>
      </c>
      <c r="AP366" s="3">
        <v>0.14000000000000001</v>
      </c>
    </row>
    <row r="367" spans="1:42" hidden="1" x14ac:dyDescent="0.3">
      <c r="A367" s="14" t="s">
        <v>507</v>
      </c>
      <c r="B367" s="14" t="s">
        <v>60</v>
      </c>
      <c r="C367" s="19">
        <v>44840</v>
      </c>
      <c r="D367" s="19">
        <v>45295</v>
      </c>
      <c r="E367" s="7">
        <v>0</v>
      </c>
      <c r="F367" s="7">
        <v>0</v>
      </c>
      <c r="G367" s="7">
        <v>0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7">
        <v>0.17</v>
      </c>
      <c r="U367" s="7">
        <v>0.37</v>
      </c>
      <c r="V367" s="7">
        <v>0.47</v>
      </c>
      <c r="W367" s="7">
        <v>1.41</v>
      </c>
      <c r="X367" s="7">
        <v>1.44</v>
      </c>
      <c r="Y367" s="7">
        <v>1.44</v>
      </c>
      <c r="Z367" s="7">
        <v>1.44</v>
      </c>
      <c r="AA367" s="7">
        <v>1.44</v>
      </c>
      <c r="AB367" s="7">
        <v>1.44</v>
      </c>
      <c r="AC367" s="7">
        <v>1.44</v>
      </c>
      <c r="AD367" s="7">
        <v>1.44</v>
      </c>
      <c r="AE367" s="7">
        <v>1.44</v>
      </c>
      <c r="AF367" s="7">
        <v>1.49</v>
      </c>
      <c r="AG367" s="7">
        <v>1.9</v>
      </c>
      <c r="AH367" s="7">
        <v>1.91</v>
      </c>
      <c r="AI367" s="7">
        <v>1.92</v>
      </c>
      <c r="AJ367" s="7">
        <v>1.92</v>
      </c>
      <c r="AK367" s="7">
        <v>1.92</v>
      </c>
      <c r="AL367" s="7">
        <v>1.92</v>
      </c>
      <c r="AM367" s="7">
        <v>1.92</v>
      </c>
      <c r="AN367" s="7">
        <v>1.92</v>
      </c>
      <c r="AO367" s="7">
        <v>1.92</v>
      </c>
      <c r="AP367" s="7">
        <v>1.92</v>
      </c>
    </row>
    <row r="368" spans="1:42" hidden="1" x14ac:dyDescent="0.3">
      <c r="A368" s="15" t="s">
        <v>508</v>
      </c>
      <c r="B368" s="15" t="s">
        <v>50</v>
      </c>
      <c r="C368" s="20">
        <v>45224</v>
      </c>
      <c r="D368" s="20">
        <v>45295</v>
      </c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  <c r="Q368" s="8">
        <v>0</v>
      </c>
      <c r="R368" s="8">
        <v>0</v>
      </c>
      <c r="S368" s="8">
        <v>0</v>
      </c>
      <c r="T368" s="8">
        <v>0</v>
      </c>
      <c r="U368" s="8">
        <v>0</v>
      </c>
      <c r="V368" s="8">
        <v>0</v>
      </c>
      <c r="W368" s="8">
        <v>0</v>
      </c>
      <c r="X368" s="8">
        <v>0</v>
      </c>
      <c r="Y368" s="8">
        <v>0</v>
      </c>
      <c r="Z368" s="8">
        <v>0</v>
      </c>
      <c r="AA368" s="8">
        <v>0</v>
      </c>
      <c r="AB368" s="8">
        <v>0</v>
      </c>
      <c r="AC368" s="8">
        <v>0</v>
      </c>
      <c r="AD368" s="8">
        <v>0</v>
      </c>
      <c r="AE368" s="8">
        <v>0</v>
      </c>
      <c r="AF368" s="8">
        <v>0.05</v>
      </c>
      <c r="AG368" s="8">
        <v>0.46</v>
      </c>
      <c r="AH368" s="8">
        <v>0.47</v>
      </c>
      <c r="AI368" s="8">
        <v>0.48</v>
      </c>
      <c r="AJ368" s="8">
        <v>0.48</v>
      </c>
      <c r="AK368" s="8">
        <v>0.48</v>
      </c>
      <c r="AL368" s="8">
        <v>0.48</v>
      </c>
      <c r="AM368" s="8">
        <v>0.48</v>
      </c>
      <c r="AN368" s="8">
        <v>0.48</v>
      </c>
      <c r="AO368" s="8">
        <v>0.48</v>
      </c>
      <c r="AP368" s="8">
        <v>0.48</v>
      </c>
    </row>
    <row r="369" spans="1:42" hidden="1" x14ac:dyDescent="0.3">
      <c r="A369" s="5" t="s">
        <v>509</v>
      </c>
      <c r="B369" s="5" t="s">
        <v>29</v>
      </c>
      <c r="C369" s="22">
        <v>45243</v>
      </c>
      <c r="D369" s="22">
        <v>45244</v>
      </c>
      <c r="E369" s="3">
        <v>0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0.22</v>
      </c>
      <c r="AH369" s="3">
        <v>0.22</v>
      </c>
      <c r="AI369" s="3">
        <v>0.22</v>
      </c>
      <c r="AJ369" s="3">
        <v>0.22</v>
      </c>
      <c r="AK369" s="3">
        <v>0.22</v>
      </c>
      <c r="AL369" s="3">
        <v>0.22</v>
      </c>
      <c r="AM369" s="3">
        <v>0.22</v>
      </c>
      <c r="AN369" s="3">
        <v>0.22</v>
      </c>
      <c r="AO369" s="3">
        <v>0.22</v>
      </c>
      <c r="AP369" s="3">
        <v>0.22</v>
      </c>
    </row>
    <row r="370" spans="1:42" hidden="1" x14ac:dyDescent="0.3">
      <c r="A370" s="5" t="s">
        <v>510</v>
      </c>
      <c r="B370" s="5" t="s">
        <v>31</v>
      </c>
      <c r="C370" s="22">
        <v>45240</v>
      </c>
      <c r="D370" s="22">
        <v>45244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0.01</v>
      </c>
      <c r="AH370" s="3">
        <v>0.01</v>
      </c>
      <c r="AI370" s="3">
        <v>0.01</v>
      </c>
      <c r="AJ370" s="3">
        <v>0.01</v>
      </c>
      <c r="AK370" s="3">
        <v>0.01</v>
      </c>
      <c r="AL370" s="3">
        <v>0.01</v>
      </c>
      <c r="AM370" s="3">
        <v>0.01</v>
      </c>
      <c r="AN370" s="3">
        <v>0.01</v>
      </c>
      <c r="AO370" s="3">
        <v>0.01</v>
      </c>
      <c r="AP370" s="3">
        <v>0.01</v>
      </c>
    </row>
    <row r="371" spans="1:42" hidden="1" x14ac:dyDescent="0.3">
      <c r="A371" s="5" t="s">
        <v>511</v>
      </c>
      <c r="B371" s="5" t="s">
        <v>12</v>
      </c>
      <c r="C371" s="22">
        <v>45239</v>
      </c>
      <c r="D371" s="22">
        <v>45244</v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0.02</v>
      </c>
      <c r="AH371" s="3">
        <v>0.02</v>
      </c>
      <c r="AI371" s="3">
        <v>0.02</v>
      </c>
      <c r="AJ371" s="3">
        <v>0.02</v>
      </c>
      <c r="AK371" s="3">
        <v>0.02</v>
      </c>
      <c r="AL371" s="3">
        <v>0.02</v>
      </c>
      <c r="AM371" s="3">
        <v>0.02</v>
      </c>
      <c r="AN371" s="3">
        <v>0.02</v>
      </c>
      <c r="AO371" s="3">
        <v>0.02</v>
      </c>
      <c r="AP371" s="3">
        <v>0.02</v>
      </c>
    </row>
    <row r="372" spans="1:42" hidden="1" x14ac:dyDescent="0.3">
      <c r="A372" s="5" t="s">
        <v>512</v>
      </c>
      <c r="B372" s="5" t="s">
        <v>31</v>
      </c>
      <c r="C372" s="22">
        <v>45237</v>
      </c>
      <c r="D372" s="22">
        <v>45239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0.03</v>
      </c>
      <c r="AH372" s="3">
        <v>0.03</v>
      </c>
      <c r="AI372" s="3">
        <v>0.03</v>
      </c>
      <c r="AJ372" s="3">
        <v>0.03</v>
      </c>
      <c r="AK372" s="3">
        <v>0.03</v>
      </c>
      <c r="AL372" s="3">
        <v>0.03</v>
      </c>
      <c r="AM372" s="3">
        <v>0.03</v>
      </c>
      <c r="AN372" s="3">
        <v>0.03</v>
      </c>
      <c r="AO372" s="3">
        <v>0.03</v>
      </c>
      <c r="AP372" s="3">
        <v>0.03</v>
      </c>
    </row>
    <row r="373" spans="1:42" hidden="1" x14ac:dyDescent="0.3">
      <c r="A373" s="5" t="s">
        <v>513</v>
      </c>
      <c r="B373" s="5" t="s">
        <v>31</v>
      </c>
      <c r="C373" s="22">
        <v>45233</v>
      </c>
      <c r="D373" s="22">
        <v>45236</v>
      </c>
      <c r="E373" s="3">
        <v>0</v>
      </c>
      <c r="F373" s="3">
        <v>0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0.02</v>
      </c>
      <c r="AH373" s="3">
        <v>0.02</v>
      </c>
      <c r="AI373" s="3">
        <v>0.02</v>
      </c>
      <c r="AJ373" s="3">
        <v>0.02</v>
      </c>
      <c r="AK373" s="3">
        <v>0.02</v>
      </c>
      <c r="AL373" s="3">
        <v>0.02</v>
      </c>
      <c r="AM373" s="3">
        <v>0.02</v>
      </c>
      <c r="AN373" s="3">
        <v>0.02</v>
      </c>
      <c r="AO373" s="3">
        <v>0.02</v>
      </c>
      <c r="AP373" s="3">
        <v>0.02</v>
      </c>
    </row>
    <row r="374" spans="1:42" hidden="1" x14ac:dyDescent="0.3">
      <c r="A374" s="5" t="s">
        <v>514</v>
      </c>
      <c r="B374" s="5" t="s">
        <v>31</v>
      </c>
      <c r="C374" s="22">
        <v>45230</v>
      </c>
      <c r="D374" s="22">
        <v>45231</v>
      </c>
      <c r="E374" s="3">
        <v>0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0.01</v>
      </c>
      <c r="AG374" s="3">
        <v>0.02</v>
      </c>
      <c r="AH374" s="3">
        <v>0.02</v>
      </c>
      <c r="AI374" s="3">
        <v>0.02</v>
      </c>
      <c r="AJ374" s="3">
        <v>0.02</v>
      </c>
      <c r="AK374" s="3">
        <v>0.02</v>
      </c>
      <c r="AL374" s="3">
        <v>0.02</v>
      </c>
      <c r="AM374" s="3">
        <v>0.02</v>
      </c>
      <c r="AN374" s="3">
        <v>0.02</v>
      </c>
      <c r="AO374" s="3">
        <v>0.02</v>
      </c>
      <c r="AP374" s="3">
        <v>0.02</v>
      </c>
    </row>
    <row r="375" spans="1:42" hidden="1" x14ac:dyDescent="0.3">
      <c r="A375" s="5" t="s">
        <v>515</v>
      </c>
      <c r="B375" s="5" t="s">
        <v>31</v>
      </c>
      <c r="C375" s="22">
        <v>45226</v>
      </c>
      <c r="D375" s="22">
        <v>45230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3">
        <v>0</v>
      </c>
      <c r="AF375" s="3">
        <v>0.02</v>
      </c>
      <c r="AG375" s="3">
        <v>0.02</v>
      </c>
      <c r="AH375" s="3">
        <v>0.02</v>
      </c>
      <c r="AI375" s="3">
        <v>0.02</v>
      </c>
      <c r="AJ375" s="3">
        <v>0.02</v>
      </c>
      <c r="AK375" s="3">
        <v>0.02</v>
      </c>
      <c r="AL375" s="3">
        <v>0.02</v>
      </c>
      <c r="AM375" s="3">
        <v>0.02</v>
      </c>
      <c r="AN375" s="3">
        <v>0.02</v>
      </c>
      <c r="AO375" s="3">
        <v>0.02</v>
      </c>
      <c r="AP375" s="3">
        <v>0.02</v>
      </c>
    </row>
    <row r="376" spans="1:42" hidden="1" x14ac:dyDescent="0.3">
      <c r="A376" s="5" t="s">
        <v>516</v>
      </c>
      <c r="B376" s="5" t="s">
        <v>31</v>
      </c>
      <c r="C376" s="22">
        <v>45224</v>
      </c>
      <c r="D376" s="22">
        <v>45226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0.02</v>
      </c>
      <c r="AG376" s="3">
        <v>0.02</v>
      </c>
      <c r="AH376" s="3">
        <v>0.02</v>
      </c>
      <c r="AI376" s="3">
        <v>0.02</v>
      </c>
      <c r="AJ376" s="3">
        <v>0.02</v>
      </c>
      <c r="AK376" s="3">
        <v>0.02</v>
      </c>
      <c r="AL376" s="3">
        <v>0.02</v>
      </c>
      <c r="AM376" s="3">
        <v>0.02</v>
      </c>
      <c r="AN376" s="3">
        <v>0.02</v>
      </c>
      <c r="AO376" s="3">
        <v>0.02</v>
      </c>
      <c r="AP376" s="3">
        <v>0.02</v>
      </c>
    </row>
    <row r="377" spans="1:42" hidden="1" x14ac:dyDescent="0.3">
      <c r="A377" s="4" t="s">
        <v>517</v>
      </c>
      <c r="B377" s="4" t="s">
        <v>51</v>
      </c>
      <c r="C377" s="21">
        <v>45244</v>
      </c>
      <c r="D377" s="21">
        <v>45271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0.11</v>
      </c>
      <c r="AH377" s="2">
        <v>0.12</v>
      </c>
      <c r="AI377" s="2">
        <v>0.12</v>
      </c>
      <c r="AJ377" s="2">
        <v>0.12</v>
      </c>
      <c r="AK377" s="2">
        <v>0.12</v>
      </c>
      <c r="AL377" s="2">
        <v>0.12</v>
      </c>
      <c r="AM377" s="2">
        <v>0.12</v>
      </c>
      <c r="AN377" s="2">
        <v>0.12</v>
      </c>
      <c r="AO377" s="2">
        <v>0.12</v>
      </c>
      <c r="AP377" s="2">
        <v>0.12</v>
      </c>
    </row>
    <row r="378" spans="1:42" hidden="1" x14ac:dyDescent="0.3">
      <c r="A378" s="5" t="s">
        <v>518</v>
      </c>
      <c r="B378" s="5" t="s">
        <v>29</v>
      </c>
      <c r="C378" s="22">
        <v>45244</v>
      </c>
      <c r="D378" s="22">
        <v>45246</v>
      </c>
      <c r="E378" s="3">
        <v>0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7.0000000000000007E-2</v>
      </c>
      <c r="AH378" s="3">
        <v>7.0000000000000007E-2</v>
      </c>
      <c r="AI378" s="3">
        <v>7.0000000000000007E-2</v>
      </c>
      <c r="AJ378" s="3">
        <v>7.0000000000000007E-2</v>
      </c>
      <c r="AK378" s="3">
        <v>7.0000000000000007E-2</v>
      </c>
      <c r="AL378" s="3">
        <v>7.0000000000000007E-2</v>
      </c>
      <c r="AM378" s="3">
        <v>7.0000000000000007E-2</v>
      </c>
      <c r="AN378" s="3">
        <v>7.0000000000000007E-2</v>
      </c>
      <c r="AO378" s="3">
        <v>7.0000000000000007E-2</v>
      </c>
      <c r="AP378" s="3">
        <v>7.0000000000000007E-2</v>
      </c>
    </row>
    <row r="379" spans="1:42" hidden="1" x14ac:dyDescent="0.3">
      <c r="A379" s="5" t="s">
        <v>519</v>
      </c>
      <c r="B379" s="5" t="s">
        <v>29</v>
      </c>
      <c r="C379" s="22">
        <v>45268</v>
      </c>
      <c r="D379" s="22">
        <v>45271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3">
        <v>0.01</v>
      </c>
      <c r="AI379" s="3">
        <v>0.01</v>
      </c>
      <c r="AJ379" s="3">
        <v>0.01</v>
      </c>
      <c r="AK379" s="3">
        <v>0.01</v>
      </c>
      <c r="AL379" s="3">
        <v>0.01</v>
      </c>
      <c r="AM379" s="3">
        <v>0.01</v>
      </c>
      <c r="AN379" s="3">
        <v>0.01</v>
      </c>
      <c r="AO379" s="3">
        <v>0.01</v>
      </c>
      <c r="AP379" s="3">
        <v>0.01</v>
      </c>
    </row>
    <row r="380" spans="1:42" hidden="1" x14ac:dyDescent="0.3">
      <c r="A380" s="5" t="s">
        <v>520</v>
      </c>
      <c r="B380" s="5" t="s">
        <v>29</v>
      </c>
      <c r="C380" s="22">
        <v>45246</v>
      </c>
      <c r="D380" s="22">
        <v>45247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0.01</v>
      </c>
      <c r="AH380" s="3">
        <v>0.01</v>
      </c>
      <c r="AI380" s="3">
        <v>0.01</v>
      </c>
      <c r="AJ380" s="3">
        <v>0.01</v>
      </c>
      <c r="AK380" s="3">
        <v>0.01</v>
      </c>
      <c r="AL380" s="3">
        <v>0.01</v>
      </c>
      <c r="AM380" s="3">
        <v>0.01</v>
      </c>
      <c r="AN380" s="3">
        <v>0.01</v>
      </c>
      <c r="AO380" s="3">
        <v>0.01</v>
      </c>
      <c r="AP380" s="3">
        <v>0.01</v>
      </c>
    </row>
    <row r="381" spans="1:42" hidden="1" x14ac:dyDescent="0.3">
      <c r="A381" s="5" t="s">
        <v>521</v>
      </c>
      <c r="B381" s="5" t="s">
        <v>29</v>
      </c>
      <c r="C381" s="22">
        <v>45247</v>
      </c>
      <c r="D381" s="22">
        <v>45250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0.01</v>
      </c>
      <c r="AH381" s="3">
        <v>0.01</v>
      </c>
      <c r="AI381" s="3">
        <v>0.01</v>
      </c>
      <c r="AJ381" s="3">
        <v>0.01</v>
      </c>
      <c r="AK381" s="3">
        <v>0.01</v>
      </c>
      <c r="AL381" s="3">
        <v>0.01</v>
      </c>
      <c r="AM381" s="3">
        <v>0.01</v>
      </c>
      <c r="AN381" s="3">
        <v>0.01</v>
      </c>
      <c r="AO381" s="3">
        <v>0.01</v>
      </c>
      <c r="AP381" s="3">
        <v>0.01</v>
      </c>
    </row>
    <row r="382" spans="1:42" hidden="1" x14ac:dyDescent="0.3">
      <c r="A382" s="5" t="s">
        <v>522</v>
      </c>
      <c r="B382" s="5" t="s">
        <v>29</v>
      </c>
      <c r="C382" s="22">
        <v>45250</v>
      </c>
      <c r="D382" s="22">
        <v>45250</v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0.01</v>
      </c>
      <c r="AH382" s="3">
        <v>0.01</v>
      </c>
      <c r="AI382" s="3">
        <v>0.01</v>
      </c>
      <c r="AJ382" s="3">
        <v>0.01</v>
      </c>
      <c r="AK382" s="3">
        <v>0.01</v>
      </c>
      <c r="AL382" s="3">
        <v>0.01</v>
      </c>
      <c r="AM382" s="3">
        <v>0.01</v>
      </c>
      <c r="AN382" s="3">
        <v>0.01</v>
      </c>
      <c r="AO382" s="3">
        <v>0.01</v>
      </c>
      <c r="AP382" s="3">
        <v>0.01</v>
      </c>
    </row>
    <row r="383" spans="1:42" hidden="1" x14ac:dyDescent="0.3">
      <c r="A383" s="5" t="s">
        <v>523</v>
      </c>
      <c r="B383" s="5" t="s">
        <v>29</v>
      </c>
      <c r="C383" s="22">
        <v>45252</v>
      </c>
      <c r="D383" s="22">
        <v>45253</v>
      </c>
      <c r="E383" s="3">
        <v>0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0.01</v>
      </c>
      <c r="AH383" s="3">
        <v>0.01</v>
      </c>
      <c r="AI383" s="3">
        <v>0.01</v>
      </c>
      <c r="AJ383" s="3">
        <v>0.01</v>
      </c>
      <c r="AK383" s="3">
        <v>0.01</v>
      </c>
      <c r="AL383" s="3">
        <v>0.01</v>
      </c>
      <c r="AM383" s="3">
        <v>0.01</v>
      </c>
      <c r="AN383" s="3">
        <v>0.01</v>
      </c>
      <c r="AO383" s="3">
        <v>0.01</v>
      </c>
      <c r="AP383" s="3">
        <v>0.01</v>
      </c>
    </row>
    <row r="384" spans="1:42" hidden="1" x14ac:dyDescent="0.3">
      <c r="A384" s="5" t="s">
        <v>524</v>
      </c>
      <c r="B384" s="5" t="s">
        <v>29</v>
      </c>
      <c r="C384" s="22">
        <v>45257</v>
      </c>
      <c r="D384" s="22">
        <v>45258</v>
      </c>
      <c r="E384" s="3">
        <v>0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>
        <v>0.01</v>
      </c>
      <c r="AH384" s="3">
        <v>0.01</v>
      </c>
      <c r="AI384" s="3">
        <v>0.01</v>
      </c>
      <c r="AJ384" s="3">
        <v>0.01</v>
      </c>
      <c r="AK384" s="3">
        <v>0.01</v>
      </c>
      <c r="AL384" s="3">
        <v>0.01</v>
      </c>
      <c r="AM384" s="3">
        <v>0.01</v>
      </c>
      <c r="AN384" s="3">
        <v>0.01</v>
      </c>
      <c r="AO384" s="3">
        <v>0.01</v>
      </c>
      <c r="AP384" s="3">
        <v>0.01</v>
      </c>
    </row>
    <row r="385" spans="1:42" hidden="1" x14ac:dyDescent="0.3">
      <c r="A385" s="5" t="s">
        <v>525</v>
      </c>
      <c r="B385" s="5" t="s">
        <v>29</v>
      </c>
      <c r="C385" s="22">
        <v>45295</v>
      </c>
      <c r="D385" s="22">
        <v>45295</v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0</v>
      </c>
      <c r="AI385" s="3">
        <v>0.01</v>
      </c>
      <c r="AJ385" s="3">
        <v>0.01</v>
      </c>
      <c r="AK385" s="3">
        <v>0.01</v>
      </c>
      <c r="AL385" s="3">
        <v>0.01</v>
      </c>
      <c r="AM385" s="3">
        <v>0.01</v>
      </c>
      <c r="AN385" s="3">
        <v>0.01</v>
      </c>
      <c r="AO385" s="3">
        <v>0.01</v>
      </c>
      <c r="AP385" s="3">
        <v>0.01</v>
      </c>
    </row>
    <row r="386" spans="1:42" hidden="1" x14ac:dyDescent="0.3">
      <c r="A386" s="15" t="s">
        <v>526</v>
      </c>
      <c r="B386" s="15" t="s">
        <v>61</v>
      </c>
      <c r="C386" s="20">
        <v>44840</v>
      </c>
      <c r="D386" s="20">
        <v>44959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0.17</v>
      </c>
      <c r="U386" s="8">
        <v>0.37</v>
      </c>
      <c r="V386" s="8">
        <v>0.47</v>
      </c>
      <c r="W386" s="8">
        <v>1.41</v>
      </c>
      <c r="X386" s="8">
        <v>1.44</v>
      </c>
      <c r="Y386" s="8">
        <v>1.44</v>
      </c>
      <c r="Z386" s="8">
        <v>1.44</v>
      </c>
      <c r="AA386" s="8">
        <v>1.44</v>
      </c>
      <c r="AB386" s="8">
        <v>1.44</v>
      </c>
      <c r="AC386" s="8">
        <v>1.44</v>
      </c>
      <c r="AD386" s="8">
        <v>1.44</v>
      </c>
      <c r="AE386" s="8">
        <v>1.44</v>
      </c>
      <c r="AF386" s="8">
        <v>1.44</v>
      </c>
      <c r="AG386" s="8">
        <v>1.44</v>
      </c>
      <c r="AH386" s="8">
        <v>1.44</v>
      </c>
      <c r="AI386" s="8">
        <v>1.44</v>
      </c>
      <c r="AJ386" s="8">
        <v>1.44</v>
      </c>
      <c r="AK386" s="8">
        <v>1.44</v>
      </c>
      <c r="AL386" s="8">
        <v>1.44</v>
      </c>
      <c r="AM386" s="8">
        <v>1.44</v>
      </c>
      <c r="AN386" s="8">
        <v>1.44</v>
      </c>
      <c r="AO386" s="8">
        <v>1.44</v>
      </c>
      <c r="AP386" s="8">
        <v>1.44</v>
      </c>
    </row>
    <row r="387" spans="1:42" hidden="1" x14ac:dyDescent="0.3">
      <c r="A387" s="5" t="s">
        <v>527</v>
      </c>
      <c r="B387" s="5" t="s">
        <v>9</v>
      </c>
      <c r="C387" s="22">
        <v>44936</v>
      </c>
      <c r="D387" s="22">
        <v>44942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0.83</v>
      </c>
      <c r="X387" s="3">
        <v>0.83</v>
      </c>
      <c r="Y387" s="3">
        <v>0.83</v>
      </c>
      <c r="Z387" s="3">
        <v>0.83</v>
      </c>
      <c r="AA387" s="3">
        <v>0.83</v>
      </c>
      <c r="AB387" s="3">
        <v>0.83</v>
      </c>
      <c r="AC387" s="3">
        <v>0.83</v>
      </c>
      <c r="AD387" s="3">
        <v>0.83</v>
      </c>
      <c r="AE387" s="3">
        <v>0.83</v>
      </c>
      <c r="AF387" s="3">
        <v>0.83</v>
      </c>
      <c r="AG387" s="3">
        <v>0.83</v>
      </c>
      <c r="AH387" s="3">
        <v>0.83</v>
      </c>
      <c r="AI387" s="3">
        <v>0.83</v>
      </c>
      <c r="AJ387" s="3">
        <v>0.83</v>
      </c>
      <c r="AK387" s="3">
        <v>0.83</v>
      </c>
      <c r="AL387" s="3">
        <v>0.83</v>
      </c>
      <c r="AM387" s="3">
        <v>0.83</v>
      </c>
      <c r="AN387" s="3">
        <v>0.83</v>
      </c>
      <c r="AO387" s="3">
        <v>0.83</v>
      </c>
      <c r="AP387" s="3">
        <v>0.83</v>
      </c>
    </row>
    <row r="388" spans="1:42" hidden="1" x14ac:dyDescent="0.3">
      <c r="A388" s="5" t="s">
        <v>528</v>
      </c>
      <c r="B388" s="5" t="s">
        <v>10</v>
      </c>
      <c r="C388" s="22">
        <v>44907</v>
      </c>
      <c r="D388" s="22">
        <v>44936</v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0.02</v>
      </c>
      <c r="W388" s="3">
        <v>0.05</v>
      </c>
      <c r="X388" s="3">
        <v>0.05</v>
      </c>
      <c r="Y388" s="3">
        <v>0.05</v>
      </c>
      <c r="Z388" s="3">
        <v>0.05</v>
      </c>
      <c r="AA388" s="3">
        <v>0.05</v>
      </c>
      <c r="AB388" s="3">
        <v>0.05</v>
      </c>
      <c r="AC388" s="3">
        <v>0.05</v>
      </c>
      <c r="AD388" s="3">
        <v>0.05</v>
      </c>
      <c r="AE388" s="3">
        <v>0.05</v>
      </c>
      <c r="AF388" s="3">
        <v>0.05</v>
      </c>
      <c r="AG388" s="3">
        <v>0.05</v>
      </c>
      <c r="AH388" s="3">
        <v>0.05</v>
      </c>
      <c r="AI388" s="3">
        <v>0.05</v>
      </c>
      <c r="AJ388" s="3">
        <v>0.05</v>
      </c>
      <c r="AK388" s="3">
        <v>0.05</v>
      </c>
      <c r="AL388" s="3">
        <v>0.05</v>
      </c>
      <c r="AM388" s="3">
        <v>0.05</v>
      </c>
      <c r="AN388" s="3">
        <v>0.05</v>
      </c>
      <c r="AO388" s="3">
        <v>0.05</v>
      </c>
      <c r="AP388" s="3">
        <v>0.05</v>
      </c>
    </row>
    <row r="389" spans="1:42" hidden="1" x14ac:dyDescent="0.3">
      <c r="A389" s="5" t="s">
        <v>529</v>
      </c>
      <c r="B389" s="5" t="s">
        <v>10</v>
      </c>
      <c r="C389" s="22">
        <v>44890</v>
      </c>
      <c r="D389" s="22">
        <v>44907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0.04</v>
      </c>
      <c r="V389" s="3">
        <v>0.11</v>
      </c>
      <c r="W389" s="3">
        <v>0.11</v>
      </c>
      <c r="X389" s="3">
        <v>0.11</v>
      </c>
      <c r="Y389" s="3">
        <v>0.11</v>
      </c>
      <c r="Z389" s="3">
        <v>0.11</v>
      </c>
      <c r="AA389" s="3">
        <v>0.11</v>
      </c>
      <c r="AB389" s="3">
        <v>0.11</v>
      </c>
      <c r="AC389" s="3">
        <v>0.11</v>
      </c>
      <c r="AD389" s="3">
        <v>0.11</v>
      </c>
      <c r="AE389" s="3">
        <v>0.11</v>
      </c>
      <c r="AF389" s="3">
        <v>0.11</v>
      </c>
      <c r="AG389" s="3">
        <v>0.11</v>
      </c>
      <c r="AH389" s="3">
        <v>0.11</v>
      </c>
      <c r="AI389" s="3">
        <v>0.11</v>
      </c>
      <c r="AJ389" s="3">
        <v>0.11</v>
      </c>
      <c r="AK389" s="3">
        <v>0.11</v>
      </c>
      <c r="AL389" s="3">
        <v>0.11</v>
      </c>
      <c r="AM389" s="3">
        <v>0.11</v>
      </c>
      <c r="AN389" s="3">
        <v>0.11</v>
      </c>
      <c r="AO389" s="3">
        <v>0.11</v>
      </c>
      <c r="AP389" s="3">
        <v>0.11</v>
      </c>
    </row>
    <row r="390" spans="1:42" hidden="1" x14ac:dyDescent="0.3">
      <c r="A390" s="5" t="s">
        <v>530</v>
      </c>
      <c r="B390" s="5" t="s">
        <v>10</v>
      </c>
      <c r="C390" s="22">
        <v>44874</v>
      </c>
      <c r="D390" s="22">
        <v>44890</v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0.11</v>
      </c>
      <c r="V390" s="3">
        <v>0.11</v>
      </c>
      <c r="W390" s="3">
        <v>0.11</v>
      </c>
      <c r="X390" s="3">
        <v>0.11</v>
      </c>
      <c r="Y390" s="3">
        <v>0.11</v>
      </c>
      <c r="Z390" s="3">
        <v>0.11</v>
      </c>
      <c r="AA390" s="3">
        <v>0.11</v>
      </c>
      <c r="AB390" s="3">
        <v>0.11</v>
      </c>
      <c r="AC390" s="3">
        <v>0.11</v>
      </c>
      <c r="AD390" s="3">
        <v>0.11</v>
      </c>
      <c r="AE390" s="3">
        <v>0.11</v>
      </c>
      <c r="AF390" s="3">
        <v>0.11</v>
      </c>
      <c r="AG390" s="3">
        <v>0.11</v>
      </c>
      <c r="AH390" s="3">
        <v>0.11</v>
      </c>
      <c r="AI390" s="3">
        <v>0.11</v>
      </c>
      <c r="AJ390" s="3">
        <v>0.11</v>
      </c>
      <c r="AK390" s="3">
        <v>0.11</v>
      </c>
      <c r="AL390" s="3">
        <v>0.11</v>
      </c>
      <c r="AM390" s="3">
        <v>0.11</v>
      </c>
      <c r="AN390" s="3">
        <v>0.11</v>
      </c>
      <c r="AO390" s="3">
        <v>0.11</v>
      </c>
      <c r="AP390" s="3">
        <v>0.11</v>
      </c>
    </row>
    <row r="391" spans="1:42" hidden="1" x14ac:dyDescent="0.3">
      <c r="A391" s="5" t="s">
        <v>531</v>
      </c>
      <c r="B391" s="5" t="s">
        <v>10</v>
      </c>
      <c r="C391" s="22">
        <v>44858</v>
      </c>
      <c r="D391" s="22">
        <v>44874</v>
      </c>
      <c r="E391" s="3">
        <v>0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0.06</v>
      </c>
      <c r="U391" s="3">
        <v>0.11</v>
      </c>
      <c r="V391" s="3">
        <v>0.11</v>
      </c>
      <c r="W391" s="3">
        <v>0.11</v>
      </c>
      <c r="X391" s="3">
        <v>0.11</v>
      </c>
      <c r="Y391" s="3">
        <v>0.11</v>
      </c>
      <c r="Z391" s="3">
        <v>0.11</v>
      </c>
      <c r="AA391" s="3">
        <v>0.11</v>
      </c>
      <c r="AB391" s="3">
        <v>0.11</v>
      </c>
      <c r="AC391" s="3">
        <v>0.11</v>
      </c>
      <c r="AD391" s="3">
        <v>0.11</v>
      </c>
      <c r="AE391" s="3">
        <v>0.11</v>
      </c>
      <c r="AF391" s="3">
        <v>0.11</v>
      </c>
      <c r="AG391" s="3">
        <v>0.11</v>
      </c>
      <c r="AH391" s="3">
        <v>0.11</v>
      </c>
      <c r="AI391" s="3">
        <v>0.11</v>
      </c>
      <c r="AJ391" s="3">
        <v>0.11</v>
      </c>
      <c r="AK391" s="3">
        <v>0.11</v>
      </c>
      <c r="AL391" s="3">
        <v>0.11</v>
      </c>
      <c r="AM391" s="3">
        <v>0.11</v>
      </c>
      <c r="AN391" s="3">
        <v>0.11</v>
      </c>
      <c r="AO391" s="3">
        <v>0.11</v>
      </c>
      <c r="AP391" s="3">
        <v>0.11</v>
      </c>
    </row>
    <row r="392" spans="1:42" hidden="1" x14ac:dyDescent="0.3">
      <c r="A392" s="5" t="s">
        <v>532</v>
      </c>
      <c r="B392" s="5" t="s">
        <v>10</v>
      </c>
      <c r="C392" s="22">
        <v>44840</v>
      </c>
      <c r="D392" s="22">
        <v>44858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0.11</v>
      </c>
      <c r="U392" s="3">
        <v>0.11</v>
      </c>
      <c r="V392" s="3">
        <v>0.11</v>
      </c>
      <c r="W392" s="3">
        <v>0.11</v>
      </c>
      <c r="X392" s="3">
        <v>0.11</v>
      </c>
      <c r="Y392" s="3">
        <v>0.11</v>
      </c>
      <c r="Z392" s="3">
        <v>0.11</v>
      </c>
      <c r="AA392" s="3">
        <v>0.11</v>
      </c>
      <c r="AB392" s="3">
        <v>0.11</v>
      </c>
      <c r="AC392" s="3">
        <v>0.11</v>
      </c>
      <c r="AD392" s="3">
        <v>0.11</v>
      </c>
      <c r="AE392" s="3">
        <v>0.11</v>
      </c>
      <c r="AF392" s="3">
        <v>0.11</v>
      </c>
      <c r="AG392" s="3">
        <v>0.11</v>
      </c>
      <c r="AH392" s="3">
        <v>0.11</v>
      </c>
      <c r="AI392" s="3">
        <v>0.11</v>
      </c>
      <c r="AJ392" s="3">
        <v>0.11</v>
      </c>
      <c r="AK392" s="3">
        <v>0.11</v>
      </c>
      <c r="AL392" s="3">
        <v>0.11</v>
      </c>
      <c r="AM392" s="3">
        <v>0.11</v>
      </c>
      <c r="AN392" s="3">
        <v>0.11</v>
      </c>
      <c r="AO392" s="3">
        <v>0.11</v>
      </c>
      <c r="AP392" s="3">
        <v>0.11</v>
      </c>
    </row>
    <row r="393" spans="1:42" hidden="1" x14ac:dyDescent="0.3">
      <c r="A393" s="5" t="s">
        <v>533</v>
      </c>
      <c r="B393" s="5" t="s">
        <v>9</v>
      </c>
      <c r="C393" s="22">
        <v>44952</v>
      </c>
      <c r="D393" s="22">
        <v>44959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0.08</v>
      </c>
      <c r="X393" s="3">
        <v>0.11</v>
      </c>
      <c r="Y393" s="3">
        <v>0.11</v>
      </c>
      <c r="Z393" s="3">
        <v>0.11</v>
      </c>
      <c r="AA393" s="3">
        <v>0.11</v>
      </c>
      <c r="AB393" s="3">
        <v>0.11</v>
      </c>
      <c r="AC393" s="3">
        <v>0.11</v>
      </c>
      <c r="AD393" s="3">
        <v>0.11</v>
      </c>
      <c r="AE393" s="3">
        <v>0.11</v>
      </c>
      <c r="AF393" s="3">
        <v>0.11</v>
      </c>
      <c r="AG393" s="3">
        <v>0.11</v>
      </c>
      <c r="AH393" s="3">
        <v>0.11</v>
      </c>
      <c r="AI393" s="3">
        <v>0.11</v>
      </c>
      <c r="AJ393" s="3">
        <v>0.11</v>
      </c>
      <c r="AK393" s="3">
        <v>0.11</v>
      </c>
      <c r="AL393" s="3">
        <v>0.11</v>
      </c>
      <c r="AM393" s="3">
        <v>0.11</v>
      </c>
      <c r="AN393" s="3">
        <v>0.11</v>
      </c>
      <c r="AO393" s="3">
        <v>0.11</v>
      </c>
      <c r="AP393" s="3">
        <v>0.11</v>
      </c>
    </row>
    <row r="394" spans="1:42" hidden="1" x14ac:dyDescent="0.3">
      <c r="A394" s="14" t="s">
        <v>534</v>
      </c>
      <c r="B394" s="14" t="s">
        <v>62</v>
      </c>
      <c r="C394" s="19">
        <v>44838</v>
      </c>
      <c r="D394" s="19">
        <v>45272</v>
      </c>
      <c r="E394" s="7">
        <v>0</v>
      </c>
      <c r="F394" s="7">
        <v>0</v>
      </c>
      <c r="G394" s="7">
        <v>0</v>
      </c>
      <c r="H394" s="7">
        <v>0</v>
      </c>
      <c r="I394" s="7">
        <v>0</v>
      </c>
      <c r="J394" s="7">
        <v>0</v>
      </c>
      <c r="K394" s="7">
        <v>0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  <c r="T394" s="7">
        <v>0.19</v>
      </c>
      <c r="U394" s="7">
        <v>0.39</v>
      </c>
      <c r="V394" s="7">
        <v>0.47</v>
      </c>
      <c r="W394" s="7">
        <v>1.61</v>
      </c>
      <c r="X394" s="7">
        <v>1.61</v>
      </c>
      <c r="Y394" s="7">
        <v>1.61</v>
      </c>
      <c r="Z394" s="7">
        <v>1.61</v>
      </c>
      <c r="AA394" s="7">
        <v>1.61</v>
      </c>
      <c r="AB394" s="7">
        <v>1.61</v>
      </c>
      <c r="AC394" s="7">
        <v>1.61</v>
      </c>
      <c r="AD394" s="7">
        <v>1.61</v>
      </c>
      <c r="AE394" s="7">
        <v>1.61</v>
      </c>
      <c r="AF394" s="7">
        <v>1.7</v>
      </c>
      <c r="AG394" s="7">
        <v>2.15</v>
      </c>
      <c r="AH394" s="7">
        <v>3.22</v>
      </c>
      <c r="AI394" s="7">
        <v>3.22</v>
      </c>
      <c r="AJ394" s="7">
        <v>3.22</v>
      </c>
      <c r="AK394" s="7">
        <v>3.22</v>
      </c>
      <c r="AL394" s="7">
        <v>3.22</v>
      </c>
      <c r="AM394" s="7">
        <v>3.22</v>
      </c>
      <c r="AN394" s="7">
        <v>3.22</v>
      </c>
      <c r="AO394" s="7">
        <v>3.22</v>
      </c>
      <c r="AP394" s="7">
        <v>3.22</v>
      </c>
    </row>
    <row r="395" spans="1:42" hidden="1" x14ac:dyDescent="0.3">
      <c r="A395" s="15" t="s">
        <v>535</v>
      </c>
      <c r="B395" s="15" t="s">
        <v>63</v>
      </c>
      <c r="C395" s="20">
        <v>44838</v>
      </c>
      <c r="D395" s="20">
        <v>44952</v>
      </c>
      <c r="E395" s="8">
        <v>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  <c r="M395" s="8">
        <v>0</v>
      </c>
      <c r="N395" s="8">
        <v>0</v>
      </c>
      <c r="O395" s="8">
        <v>0</v>
      </c>
      <c r="P395" s="8">
        <v>0</v>
      </c>
      <c r="Q395" s="8">
        <v>0</v>
      </c>
      <c r="R395" s="8">
        <v>0</v>
      </c>
      <c r="S395" s="8">
        <v>0</v>
      </c>
      <c r="T395" s="8">
        <v>0.19</v>
      </c>
      <c r="U395" s="8">
        <v>0.39</v>
      </c>
      <c r="V395" s="8">
        <v>0.47</v>
      </c>
      <c r="W395" s="8">
        <v>1.61</v>
      </c>
      <c r="X395" s="8">
        <v>1.61</v>
      </c>
      <c r="Y395" s="8">
        <v>1.61</v>
      </c>
      <c r="Z395" s="8">
        <v>1.61</v>
      </c>
      <c r="AA395" s="8">
        <v>1.61</v>
      </c>
      <c r="AB395" s="8">
        <v>1.61</v>
      </c>
      <c r="AC395" s="8">
        <v>1.61</v>
      </c>
      <c r="AD395" s="8">
        <v>1.61</v>
      </c>
      <c r="AE395" s="8">
        <v>1.61</v>
      </c>
      <c r="AF395" s="8">
        <v>1.61</v>
      </c>
      <c r="AG395" s="8">
        <v>1.61</v>
      </c>
      <c r="AH395" s="8">
        <v>1.61</v>
      </c>
      <c r="AI395" s="8">
        <v>1.61</v>
      </c>
      <c r="AJ395" s="8">
        <v>1.61</v>
      </c>
      <c r="AK395" s="8">
        <v>1.61</v>
      </c>
      <c r="AL395" s="8">
        <v>1.61</v>
      </c>
      <c r="AM395" s="8">
        <v>1.61</v>
      </c>
      <c r="AN395" s="8">
        <v>1.61</v>
      </c>
      <c r="AO395" s="8">
        <v>1.61</v>
      </c>
      <c r="AP395" s="8">
        <v>1.61</v>
      </c>
    </row>
    <row r="396" spans="1:42" hidden="1" x14ac:dyDescent="0.3">
      <c r="A396" s="5" t="s">
        <v>536</v>
      </c>
      <c r="B396" s="5" t="s">
        <v>12</v>
      </c>
      <c r="C396" s="22">
        <v>44932</v>
      </c>
      <c r="D396" s="22">
        <v>44937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0.9</v>
      </c>
      <c r="X396" s="3">
        <v>0.9</v>
      </c>
      <c r="Y396" s="3">
        <v>0.9</v>
      </c>
      <c r="Z396" s="3">
        <v>0.9</v>
      </c>
      <c r="AA396" s="3">
        <v>0.9</v>
      </c>
      <c r="AB396" s="3">
        <v>0.9</v>
      </c>
      <c r="AC396" s="3">
        <v>0.9</v>
      </c>
      <c r="AD396" s="3">
        <v>0.9</v>
      </c>
      <c r="AE396" s="3">
        <v>0.9</v>
      </c>
      <c r="AF396" s="3">
        <v>0.9</v>
      </c>
      <c r="AG396" s="3">
        <v>0.9</v>
      </c>
      <c r="AH396" s="3">
        <v>0.9</v>
      </c>
      <c r="AI396" s="3">
        <v>0.9</v>
      </c>
      <c r="AJ396" s="3">
        <v>0.9</v>
      </c>
      <c r="AK396" s="3">
        <v>0.9</v>
      </c>
      <c r="AL396" s="3">
        <v>0.9</v>
      </c>
      <c r="AM396" s="3">
        <v>0.9</v>
      </c>
      <c r="AN396" s="3">
        <v>0.9</v>
      </c>
      <c r="AO396" s="3">
        <v>0.9</v>
      </c>
      <c r="AP396" s="3">
        <v>0.9</v>
      </c>
    </row>
    <row r="397" spans="1:42" hidden="1" x14ac:dyDescent="0.3">
      <c r="A397" s="5" t="s">
        <v>537</v>
      </c>
      <c r="B397" s="5" t="s">
        <v>10</v>
      </c>
      <c r="C397" s="22">
        <v>44903</v>
      </c>
      <c r="D397" s="22">
        <v>44932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0.02</v>
      </c>
      <c r="W397" s="3">
        <v>0.03</v>
      </c>
      <c r="X397" s="3">
        <v>0.03</v>
      </c>
      <c r="Y397" s="3">
        <v>0.03</v>
      </c>
      <c r="Z397" s="3">
        <v>0.03</v>
      </c>
      <c r="AA397" s="3">
        <v>0.03</v>
      </c>
      <c r="AB397" s="3">
        <v>0.03</v>
      </c>
      <c r="AC397" s="3">
        <v>0.03</v>
      </c>
      <c r="AD397" s="3">
        <v>0.03</v>
      </c>
      <c r="AE397" s="3">
        <v>0.03</v>
      </c>
      <c r="AF397" s="3">
        <v>0.03</v>
      </c>
      <c r="AG397" s="3">
        <v>0.03</v>
      </c>
      <c r="AH397" s="3">
        <v>0.03</v>
      </c>
      <c r="AI397" s="3">
        <v>0.03</v>
      </c>
      <c r="AJ397" s="3">
        <v>0.03</v>
      </c>
      <c r="AK397" s="3">
        <v>0.03</v>
      </c>
      <c r="AL397" s="3">
        <v>0.03</v>
      </c>
      <c r="AM397" s="3">
        <v>0.03</v>
      </c>
      <c r="AN397" s="3">
        <v>0.03</v>
      </c>
      <c r="AO397" s="3">
        <v>0.03</v>
      </c>
      <c r="AP397" s="3">
        <v>0.03</v>
      </c>
    </row>
    <row r="398" spans="1:42" hidden="1" x14ac:dyDescent="0.3">
      <c r="A398" s="5" t="s">
        <v>538</v>
      </c>
      <c r="B398" s="5" t="s">
        <v>10</v>
      </c>
      <c r="C398" s="22">
        <v>44888</v>
      </c>
      <c r="D398" s="22">
        <v>44903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0.06</v>
      </c>
      <c r="V398" s="3">
        <v>0.11</v>
      </c>
      <c r="W398" s="3">
        <v>0.11</v>
      </c>
      <c r="X398" s="3">
        <v>0.11</v>
      </c>
      <c r="Y398" s="3">
        <v>0.11</v>
      </c>
      <c r="Z398" s="3">
        <v>0.11</v>
      </c>
      <c r="AA398" s="3">
        <v>0.11</v>
      </c>
      <c r="AB398" s="3">
        <v>0.11</v>
      </c>
      <c r="AC398" s="3">
        <v>0.11</v>
      </c>
      <c r="AD398" s="3">
        <v>0.11</v>
      </c>
      <c r="AE398" s="3">
        <v>0.11</v>
      </c>
      <c r="AF398" s="3">
        <v>0.11</v>
      </c>
      <c r="AG398" s="3">
        <v>0.11</v>
      </c>
      <c r="AH398" s="3">
        <v>0.11</v>
      </c>
      <c r="AI398" s="3">
        <v>0.11</v>
      </c>
      <c r="AJ398" s="3">
        <v>0.11</v>
      </c>
      <c r="AK398" s="3">
        <v>0.11</v>
      </c>
      <c r="AL398" s="3">
        <v>0.11</v>
      </c>
      <c r="AM398" s="3">
        <v>0.11</v>
      </c>
      <c r="AN398" s="3">
        <v>0.11</v>
      </c>
      <c r="AO398" s="3">
        <v>0.11</v>
      </c>
      <c r="AP398" s="3">
        <v>0.11</v>
      </c>
    </row>
    <row r="399" spans="1:42" hidden="1" x14ac:dyDescent="0.3">
      <c r="A399" s="5" t="s">
        <v>539</v>
      </c>
      <c r="B399" s="5" t="s">
        <v>10</v>
      </c>
      <c r="C399" s="22">
        <v>44872</v>
      </c>
      <c r="D399" s="22">
        <v>44888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0.11</v>
      </c>
      <c r="V399" s="3">
        <v>0.11</v>
      </c>
      <c r="W399" s="3">
        <v>0.11</v>
      </c>
      <c r="X399" s="3">
        <v>0.11</v>
      </c>
      <c r="Y399" s="3">
        <v>0.11</v>
      </c>
      <c r="Z399" s="3">
        <v>0.11</v>
      </c>
      <c r="AA399" s="3">
        <v>0.11</v>
      </c>
      <c r="AB399" s="3">
        <v>0.11</v>
      </c>
      <c r="AC399" s="3">
        <v>0.11</v>
      </c>
      <c r="AD399" s="3">
        <v>0.11</v>
      </c>
      <c r="AE399" s="3">
        <v>0.11</v>
      </c>
      <c r="AF399" s="3">
        <v>0.11</v>
      </c>
      <c r="AG399" s="3">
        <v>0.11</v>
      </c>
      <c r="AH399" s="3">
        <v>0.11</v>
      </c>
      <c r="AI399" s="3">
        <v>0.11</v>
      </c>
      <c r="AJ399" s="3">
        <v>0.11</v>
      </c>
      <c r="AK399" s="3">
        <v>0.11</v>
      </c>
      <c r="AL399" s="3">
        <v>0.11</v>
      </c>
      <c r="AM399" s="3">
        <v>0.11</v>
      </c>
      <c r="AN399" s="3">
        <v>0.11</v>
      </c>
      <c r="AO399" s="3">
        <v>0.11</v>
      </c>
      <c r="AP399" s="3">
        <v>0.11</v>
      </c>
    </row>
    <row r="400" spans="1:42" hidden="1" x14ac:dyDescent="0.3">
      <c r="A400" s="5" t="s">
        <v>540</v>
      </c>
      <c r="B400" s="5" t="s">
        <v>10</v>
      </c>
      <c r="C400" s="22">
        <v>44854</v>
      </c>
      <c r="D400" s="22">
        <v>44872</v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0.08</v>
      </c>
      <c r="U400" s="3">
        <v>0.11</v>
      </c>
      <c r="V400" s="3">
        <v>0.11</v>
      </c>
      <c r="W400" s="3">
        <v>0.11</v>
      </c>
      <c r="X400" s="3">
        <v>0.11</v>
      </c>
      <c r="Y400" s="3">
        <v>0.11</v>
      </c>
      <c r="Z400" s="3">
        <v>0.11</v>
      </c>
      <c r="AA400" s="3">
        <v>0.11</v>
      </c>
      <c r="AB400" s="3">
        <v>0.11</v>
      </c>
      <c r="AC400" s="3">
        <v>0.11</v>
      </c>
      <c r="AD400" s="3">
        <v>0.11</v>
      </c>
      <c r="AE400" s="3">
        <v>0.11</v>
      </c>
      <c r="AF400" s="3">
        <v>0.11</v>
      </c>
      <c r="AG400" s="3">
        <v>0.11</v>
      </c>
      <c r="AH400" s="3">
        <v>0.11</v>
      </c>
      <c r="AI400" s="3">
        <v>0.11</v>
      </c>
      <c r="AJ400" s="3">
        <v>0.11</v>
      </c>
      <c r="AK400" s="3">
        <v>0.11</v>
      </c>
      <c r="AL400" s="3">
        <v>0.11</v>
      </c>
      <c r="AM400" s="3">
        <v>0.11</v>
      </c>
      <c r="AN400" s="3">
        <v>0.11</v>
      </c>
      <c r="AO400" s="3">
        <v>0.11</v>
      </c>
      <c r="AP400" s="3">
        <v>0.11</v>
      </c>
    </row>
    <row r="401" spans="1:42" hidden="1" x14ac:dyDescent="0.3">
      <c r="A401" s="5" t="s">
        <v>541</v>
      </c>
      <c r="B401" s="5" t="s">
        <v>10</v>
      </c>
      <c r="C401" s="22">
        <v>44838</v>
      </c>
      <c r="D401" s="22">
        <v>44854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0.11</v>
      </c>
      <c r="U401" s="3">
        <v>0.11</v>
      </c>
      <c r="V401" s="3">
        <v>0.11</v>
      </c>
      <c r="W401" s="3">
        <v>0.11</v>
      </c>
      <c r="X401" s="3">
        <v>0.11</v>
      </c>
      <c r="Y401" s="3">
        <v>0.11</v>
      </c>
      <c r="Z401" s="3">
        <v>0.11</v>
      </c>
      <c r="AA401" s="3">
        <v>0.11</v>
      </c>
      <c r="AB401" s="3">
        <v>0.11</v>
      </c>
      <c r="AC401" s="3">
        <v>0.11</v>
      </c>
      <c r="AD401" s="3">
        <v>0.11</v>
      </c>
      <c r="AE401" s="3">
        <v>0.11</v>
      </c>
      <c r="AF401" s="3">
        <v>0.11</v>
      </c>
      <c r="AG401" s="3">
        <v>0.11</v>
      </c>
      <c r="AH401" s="3">
        <v>0.11</v>
      </c>
      <c r="AI401" s="3">
        <v>0.11</v>
      </c>
      <c r="AJ401" s="3">
        <v>0.11</v>
      </c>
      <c r="AK401" s="3">
        <v>0.11</v>
      </c>
      <c r="AL401" s="3">
        <v>0.11</v>
      </c>
      <c r="AM401" s="3">
        <v>0.11</v>
      </c>
      <c r="AN401" s="3">
        <v>0.11</v>
      </c>
      <c r="AO401" s="3">
        <v>0.11</v>
      </c>
      <c r="AP401" s="3">
        <v>0.11</v>
      </c>
    </row>
    <row r="402" spans="1:42" hidden="1" x14ac:dyDescent="0.3">
      <c r="A402" s="4" t="s">
        <v>542</v>
      </c>
      <c r="B402" s="4" t="s">
        <v>64</v>
      </c>
      <c r="C402" s="21">
        <v>44937</v>
      </c>
      <c r="D402" s="21">
        <v>44952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0.23</v>
      </c>
      <c r="X402" s="2">
        <v>0.23</v>
      </c>
      <c r="Y402" s="2">
        <v>0.23</v>
      </c>
      <c r="Z402" s="2">
        <v>0.23</v>
      </c>
      <c r="AA402" s="2">
        <v>0.23</v>
      </c>
      <c r="AB402" s="2">
        <v>0.23</v>
      </c>
      <c r="AC402" s="2">
        <v>0.23</v>
      </c>
      <c r="AD402" s="2">
        <v>0.23</v>
      </c>
      <c r="AE402" s="2">
        <v>0.23</v>
      </c>
      <c r="AF402" s="2">
        <v>0.23</v>
      </c>
      <c r="AG402" s="2">
        <v>0.23</v>
      </c>
      <c r="AH402" s="2">
        <v>0.23</v>
      </c>
      <c r="AI402" s="2">
        <v>0.23</v>
      </c>
      <c r="AJ402" s="2">
        <v>0.23</v>
      </c>
      <c r="AK402" s="2">
        <v>0.23</v>
      </c>
      <c r="AL402" s="2">
        <v>0.23</v>
      </c>
      <c r="AM402" s="2">
        <v>0.23</v>
      </c>
      <c r="AN402" s="2">
        <v>0.23</v>
      </c>
      <c r="AO402" s="2">
        <v>0.23</v>
      </c>
      <c r="AP402" s="2">
        <v>0.23</v>
      </c>
    </row>
    <row r="403" spans="1:42" hidden="1" x14ac:dyDescent="0.3">
      <c r="A403" s="5" t="s">
        <v>543</v>
      </c>
      <c r="B403" s="5" t="s">
        <v>12</v>
      </c>
      <c r="C403" s="22">
        <v>44950</v>
      </c>
      <c r="D403" s="22">
        <v>44952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0.13</v>
      </c>
      <c r="X403" s="3">
        <v>0.13</v>
      </c>
      <c r="Y403" s="3">
        <v>0.13</v>
      </c>
      <c r="Z403" s="3">
        <v>0.13</v>
      </c>
      <c r="AA403" s="3">
        <v>0.13</v>
      </c>
      <c r="AB403" s="3">
        <v>0.13</v>
      </c>
      <c r="AC403" s="3">
        <v>0.13</v>
      </c>
      <c r="AD403" s="3">
        <v>0.13</v>
      </c>
      <c r="AE403" s="3">
        <v>0.13</v>
      </c>
      <c r="AF403" s="3">
        <v>0.13</v>
      </c>
      <c r="AG403" s="3">
        <v>0.13</v>
      </c>
      <c r="AH403" s="3">
        <v>0.13</v>
      </c>
      <c r="AI403" s="3">
        <v>0.13</v>
      </c>
      <c r="AJ403" s="3">
        <v>0.13</v>
      </c>
      <c r="AK403" s="3">
        <v>0.13</v>
      </c>
      <c r="AL403" s="3">
        <v>0.13</v>
      </c>
      <c r="AM403" s="3">
        <v>0.13</v>
      </c>
      <c r="AN403" s="3">
        <v>0.13</v>
      </c>
      <c r="AO403" s="3">
        <v>0.13</v>
      </c>
      <c r="AP403" s="3">
        <v>0.13</v>
      </c>
    </row>
    <row r="404" spans="1:42" hidden="1" x14ac:dyDescent="0.3">
      <c r="A404" s="5" t="s">
        <v>544</v>
      </c>
      <c r="B404" s="5" t="s">
        <v>31</v>
      </c>
      <c r="C404" s="22">
        <v>44937</v>
      </c>
      <c r="D404" s="22">
        <v>44938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0.03</v>
      </c>
      <c r="X404" s="3">
        <v>0.03</v>
      </c>
      <c r="Y404" s="3">
        <v>0.03</v>
      </c>
      <c r="Z404" s="3">
        <v>0.03</v>
      </c>
      <c r="AA404" s="3">
        <v>0.03</v>
      </c>
      <c r="AB404" s="3">
        <v>0.03</v>
      </c>
      <c r="AC404" s="3">
        <v>0.03</v>
      </c>
      <c r="AD404" s="3">
        <v>0.03</v>
      </c>
      <c r="AE404" s="3">
        <v>0.03</v>
      </c>
      <c r="AF404" s="3">
        <v>0.03</v>
      </c>
      <c r="AG404" s="3">
        <v>0.03</v>
      </c>
      <c r="AH404" s="3">
        <v>0.03</v>
      </c>
      <c r="AI404" s="3">
        <v>0.03</v>
      </c>
      <c r="AJ404" s="3">
        <v>0.03</v>
      </c>
      <c r="AK404" s="3">
        <v>0.03</v>
      </c>
      <c r="AL404" s="3">
        <v>0.03</v>
      </c>
      <c r="AM404" s="3">
        <v>0.03</v>
      </c>
      <c r="AN404" s="3">
        <v>0.03</v>
      </c>
      <c r="AO404" s="3">
        <v>0.03</v>
      </c>
      <c r="AP404" s="3">
        <v>0.03</v>
      </c>
    </row>
    <row r="405" spans="1:42" hidden="1" x14ac:dyDescent="0.3">
      <c r="A405" s="5" t="s">
        <v>545</v>
      </c>
      <c r="B405" s="5" t="s">
        <v>31</v>
      </c>
      <c r="C405" s="22">
        <v>44938</v>
      </c>
      <c r="D405" s="22">
        <v>44942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0.02</v>
      </c>
      <c r="X405" s="3">
        <v>0.02</v>
      </c>
      <c r="Y405" s="3">
        <v>0.02</v>
      </c>
      <c r="Z405" s="3">
        <v>0.02</v>
      </c>
      <c r="AA405" s="3">
        <v>0.02</v>
      </c>
      <c r="AB405" s="3">
        <v>0.02</v>
      </c>
      <c r="AC405" s="3">
        <v>0.02</v>
      </c>
      <c r="AD405" s="3">
        <v>0.02</v>
      </c>
      <c r="AE405" s="3">
        <v>0.02</v>
      </c>
      <c r="AF405" s="3">
        <v>0.02</v>
      </c>
      <c r="AG405" s="3">
        <v>0.02</v>
      </c>
      <c r="AH405" s="3">
        <v>0.02</v>
      </c>
      <c r="AI405" s="3">
        <v>0.02</v>
      </c>
      <c r="AJ405" s="3">
        <v>0.02</v>
      </c>
      <c r="AK405" s="3">
        <v>0.02</v>
      </c>
      <c r="AL405" s="3">
        <v>0.02</v>
      </c>
      <c r="AM405" s="3">
        <v>0.02</v>
      </c>
      <c r="AN405" s="3">
        <v>0.02</v>
      </c>
      <c r="AO405" s="3">
        <v>0.02</v>
      </c>
      <c r="AP405" s="3">
        <v>0.02</v>
      </c>
    </row>
    <row r="406" spans="1:42" hidden="1" x14ac:dyDescent="0.3">
      <c r="A406" s="5" t="s">
        <v>546</v>
      </c>
      <c r="B406" s="5" t="s">
        <v>31</v>
      </c>
      <c r="C406" s="22">
        <v>44942</v>
      </c>
      <c r="D406" s="22">
        <v>44944</v>
      </c>
      <c r="E406" s="3">
        <v>0</v>
      </c>
      <c r="F406" s="3">
        <v>0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0.02</v>
      </c>
      <c r="X406" s="3">
        <v>0.02</v>
      </c>
      <c r="Y406" s="3">
        <v>0.02</v>
      </c>
      <c r="Z406" s="3">
        <v>0.02</v>
      </c>
      <c r="AA406" s="3">
        <v>0.02</v>
      </c>
      <c r="AB406" s="3">
        <v>0.02</v>
      </c>
      <c r="AC406" s="3">
        <v>0.02</v>
      </c>
      <c r="AD406" s="3">
        <v>0.02</v>
      </c>
      <c r="AE406" s="3">
        <v>0.02</v>
      </c>
      <c r="AF406" s="3">
        <v>0.02</v>
      </c>
      <c r="AG406" s="3">
        <v>0.02</v>
      </c>
      <c r="AH406" s="3">
        <v>0.02</v>
      </c>
      <c r="AI406" s="3">
        <v>0.02</v>
      </c>
      <c r="AJ406" s="3">
        <v>0.02</v>
      </c>
      <c r="AK406" s="3">
        <v>0.02</v>
      </c>
      <c r="AL406" s="3">
        <v>0.02</v>
      </c>
      <c r="AM406" s="3">
        <v>0.02</v>
      </c>
      <c r="AN406" s="3">
        <v>0.02</v>
      </c>
      <c r="AO406" s="3">
        <v>0.02</v>
      </c>
      <c r="AP406" s="3">
        <v>0.02</v>
      </c>
    </row>
    <row r="407" spans="1:42" hidden="1" x14ac:dyDescent="0.3">
      <c r="A407" s="5" t="s">
        <v>547</v>
      </c>
      <c r="B407" s="5" t="s">
        <v>31</v>
      </c>
      <c r="C407" s="22">
        <v>44944</v>
      </c>
      <c r="D407" s="22">
        <v>44946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0.02</v>
      </c>
      <c r="X407" s="3">
        <v>0.02</v>
      </c>
      <c r="Y407" s="3">
        <v>0.02</v>
      </c>
      <c r="Z407" s="3">
        <v>0.02</v>
      </c>
      <c r="AA407" s="3">
        <v>0.02</v>
      </c>
      <c r="AB407" s="3">
        <v>0.02</v>
      </c>
      <c r="AC407" s="3">
        <v>0.02</v>
      </c>
      <c r="AD407" s="3">
        <v>0.02</v>
      </c>
      <c r="AE407" s="3">
        <v>0.02</v>
      </c>
      <c r="AF407" s="3">
        <v>0.02</v>
      </c>
      <c r="AG407" s="3">
        <v>0.02</v>
      </c>
      <c r="AH407" s="3">
        <v>0.02</v>
      </c>
      <c r="AI407" s="3">
        <v>0.02</v>
      </c>
      <c r="AJ407" s="3">
        <v>0.02</v>
      </c>
      <c r="AK407" s="3">
        <v>0.02</v>
      </c>
      <c r="AL407" s="3">
        <v>0.02</v>
      </c>
      <c r="AM407" s="3">
        <v>0.02</v>
      </c>
      <c r="AN407" s="3">
        <v>0.02</v>
      </c>
      <c r="AO407" s="3">
        <v>0.02</v>
      </c>
      <c r="AP407" s="3">
        <v>0.02</v>
      </c>
    </row>
    <row r="408" spans="1:42" hidden="1" x14ac:dyDescent="0.3">
      <c r="A408" s="5" t="s">
        <v>548</v>
      </c>
      <c r="B408" s="5" t="s">
        <v>31</v>
      </c>
      <c r="C408" s="22">
        <v>44946</v>
      </c>
      <c r="D408" s="22">
        <v>44950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0.02</v>
      </c>
      <c r="X408" s="3">
        <v>0.02</v>
      </c>
      <c r="Y408" s="3">
        <v>0.02</v>
      </c>
      <c r="Z408" s="3">
        <v>0.02</v>
      </c>
      <c r="AA408" s="3">
        <v>0.02</v>
      </c>
      <c r="AB408" s="3">
        <v>0.02</v>
      </c>
      <c r="AC408" s="3">
        <v>0.02</v>
      </c>
      <c r="AD408" s="3">
        <v>0.02</v>
      </c>
      <c r="AE408" s="3">
        <v>0.02</v>
      </c>
      <c r="AF408" s="3">
        <v>0.02</v>
      </c>
      <c r="AG408" s="3">
        <v>0.02</v>
      </c>
      <c r="AH408" s="3">
        <v>0.02</v>
      </c>
      <c r="AI408" s="3">
        <v>0.02</v>
      </c>
      <c r="AJ408" s="3">
        <v>0.02</v>
      </c>
      <c r="AK408" s="3">
        <v>0.02</v>
      </c>
      <c r="AL408" s="3">
        <v>0.02</v>
      </c>
      <c r="AM408" s="3">
        <v>0.02</v>
      </c>
      <c r="AN408" s="3">
        <v>0.02</v>
      </c>
      <c r="AO408" s="3">
        <v>0.02</v>
      </c>
      <c r="AP408" s="3">
        <v>0.02</v>
      </c>
    </row>
    <row r="409" spans="1:42" hidden="1" x14ac:dyDescent="0.3">
      <c r="A409" s="15" t="s">
        <v>549</v>
      </c>
      <c r="B409" s="15" t="s">
        <v>65</v>
      </c>
      <c r="C409" s="20">
        <v>45224</v>
      </c>
      <c r="D409" s="20">
        <v>45272</v>
      </c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8">
        <v>0</v>
      </c>
      <c r="L409" s="8">
        <v>0</v>
      </c>
      <c r="M409" s="8">
        <v>0</v>
      </c>
      <c r="N409" s="8">
        <v>0</v>
      </c>
      <c r="O409" s="8">
        <v>0</v>
      </c>
      <c r="P409" s="8">
        <v>0</v>
      </c>
      <c r="Q409" s="8">
        <v>0</v>
      </c>
      <c r="R409" s="8">
        <v>0</v>
      </c>
      <c r="S409" s="8">
        <v>0</v>
      </c>
      <c r="T409" s="8">
        <v>0</v>
      </c>
      <c r="U409" s="8">
        <v>0</v>
      </c>
      <c r="V409" s="8">
        <v>0</v>
      </c>
      <c r="W409" s="8">
        <v>0</v>
      </c>
      <c r="X409" s="8">
        <v>0</v>
      </c>
      <c r="Y409" s="8">
        <v>0</v>
      </c>
      <c r="Z409" s="8">
        <v>0</v>
      </c>
      <c r="AA409" s="8">
        <v>0</v>
      </c>
      <c r="AB409" s="8">
        <v>0</v>
      </c>
      <c r="AC409" s="8">
        <v>0</v>
      </c>
      <c r="AD409" s="8">
        <v>0</v>
      </c>
      <c r="AE409" s="8">
        <v>0</v>
      </c>
      <c r="AF409" s="8">
        <v>0.05</v>
      </c>
      <c r="AG409" s="8">
        <v>0.25</v>
      </c>
      <c r="AH409" s="8">
        <v>0.6</v>
      </c>
      <c r="AI409" s="8">
        <v>0.6</v>
      </c>
      <c r="AJ409" s="8">
        <v>0.6</v>
      </c>
      <c r="AK409" s="8">
        <v>0.6</v>
      </c>
      <c r="AL409" s="8">
        <v>0.6</v>
      </c>
      <c r="AM409" s="8">
        <v>0.6</v>
      </c>
      <c r="AN409" s="8">
        <v>0.6</v>
      </c>
      <c r="AO409" s="8">
        <v>0.6</v>
      </c>
      <c r="AP409" s="8">
        <v>0.6</v>
      </c>
    </row>
    <row r="410" spans="1:42" hidden="1" x14ac:dyDescent="0.3">
      <c r="A410" s="5" t="s">
        <v>550</v>
      </c>
      <c r="B410" s="5" t="s">
        <v>9</v>
      </c>
      <c r="C410" s="22">
        <v>45265</v>
      </c>
      <c r="D410" s="22">
        <v>45272</v>
      </c>
      <c r="E410" s="3">
        <v>0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>
        <v>0.33</v>
      </c>
      <c r="AI410" s="3">
        <v>0.33</v>
      </c>
      <c r="AJ410" s="3">
        <v>0.33</v>
      </c>
      <c r="AK410" s="3">
        <v>0.33</v>
      </c>
      <c r="AL410" s="3">
        <v>0.33</v>
      </c>
      <c r="AM410" s="3">
        <v>0.33</v>
      </c>
      <c r="AN410" s="3">
        <v>0.33</v>
      </c>
      <c r="AO410" s="3">
        <v>0.33</v>
      </c>
      <c r="AP410" s="3">
        <v>0.33</v>
      </c>
    </row>
    <row r="411" spans="1:42" hidden="1" x14ac:dyDescent="0.3">
      <c r="A411" s="5" t="s">
        <v>551</v>
      </c>
      <c r="B411" s="5" t="s">
        <v>42</v>
      </c>
      <c r="C411" s="22">
        <v>45258</v>
      </c>
      <c r="D411" s="22">
        <v>45265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3">
        <v>0</v>
      </c>
      <c r="AF411" s="3">
        <v>0</v>
      </c>
      <c r="AG411" s="3">
        <v>0.02</v>
      </c>
      <c r="AH411" s="3">
        <v>0.05</v>
      </c>
      <c r="AI411" s="3">
        <v>0.05</v>
      </c>
      <c r="AJ411" s="3">
        <v>0.05</v>
      </c>
      <c r="AK411" s="3">
        <v>0.05</v>
      </c>
      <c r="AL411" s="3">
        <v>0.05</v>
      </c>
      <c r="AM411" s="3">
        <v>0.05</v>
      </c>
      <c r="AN411" s="3">
        <v>0.05</v>
      </c>
      <c r="AO411" s="3">
        <v>0.05</v>
      </c>
      <c r="AP411" s="3">
        <v>0.05</v>
      </c>
    </row>
    <row r="412" spans="1:42" hidden="1" x14ac:dyDescent="0.3">
      <c r="A412" s="5" t="s">
        <v>552</v>
      </c>
      <c r="B412" s="5" t="s">
        <v>42</v>
      </c>
      <c r="C412" s="22">
        <v>45251</v>
      </c>
      <c r="D412" s="22">
        <v>45258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>
        <v>0.06</v>
      </c>
      <c r="AH412" s="3">
        <v>0.06</v>
      </c>
      <c r="AI412" s="3">
        <v>0.06</v>
      </c>
      <c r="AJ412" s="3">
        <v>0.06</v>
      </c>
      <c r="AK412" s="3">
        <v>0.06</v>
      </c>
      <c r="AL412" s="3">
        <v>0.06</v>
      </c>
      <c r="AM412" s="3">
        <v>0.06</v>
      </c>
      <c r="AN412" s="3">
        <v>0.06</v>
      </c>
      <c r="AO412" s="3">
        <v>0.06</v>
      </c>
      <c r="AP412" s="3">
        <v>0.06</v>
      </c>
    </row>
    <row r="413" spans="1:42" hidden="1" x14ac:dyDescent="0.3">
      <c r="A413" s="5" t="s">
        <v>553</v>
      </c>
      <c r="B413" s="5" t="s">
        <v>42</v>
      </c>
      <c r="C413" s="22">
        <v>45240</v>
      </c>
      <c r="D413" s="22">
        <v>45250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3">
        <v>0</v>
      </c>
      <c r="AF413" s="3">
        <v>0</v>
      </c>
      <c r="AG413" s="3">
        <v>0.06</v>
      </c>
      <c r="AH413" s="3">
        <v>0.06</v>
      </c>
      <c r="AI413" s="3">
        <v>0.06</v>
      </c>
      <c r="AJ413" s="3">
        <v>0.06</v>
      </c>
      <c r="AK413" s="3">
        <v>0.06</v>
      </c>
      <c r="AL413" s="3">
        <v>0.06</v>
      </c>
      <c r="AM413" s="3">
        <v>0.06</v>
      </c>
      <c r="AN413" s="3">
        <v>0.06</v>
      </c>
      <c r="AO413" s="3">
        <v>0.06</v>
      </c>
      <c r="AP413" s="3">
        <v>0.06</v>
      </c>
    </row>
    <row r="414" spans="1:42" hidden="1" x14ac:dyDescent="0.3">
      <c r="A414" s="5" t="s">
        <v>554</v>
      </c>
      <c r="B414" s="5" t="s">
        <v>42</v>
      </c>
      <c r="C414" s="22">
        <v>45233</v>
      </c>
      <c r="D414" s="22">
        <v>45240</v>
      </c>
      <c r="E414" s="3">
        <v>0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>
        <v>0</v>
      </c>
      <c r="AF414" s="3">
        <v>0</v>
      </c>
      <c r="AG414" s="3">
        <v>0.06</v>
      </c>
      <c r="AH414" s="3">
        <v>0.06</v>
      </c>
      <c r="AI414" s="3">
        <v>0.06</v>
      </c>
      <c r="AJ414" s="3">
        <v>0.06</v>
      </c>
      <c r="AK414" s="3">
        <v>0.06</v>
      </c>
      <c r="AL414" s="3">
        <v>0.06</v>
      </c>
      <c r="AM414" s="3">
        <v>0.06</v>
      </c>
      <c r="AN414" s="3">
        <v>0.06</v>
      </c>
      <c r="AO414" s="3">
        <v>0.06</v>
      </c>
      <c r="AP414" s="3">
        <v>0.06</v>
      </c>
    </row>
    <row r="415" spans="1:42" hidden="1" x14ac:dyDescent="0.3">
      <c r="A415" s="5" t="s">
        <v>555</v>
      </c>
      <c r="B415" s="5" t="s">
        <v>42</v>
      </c>
      <c r="C415" s="22">
        <v>45224</v>
      </c>
      <c r="D415" s="22">
        <v>45231</v>
      </c>
      <c r="E415" s="3">
        <v>0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3">
        <v>0.05</v>
      </c>
      <c r="AG415" s="3">
        <v>0.06</v>
      </c>
      <c r="AH415" s="3">
        <v>0.06</v>
      </c>
      <c r="AI415" s="3">
        <v>0.06</v>
      </c>
      <c r="AJ415" s="3">
        <v>0.06</v>
      </c>
      <c r="AK415" s="3">
        <v>0.06</v>
      </c>
      <c r="AL415" s="3">
        <v>0.06</v>
      </c>
      <c r="AM415" s="3">
        <v>0.06</v>
      </c>
      <c r="AN415" s="3">
        <v>0.06</v>
      </c>
      <c r="AO415" s="3">
        <v>0.06</v>
      </c>
      <c r="AP415" s="3">
        <v>0.06</v>
      </c>
    </row>
    <row r="416" spans="1:42" hidden="1" x14ac:dyDescent="0.3">
      <c r="A416" s="15" t="s">
        <v>556</v>
      </c>
      <c r="B416" s="15" t="s">
        <v>65</v>
      </c>
      <c r="C416" s="20">
        <v>45224</v>
      </c>
      <c r="D416" s="20">
        <v>45272</v>
      </c>
      <c r="E416" s="8">
        <v>0</v>
      </c>
      <c r="F416" s="8">
        <v>0</v>
      </c>
      <c r="G416" s="8">
        <v>0</v>
      </c>
      <c r="H416" s="8">
        <v>0</v>
      </c>
      <c r="I416" s="8">
        <v>0</v>
      </c>
      <c r="J416" s="8">
        <v>0</v>
      </c>
      <c r="K416" s="8">
        <v>0</v>
      </c>
      <c r="L416" s="8">
        <v>0</v>
      </c>
      <c r="M416" s="8">
        <v>0</v>
      </c>
      <c r="N416" s="8">
        <v>0</v>
      </c>
      <c r="O416" s="8">
        <v>0</v>
      </c>
      <c r="P416" s="8">
        <v>0</v>
      </c>
      <c r="Q416" s="8">
        <v>0</v>
      </c>
      <c r="R416" s="8">
        <v>0</v>
      </c>
      <c r="S416" s="8">
        <v>0</v>
      </c>
      <c r="T416" s="8">
        <v>0</v>
      </c>
      <c r="U416" s="8">
        <v>0</v>
      </c>
      <c r="V416" s="8">
        <v>0</v>
      </c>
      <c r="W416" s="8">
        <v>0</v>
      </c>
      <c r="X416" s="8">
        <v>0</v>
      </c>
      <c r="Y416" s="8">
        <v>0</v>
      </c>
      <c r="Z416" s="8">
        <v>0</v>
      </c>
      <c r="AA416" s="8">
        <v>0</v>
      </c>
      <c r="AB416" s="8">
        <v>0</v>
      </c>
      <c r="AC416" s="8">
        <v>0</v>
      </c>
      <c r="AD416" s="8">
        <v>0</v>
      </c>
      <c r="AE416" s="8">
        <v>0</v>
      </c>
      <c r="AF416" s="8">
        <v>0.05</v>
      </c>
      <c r="AG416" s="8">
        <v>0.28999999999999998</v>
      </c>
      <c r="AH416" s="8">
        <v>1.01</v>
      </c>
      <c r="AI416" s="8">
        <v>1.01</v>
      </c>
      <c r="AJ416" s="8">
        <v>1.01</v>
      </c>
      <c r="AK416" s="8">
        <v>1.01</v>
      </c>
      <c r="AL416" s="8">
        <v>1.01</v>
      </c>
      <c r="AM416" s="8">
        <v>1.01</v>
      </c>
      <c r="AN416" s="8">
        <v>1.01</v>
      </c>
      <c r="AO416" s="8">
        <v>1.01</v>
      </c>
      <c r="AP416" s="8">
        <v>1.01</v>
      </c>
    </row>
    <row r="417" spans="1:42" hidden="1" x14ac:dyDescent="0.3">
      <c r="A417" s="5" t="s">
        <v>557</v>
      </c>
      <c r="B417" s="5" t="s">
        <v>9</v>
      </c>
      <c r="C417" s="22">
        <v>45265</v>
      </c>
      <c r="D417" s="22">
        <v>45272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  <c r="AF417" s="3">
        <v>0</v>
      </c>
      <c r="AG417" s="3">
        <v>0</v>
      </c>
      <c r="AH417" s="3">
        <v>0.45</v>
      </c>
      <c r="AI417" s="3">
        <v>0.45</v>
      </c>
      <c r="AJ417" s="3">
        <v>0.45</v>
      </c>
      <c r="AK417" s="3">
        <v>0.45</v>
      </c>
      <c r="AL417" s="3">
        <v>0.45</v>
      </c>
      <c r="AM417" s="3">
        <v>0.45</v>
      </c>
      <c r="AN417" s="3">
        <v>0.45</v>
      </c>
      <c r="AO417" s="3">
        <v>0.45</v>
      </c>
      <c r="AP417" s="3">
        <v>0.45</v>
      </c>
    </row>
    <row r="418" spans="1:42" hidden="1" x14ac:dyDescent="0.3">
      <c r="A418" s="5" t="s">
        <v>558</v>
      </c>
      <c r="B418" s="5" t="s">
        <v>42</v>
      </c>
      <c r="C418" s="22">
        <v>45258</v>
      </c>
      <c r="D418" s="22">
        <v>45265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  <c r="AF418" s="3">
        <v>0</v>
      </c>
      <c r="AG418" s="3">
        <v>0.02</v>
      </c>
      <c r="AH418" s="3">
        <v>0.05</v>
      </c>
      <c r="AI418" s="3">
        <v>0.05</v>
      </c>
      <c r="AJ418" s="3">
        <v>0.05</v>
      </c>
      <c r="AK418" s="3">
        <v>0.05</v>
      </c>
      <c r="AL418" s="3">
        <v>0.05</v>
      </c>
      <c r="AM418" s="3">
        <v>0.05</v>
      </c>
      <c r="AN418" s="3">
        <v>0.05</v>
      </c>
      <c r="AO418" s="3">
        <v>0.05</v>
      </c>
      <c r="AP418" s="3">
        <v>0.05</v>
      </c>
    </row>
    <row r="419" spans="1:42" hidden="1" x14ac:dyDescent="0.3">
      <c r="A419" s="5" t="s">
        <v>559</v>
      </c>
      <c r="B419" s="5" t="s">
        <v>42</v>
      </c>
      <c r="C419" s="22">
        <v>45251</v>
      </c>
      <c r="D419" s="22">
        <v>45258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3">
        <v>0</v>
      </c>
      <c r="AE419" s="3">
        <v>0</v>
      </c>
      <c r="AF419" s="3">
        <v>0</v>
      </c>
      <c r="AG419" s="3">
        <v>0.06</v>
      </c>
      <c r="AH419" s="3">
        <v>0.06</v>
      </c>
      <c r="AI419" s="3">
        <v>0.06</v>
      </c>
      <c r="AJ419" s="3">
        <v>0.06</v>
      </c>
      <c r="AK419" s="3">
        <v>0.06</v>
      </c>
      <c r="AL419" s="3">
        <v>0.06</v>
      </c>
      <c r="AM419" s="3">
        <v>0.06</v>
      </c>
      <c r="AN419" s="3">
        <v>0.06</v>
      </c>
      <c r="AO419" s="3">
        <v>0.06</v>
      </c>
      <c r="AP419" s="3">
        <v>0.06</v>
      </c>
    </row>
    <row r="420" spans="1:42" hidden="1" x14ac:dyDescent="0.3">
      <c r="A420" s="5" t="s">
        <v>560</v>
      </c>
      <c r="B420" s="5" t="s">
        <v>42</v>
      </c>
      <c r="C420" s="22">
        <v>45240</v>
      </c>
      <c r="D420" s="22">
        <v>45250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>
        <v>0</v>
      </c>
      <c r="AF420" s="3">
        <v>0</v>
      </c>
      <c r="AG420" s="3">
        <v>0.06</v>
      </c>
      <c r="AH420" s="3">
        <v>0.06</v>
      </c>
      <c r="AI420" s="3">
        <v>0.06</v>
      </c>
      <c r="AJ420" s="3">
        <v>0.06</v>
      </c>
      <c r="AK420" s="3">
        <v>0.06</v>
      </c>
      <c r="AL420" s="3">
        <v>0.06</v>
      </c>
      <c r="AM420" s="3">
        <v>0.06</v>
      </c>
      <c r="AN420" s="3">
        <v>0.06</v>
      </c>
      <c r="AO420" s="3">
        <v>0.06</v>
      </c>
      <c r="AP420" s="3">
        <v>0.06</v>
      </c>
    </row>
    <row r="421" spans="1:42" hidden="1" x14ac:dyDescent="0.3">
      <c r="A421" s="5" t="s">
        <v>561</v>
      </c>
      <c r="B421" s="5" t="s">
        <v>42</v>
      </c>
      <c r="C421" s="22">
        <v>45233</v>
      </c>
      <c r="D421" s="22">
        <v>45240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3">
        <v>0</v>
      </c>
      <c r="AF421" s="3">
        <v>0</v>
      </c>
      <c r="AG421" s="3">
        <v>0.06</v>
      </c>
      <c r="AH421" s="3">
        <v>0.06</v>
      </c>
      <c r="AI421" s="3">
        <v>0.06</v>
      </c>
      <c r="AJ421" s="3">
        <v>0.06</v>
      </c>
      <c r="AK421" s="3">
        <v>0.06</v>
      </c>
      <c r="AL421" s="3">
        <v>0.06</v>
      </c>
      <c r="AM421" s="3">
        <v>0.06</v>
      </c>
      <c r="AN421" s="3">
        <v>0.06</v>
      </c>
      <c r="AO421" s="3">
        <v>0.06</v>
      </c>
      <c r="AP421" s="3">
        <v>0.06</v>
      </c>
    </row>
    <row r="422" spans="1:42" hidden="1" x14ac:dyDescent="0.3">
      <c r="A422" s="5" t="s">
        <v>562</v>
      </c>
      <c r="B422" s="5" t="s">
        <v>42</v>
      </c>
      <c r="C422" s="22">
        <v>45224</v>
      </c>
      <c r="D422" s="22">
        <v>45231</v>
      </c>
      <c r="E422" s="3">
        <v>0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0.05</v>
      </c>
      <c r="AG422" s="3">
        <v>0.06</v>
      </c>
      <c r="AH422" s="3">
        <v>0.06</v>
      </c>
      <c r="AI422" s="3">
        <v>0.06</v>
      </c>
      <c r="AJ422" s="3">
        <v>0.06</v>
      </c>
      <c r="AK422" s="3">
        <v>0.06</v>
      </c>
      <c r="AL422" s="3">
        <v>0.06</v>
      </c>
      <c r="AM422" s="3">
        <v>0.06</v>
      </c>
      <c r="AN422" s="3">
        <v>0.06</v>
      </c>
      <c r="AO422" s="3">
        <v>0.06</v>
      </c>
      <c r="AP422" s="3">
        <v>0.06</v>
      </c>
    </row>
    <row r="423" spans="1:42" hidden="1" x14ac:dyDescent="0.3">
      <c r="A423" s="4" t="s">
        <v>563</v>
      </c>
      <c r="B423" s="4" t="s">
        <v>51</v>
      </c>
      <c r="C423" s="21">
        <v>45244</v>
      </c>
      <c r="D423" s="21">
        <v>45271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0.05</v>
      </c>
      <c r="AH423" s="2">
        <v>0.28999999999999998</v>
      </c>
      <c r="AI423" s="2">
        <v>0.28999999999999998</v>
      </c>
      <c r="AJ423" s="2">
        <v>0.28999999999999998</v>
      </c>
      <c r="AK423" s="2">
        <v>0.28999999999999998</v>
      </c>
      <c r="AL423" s="2">
        <v>0.28999999999999998</v>
      </c>
      <c r="AM423" s="2">
        <v>0.28999999999999998</v>
      </c>
      <c r="AN423" s="2">
        <v>0.28999999999999998</v>
      </c>
      <c r="AO423" s="2">
        <v>0.28999999999999998</v>
      </c>
      <c r="AP423" s="2">
        <v>0.28999999999999998</v>
      </c>
    </row>
    <row r="424" spans="1:42" hidden="1" x14ac:dyDescent="0.3">
      <c r="A424" s="5" t="s">
        <v>564</v>
      </c>
      <c r="B424" s="5" t="s">
        <v>29</v>
      </c>
      <c r="C424" s="22">
        <v>45268</v>
      </c>
      <c r="D424" s="22">
        <v>45271</v>
      </c>
      <c r="E424" s="3">
        <v>0</v>
      </c>
      <c r="F424" s="3">
        <v>0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>
        <v>0.24</v>
      </c>
      <c r="AI424" s="3">
        <v>0.24</v>
      </c>
      <c r="AJ424" s="3">
        <v>0.24</v>
      </c>
      <c r="AK424" s="3">
        <v>0.24</v>
      </c>
      <c r="AL424" s="3">
        <v>0.24</v>
      </c>
      <c r="AM424" s="3">
        <v>0.24</v>
      </c>
      <c r="AN424" s="3">
        <v>0.24</v>
      </c>
      <c r="AO424" s="3">
        <v>0.24</v>
      </c>
      <c r="AP424" s="3">
        <v>0.24</v>
      </c>
    </row>
    <row r="425" spans="1:42" hidden="1" x14ac:dyDescent="0.3">
      <c r="A425" s="5" t="s">
        <v>565</v>
      </c>
      <c r="B425" s="5" t="s">
        <v>29</v>
      </c>
      <c r="C425" s="22">
        <v>45244</v>
      </c>
      <c r="D425" s="22">
        <v>45246</v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0.01</v>
      </c>
      <c r="AH425" s="3">
        <v>0.01</v>
      </c>
      <c r="AI425" s="3">
        <v>0.01</v>
      </c>
      <c r="AJ425" s="3">
        <v>0.01</v>
      </c>
      <c r="AK425" s="3">
        <v>0.01</v>
      </c>
      <c r="AL425" s="3">
        <v>0.01</v>
      </c>
      <c r="AM425" s="3">
        <v>0.01</v>
      </c>
      <c r="AN425" s="3">
        <v>0.01</v>
      </c>
      <c r="AO425" s="3">
        <v>0.01</v>
      </c>
      <c r="AP425" s="3">
        <v>0.01</v>
      </c>
    </row>
    <row r="426" spans="1:42" hidden="1" x14ac:dyDescent="0.3">
      <c r="A426" s="5" t="s">
        <v>566</v>
      </c>
      <c r="B426" s="5" t="s">
        <v>29</v>
      </c>
      <c r="C426" s="22">
        <v>45247</v>
      </c>
      <c r="D426" s="22">
        <v>45250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0.01</v>
      </c>
      <c r="AH426" s="3">
        <v>0.01</v>
      </c>
      <c r="AI426" s="3">
        <v>0.01</v>
      </c>
      <c r="AJ426" s="3">
        <v>0.01</v>
      </c>
      <c r="AK426" s="3">
        <v>0.01</v>
      </c>
      <c r="AL426" s="3">
        <v>0.01</v>
      </c>
      <c r="AM426" s="3">
        <v>0.01</v>
      </c>
      <c r="AN426" s="3">
        <v>0.01</v>
      </c>
      <c r="AO426" s="3">
        <v>0.01</v>
      </c>
      <c r="AP426" s="3">
        <v>0.01</v>
      </c>
    </row>
    <row r="427" spans="1:42" hidden="1" x14ac:dyDescent="0.3">
      <c r="A427" s="5" t="s">
        <v>567</v>
      </c>
      <c r="B427" s="5" t="s">
        <v>29</v>
      </c>
      <c r="C427" s="22">
        <v>45250</v>
      </c>
      <c r="D427" s="22">
        <v>45250</v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0.01</v>
      </c>
      <c r="AH427" s="3">
        <v>0.01</v>
      </c>
      <c r="AI427" s="3">
        <v>0.01</v>
      </c>
      <c r="AJ427" s="3">
        <v>0.01</v>
      </c>
      <c r="AK427" s="3">
        <v>0.01</v>
      </c>
      <c r="AL427" s="3">
        <v>0.01</v>
      </c>
      <c r="AM427" s="3">
        <v>0.01</v>
      </c>
      <c r="AN427" s="3">
        <v>0.01</v>
      </c>
      <c r="AO427" s="3">
        <v>0.01</v>
      </c>
      <c r="AP427" s="3">
        <v>0.01</v>
      </c>
    </row>
    <row r="428" spans="1:42" hidden="1" x14ac:dyDescent="0.3">
      <c r="A428" s="5" t="s">
        <v>568</v>
      </c>
      <c r="B428" s="5" t="s">
        <v>29</v>
      </c>
      <c r="C428" s="22">
        <v>45252</v>
      </c>
      <c r="D428" s="22">
        <v>45253</v>
      </c>
      <c r="E428" s="3">
        <v>0</v>
      </c>
      <c r="F428" s="3">
        <v>0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0.01</v>
      </c>
      <c r="AH428" s="3">
        <v>0.01</v>
      </c>
      <c r="AI428" s="3">
        <v>0.01</v>
      </c>
      <c r="AJ428" s="3">
        <v>0.01</v>
      </c>
      <c r="AK428" s="3">
        <v>0.01</v>
      </c>
      <c r="AL428" s="3">
        <v>0.01</v>
      </c>
      <c r="AM428" s="3">
        <v>0.01</v>
      </c>
      <c r="AN428" s="3">
        <v>0.01</v>
      </c>
      <c r="AO428" s="3">
        <v>0.01</v>
      </c>
      <c r="AP428" s="3">
        <v>0.01</v>
      </c>
    </row>
    <row r="429" spans="1:42" hidden="1" x14ac:dyDescent="0.3">
      <c r="A429" s="5" t="s">
        <v>569</v>
      </c>
      <c r="B429" s="5" t="s">
        <v>29</v>
      </c>
      <c r="C429" s="22">
        <v>45257</v>
      </c>
      <c r="D429" s="22">
        <v>45258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0.01</v>
      </c>
      <c r="AH429" s="3">
        <v>0.01</v>
      </c>
      <c r="AI429" s="3">
        <v>0.01</v>
      </c>
      <c r="AJ429" s="3">
        <v>0.01</v>
      </c>
      <c r="AK429" s="3">
        <v>0.01</v>
      </c>
      <c r="AL429" s="3">
        <v>0.01</v>
      </c>
      <c r="AM429" s="3">
        <v>0.01</v>
      </c>
      <c r="AN429" s="3">
        <v>0.01</v>
      </c>
      <c r="AO429" s="3">
        <v>0.01</v>
      </c>
      <c r="AP429" s="3">
        <v>0.01</v>
      </c>
    </row>
    <row r="430" spans="1:42" hidden="1" x14ac:dyDescent="0.3">
      <c r="A430" s="14" t="s">
        <v>570</v>
      </c>
      <c r="B430" s="14" t="s">
        <v>66</v>
      </c>
      <c r="C430" s="19">
        <v>44883</v>
      </c>
      <c r="D430" s="19">
        <v>45345</v>
      </c>
      <c r="E430" s="7">
        <v>0</v>
      </c>
      <c r="F430" s="7">
        <v>0</v>
      </c>
      <c r="G430" s="7">
        <v>0</v>
      </c>
      <c r="H430" s="7">
        <v>0</v>
      </c>
      <c r="I430" s="7">
        <v>0</v>
      </c>
      <c r="J430" s="7">
        <v>0</v>
      </c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  <c r="Q430" s="7">
        <v>0</v>
      </c>
      <c r="R430" s="7">
        <v>0</v>
      </c>
      <c r="S430" s="7">
        <v>0</v>
      </c>
      <c r="T430" s="7">
        <v>0</v>
      </c>
      <c r="U430" s="7">
        <v>0.09</v>
      </c>
      <c r="V430" s="7">
        <v>0.14000000000000001</v>
      </c>
      <c r="W430" s="7">
        <v>0.41</v>
      </c>
      <c r="X430" s="7">
        <v>0.56999999999999995</v>
      </c>
      <c r="Y430" s="7">
        <v>1.68</v>
      </c>
      <c r="Z430" s="7">
        <v>1.87</v>
      </c>
      <c r="AA430" s="7">
        <v>1.97</v>
      </c>
      <c r="AB430" s="7">
        <v>2.02</v>
      </c>
      <c r="AC430" s="7">
        <v>2.35</v>
      </c>
      <c r="AD430" s="7">
        <v>2.84</v>
      </c>
      <c r="AE430" s="7">
        <v>3.76</v>
      </c>
      <c r="AF430" s="7">
        <v>4</v>
      </c>
      <c r="AG430" s="7">
        <v>4.5</v>
      </c>
      <c r="AH430" s="7">
        <v>4.7699999999999996</v>
      </c>
      <c r="AI430" s="7">
        <v>5.89</v>
      </c>
      <c r="AJ430" s="7">
        <v>6.06</v>
      </c>
      <c r="AK430" s="7">
        <v>6.06</v>
      </c>
      <c r="AL430" s="7">
        <v>6.06</v>
      </c>
      <c r="AM430" s="7">
        <v>6.06</v>
      </c>
      <c r="AN430" s="7">
        <v>6.06</v>
      </c>
      <c r="AO430" s="7">
        <v>6.06</v>
      </c>
      <c r="AP430" s="7">
        <v>6.06</v>
      </c>
    </row>
    <row r="431" spans="1:42" hidden="1" x14ac:dyDescent="0.3">
      <c r="A431" s="15" t="s">
        <v>571</v>
      </c>
      <c r="B431" s="15" t="s">
        <v>67</v>
      </c>
      <c r="C431" s="20">
        <v>44883</v>
      </c>
      <c r="D431" s="20">
        <v>45061</v>
      </c>
      <c r="E431" s="8">
        <v>0</v>
      </c>
      <c r="F431" s="8">
        <v>0</v>
      </c>
      <c r="G431" s="8">
        <v>0</v>
      </c>
      <c r="H431" s="8">
        <v>0</v>
      </c>
      <c r="I431" s="8">
        <v>0</v>
      </c>
      <c r="J431" s="8">
        <v>0</v>
      </c>
      <c r="K431" s="8">
        <v>0</v>
      </c>
      <c r="L431" s="8">
        <v>0</v>
      </c>
      <c r="M431" s="8">
        <v>0</v>
      </c>
      <c r="N431" s="8">
        <v>0</v>
      </c>
      <c r="O431" s="8">
        <v>0</v>
      </c>
      <c r="P431" s="8">
        <v>0</v>
      </c>
      <c r="Q431" s="8">
        <v>0</v>
      </c>
      <c r="R431" s="8">
        <v>0</v>
      </c>
      <c r="S431" s="8">
        <v>0</v>
      </c>
      <c r="T431" s="8">
        <v>0</v>
      </c>
      <c r="U431" s="8">
        <v>0.09</v>
      </c>
      <c r="V431" s="8">
        <v>0.14000000000000001</v>
      </c>
      <c r="W431" s="8">
        <v>0.34</v>
      </c>
      <c r="X431" s="8">
        <v>0.44</v>
      </c>
      <c r="Y431" s="8">
        <v>1.56</v>
      </c>
      <c r="Z431" s="8">
        <v>1.72</v>
      </c>
      <c r="AA431" s="8">
        <v>1.8</v>
      </c>
      <c r="AB431" s="8">
        <v>1.8</v>
      </c>
      <c r="AC431" s="8">
        <v>1.8</v>
      </c>
      <c r="AD431" s="8">
        <v>1.8</v>
      </c>
      <c r="AE431" s="8">
        <v>1.8</v>
      </c>
      <c r="AF431" s="8">
        <v>1.8</v>
      </c>
      <c r="AG431" s="8">
        <v>1.8</v>
      </c>
      <c r="AH431" s="8">
        <v>1.8</v>
      </c>
      <c r="AI431" s="8">
        <v>1.8</v>
      </c>
      <c r="AJ431" s="8">
        <v>1.8</v>
      </c>
      <c r="AK431" s="8">
        <v>1.8</v>
      </c>
      <c r="AL431" s="8">
        <v>1.8</v>
      </c>
      <c r="AM431" s="8">
        <v>1.8</v>
      </c>
      <c r="AN431" s="8">
        <v>1.8</v>
      </c>
      <c r="AO431" s="8">
        <v>1.8</v>
      </c>
      <c r="AP431" s="8">
        <v>1.8</v>
      </c>
    </row>
    <row r="432" spans="1:42" hidden="1" x14ac:dyDescent="0.3">
      <c r="A432" s="5" t="s">
        <v>572</v>
      </c>
      <c r="B432" s="5" t="s">
        <v>29</v>
      </c>
      <c r="C432" s="22">
        <v>45015</v>
      </c>
      <c r="D432" s="22">
        <v>45015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1.08</v>
      </c>
      <c r="Z432" s="3">
        <v>1.08</v>
      </c>
      <c r="AA432" s="3">
        <v>1.08</v>
      </c>
      <c r="AB432" s="3">
        <v>1.08</v>
      </c>
      <c r="AC432" s="3">
        <v>1.08</v>
      </c>
      <c r="AD432" s="3">
        <v>1.08</v>
      </c>
      <c r="AE432" s="3">
        <v>1.08</v>
      </c>
      <c r="AF432" s="3">
        <v>1.08</v>
      </c>
      <c r="AG432" s="3">
        <v>1.08</v>
      </c>
      <c r="AH432" s="3">
        <v>1.08</v>
      </c>
      <c r="AI432" s="3">
        <v>1.08</v>
      </c>
      <c r="AJ432" s="3">
        <v>1.08</v>
      </c>
      <c r="AK432" s="3">
        <v>1.08</v>
      </c>
      <c r="AL432" s="3">
        <v>1.08</v>
      </c>
      <c r="AM432" s="3">
        <v>1.08</v>
      </c>
      <c r="AN432" s="3">
        <v>1.08</v>
      </c>
      <c r="AO432" s="3">
        <v>1.08</v>
      </c>
      <c r="AP432" s="3">
        <v>1.08</v>
      </c>
    </row>
    <row r="433" spans="1:42" hidden="1" x14ac:dyDescent="0.3">
      <c r="A433" s="5" t="s">
        <v>573</v>
      </c>
      <c r="B433" s="5" t="s">
        <v>9</v>
      </c>
      <c r="C433" s="22">
        <v>44995</v>
      </c>
      <c r="D433" s="22">
        <v>45001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0.01</v>
      </c>
      <c r="Z433" s="3">
        <v>0.01</v>
      </c>
      <c r="AA433" s="3">
        <v>0.01</v>
      </c>
      <c r="AB433" s="3">
        <v>0.01</v>
      </c>
      <c r="AC433" s="3">
        <v>0.01</v>
      </c>
      <c r="AD433" s="3">
        <v>0.01</v>
      </c>
      <c r="AE433" s="3">
        <v>0.01</v>
      </c>
      <c r="AF433" s="3">
        <v>0.01</v>
      </c>
      <c r="AG433" s="3">
        <v>0.01</v>
      </c>
      <c r="AH433" s="3">
        <v>0.01</v>
      </c>
      <c r="AI433" s="3">
        <v>0.01</v>
      </c>
      <c r="AJ433" s="3">
        <v>0.01</v>
      </c>
      <c r="AK433" s="3">
        <v>0.01</v>
      </c>
      <c r="AL433" s="3">
        <v>0.01</v>
      </c>
      <c r="AM433" s="3">
        <v>0.01</v>
      </c>
      <c r="AN433" s="3">
        <v>0.01</v>
      </c>
      <c r="AO433" s="3">
        <v>0.01</v>
      </c>
      <c r="AP433" s="3">
        <v>0.01</v>
      </c>
    </row>
    <row r="434" spans="1:42" hidden="1" x14ac:dyDescent="0.3">
      <c r="A434" s="5" t="s">
        <v>574</v>
      </c>
      <c r="B434" s="5" t="s">
        <v>17</v>
      </c>
      <c r="C434" s="22">
        <v>44974</v>
      </c>
      <c r="D434" s="22">
        <v>44995</v>
      </c>
      <c r="E434" s="3">
        <v>0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0.02</v>
      </c>
      <c r="Y434" s="3">
        <v>0.05</v>
      </c>
      <c r="Z434" s="3">
        <v>0.05</v>
      </c>
      <c r="AA434" s="3">
        <v>0.05</v>
      </c>
      <c r="AB434" s="3">
        <v>0.05</v>
      </c>
      <c r="AC434" s="3">
        <v>0.05</v>
      </c>
      <c r="AD434" s="3">
        <v>0.05</v>
      </c>
      <c r="AE434" s="3">
        <v>0.05</v>
      </c>
      <c r="AF434" s="3">
        <v>0.05</v>
      </c>
      <c r="AG434" s="3">
        <v>0.05</v>
      </c>
      <c r="AH434" s="3">
        <v>0.05</v>
      </c>
      <c r="AI434" s="3">
        <v>0.05</v>
      </c>
      <c r="AJ434" s="3">
        <v>0.05</v>
      </c>
      <c r="AK434" s="3">
        <v>0.05</v>
      </c>
      <c r="AL434" s="3">
        <v>0.05</v>
      </c>
      <c r="AM434" s="3">
        <v>0.05</v>
      </c>
      <c r="AN434" s="3">
        <v>0.05</v>
      </c>
      <c r="AO434" s="3">
        <v>0.05</v>
      </c>
      <c r="AP434" s="3">
        <v>0.05</v>
      </c>
    </row>
    <row r="435" spans="1:42" hidden="1" x14ac:dyDescent="0.3">
      <c r="A435" s="5" t="s">
        <v>575</v>
      </c>
      <c r="B435" s="5" t="s">
        <v>17</v>
      </c>
      <c r="C435" s="22">
        <v>44950</v>
      </c>
      <c r="D435" s="22">
        <v>44970</v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0.06</v>
      </c>
      <c r="X435" s="3">
        <v>0.14000000000000001</v>
      </c>
      <c r="Y435" s="3">
        <v>0.14000000000000001</v>
      </c>
      <c r="Z435" s="3">
        <v>0.14000000000000001</v>
      </c>
      <c r="AA435" s="3">
        <v>0.14000000000000001</v>
      </c>
      <c r="AB435" s="3">
        <v>0.14000000000000001</v>
      </c>
      <c r="AC435" s="3">
        <v>0.14000000000000001</v>
      </c>
      <c r="AD435" s="3">
        <v>0.14000000000000001</v>
      </c>
      <c r="AE435" s="3">
        <v>0.14000000000000001</v>
      </c>
      <c r="AF435" s="3">
        <v>0.14000000000000001</v>
      </c>
      <c r="AG435" s="3">
        <v>0.14000000000000001</v>
      </c>
      <c r="AH435" s="3">
        <v>0.14000000000000001</v>
      </c>
      <c r="AI435" s="3">
        <v>0.14000000000000001</v>
      </c>
      <c r="AJ435" s="3">
        <v>0.14000000000000001</v>
      </c>
      <c r="AK435" s="3">
        <v>0.14000000000000001</v>
      </c>
      <c r="AL435" s="3">
        <v>0.14000000000000001</v>
      </c>
      <c r="AM435" s="3">
        <v>0.14000000000000001</v>
      </c>
      <c r="AN435" s="3">
        <v>0.14000000000000001</v>
      </c>
      <c r="AO435" s="3">
        <v>0.14000000000000001</v>
      </c>
      <c r="AP435" s="3">
        <v>0.14000000000000001</v>
      </c>
    </row>
    <row r="436" spans="1:42" hidden="1" x14ac:dyDescent="0.3">
      <c r="A436" s="5" t="s">
        <v>576</v>
      </c>
      <c r="B436" s="5" t="s">
        <v>17</v>
      </c>
      <c r="C436" s="22">
        <v>44928</v>
      </c>
      <c r="D436" s="22">
        <v>44945</v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0.14000000000000001</v>
      </c>
      <c r="X436" s="3">
        <v>0.14000000000000001</v>
      </c>
      <c r="Y436" s="3">
        <v>0.14000000000000001</v>
      </c>
      <c r="Z436" s="3">
        <v>0.14000000000000001</v>
      </c>
      <c r="AA436" s="3">
        <v>0.14000000000000001</v>
      </c>
      <c r="AB436" s="3">
        <v>0.14000000000000001</v>
      </c>
      <c r="AC436" s="3">
        <v>0.14000000000000001</v>
      </c>
      <c r="AD436" s="3">
        <v>0.14000000000000001</v>
      </c>
      <c r="AE436" s="3">
        <v>0.14000000000000001</v>
      </c>
      <c r="AF436" s="3">
        <v>0.14000000000000001</v>
      </c>
      <c r="AG436" s="3">
        <v>0.14000000000000001</v>
      </c>
      <c r="AH436" s="3">
        <v>0.14000000000000001</v>
      </c>
      <c r="AI436" s="3">
        <v>0.14000000000000001</v>
      </c>
      <c r="AJ436" s="3">
        <v>0.14000000000000001</v>
      </c>
      <c r="AK436" s="3">
        <v>0.14000000000000001</v>
      </c>
      <c r="AL436" s="3">
        <v>0.14000000000000001</v>
      </c>
      <c r="AM436" s="3">
        <v>0.14000000000000001</v>
      </c>
      <c r="AN436" s="3">
        <v>0.14000000000000001</v>
      </c>
      <c r="AO436" s="3">
        <v>0.14000000000000001</v>
      </c>
      <c r="AP436" s="3">
        <v>0.14000000000000001</v>
      </c>
    </row>
    <row r="437" spans="1:42" hidden="1" x14ac:dyDescent="0.3">
      <c r="A437" s="5" t="s">
        <v>577</v>
      </c>
      <c r="B437" s="5" t="s">
        <v>17</v>
      </c>
      <c r="C437" s="22">
        <v>44883</v>
      </c>
      <c r="D437" s="22">
        <v>44903</v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0.09</v>
      </c>
      <c r="V437" s="3">
        <v>0.14000000000000001</v>
      </c>
      <c r="W437" s="3">
        <v>0.14000000000000001</v>
      </c>
      <c r="X437" s="3">
        <v>0.14000000000000001</v>
      </c>
      <c r="Y437" s="3">
        <v>0.14000000000000001</v>
      </c>
      <c r="Z437" s="3">
        <v>0.14000000000000001</v>
      </c>
      <c r="AA437" s="3">
        <v>0.14000000000000001</v>
      </c>
      <c r="AB437" s="3">
        <v>0.14000000000000001</v>
      </c>
      <c r="AC437" s="3">
        <v>0.14000000000000001</v>
      </c>
      <c r="AD437" s="3">
        <v>0.14000000000000001</v>
      </c>
      <c r="AE437" s="3">
        <v>0.14000000000000001</v>
      </c>
      <c r="AF437" s="3">
        <v>0.14000000000000001</v>
      </c>
      <c r="AG437" s="3">
        <v>0.14000000000000001</v>
      </c>
      <c r="AH437" s="3">
        <v>0.14000000000000001</v>
      </c>
      <c r="AI437" s="3">
        <v>0.14000000000000001</v>
      </c>
      <c r="AJ437" s="3">
        <v>0.14000000000000001</v>
      </c>
      <c r="AK437" s="3">
        <v>0.14000000000000001</v>
      </c>
      <c r="AL437" s="3">
        <v>0.14000000000000001</v>
      </c>
      <c r="AM437" s="3">
        <v>0.14000000000000001</v>
      </c>
      <c r="AN437" s="3">
        <v>0.14000000000000001</v>
      </c>
      <c r="AO437" s="3">
        <v>0.14000000000000001</v>
      </c>
      <c r="AP437" s="3">
        <v>0.14000000000000001</v>
      </c>
    </row>
    <row r="438" spans="1:42" hidden="1" x14ac:dyDescent="0.3">
      <c r="A438" s="4" t="s">
        <v>578</v>
      </c>
      <c r="B438" s="4" t="s">
        <v>46</v>
      </c>
      <c r="C438" s="21">
        <v>45041</v>
      </c>
      <c r="D438" s="21">
        <v>45061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0.17</v>
      </c>
      <c r="AA438" s="2">
        <v>0.24</v>
      </c>
      <c r="AB438" s="2">
        <v>0.24</v>
      </c>
      <c r="AC438" s="2">
        <v>0.24</v>
      </c>
      <c r="AD438" s="2">
        <v>0.24</v>
      </c>
      <c r="AE438" s="2">
        <v>0.24</v>
      </c>
      <c r="AF438" s="2">
        <v>0.24</v>
      </c>
      <c r="AG438" s="2">
        <v>0.24</v>
      </c>
      <c r="AH438" s="2">
        <v>0.24</v>
      </c>
      <c r="AI438" s="2">
        <v>0.24</v>
      </c>
      <c r="AJ438" s="2">
        <v>0.24</v>
      </c>
      <c r="AK438" s="2">
        <v>0.24</v>
      </c>
      <c r="AL438" s="2">
        <v>0.24</v>
      </c>
      <c r="AM438" s="2">
        <v>0.24</v>
      </c>
      <c r="AN438" s="2">
        <v>0.24</v>
      </c>
      <c r="AO438" s="2">
        <v>0.24</v>
      </c>
      <c r="AP438" s="2">
        <v>0.24</v>
      </c>
    </row>
    <row r="439" spans="1:42" hidden="1" x14ac:dyDescent="0.3">
      <c r="A439" s="5" t="s">
        <v>579</v>
      </c>
      <c r="B439" s="5" t="s">
        <v>29</v>
      </c>
      <c r="C439" s="22">
        <v>45041</v>
      </c>
      <c r="D439" s="22">
        <v>45042</v>
      </c>
      <c r="E439" s="3">
        <v>0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0.13</v>
      </c>
      <c r="AA439" s="3">
        <v>0.13</v>
      </c>
      <c r="AB439" s="3">
        <v>0.13</v>
      </c>
      <c r="AC439" s="3">
        <v>0.13</v>
      </c>
      <c r="AD439" s="3">
        <v>0.13</v>
      </c>
      <c r="AE439" s="3">
        <v>0.13</v>
      </c>
      <c r="AF439" s="3">
        <v>0.13</v>
      </c>
      <c r="AG439" s="3">
        <v>0.13</v>
      </c>
      <c r="AH439" s="3">
        <v>0.13</v>
      </c>
      <c r="AI439" s="3">
        <v>0.13</v>
      </c>
      <c r="AJ439" s="3">
        <v>0.13</v>
      </c>
      <c r="AK439" s="3">
        <v>0.13</v>
      </c>
      <c r="AL439" s="3">
        <v>0.13</v>
      </c>
      <c r="AM439" s="3">
        <v>0.13</v>
      </c>
      <c r="AN439" s="3">
        <v>0.13</v>
      </c>
      <c r="AO439" s="3">
        <v>0.13</v>
      </c>
      <c r="AP439" s="3">
        <v>0.13</v>
      </c>
    </row>
    <row r="440" spans="1:42" hidden="1" x14ac:dyDescent="0.3">
      <c r="A440" s="5" t="s">
        <v>580</v>
      </c>
      <c r="B440" s="5" t="s">
        <v>12</v>
      </c>
      <c r="C440" s="22">
        <v>45056</v>
      </c>
      <c r="D440" s="22">
        <v>45061</v>
      </c>
      <c r="E440" s="3">
        <v>0</v>
      </c>
      <c r="F440" s="3">
        <v>0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0.01</v>
      </c>
      <c r="AB440" s="3">
        <v>0.01</v>
      </c>
      <c r="AC440" s="3">
        <v>0.01</v>
      </c>
      <c r="AD440" s="3">
        <v>0.01</v>
      </c>
      <c r="AE440" s="3">
        <v>0.01</v>
      </c>
      <c r="AF440" s="3">
        <v>0.01</v>
      </c>
      <c r="AG440" s="3">
        <v>0.01</v>
      </c>
      <c r="AH440" s="3">
        <v>0.01</v>
      </c>
      <c r="AI440" s="3">
        <v>0.01</v>
      </c>
      <c r="AJ440" s="3">
        <v>0.01</v>
      </c>
      <c r="AK440" s="3">
        <v>0.01</v>
      </c>
      <c r="AL440" s="3">
        <v>0.01</v>
      </c>
      <c r="AM440" s="3">
        <v>0.01</v>
      </c>
      <c r="AN440" s="3">
        <v>0.01</v>
      </c>
      <c r="AO440" s="3">
        <v>0.01</v>
      </c>
      <c r="AP440" s="3">
        <v>0.01</v>
      </c>
    </row>
    <row r="441" spans="1:42" hidden="1" x14ac:dyDescent="0.3">
      <c r="A441" s="5" t="s">
        <v>581</v>
      </c>
      <c r="B441" s="5" t="s">
        <v>31</v>
      </c>
      <c r="C441" s="22">
        <v>45042</v>
      </c>
      <c r="D441" s="22">
        <v>45043</v>
      </c>
      <c r="E441" s="3">
        <v>0</v>
      </c>
      <c r="F441" s="3">
        <v>0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0.03</v>
      </c>
      <c r="AA441" s="3">
        <v>0.03</v>
      </c>
      <c r="AB441" s="3">
        <v>0.03</v>
      </c>
      <c r="AC441" s="3">
        <v>0.03</v>
      </c>
      <c r="AD441" s="3">
        <v>0.03</v>
      </c>
      <c r="AE441" s="3">
        <v>0.03</v>
      </c>
      <c r="AF441" s="3">
        <v>0.03</v>
      </c>
      <c r="AG441" s="3">
        <v>0.03</v>
      </c>
      <c r="AH441" s="3">
        <v>0.03</v>
      </c>
      <c r="AI441" s="3">
        <v>0.03</v>
      </c>
      <c r="AJ441" s="3">
        <v>0.03</v>
      </c>
      <c r="AK441" s="3">
        <v>0.03</v>
      </c>
      <c r="AL441" s="3">
        <v>0.03</v>
      </c>
      <c r="AM441" s="3">
        <v>0.03</v>
      </c>
      <c r="AN441" s="3">
        <v>0.03</v>
      </c>
      <c r="AO441" s="3">
        <v>0.03</v>
      </c>
      <c r="AP441" s="3">
        <v>0.03</v>
      </c>
    </row>
    <row r="442" spans="1:42" hidden="1" x14ac:dyDescent="0.3">
      <c r="A442" s="5" t="s">
        <v>582</v>
      </c>
      <c r="B442" s="5" t="s">
        <v>31</v>
      </c>
      <c r="C442" s="22">
        <v>45044</v>
      </c>
      <c r="D442" s="22">
        <v>45048</v>
      </c>
      <c r="E442" s="3">
        <v>0</v>
      </c>
      <c r="F442" s="3">
        <v>0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0.01</v>
      </c>
      <c r="AA442" s="3">
        <v>0.02</v>
      </c>
      <c r="AB442" s="3">
        <v>0.02</v>
      </c>
      <c r="AC442" s="3">
        <v>0.02</v>
      </c>
      <c r="AD442" s="3">
        <v>0.02</v>
      </c>
      <c r="AE442" s="3">
        <v>0.02</v>
      </c>
      <c r="AF442" s="3">
        <v>0.02</v>
      </c>
      <c r="AG442" s="3">
        <v>0.02</v>
      </c>
      <c r="AH442" s="3">
        <v>0.02</v>
      </c>
      <c r="AI442" s="3">
        <v>0.02</v>
      </c>
      <c r="AJ442" s="3">
        <v>0.02</v>
      </c>
      <c r="AK442" s="3">
        <v>0.02</v>
      </c>
      <c r="AL442" s="3">
        <v>0.02</v>
      </c>
      <c r="AM442" s="3">
        <v>0.02</v>
      </c>
      <c r="AN442" s="3">
        <v>0.02</v>
      </c>
      <c r="AO442" s="3">
        <v>0.02</v>
      </c>
      <c r="AP442" s="3">
        <v>0.02</v>
      </c>
    </row>
    <row r="443" spans="1:42" hidden="1" x14ac:dyDescent="0.3">
      <c r="A443" s="5" t="s">
        <v>583</v>
      </c>
      <c r="B443" s="5" t="s">
        <v>31</v>
      </c>
      <c r="C443" s="22">
        <v>45048</v>
      </c>
      <c r="D443" s="22">
        <v>45050</v>
      </c>
      <c r="E443" s="3">
        <v>0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0.02</v>
      </c>
      <c r="AB443" s="3">
        <v>0.02</v>
      </c>
      <c r="AC443" s="3">
        <v>0.02</v>
      </c>
      <c r="AD443" s="3">
        <v>0.02</v>
      </c>
      <c r="AE443" s="3">
        <v>0.02</v>
      </c>
      <c r="AF443" s="3">
        <v>0.02</v>
      </c>
      <c r="AG443" s="3">
        <v>0.02</v>
      </c>
      <c r="AH443" s="3">
        <v>0.02</v>
      </c>
      <c r="AI443" s="3">
        <v>0.02</v>
      </c>
      <c r="AJ443" s="3">
        <v>0.02</v>
      </c>
      <c r="AK443" s="3">
        <v>0.02</v>
      </c>
      <c r="AL443" s="3">
        <v>0.02</v>
      </c>
      <c r="AM443" s="3">
        <v>0.02</v>
      </c>
      <c r="AN443" s="3">
        <v>0.02</v>
      </c>
      <c r="AO443" s="3">
        <v>0.02</v>
      </c>
      <c r="AP443" s="3">
        <v>0.02</v>
      </c>
    </row>
    <row r="444" spans="1:42" hidden="1" x14ac:dyDescent="0.3">
      <c r="A444" s="5" t="s">
        <v>584</v>
      </c>
      <c r="B444" s="5" t="s">
        <v>31</v>
      </c>
      <c r="C444" s="22">
        <v>45050</v>
      </c>
      <c r="D444" s="22">
        <v>45054</v>
      </c>
      <c r="E444" s="3">
        <v>0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0.02</v>
      </c>
      <c r="AB444" s="3">
        <v>0.02</v>
      </c>
      <c r="AC444" s="3">
        <v>0.02</v>
      </c>
      <c r="AD444" s="3">
        <v>0.02</v>
      </c>
      <c r="AE444" s="3">
        <v>0.02</v>
      </c>
      <c r="AF444" s="3">
        <v>0.02</v>
      </c>
      <c r="AG444" s="3">
        <v>0.02</v>
      </c>
      <c r="AH444" s="3">
        <v>0.02</v>
      </c>
      <c r="AI444" s="3">
        <v>0.02</v>
      </c>
      <c r="AJ444" s="3">
        <v>0.02</v>
      </c>
      <c r="AK444" s="3">
        <v>0.02</v>
      </c>
      <c r="AL444" s="3">
        <v>0.02</v>
      </c>
      <c r="AM444" s="3">
        <v>0.02</v>
      </c>
      <c r="AN444" s="3">
        <v>0.02</v>
      </c>
      <c r="AO444" s="3">
        <v>0.02</v>
      </c>
      <c r="AP444" s="3">
        <v>0.02</v>
      </c>
    </row>
    <row r="445" spans="1:42" hidden="1" x14ac:dyDescent="0.3">
      <c r="A445" s="5" t="s">
        <v>585</v>
      </c>
      <c r="B445" s="5" t="s">
        <v>31</v>
      </c>
      <c r="C445" s="22">
        <v>45054</v>
      </c>
      <c r="D445" s="22">
        <v>45056</v>
      </c>
      <c r="E445" s="3">
        <v>0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0.02</v>
      </c>
      <c r="AB445" s="3">
        <v>0.02</v>
      </c>
      <c r="AC445" s="3">
        <v>0.02</v>
      </c>
      <c r="AD445" s="3">
        <v>0.02</v>
      </c>
      <c r="AE445" s="3">
        <v>0.02</v>
      </c>
      <c r="AF445" s="3">
        <v>0.02</v>
      </c>
      <c r="AG445" s="3">
        <v>0.02</v>
      </c>
      <c r="AH445" s="3">
        <v>0.02</v>
      </c>
      <c r="AI445" s="3">
        <v>0.02</v>
      </c>
      <c r="AJ445" s="3">
        <v>0.02</v>
      </c>
      <c r="AK445" s="3">
        <v>0.02</v>
      </c>
      <c r="AL445" s="3">
        <v>0.02</v>
      </c>
      <c r="AM445" s="3">
        <v>0.02</v>
      </c>
      <c r="AN445" s="3">
        <v>0.02</v>
      </c>
      <c r="AO445" s="3">
        <v>0.02</v>
      </c>
      <c r="AP445" s="3">
        <v>0.02</v>
      </c>
    </row>
    <row r="446" spans="1:42" hidden="1" x14ac:dyDescent="0.3">
      <c r="A446" s="15" t="s">
        <v>586</v>
      </c>
      <c r="B446" s="15" t="s">
        <v>11</v>
      </c>
      <c r="C446" s="20">
        <v>45293</v>
      </c>
      <c r="D446" s="20">
        <v>45317</v>
      </c>
      <c r="E446" s="8">
        <v>0</v>
      </c>
      <c r="F446" s="8">
        <v>0</v>
      </c>
      <c r="G446" s="8">
        <v>0</v>
      </c>
      <c r="H446" s="8">
        <v>0</v>
      </c>
      <c r="I446" s="8">
        <v>0</v>
      </c>
      <c r="J446" s="8">
        <v>0</v>
      </c>
      <c r="K446" s="8">
        <v>0</v>
      </c>
      <c r="L446" s="8">
        <v>0</v>
      </c>
      <c r="M446" s="8">
        <v>0</v>
      </c>
      <c r="N446" s="8">
        <v>0</v>
      </c>
      <c r="O446" s="8">
        <v>0</v>
      </c>
      <c r="P446" s="8">
        <v>0</v>
      </c>
      <c r="Q446" s="8">
        <v>0</v>
      </c>
      <c r="R446" s="8">
        <v>0</v>
      </c>
      <c r="S446" s="8">
        <v>0</v>
      </c>
      <c r="T446" s="8">
        <v>0</v>
      </c>
      <c r="U446" s="8">
        <v>0</v>
      </c>
      <c r="V446" s="8">
        <v>0</v>
      </c>
      <c r="W446" s="8">
        <v>0</v>
      </c>
      <c r="X446" s="8">
        <v>0</v>
      </c>
      <c r="Y446" s="8">
        <v>0</v>
      </c>
      <c r="Z446" s="8">
        <v>0</v>
      </c>
      <c r="AA446" s="8">
        <v>0</v>
      </c>
      <c r="AB446" s="8">
        <v>0</v>
      </c>
      <c r="AC446" s="8">
        <v>0</v>
      </c>
      <c r="AD446" s="8">
        <v>0</v>
      </c>
      <c r="AE446" s="8">
        <v>0</v>
      </c>
      <c r="AF446" s="8">
        <v>0</v>
      </c>
      <c r="AG446" s="8">
        <v>0</v>
      </c>
      <c r="AH446" s="8">
        <v>0</v>
      </c>
      <c r="AI446" s="8">
        <v>0.19</v>
      </c>
      <c r="AJ446" s="8">
        <v>0.19</v>
      </c>
      <c r="AK446" s="8">
        <v>0.19</v>
      </c>
      <c r="AL446" s="8">
        <v>0.19</v>
      </c>
      <c r="AM446" s="8">
        <v>0.19</v>
      </c>
      <c r="AN446" s="8">
        <v>0.19</v>
      </c>
      <c r="AO446" s="8">
        <v>0.19</v>
      </c>
      <c r="AP446" s="8">
        <v>0.19</v>
      </c>
    </row>
    <row r="447" spans="1:42" hidden="1" x14ac:dyDescent="0.3">
      <c r="A447" s="4" t="s">
        <v>587</v>
      </c>
      <c r="B447" s="4" t="s">
        <v>11</v>
      </c>
      <c r="C447" s="21">
        <v>45293</v>
      </c>
      <c r="D447" s="21">
        <v>45317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0.19</v>
      </c>
      <c r="AJ447" s="2">
        <v>0.19</v>
      </c>
      <c r="AK447" s="2">
        <v>0.19</v>
      </c>
      <c r="AL447" s="2">
        <v>0.19</v>
      </c>
      <c r="AM447" s="2">
        <v>0.19</v>
      </c>
      <c r="AN447" s="2">
        <v>0.19</v>
      </c>
      <c r="AO447" s="2">
        <v>0.19</v>
      </c>
      <c r="AP447" s="2">
        <v>0.19</v>
      </c>
    </row>
    <row r="448" spans="1:42" hidden="1" x14ac:dyDescent="0.3">
      <c r="A448" s="5" t="s">
        <v>588</v>
      </c>
      <c r="B448" s="5" t="s">
        <v>11</v>
      </c>
      <c r="C448" s="22">
        <v>45293</v>
      </c>
      <c r="D448" s="22">
        <v>45317</v>
      </c>
      <c r="E448" s="3">
        <v>0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3">
        <v>0</v>
      </c>
      <c r="AI448" s="3">
        <v>0.19</v>
      </c>
      <c r="AJ448" s="3">
        <v>0.19</v>
      </c>
      <c r="AK448" s="3">
        <v>0.19</v>
      </c>
      <c r="AL448" s="3">
        <v>0.19</v>
      </c>
      <c r="AM448" s="3">
        <v>0.19</v>
      </c>
      <c r="AN448" s="3">
        <v>0.19</v>
      </c>
      <c r="AO448" s="3">
        <v>0.19</v>
      </c>
      <c r="AP448" s="3">
        <v>0.19</v>
      </c>
    </row>
    <row r="449" spans="1:42" hidden="1" x14ac:dyDescent="0.3">
      <c r="A449" s="15" t="s">
        <v>589</v>
      </c>
      <c r="B449" s="15" t="s">
        <v>68</v>
      </c>
      <c r="C449" s="20">
        <v>45229</v>
      </c>
      <c r="D449" s="20">
        <v>45321</v>
      </c>
      <c r="E449" s="8">
        <v>0</v>
      </c>
      <c r="F449" s="8">
        <v>0</v>
      </c>
      <c r="G449" s="8">
        <v>0</v>
      </c>
      <c r="H449" s="8">
        <v>0</v>
      </c>
      <c r="I449" s="8">
        <v>0</v>
      </c>
      <c r="J449" s="8">
        <v>0</v>
      </c>
      <c r="K449" s="8">
        <v>0</v>
      </c>
      <c r="L449" s="8">
        <v>0</v>
      </c>
      <c r="M449" s="8">
        <v>0</v>
      </c>
      <c r="N449" s="8">
        <v>0</v>
      </c>
      <c r="O449" s="8">
        <v>0</v>
      </c>
      <c r="P449" s="8">
        <v>0</v>
      </c>
      <c r="Q449" s="8">
        <v>0</v>
      </c>
      <c r="R449" s="8">
        <v>0</v>
      </c>
      <c r="S449" s="8">
        <v>0</v>
      </c>
      <c r="T449" s="8">
        <v>0</v>
      </c>
      <c r="U449" s="8">
        <v>0</v>
      </c>
      <c r="V449" s="8">
        <v>0</v>
      </c>
      <c r="W449" s="8">
        <v>0</v>
      </c>
      <c r="X449" s="8">
        <v>0</v>
      </c>
      <c r="Y449" s="8">
        <v>0</v>
      </c>
      <c r="Z449" s="8">
        <v>0</v>
      </c>
      <c r="AA449" s="8">
        <v>0</v>
      </c>
      <c r="AB449" s="8">
        <v>0</v>
      </c>
      <c r="AC449" s="8">
        <v>0</v>
      </c>
      <c r="AD449" s="8">
        <v>0</v>
      </c>
      <c r="AE449" s="8">
        <v>0</v>
      </c>
      <c r="AF449" s="8">
        <v>0.02</v>
      </c>
      <c r="AG449" s="8">
        <v>0.17</v>
      </c>
      <c r="AH449" s="8">
        <v>0.25</v>
      </c>
      <c r="AI449" s="8">
        <v>0.97</v>
      </c>
      <c r="AJ449" s="8">
        <v>0.97</v>
      </c>
      <c r="AK449" s="8">
        <v>0.97</v>
      </c>
      <c r="AL449" s="8">
        <v>0.97</v>
      </c>
      <c r="AM449" s="8">
        <v>0.97</v>
      </c>
      <c r="AN449" s="8">
        <v>0.97</v>
      </c>
      <c r="AO449" s="8">
        <v>0.97</v>
      </c>
      <c r="AP449" s="8">
        <v>0.97</v>
      </c>
    </row>
    <row r="450" spans="1:42" hidden="1" x14ac:dyDescent="0.3">
      <c r="A450" s="5" t="s">
        <v>590</v>
      </c>
      <c r="B450" s="5" t="s">
        <v>9</v>
      </c>
      <c r="C450" s="22">
        <v>45315</v>
      </c>
      <c r="D450" s="22">
        <v>45321</v>
      </c>
      <c r="E450" s="3">
        <v>0</v>
      </c>
      <c r="F450" s="3">
        <v>0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3">
        <v>0</v>
      </c>
      <c r="AI450" s="3">
        <v>0.59</v>
      </c>
      <c r="AJ450" s="3">
        <v>0.59</v>
      </c>
      <c r="AK450" s="3">
        <v>0.59</v>
      </c>
      <c r="AL450" s="3">
        <v>0.59</v>
      </c>
      <c r="AM450" s="3">
        <v>0.59</v>
      </c>
      <c r="AN450" s="3">
        <v>0.59</v>
      </c>
      <c r="AO450" s="3">
        <v>0.59</v>
      </c>
      <c r="AP450" s="3">
        <v>0.59</v>
      </c>
    </row>
    <row r="451" spans="1:42" hidden="1" x14ac:dyDescent="0.3">
      <c r="A451" s="5" t="s">
        <v>591</v>
      </c>
      <c r="B451" s="5" t="s">
        <v>69</v>
      </c>
      <c r="C451" s="22">
        <v>45303</v>
      </c>
      <c r="D451" s="22">
        <v>45315</v>
      </c>
      <c r="E451" s="3">
        <v>0</v>
      </c>
      <c r="F451" s="3">
        <v>0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3">
        <v>0</v>
      </c>
      <c r="AC451" s="3">
        <v>0</v>
      </c>
      <c r="AD451" s="3">
        <v>0</v>
      </c>
      <c r="AE451" s="3">
        <v>0</v>
      </c>
      <c r="AF451" s="3">
        <v>0</v>
      </c>
      <c r="AG451" s="3">
        <v>0</v>
      </c>
      <c r="AH451" s="3">
        <v>0</v>
      </c>
      <c r="AI451" s="3">
        <v>0.05</v>
      </c>
      <c r="AJ451" s="3">
        <v>0.05</v>
      </c>
      <c r="AK451" s="3">
        <v>0.05</v>
      </c>
      <c r="AL451" s="3">
        <v>0.05</v>
      </c>
      <c r="AM451" s="3">
        <v>0.05</v>
      </c>
      <c r="AN451" s="3">
        <v>0.05</v>
      </c>
      <c r="AO451" s="3">
        <v>0.05</v>
      </c>
      <c r="AP451" s="3">
        <v>0.05</v>
      </c>
    </row>
    <row r="452" spans="1:42" hidden="1" x14ac:dyDescent="0.3">
      <c r="A452" s="5" t="s">
        <v>592</v>
      </c>
      <c r="B452" s="5" t="s">
        <v>69</v>
      </c>
      <c r="C452" s="22">
        <v>45293</v>
      </c>
      <c r="D452" s="22">
        <v>45303</v>
      </c>
      <c r="E452" s="3">
        <v>0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3">
        <v>0</v>
      </c>
      <c r="AE452" s="3">
        <v>0</v>
      </c>
      <c r="AF452" s="3">
        <v>0</v>
      </c>
      <c r="AG452" s="3">
        <v>0</v>
      </c>
      <c r="AH452" s="3">
        <v>0</v>
      </c>
      <c r="AI452" s="3">
        <v>0.08</v>
      </c>
      <c r="AJ452" s="3">
        <v>0.08</v>
      </c>
      <c r="AK452" s="3">
        <v>0.08</v>
      </c>
      <c r="AL452" s="3">
        <v>0.08</v>
      </c>
      <c r="AM452" s="3">
        <v>0.08</v>
      </c>
      <c r="AN452" s="3">
        <v>0.08</v>
      </c>
      <c r="AO452" s="3">
        <v>0.08</v>
      </c>
      <c r="AP452" s="3">
        <v>0.08</v>
      </c>
    </row>
    <row r="453" spans="1:42" hidden="1" x14ac:dyDescent="0.3">
      <c r="A453" s="5" t="s">
        <v>593</v>
      </c>
      <c r="B453" s="5" t="s">
        <v>69</v>
      </c>
      <c r="C453" s="22">
        <v>45265</v>
      </c>
      <c r="D453" s="22">
        <v>45275</v>
      </c>
      <c r="E453" s="3">
        <v>0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3">
        <v>0</v>
      </c>
      <c r="AC453" s="3">
        <v>0</v>
      </c>
      <c r="AD453" s="3">
        <v>0</v>
      </c>
      <c r="AE453" s="3">
        <v>0</v>
      </c>
      <c r="AF453" s="3">
        <v>0</v>
      </c>
      <c r="AG453" s="3">
        <v>0</v>
      </c>
      <c r="AH453" s="3">
        <v>0.08</v>
      </c>
      <c r="AI453" s="3">
        <v>0.08</v>
      </c>
      <c r="AJ453" s="3">
        <v>0.08</v>
      </c>
      <c r="AK453" s="3">
        <v>0.08</v>
      </c>
      <c r="AL453" s="3">
        <v>0.08</v>
      </c>
      <c r="AM453" s="3">
        <v>0.08</v>
      </c>
      <c r="AN453" s="3">
        <v>0.08</v>
      </c>
      <c r="AO453" s="3">
        <v>0.08</v>
      </c>
      <c r="AP453" s="3">
        <v>0.08</v>
      </c>
    </row>
    <row r="454" spans="1:42" hidden="1" x14ac:dyDescent="0.3">
      <c r="A454" s="5" t="s">
        <v>594</v>
      </c>
      <c r="B454" s="5" t="s">
        <v>69</v>
      </c>
      <c r="C454" s="22">
        <v>45246</v>
      </c>
      <c r="D454" s="22">
        <v>45258</v>
      </c>
      <c r="E454" s="3">
        <v>0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3">
        <v>0</v>
      </c>
      <c r="AF454" s="3">
        <v>0</v>
      </c>
      <c r="AG454" s="3">
        <v>0.08</v>
      </c>
      <c r="AH454" s="3">
        <v>0.08</v>
      </c>
      <c r="AI454" s="3">
        <v>0.08</v>
      </c>
      <c r="AJ454" s="3">
        <v>0.08</v>
      </c>
      <c r="AK454" s="3">
        <v>0.08</v>
      </c>
      <c r="AL454" s="3">
        <v>0.08</v>
      </c>
      <c r="AM454" s="3">
        <v>0.08</v>
      </c>
      <c r="AN454" s="3">
        <v>0.08</v>
      </c>
      <c r="AO454" s="3">
        <v>0.08</v>
      </c>
      <c r="AP454" s="3">
        <v>0.08</v>
      </c>
    </row>
    <row r="455" spans="1:42" hidden="1" x14ac:dyDescent="0.3">
      <c r="A455" s="5" t="s">
        <v>595</v>
      </c>
      <c r="B455" s="5" t="s">
        <v>69</v>
      </c>
      <c r="C455" s="22">
        <v>45229</v>
      </c>
      <c r="D455" s="22">
        <v>45240</v>
      </c>
      <c r="E455" s="3">
        <v>0</v>
      </c>
      <c r="F455" s="3">
        <v>0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3">
        <v>0</v>
      </c>
      <c r="AC455" s="3">
        <v>0</v>
      </c>
      <c r="AD455" s="3">
        <v>0</v>
      </c>
      <c r="AE455" s="3">
        <v>0</v>
      </c>
      <c r="AF455" s="3">
        <v>0.02</v>
      </c>
      <c r="AG455" s="3">
        <v>0.08</v>
      </c>
      <c r="AH455" s="3">
        <v>0.08</v>
      </c>
      <c r="AI455" s="3">
        <v>0.08</v>
      </c>
      <c r="AJ455" s="3">
        <v>0.08</v>
      </c>
      <c r="AK455" s="3">
        <v>0.08</v>
      </c>
      <c r="AL455" s="3">
        <v>0.08</v>
      </c>
      <c r="AM455" s="3">
        <v>0.08</v>
      </c>
      <c r="AN455" s="3">
        <v>0.08</v>
      </c>
      <c r="AO455" s="3">
        <v>0.08</v>
      </c>
      <c r="AP455" s="3">
        <v>0.08</v>
      </c>
    </row>
    <row r="456" spans="1:42" hidden="1" x14ac:dyDescent="0.3">
      <c r="A456" s="15" t="s">
        <v>596</v>
      </c>
      <c r="B456" s="15" t="s">
        <v>11</v>
      </c>
      <c r="C456" s="20">
        <v>45320</v>
      </c>
      <c r="D456" s="20">
        <v>45345</v>
      </c>
      <c r="E456" s="8">
        <v>0</v>
      </c>
      <c r="F456" s="8">
        <v>0</v>
      </c>
      <c r="G456" s="8">
        <v>0</v>
      </c>
      <c r="H456" s="8">
        <v>0</v>
      </c>
      <c r="I456" s="8">
        <v>0</v>
      </c>
      <c r="J456" s="8">
        <v>0</v>
      </c>
      <c r="K456" s="8">
        <v>0</v>
      </c>
      <c r="L456" s="8">
        <v>0</v>
      </c>
      <c r="M456" s="8">
        <v>0</v>
      </c>
      <c r="N456" s="8">
        <v>0</v>
      </c>
      <c r="O456" s="8">
        <v>0</v>
      </c>
      <c r="P456" s="8">
        <v>0</v>
      </c>
      <c r="Q456" s="8">
        <v>0</v>
      </c>
      <c r="R456" s="8">
        <v>0</v>
      </c>
      <c r="S456" s="8">
        <v>0</v>
      </c>
      <c r="T456" s="8">
        <v>0</v>
      </c>
      <c r="U456" s="8">
        <v>0</v>
      </c>
      <c r="V456" s="8">
        <v>0</v>
      </c>
      <c r="W456" s="8">
        <v>0</v>
      </c>
      <c r="X456" s="8">
        <v>0</v>
      </c>
      <c r="Y456" s="8">
        <v>0</v>
      </c>
      <c r="Z456" s="8">
        <v>0</v>
      </c>
      <c r="AA456" s="8">
        <v>0</v>
      </c>
      <c r="AB456" s="8">
        <v>0</v>
      </c>
      <c r="AC456" s="8">
        <v>0</v>
      </c>
      <c r="AD456" s="8">
        <v>0</v>
      </c>
      <c r="AE456" s="8">
        <v>0</v>
      </c>
      <c r="AF456" s="8">
        <v>0</v>
      </c>
      <c r="AG456" s="8">
        <v>0</v>
      </c>
      <c r="AH456" s="8">
        <v>0</v>
      </c>
      <c r="AI456" s="8">
        <v>0.03</v>
      </c>
      <c r="AJ456" s="8">
        <v>0.19</v>
      </c>
      <c r="AK456" s="8">
        <v>0.19</v>
      </c>
      <c r="AL456" s="8">
        <v>0.19</v>
      </c>
      <c r="AM456" s="8">
        <v>0.19</v>
      </c>
      <c r="AN456" s="8">
        <v>0.19</v>
      </c>
      <c r="AO456" s="8">
        <v>0.19</v>
      </c>
      <c r="AP456" s="8">
        <v>0.19</v>
      </c>
    </row>
    <row r="457" spans="1:42" hidden="1" x14ac:dyDescent="0.3">
      <c r="A457" s="5" t="s">
        <v>597</v>
      </c>
      <c r="B457" s="5" t="s">
        <v>11</v>
      </c>
      <c r="C457" s="22">
        <v>45320</v>
      </c>
      <c r="D457" s="22">
        <v>45345</v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3">
        <v>0</v>
      </c>
      <c r="AD457" s="3">
        <v>0</v>
      </c>
      <c r="AE457" s="3">
        <v>0</v>
      </c>
      <c r="AF457" s="3">
        <v>0</v>
      </c>
      <c r="AG457" s="3">
        <v>0</v>
      </c>
      <c r="AH457" s="3">
        <v>0</v>
      </c>
      <c r="AI457" s="3">
        <v>0.03</v>
      </c>
      <c r="AJ457" s="3">
        <v>0.19</v>
      </c>
      <c r="AK457" s="3">
        <v>0.19</v>
      </c>
      <c r="AL457" s="3">
        <v>0.19</v>
      </c>
      <c r="AM457" s="3">
        <v>0.19</v>
      </c>
      <c r="AN457" s="3">
        <v>0.19</v>
      </c>
      <c r="AO457" s="3">
        <v>0.19</v>
      </c>
      <c r="AP457" s="3">
        <v>0.19</v>
      </c>
    </row>
    <row r="458" spans="1:42" hidden="1" x14ac:dyDescent="0.3">
      <c r="A458" s="15" t="s">
        <v>598</v>
      </c>
      <c r="B458" s="15" t="s">
        <v>70</v>
      </c>
      <c r="C458" s="20">
        <v>45042</v>
      </c>
      <c r="D458" s="20">
        <v>45089</v>
      </c>
      <c r="E458" s="8">
        <v>0</v>
      </c>
      <c r="F458" s="8">
        <v>0</v>
      </c>
      <c r="G458" s="8">
        <v>0</v>
      </c>
      <c r="H458" s="8">
        <v>0</v>
      </c>
      <c r="I458" s="8">
        <v>0</v>
      </c>
      <c r="J458" s="8">
        <v>0</v>
      </c>
      <c r="K458" s="8">
        <v>0</v>
      </c>
      <c r="L458" s="8">
        <v>0</v>
      </c>
      <c r="M458" s="8">
        <v>0</v>
      </c>
      <c r="N458" s="8">
        <v>0</v>
      </c>
      <c r="O458" s="8">
        <v>0</v>
      </c>
      <c r="P458" s="8">
        <v>0</v>
      </c>
      <c r="Q458" s="8">
        <v>0</v>
      </c>
      <c r="R458" s="8">
        <v>0</v>
      </c>
      <c r="S458" s="8">
        <v>0</v>
      </c>
      <c r="T458" s="8">
        <v>0</v>
      </c>
      <c r="U458" s="8">
        <v>0</v>
      </c>
      <c r="V458" s="8">
        <v>0</v>
      </c>
      <c r="W458" s="8">
        <v>0</v>
      </c>
      <c r="X458" s="8">
        <v>0</v>
      </c>
      <c r="Y458" s="8">
        <v>0</v>
      </c>
      <c r="Z458" s="8">
        <v>0.03</v>
      </c>
      <c r="AA458" s="8">
        <v>0.05</v>
      </c>
      <c r="AB458" s="8">
        <v>0.09</v>
      </c>
      <c r="AC458" s="8">
        <v>0.09</v>
      </c>
      <c r="AD458" s="8">
        <v>0.09</v>
      </c>
      <c r="AE458" s="8">
        <v>0.09</v>
      </c>
      <c r="AF458" s="8">
        <v>0.09</v>
      </c>
      <c r="AG458" s="8">
        <v>0.09</v>
      </c>
      <c r="AH458" s="8">
        <v>0.09</v>
      </c>
      <c r="AI458" s="8">
        <v>0.09</v>
      </c>
      <c r="AJ458" s="8">
        <v>0.09</v>
      </c>
      <c r="AK458" s="8">
        <v>0.09</v>
      </c>
      <c r="AL458" s="8">
        <v>0.09</v>
      </c>
      <c r="AM458" s="8">
        <v>0.09</v>
      </c>
      <c r="AN458" s="8">
        <v>0.09</v>
      </c>
      <c r="AO458" s="8">
        <v>0.09</v>
      </c>
      <c r="AP458" s="8">
        <v>0.09</v>
      </c>
    </row>
    <row r="459" spans="1:42" hidden="1" x14ac:dyDescent="0.3">
      <c r="A459" s="4" t="s">
        <v>599</v>
      </c>
      <c r="B459" s="4" t="s">
        <v>9</v>
      </c>
      <c r="C459" s="21">
        <v>45042</v>
      </c>
      <c r="D459" s="21">
        <v>45049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0.03</v>
      </c>
      <c r="AA459" s="2">
        <v>0.05</v>
      </c>
      <c r="AB459" s="2">
        <v>0.05</v>
      </c>
      <c r="AC459" s="2">
        <v>0.05</v>
      </c>
      <c r="AD459" s="2">
        <v>0.05</v>
      </c>
      <c r="AE459" s="2">
        <v>0.05</v>
      </c>
      <c r="AF459" s="2">
        <v>0.05</v>
      </c>
      <c r="AG459" s="2">
        <v>0.05</v>
      </c>
      <c r="AH459" s="2">
        <v>0.05</v>
      </c>
      <c r="AI459" s="2">
        <v>0.05</v>
      </c>
      <c r="AJ459" s="2">
        <v>0.05</v>
      </c>
      <c r="AK459" s="2">
        <v>0.05</v>
      </c>
      <c r="AL459" s="2">
        <v>0.05</v>
      </c>
      <c r="AM459" s="2">
        <v>0.05</v>
      </c>
      <c r="AN459" s="2">
        <v>0.05</v>
      </c>
      <c r="AO459" s="2">
        <v>0.05</v>
      </c>
      <c r="AP459" s="2">
        <v>0.05</v>
      </c>
    </row>
    <row r="460" spans="1:42" hidden="1" x14ac:dyDescent="0.3">
      <c r="A460" s="5" t="s">
        <v>600</v>
      </c>
      <c r="B460" s="5" t="s">
        <v>9</v>
      </c>
      <c r="C460" s="22">
        <v>45042</v>
      </c>
      <c r="D460" s="22">
        <v>45049</v>
      </c>
      <c r="E460" s="3">
        <v>0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0.03</v>
      </c>
      <c r="AA460" s="3">
        <v>0.05</v>
      </c>
      <c r="AB460" s="3">
        <v>0.05</v>
      </c>
      <c r="AC460" s="3">
        <v>0.05</v>
      </c>
      <c r="AD460" s="3">
        <v>0.05</v>
      </c>
      <c r="AE460" s="3">
        <v>0.05</v>
      </c>
      <c r="AF460" s="3">
        <v>0.05</v>
      </c>
      <c r="AG460" s="3">
        <v>0.05</v>
      </c>
      <c r="AH460" s="3">
        <v>0.05</v>
      </c>
      <c r="AI460" s="3">
        <v>0.05</v>
      </c>
      <c r="AJ460" s="3">
        <v>0.05</v>
      </c>
      <c r="AK460" s="3">
        <v>0.05</v>
      </c>
      <c r="AL460" s="3">
        <v>0.05</v>
      </c>
      <c r="AM460" s="3">
        <v>0.05</v>
      </c>
      <c r="AN460" s="3">
        <v>0.05</v>
      </c>
      <c r="AO460" s="3">
        <v>0.05</v>
      </c>
      <c r="AP460" s="3">
        <v>0.05</v>
      </c>
    </row>
    <row r="461" spans="1:42" hidden="1" x14ac:dyDescent="0.3">
      <c r="A461" s="5" t="s">
        <v>601</v>
      </c>
      <c r="B461" s="5" t="s">
        <v>9</v>
      </c>
      <c r="C461" s="22">
        <v>45082</v>
      </c>
      <c r="D461" s="22">
        <v>45089</v>
      </c>
      <c r="E461" s="3">
        <v>0</v>
      </c>
      <c r="F461" s="3">
        <v>0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3">
        <v>0.05</v>
      </c>
      <c r="AC461" s="3">
        <v>0.05</v>
      </c>
      <c r="AD461" s="3">
        <v>0.05</v>
      </c>
      <c r="AE461" s="3">
        <v>0.05</v>
      </c>
      <c r="AF461" s="3">
        <v>0.05</v>
      </c>
      <c r="AG461" s="3">
        <v>0.05</v>
      </c>
      <c r="AH461" s="3">
        <v>0.05</v>
      </c>
      <c r="AI461" s="3">
        <v>0.05</v>
      </c>
      <c r="AJ461" s="3">
        <v>0.05</v>
      </c>
      <c r="AK461" s="3">
        <v>0.05</v>
      </c>
      <c r="AL461" s="3">
        <v>0.05</v>
      </c>
      <c r="AM461" s="3">
        <v>0.05</v>
      </c>
      <c r="AN461" s="3">
        <v>0.05</v>
      </c>
      <c r="AO461" s="3">
        <v>0.05</v>
      </c>
      <c r="AP461" s="3">
        <v>0.05</v>
      </c>
    </row>
    <row r="462" spans="1:42" hidden="1" x14ac:dyDescent="0.3">
      <c r="A462" s="15" t="s">
        <v>602</v>
      </c>
      <c r="B462" s="15" t="s">
        <v>11</v>
      </c>
      <c r="C462" s="20">
        <v>45294</v>
      </c>
      <c r="D462" s="20">
        <v>45320</v>
      </c>
      <c r="E462" s="8">
        <v>0</v>
      </c>
      <c r="F462" s="8">
        <v>0</v>
      </c>
      <c r="G462" s="8">
        <v>0</v>
      </c>
      <c r="H462" s="8">
        <v>0</v>
      </c>
      <c r="I462" s="8">
        <v>0</v>
      </c>
      <c r="J462" s="8">
        <v>0</v>
      </c>
      <c r="K462" s="8">
        <v>0</v>
      </c>
      <c r="L462" s="8">
        <v>0</v>
      </c>
      <c r="M462" s="8">
        <v>0</v>
      </c>
      <c r="N462" s="8">
        <v>0</v>
      </c>
      <c r="O462" s="8">
        <v>0</v>
      </c>
      <c r="P462" s="8">
        <v>0</v>
      </c>
      <c r="Q462" s="8">
        <v>0</v>
      </c>
      <c r="R462" s="8">
        <v>0</v>
      </c>
      <c r="S462" s="8">
        <v>0</v>
      </c>
      <c r="T462" s="8">
        <v>0</v>
      </c>
      <c r="U462" s="8">
        <v>0</v>
      </c>
      <c r="V462" s="8">
        <v>0</v>
      </c>
      <c r="W462" s="8">
        <v>0</v>
      </c>
      <c r="X462" s="8">
        <v>0</v>
      </c>
      <c r="Y462" s="8">
        <v>0</v>
      </c>
      <c r="Z462" s="8">
        <v>0</v>
      </c>
      <c r="AA462" s="8">
        <v>0</v>
      </c>
      <c r="AB462" s="8">
        <v>0</v>
      </c>
      <c r="AC462" s="8">
        <v>0</v>
      </c>
      <c r="AD462" s="8">
        <v>0</v>
      </c>
      <c r="AE462" s="8">
        <v>0</v>
      </c>
      <c r="AF462" s="8">
        <v>0</v>
      </c>
      <c r="AG462" s="8">
        <v>0</v>
      </c>
      <c r="AH462" s="8">
        <v>0</v>
      </c>
      <c r="AI462" s="8">
        <v>0.19</v>
      </c>
      <c r="AJ462" s="8">
        <v>0.19</v>
      </c>
      <c r="AK462" s="8">
        <v>0.19</v>
      </c>
      <c r="AL462" s="8">
        <v>0.19</v>
      </c>
      <c r="AM462" s="8">
        <v>0.19</v>
      </c>
      <c r="AN462" s="8">
        <v>0.19</v>
      </c>
      <c r="AO462" s="8">
        <v>0.19</v>
      </c>
      <c r="AP462" s="8">
        <v>0.19</v>
      </c>
    </row>
    <row r="463" spans="1:42" hidden="1" x14ac:dyDescent="0.3">
      <c r="A463" s="5" t="s">
        <v>603</v>
      </c>
      <c r="B463" s="5" t="s">
        <v>11</v>
      </c>
      <c r="C463" s="22">
        <v>45294</v>
      </c>
      <c r="D463" s="22">
        <v>45320</v>
      </c>
      <c r="E463" s="3">
        <v>0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0</v>
      </c>
      <c r="AD463" s="3">
        <v>0</v>
      </c>
      <c r="AE463" s="3">
        <v>0</v>
      </c>
      <c r="AF463" s="3">
        <v>0</v>
      </c>
      <c r="AG463" s="3">
        <v>0</v>
      </c>
      <c r="AH463" s="3">
        <v>0</v>
      </c>
      <c r="AI463" s="3">
        <v>0.19</v>
      </c>
      <c r="AJ463" s="3">
        <v>0.19</v>
      </c>
      <c r="AK463" s="3">
        <v>0.19</v>
      </c>
      <c r="AL463" s="3">
        <v>0.19</v>
      </c>
      <c r="AM463" s="3">
        <v>0.19</v>
      </c>
      <c r="AN463" s="3">
        <v>0.19</v>
      </c>
      <c r="AO463" s="3">
        <v>0.19</v>
      </c>
      <c r="AP463" s="3">
        <v>0.19</v>
      </c>
    </row>
    <row r="464" spans="1:42" hidden="1" x14ac:dyDescent="0.3">
      <c r="A464" s="15" t="s">
        <v>604</v>
      </c>
      <c r="B464" s="15" t="s">
        <v>71</v>
      </c>
      <c r="C464" s="20">
        <v>45114</v>
      </c>
      <c r="D464" s="20">
        <v>45274</v>
      </c>
      <c r="E464" s="8">
        <v>0</v>
      </c>
      <c r="F464" s="8">
        <v>0</v>
      </c>
      <c r="G464" s="8">
        <v>0</v>
      </c>
      <c r="H464" s="8">
        <v>0</v>
      </c>
      <c r="I464" s="8">
        <v>0</v>
      </c>
      <c r="J464" s="8">
        <v>0</v>
      </c>
      <c r="K464" s="8">
        <v>0</v>
      </c>
      <c r="L464" s="8">
        <v>0</v>
      </c>
      <c r="M464" s="8">
        <v>0</v>
      </c>
      <c r="N464" s="8">
        <v>0</v>
      </c>
      <c r="O464" s="8">
        <v>0</v>
      </c>
      <c r="P464" s="8">
        <v>0</v>
      </c>
      <c r="Q464" s="8">
        <v>0</v>
      </c>
      <c r="R464" s="8">
        <v>0</v>
      </c>
      <c r="S464" s="8">
        <v>0</v>
      </c>
      <c r="T464" s="8">
        <v>0</v>
      </c>
      <c r="U464" s="8">
        <v>0</v>
      </c>
      <c r="V464" s="8">
        <v>0</v>
      </c>
      <c r="W464" s="8">
        <v>0</v>
      </c>
      <c r="X464" s="8">
        <v>0</v>
      </c>
      <c r="Y464" s="8">
        <v>0</v>
      </c>
      <c r="Z464" s="8">
        <v>0</v>
      </c>
      <c r="AA464" s="8">
        <v>0</v>
      </c>
      <c r="AB464" s="8">
        <v>0</v>
      </c>
      <c r="AC464" s="8">
        <v>0.34</v>
      </c>
      <c r="AD464" s="8">
        <v>0.82</v>
      </c>
      <c r="AE464" s="8">
        <v>1.75</v>
      </c>
      <c r="AF464" s="8">
        <v>1.97</v>
      </c>
      <c r="AG464" s="8">
        <v>2.17</v>
      </c>
      <c r="AH464" s="8">
        <v>2.27</v>
      </c>
      <c r="AI464" s="8">
        <v>2.27</v>
      </c>
      <c r="AJ464" s="8">
        <v>2.27</v>
      </c>
      <c r="AK464" s="8">
        <v>2.27</v>
      </c>
      <c r="AL464" s="8">
        <v>2.27</v>
      </c>
      <c r="AM464" s="8">
        <v>2.27</v>
      </c>
      <c r="AN464" s="8">
        <v>2.27</v>
      </c>
      <c r="AO464" s="8">
        <v>2.27</v>
      </c>
      <c r="AP464" s="8">
        <v>2.27</v>
      </c>
    </row>
    <row r="465" spans="1:42" hidden="1" x14ac:dyDescent="0.3">
      <c r="A465" s="4" t="s">
        <v>605</v>
      </c>
      <c r="B465" s="4" t="s">
        <v>72</v>
      </c>
      <c r="C465" s="21">
        <v>45114</v>
      </c>
      <c r="D465" s="21">
        <v>45273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0.34</v>
      </c>
      <c r="AD465" s="2">
        <v>0.82</v>
      </c>
      <c r="AE465" s="2">
        <v>1.18</v>
      </c>
      <c r="AF465" s="2">
        <v>1.39</v>
      </c>
      <c r="AG465" s="2">
        <v>1.6</v>
      </c>
      <c r="AH465" s="2">
        <v>1.69</v>
      </c>
      <c r="AI465" s="2">
        <v>1.69</v>
      </c>
      <c r="AJ465" s="2">
        <v>1.69</v>
      </c>
      <c r="AK465" s="2">
        <v>1.69</v>
      </c>
      <c r="AL465" s="2">
        <v>1.69</v>
      </c>
      <c r="AM465" s="2">
        <v>1.69</v>
      </c>
      <c r="AN465" s="2">
        <v>1.69</v>
      </c>
      <c r="AO465" s="2">
        <v>1.69</v>
      </c>
      <c r="AP465" s="2">
        <v>1.69</v>
      </c>
    </row>
    <row r="466" spans="1:42" hidden="1" x14ac:dyDescent="0.3">
      <c r="A466" s="5" t="s">
        <v>606</v>
      </c>
      <c r="B466" s="5" t="s">
        <v>73</v>
      </c>
      <c r="C466" s="22">
        <v>45114</v>
      </c>
      <c r="D466" s="22">
        <v>45191</v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0.34</v>
      </c>
      <c r="AD466" s="3">
        <v>0.82</v>
      </c>
      <c r="AE466" s="3">
        <v>1.1200000000000001</v>
      </c>
      <c r="AF466" s="3">
        <v>1.1200000000000001</v>
      </c>
      <c r="AG466" s="3">
        <v>1.1200000000000001</v>
      </c>
      <c r="AH466" s="3">
        <v>1.1200000000000001</v>
      </c>
      <c r="AI466" s="3">
        <v>1.1200000000000001</v>
      </c>
      <c r="AJ466" s="3">
        <v>1.1200000000000001</v>
      </c>
      <c r="AK466" s="3">
        <v>1.1200000000000001</v>
      </c>
      <c r="AL466" s="3">
        <v>1.1200000000000001</v>
      </c>
      <c r="AM466" s="3">
        <v>1.1200000000000001</v>
      </c>
      <c r="AN466" s="3">
        <v>1.1200000000000001</v>
      </c>
      <c r="AO466" s="3">
        <v>1.1200000000000001</v>
      </c>
      <c r="AP466" s="3">
        <v>1.1200000000000001</v>
      </c>
    </row>
    <row r="467" spans="1:42" hidden="1" x14ac:dyDescent="0.3">
      <c r="A467" s="5" t="s">
        <v>607</v>
      </c>
      <c r="B467" s="5" t="s">
        <v>73</v>
      </c>
      <c r="C467" s="22">
        <v>45194</v>
      </c>
      <c r="D467" s="22">
        <v>45273</v>
      </c>
      <c r="E467" s="3">
        <v>0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0.05</v>
      </c>
      <c r="AF467" s="3">
        <v>0.27</v>
      </c>
      <c r="AG467" s="3">
        <v>0.47</v>
      </c>
      <c r="AH467" s="3">
        <v>0.56000000000000005</v>
      </c>
      <c r="AI467" s="3">
        <v>0.56000000000000005</v>
      </c>
      <c r="AJ467" s="3">
        <v>0.56000000000000005</v>
      </c>
      <c r="AK467" s="3">
        <v>0.56000000000000005</v>
      </c>
      <c r="AL467" s="3">
        <v>0.56000000000000005</v>
      </c>
      <c r="AM467" s="3">
        <v>0.56000000000000005</v>
      </c>
      <c r="AN467" s="3">
        <v>0.56000000000000005</v>
      </c>
      <c r="AO467" s="3">
        <v>0.56000000000000005</v>
      </c>
      <c r="AP467" s="3">
        <v>0.56000000000000005</v>
      </c>
    </row>
    <row r="468" spans="1:42" hidden="1" x14ac:dyDescent="0.3">
      <c r="A468" s="4" t="s">
        <v>608</v>
      </c>
      <c r="B468" s="4" t="s">
        <v>74</v>
      </c>
      <c r="C468" s="21">
        <v>45194</v>
      </c>
      <c r="D468" s="21">
        <v>45274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0.56999999999999995</v>
      </c>
      <c r="AF468" s="2">
        <v>0.56999999999999995</v>
      </c>
      <c r="AG468" s="2">
        <v>0.56999999999999995</v>
      </c>
      <c r="AH468" s="2">
        <v>0.57999999999999996</v>
      </c>
      <c r="AI468" s="2">
        <v>0.57999999999999996</v>
      </c>
      <c r="AJ468" s="2">
        <v>0.57999999999999996</v>
      </c>
      <c r="AK468" s="2">
        <v>0.57999999999999996</v>
      </c>
      <c r="AL468" s="2">
        <v>0.57999999999999996</v>
      </c>
      <c r="AM468" s="2">
        <v>0.57999999999999996</v>
      </c>
      <c r="AN468" s="2">
        <v>0.57999999999999996</v>
      </c>
      <c r="AO468" s="2">
        <v>0.57999999999999996</v>
      </c>
      <c r="AP468" s="2">
        <v>0.57999999999999996</v>
      </c>
    </row>
    <row r="469" spans="1:42" hidden="1" x14ac:dyDescent="0.3">
      <c r="A469" s="5" t="s">
        <v>609</v>
      </c>
      <c r="B469" s="5" t="s">
        <v>29</v>
      </c>
      <c r="C469" s="22">
        <v>45194</v>
      </c>
      <c r="D469" s="22">
        <v>45194</v>
      </c>
      <c r="E469" s="3">
        <v>0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0</v>
      </c>
      <c r="AD469" s="3">
        <v>0</v>
      </c>
      <c r="AE469" s="3">
        <v>0.56999999999999995</v>
      </c>
      <c r="AF469" s="3">
        <v>0.56999999999999995</v>
      </c>
      <c r="AG469" s="3">
        <v>0.56999999999999995</v>
      </c>
      <c r="AH469" s="3">
        <v>0.56999999999999995</v>
      </c>
      <c r="AI469" s="3">
        <v>0.56999999999999995</v>
      </c>
      <c r="AJ469" s="3">
        <v>0.56999999999999995</v>
      </c>
      <c r="AK469" s="3">
        <v>0.56999999999999995</v>
      </c>
      <c r="AL469" s="3">
        <v>0.56999999999999995</v>
      </c>
      <c r="AM469" s="3">
        <v>0.56999999999999995</v>
      </c>
      <c r="AN469" s="3">
        <v>0.56999999999999995</v>
      </c>
      <c r="AO469" s="3">
        <v>0.56999999999999995</v>
      </c>
      <c r="AP469" s="3">
        <v>0.56999999999999995</v>
      </c>
    </row>
    <row r="470" spans="1:42" hidden="1" x14ac:dyDescent="0.3">
      <c r="A470" s="5" t="s">
        <v>610</v>
      </c>
      <c r="B470" s="5" t="s">
        <v>29</v>
      </c>
      <c r="C470" s="22">
        <v>45273</v>
      </c>
      <c r="D470" s="22">
        <v>45274</v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  <c r="AF470" s="3">
        <v>0</v>
      </c>
      <c r="AG470" s="3">
        <v>0</v>
      </c>
      <c r="AH470" s="3">
        <v>0.01</v>
      </c>
      <c r="AI470" s="3">
        <v>0.01</v>
      </c>
      <c r="AJ470" s="3">
        <v>0.01</v>
      </c>
      <c r="AK470" s="3">
        <v>0.01</v>
      </c>
      <c r="AL470" s="3">
        <v>0.01</v>
      </c>
      <c r="AM470" s="3">
        <v>0.01</v>
      </c>
      <c r="AN470" s="3">
        <v>0.01</v>
      </c>
      <c r="AO470" s="3">
        <v>0.01</v>
      </c>
      <c r="AP470" s="3">
        <v>0.01</v>
      </c>
    </row>
    <row r="471" spans="1:42" hidden="1" x14ac:dyDescent="0.3">
      <c r="A471" s="15" t="s">
        <v>611</v>
      </c>
      <c r="B471" s="15" t="s">
        <v>75</v>
      </c>
      <c r="C471" s="20">
        <v>45239</v>
      </c>
      <c r="D471" s="20">
        <v>45273</v>
      </c>
      <c r="E471" s="8">
        <v>0</v>
      </c>
      <c r="F471" s="8">
        <v>0</v>
      </c>
      <c r="G471" s="8">
        <v>0</v>
      </c>
      <c r="H471" s="8">
        <v>0</v>
      </c>
      <c r="I471" s="8">
        <v>0</v>
      </c>
      <c r="J471" s="8">
        <v>0</v>
      </c>
      <c r="K471" s="8">
        <v>0</v>
      </c>
      <c r="L471" s="8">
        <v>0</v>
      </c>
      <c r="M471" s="8">
        <v>0</v>
      </c>
      <c r="N471" s="8">
        <v>0</v>
      </c>
      <c r="O471" s="8">
        <v>0</v>
      </c>
      <c r="P471" s="8">
        <v>0</v>
      </c>
      <c r="Q471" s="8">
        <v>0</v>
      </c>
      <c r="R471" s="8">
        <v>0</v>
      </c>
      <c r="S471" s="8">
        <v>0</v>
      </c>
      <c r="T471" s="8">
        <v>0</v>
      </c>
      <c r="U471" s="8">
        <v>0</v>
      </c>
      <c r="V471" s="8">
        <v>0</v>
      </c>
      <c r="W471" s="8">
        <v>0</v>
      </c>
      <c r="X471" s="8">
        <v>0</v>
      </c>
      <c r="Y471" s="8">
        <v>0</v>
      </c>
      <c r="Z471" s="8">
        <v>0</v>
      </c>
      <c r="AA471" s="8">
        <v>0</v>
      </c>
      <c r="AB471" s="8">
        <v>0</v>
      </c>
      <c r="AC471" s="8">
        <v>0</v>
      </c>
      <c r="AD471" s="8">
        <v>0</v>
      </c>
      <c r="AE471" s="8">
        <v>0</v>
      </c>
      <c r="AF471" s="8">
        <v>0</v>
      </c>
      <c r="AG471" s="8">
        <v>0.15</v>
      </c>
      <c r="AH471" s="8">
        <v>0.23</v>
      </c>
      <c r="AI471" s="8">
        <v>0.23</v>
      </c>
      <c r="AJ471" s="8">
        <v>0.23</v>
      </c>
      <c r="AK471" s="8">
        <v>0.23</v>
      </c>
      <c r="AL471" s="8">
        <v>0.23</v>
      </c>
      <c r="AM471" s="8">
        <v>0.23</v>
      </c>
      <c r="AN471" s="8">
        <v>0.23</v>
      </c>
      <c r="AO471" s="8">
        <v>0.23</v>
      </c>
      <c r="AP471" s="8">
        <v>0.23</v>
      </c>
    </row>
    <row r="472" spans="1:42" hidden="1" x14ac:dyDescent="0.3">
      <c r="A472" s="5" t="s">
        <v>612</v>
      </c>
      <c r="B472" s="5" t="s">
        <v>75</v>
      </c>
      <c r="C472" s="22">
        <v>45239</v>
      </c>
      <c r="D472" s="22">
        <v>45273</v>
      </c>
      <c r="E472" s="3">
        <v>0</v>
      </c>
      <c r="F472" s="3">
        <v>0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0.15</v>
      </c>
      <c r="AH472" s="3">
        <v>0.23</v>
      </c>
      <c r="AI472" s="3">
        <v>0.23</v>
      </c>
      <c r="AJ472" s="3">
        <v>0.23</v>
      </c>
      <c r="AK472" s="3">
        <v>0.23</v>
      </c>
      <c r="AL472" s="3">
        <v>0.23</v>
      </c>
      <c r="AM472" s="3">
        <v>0.23</v>
      </c>
      <c r="AN472" s="3">
        <v>0.23</v>
      </c>
      <c r="AO472" s="3">
        <v>0.23</v>
      </c>
      <c r="AP472" s="3">
        <v>0.23</v>
      </c>
    </row>
    <row r="473" spans="1:42" hidden="1" x14ac:dyDescent="0.3">
      <c r="A473" s="15" t="s">
        <v>613</v>
      </c>
      <c r="B473" s="15" t="s">
        <v>33</v>
      </c>
      <c r="C473" s="20">
        <v>44932</v>
      </c>
      <c r="D473" s="20">
        <v>44943</v>
      </c>
      <c r="E473" s="8">
        <v>0</v>
      </c>
      <c r="F473" s="8">
        <v>0</v>
      </c>
      <c r="G473" s="8">
        <v>0</v>
      </c>
      <c r="H473" s="8">
        <v>0</v>
      </c>
      <c r="I473" s="8">
        <v>0</v>
      </c>
      <c r="J473" s="8">
        <v>0</v>
      </c>
      <c r="K473" s="8">
        <v>0</v>
      </c>
      <c r="L473" s="8">
        <v>0</v>
      </c>
      <c r="M473" s="8">
        <v>0</v>
      </c>
      <c r="N473" s="8">
        <v>0</v>
      </c>
      <c r="O473" s="8">
        <v>0</v>
      </c>
      <c r="P473" s="8">
        <v>0</v>
      </c>
      <c r="Q473" s="8">
        <v>0</v>
      </c>
      <c r="R473" s="8">
        <v>0</v>
      </c>
      <c r="S473" s="8">
        <v>0</v>
      </c>
      <c r="T473" s="8">
        <v>0</v>
      </c>
      <c r="U473" s="8">
        <v>0</v>
      </c>
      <c r="V473" s="8">
        <v>0</v>
      </c>
      <c r="W473" s="8">
        <v>7.0000000000000007E-2</v>
      </c>
      <c r="X473" s="8">
        <v>7.0000000000000007E-2</v>
      </c>
      <c r="Y473" s="8">
        <v>7.0000000000000007E-2</v>
      </c>
      <c r="Z473" s="8">
        <v>7.0000000000000007E-2</v>
      </c>
      <c r="AA473" s="8">
        <v>7.0000000000000007E-2</v>
      </c>
      <c r="AB473" s="8">
        <v>7.0000000000000007E-2</v>
      </c>
      <c r="AC473" s="8">
        <v>7.0000000000000007E-2</v>
      </c>
      <c r="AD473" s="8">
        <v>7.0000000000000007E-2</v>
      </c>
      <c r="AE473" s="8">
        <v>7.0000000000000007E-2</v>
      </c>
      <c r="AF473" s="8">
        <v>7.0000000000000007E-2</v>
      </c>
      <c r="AG473" s="8">
        <v>7.0000000000000007E-2</v>
      </c>
      <c r="AH473" s="8">
        <v>7.0000000000000007E-2</v>
      </c>
      <c r="AI473" s="8">
        <v>7.0000000000000007E-2</v>
      </c>
      <c r="AJ473" s="8">
        <v>7.0000000000000007E-2</v>
      </c>
      <c r="AK473" s="8">
        <v>7.0000000000000007E-2</v>
      </c>
      <c r="AL473" s="8">
        <v>7.0000000000000007E-2</v>
      </c>
      <c r="AM473" s="8">
        <v>7.0000000000000007E-2</v>
      </c>
      <c r="AN473" s="8">
        <v>7.0000000000000007E-2</v>
      </c>
      <c r="AO473" s="8">
        <v>7.0000000000000007E-2</v>
      </c>
      <c r="AP473" s="8">
        <v>7.0000000000000007E-2</v>
      </c>
    </row>
    <row r="474" spans="1:42" hidden="1" x14ac:dyDescent="0.3">
      <c r="A474" s="4" t="s">
        <v>614</v>
      </c>
      <c r="B474" s="4" t="s">
        <v>33</v>
      </c>
      <c r="C474" s="21">
        <v>44932</v>
      </c>
      <c r="D474" s="21">
        <v>44943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7.0000000000000007E-2</v>
      </c>
      <c r="X474" s="2">
        <v>7.0000000000000007E-2</v>
      </c>
      <c r="Y474" s="2">
        <v>7.0000000000000007E-2</v>
      </c>
      <c r="Z474" s="2">
        <v>7.0000000000000007E-2</v>
      </c>
      <c r="AA474" s="2">
        <v>7.0000000000000007E-2</v>
      </c>
      <c r="AB474" s="2">
        <v>7.0000000000000007E-2</v>
      </c>
      <c r="AC474" s="2">
        <v>7.0000000000000007E-2</v>
      </c>
      <c r="AD474" s="2">
        <v>7.0000000000000007E-2</v>
      </c>
      <c r="AE474" s="2">
        <v>7.0000000000000007E-2</v>
      </c>
      <c r="AF474" s="2">
        <v>7.0000000000000007E-2</v>
      </c>
      <c r="AG474" s="2">
        <v>7.0000000000000007E-2</v>
      </c>
      <c r="AH474" s="2">
        <v>7.0000000000000007E-2</v>
      </c>
      <c r="AI474" s="2">
        <v>7.0000000000000007E-2</v>
      </c>
      <c r="AJ474" s="2">
        <v>7.0000000000000007E-2</v>
      </c>
      <c r="AK474" s="2">
        <v>7.0000000000000007E-2</v>
      </c>
      <c r="AL474" s="2">
        <v>7.0000000000000007E-2</v>
      </c>
      <c r="AM474" s="2">
        <v>7.0000000000000007E-2</v>
      </c>
      <c r="AN474" s="2">
        <v>7.0000000000000007E-2</v>
      </c>
      <c r="AO474" s="2">
        <v>7.0000000000000007E-2</v>
      </c>
      <c r="AP474" s="2">
        <v>7.0000000000000007E-2</v>
      </c>
    </row>
    <row r="475" spans="1:42" hidden="1" x14ac:dyDescent="0.3">
      <c r="A475" s="5" t="s">
        <v>615</v>
      </c>
      <c r="B475" s="5" t="s">
        <v>33</v>
      </c>
      <c r="C475" s="22">
        <v>44932</v>
      </c>
      <c r="D475" s="22">
        <v>44943</v>
      </c>
      <c r="E475" s="3">
        <v>0</v>
      </c>
      <c r="F475" s="3">
        <v>0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7.0000000000000007E-2</v>
      </c>
      <c r="X475" s="3">
        <v>7.0000000000000007E-2</v>
      </c>
      <c r="Y475" s="3">
        <v>7.0000000000000007E-2</v>
      </c>
      <c r="Z475" s="3">
        <v>7.0000000000000007E-2</v>
      </c>
      <c r="AA475" s="3">
        <v>7.0000000000000007E-2</v>
      </c>
      <c r="AB475" s="3">
        <v>7.0000000000000007E-2</v>
      </c>
      <c r="AC475" s="3">
        <v>7.0000000000000007E-2</v>
      </c>
      <c r="AD475" s="3">
        <v>7.0000000000000007E-2</v>
      </c>
      <c r="AE475" s="3">
        <v>7.0000000000000007E-2</v>
      </c>
      <c r="AF475" s="3">
        <v>7.0000000000000007E-2</v>
      </c>
      <c r="AG475" s="3">
        <v>7.0000000000000007E-2</v>
      </c>
      <c r="AH475" s="3">
        <v>7.0000000000000007E-2</v>
      </c>
      <c r="AI475" s="3">
        <v>7.0000000000000007E-2</v>
      </c>
      <c r="AJ475" s="3">
        <v>7.0000000000000007E-2</v>
      </c>
      <c r="AK475" s="3">
        <v>7.0000000000000007E-2</v>
      </c>
      <c r="AL475" s="3">
        <v>7.0000000000000007E-2</v>
      </c>
      <c r="AM475" s="3">
        <v>7.0000000000000007E-2</v>
      </c>
      <c r="AN475" s="3">
        <v>7.0000000000000007E-2</v>
      </c>
      <c r="AO475" s="3">
        <v>7.0000000000000007E-2</v>
      </c>
      <c r="AP475" s="3">
        <v>7.0000000000000007E-2</v>
      </c>
    </row>
    <row r="476" spans="1:42" hidden="1" x14ac:dyDescent="0.3">
      <c r="A476" s="15" t="s">
        <v>616</v>
      </c>
      <c r="B476" s="15" t="s">
        <v>9</v>
      </c>
      <c r="C476" s="20">
        <v>44965</v>
      </c>
      <c r="D476" s="20">
        <v>44971</v>
      </c>
      <c r="E476" s="8">
        <v>0</v>
      </c>
      <c r="F476" s="8">
        <v>0</v>
      </c>
      <c r="G476" s="8">
        <v>0</v>
      </c>
      <c r="H476" s="8">
        <v>0</v>
      </c>
      <c r="I476" s="8">
        <v>0</v>
      </c>
      <c r="J476" s="8">
        <v>0</v>
      </c>
      <c r="K476" s="8">
        <v>0</v>
      </c>
      <c r="L476" s="8">
        <v>0</v>
      </c>
      <c r="M476" s="8">
        <v>0</v>
      </c>
      <c r="N476" s="8">
        <v>0</v>
      </c>
      <c r="O476" s="8">
        <v>0</v>
      </c>
      <c r="P476" s="8">
        <v>0</v>
      </c>
      <c r="Q476" s="8">
        <v>0</v>
      </c>
      <c r="R476" s="8">
        <v>0</v>
      </c>
      <c r="S476" s="8">
        <v>0</v>
      </c>
      <c r="T476" s="8">
        <v>0</v>
      </c>
      <c r="U476" s="8">
        <v>0</v>
      </c>
      <c r="V476" s="8">
        <v>0</v>
      </c>
      <c r="W476" s="8">
        <v>0</v>
      </c>
      <c r="X476" s="8">
        <v>0.05</v>
      </c>
      <c r="Y476" s="8">
        <v>0.05</v>
      </c>
      <c r="Z476" s="8">
        <v>0.05</v>
      </c>
      <c r="AA476" s="8">
        <v>0.05</v>
      </c>
      <c r="AB476" s="8">
        <v>0.05</v>
      </c>
      <c r="AC476" s="8">
        <v>0.05</v>
      </c>
      <c r="AD476" s="8">
        <v>0.05</v>
      </c>
      <c r="AE476" s="8">
        <v>0.05</v>
      </c>
      <c r="AF476" s="8">
        <v>0.05</v>
      </c>
      <c r="AG476" s="8">
        <v>0.05</v>
      </c>
      <c r="AH476" s="8">
        <v>0.05</v>
      </c>
      <c r="AI476" s="8">
        <v>0.05</v>
      </c>
      <c r="AJ476" s="8">
        <v>0.05</v>
      </c>
      <c r="AK476" s="8">
        <v>0.05</v>
      </c>
      <c r="AL476" s="8">
        <v>0.05</v>
      </c>
      <c r="AM476" s="8">
        <v>0.05</v>
      </c>
      <c r="AN476" s="8">
        <v>0.05</v>
      </c>
      <c r="AO476" s="8">
        <v>0.05</v>
      </c>
      <c r="AP476" s="8">
        <v>0.05</v>
      </c>
    </row>
    <row r="477" spans="1:42" hidden="1" x14ac:dyDescent="0.3">
      <c r="A477" s="5" t="s">
        <v>617</v>
      </c>
      <c r="B477" s="5" t="s">
        <v>9</v>
      </c>
      <c r="C477" s="22">
        <v>44965</v>
      </c>
      <c r="D477" s="22">
        <v>44971</v>
      </c>
      <c r="E477" s="3">
        <v>0</v>
      </c>
      <c r="F477" s="3">
        <v>0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0.05</v>
      </c>
      <c r="Y477" s="3">
        <v>0.05</v>
      </c>
      <c r="Z477" s="3">
        <v>0.05</v>
      </c>
      <c r="AA477" s="3">
        <v>0.05</v>
      </c>
      <c r="AB477" s="3">
        <v>0.05</v>
      </c>
      <c r="AC477" s="3">
        <v>0.05</v>
      </c>
      <c r="AD477" s="3">
        <v>0.05</v>
      </c>
      <c r="AE477" s="3">
        <v>0.05</v>
      </c>
      <c r="AF477" s="3">
        <v>0.05</v>
      </c>
      <c r="AG477" s="3">
        <v>0.05</v>
      </c>
      <c r="AH477" s="3">
        <v>0.05</v>
      </c>
      <c r="AI477" s="3">
        <v>0.05</v>
      </c>
      <c r="AJ477" s="3">
        <v>0.05</v>
      </c>
      <c r="AK477" s="3">
        <v>0.05</v>
      </c>
      <c r="AL477" s="3">
        <v>0.05</v>
      </c>
      <c r="AM477" s="3">
        <v>0.05</v>
      </c>
      <c r="AN477" s="3">
        <v>0.05</v>
      </c>
      <c r="AO477" s="3">
        <v>0.05</v>
      </c>
      <c r="AP477" s="3">
        <v>0.05</v>
      </c>
    </row>
    <row r="478" spans="1:42" hidden="1" x14ac:dyDescent="0.3">
      <c r="A478" s="14" t="s">
        <v>618</v>
      </c>
      <c r="B478" s="14" t="s">
        <v>76</v>
      </c>
      <c r="C478" s="19">
        <v>44908</v>
      </c>
      <c r="D478" s="19">
        <v>45119</v>
      </c>
      <c r="E478" s="7">
        <v>0</v>
      </c>
      <c r="F478" s="7">
        <v>0</v>
      </c>
      <c r="G478" s="7">
        <v>0</v>
      </c>
      <c r="H478" s="7">
        <v>0</v>
      </c>
      <c r="I478" s="7">
        <v>0</v>
      </c>
      <c r="J478" s="7">
        <v>0</v>
      </c>
      <c r="K478" s="7">
        <v>0</v>
      </c>
      <c r="L478" s="7">
        <v>0</v>
      </c>
      <c r="M478" s="7">
        <v>0</v>
      </c>
      <c r="N478" s="7">
        <v>0</v>
      </c>
      <c r="O478" s="7">
        <v>0</v>
      </c>
      <c r="P478" s="7">
        <v>0</v>
      </c>
      <c r="Q478" s="7">
        <v>0</v>
      </c>
      <c r="R478" s="7">
        <v>0</v>
      </c>
      <c r="S478" s="7">
        <v>0</v>
      </c>
      <c r="T478" s="7">
        <v>0</v>
      </c>
      <c r="U478" s="7">
        <v>0</v>
      </c>
      <c r="V478" s="7">
        <v>0.13</v>
      </c>
      <c r="W478" s="7">
        <v>0.22</v>
      </c>
      <c r="X478" s="7">
        <v>0.4</v>
      </c>
      <c r="Y478" s="7">
        <v>0.66</v>
      </c>
      <c r="Z478" s="7">
        <v>2.0299999999999998</v>
      </c>
      <c r="AA478" s="7">
        <v>2.85</v>
      </c>
      <c r="AB478" s="7">
        <v>3.33</v>
      </c>
      <c r="AC478" s="7">
        <v>4.04</v>
      </c>
      <c r="AD478" s="7">
        <v>4.04</v>
      </c>
      <c r="AE478" s="7">
        <v>4.04</v>
      </c>
      <c r="AF478" s="7">
        <v>4.04</v>
      </c>
      <c r="AG478" s="7">
        <v>4.04</v>
      </c>
      <c r="AH478" s="7">
        <v>4.04</v>
      </c>
      <c r="AI478" s="7">
        <v>4.04</v>
      </c>
      <c r="AJ478" s="7">
        <v>4.04</v>
      </c>
      <c r="AK478" s="7">
        <v>4.04</v>
      </c>
      <c r="AL478" s="7">
        <v>4.04</v>
      </c>
      <c r="AM478" s="7">
        <v>4.04</v>
      </c>
      <c r="AN478" s="7">
        <v>4.04</v>
      </c>
      <c r="AO478" s="7">
        <v>4.04</v>
      </c>
      <c r="AP478" s="7">
        <v>4.04</v>
      </c>
    </row>
    <row r="479" spans="1:42" hidden="1" x14ac:dyDescent="0.3">
      <c r="A479" s="15" t="s">
        <v>619</v>
      </c>
      <c r="B479" s="15" t="s">
        <v>77</v>
      </c>
      <c r="C479" s="20">
        <v>45027</v>
      </c>
      <c r="D479" s="20">
        <v>45069</v>
      </c>
      <c r="E479" s="8">
        <v>0</v>
      </c>
      <c r="F479" s="8">
        <v>0</v>
      </c>
      <c r="G479" s="8">
        <v>0</v>
      </c>
      <c r="H479" s="8">
        <v>0</v>
      </c>
      <c r="I479" s="8">
        <v>0</v>
      </c>
      <c r="J479" s="8">
        <v>0</v>
      </c>
      <c r="K479" s="8">
        <v>0</v>
      </c>
      <c r="L479" s="8">
        <v>0</v>
      </c>
      <c r="M479" s="8">
        <v>0</v>
      </c>
      <c r="N479" s="8">
        <v>0</v>
      </c>
      <c r="O479" s="8">
        <v>0</v>
      </c>
      <c r="P479" s="8">
        <v>0</v>
      </c>
      <c r="Q479" s="8">
        <v>0</v>
      </c>
      <c r="R479" s="8">
        <v>0</v>
      </c>
      <c r="S479" s="8">
        <v>0</v>
      </c>
      <c r="T479" s="8">
        <v>0</v>
      </c>
      <c r="U479" s="8">
        <v>0</v>
      </c>
      <c r="V479" s="8">
        <v>0</v>
      </c>
      <c r="W479" s="8">
        <v>0</v>
      </c>
      <c r="X479" s="8">
        <v>0</v>
      </c>
      <c r="Y479" s="8">
        <v>0</v>
      </c>
      <c r="Z479" s="8">
        <v>0.04</v>
      </c>
      <c r="AA479" s="8">
        <v>0.46</v>
      </c>
      <c r="AB479" s="8">
        <v>0.46</v>
      </c>
      <c r="AC479" s="8">
        <v>0.46</v>
      </c>
      <c r="AD479" s="8">
        <v>0.46</v>
      </c>
      <c r="AE479" s="8">
        <v>0.46</v>
      </c>
      <c r="AF479" s="8">
        <v>0.46</v>
      </c>
      <c r="AG479" s="8">
        <v>0.46</v>
      </c>
      <c r="AH479" s="8">
        <v>0.46</v>
      </c>
      <c r="AI479" s="8">
        <v>0.46</v>
      </c>
      <c r="AJ479" s="8">
        <v>0.46</v>
      </c>
      <c r="AK479" s="8">
        <v>0.46</v>
      </c>
      <c r="AL479" s="8">
        <v>0.46</v>
      </c>
      <c r="AM479" s="8">
        <v>0.46</v>
      </c>
      <c r="AN479" s="8">
        <v>0.46</v>
      </c>
      <c r="AO479" s="8">
        <v>0.46</v>
      </c>
      <c r="AP479" s="8">
        <v>0.46</v>
      </c>
    </row>
    <row r="480" spans="1:42" hidden="1" x14ac:dyDescent="0.3">
      <c r="A480" s="5" t="s">
        <v>620</v>
      </c>
      <c r="B480" s="5" t="s">
        <v>9</v>
      </c>
      <c r="C480" s="22">
        <v>45055</v>
      </c>
      <c r="D480" s="22">
        <v>45062</v>
      </c>
      <c r="E480" s="3">
        <v>0</v>
      </c>
      <c r="F480" s="3">
        <v>0</v>
      </c>
      <c r="G480" s="3">
        <v>0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0.27</v>
      </c>
      <c r="AB480" s="3">
        <v>0.27</v>
      </c>
      <c r="AC480" s="3">
        <v>0.27</v>
      </c>
      <c r="AD480" s="3">
        <v>0.27</v>
      </c>
      <c r="AE480" s="3">
        <v>0.27</v>
      </c>
      <c r="AF480" s="3">
        <v>0.27</v>
      </c>
      <c r="AG480" s="3">
        <v>0.27</v>
      </c>
      <c r="AH480" s="3">
        <v>0.27</v>
      </c>
      <c r="AI480" s="3">
        <v>0.27</v>
      </c>
      <c r="AJ480" s="3">
        <v>0.27</v>
      </c>
      <c r="AK480" s="3">
        <v>0.27</v>
      </c>
      <c r="AL480" s="3">
        <v>0.27</v>
      </c>
      <c r="AM480" s="3">
        <v>0.27</v>
      </c>
      <c r="AN480" s="3">
        <v>0.27</v>
      </c>
      <c r="AO480" s="3">
        <v>0.27</v>
      </c>
      <c r="AP480" s="3">
        <v>0.27</v>
      </c>
    </row>
    <row r="481" spans="1:42" hidden="1" x14ac:dyDescent="0.3">
      <c r="A481" s="5" t="s">
        <v>621</v>
      </c>
      <c r="B481" s="5" t="s">
        <v>9</v>
      </c>
      <c r="C481" s="22">
        <v>45048</v>
      </c>
      <c r="D481" s="22">
        <v>45055</v>
      </c>
      <c r="E481" s="3">
        <v>0</v>
      </c>
      <c r="F481" s="3">
        <v>0</v>
      </c>
      <c r="G481" s="3">
        <v>0</v>
      </c>
      <c r="H481" s="3">
        <v>0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0.05</v>
      </c>
      <c r="AB481" s="3">
        <v>0.05</v>
      </c>
      <c r="AC481" s="3">
        <v>0.05</v>
      </c>
      <c r="AD481" s="3">
        <v>0.05</v>
      </c>
      <c r="AE481" s="3">
        <v>0.05</v>
      </c>
      <c r="AF481" s="3">
        <v>0.05</v>
      </c>
      <c r="AG481" s="3">
        <v>0.05</v>
      </c>
      <c r="AH481" s="3">
        <v>0.05</v>
      </c>
      <c r="AI481" s="3">
        <v>0.05</v>
      </c>
      <c r="AJ481" s="3">
        <v>0.05</v>
      </c>
      <c r="AK481" s="3">
        <v>0.05</v>
      </c>
      <c r="AL481" s="3">
        <v>0.05</v>
      </c>
      <c r="AM481" s="3">
        <v>0.05</v>
      </c>
      <c r="AN481" s="3">
        <v>0.05</v>
      </c>
      <c r="AO481" s="3">
        <v>0.05</v>
      </c>
      <c r="AP481" s="3">
        <v>0.05</v>
      </c>
    </row>
    <row r="482" spans="1:42" hidden="1" x14ac:dyDescent="0.3">
      <c r="A482" s="5" t="s">
        <v>622</v>
      </c>
      <c r="B482" s="5" t="s">
        <v>17</v>
      </c>
      <c r="C482" s="22">
        <v>45027</v>
      </c>
      <c r="D482" s="22">
        <v>45048</v>
      </c>
      <c r="E482" s="3">
        <v>0</v>
      </c>
      <c r="F482" s="3">
        <v>0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0.04</v>
      </c>
      <c r="AA482" s="3">
        <v>0.05</v>
      </c>
      <c r="AB482" s="3">
        <v>0.05</v>
      </c>
      <c r="AC482" s="3">
        <v>0.05</v>
      </c>
      <c r="AD482" s="3">
        <v>0.05</v>
      </c>
      <c r="AE482" s="3">
        <v>0.05</v>
      </c>
      <c r="AF482" s="3">
        <v>0.05</v>
      </c>
      <c r="AG482" s="3">
        <v>0.05</v>
      </c>
      <c r="AH482" s="3">
        <v>0.05</v>
      </c>
      <c r="AI482" s="3">
        <v>0.05</v>
      </c>
      <c r="AJ482" s="3">
        <v>0.05</v>
      </c>
      <c r="AK482" s="3">
        <v>0.05</v>
      </c>
      <c r="AL482" s="3">
        <v>0.05</v>
      </c>
      <c r="AM482" s="3">
        <v>0.05</v>
      </c>
      <c r="AN482" s="3">
        <v>0.05</v>
      </c>
      <c r="AO482" s="3">
        <v>0.05</v>
      </c>
      <c r="AP482" s="3">
        <v>0.05</v>
      </c>
    </row>
    <row r="483" spans="1:42" hidden="1" x14ac:dyDescent="0.3">
      <c r="A483" s="4" t="s">
        <v>623</v>
      </c>
      <c r="B483" s="4" t="s">
        <v>34</v>
      </c>
      <c r="C483" s="21">
        <v>45055</v>
      </c>
      <c r="D483" s="21">
        <v>45069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0.09</v>
      </c>
      <c r="AB483" s="2">
        <v>0.09</v>
      </c>
      <c r="AC483" s="2">
        <v>0.09</v>
      </c>
      <c r="AD483" s="2">
        <v>0.09</v>
      </c>
      <c r="AE483" s="2">
        <v>0.09</v>
      </c>
      <c r="AF483" s="2">
        <v>0.09</v>
      </c>
      <c r="AG483" s="2">
        <v>0.09</v>
      </c>
      <c r="AH483" s="2">
        <v>0.09</v>
      </c>
      <c r="AI483" s="2">
        <v>0.09</v>
      </c>
      <c r="AJ483" s="2">
        <v>0.09</v>
      </c>
      <c r="AK483" s="2">
        <v>0.09</v>
      </c>
      <c r="AL483" s="2">
        <v>0.09</v>
      </c>
      <c r="AM483" s="2">
        <v>0.09</v>
      </c>
      <c r="AN483" s="2">
        <v>0.09</v>
      </c>
      <c r="AO483" s="2">
        <v>0.09</v>
      </c>
      <c r="AP483" s="2">
        <v>0.09</v>
      </c>
    </row>
    <row r="484" spans="1:42" hidden="1" x14ac:dyDescent="0.3">
      <c r="A484" s="5" t="s">
        <v>624</v>
      </c>
      <c r="B484" s="5" t="s">
        <v>14</v>
      </c>
      <c r="C484" s="22">
        <v>45055</v>
      </c>
      <c r="D484" s="22">
        <v>45069</v>
      </c>
      <c r="E484" s="3">
        <v>0</v>
      </c>
      <c r="F484" s="3">
        <v>0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0.09</v>
      </c>
      <c r="AB484" s="3">
        <v>0.09</v>
      </c>
      <c r="AC484" s="3">
        <v>0.09</v>
      </c>
      <c r="AD484" s="3">
        <v>0.09</v>
      </c>
      <c r="AE484" s="3">
        <v>0.09</v>
      </c>
      <c r="AF484" s="3">
        <v>0.09</v>
      </c>
      <c r="AG484" s="3">
        <v>0.09</v>
      </c>
      <c r="AH484" s="3">
        <v>0.09</v>
      </c>
      <c r="AI484" s="3">
        <v>0.09</v>
      </c>
      <c r="AJ484" s="3">
        <v>0.09</v>
      </c>
      <c r="AK484" s="3">
        <v>0.09</v>
      </c>
      <c r="AL484" s="3">
        <v>0.09</v>
      </c>
      <c r="AM484" s="3">
        <v>0.09</v>
      </c>
      <c r="AN484" s="3">
        <v>0.09</v>
      </c>
      <c r="AO484" s="3">
        <v>0.09</v>
      </c>
      <c r="AP484" s="3">
        <v>0.09</v>
      </c>
    </row>
    <row r="485" spans="1:42" hidden="1" x14ac:dyDescent="0.3">
      <c r="A485" s="15" t="s">
        <v>625</v>
      </c>
      <c r="B485" s="15" t="s">
        <v>78</v>
      </c>
      <c r="C485" s="20">
        <v>45043</v>
      </c>
      <c r="D485" s="20">
        <v>45103</v>
      </c>
      <c r="E485" s="8">
        <v>0</v>
      </c>
      <c r="F485" s="8">
        <v>0</v>
      </c>
      <c r="G485" s="8">
        <v>0</v>
      </c>
      <c r="H485" s="8">
        <v>0</v>
      </c>
      <c r="I485" s="8">
        <v>0</v>
      </c>
      <c r="J485" s="8">
        <v>0</v>
      </c>
      <c r="K485" s="8">
        <v>0</v>
      </c>
      <c r="L485" s="8">
        <v>0</v>
      </c>
      <c r="M485" s="8">
        <v>0</v>
      </c>
      <c r="N485" s="8">
        <v>0</v>
      </c>
      <c r="O485" s="8">
        <v>0</v>
      </c>
      <c r="P485" s="8">
        <v>0</v>
      </c>
      <c r="Q485" s="8">
        <v>0</v>
      </c>
      <c r="R485" s="8">
        <v>0</v>
      </c>
      <c r="S485" s="8">
        <v>0</v>
      </c>
      <c r="T485" s="8">
        <v>0</v>
      </c>
      <c r="U485" s="8">
        <v>0</v>
      </c>
      <c r="V485" s="8">
        <v>0</v>
      </c>
      <c r="W485" s="8">
        <v>0</v>
      </c>
      <c r="X485" s="8">
        <v>0</v>
      </c>
      <c r="Y485" s="8">
        <v>0</v>
      </c>
      <c r="Z485" s="8">
        <v>0.01</v>
      </c>
      <c r="AA485" s="8">
        <v>0.14000000000000001</v>
      </c>
      <c r="AB485" s="8">
        <v>0.55000000000000004</v>
      </c>
      <c r="AC485" s="8">
        <v>0.55000000000000004</v>
      </c>
      <c r="AD485" s="8">
        <v>0.55000000000000004</v>
      </c>
      <c r="AE485" s="8">
        <v>0.55000000000000004</v>
      </c>
      <c r="AF485" s="8">
        <v>0.55000000000000004</v>
      </c>
      <c r="AG485" s="8">
        <v>0.55000000000000004</v>
      </c>
      <c r="AH485" s="8">
        <v>0.55000000000000004</v>
      </c>
      <c r="AI485" s="8">
        <v>0.55000000000000004</v>
      </c>
      <c r="AJ485" s="8">
        <v>0.55000000000000004</v>
      </c>
      <c r="AK485" s="8">
        <v>0.55000000000000004</v>
      </c>
      <c r="AL485" s="8">
        <v>0.55000000000000004</v>
      </c>
      <c r="AM485" s="8">
        <v>0.55000000000000004</v>
      </c>
      <c r="AN485" s="8">
        <v>0.55000000000000004</v>
      </c>
      <c r="AO485" s="8">
        <v>0.55000000000000004</v>
      </c>
      <c r="AP485" s="8">
        <v>0.55000000000000004</v>
      </c>
    </row>
    <row r="486" spans="1:42" hidden="1" x14ac:dyDescent="0.3">
      <c r="A486" s="5" t="s">
        <v>626</v>
      </c>
      <c r="B486" s="5" t="s">
        <v>14</v>
      </c>
      <c r="C486" s="22">
        <v>45089</v>
      </c>
      <c r="D486" s="22">
        <v>45103</v>
      </c>
      <c r="E486" s="3">
        <v>0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0.28000000000000003</v>
      </c>
      <c r="AC486" s="3">
        <v>0.28000000000000003</v>
      </c>
      <c r="AD486" s="3">
        <v>0.28000000000000003</v>
      </c>
      <c r="AE486" s="3">
        <v>0.28000000000000003</v>
      </c>
      <c r="AF486" s="3">
        <v>0.28000000000000003</v>
      </c>
      <c r="AG486" s="3">
        <v>0.28000000000000003</v>
      </c>
      <c r="AH486" s="3">
        <v>0.28000000000000003</v>
      </c>
      <c r="AI486" s="3">
        <v>0.28000000000000003</v>
      </c>
      <c r="AJ486" s="3">
        <v>0.28000000000000003</v>
      </c>
      <c r="AK486" s="3">
        <v>0.28000000000000003</v>
      </c>
      <c r="AL486" s="3">
        <v>0.28000000000000003</v>
      </c>
      <c r="AM486" s="3">
        <v>0.28000000000000003</v>
      </c>
      <c r="AN486" s="3">
        <v>0.28000000000000003</v>
      </c>
      <c r="AO486" s="3">
        <v>0.28000000000000003</v>
      </c>
      <c r="AP486" s="3">
        <v>0.28000000000000003</v>
      </c>
    </row>
    <row r="487" spans="1:42" hidden="1" x14ac:dyDescent="0.3">
      <c r="A487" s="5" t="s">
        <v>627</v>
      </c>
      <c r="B487" s="5" t="s">
        <v>46</v>
      </c>
      <c r="C487" s="22">
        <v>45069</v>
      </c>
      <c r="D487" s="22">
        <v>45089</v>
      </c>
      <c r="E487" s="3">
        <v>0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0.04</v>
      </c>
      <c r="AB487" s="3">
        <v>0.09</v>
      </c>
      <c r="AC487" s="3">
        <v>0.09</v>
      </c>
      <c r="AD487" s="3">
        <v>0.09</v>
      </c>
      <c r="AE487" s="3">
        <v>0.09</v>
      </c>
      <c r="AF487" s="3">
        <v>0.09</v>
      </c>
      <c r="AG487" s="3">
        <v>0.09</v>
      </c>
      <c r="AH487" s="3">
        <v>0.09</v>
      </c>
      <c r="AI487" s="3">
        <v>0.09</v>
      </c>
      <c r="AJ487" s="3">
        <v>0.09</v>
      </c>
      <c r="AK487" s="3">
        <v>0.09</v>
      </c>
      <c r="AL487" s="3">
        <v>0.09</v>
      </c>
      <c r="AM487" s="3">
        <v>0.09</v>
      </c>
      <c r="AN487" s="3">
        <v>0.09</v>
      </c>
      <c r="AO487" s="3">
        <v>0.09</v>
      </c>
      <c r="AP487" s="3">
        <v>0.09</v>
      </c>
    </row>
    <row r="488" spans="1:42" hidden="1" x14ac:dyDescent="0.3">
      <c r="A488" s="5" t="s">
        <v>628</v>
      </c>
      <c r="B488" s="5" t="s">
        <v>45</v>
      </c>
      <c r="C488" s="22">
        <v>45043</v>
      </c>
      <c r="D488" s="22">
        <v>45069</v>
      </c>
      <c r="E488" s="3">
        <v>0</v>
      </c>
      <c r="F488" s="3">
        <v>0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0.01</v>
      </c>
      <c r="AA488" s="3">
        <v>0.09</v>
      </c>
      <c r="AB488" s="3">
        <v>0.09</v>
      </c>
      <c r="AC488" s="3">
        <v>0.09</v>
      </c>
      <c r="AD488" s="3">
        <v>0.09</v>
      </c>
      <c r="AE488" s="3">
        <v>0.09</v>
      </c>
      <c r="AF488" s="3">
        <v>0.09</v>
      </c>
      <c r="AG488" s="3">
        <v>0.09</v>
      </c>
      <c r="AH488" s="3">
        <v>0.09</v>
      </c>
      <c r="AI488" s="3">
        <v>0.09</v>
      </c>
      <c r="AJ488" s="3">
        <v>0.09</v>
      </c>
      <c r="AK488" s="3">
        <v>0.09</v>
      </c>
      <c r="AL488" s="3">
        <v>0.09</v>
      </c>
      <c r="AM488" s="3">
        <v>0.09</v>
      </c>
      <c r="AN488" s="3">
        <v>0.09</v>
      </c>
      <c r="AO488" s="3">
        <v>0.09</v>
      </c>
      <c r="AP488" s="3">
        <v>0.09</v>
      </c>
    </row>
    <row r="489" spans="1:42" hidden="1" x14ac:dyDescent="0.3">
      <c r="A489" s="4" t="s">
        <v>623</v>
      </c>
      <c r="B489" s="4" t="s">
        <v>34</v>
      </c>
      <c r="C489" s="21">
        <v>45089</v>
      </c>
      <c r="D489" s="21">
        <v>45103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0.08</v>
      </c>
      <c r="AC489" s="2">
        <v>0.08</v>
      </c>
      <c r="AD489" s="2">
        <v>0.08</v>
      </c>
      <c r="AE489" s="2">
        <v>0.08</v>
      </c>
      <c r="AF489" s="2">
        <v>0.08</v>
      </c>
      <c r="AG489" s="2">
        <v>0.08</v>
      </c>
      <c r="AH489" s="2">
        <v>0.08</v>
      </c>
      <c r="AI489" s="2">
        <v>0.08</v>
      </c>
      <c r="AJ489" s="2">
        <v>0.08</v>
      </c>
      <c r="AK489" s="2">
        <v>0.08</v>
      </c>
      <c r="AL489" s="2">
        <v>0.08</v>
      </c>
      <c r="AM489" s="2">
        <v>0.08</v>
      </c>
      <c r="AN489" s="2">
        <v>0.08</v>
      </c>
      <c r="AO489" s="2">
        <v>0.08</v>
      </c>
      <c r="AP489" s="2">
        <v>0.08</v>
      </c>
    </row>
    <row r="490" spans="1:42" hidden="1" x14ac:dyDescent="0.3">
      <c r="A490" s="5" t="s">
        <v>629</v>
      </c>
      <c r="B490" s="5" t="s">
        <v>14</v>
      </c>
      <c r="C490" s="22">
        <v>45089</v>
      </c>
      <c r="D490" s="22">
        <v>45103</v>
      </c>
      <c r="E490" s="3">
        <v>0</v>
      </c>
      <c r="F490" s="3">
        <v>0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0.08</v>
      </c>
      <c r="AC490" s="3">
        <v>0.08</v>
      </c>
      <c r="AD490" s="3">
        <v>0.08</v>
      </c>
      <c r="AE490" s="3">
        <v>0.08</v>
      </c>
      <c r="AF490" s="3">
        <v>0.08</v>
      </c>
      <c r="AG490" s="3">
        <v>0.08</v>
      </c>
      <c r="AH490" s="3">
        <v>0.08</v>
      </c>
      <c r="AI490" s="3">
        <v>0.08</v>
      </c>
      <c r="AJ490" s="3">
        <v>0.08</v>
      </c>
      <c r="AK490" s="3">
        <v>0.08</v>
      </c>
      <c r="AL490" s="3">
        <v>0.08</v>
      </c>
      <c r="AM490" s="3">
        <v>0.08</v>
      </c>
      <c r="AN490" s="3">
        <v>0.08</v>
      </c>
      <c r="AO490" s="3">
        <v>0.08</v>
      </c>
      <c r="AP490" s="3">
        <v>0.08</v>
      </c>
    </row>
    <row r="491" spans="1:42" hidden="1" x14ac:dyDescent="0.3">
      <c r="A491" s="15" t="s">
        <v>630</v>
      </c>
      <c r="B491" s="15" t="s">
        <v>79</v>
      </c>
      <c r="C491" s="20">
        <v>44908</v>
      </c>
      <c r="D491" s="20">
        <v>45057</v>
      </c>
      <c r="E491" s="8">
        <v>0</v>
      </c>
      <c r="F491" s="8">
        <v>0</v>
      </c>
      <c r="G491" s="8">
        <v>0</v>
      </c>
      <c r="H491" s="8">
        <v>0</v>
      </c>
      <c r="I491" s="8">
        <v>0</v>
      </c>
      <c r="J491" s="8">
        <v>0</v>
      </c>
      <c r="K491" s="8">
        <v>0</v>
      </c>
      <c r="L491" s="8">
        <v>0</v>
      </c>
      <c r="M491" s="8">
        <v>0</v>
      </c>
      <c r="N491" s="8">
        <v>0</v>
      </c>
      <c r="O491" s="8">
        <v>0</v>
      </c>
      <c r="P491" s="8">
        <v>0</v>
      </c>
      <c r="Q491" s="8">
        <v>0</v>
      </c>
      <c r="R491" s="8">
        <v>0</v>
      </c>
      <c r="S491" s="8">
        <v>0</v>
      </c>
      <c r="T491" s="8">
        <v>0</v>
      </c>
      <c r="U491" s="8">
        <v>0</v>
      </c>
      <c r="V491" s="8">
        <v>0.13</v>
      </c>
      <c r="W491" s="8">
        <v>0.22</v>
      </c>
      <c r="X491" s="8">
        <v>0.4</v>
      </c>
      <c r="Y491" s="8">
        <v>0.54</v>
      </c>
      <c r="Z491" s="8">
        <v>1.55</v>
      </c>
      <c r="AA491" s="8">
        <v>1.58</v>
      </c>
      <c r="AB491" s="8">
        <v>1.58</v>
      </c>
      <c r="AC491" s="8">
        <v>1.58</v>
      </c>
      <c r="AD491" s="8">
        <v>1.58</v>
      </c>
      <c r="AE491" s="8">
        <v>1.58</v>
      </c>
      <c r="AF491" s="8">
        <v>1.58</v>
      </c>
      <c r="AG491" s="8">
        <v>1.58</v>
      </c>
      <c r="AH491" s="8">
        <v>1.58</v>
      </c>
      <c r="AI491" s="8">
        <v>1.58</v>
      </c>
      <c r="AJ491" s="8">
        <v>1.58</v>
      </c>
      <c r="AK491" s="8">
        <v>1.58</v>
      </c>
      <c r="AL491" s="8">
        <v>1.58</v>
      </c>
      <c r="AM491" s="8">
        <v>1.58</v>
      </c>
      <c r="AN491" s="8">
        <v>1.58</v>
      </c>
      <c r="AO491" s="8">
        <v>1.58</v>
      </c>
      <c r="AP491" s="8">
        <v>1.58</v>
      </c>
    </row>
    <row r="492" spans="1:42" hidden="1" x14ac:dyDescent="0.3">
      <c r="A492" s="5" t="s">
        <v>631</v>
      </c>
      <c r="B492" s="5" t="s">
        <v>33</v>
      </c>
      <c r="C492" s="22">
        <v>45033</v>
      </c>
      <c r="D492" s="22">
        <v>45043</v>
      </c>
      <c r="E492" s="3">
        <v>0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0.87</v>
      </c>
      <c r="AA492" s="3">
        <v>0.87</v>
      </c>
      <c r="AB492" s="3">
        <v>0.87</v>
      </c>
      <c r="AC492" s="3">
        <v>0.87</v>
      </c>
      <c r="AD492" s="3">
        <v>0.87</v>
      </c>
      <c r="AE492" s="3">
        <v>0.87</v>
      </c>
      <c r="AF492" s="3">
        <v>0.87</v>
      </c>
      <c r="AG492" s="3">
        <v>0.87</v>
      </c>
      <c r="AH492" s="3">
        <v>0.87</v>
      </c>
      <c r="AI492" s="3">
        <v>0.87</v>
      </c>
      <c r="AJ492" s="3">
        <v>0.87</v>
      </c>
      <c r="AK492" s="3">
        <v>0.87</v>
      </c>
      <c r="AL492" s="3">
        <v>0.87</v>
      </c>
      <c r="AM492" s="3">
        <v>0.87</v>
      </c>
      <c r="AN492" s="3">
        <v>0.87</v>
      </c>
      <c r="AO492" s="3">
        <v>0.87</v>
      </c>
      <c r="AP492" s="3">
        <v>0.87</v>
      </c>
    </row>
    <row r="493" spans="1:42" hidden="1" x14ac:dyDescent="0.3">
      <c r="A493" s="5" t="s">
        <v>632</v>
      </c>
      <c r="B493" s="5" t="s">
        <v>9</v>
      </c>
      <c r="C493" s="22">
        <v>45033</v>
      </c>
      <c r="D493" s="22">
        <v>45040</v>
      </c>
      <c r="E493" s="3">
        <v>0</v>
      </c>
      <c r="F493" s="3">
        <v>0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</row>
    <row r="494" spans="1:42" hidden="1" x14ac:dyDescent="0.3">
      <c r="A494" s="5" t="s">
        <v>633</v>
      </c>
      <c r="B494" s="5" t="s">
        <v>33</v>
      </c>
      <c r="C494" s="22">
        <v>45021</v>
      </c>
      <c r="D494" s="22">
        <v>45033</v>
      </c>
      <c r="E494" s="3">
        <v>0</v>
      </c>
      <c r="F494" s="3">
        <v>0</v>
      </c>
      <c r="G494" s="3">
        <v>0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7.0000000000000007E-2</v>
      </c>
      <c r="AA494" s="3">
        <v>7.0000000000000007E-2</v>
      </c>
      <c r="AB494" s="3">
        <v>7.0000000000000007E-2</v>
      </c>
      <c r="AC494" s="3">
        <v>7.0000000000000007E-2</v>
      </c>
      <c r="AD494" s="3">
        <v>7.0000000000000007E-2</v>
      </c>
      <c r="AE494" s="3">
        <v>7.0000000000000007E-2</v>
      </c>
      <c r="AF494" s="3">
        <v>7.0000000000000007E-2</v>
      </c>
      <c r="AG494" s="3">
        <v>7.0000000000000007E-2</v>
      </c>
      <c r="AH494" s="3">
        <v>7.0000000000000007E-2</v>
      </c>
      <c r="AI494" s="3">
        <v>7.0000000000000007E-2</v>
      </c>
      <c r="AJ494" s="3">
        <v>7.0000000000000007E-2</v>
      </c>
      <c r="AK494" s="3">
        <v>7.0000000000000007E-2</v>
      </c>
      <c r="AL494" s="3">
        <v>7.0000000000000007E-2</v>
      </c>
      <c r="AM494" s="3">
        <v>7.0000000000000007E-2</v>
      </c>
      <c r="AN494" s="3">
        <v>7.0000000000000007E-2</v>
      </c>
      <c r="AO494" s="3">
        <v>7.0000000000000007E-2</v>
      </c>
      <c r="AP494" s="3">
        <v>7.0000000000000007E-2</v>
      </c>
    </row>
    <row r="495" spans="1:42" hidden="1" x14ac:dyDescent="0.3">
      <c r="A495" s="5" t="s">
        <v>634</v>
      </c>
      <c r="B495" s="5" t="s">
        <v>17</v>
      </c>
      <c r="C495" s="22">
        <v>45000</v>
      </c>
      <c r="D495" s="22">
        <v>45021</v>
      </c>
      <c r="E495" s="3">
        <v>0</v>
      </c>
      <c r="F495" s="3">
        <v>0</v>
      </c>
      <c r="G495" s="3">
        <v>0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0.06</v>
      </c>
      <c r="Z495" s="3">
        <v>7.0000000000000007E-2</v>
      </c>
      <c r="AA495" s="3">
        <v>7.0000000000000007E-2</v>
      </c>
      <c r="AB495" s="3">
        <v>7.0000000000000007E-2</v>
      </c>
      <c r="AC495" s="3">
        <v>7.0000000000000007E-2</v>
      </c>
      <c r="AD495" s="3">
        <v>7.0000000000000007E-2</v>
      </c>
      <c r="AE495" s="3">
        <v>7.0000000000000007E-2</v>
      </c>
      <c r="AF495" s="3">
        <v>7.0000000000000007E-2</v>
      </c>
      <c r="AG495" s="3">
        <v>7.0000000000000007E-2</v>
      </c>
      <c r="AH495" s="3">
        <v>7.0000000000000007E-2</v>
      </c>
      <c r="AI495" s="3">
        <v>7.0000000000000007E-2</v>
      </c>
      <c r="AJ495" s="3">
        <v>7.0000000000000007E-2</v>
      </c>
      <c r="AK495" s="3">
        <v>7.0000000000000007E-2</v>
      </c>
      <c r="AL495" s="3">
        <v>7.0000000000000007E-2</v>
      </c>
      <c r="AM495" s="3">
        <v>7.0000000000000007E-2</v>
      </c>
      <c r="AN495" s="3">
        <v>7.0000000000000007E-2</v>
      </c>
      <c r="AO495" s="3">
        <v>7.0000000000000007E-2</v>
      </c>
      <c r="AP495" s="3">
        <v>7.0000000000000007E-2</v>
      </c>
    </row>
    <row r="496" spans="1:42" hidden="1" x14ac:dyDescent="0.3">
      <c r="A496" s="5" t="s">
        <v>635</v>
      </c>
      <c r="B496" s="5" t="s">
        <v>45</v>
      </c>
      <c r="C496" s="22">
        <v>44974</v>
      </c>
      <c r="D496" s="22">
        <v>45000</v>
      </c>
      <c r="E496" s="3">
        <v>0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0.06</v>
      </c>
      <c r="Y496" s="3">
        <v>0.14000000000000001</v>
      </c>
      <c r="Z496" s="3">
        <v>0.14000000000000001</v>
      </c>
      <c r="AA496" s="3">
        <v>0.14000000000000001</v>
      </c>
      <c r="AB496" s="3">
        <v>0.14000000000000001</v>
      </c>
      <c r="AC496" s="3">
        <v>0.14000000000000001</v>
      </c>
      <c r="AD496" s="3">
        <v>0.14000000000000001</v>
      </c>
      <c r="AE496" s="3">
        <v>0.14000000000000001</v>
      </c>
      <c r="AF496" s="3">
        <v>0.14000000000000001</v>
      </c>
      <c r="AG496" s="3">
        <v>0.14000000000000001</v>
      </c>
      <c r="AH496" s="3">
        <v>0.14000000000000001</v>
      </c>
      <c r="AI496" s="3">
        <v>0.14000000000000001</v>
      </c>
      <c r="AJ496" s="3">
        <v>0.14000000000000001</v>
      </c>
      <c r="AK496" s="3">
        <v>0.14000000000000001</v>
      </c>
      <c r="AL496" s="3">
        <v>0.14000000000000001</v>
      </c>
      <c r="AM496" s="3">
        <v>0.14000000000000001</v>
      </c>
      <c r="AN496" s="3">
        <v>0.14000000000000001</v>
      </c>
      <c r="AO496" s="3">
        <v>0.14000000000000001</v>
      </c>
      <c r="AP496" s="3">
        <v>0.14000000000000001</v>
      </c>
    </row>
    <row r="497" spans="1:42" hidden="1" x14ac:dyDescent="0.3">
      <c r="A497" s="5" t="s">
        <v>636</v>
      </c>
      <c r="B497" s="5" t="s">
        <v>45</v>
      </c>
      <c r="C497" s="22">
        <v>44950</v>
      </c>
      <c r="D497" s="22">
        <v>44974</v>
      </c>
      <c r="E497" s="3">
        <v>0</v>
      </c>
      <c r="F497" s="3">
        <v>0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0.05</v>
      </c>
      <c r="X497" s="3">
        <v>0.17</v>
      </c>
      <c r="Y497" s="3">
        <v>0.17</v>
      </c>
      <c r="Z497" s="3">
        <v>0.17</v>
      </c>
      <c r="AA497" s="3">
        <v>0.17</v>
      </c>
      <c r="AB497" s="3">
        <v>0.17</v>
      </c>
      <c r="AC497" s="3">
        <v>0.17</v>
      </c>
      <c r="AD497" s="3">
        <v>0.17</v>
      </c>
      <c r="AE497" s="3">
        <v>0.17</v>
      </c>
      <c r="AF497" s="3">
        <v>0.17</v>
      </c>
      <c r="AG497" s="3">
        <v>0.17</v>
      </c>
      <c r="AH497" s="3">
        <v>0.17</v>
      </c>
      <c r="AI497" s="3">
        <v>0.17</v>
      </c>
      <c r="AJ497" s="3">
        <v>0.17</v>
      </c>
      <c r="AK497" s="3">
        <v>0.17</v>
      </c>
      <c r="AL497" s="3">
        <v>0.17</v>
      </c>
      <c r="AM497" s="3">
        <v>0.17</v>
      </c>
      <c r="AN497" s="3">
        <v>0.17</v>
      </c>
      <c r="AO497" s="3">
        <v>0.17</v>
      </c>
      <c r="AP497" s="3">
        <v>0.17</v>
      </c>
    </row>
    <row r="498" spans="1:42" hidden="1" x14ac:dyDescent="0.3">
      <c r="A498" s="5" t="s">
        <v>637</v>
      </c>
      <c r="B498" s="5" t="s">
        <v>45</v>
      </c>
      <c r="C498" s="22">
        <v>44908</v>
      </c>
      <c r="D498" s="22">
        <v>44931</v>
      </c>
      <c r="E498" s="3">
        <v>0</v>
      </c>
      <c r="F498" s="3">
        <v>0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0.13</v>
      </c>
      <c r="W498" s="3">
        <v>0.17</v>
      </c>
      <c r="X498" s="3">
        <v>0.17</v>
      </c>
      <c r="Y498" s="3">
        <v>0.17</v>
      </c>
      <c r="Z498" s="3">
        <v>0.17</v>
      </c>
      <c r="AA498" s="3">
        <v>0.17</v>
      </c>
      <c r="AB498" s="3">
        <v>0.17</v>
      </c>
      <c r="AC498" s="3">
        <v>0.17</v>
      </c>
      <c r="AD498" s="3">
        <v>0.17</v>
      </c>
      <c r="AE498" s="3">
        <v>0.17</v>
      </c>
      <c r="AF498" s="3">
        <v>0.17</v>
      </c>
      <c r="AG498" s="3">
        <v>0.17</v>
      </c>
      <c r="AH498" s="3">
        <v>0.17</v>
      </c>
      <c r="AI498" s="3">
        <v>0.17</v>
      </c>
      <c r="AJ498" s="3">
        <v>0.17</v>
      </c>
      <c r="AK498" s="3">
        <v>0.17</v>
      </c>
      <c r="AL498" s="3">
        <v>0.17</v>
      </c>
      <c r="AM498" s="3">
        <v>0.17</v>
      </c>
      <c r="AN498" s="3">
        <v>0.17</v>
      </c>
      <c r="AO498" s="3">
        <v>0.17</v>
      </c>
      <c r="AP498" s="3">
        <v>0.17</v>
      </c>
    </row>
    <row r="499" spans="1:42" hidden="1" x14ac:dyDescent="0.3">
      <c r="A499" s="4" t="s">
        <v>638</v>
      </c>
      <c r="B499" s="4" t="s">
        <v>80</v>
      </c>
      <c r="C499" s="21">
        <v>45043</v>
      </c>
      <c r="D499" s="21">
        <v>45057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0.05</v>
      </c>
      <c r="AA499" s="2">
        <v>0.08</v>
      </c>
      <c r="AB499" s="2">
        <v>0.08</v>
      </c>
      <c r="AC499" s="2">
        <v>0.08</v>
      </c>
      <c r="AD499" s="2">
        <v>0.08</v>
      </c>
      <c r="AE499" s="2">
        <v>0.08</v>
      </c>
      <c r="AF499" s="2">
        <v>0.08</v>
      </c>
      <c r="AG499" s="2">
        <v>0.08</v>
      </c>
      <c r="AH499" s="2">
        <v>0.08</v>
      </c>
      <c r="AI499" s="2">
        <v>0.08</v>
      </c>
      <c r="AJ499" s="2">
        <v>0.08</v>
      </c>
      <c r="AK499" s="2">
        <v>0.08</v>
      </c>
      <c r="AL499" s="2">
        <v>0.08</v>
      </c>
      <c r="AM499" s="2">
        <v>0.08</v>
      </c>
      <c r="AN499" s="2">
        <v>0.08</v>
      </c>
      <c r="AO499" s="2">
        <v>0.08</v>
      </c>
      <c r="AP499" s="2">
        <v>0.08</v>
      </c>
    </row>
    <row r="500" spans="1:42" hidden="1" x14ac:dyDescent="0.3">
      <c r="A500" s="5" t="s">
        <v>639</v>
      </c>
      <c r="B500" s="5" t="s">
        <v>29</v>
      </c>
      <c r="C500" s="22">
        <v>45043</v>
      </c>
      <c r="D500" s="22">
        <v>45044</v>
      </c>
      <c r="E500" s="3">
        <v>0</v>
      </c>
      <c r="F500" s="3"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0.05</v>
      </c>
      <c r="AA500" s="3">
        <v>0.05</v>
      </c>
      <c r="AB500" s="3">
        <v>0.05</v>
      </c>
      <c r="AC500" s="3">
        <v>0.05</v>
      </c>
      <c r="AD500" s="3">
        <v>0.05</v>
      </c>
      <c r="AE500" s="3">
        <v>0.05</v>
      </c>
      <c r="AF500" s="3">
        <v>0.05</v>
      </c>
      <c r="AG500" s="3">
        <v>0.05</v>
      </c>
      <c r="AH500" s="3">
        <v>0.05</v>
      </c>
      <c r="AI500" s="3">
        <v>0.05</v>
      </c>
      <c r="AJ500" s="3">
        <v>0.05</v>
      </c>
      <c r="AK500" s="3">
        <v>0.05</v>
      </c>
      <c r="AL500" s="3">
        <v>0.05</v>
      </c>
      <c r="AM500" s="3">
        <v>0.05</v>
      </c>
      <c r="AN500" s="3">
        <v>0.05</v>
      </c>
      <c r="AO500" s="3">
        <v>0.05</v>
      </c>
      <c r="AP500" s="3">
        <v>0.05</v>
      </c>
    </row>
    <row r="501" spans="1:42" hidden="1" x14ac:dyDescent="0.3">
      <c r="A501" s="5" t="s">
        <v>640</v>
      </c>
      <c r="B501" s="5" t="s">
        <v>29</v>
      </c>
      <c r="C501" s="22">
        <v>45048</v>
      </c>
      <c r="D501" s="22">
        <v>45049</v>
      </c>
      <c r="E501" s="3">
        <v>0</v>
      </c>
      <c r="F501" s="3">
        <v>0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0.01</v>
      </c>
      <c r="AB501" s="3">
        <v>0.01</v>
      </c>
      <c r="AC501" s="3">
        <v>0.01</v>
      </c>
      <c r="AD501" s="3">
        <v>0.01</v>
      </c>
      <c r="AE501" s="3">
        <v>0.01</v>
      </c>
      <c r="AF501" s="3">
        <v>0.01</v>
      </c>
      <c r="AG501" s="3">
        <v>0.01</v>
      </c>
      <c r="AH501" s="3">
        <v>0.01</v>
      </c>
      <c r="AI501" s="3">
        <v>0.01</v>
      </c>
      <c r="AJ501" s="3">
        <v>0.01</v>
      </c>
      <c r="AK501" s="3">
        <v>0.01</v>
      </c>
      <c r="AL501" s="3">
        <v>0.01</v>
      </c>
      <c r="AM501" s="3">
        <v>0.01</v>
      </c>
      <c r="AN501" s="3">
        <v>0.01</v>
      </c>
      <c r="AO501" s="3">
        <v>0.01</v>
      </c>
      <c r="AP501" s="3">
        <v>0.01</v>
      </c>
    </row>
    <row r="502" spans="1:42" hidden="1" x14ac:dyDescent="0.3">
      <c r="A502" s="5" t="s">
        <v>641</v>
      </c>
      <c r="B502" s="5" t="s">
        <v>29</v>
      </c>
      <c r="C502" s="22">
        <v>45050</v>
      </c>
      <c r="D502" s="22">
        <v>45051</v>
      </c>
      <c r="E502" s="3">
        <v>0</v>
      </c>
      <c r="F502" s="3"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0.01</v>
      </c>
      <c r="AB502" s="3">
        <v>0.01</v>
      </c>
      <c r="AC502" s="3">
        <v>0.01</v>
      </c>
      <c r="AD502" s="3">
        <v>0.01</v>
      </c>
      <c r="AE502" s="3">
        <v>0.01</v>
      </c>
      <c r="AF502" s="3">
        <v>0.01</v>
      </c>
      <c r="AG502" s="3">
        <v>0.01</v>
      </c>
      <c r="AH502" s="3">
        <v>0.01</v>
      </c>
      <c r="AI502" s="3">
        <v>0.01</v>
      </c>
      <c r="AJ502" s="3">
        <v>0.01</v>
      </c>
      <c r="AK502" s="3">
        <v>0.01</v>
      </c>
      <c r="AL502" s="3">
        <v>0.01</v>
      </c>
      <c r="AM502" s="3">
        <v>0.01</v>
      </c>
      <c r="AN502" s="3">
        <v>0.01</v>
      </c>
      <c r="AO502" s="3">
        <v>0.01</v>
      </c>
      <c r="AP502" s="3">
        <v>0.01</v>
      </c>
    </row>
    <row r="503" spans="1:42" hidden="1" x14ac:dyDescent="0.3">
      <c r="A503" s="5" t="s">
        <v>642</v>
      </c>
      <c r="B503" s="5" t="s">
        <v>29</v>
      </c>
      <c r="C503" s="22">
        <v>45054</v>
      </c>
      <c r="D503" s="22">
        <v>45055</v>
      </c>
      <c r="E503" s="3">
        <v>0</v>
      </c>
      <c r="F503" s="3">
        <v>0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0.01</v>
      </c>
      <c r="AB503" s="3">
        <v>0.01</v>
      </c>
      <c r="AC503" s="3">
        <v>0.01</v>
      </c>
      <c r="AD503" s="3">
        <v>0.01</v>
      </c>
      <c r="AE503" s="3">
        <v>0.01</v>
      </c>
      <c r="AF503" s="3">
        <v>0.01</v>
      </c>
      <c r="AG503" s="3">
        <v>0.01</v>
      </c>
      <c r="AH503" s="3">
        <v>0.01</v>
      </c>
      <c r="AI503" s="3">
        <v>0.01</v>
      </c>
      <c r="AJ503" s="3">
        <v>0.01</v>
      </c>
      <c r="AK503" s="3">
        <v>0.01</v>
      </c>
      <c r="AL503" s="3">
        <v>0.01</v>
      </c>
      <c r="AM503" s="3">
        <v>0.01</v>
      </c>
      <c r="AN503" s="3">
        <v>0.01</v>
      </c>
      <c r="AO503" s="3">
        <v>0.01</v>
      </c>
      <c r="AP503" s="3">
        <v>0.01</v>
      </c>
    </row>
    <row r="504" spans="1:42" hidden="1" x14ac:dyDescent="0.3">
      <c r="A504" s="5" t="s">
        <v>643</v>
      </c>
      <c r="B504" s="5" t="s">
        <v>29</v>
      </c>
      <c r="C504" s="22">
        <v>45056</v>
      </c>
      <c r="D504" s="22">
        <v>45057</v>
      </c>
      <c r="E504" s="3">
        <v>0</v>
      </c>
      <c r="F504" s="3">
        <v>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0.01</v>
      </c>
      <c r="AB504" s="3">
        <v>0.01</v>
      </c>
      <c r="AC504" s="3">
        <v>0.01</v>
      </c>
      <c r="AD504" s="3">
        <v>0.01</v>
      </c>
      <c r="AE504" s="3">
        <v>0.01</v>
      </c>
      <c r="AF504" s="3">
        <v>0.01</v>
      </c>
      <c r="AG504" s="3">
        <v>0.01</v>
      </c>
      <c r="AH504" s="3">
        <v>0.01</v>
      </c>
      <c r="AI504" s="3">
        <v>0.01</v>
      </c>
      <c r="AJ504" s="3">
        <v>0.01</v>
      </c>
      <c r="AK504" s="3">
        <v>0.01</v>
      </c>
      <c r="AL504" s="3">
        <v>0.01</v>
      </c>
      <c r="AM504" s="3">
        <v>0.01</v>
      </c>
      <c r="AN504" s="3">
        <v>0.01</v>
      </c>
      <c r="AO504" s="3">
        <v>0.01</v>
      </c>
      <c r="AP504" s="3">
        <v>0.01</v>
      </c>
    </row>
    <row r="505" spans="1:42" hidden="1" x14ac:dyDescent="0.3">
      <c r="A505" s="15" t="s">
        <v>644</v>
      </c>
      <c r="B505" s="15" t="s">
        <v>81</v>
      </c>
      <c r="C505" s="20">
        <v>45000</v>
      </c>
      <c r="D505" s="20">
        <v>45049</v>
      </c>
      <c r="E505" s="8">
        <v>0</v>
      </c>
      <c r="F505" s="8">
        <v>0</v>
      </c>
      <c r="G505" s="8">
        <v>0</v>
      </c>
      <c r="H505" s="8">
        <v>0</v>
      </c>
      <c r="I505" s="8">
        <v>0</v>
      </c>
      <c r="J505" s="8">
        <v>0</v>
      </c>
      <c r="K505" s="8">
        <v>0</v>
      </c>
      <c r="L505" s="8">
        <v>0</v>
      </c>
      <c r="M505" s="8">
        <v>0</v>
      </c>
      <c r="N505" s="8">
        <v>0</v>
      </c>
      <c r="O505" s="8">
        <v>0</v>
      </c>
      <c r="P505" s="8">
        <v>0</v>
      </c>
      <c r="Q505" s="8">
        <v>0</v>
      </c>
      <c r="R505" s="8">
        <v>0</v>
      </c>
      <c r="S505" s="8">
        <v>0</v>
      </c>
      <c r="T505" s="8">
        <v>0</v>
      </c>
      <c r="U505" s="8">
        <v>0</v>
      </c>
      <c r="V505" s="8">
        <v>0</v>
      </c>
      <c r="W505" s="8">
        <v>0</v>
      </c>
      <c r="X505" s="8">
        <v>0</v>
      </c>
      <c r="Y505" s="8">
        <v>0.12</v>
      </c>
      <c r="Z505" s="8">
        <v>0.42</v>
      </c>
      <c r="AA505" s="8">
        <v>0.59</v>
      </c>
      <c r="AB505" s="8">
        <v>0.59</v>
      </c>
      <c r="AC505" s="8">
        <v>0.59</v>
      </c>
      <c r="AD505" s="8">
        <v>0.59</v>
      </c>
      <c r="AE505" s="8">
        <v>0.59</v>
      </c>
      <c r="AF505" s="8">
        <v>0.59</v>
      </c>
      <c r="AG505" s="8">
        <v>0.59</v>
      </c>
      <c r="AH505" s="8">
        <v>0.59</v>
      </c>
      <c r="AI505" s="8">
        <v>0.59</v>
      </c>
      <c r="AJ505" s="8">
        <v>0.59</v>
      </c>
      <c r="AK505" s="8">
        <v>0.59</v>
      </c>
      <c r="AL505" s="8">
        <v>0.59</v>
      </c>
      <c r="AM505" s="8">
        <v>0.59</v>
      </c>
      <c r="AN505" s="8">
        <v>0.59</v>
      </c>
      <c r="AO505" s="8">
        <v>0.59</v>
      </c>
      <c r="AP505" s="8">
        <v>0.59</v>
      </c>
    </row>
    <row r="506" spans="1:42" hidden="1" x14ac:dyDescent="0.3">
      <c r="A506" s="5" t="s">
        <v>645</v>
      </c>
      <c r="B506" s="5" t="s">
        <v>9</v>
      </c>
      <c r="C506" s="22">
        <v>45042</v>
      </c>
      <c r="D506" s="22">
        <v>45049</v>
      </c>
      <c r="E506" s="3">
        <v>0</v>
      </c>
      <c r="F506" s="3">
        <v>0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0.15</v>
      </c>
      <c r="AA506" s="3">
        <v>0.32</v>
      </c>
      <c r="AB506" s="3">
        <v>0.32</v>
      </c>
      <c r="AC506" s="3">
        <v>0.32</v>
      </c>
      <c r="AD506" s="3">
        <v>0.32</v>
      </c>
      <c r="AE506" s="3">
        <v>0.32</v>
      </c>
      <c r="AF506" s="3">
        <v>0.32</v>
      </c>
      <c r="AG506" s="3">
        <v>0.32</v>
      </c>
      <c r="AH506" s="3">
        <v>0.32</v>
      </c>
      <c r="AI506" s="3">
        <v>0.32</v>
      </c>
      <c r="AJ506" s="3">
        <v>0.32</v>
      </c>
      <c r="AK506" s="3">
        <v>0.32</v>
      </c>
      <c r="AL506" s="3">
        <v>0.32</v>
      </c>
      <c r="AM506" s="3">
        <v>0.32</v>
      </c>
      <c r="AN506" s="3">
        <v>0.32</v>
      </c>
      <c r="AO506" s="3">
        <v>0.32</v>
      </c>
      <c r="AP506" s="3">
        <v>0.32</v>
      </c>
    </row>
    <row r="507" spans="1:42" hidden="1" x14ac:dyDescent="0.3">
      <c r="A507" s="5" t="s">
        <v>646</v>
      </c>
      <c r="B507" s="5" t="s">
        <v>42</v>
      </c>
      <c r="C507" s="22">
        <v>45034</v>
      </c>
      <c r="D507" s="22">
        <v>45042</v>
      </c>
      <c r="E507" s="3">
        <v>0</v>
      </c>
      <c r="F507" s="3">
        <v>0</v>
      </c>
      <c r="G507" s="3">
        <v>0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0.05</v>
      </c>
      <c r="AA507" s="3">
        <v>0.05</v>
      </c>
      <c r="AB507" s="3">
        <v>0.05</v>
      </c>
      <c r="AC507" s="3">
        <v>0.05</v>
      </c>
      <c r="AD507" s="3">
        <v>0.05</v>
      </c>
      <c r="AE507" s="3">
        <v>0.05</v>
      </c>
      <c r="AF507" s="3">
        <v>0.05</v>
      </c>
      <c r="AG507" s="3">
        <v>0.05</v>
      </c>
      <c r="AH507" s="3">
        <v>0.05</v>
      </c>
      <c r="AI507" s="3">
        <v>0.05</v>
      </c>
      <c r="AJ507" s="3">
        <v>0.05</v>
      </c>
      <c r="AK507" s="3">
        <v>0.05</v>
      </c>
      <c r="AL507" s="3">
        <v>0.05</v>
      </c>
      <c r="AM507" s="3">
        <v>0.05</v>
      </c>
      <c r="AN507" s="3">
        <v>0.05</v>
      </c>
      <c r="AO507" s="3">
        <v>0.05</v>
      </c>
      <c r="AP507" s="3">
        <v>0.05</v>
      </c>
    </row>
    <row r="508" spans="1:42" hidden="1" x14ac:dyDescent="0.3">
      <c r="A508" s="5" t="s">
        <v>647</v>
      </c>
      <c r="B508" s="5" t="s">
        <v>42</v>
      </c>
      <c r="C508" s="22">
        <v>45026</v>
      </c>
      <c r="D508" s="22">
        <v>45034</v>
      </c>
      <c r="E508" s="3">
        <v>0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0.06</v>
      </c>
      <c r="AA508" s="3">
        <v>0.06</v>
      </c>
      <c r="AB508" s="3">
        <v>0.06</v>
      </c>
      <c r="AC508" s="3">
        <v>0.06</v>
      </c>
      <c r="AD508" s="3">
        <v>0.06</v>
      </c>
      <c r="AE508" s="3">
        <v>0.06</v>
      </c>
      <c r="AF508" s="3">
        <v>0.06</v>
      </c>
      <c r="AG508" s="3">
        <v>0.06</v>
      </c>
      <c r="AH508" s="3">
        <v>0.06</v>
      </c>
      <c r="AI508" s="3">
        <v>0.06</v>
      </c>
      <c r="AJ508" s="3">
        <v>0.06</v>
      </c>
      <c r="AK508" s="3">
        <v>0.06</v>
      </c>
      <c r="AL508" s="3">
        <v>0.06</v>
      </c>
      <c r="AM508" s="3">
        <v>0.06</v>
      </c>
      <c r="AN508" s="3">
        <v>0.06</v>
      </c>
      <c r="AO508" s="3">
        <v>0.06</v>
      </c>
      <c r="AP508" s="3">
        <v>0.06</v>
      </c>
    </row>
    <row r="509" spans="1:42" hidden="1" x14ac:dyDescent="0.3">
      <c r="A509" s="5" t="s">
        <v>648</v>
      </c>
      <c r="B509" s="5" t="s">
        <v>42</v>
      </c>
      <c r="C509" s="22">
        <v>45016</v>
      </c>
      <c r="D509" s="22">
        <v>45026</v>
      </c>
      <c r="E509" s="3">
        <v>0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0.06</v>
      </c>
      <c r="AA509" s="3">
        <v>0.06</v>
      </c>
      <c r="AB509" s="3">
        <v>0.06</v>
      </c>
      <c r="AC509" s="3">
        <v>0.06</v>
      </c>
      <c r="AD509" s="3">
        <v>0.06</v>
      </c>
      <c r="AE509" s="3">
        <v>0.06</v>
      </c>
      <c r="AF509" s="3">
        <v>0.06</v>
      </c>
      <c r="AG509" s="3">
        <v>0.06</v>
      </c>
      <c r="AH509" s="3">
        <v>0.06</v>
      </c>
      <c r="AI509" s="3">
        <v>0.06</v>
      </c>
      <c r="AJ509" s="3">
        <v>0.06</v>
      </c>
      <c r="AK509" s="3">
        <v>0.06</v>
      </c>
      <c r="AL509" s="3">
        <v>0.06</v>
      </c>
      <c r="AM509" s="3">
        <v>0.06</v>
      </c>
      <c r="AN509" s="3">
        <v>0.06</v>
      </c>
      <c r="AO509" s="3">
        <v>0.06</v>
      </c>
      <c r="AP509" s="3">
        <v>0.06</v>
      </c>
    </row>
    <row r="510" spans="1:42" hidden="1" x14ac:dyDescent="0.3">
      <c r="A510" s="5" t="s">
        <v>649</v>
      </c>
      <c r="B510" s="5" t="s">
        <v>42</v>
      </c>
      <c r="C510" s="22">
        <v>45008</v>
      </c>
      <c r="D510" s="22">
        <v>45016</v>
      </c>
      <c r="E510" s="3">
        <v>0</v>
      </c>
      <c r="F510" s="3">
        <v>0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0.06</v>
      </c>
      <c r="Z510" s="3">
        <v>0.06</v>
      </c>
      <c r="AA510" s="3">
        <v>0.06</v>
      </c>
      <c r="AB510" s="3">
        <v>0.06</v>
      </c>
      <c r="AC510" s="3">
        <v>0.06</v>
      </c>
      <c r="AD510" s="3">
        <v>0.06</v>
      </c>
      <c r="AE510" s="3">
        <v>0.06</v>
      </c>
      <c r="AF510" s="3">
        <v>0.06</v>
      </c>
      <c r="AG510" s="3">
        <v>0.06</v>
      </c>
      <c r="AH510" s="3">
        <v>0.06</v>
      </c>
      <c r="AI510" s="3">
        <v>0.06</v>
      </c>
      <c r="AJ510" s="3">
        <v>0.06</v>
      </c>
      <c r="AK510" s="3">
        <v>0.06</v>
      </c>
      <c r="AL510" s="3">
        <v>0.06</v>
      </c>
      <c r="AM510" s="3">
        <v>0.06</v>
      </c>
      <c r="AN510" s="3">
        <v>0.06</v>
      </c>
      <c r="AO510" s="3">
        <v>0.06</v>
      </c>
      <c r="AP510" s="3">
        <v>0.06</v>
      </c>
    </row>
    <row r="511" spans="1:42" hidden="1" x14ac:dyDescent="0.3">
      <c r="A511" s="5" t="s">
        <v>650</v>
      </c>
      <c r="B511" s="5" t="s">
        <v>42</v>
      </c>
      <c r="C511" s="22">
        <v>45000</v>
      </c>
      <c r="D511" s="22">
        <v>45008</v>
      </c>
      <c r="E511" s="3">
        <v>0</v>
      </c>
      <c r="F511" s="3">
        <v>0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0.06</v>
      </c>
      <c r="Z511" s="3">
        <v>0.06</v>
      </c>
      <c r="AA511" s="3">
        <v>0.06</v>
      </c>
      <c r="AB511" s="3">
        <v>0.06</v>
      </c>
      <c r="AC511" s="3">
        <v>0.06</v>
      </c>
      <c r="AD511" s="3">
        <v>0.06</v>
      </c>
      <c r="AE511" s="3">
        <v>0.06</v>
      </c>
      <c r="AF511" s="3">
        <v>0.06</v>
      </c>
      <c r="AG511" s="3">
        <v>0.06</v>
      </c>
      <c r="AH511" s="3">
        <v>0.06</v>
      </c>
      <c r="AI511" s="3">
        <v>0.06</v>
      </c>
      <c r="AJ511" s="3">
        <v>0.06</v>
      </c>
      <c r="AK511" s="3">
        <v>0.06</v>
      </c>
      <c r="AL511" s="3">
        <v>0.06</v>
      </c>
      <c r="AM511" s="3">
        <v>0.06</v>
      </c>
      <c r="AN511" s="3">
        <v>0.06</v>
      </c>
      <c r="AO511" s="3">
        <v>0.06</v>
      </c>
      <c r="AP511" s="3">
        <v>0.06</v>
      </c>
    </row>
    <row r="512" spans="1:42" hidden="1" x14ac:dyDescent="0.3">
      <c r="A512" s="15" t="s">
        <v>651</v>
      </c>
      <c r="B512" s="15" t="s">
        <v>29</v>
      </c>
      <c r="C512" s="20">
        <v>45016</v>
      </c>
      <c r="D512" s="20">
        <v>45019</v>
      </c>
      <c r="E512" s="8">
        <v>0</v>
      </c>
      <c r="F512" s="8">
        <v>0</v>
      </c>
      <c r="G512" s="8">
        <v>0</v>
      </c>
      <c r="H512" s="8">
        <v>0</v>
      </c>
      <c r="I512" s="8">
        <v>0</v>
      </c>
      <c r="J512" s="8">
        <v>0</v>
      </c>
      <c r="K512" s="8">
        <v>0</v>
      </c>
      <c r="L512" s="8">
        <v>0</v>
      </c>
      <c r="M512" s="8">
        <v>0</v>
      </c>
      <c r="N512" s="8">
        <v>0</v>
      </c>
      <c r="O512" s="8">
        <v>0</v>
      </c>
      <c r="P512" s="8">
        <v>0</v>
      </c>
      <c r="Q512" s="8">
        <v>0</v>
      </c>
      <c r="R512" s="8">
        <v>0</v>
      </c>
      <c r="S512" s="8">
        <v>0</v>
      </c>
      <c r="T512" s="8">
        <v>0</v>
      </c>
      <c r="U512" s="8">
        <v>0</v>
      </c>
      <c r="V512" s="8">
        <v>0</v>
      </c>
      <c r="W512" s="8">
        <v>0</v>
      </c>
      <c r="X512" s="8">
        <v>0</v>
      </c>
      <c r="Y512" s="8">
        <v>0</v>
      </c>
      <c r="Z512" s="8">
        <v>0.01</v>
      </c>
      <c r="AA512" s="8">
        <v>0.01</v>
      </c>
      <c r="AB512" s="8">
        <v>0.01</v>
      </c>
      <c r="AC512" s="8">
        <v>0.01</v>
      </c>
      <c r="AD512" s="8">
        <v>0.01</v>
      </c>
      <c r="AE512" s="8">
        <v>0.01</v>
      </c>
      <c r="AF512" s="8">
        <v>0.01</v>
      </c>
      <c r="AG512" s="8">
        <v>0.01</v>
      </c>
      <c r="AH512" s="8">
        <v>0.01</v>
      </c>
      <c r="AI512" s="8">
        <v>0.01</v>
      </c>
      <c r="AJ512" s="8">
        <v>0.01</v>
      </c>
      <c r="AK512" s="8">
        <v>0.01</v>
      </c>
      <c r="AL512" s="8">
        <v>0.01</v>
      </c>
      <c r="AM512" s="8">
        <v>0.01</v>
      </c>
      <c r="AN512" s="8">
        <v>0.01</v>
      </c>
      <c r="AO512" s="8">
        <v>0.01</v>
      </c>
      <c r="AP512" s="8">
        <v>0.01</v>
      </c>
    </row>
    <row r="513" spans="1:42" hidden="1" x14ac:dyDescent="0.3">
      <c r="A513" s="5" t="s">
        <v>652</v>
      </c>
      <c r="B513" s="5" t="s">
        <v>29</v>
      </c>
      <c r="C513" s="22">
        <v>45016</v>
      </c>
      <c r="D513" s="22">
        <v>45019</v>
      </c>
      <c r="E513" s="3">
        <v>0</v>
      </c>
      <c r="F513" s="3">
        <v>0</v>
      </c>
      <c r="G513" s="3">
        <v>0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0.01</v>
      </c>
      <c r="AA513" s="3">
        <v>0.01</v>
      </c>
      <c r="AB513" s="3">
        <v>0.01</v>
      </c>
      <c r="AC513" s="3">
        <v>0.01</v>
      </c>
      <c r="AD513" s="3">
        <v>0.01</v>
      </c>
      <c r="AE513" s="3">
        <v>0.01</v>
      </c>
      <c r="AF513" s="3">
        <v>0.01</v>
      </c>
      <c r="AG513" s="3">
        <v>0.01</v>
      </c>
      <c r="AH513" s="3">
        <v>0.01</v>
      </c>
      <c r="AI513" s="3">
        <v>0.01</v>
      </c>
      <c r="AJ513" s="3">
        <v>0.01</v>
      </c>
      <c r="AK513" s="3">
        <v>0.01</v>
      </c>
      <c r="AL513" s="3">
        <v>0.01</v>
      </c>
      <c r="AM513" s="3">
        <v>0.01</v>
      </c>
      <c r="AN513" s="3">
        <v>0.01</v>
      </c>
      <c r="AO513" s="3">
        <v>0.01</v>
      </c>
      <c r="AP513" s="3">
        <v>0.01</v>
      </c>
    </row>
    <row r="514" spans="1:42" hidden="1" x14ac:dyDescent="0.3">
      <c r="A514" s="15" t="s">
        <v>653</v>
      </c>
      <c r="B514" s="15" t="s">
        <v>31</v>
      </c>
      <c r="C514" s="20">
        <v>45069</v>
      </c>
      <c r="D514" s="20">
        <v>45071</v>
      </c>
      <c r="E514" s="8">
        <v>0</v>
      </c>
      <c r="F514" s="8">
        <v>0</v>
      </c>
      <c r="G514" s="8">
        <v>0</v>
      </c>
      <c r="H514" s="8">
        <v>0</v>
      </c>
      <c r="I514" s="8">
        <v>0</v>
      </c>
      <c r="J514" s="8">
        <v>0</v>
      </c>
      <c r="K514" s="8">
        <v>0</v>
      </c>
      <c r="L514" s="8">
        <v>0</v>
      </c>
      <c r="M514" s="8">
        <v>0</v>
      </c>
      <c r="N514" s="8">
        <v>0</v>
      </c>
      <c r="O514" s="8">
        <v>0</v>
      </c>
      <c r="P514" s="8">
        <v>0</v>
      </c>
      <c r="Q514" s="8">
        <v>0</v>
      </c>
      <c r="R514" s="8">
        <v>0</v>
      </c>
      <c r="S514" s="8">
        <v>0</v>
      </c>
      <c r="T514" s="8">
        <v>0</v>
      </c>
      <c r="U514" s="8">
        <v>0</v>
      </c>
      <c r="V514" s="8">
        <v>0</v>
      </c>
      <c r="W514" s="8">
        <v>0</v>
      </c>
      <c r="X514" s="8">
        <v>0</v>
      </c>
      <c r="Y514" s="8">
        <v>0</v>
      </c>
      <c r="Z514" s="8">
        <v>0</v>
      </c>
      <c r="AA514" s="8">
        <v>0.02</v>
      </c>
      <c r="AB514" s="8">
        <v>0.02</v>
      </c>
      <c r="AC514" s="8">
        <v>0.02</v>
      </c>
      <c r="AD514" s="8">
        <v>0.02</v>
      </c>
      <c r="AE514" s="8">
        <v>0.02</v>
      </c>
      <c r="AF514" s="8">
        <v>0.02</v>
      </c>
      <c r="AG514" s="8">
        <v>0.02</v>
      </c>
      <c r="AH514" s="8">
        <v>0.02</v>
      </c>
      <c r="AI514" s="8">
        <v>0.02</v>
      </c>
      <c r="AJ514" s="8">
        <v>0.02</v>
      </c>
      <c r="AK514" s="8">
        <v>0.02</v>
      </c>
      <c r="AL514" s="8">
        <v>0.02</v>
      </c>
      <c r="AM514" s="8">
        <v>0.02</v>
      </c>
      <c r="AN514" s="8">
        <v>0.02</v>
      </c>
      <c r="AO514" s="8">
        <v>0.02</v>
      </c>
      <c r="AP514" s="8">
        <v>0.02</v>
      </c>
    </row>
    <row r="515" spans="1:42" hidden="1" x14ac:dyDescent="0.3">
      <c r="A515" s="5" t="s">
        <v>654</v>
      </c>
      <c r="B515" s="5" t="s">
        <v>31</v>
      </c>
      <c r="C515" s="22">
        <v>45069</v>
      </c>
      <c r="D515" s="22">
        <v>45071</v>
      </c>
      <c r="E515" s="3">
        <v>0</v>
      </c>
      <c r="F515" s="3">
        <v>0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0.02</v>
      </c>
      <c r="AB515" s="3">
        <v>0.02</v>
      </c>
      <c r="AC515" s="3">
        <v>0.02</v>
      </c>
      <c r="AD515" s="3">
        <v>0.02</v>
      </c>
      <c r="AE515" s="3">
        <v>0.02</v>
      </c>
      <c r="AF515" s="3">
        <v>0.02</v>
      </c>
      <c r="AG515" s="3">
        <v>0.02</v>
      </c>
      <c r="AH515" s="3">
        <v>0.02</v>
      </c>
      <c r="AI515" s="3">
        <v>0.02</v>
      </c>
      <c r="AJ515" s="3">
        <v>0.02</v>
      </c>
      <c r="AK515" s="3">
        <v>0.02</v>
      </c>
      <c r="AL515" s="3">
        <v>0.02</v>
      </c>
      <c r="AM515" s="3">
        <v>0.02</v>
      </c>
      <c r="AN515" s="3">
        <v>0.02</v>
      </c>
      <c r="AO515" s="3">
        <v>0.02</v>
      </c>
      <c r="AP515" s="3">
        <v>0.02</v>
      </c>
    </row>
    <row r="516" spans="1:42" hidden="1" x14ac:dyDescent="0.3">
      <c r="A516" s="15" t="s">
        <v>655</v>
      </c>
      <c r="B516" s="15" t="s">
        <v>82</v>
      </c>
      <c r="C516" s="20">
        <v>45061</v>
      </c>
      <c r="D516" s="20">
        <v>45119</v>
      </c>
      <c r="E516" s="8">
        <v>0</v>
      </c>
      <c r="F516" s="8">
        <v>0</v>
      </c>
      <c r="G516" s="8">
        <v>0</v>
      </c>
      <c r="H516" s="8">
        <v>0</v>
      </c>
      <c r="I516" s="8">
        <v>0</v>
      </c>
      <c r="J516" s="8">
        <v>0</v>
      </c>
      <c r="K516" s="8">
        <v>0</v>
      </c>
      <c r="L516" s="8">
        <v>0</v>
      </c>
      <c r="M516" s="8">
        <v>0</v>
      </c>
      <c r="N516" s="8">
        <v>0</v>
      </c>
      <c r="O516" s="8">
        <v>0</v>
      </c>
      <c r="P516" s="8">
        <v>0</v>
      </c>
      <c r="Q516" s="8">
        <v>0</v>
      </c>
      <c r="R516" s="8">
        <v>0</v>
      </c>
      <c r="S516" s="8">
        <v>0</v>
      </c>
      <c r="T516" s="8">
        <v>0</v>
      </c>
      <c r="U516" s="8">
        <v>0</v>
      </c>
      <c r="V516" s="8">
        <v>0</v>
      </c>
      <c r="W516" s="8">
        <v>0</v>
      </c>
      <c r="X516" s="8">
        <v>0</v>
      </c>
      <c r="Y516" s="8">
        <v>0</v>
      </c>
      <c r="Z516" s="8">
        <v>0</v>
      </c>
      <c r="AA516" s="8">
        <v>0.05</v>
      </c>
      <c r="AB516" s="8">
        <v>0.11</v>
      </c>
      <c r="AC516" s="8">
        <v>0.82</v>
      </c>
      <c r="AD516" s="8">
        <v>0.82</v>
      </c>
      <c r="AE516" s="8">
        <v>0.82</v>
      </c>
      <c r="AF516" s="8">
        <v>0.82</v>
      </c>
      <c r="AG516" s="8">
        <v>0.82</v>
      </c>
      <c r="AH516" s="8">
        <v>0.82</v>
      </c>
      <c r="AI516" s="8">
        <v>0.82</v>
      </c>
      <c r="AJ516" s="8">
        <v>0.82</v>
      </c>
      <c r="AK516" s="8">
        <v>0.82</v>
      </c>
      <c r="AL516" s="8">
        <v>0.82</v>
      </c>
      <c r="AM516" s="8">
        <v>0.82</v>
      </c>
      <c r="AN516" s="8">
        <v>0.82</v>
      </c>
      <c r="AO516" s="8">
        <v>0.82</v>
      </c>
      <c r="AP516" s="8">
        <v>0.82</v>
      </c>
    </row>
    <row r="517" spans="1:42" hidden="1" x14ac:dyDescent="0.3">
      <c r="A517" s="5" t="s">
        <v>656</v>
      </c>
      <c r="B517" s="5" t="s">
        <v>16</v>
      </c>
      <c r="C517" s="22">
        <v>45112</v>
      </c>
      <c r="D517" s="22">
        <v>45118</v>
      </c>
      <c r="E517" s="3">
        <v>0</v>
      </c>
      <c r="F517" s="3">
        <v>0</v>
      </c>
      <c r="G517" s="3">
        <v>0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0.35</v>
      </c>
      <c r="AD517" s="3">
        <v>0.35</v>
      </c>
      <c r="AE517" s="3">
        <v>0.35</v>
      </c>
      <c r="AF517" s="3">
        <v>0.35</v>
      </c>
      <c r="AG517" s="3">
        <v>0.35</v>
      </c>
      <c r="AH517" s="3">
        <v>0.35</v>
      </c>
      <c r="AI517" s="3">
        <v>0.35</v>
      </c>
      <c r="AJ517" s="3">
        <v>0.35</v>
      </c>
      <c r="AK517" s="3">
        <v>0.35</v>
      </c>
      <c r="AL517" s="3">
        <v>0.35</v>
      </c>
      <c r="AM517" s="3">
        <v>0.35</v>
      </c>
      <c r="AN517" s="3">
        <v>0.35</v>
      </c>
      <c r="AO517" s="3">
        <v>0.35</v>
      </c>
      <c r="AP517" s="3">
        <v>0.35</v>
      </c>
    </row>
    <row r="518" spans="1:42" hidden="1" x14ac:dyDescent="0.3">
      <c r="A518" s="5" t="s">
        <v>657</v>
      </c>
      <c r="B518" s="5" t="s">
        <v>9</v>
      </c>
      <c r="C518" s="22">
        <v>45105</v>
      </c>
      <c r="D518" s="22">
        <v>45112</v>
      </c>
      <c r="E518" s="3">
        <v>0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0.02</v>
      </c>
      <c r="AC518" s="3">
        <v>0.04</v>
      </c>
      <c r="AD518" s="3">
        <v>0.04</v>
      </c>
      <c r="AE518" s="3">
        <v>0.04</v>
      </c>
      <c r="AF518" s="3">
        <v>0.04</v>
      </c>
      <c r="AG518" s="3">
        <v>0.04</v>
      </c>
      <c r="AH518" s="3">
        <v>0.04</v>
      </c>
      <c r="AI518" s="3">
        <v>0.04</v>
      </c>
      <c r="AJ518" s="3">
        <v>0.04</v>
      </c>
      <c r="AK518" s="3">
        <v>0.04</v>
      </c>
      <c r="AL518" s="3">
        <v>0.04</v>
      </c>
      <c r="AM518" s="3">
        <v>0.04</v>
      </c>
      <c r="AN518" s="3">
        <v>0.04</v>
      </c>
      <c r="AO518" s="3">
        <v>0.04</v>
      </c>
      <c r="AP518" s="3">
        <v>0.04</v>
      </c>
    </row>
    <row r="519" spans="1:42" hidden="1" x14ac:dyDescent="0.3">
      <c r="A519" s="5" t="s">
        <v>658</v>
      </c>
      <c r="B519" s="5" t="s">
        <v>17</v>
      </c>
      <c r="C519" s="22">
        <v>45084</v>
      </c>
      <c r="D519" s="22">
        <v>45105</v>
      </c>
      <c r="E519" s="3">
        <v>0</v>
      </c>
      <c r="F519" s="3">
        <v>0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3">
        <v>0.05</v>
      </c>
      <c r="AC519" s="3">
        <v>0.05</v>
      </c>
      <c r="AD519" s="3">
        <v>0.05</v>
      </c>
      <c r="AE519" s="3">
        <v>0.05</v>
      </c>
      <c r="AF519" s="3">
        <v>0.05</v>
      </c>
      <c r="AG519" s="3">
        <v>0.05</v>
      </c>
      <c r="AH519" s="3">
        <v>0.05</v>
      </c>
      <c r="AI519" s="3">
        <v>0.05</v>
      </c>
      <c r="AJ519" s="3">
        <v>0.05</v>
      </c>
      <c r="AK519" s="3">
        <v>0.05</v>
      </c>
      <c r="AL519" s="3">
        <v>0.05</v>
      </c>
      <c r="AM519" s="3">
        <v>0.05</v>
      </c>
      <c r="AN519" s="3">
        <v>0.05</v>
      </c>
      <c r="AO519" s="3">
        <v>0.05</v>
      </c>
      <c r="AP519" s="3">
        <v>0.05</v>
      </c>
    </row>
    <row r="520" spans="1:42" hidden="1" x14ac:dyDescent="0.3">
      <c r="A520" s="4" t="s">
        <v>659</v>
      </c>
      <c r="B520" s="4" t="s">
        <v>82</v>
      </c>
      <c r="C520" s="21">
        <v>45061</v>
      </c>
      <c r="D520" s="21">
        <v>45119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0.05</v>
      </c>
      <c r="AB520" s="2">
        <v>0.05</v>
      </c>
      <c r="AC520" s="2">
        <v>0.39</v>
      </c>
      <c r="AD520" s="2">
        <v>0.39</v>
      </c>
      <c r="AE520" s="2">
        <v>0.39</v>
      </c>
      <c r="AF520" s="2">
        <v>0.39</v>
      </c>
      <c r="AG520" s="2">
        <v>0.39</v>
      </c>
      <c r="AH520" s="2">
        <v>0.39</v>
      </c>
      <c r="AI520" s="2">
        <v>0.39</v>
      </c>
      <c r="AJ520" s="2">
        <v>0.39</v>
      </c>
      <c r="AK520" s="2">
        <v>0.39</v>
      </c>
      <c r="AL520" s="2">
        <v>0.39</v>
      </c>
      <c r="AM520" s="2">
        <v>0.39</v>
      </c>
      <c r="AN520" s="2">
        <v>0.39</v>
      </c>
      <c r="AO520" s="2">
        <v>0.39</v>
      </c>
      <c r="AP520" s="2">
        <v>0.39</v>
      </c>
    </row>
    <row r="521" spans="1:42" hidden="1" x14ac:dyDescent="0.3">
      <c r="A521" s="5" t="s">
        <v>660</v>
      </c>
      <c r="B521" s="5" t="s">
        <v>9</v>
      </c>
      <c r="C521" s="22">
        <v>45112</v>
      </c>
      <c r="D521" s="22">
        <v>45119</v>
      </c>
      <c r="E521" s="3">
        <v>0</v>
      </c>
      <c r="F521" s="3">
        <v>0</v>
      </c>
      <c r="G521" s="3">
        <v>0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3">
        <v>0</v>
      </c>
      <c r="AC521" s="3">
        <v>0.35</v>
      </c>
      <c r="AD521" s="3">
        <v>0.35</v>
      </c>
      <c r="AE521" s="3">
        <v>0.35</v>
      </c>
      <c r="AF521" s="3">
        <v>0.35</v>
      </c>
      <c r="AG521" s="3">
        <v>0.35</v>
      </c>
      <c r="AH521" s="3">
        <v>0.35</v>
      </c>
      <c r="AI521" s="3">
        <v>0.35</v>
      </c>
      <c r="AJ521" s="3">
        <v>0.35</v>
      </c>
      <c r="AK521" s="3">
        <v>0.35</v>
      </c>
      <c r="AL521" s="3">
        <v>0.35</v>
      </c>
      <c r="AM521" s="3">
        <v>0.35</v>
      </c>
      <c r="AN521" s="3">
        <v>0.35</v>
      </c>
      <c r="AO521" s="3">
        <v>0.35</v>
      </c>
      <c r="AP521" s="3">
        <v>0.35</v>
      </c>
    </row>
    <row r="522" spans="1:42" hidden="1" x14ac:dyDescent="0.3">
      <c r="A522" s="5" t="s">
        <v>661</v>
      </c>
      <c r="B522" s="5" t="s">
        <v>9</v>
      </c>
      <c r="C522" s="22">
        <v>45061</v>
      </c>
      <c r="D522" s="22">
        <v>45065</v>
      </c>
      <c r="E522" s="3">
        <v>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0.05</v>
      </c>
      <c r="AB522" s="3">
        <v>0.05</v>
      </c>
      <c r="AC522" s="3">
        <v>0.05</v>
      </c>
      <c r="AD522" s="3">
        <v>0.05</v>
      </c>
      <c r="AE522" s="3">
        <v>0.05</v>
      </c>
      <c r="AF522" s="3">
        <v>0.05</v>
      </c>
      <c r="AG522" s="3">
        <v>0.05</v>
      </c>
      <c r="AH522" s="3">
        <v>0.05</v>
      </c>
      <c r="AI522" s="3">
        <v>0.05</v>
      </c>
      <c r="AJ522" s="3">
        <v>0.05</v>
      </c>
      <c r="AK522" s="3">
        <v>0.05</v>
      </c>
      <c r="AL522" s="3">
        <v>0.05</v>
      </c>
      <c r="AM522" s="3">
        <v>0.05</v>
      </c>
      <c r="AN522" s="3">
        <v>0.05</v>
      </c>
      <c r="AO522" s="3">
        <v>0.05</v>
      </c>
      <c r="AP522" s="3">
        <v>0.05</v>
      </c>
    </row>
    <row r="523" spans="1:42" hidden="1" x14ac:dyDescent="0.3">
      <c r="A523" s="14" t="s">
        <v>662</v>
      </c>
      <c r="B523" s="14" t="s">
        <v>83</v>
      </c>
      <c r="C523" s="19">
        <v>44657</v>
      </c>
      <c r="D523" s="19">
        <v>45083</v>
      </c>
      <c r="E523" s="7">
        <v>0</v>
      </c>
      <c r="F523" s="7">
        <v>0</v>
      </c>
      <c r="G523" s="7">
        <v>0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0.16</v>
      </c>
      <c r="O523" s="7">
        <v>0.3</v>
      </c>
      <c r="P523" s="7">
        <v>0.38</v>
      </c>
      <c r="Q523" s="7">
        <v>0.45</v>
      </c>
      <c r="R523" s="7">
        <v>0.45</v>
      </c>
      <c r="S523" s="7">
        <v>1.28</v>
      </c>
      <c r="T523" s="7">
        <v>1.73</v>
      </c>
      <c r="U523" s="7">
        <v>2.2200000000000002</v>
      </c>
      <c r="V523" s="7">
        <v>2.72</v>
      </c>
      <c r="W523" s="7">
        <v>3.4</v>
      </c>
      <c r="X523" s="7">
        <v>5.29</v>
      </c>
      <c r="Y523" s="7">
        <v>8.2200000000000006</v>
      </c>
      <c r="Z523" s="7">
        <v>9.82</v>
      </c>
      <c r="AA523" s="7">
        <v>10.58</v>
      </c>
      <c r="AB523" s="7">
        <v>10.61</v>
      </c>
      <c r="AC523" s="7">
        <v>10.61</v>
      </c>
      <c r="AD523" s="7">
        <v>10.61</v>
      </c>
      <c r="AE523" s="7">
        <v>10.61</v>
      </c>
      <c r="AF523" s="7">
        <v>10.61</v>
      </c>
      <c r="AG523" s="7">
        <v>10.61</v>
      </c>
      <c r="AH523" s="7">
        <v>10.61</v>
      </c>
      <c r="AI523" s="7">
        <v>10.61</v>
      </c>
      <c r="AJ523" s="7">
        <v>10.61</v>
      </c>
      <c r="AK523" s="7">
        <v>10.61</v>
      </c>
      <c r="AL523" s="7">
        <v>10.61</v>
      </c>
      <c r="AM523" s="7">
        <v>10.61</v>
      </c>
      <c r="AN523" s="7">
        <v>10.61</v>
      </c>
      <c r="AO523" s="7">
        <v>10.61</v>
      </c>
      <c r="AP523" s="7">
        <v>10.61</v>
      </c>
    </row>
    <row r="524" spans="1:42" hidden="1" x14ac:dyDescent="0.3">
      <c r="A524" s="15" t="s">
        <v>663</v>
      </c>
      <c r="B524" s="15" t="s">
        <v>84</v>
      </c>
      <c r="C524" s="20">
        <v>44851</v>
      </c>
      <c r="D524" s="20">
        <v>44994</v>
      </c>
      <c r="E524" s="8">
        <v>0</v>
      </c>
      <c r="F524" s="8">
        <v>0</v>
      </c>
      <c r="G524" s="8">
        <v>0</v>
      </c>
      <c r="H524" s="8">
        <v>0</v>
      </c>
      <c r="I524" s="8">
        <v>0</v>
      </c>
      <c r="J524" s="8">
        <v>0</v>
      </c>
      <c r="K524" s="8">
        <v>0</v>
      </c>
      <c r="L524" s="8">
        <v>0</v>
      </c>
      <c r="M524" s="8">
        <v>0</v>
      </c>
      <c r="N524" s="8">
        <v>0</v>
      </c>
      <c r="O524" s="8">
        <v>0</v>
      </c>
      <c r="P524" s="8">
        <v>0</v>
      </c>
      <c r="Q524" s="8">
        <v>0</v>
      </c>
      <c r="R524" s="8">
        <v>0</v>
      </c>
      <c r="S524" s="8">
        <v>0</v>
      </c>
      <c r="T524" s="8">
        <v>0.1</v>
      </c>
      <c r="U524" s="8">
        <v>0.21</v>
      </c>
      <c r="V524" s="8">
        <v>0.34</v>
      </c>
      <c r="W524" s="8">
        <v>0.47</v>
      </c>
      <c r="X524" s="8">
        <v>0.52</v>
      </c>
      <c r="Y524" s="8">
        <v>1.3</v>
      </c>
      <c r="Z524" s="8">
        <v>1.3</v>
      </c>
      <c r="AA524" s="8">
        <v>1.3</v>
      </c>
      <c r="AB524" s="8">
        <v>1.3</v>
      </c>
      <c r="AC524" s="8">
        <v>1.3</v>
      </c>
      <c r="AD524" s="8">
        <v>1.3</v>
      </c>
      <c r="AE524" s="8">
        <v>1.3</v>
      </c>
      <c r="AF524" s="8">
        <v>1.3</v>
      </c>
      <c r="AG524" s="8">
        <v>1.3</v>
      </c>
      <c r="AH524" s="8">
        <v>1.3</v>
      </c>
      <c r="AI524" s="8">
        <v>1.3</v>
      </c>
      <c r="AJ524" s="8">
        <v>1.3</v>
      </c>
      <c r="AK524" s="8">
        <v>1.3</v>
      </c>
      <c r="AL524" s="8">
        <v>1.3</v>
      </c>
      <c r="AM524" s="8">
        <v>1.3</v>
      </c>
      <c r="AN524" s="8">
        <v>1.3</v>
      </c>
      <c r="AO524" s="8">
        <v>1.3</v>
      </c>
      <c r="AP524" s="8">
        <v>1.3</v>
      </c>
    </row>
    <row r="525" spans="1:42" hidden="1" x14ac:dyDescent="0.3">
      <c r="A525" s="5" t="s">
        <v>664</v>
      </c>
      <c r="B525" s="5" t="s">
        <v>42</v>
      </c>
      <c r="C525" s="22">
        <v>44987</v>
      </c>
      <c r="D525" s="22">
        <v>44994</v>
      </c>
      <c r="E525" s="3">
        <v>0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0.78</v>
      </c>
      <c r="Z525" s="3">
        <v>0.78</v>
      </c>
      <c r="AA525" s="3">
        <v>0.78</v>
      </c>
      <c r="AB525" s="3">
        <v>0.78</v>
      </c>
      <c r="AC525" s="3">
        <v>0.78</v>
      </c>
      <c r="AD525" s="3">
        <v>0.78</v>
      </c>
      <c r="AE525" s="3">
        <v>0.78</v>
      </c>
      <c r="AF525" s="3">
        <v>0.78</v>
      </c>
      <c r="AG525" s="3">
        <v>0.78</v>
      </c>
      <c r="AH525" s="3">
        <v>0.78</v>
      </c>
      <c r="AI525" s="3">
        <v>0.78</v>
      </c>
      <c r="AJ525" s="3">
        <v>0.78</v>
      </c>
      <c r="AK525" s="3">
        <v>0.78</v>
      </c>
      <c r="AL525" s="3">
        <v>0.78</v>
      </c>
      <c r="AM525" s="3">
        <v>0.78</v>
      </c>
      <c r="AN525" s="3">
        <v>0.78</v>
      </c>
      <c r="AO525" s="3">
        <v>0.78</v>
      </c>
      <c r="AP525" s="3">
        <v>0.78</v>
      </c>
    </row>
    <row r="526" spans="1:42" hidden="1" x14ac:dyDescent="0.3">
      <c r="A526" s="5" t="s">
        <v>665</v>
      </c>
      <c r="B526" s="5" t="s">
        <v>46</v>
      </c>
      <c r="C526" s="22">
        <v>44957</v>
      </c>
      <c r="D526" s="22">
        <v>44974</v>
      </c>
      <c r="E526" s="3">
        <v>0</v>
      </c>
      <c r="F526" s="3">
        <v>0</v>
      </c>
      <c r="G526" s="3">
        <v>0</v>
      </c>
      <c r="H526" s="3">
        <v>0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0.06</v>
      </c>
      <c r="Y526" s="3">
        <v>0.06</v>
      </c>
      <c r="Z526" s="3">
        <v>0.06</v>
      </c>
      <c r="AA526" s="3">
        <v>0.06</v>
      </c>
      <c r="AB526" s="3">
        <v>0.06</v>
      </c>
      <c r="AC526" s="3">
        <v>0.06</v>
      </c>
      <c r="AD526" s="3">
        <v>0.06</v>
      </c>
      <c r="AE526" s="3">
        <v>0.06</v>
      </c>
      <c r="AF526" s="3">
        <v>0.06</v>
      </c>
      <c r="AG526" s="3">
        <v>0.06</v>
      </c>
      <c r="AH526" s="3">
        <v>0.06</v>
      </c>
      <c r="AI526" s="3">
        <v>0.06</v>
      </c>
      <c r="AJ526" s="3">
        <v>0.06</v>
      </c>
      <c r="AK526" s="3">
        <v>0.06</v>
      </c>
      <c r="AL526" s="3">
        <v>0.06</v>
      </c>
      <c r="AM526" s="3">
        <v>0.06</v>
      </c>
      <c r="AN526" s="3">
        <v>0.06</v>
      </c>
      <c r="AO526" s="3">
        <v>0.06</v>
      </c>
      <c r="AP526" s="3">
        <v>0.06</v>
      </c>
    </row>
    <row r="527" spans="1:42" hidden="1" x14ac:dyDescent="0.3">
      <c r="A527" s="5" t="s">
        <v>666</v>
      </c>
      <c r="B527" s="5" t="s">
        <v>45</v>
      </c>
      <c r="C527" s="22">
        <v>44928</v>
      </c>
      <c r="D527" s="22">
        <v>44950</v>
      </c>
      <c r="E527" s="3">
        <v>0</v>
      </c>
      <c r="F527" s="3">
        <v>0</v>
      </c>
      <c r="G527" s="3">
        <v>0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0.13</v>
      </c>
      <c r="X527" s="3">
        <v>0.13</v>
      </c>
      <c r="Y527" s="3">
        <v>0.13</v>
      </c>
      <c r="Z527" s="3">
        <v>0.13</v>
      </c>
      <c r="AA527" s="3">
        <v>0.13</v>
      </c>
      <c r="AB527" s="3">
        <v>0.13</v>
      </c>
      <c r="AC527" s="3">
        <v>0.13</v>
      </c>
      <c r="AD527" s="3">
        <v>0.13</v>
      </c>
      <c r="AE527" s="3">
        <v>0.13</v>
      </c>
      <c r="AF527" s="3">
        <v>0.13</v>
      </c>
      <c r="AG527" s="3">
        <v>0.13</v>
      </c>
      <c r="AH527" s="3">
        <v>0.13</v>
      </c>
      <c r="AI527" s="3">
        <v>0.13</v>
      </c>
      <c r="AJ527" s="3">
        <v>0.13</v>
      </c>
      <c r="AK527" s="3">
        <v>0.13</v>
      </c>
      <c r="AL527" s="3">
        <v>0.13</v>
      </c>
      <c r="AM527" s="3">
        <v>0.13</v>
      </c>
      <c r="AN527" s="3">
        <v>0.13</v>
      </c>
      <c r="AO527" s="3">
        <v>0.13</v>
      </c>
      <c r="AP527" s="3">
        <v>0.13</v>
      </c>
    </row>
    <row r="528" spans="1:42" hidden="1" x14ac:dyDescent="0.3">
      <c r="A528" s="5" t="s">
        <v>667</v>
      </c>
      <c r="B528" s="5" t="s">
        <v>45</v>
      </c>
      <c r="C528" s="22">
        <v>44889</v>
      </c>
      <c r="D528" s="22">
        <v>44911</v>
      </c>
      <c r="E528" s="3">
        <v>0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0.05</v>
      </c>
      <c r="V528" s="3">
        <v>0.17</v>
      </c>
      <c r="W528" s="3">
        <v>0.17</v>
      </c>
      <c r="X528" s="3">
        <v>0.17</v>
      </c>
      <c r="Y528" s="3">
        <v>0.17</v>
      </c>
      <c r="Z528" s="3">
        <v>0.17</v>
      </c>
      <c r="AA528" s="3">
        <v>0.17</v>
      </c>
      <c r="AB528" s="3">
        <v>0.17</v>
      </c>
      <c r="AC528" s="3">
        <v>0.17</v>
      </c>
      <c r="AD528" s="3">
        <v>0.17</v>
      </c>
      <c r="AE528" s="3">
        <v>0.17</v>
      </c>
      <c r="AF528" s="3">
        <v>0.17</v>
      </c>
      <c r="AG528" s="3">
        <v>0.17</v>
      </c>
      <c r="AH528" s="3">
        <v>0.17</v>
      </c>
      <c r="AI528" s="3">
        <v>0.17</v>
      </c>
      <c r="AJ528" s="3">
        <v>0.17</v>
      </c>
      <c r="AK528" s="3">
        <v>0.17</v>
      </c>
      <c r="AL528" s="3">
        <v>0.17</v>
      </c>
      <c r="AM528" s="3">
        <v>0.17</v>
      </c>
      <c r="AN528" s="3">
        <v>0.17</v>
      </c>
      <c r="AO528" s="3">
        <v>0.17</v>
      </c>
      <c r="AP528" s="3">
        <v>0.17</v>
      </c>
    </row>
    <row r="529" spans="1:42" hidden="1" x14ac:dyDescent="0.3">
      <c r="A529" s="5" t="s">
        <v>668</v>
      </c>
      <c r="B529" s="5" t="s">
        <v>45</v>
      </c>
      <c r="C529" s="22">
        <v>44851</v>
      </c>
      <c r="D529" s="22">
        <v>44875</v>
      </c>
      <c r="E529" s="3">
        <v>0</v>
      </c>
      <c r="F529" s="3">
        <v>0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3">
        <v>0.1</v>
      </c>
      <c r="U529" s="3">
        <v>0.17</v>
      </c>
      <c r="V529" s="3">
        <v>0.17</v>
      </c>
      <c r="W529" s="3">
        <v>0.17</v>
      </c>
      <c r="X529" s="3">
        <v>0.17</v>
      </c>
      <c r="Y529" s="3">
        <v>0.17</v>
      </c>
      <c r="Z529" s="3">
        <v>0.17</v>
      </c>
      <c r="AA529" s="3">
        <v>0.17</v>
      </c>
      <c r="AB529" s="3">
        <v>0.17</v>
      </c>
      <c r="AC529" s="3">
        <v>0.17</v>
      </c>
      <c r="AD529" s="3">
        <v>0.17</v>
      </c>
      <c r="AE529" s="3">
        <v>0.17</v>
      </c>
      <c r="AF529" s="3">
        <v>0.17</v>
      </c>
      <c r="AG529" s="3">
        <v>0.17</v>
      </c>
      <c r="AH529" s="3">
        <v>0.17</v>
      </c>
      <c r="AI529" s="3">
        <v>0.17</v>
      </c>
      <c r="AJ529" s="3">
        <v>0.17</v>
      </c>
      <c r="AK529" s="3">
        <v>0.17</v>
      </c>
      <c r="AL529" s="3">
        <v>0.17</v>
      </c>
      <c r="AM529" s="3">
        <v>0.17</v>
      </c>
      <c r="AN529" s="3">
        <v>0.17</v>
      </c>
      <c r="AO529" s="3">
        <v>0.17</v>
      </c>
      <c r="AP529" s="3">
        <v>0.17</v>
      </c>
    </row>
    <row r="530" spans="1:42" hidden="1" x14ac:dyDescent="0.3">
      <c r="A530" s="15" t="s">
        <v>669</v>
      </c>
      <c r="B530" s="15" t="s">
        <v>85</v>
      </c>
      <c r="C530" s="20">
        <v>44875</v>
      </c>
      <c r="D530" s="20">
        <v>45075</v>
      </c>
      <c r="E530" s="8">
        <v>0</v>
      </c>
      <c r="F530" s="8">
        <v>0</v>
      </c>
      <c r="G530" s="8">
        <v>0</v>
      </c>
      <c r="H530" s="8">
        <v>0</v>
      </c>
      <c r="I530" s="8">
        <v>0</v>
      </c>
      <c r="J530" s="8">
        <v>0</v>
      </c>
      <c r="K530" s="8">
        <v>0</v>
      </c>
      <c r="L530" s="8">
        <v>0</v>
      </c>
      <c r="M530" s="8">
        <v>0</v>
      </c>
      <c r="N530" s="8">
        <v>0</v>
      </c>
      <c r="O530" s="8">
        <v>0</v>
      </c>
      <c r="P530" s="8">
        <v>0</v>
      </c>
      <c r="Q530" s="8">
        <v>0</v>
      </c>
      <c r="R530" s="8">
        <v>0</v>
      </c>
      <c r="S530" s="8">
        <v>0</v>
      </c>
      <c r="T530" s="8">
        <v>0</v>
      </c>
      <c r="U530" s="8">
        <v>0.14000000000000001</v>
      </c>
      <c r="V530" s="8">
        <v>0.19</v>
      </c>
      <c r="W530" s="8">
        <v>0.38</v>
      </c>
      <c r="X530" s="8">
        <v>0.51</v>
      </c>
      <c r="Y530" s="8">
        <v>0.82</v>
      </c>
      <c r="Z530" s="8">
        <v>2.11</v>
      </c>
      <c r="AA530" s="8">
        <v>2.17</v>
      </c>
      <c r="AB530" s="8">
        <v>2.17</v>
      </c>
      <c r="AC530" s="8">
        <v>2.17</v>
      </c>
      <c r="AD530" s="8">
        <v>2.17</v>
      </c>
      <c r="AE530" s="8">
        <v>2.17</v>
      </c>
      <c r="AF530" s="8">
        <v>2.17</v>
      </c>
      <c r="AG530" s="8">
        <v>2.17</v>
      </c>
      <c r="AH530" s="8">
        <v>2.17</v>
      </c>
      <c r="AI530" s="8">
        <v>2.17</v>
      </c>
      <c r="AJ530" s="8">
        <v>2.17</v>
      </c>
      <c r="AK530" s="8">
        <v>2.17</v>
      </c>
      <c r="AL530" s="8">
        <v>2.17</v>
      </c>
      <c r="AM530" s="8">
        <v>2.17</v>
      </c>
      <c r="AN530" s="8">
        <v>2.17</v>
      </c>
      <c r="AO530" s="8">
        <v>2.17</v>
      </c>
      <c r="AP530" s="8">
        <v>2.17</v>
      </c>
    </row>
    <row r="531" spans="1:42" hidden="1" x14ac:dyDescent="0.3">
      <c r="A531" s="5" t="s">
        <v>670</v>
      </c>
      <c r="B531" s="5" t="s">
        <v>42</v>
      </c>
      <c r="C531" s="22">
        <v>45016</v>
      </c>
      <c r="D531" s="22">
        <v>45026</v>
      </c>
      <c r="E531" s="3">
        <v>0</v>
      </c>
      <c r="F531" s="3">
        <v>0</v>
      </c>
      <c r="G531" s="3">
        <v>0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0.15</v>
      </c>
      <c r="Z531" s="3">
        <v>1.1299999999999999</v>
      </c>
      <c r="AA531" s="3">
        <v>1.1299999999999999</v>
      </c>
      <c r="AB531" s="3">
        <v>1.1299999999999999</v>
      </c>
      <c r="AC531" s="3">
        <v>1.1299999999999999</v>
      </c>
      <c r="AD531" s="3">
        <v>1.1299999999999999</v>
      </c>
      <c r="AE531" s="3">
        <v>1.1299999999999999</v>
      </c>
      <c r="AF531" s="3">
        <v>1.1299999999999999</v>
      </c>
      <c r="AG531" s="3">
        <v>1.1299999999999999</v>
      </c>
      <c r="AH531" s="3">
        <v>1.1299999999999999</v>
      </c>
      <c r="AI531" s="3">
        <v>1.1299999999999999</v>
      </c>
      <c r="AJ531" s="3">
        <v>1.1299999999999999</v>
      </c>
      <c r="AK531" s="3">
        <v>1.1299999999999999</v>
      </c>
      <c r="AL531" s="3">
        <v>1.1299999999999999</v>
      </c>
      <c r="AM531" s="3">
        <v>1.1299999999999999</v>
      </c>
      <c r="AN531" s="3">
        <v>1.1299999999999999</v>
      </c>
      <c r="AO531" s="3">
        <v>1.1299999999999999</v>
      </c>
      <c r="AP531" s="3">
        <v>1.1299999999999999</v>
      </c>
    </row>
    <row r="532" spans="1:42" hidden="1" x14ac:dyDescent="0.3">
      <c r="A532" s="5" t="s">
        <v>671</v>
      </c>
      <c r="B532" s="5" t="s">
        <v>33</v>
      </c>
      <c r="C532" s="22">
        <v>45006</v>
      </c>
      <c r="D532" s="22">
        <v>45016</v>
      </c>
      <c r="E532" s="3">
        <v>0</v>
      </c>
      <c r="F532" s="3">
        <v>0</v>
      </c>
      <c r="G532" s="3">
        <v>0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0.06</v>
      </c>
      <c r="Z532" s="3">
        <v>0.06</v>
      </c>
      <c r="AA532" s="3">
        <v>0.06</v>
      </c>
      <c r="AB532" s="3">
        <v>0.06</v>
      </c>
      <c r="AC532" s="3">
        <v>0.06</v>
      </c>
      <c r="AD532" s="3">
        <v>0.06</v>
      </c>
      <c r="AE532" s="3">
        <v>0.06</v>
      </c>
      <c r="AF532" s="3">
        <v>0.06</v>
      </c>
      <c r="AG532" s="3">
        <v>0.06</v>
      </c>
      <c r="AH532" s="3">
        <v>0.06</v>
      </c>
      <c r="AI532" s="3">
        <v>0.06</v>
      </c>
      <c r="AJ532" s="3">
        <v>0.06</v>
      </c>
      <c r="AK532" s="3">
        <v>0.06</v>
      </c>
      <c r="AL532" s="3">
        <v>0.06</v>
      </c>
      <c r="AM532" s="3">
        <v>0.06</v>
      </c>
      <c r="AN532" s="3">
        <v>0.06</v>
      </c>
      <c r="AO532" s="3">
        <v>0.06</v>
      </c>
      <c r="AP532" s="3">
        <v>0.06</v>
      </c>
    </row>
    <row r="533" spans="1:42" hidden="1" x14ac:dyDescent="0.3">
      <c r="A533" s="5" t="s">
        <v>672</v>
      </c>
      <c r="B533" s="5" t="s">
        <v>33</v>
      </c>
      <c r="C533" s="22">
        <v>44994</v>
      </c>
      <c r="D533" s="22">
        <v>45006</v>
      </c>
      <c r="E533" s="3">
        <v>0</v>
      </c>
      <c r="F533" s="3">
        <v>0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7.0000000000000007E-2</v>
      </c>
      <c r="Z533" s="3">
        <v>7.0000000000000007E-2</v>
      </c>
      <c r="AA533" s="3">
        <v>7.0000000000000007E-2</v>
      </c>
      <c r="AB533" s="3">
        <v>7.0000000000000007E-2</v>
      </c>
      <c r="AC533" s="3">
        <v>7.0000000000000007E-2</v>
      </c>
      <c r="AD533" s="3">
        <v>7.0000000000000007E-2</v>
      </c>
      <c r="AE533" s="3">
        <v>7.0000000000000007E-2</v>
      </c>
      <c r="AF533" s="3">
        <v>7.0000000000000007E-2</v>
      </c>
      <c r="AG533" s="3">
        <v>7.0000000000000007E-2</v>
      </c>
      <c r="AH533" s="3">
        <v>7.0000000000000007E-2</v>
      </c>
      <c r="AI533" s="3">
        <v>7.0000000000000007E-2</v>
      </c>
      <c r="AJ533" s="3">
        <v>7.0000000000000007E-2</v>
      </c>
      <c r="AK533" s="3">
        <v>7.0000000000000007E-2</v>
      </c>
      <c r="AL533" s="3">
        <v>7.0000000000000007E-2</v>
      </c>
      <c r="AM533" s="3">
        <v>7.0000000000000007E-2</v>
      </c>
      <c r="AN533" s="3">
        <v>7.0000000000000007E-2</v>
      </c>
      <c r="AO533" s="3">
        <v>7.0000000000000007E-2</v>
      </c>
      <c r="AP533" s="3">
        <v>7.0000000000000007E-2</v>
      </c>
    </row>
    <row r="534" spans="1:42" hidden="1" x14ac:dyDescent="0.3">
      <c r="A534" s="5" t="s">
        <v>673</v>
      </c>
      <c r="B534" s="5" t="s">
        <v>46</v>
      </c>
      <c r="C534" s="22">
        <v>44974</v>
      </c>
      <c r="D534" s="22">
        <v>44994</v>
      </c>
      <c r="E534" s="3">
        <v>0</v>
      </c>
      <c r="F534" s="3">
        <v>0</v>
      </c>
      <c r="G534" s="3">
        <v>0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0.04</v>
      </c>
      <c r="Y534" s="3">
        <v>7.0000000000000007E-2</v>
      </c>
      <c r="Z534" s="3">
        <v>7.0000000000000007E-2</v>
      </c>
      <c r="AA534" s="3">
        <v>7.0000000000000007E-2</v>
      </c>
      <c r="AB534" s="3">
        <v>7.0000000000000007E-2</v>
      </c>
      <c r="AC534" s="3">
        <v>7.0000000000000007E-2</v>
      </c>
      <c r="AD534" s="3">
        <v>7.0000000000000007E-2</v>
      </c>
      <c r="AE534" s="3">
        <v>7.0000000000000007E-2</v>
      </c>
      <c r="AF534" s="3">
        <v>7.0000000000000007E-2</v>
      </c>
      <c r="AG534" s="3">
        <v>7.0000000000000007E-2</v>
      </c>
      <c r="AH534" s="3">
        <v>7.0000000000000007E-2</v>
      </c>
      <c r="AI534" s="3">
        <v>7.0000000000000007E-2</v>
      </c>
      <c r="AJ534" s="3">
        <v>7.0000000000000007E-2</v>
      </c>
      <c r="AK534" s="3">
        <v>7.0000000000000007E-2</v>
      </c>
      <c r="AL534" s="3">
        <v>7.0000000000000007E-2</v>
      </c>
      <c r="AM534" s="3">
        <v>7.0000000000000007E-2</v>
      </c>
      <c r="AN534" s="3">
        <v>7.0000000000000007E-2</v>
      </c>
      <c r="AO534" s="3">
        <v>7.0000000000000007E-2</v>
      </c>
      <c r="AP534" s="3">
        <v>7.0000000000000007E-2</v>
      </c>
    </row>
    <row r="535" spans="1:42" hidden="1" x14ac:dyDescent="0.3">
      <c r="A535" s="5" t="s">
        <v>674</v>
      </c>
      <c r="B535" s="5" t="s">
        <v>45</v>
      </c>
      <c r="C535" s="22">
        <v>44950</v>
      </c>
      <c r="D535" s="22">
        <v>44974</v>
      </c>
      <c r="E535" s="3">
        <v>0</v>
      </c>
      <c r="F535" s="3">
        <v>0</v>
      </c>
      <c r="G535" s="3">
        <v>0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0.04</v>
      </c>
      <c r="X535" s="3">
        <v>0.13</v>
      </c>
      <c r="Y535" s="3">
        <v>0.13</v>
      </c>
      <c r="Z535" s="3">
        <v>0.13</v>
      </c>
      <c r="AA535" s="3">
        <v>0.13</v>
      </c>
      <c r="AB535" s="3">
        <v>0.13</v>
      </c>
      <c r="AC535" s="3">
        <v>0.13</v>
      </c>
      <c r="AD535" s="3">
        <v>0.13</v>
      </c>
      <c r="AE535" s="3">
        <v>0.13</v>
      </c>
      <c r="AF535" s="3">
        <v>0.13</v>
      </c>
      <c r="AG535" s="3">
        <v>0.13</v>
      </c>
      <c r="AH535" s="3">
        <v>0.13</v>
      </c>
      <c r="AI535" s="3">
        <v>0.13</v>
      </c>
      <c r="AJ535" s="3">
        <v>0.13</v>
      </c>
      <c r="AK535" s="3">
        <v>0.13</v>
      </c>
      <c r="AL535" s="3">
        <v>0.13</v>
      </c>
      <c r="AM535" s="3">
        <v>0.13</v>
      </c>
      <c r="AN535" s="3">
        <v>0.13</v>
      </c>
      <c r="AO535" s="3">
        <v>0.13</v>
      </c>
      <c r="AP535" s="3">
        <v>0.13</v>
      </c>
    </row>
    <row r="536" spans="1:42" hidden="1" x14ac:dyDescent="0.3">
      <c r="A536" s="5" t="s">
        <v>675</v>
      </c>
      <c r="B536" s="5" t="s">
        <v>45</v>
      </c>
      <c r="C536" s="22">
        <v>44924</v>
      </c>
      <c r="D536" s="22">
        <v>44950</v>
      </c>
      <c r="E536" s="3">
        <v>0</v>
      </c>
      <c r="F536" s="3">
        <v>0</v>
      </c>
      <c r="G536" s="3">
        <v>0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0.02</v>
      </c>
      <c r="W536" s="3">
        <v>0.17</v>
      </c>
      <c r="X536" s="3">
        <v>0.17</v>
      </c>
      <c r="Y536" s="3">
        <v>0.17</v>
      </c>
      <c r="Z536" s="3">
        <v>0.17</v>
      </c>
      <c r="AA536" s="3">
        <v>0.17</v>
      </c>
      <c r="AB536" s="3">
        <v>0.17</v>
      </c>
      <c r="AC536" s="3">
        <v>0.17</v>
      </c>
      <c r="AD536" s="3">
        <v>0.17</v>
      </c>
      <c r="AE536" s="3">
        <v>0.17</v>
      </c>
      <c r="AF536" s="3">
        <v>0.17</v>
      </c>
      <c r="AG536" s="3">
        <v>0.17</v>
      </c>
      <c r="AH536" s="3">
        <v>0.17</v>
      </c>
      <c r="AI536" s="3">
        <v>0.17</v>
      </c>
      <c r="AJ536" s="3">
        <v>0.17</v>
      </c>
      <c r="AK536" s="3">
        <v>0.17</v>
      </c>
      <c r="AL536" s="3">
        <v>0.17</v>
      </c>
      <c r="AM536" s="3">
        <v>0.17</v>
      </c>
      <c r="AN536" s="3">
        <v>0.17</v>
      </c>
      <c r="AO536" s="3">
        <v>0.17</v>
      </c>
      <c r="AP536" s="3">
        <v>0.17</v>
      </c>
    </row>
    <row r="537" spans="1:42" hidden="1" x14ac:dyDescent="0.3">
      <c r="A537" s="5" t="s">
        <v>676</v>
      </c>
      <c r="B537" s="5" t="s">
        <v>45</v>
      </c>
      <c r="C537" s="22">
        <v>44875</v>
      </c>
      <c r="D537" s="22">
        <v>44900</v>
      </c>
      <c r="E537" s="3">
        <v>0</v>
      </c>
      <c r="F537" s="3">
        <v>0</v>
      </c>
      <c r="G537" s="3">
        <v>0</v>
      </c>
      <c r="H537" s="3">
        <v>0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0.14000000000000001</v>
      </c>
      <c r="V537" s="3">
        <v>0.17</v>
      </c>
      <c r="W537" s="3">
        <v>0.17</v>
      </c>
      <c r="X537" s="3">
        <v>0.17</v>
      </c>
      <c r="Y537" s="3">
        <v>0.17</v>
      </c>
      <c r="Z537" s="3">
        <v>0.17</v>
      </c>
      <c r="AA537" s="3">
        <v>0.17</v>
      </c>
      <c r="AB537" s="3">
        <v>0.17</v>
      </c>
      <c r="AC537" s="3">
        <v>0.17</v>
      </c>
      <c r="AD537" s="3">
        <v>0.17</v>
      </c>
      <c r="AE537" s="3">
        <v>0.17</v>
      </c>
      <c r="AF537" s="3">
        <v>0.17</v>
      </c>
      <c r="AG537" s="3">
        <v>0.17</v>
      </c>
      <c r="AH537" s="3">
        <v>0.17</v>
      </c>
      <c r="AI537" s="3">
        <v>0.17</v>
      </c>
      <c r="AJ537" s="3">
        <v>0.17</v>
      </c>
      <c r="AK537" s="3">
        <v>0.17</v>
      </c>
      <c r="AL537" s="3">
        <v>0.17</v>
      </c>
      <c r="AM537" s="3">
        <v>0.17</v>
      </c>
      <c r="AN537" s="3">
        <v>0.17</v>
      </c>
      <c r="AO537" s="3">
        <v>0.17</v>
      </c>
      <c r="AP537" s="3">
        <v>0.17</v>
      </c>
    </row>
    <row r="538" spans="1:42" hidden="1" x14ac:dyDescent="0.3">
      <c r="A538" s="4" t="s">
        <v>677</v>
      </c>
      <c r="B538" s="4" t="s">
        <v>86</v>
      </c>
      <c r="C538" s="21">
        <v>45026</v>
      </c>
      <c r="D538" s="21">
        <v>45054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0.3</v>
      </c>
      <c r="AA538" s="2">
        <v>0.35</v>
      </c>
      <c r="AB538" s="2">
        <v>0.35</v>
      </c>
      <c r="AC538" s="2">
        <v>0.35</v>
      </c>
      <c r="AD538" s="2">
        <v>0.35</v>
      </c>
      <c r="AE538" s="2">
        <v>0.35</v>
      </c>
      <c r="AF538" s="2">
        <v>0.35</v>
      </c>
      <c r="AG538" s="2">
        <v>0.35</v>
      </c>
      <c r="AH538" s="2">
        <v>0.35</v>
      </c>
      <c r="AI538" s="2">
        <v>0.35</v>
      </c>
      <c r="AJ538" s="2">
        <v>0.35</v>
      </c>
      <c r="AK538" s="2">
        <v>0.35</v>
      </c>
      <c r="AL538" s="2">
        <v>0.35</v>
      </c>
      <c r="AM538" s="2">
        <v>0.35</v>
      </c>
      <c r="AN538" s="2">
        <v>0.35</v>
      </c>
      <c r="AO538" s="2">
        <v>0.35</v>
      </c>
      <c r="AP538" s="2">
        <v>0.35</v>
      </c>
    </row>
    <row r="539" spans="1:42" hidden="1" x14ac:dyDescent="0.3">
      <c r="A539" s="5" t="s">
        <v>678</v>
      </c>
      <c r="B539" s="5" t="s">
        <v>9</v>
      </c>
      <c r="C539" s="22">
        <v>45026</v>
      </c>
      <c r="D539" s="22">
        <v>45033</v>
      </c>
      <c r="E539" s="3">
        <v>0</v>
      </c>
      <c r="F539" s="3">
        <v>0</v>
      </c>
      <c r="G539" s="3">
        <v>0</v>
      </c>
      <c r="H539" s="3">
        <v>0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0.18</v>
      </c>
      <c r="AA539" s="3">
        <v>0.18</v>
      </c>
      <c r="AB539" s="3">
        <v>0.18</v>
      </c>
      <c r="AC539" s="3">
        <v>0.18</v>
      </c>
      <c r="AD539" s="3">
        <v>0.18</v>
      </c>
      <c r="AE539" s="3">
        <v>0.18</v>
      </c>
      <c r="AF539" s="3">
        <v>0.18</v>
      </c>
      <c r="AG539" s="3">
        <v>0.18</v>
      </c>
      <c r="AH539" s="3">
        <v>0.18</v>
      </c>
      <c r="AI539" s="3">
        <v>0.18</v>
      </c>
      <c r="AJ539" s="3">
        <v>0.18</v>
      </c>
      <c r="AK539" s="3">
        <v>0.18</v>
      </c>
      <c r="AL539" s="3">
        <v>0.18</v>
      </c>
      <c r="AM539" s="3">
        <v>0.18</v>
      </c>
      <c r="AN539" s="3">
        <v>0.18</v>
      </c>
      <c r="AO539" s="3">
        <v>0.18</v>
      </c>
      <c r="AP539" s="3">
        <v>0.18</v>
      </c>
    </row>
    <row r="540" spans="1:42" hidden="1" x14ac:dyDescent="0.3">
      <c r="A540" s="5" t="s">
        <v>679</v>
      </c>
      <c r="B540" s="5" t="s">
        <v>9</v>
      </c>
      <c r="C540" s="22">
        <v>45047</v>
      </c>
      <c r="D540" s="22">
        <v>45054</v>
      </c>
      <c r="E540" s="3">
        <v>0</v>
      </c>
      <c r="F540" s="3">
        <v>0</v>
      </c>
      <c r="G540" s="3">
        <v>0</v>
      </c>
      <c r="H540" s="3">
        <v>0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0.05</v>
      </c>
      <c r="AB540" s="3">
        <v>0.05</v>
      </c>
      <c r="AC540" s="3">
        <v>0.05</v>
      </c>
      <c r="AD540" s="3">
        <v>0.05</v>
      </c>
      <c r="AE540" s="3">
        <v>0.05</v>
      </c>
      <c r="AF540" s="3">
        <v>0.05</v>
      </c>
      <c r="AG540" s="3">
        <v>0.05</v>
      </c>
      <c r="AH540" s="3">
        <v>0.05</v>
      </c>
      <c r="AI540" s="3">
        <v>0.05</v>
      </c>
      <c r="AJ540" s="3">
        <v>0.05</v>
      </c>
      <c r="AK540" s="3">
        <v>0.05</v>
      </c>
      <c r="AL540" s="3">
        <v>0.05</v>
      </c>
      <c r="AM540" s="3">
        <v>0.05</v>
      </c>
      <c r="AN540" s="3">
        <v>0.05</v>
      </c>
      <c r="AO540" s="3">
        <v>0.05</v>
      </c>
      <c r="AP540" s="3">
        <v>0.05</v>
      </c>
    </row>
    <row r="541" spans="1:42" hidden="1" x14ac:dyDescent="0.3">
      <c r="A541" s="5" t="s">
        <v>680</v>
      </c>
      <c r="B541" s="5" t="s">
        <v>31</v>
      </c>
      <c r="C541" s="22">
        <v>45033</v>
      </c>
      <c r="D541" s="22">
        <v>45035</v>
      </c>
      <c r="E541" s="3">
        <v>0</v>
      </c>
      <c r="F541" s="3">
        <v>0</v>
      </c>
      <c r="G541" s="3">
        <v>0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0.05</v>
      </c>
      <c r="AA541" s="3">
        <v>0.05</v>
      </c>
      <c r="AB541" s="3">
        <v>0.05</v>
      </c>
      <c r="AC541" s="3">
        <v>0.05</v>
      </c>
      <c r="AD541" s="3">
        <v>0.05</v>
      </c>
      <c r="AE541" s="3">
        <v>0.05</v>
      </c>
      <c r="AF541" s="3">
        <v>0.05</v>
      </c>
      <c r="AG541" s="3">
        <v>0.05</v>
      </c>
      <c r="AH541" s="3">
        <v>0.05</v>
      </c>
      <c r="AI541" s="3">
        <v>0.05</v>
      </c>
      <c r="AJ541" s="3">
        <v>0.05</v>
      </c>
      <c r="AK541" s="3">
        <v>0.05</v>
      </c>
      <c r="AL541" s="3">
        <v>0.05</v>
      </c>
      <c r="AM541" s="3">
        <v>0.05</v>
      </c>
      <c r="AN541" s="3">
        <v>0.05</v>
      </c>
      <c r="AO541" s="3">
        <v>0.05</v>
      </c>
      <c r="AP541" s="3">
        <v>0.05</v>
      </c>
    </row>
    <row r="542" spans="1:42" hidden="1" x14ac:dyDescent="0.3">
      <c r="A542" s="5" t="s">
        <v>681</v>
      </c>
      <c r="B542" s="5" t="s">
        <v>31</v>
      </c>
      <c r="C542" s="22">
        <v>45035</v>
      </c>
      <c r="D542" s="22">
        <v>45037</v>
      </c>
      <c r="E542" s="3">
        <v>0</v>
      </c>
      <c r="F542" s="3">
        <v>0</v>
      </c>
      <c r="G542" s="3">
        <v>0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0.02</v>
      </c>
      <c r="AA542" s="3">
        <v>0.02</v>
      </c>
      <c r="AB542" s="3">
        <v>0.02</v>
      </c>
      <c r="AC542" s="3">
        <v>0.02</v>
      </c>
      <c r="AD542" s="3">
        <v>0.02</v>
      </c>
      <c r="AE542" s="3">
        <v>0.02</v>
      </c>
      <c r="AF542" s="3">
        <v>0.02</v>
      </c>
      <c r="AG542" s="3">
        <v>0.02</v>
      </c>
      <c r="AH542" s="3">
        <v>0.02</v>
      </c>
      <c r="AI542" s="3">
        <v>0.02</v>
      </c>
      <c r="AJ542" s="3">
        <v>0.02</v>
      </c>
      <c r="AK542" s="3">
        <v>0.02</v>
      </c>
      <c r="AL542" s="3">
        <v>0.02</v>
      </c>
      <c r="AM542" s="3">
        <v>0.02</v>
      </c>
      <c r="AN542" s="3">
        <v>0.02</v>
      </c>
      <c r="AO542" s="3">
        <v>0.02</v>
      </c>
      <c r="AP542" s="3">
        <v>0.02</v>
      </c>
    </row>
    <row r="543" spans="1:42" hidden="1" x14ac:dyDescent="0.3">
      <c r="A543" s="5" t="s">
        <v>682</v>
      </c>
      <c r="B543" s="5" t="s">
        <v>31</v>
      </c>
      <c r="C543" s="22">
        <v>45037</v>
      </c>
      <c r="D543" s="22">
        <v>45041</v>
      </c>
      <c r="E543" s="3">
        <v>0</v>
      </c>
      <c r="F543" s="3">
        <v>0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0.02</v>
      </c>
      <c r="AA543" s="3">
        <v>0.02</v>
      </c>
      <c r="AB543" s="3">
        <v>0.02</v>
      </c>
      <c r="AC543" s="3">
        <v>0.02</v>
      </c>
      <c r="AD543" s="3">
        <v>0.02</v>
      </c>
      <c r="AE543" s="3">
        <v>0.02</v>
      </c>
      <c r="AF543" s="3">
        <v>0.02</v>
      </c>
      <c r="AG543" s="3">
        <v>0.02</v>
      </c>
      <c r="AH543" s="3">
        <v>0.02</v>
      </c>
      <c r="AI543" s="3">
        <v>0.02</v>
      </c>
      <c r="AJ543" s="3">
        <v>0.02</v>
      </c>
      <c r="AK543" s="3">
        <v>0.02</v>
      </c>
      <c r="AL543" s="3">
        <v>0.02</v>
      </c>
      <c r="AM543" s="3">
        <v>0.02</v>
      </c>
      <c r="AN543" s="3">
        <v>0.02</v>
      </c>
      <c r="AO543" s="3">
        <v>0.02</v>
      </c>
      <c r="AP543" s="3">
        <v>0.02</v>
      </c>
    </row>
    <row r="544" spans="1:42" hidden="1" x14ac:dyDescent="0.3">
      <c r="A544" s="5" t="s">
        <v>683</v>
      </c>
      <c r="B544" s="5" t="s">
        <v>31</v>
      </c>
      <c r="C544" s="22">
        <v>45041</v>
      </c>
      <c r="D544" s="22">
        <v>45043</v>
      </c>
      <c r="E544" s="3">
        <v>0</v>
      </c>
      <c r="F544" s="3">
        <v>0</v>
      </c>
      <c r="G544" s="3">
        <v>0</v>
      </c>
      <c r="H544" s="3">
        <v>0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0.02</v>
      </c>
      <c r="AA544" s="3">
        <v>0.02</v>
      </c>
      <c r="AB544" s="3">
        <v>0.02</v>
      </c>
      <c r="AC544" s="3">
        <v>0.02</v>
      </c>
      <c r="AD544" s="3">
        <v>0.02</v>
      </c>
      <c r="AE544" s="3">
        <v>0.02</v>
      </c>
      <c r="AF544" s="3">
        <v>0.02</v>
      </c>
      <c r="AG544" s="3">
        <v>0.02</v>
      </c>
      <c r="AH544" s="3">
        <v>0.02</v>
      </c>
      <c r="AI544" s="3">
        <v>0.02</v>
      </c>
      <c r="AJ544" s="3">
        <v>0.02</v>
      </c>
      <c r="AK544" s="3">
        <v>0.02</v>
      </c>
      <c r="AL544" s="3">
        <v>0.02</v>
      </c>
      <c r="AM544" s="3">
        <v>0.02</v>
      </c>
      <c r="AN544" s="3">
        <v>0.02</v>
      </c>
      <c r="AO544" s="3">
        <v>0.02</v>
      </c>
      <c r="AP544" s="3">
        <v>0.02</v>
      </c>
    </row>
    <row r="545" spans="1:42" hidden="1" x14ac:dyDescent="0.3">
      <c r="A545" s="5" t="s">
        <v>684</v>
      </c>
      <c r="B545" s="5" t="s">
        <v>31</v>
      </c>
      <c r="C545" s="22">
        <v>45043</v>
      </c>
      <c r="D545" s="22">
        <v>45047</v>
      </c>
      <c r="E545" s="3">
        <v>0</v>
      </c>
      <c r="F545" s="3">
        <v>0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0.02</v>
      </c>
      <c r="AA545" s="3">
        <v>0.02</v>
      </c>
      <c r="AB545" s="3">
        <v>0.02</v>
      </c>
      <c r="AC545" s="3">
        <v>0.02</v>
      </c>
      <c r="AD545" s="3">
        <v>0.02</v>
      </c>
      <c r="AE545" s="3">
        <v>0.02</v>
      </c>
      <c r="AF545" s="3">
        <v>0.02</v>
      </c>
      <c r="AG545" s="3">
        <v>0.02</v>
      </c>
      <c r="AH545" s="3">
        <v>0.02</v>
      </c>
      <c r="AI545" s="3">
        <v>0.02</v>
      </c>
      <c r="AJ545" s="3">
        <v>0.02</v>
      </c>
      <c r="AK545" s="3">
        <v>0.02</v>
      </c>
      <c r="AL545" s="3">
        <v>0.02</v>
      </c>
      <c r="AM545" s="3">
        <v>0.02</v>
      </c>
      <c r="AN545" s="3">
        <v>0.02</v>
      </c>
      <c r="AO545" s="3">
        <v>0.02</v>
      </c>
      <c r="AP545" s="3">
        <v>0.02</v>
      </c>
    </row>
    <row r="546" spans="1:42" hidden="1" x14ac:dyDescent="0.3">
      <c r="A546" s="5" t="s">
        <v>685</v>
      </c>
      <c r="B546" s="5" t="s">
        <v>17</v>
      </c>
      <c r="C546" s="22">
        <v>45054</v>
      </c>
      <c r="D546" s="22">
        <v>45075</v>
      </c>
      <c r="E546" s="3">
        <v>0</v>
      </c>
      <c r="F546" s="3">
        <v>0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0.02</v>
      </c>
      <c r="AB546" s="3">
        <v>0.02</v>
      </c>
      <c r="AC546" s="3">
        <v>0.02</v>
      </c>
      <c r="AD546" s="3">
        <v>0.02</v>
      </c>
      <c r="AE546" s="3">
        <v>0.02</v>
      </c>
      <c r="AF546" s="3">
        <v>0.02</v>
      </c>
      <c r="AG546" s="3">
        <v>0.02</v>
      </c>
      <c r="AH546" s="3">
        <v>0.02</v>
      </c>
      <c r="AI546" s="3">
        <v>0.02</v>
      </c>
      <c r="AJ546" s="3">
        <v>0.02</v>
      </c>
      <c r="AK546" s="3">
        <v>0.02</v>
      </c>
      <c r="AL546" s="3">
        <v>0.02</v>
      </c>
      <c r="AM546" s="3">
        <v>0.02</v>
      </c>
      <c r="AN546" s="3">
        <v>0.02</v>
      </c>
      <c r="AO546" s="3">
        <v>0.02</v>
      </c>
      <c r="AP546" s="3">
        <v>0.02</v>
      </c>
    </row>
    <row r="547" spans="1:42" hidden="1" x14ac:dyDescent="0.3">
      <c r="A547" s="15" t="s">
        <v>686</v>
      </c>
      <c r="B547" s="15" t="s">
        <v>26</v>
      </c>
      <c r="C547" s="20">
        <v>45055</v>
      </c>
      <c r="D547" s="20">
        <v>45083</v>
      </c>
      <c r="E547" s="8">
        <v>0</v>
      </c>
      <c r="F547" s="8">
        <v>0</v>
      </c>
      <c r="G547" s="8">
        <v>0</v>
      </c>
      <c r="H547" s="8">
        <v>0</v>
      </c>
      <c r="I547" s="8">
        <v>0</v>
      </c>
      <c r="J547" s="8">
        <v>0</v>
      </c>
      <c r="K547" s="8">
        <v>0</v>
      </c>
      <c r="L547" s="8">
        <v>0</v>
      </c>
      <c r="M547" s="8">
        <v>0</v>
      </c>
      <c r="N547" s="8">
        <v>0</v>
      </c>
      <c r="O547" s="8">
        <v>0</v>
      </c>
      <c r="P547" s="8">
        <v>0</v>
      </c>
      <c r="Q547" s="8">
        <v>0</v>
      </c>
      <c r="R547" s="8">
        <v>0</v>
      </c>
      <c r="S547" s="8">
        <v>0</v>
      </c>
      <c r="T547" s="8">
        <v>0</v>
      </c>
      <c r="U547" s="8">
        <v>0</v>
      </c>
      <c r="V547" s="8">
        <v>0</v>
      </c>
      <c r="W547" s="8">
        <v>0</v>
      </c>
      <c r="X547" s="8">
        <v>0</v>
      </c>
      <c r="Y547" s="8">
        <v>0</v>
      </c>
      <c r="Z547" s="8">
        <v>0</v>
      </c>
      <c r="AA547" s="8">
        <v>0.31</v>
      </c>
      <c r="AB547" s="8">
        <v>0.34</v>
      </c>
      <c r="AC547" s="8">
        <v>0.34</v>
      </c>
      <c r="AD547" s="8">
        <v>0.34</v>
      </c>
      <c r="AE547" s="8">
        <v>0.34</v>
      </c>
      <c r="AF547" s="8">
        <v>0.34</v>
      </c>
      <c r="AG547" s="8">
        <v>0.34</v>
      </c>
      <c r="AH547" s="8">
        <v>0.34</v>
      </c>
      <c r="AI547" s="8">
        <v>0.34</v>
      </c>
      <c r="AJ547" s="8">
        <v>0.34</v>
      </c>
      <c r="AK547" s="8">
        <v>0.34</v>
      </c>
      <c r="AL547" s="8">
        <v>0.34</v>
      </c>
      <c r="AM547" s="8">
        <v>0.34</v>
      </c>
      <c r="AN547" s="8">
        <v>0.34</v>
      </c>
      <c r="AO547" s="8">
        <v>0.34</v>
      </c>
      <c r="AP547" s="8">
        <v>0.34</v>
      </c>
    </row>
    <row r="548" spans="1:42" hidden="1" x14ac:dyDescent="0.3">
      <c r="A548" s="5" t="s">
        <v>687</v>
      </c>
      <c r="B548" s="5" t="s">
        <v>31</v>
      </c>
      <c r="C548" s="22">
        <v>45071</v>
      </c>
      <c r="D548" s="22">
        <v>45075</v>
      </c>
      <c r="E548" s="3">
        <v>0</v>
      </c>
      <c r="F548" s="3">
        <v>0</v>
      </c>
      <c r="G548" s="3">
        <v>0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0.19</v>
      </c>
      <c r="AB548" s="3">
        <v>0.19</v>
      </c>
      <c r="AC548" s="3">
        <v>0.19</v>
      </c>
      <c r="AD548" s="3">
        <v>0.19</v>
      </c>
      <c r="AE548" s="3">
        <v>0.19</v>
      </c>
      <c r="AF548" s="3">
        <v>0.19</v>
      </c>
      <c r="AG548" s="3">
        <v>0.19</v>
      </c>
      <c r="AH548" s="3">
        <v>0.19</v>
      </c>
      <c r="AI548" s="3">
        <v>0.19</v>
      </c>
      <c r="AJ548" s="3">
        <v>0.19</v>
      </c>
      <c r="AK548" s="3">
        <v>0.19</v>
      </c>
      <c r="AL548" s="3">
        <v>0.19</v>
      </c>
      <c r="AM548" s="3">
        <v>0.19</v>
      </c>
      <c r="AN548" s="3">
        <v>0.19</v>
      </c>
      <c r="AO548" s="3">
        <v>0.19</v>
      </c>
      <c r="AP548" s="3">
        <v>0.19</v>
      </c>
    </row>
    <row r="549" spans="1:42" hidden="1" x14ac:dyDescent="0.3">
      <c r="A549" s="5" t="s">
        <v>688</v>
      </c>
      <c r="B549" s="5" t="s">
        <v>31</v>
      </c>
      <c r="C549" s="22">
        <v>45075</v>
      </c>
      <c r="D549" s="22">
        <v>45077</v>
      </c>
      <c r="E549" s="3">
        <v>0</v>
      </c>
      <c r="F549" s="3">
        <v>0</v>
      </c>
      <c r="G549" s="3">
        <v>0</v>
      </c>
      <c r="H549" s="3">
        <v>0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0.02</v>
      </c>
      <c r="AB549" s="3">
        <v>0.02</v>
      </c>
      <c r="AC549" s="3">
        <v>0.02</v>
      </c>
      <c r="AD549" s="3">
        <v>0.02</v>
      </c>
      <c r="AE549" s="3">
        <v>0.02</v>
      </c>
      <c r="AF549" s="3">
        <v>0.02</v>
      </c>
      <c r="AG549" s="3">
        <v>0.02</v>
      </c>
      <c r="AH549" s="3">
        <v>0.02</v>
      </c>
      <c r="AI549" s="3">
        <v>0.02</v>
      </c>
      <c r="AJ549" s="3">
        <v>0.02</v>
      </c>
      <c r="AK549" s="3">
        <v>0.02</v>
      </c>
      <c r="AL549" s="3">
        <v>0.02</v>
      </c>
      <c r="AM549" s="3">
        <v>0.02</v>
      </c>
      <c r="AN549" s="3">
        <v>0.02</v>
      </c>
      <c r="AO549" s="3">
        <v>0.02</v>
      </c>
      <c r="AP549" s="3">
        <v>0.02</v>
      </c>
    </row>
    <row r="550" spans="1:42" hidden="1" x14ac:dyDescent="0.3">
      <c r="A550" s="5" t="s">
        <v>689</v>
      </c>
      <c r="B550" s="5" t="s">
        <v>31</v>
      </c>
      <c r="C550" s="22">
        <v>45077</v>
      </c>
      <c r="D550" s="22">
        <v>45079</v>
      </c>
      <c r="E550" s="3">
        <v>0</v>
      </c>
      <c r="F550" s="3">
        <v>0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  <c r="L550" s="3">
        <v>0</v>
      </c>
      <c r="M550" s="3">
        <v>0</v>
      </c>
      <c r="N550" s="3">
        <v>0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0.01</v>
      </c>
      <c r="AB550" s="3">
        <v>0.02</v>
      </c>
      <c r="AC550" s="3">
        <v>0.02</v>
      </c>
      <c r="AD550" s="3">
        <v>0.02</v>
      </c>
      <c r="AE550" s="3">
        <v>0.02</v>
      </c>
      <c r="AF550" s="3">
        <v>0.02</v>
      </c>
      <c r="AG550" s="3">
        <v>0.02</v>
      </c>
      <c r="AH550" s="3">
        <v>0.02</v>
      </c>
      <c r="AI550" s="3">
        <v>0.02</v>
      </c>
      <c r="AJ550" s="3">
        <v>0.02</v>
      </c>
      <c r="AK550" s="3">
        <v>0.02</v>
      </c>
      <c r="AL550" s="3">
        <v>0.02</v>
      </c>
      <c r="AM550" s="3">
        <v>0.02</v>
      </c>
      <c r="AN550" s="3">
        <v>0.02</v>
      </c>
      <c r="AO550" s="3">
        <v>0.02</v>
      </c>
      <c r="AP550" s="3">
        <v>0.02</v>
      </c>
    </row>
    <row r="551" spans="1:42" hidden="1" x14ac:dyDescent="0.3">
      <c r="A551" s="5" t="s">
        <v>690</v>
      </c>
      <c r="B551" s="5" t="s">
        <v>31</v>
      </c>
      <c r="C551" s="22">
        <v>45079</v>
      </c>
      <c r="D551" s="22">
        <v>45083</v>
      </c>
      <c r="E551" s="3">
        <v>0</v>
      </c>
      <c r="F551" s="3">
        <v>0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0.02</v>
      </c>
      <c r="AC551" s="3">
        <v>0.02</v>
      </c>
      <c r="AD551" s="3">
        <v>0.02</v>
      </c>
      <c r="AE551" s="3">
        <v>0.02</v>
      </c>
      <c r="AF551" s="3">
        <v>0.02</v>
      </c>
      <c r="AG551" s="3">
        <v>0.02</v>
      </c>
      <c r="AH551" s="3">
        <v>0.02</v>
      </c>
      <c r="AI551" s="3">
        <v>0.02</v>
      </c>
      <c r="AJ551" s="3">
        <v>0.02</v>
      </c>
      <c r="AK551" s="3">
        <v>0.02</v>
      </c>
      <c r="AL551" s="3">
        <v>0.02</v>
      </c>
      <c r="AM551" s="3">
        <v>0.02</v>
      </c>
      <c r="AN551" s="3">
        <v>0.02</v>
      </c>
      <c r="AO551" s="3">
        <v>0.02</v>
      </c>
      <c r="AP551" s="3">
        <v>0.02</v>
      </c>
    </row>
    <row r="552" spans="1:42" hidden="1" x14ac:dyDescent="0.3">
      <c r="A552" s="5" t="s">
        <v>691</v>
      </c>
      <c r="B552" s="5" t="s">
        <v>31</v>
      </c>
      <c r="C552" s="22">
        <v>45055</v>
      </c>
      <c r="D552" s="22">
        <v>45057</v>
      </c>
      <c r="E552" s="3">
        <v>0</v>
      </c>
      <c r="F552" s="3">
        <v>0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0.02</v>
      </c>
      <c r="AB552" s="3">
        <v>0.02</v>
      </c>
      <c r="AC552" s="3">
        <v>0.02</v>
      </c>
      <c r="AD552" s="3">
        <v>0.02</v>
      </c>
      <c r="AE552" s="3">
        <v>0.02</v>
      </c>
      <c r="AF552" s="3">
        <v>0.02</v>
      </c>
      <c r="AG552" s="3">
        <v>0.02</v>
      </c>
      <c r="AH552" s="3">
        <v>0.02</v>
      </c>
      <c r="AI552" s="3">
        <v>0.02</v>
      </c>
      <c r="AJ552" s="3">
        <v>0.02</v>
      </c>
      <c r="AK552" s="3">
        <v>0.02</v>
      </c>
      <c r="AL552" s="3">
        <v>0.02</v>
      </c>
      <c r="AM552" s="3">
        <v>0.02</v>
      </c>
      <c r="AN552" s="3">
        <v>0.02</v>
      </c>
      <c r="AO552" s="3">
        <v>0.02</v>
      </c>
      <c r="AP552" s="3">
        <v>0.02</v>
      </c>
    </row>
    <row r="553" spans="1:42" hidden="1" x14ac:dyDescent="0.3">
      <c r="A553" s="5" t="s">
        <v>692</v>
      </c>
      <c r="B553" s="5" t="s">
        <v>31</v>
      </c>
      <c r="C553" s="22">
        <v>45057</v>
      </c>
      <c r="D553" s="22">
        <v>45061</v>
      </c>
      <c r="E553" s="3">
        <v>0</v>
      </c>
      <c r="F553" s="3">
        <v>0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0.02</v>
      </c>
      <c r="AB553" s="3">
        <v>0.02</v>
      </c>
      <c r="AC553" s="3">
        <v>0.02</v>
      </c>
      <c r="AD553" s="3">
        <v>0.02</v>
      </c>
      <c r="AE553" s="3">
        <v>0.02</v>
      </c>
      <c r="AF553" s="3">
        <v>0.02</v>
      </c>
      <c r="AG553" s="3">
        <v>0.02</v>
      </c>
      <c r="AH553" s="3">
        <v>0.02</v>
      </c>
      <c r="AI553" s="3">
        <v>0.02</v>
      </c>
      <c r="AJ553" s="3">
        <v>0.02</v>
      </c>
      <c r="AK553" s="3">
        <v>0.02</v>
      </c>
      <c r="AL553" s="3">
        <v>0.02</v>
      </c>
      <c r="AM553" s="3">
        <v>0.02</v>
      </c>
      <c r="AN553" s="3">
        <v>0.02</v>
      </c>
      <c r="AO553" s="3">
        <v>0.02</v>
      </c>
      <c r="AP553" s="3">
        <v>0.02</v>
      </c>
    </row>
    <row r="554" spans="1:42" hidden="1" x14ac:dyDescent="0.3">
      <c r="A554" s="5" t="s">
        <v>693</v>
      </c>
      <c r="B554" s="5" t="s">
        <v>31</v>
      </c>
      <c r="C554" s="22">
        <v>45061</v>
      </c>
      <c r="D554" s="22">
        <v>45063</v>
      </c>
      <c r="E554" s="3">
        <v>0</v>
      </c>
      <c r="F554" s="3">
        <v>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0.02</v>
      </c>
      <c r="AB554" s="3">
        <v>0.02</v>
      </c>
      <c r="AC554" s="3">
        <v>0.02</v>
      </c>
      <c r="AD554" s="3">
        <v>0.02</v>
      </c>
      <c r="AE554" s="3">
        <v>0.02</v>
      </c>
      <c r="AF554" s="3">
        <v>0.02</v>
      </c>
      <c r="AG554" s="3">
        <v>0.02</v>
      </c>
      <c r="AH554" s="3">
        <v>0.02</v>
      </c>
      <c r="AI554" s="3">
        <v>0.02</v>
      </c>
      <c r="AJ554" s="3">
        <v>0.02</v>
      </c>
      <c r="AK554" s="3">
        <v>0.02</v>
      </c>
      <c r="AL554" s="3">
        <v>0.02</v>
      </c>
      <c r="AM554" s="3">
        <v>0.02</v>
      </c>
      <c r="AN554" s="3">
        <v>0.02</v>
      </c>
      <c r="AO554" s="3">
        <v>0.02</v>
      </c>
      <c r="AP554" s="3">
        <v>0.02</v>
      </c>
    </row>
    <row r="555" spans="1:42" hidden="1" x14ac:dyDescent="0.3">
      <c r="A555" s="5" t="s">
        <v>694</v>
      </c>
      <c r="B555" s="5" t="s">
        <v>31</v>
      </c>
      <c r="C555" s="22">
        <v>45063</v>
      </c>
      <c r="D555" s="22">
        <v>45065</v>
      </c>
      <c r="E555" s="3">
        <v>0</v>
      </c>
      <c r="F555" s="3">
        <v>0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0.02</v>
      </c>
      <c r="AB555" s="3">
        <v>0.02</v>
      </c>
      <c r="AC555" s="3">
        <v>0.02</v>
      </c>
      <c r="AD555" s="3">
        <v>0.02</v>
      </c>
      <c r="AE555" s="3">
        <v>0.02</v>
      </c>
      <c r="AF555" s="3">
        <v>0.02</v>
      </c>
      <c r="AG555" s="3">
        <v>0.02</v>
      </c>
      <c r="AH555" s="3">
        <v>0.02</v>
      </c>
      <c r="AI555" s="3">
        <v>0.02</v>
      </c>
      <c r="AJ555" s="3">
        <v>0.02</v>
      </c>
      <c r="AK555" s="3">
        <v>0.02</v>
      </c>
      <c r="AL555" s="3">
        <v>0.02</v>
      </c>
      <c r="AM555" s="3">
        <v>0.02</v>
      </c>
      <c r="AN555" s="3">
        <v>0.02</v>
      </c>
      <c r="AO555" s="3">
        <v>0.02</v>
      </c>
      <c r="AP555" s="3">
        <v>0.02</v>
      </c>
    </row>
    <row r="556" spans="1:42" hidden="1" x14ac:dyDescent="0.3">
      <c r="A556" s="5" t="s">
        <v>695</v>
      </c>
      <c r="B556" s="5" t="s">
        <v>31</v>
      </c>
      <c r="C556" s="22">
        <v>45065</v>
      </c>
      <c r="D556" s="22">
        <v>45069</v>
      </c>
      <c r="E556" s="3">
        <v>0</v>
      </c>
      <c r="F556" s="3">
        <v>0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0.02</v>
      </c>
      <c r="AB556" s="3">
        <v>0.02</v>
      </c>
      <c r="AC556" s="3">
        <v>0.02</v>
      </c>
      <c r="AD556" s="3">
        <v>0.02</v>
      </c>
      <c r="AE556" s="3">
        <v>0.02</v>
      </c>
      <c r="AF556" s="3">
        <v>0.02</v>
      </c>
      <c r="AG556" s="3">
        <v>0.02</v>
      </c>
      <c r="AH556" s="3">
        <v>0.02</v>
      </c>
      <c r="AI556" s="3">
        <v>0.02</v>
      </c>
      <c r="AJ556" s="3">
        <v>0.02</v>
      </c>
      <c r="AK556" s="3">
        <v>0.02</v>
      </c>
      <c r="AL556" s="3">
        <v>0.02</v>
      </c>
      <c r="AM556" s="3">
        <v>0.02</v>
      </c>
      <c r="AN556" s="3">
        <v>0.02</v>
      </c>
      <c r="AO556" s="3">
        <v>0.02</v>
      </c>
      <c r="AP556" s="3">
        <v>0.02</v>
      </c>
    </row>
    <row r="557" spans="1:42" hidden="1" x14ac:dyDescent="0.3">
      <c r="A557" s="15" t="s">
        <v>696</v>
      </c>
      <c r="B557" s="15" t="s">
        <v>11</v>
      </c>
      <c r="C557" s="20">
        <v>44820</v>
      </c>
      <c r="D557" s="20">
        <v>44847</v>
      </c>
      <c r="E557" s="8">
        <v>0</v>
      </c>
      <c r="F557" s="8">
        <v>0</v>
      </c>
      <c r="G557" s="8">
        <v>0</v>
      </c>
      <c r="H557" s="8">
        <v>0</v>
      </c>
      <c r="I557" s="8">
        <v>0</v>
      </c>
      <c r="J557" s="8">
        <v>0</v>
      </c>
      <c r="K557" s="8">
        <v>0</v>
      </c>
      <c r="L557" s="8">
        <v>0</v>
      </c>
      <c r="M557" s="8">
        <v>0</v>
      </c>
      <c r="N557" s="8">
        <v>0</v>
      </c>
      <c r="O557" s="8">
        <v>0</v>
      </c>
      <c r="P557" s="8">
        <v>0</v>
      </c>
      <c r="Q557" s="8">
        <v>0</v>
      </c>
      <c r="R557" s="8">
        <v>0</v>
      </c>
      <c r="S557" s="8">
        <v>0.1</v>
      </c>
      <c r="T557" s="8">
        <v>0.19</v>
      </c>
      <c r="U557" s="8">
        <v>0.19</v>
      </c>
      <c r="V557" s="8">
        <v>0.19</v>
      </c>
      <c r="W557" s="8">
        <v>0.19</v>
      </c>
      <c r="X557" s="8">
        <v>0.19</v>
      </c>
      <c r="Y557" s="8">
        <v>0.19</v>
      </c>
      <c r="Z557" s="8">
        <v>0.19</v>
      </c>
      <c r="AA557" s="8">
        <v>0.19</v>
      </c>
      <c r="AB557" s="8">
        <v>0.19</v>
      </c>
      <c r="AC557" s="8">
        <v>0.19</v>
      </c>
      <c r="AD557" s="8">
        <v>0.19</v>
      </c>
      <c r="AE557" s="8">
        <v>0.19</v>
      </c>
      <c r="AF557" s="8">
        <v>0.19</v>
      </c>
      <c r="AG557" s="8">
        <v>0.19</v>
      </c>
      <c r="AH557" s="8">
        <v>0.19</v>
      </c>
      <c r="AI557" s="8">
        <v>0.19</v>
      </c>
      <c r="AJ557" s="8">
        <v>0.19</v>
      </c>
      <c r="AK557" s="8">
        <v>0.19</v>
      </c>
      <c r="AL557" s="8">
        <v>0.19</v>
      </c>
      <c r="AM557" s="8">
        <v>0.19</v>
      </c>
      <c r="AN557" s="8">
        <v>0.19</v>
      </c>
      <c r="AO557" s="8">
        <v>0.19</v>
      </c>
      <c r="AP557" s="8">
        <v>0.19</v>
      </c>
    </row>
    <row r="558" spans="1:42" hidden="1" x14ac:dyDescent="0.3">
      <c r="A558" s="5" t="s">
        <v>697</v>
      </c>
      <c r="B558" s="5" t="s">
        <v>11</v>
      </c>
      <c r="C558" s="22">
        <v>44820</v>
      </c>
      <c r="D558" s="22">
        <v>44847</v>
      </c>
      <c r="E558" s="3">
        <v>0</v>
      </c>
      <c r="F558" s="3">
        <v>0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0.1</v>
      </c>
      <c r="T558" s="3">
        <v>0.19</v>
      </c>
      <c r="U558" s="3">
        <v>0.19</v>
      </c>
      <c r="V558" s="3">
        <v>0.19</v>
      </c>
      <c r="W558" s="3">
        <v>0.19</v>
      </c>
      <c r="X558" s="3">
        <v>0.19</v>
      </c>
      <c r="Y558" s="3">
        <v>0.19</v>
      </c>
      <c r="Z558" s="3">
        <v>0.19</v>
      </c>
      <c r="AA558" s="3">
        <v>0.19</v>
      </c>
      <c r="AB558" s="3">
        <v>0.19</v>
      </c>
      <c r="AC558" s="3">
        <v>0.19</v>
      </c>
      <c r="AD558" s="3">
        <v>0.19</v>
      </c>
      <c r="AE558" s="3">
        <v>0.19</v>
      </c>
      <c r="AF558" s="3">
        <v>0.19</v>
      </c>
      <c r="AG558" s="3">
        <v>0.19</v>
      </c>
      <c r="AH558" s="3">
        <v>0.19</v>
      </c>
      <c r="AI558" s="3">
        <v>0.19</v>
      </c>
      <c r="AJ558" s="3">
        <v>0.19</v>
      </c>
      <c r="AK558" s="3">
        <v>0.19</v>
      </c>
      <c r="AL558" s="3">
        <v>0.19</v>
      </c>
      <c r="AM558" s="3">
        <v>0.19</v>
      </c>
      <c r="AN558" s="3">
        <v>0.19</v>
      </c>
      <c r="AO558" s="3">
        <v>0.19</v>
      </c>
      <c r="AP558" s="3">
        <v>0.19</v>
      </c>
    </row>
    <row r="559" spans="1:42" hidden="1" x14ac:dyDescent="0.3">
      <c r="A559" s="15" t="s">
        <v>698</v>
      </c>
      <c r="B559" s="15" t="s">
        <v>87</v>
      </c>
      <c r="C559" s="20">
        <v>44657</v>
      </c>
      <c r="D559" s="20">
        <v>44838</v>
      </c>
      <c r="E559" s="8">
        <v>0</v>
      </c>
      <c r="F559" s="8">
        <v>0</v>
      </c>
      <c r="G559" s="8">
        <v>0</v>
      </c>
      <c r="H559" s="8">
        <v>0</v>
      </c>
      <c r="I559" s="8">
        <v>0</v>
      </c>
      <c r="J559" s="8">
        <v>0</v>
      </c>
      <c r="K559" s="8">
        <v>0</v>
      </c>
      <c r="L559" s="8">
        <v>0</v>
      </c>
      <c r="M559" s="8">
        <v>0</v>
      </c>
      <c r="N559" s="8">
        <v>0.16</v>
      </c>
      <c r="O559" s="8">
        <v>0.3</v>
      </c>
      <c r="P559" s="8">
        <v>0.38</v>
      </c>
      <c r="Q559" s="8">
        <v>0.45</v>
      </c>
      <c r="R559" s="8">
        <v>0.45</v>
      </c>
      <c r="S559" s="8">
        <v>1.17</v>
      </c>
      <c r="T559" s="8">
        <v>1.19</v>
      </c>
      <c r="U559" s="8">
        <v>1.19</v>
      </c>
      <c r="V559" s="8">
        <v>1.19</v>
      </c>
      <c r="W559" s="8">
        <v>1.19</v>
      </c>
      <c r="X559" s="8">
        <v>1.19</v>
      </c>
      <c r="Y559" s="8">
        <v>1.19</v>
      </c>
      <c r="Z559" s="8">
        <v>1.19</v>
      </c>
      <c r="AA559" s="8">
        <v>1.19</v>
      </c>
      <c r="AB559" s="8">
        <v>1.19</v>
      </c>
      <c r="AC559" s="8">
        <v>1.19</v>
      </c>
      <c r="AD559" s="8">
        <v>1.19</v>
      </c>
      <c r="AE559" s="8">
        <v>1.19</v>
      </c>
      <c r="AF559" s="8">
        <v>1.19</v>
      </c>
      <c r="AG559" s="8">
        <v>1.19</v>
      </c>
      <c r="AH559" s="8">
        <v>1.19</v>
      </c>
      <c r="AI559" s="8">
        <v>1.19</v>
      </c>
      <c r="AJ559" s="8">
        <v>1.19</v>
      </c>
      <c r="AK559" s="8">
        <v>1.19</v>
      </c>
      <c r="AL559" s="8">
        <v>1.19</v>
      </c>
      <c r="AM559" s="8">
        <v>1.19</v>
      </c>
      <c r="AN559" s="8">
        <v>1.19</v>
      </c>
      <c r="AO559" s="8">
        <v>1.19</v>
      </c>
      <c r="AP559" s="8">
        <v>1.19</v>
      </c>
    </row>
    <row r="560" spans="1:42" hidden="1" x14ac:dyDescent="0.3">
      <c r="A560" s="5" t="s">
        <v>699</v>
      </c>
      <c r="B560" s="5" t="s">
        <v>16</v>
      </c>
      <c r="C560" s="22">
        <v>44818</v>
      </c>
      <c r="D560" s="22">
        <v>44824</v>
      </c>
      <c r="E560" s="3">
        <v>0</v>
      </c>
      <c r="F560" s="3">
        <v>0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0.59</v>
      </c>
      <c r="T560" s="3">
        <v>0.59</v>
      </c>
      <c r="U560" s="3">
        <v>0.59</v>
      </c>
      <c r="V560" s="3">
        <v>0.59</v>
      </c>
      <c r="W560" s="3">
        <v>0.59</v>
      </c>
      <c r="X560" s="3">
        <v>0.59</v>
      </c>
      <c r="Y560" s="3">
        <v>0.59</v>
      </c>
      <c r="Z560" s="3">
        <v>0.59</v>
      </c>
      <c r="AA560" s="3">
        <v>0.59</v>
      </c>
      <c r="AB560" s="3">
        <v>0.59</v>
      </c>
      <c r="AC560" s="3">
        <v>0.59</v>
      </c>
      <c r="AD560" s="3">
        <v>0.59</v>
      </c>
      <c r="AE560" s="3">
        <v>0.59</v>
      </c>
      <c r="AF560" s="3">
        <v>0.59</v>
      </c>
      <c r="AG560" s="3">
        <v>0.59</v>
      </c>
      <c r="AH560" s="3">
        <v>0.59</v>
      </c>
      <c r="AI560" s="3">
        <v>0.59</v>
      </c>
      <c r="AJ560" s="3">
        <v>0.59</v>
      </c>
      <c r="AK560" s="3">
        <v>0.59</v>
      </c>
      <c r="AL560" s="3">
        <v>0.59</v>
      </c>
      <c r="AM560" s="3">
        <v>0.59</v>
      </c>
      <c r="AN560" s="3">
        <v>0.59</v>
      </c>
      <c r="AO560" s="3">
        <v>0.59</v>
      </c>
      <c r="AP560" s="3">
        <v>0.59</v>
      </c>
    </row>
    <row r="561" spans="1:42" hidden="1" x14ac:dyDescent="0.3">
      <c r="A561" s="5" t="s">
        <v>700</v>
      </c>
      <c r="B561" s="5" t="s">
        <v>16</v>
      </c>
      <c r="C561" s="22">
        <v>44762</v>
      </c>
      <c r="D561" s="22">
        <v>44768</v>
      </c>
      <c r="E561" s="3">
        <v>0</v>
      </c>
      <c r="F561" s="3">
        <v>0</v>
      </c>
      <c r="G561" s="3">
        <v>0</v>
      </c>
      <c r="H561" s="3">
        <v>0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3">
        <v>0.04</v>
      </c>
      <c r="R561" s="3">
        <v>0.04</v>
      </c>
      <c r="S561" s="3">
        <v>0.04</v>
      </c>
      <c r="T561" s="3">
        <v>0.04</v>
      </c>
      <c r="U561" s="3">
        <v>0.04</v>
      </c>
      <c r="V561" s="3">
        <v>0.04</v>
      </c>
      <c r="W561" s="3">
        <v>0.04</v>
      </c>
      <c r="X561" s="3">
        <v>0.04</v>
      </c>
      <c r="Y561" s="3">
        <v>0.04</v>
      </c>
      <c r="Z561" s="3">
        <v>0.04</v>
      </c>
      <c r="AA561" s="3">
        <v>0.04</v>
      </c>
      <c r="AB561" s="3">
        <v>0.04</v>
      </c>
      <c r="AC561" s="3">
        <v>0.04</v>
      </c>
      <c r="AD561" s="3">
        <v>0.04</v>
      </c>
      <c r="AE561" s="3">
        <v>0.04</v>
      </c>
      <c r="AF561" s="3">
        <v>0.04</v>
      </c>
      <c r="AG561" s="3">
        <v>0.04</v>
      </c>
      <c r="AH561" s="3">
        <v>0.04</v>
      </c>
      <c r="AI561" s="3">
        <v>0.04</v>
      </c>
      <c r="AJ561" s="3">
        <v>0.04</v>
      </c>
      <c r="AK561" s="3">
        <v>0.04</v>
      </c>
      <c r="AL561" s="3">
        <v>0.04</v>
      </c>
      <c r="AM561" s="3">
        <v>0.04</v>
      </c>
      <c r="AN561" s="3">
        <v>0.04</v>
      </c>
      <c r="AO561" s="3">
        <v>0.04</v>
      </c>
      <c r="AP561" s="3">
        <v>0.04</v>
      </c>
    </row>
    <row r="562" spans="1:42" hidden="1" x14ac:dyDescent="0.3">
      <c r="A562" s="5" t="s">
        <v>701</v>
      </c>
      <c r="B562" s="5" t="s">
        <v>33</v>
      </c>
      <c r="C562" s="22">
        <v>44741</v>
      </c>
      <c r="D562" s="22">
        <v>44753</v>
      </c>
      <c r="E562" s="3">
        <v>0</v>
      </c>
      <c r="F562" s="3">
        <v>0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0.01</v>
      </c>
      <c r="Q562" s="3">
        <v>0.04</v>
      </c>
      <c r="R562" s="3">
        <v>0.04</v>
      </c>
      <c r="S562" s="3">
        <v>0.04</v>
      </c>
      <c r="T562" s="3">
        <v>0.04</v>
      </c>
      <c r="U562" s="3">
        <v>0.04</v>
      </c>
      <c r="V562" s="3">
        <v>0.04</v>
      </c>
      <c r="W562" s="3">
        <v>0.04</v>
      </c>
      <c r="X562" s="3">
        <v>0.04</v>
      </c>
      <c r="Y562" s="3">
        <v>0.04</v>
      </c>
      <c r="Z562" s="3">
        <v>0.04</v>
      </c>
      <c r="AA562" s="3">
        <v>0.04</v>
      </c>
      <c r="AB562" s="3">
        <v>0.04</v>
      </c>
      <c r="AC562" s="3">
        <v>0.04</v>
      </c>
      <c r="AD562" s="3">
        <v>0.04</v>
      </c>
      <c r="AE562" s="3">
        <v>0.04</v>
      </c>
      <c r="AF562" s="3">
        <v>0.04</v>
      </c>
      <c r="AG562" s="3">
        <v>0.04</v>
      </c>
      <c r="AH562" s="3">
        <v>0.04</v>
      </c>
      <c r="AI562" s="3">
        <v>0.04</v>
      </c>
      <c r="AJ562" s="3">
        <v>0.04</v>
      </c>
      <c r="AK562" s="3">
        <v>0.04</v>
      </c>
      <c r="AL562" s="3">
        <v>0.04</v>
      </c>
      <c r="AM562" s="3">
        <v>0.04</v>
      </c>
      <c r="AN562" s="3">
        <v>0.04</v>
      </c>
      <c r="AO562" s="3">
        <v>0.04</v>
      </c>
      <c r="AP562" s="3">
        <v>0.04</v>
      </c>
    </row>
    <row r="563" spans="1:42" hidden="1" x14ac:dyDescent="0.3">
      <c r="A563" s="5" t="s">
        <v>702</v>
      </c>
      <c r="B563" s="5" t="s">
        <v>33</v>
      </c>
      <c r="C563" s="22">
        <v>44720</v>
      </c>
      <c r="D563" s="22">
        <v>44732</v>
      </c>
      <c r="E563" s="3">
        <v>0</v>
      </c>
      <c r="F563" s="3">
        <v>0</v>
      </c>
      <c r="G563" s="3">
        <v>0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3">
        <v>7.0000000000000007E-2</v>
      </c>
      <c r="Q563" s="3">
        <v>7.0000000000000007E-2</v>
      </c>
      <c r="R563" s="3">
        <v>7.0000000000000007E-2</v>
      </c>
      <c r="S563" s="3">
        <v>7.0000000000000007E-2</v>
      </c>
      <c r="T563" s="3">
        <v>7.0000000000000007E-2</v>
      </c>
      <c r="U563" s="3">
        <v>7.0000000000000007E-2</v>
      </c>
      <c r="V563" s="3">
        <v>7.0000000000000007E-2</v>
      </c>
      <c r="W563" s="3">
        <v>7.0000000000000007E-2</v>
      </c>
      <c r="X563" s="3">
        <v>7.0000000000000007E-2</v>
      </c>
      <c r="Y563" s="3">
        <v>7.0000000000000007E-2</v>
      </c>
      <c r="Z563" s="3">
        <v>7.0000000000000007E-2</v>
      </c>
      <c r="AA563" s="3">
        <v>7.0000000000000007E-2</v>
      </c>
      <c r="AB563" s="3">
        <v>7.0000000000000007E-2</v>
      </c>
      <c r="AC563" s="3">
        <v>7.0000000000000007E-2</v>
      </c>
      <c r="AD563" s="3">
        <v>7.0000000000000007E-2</v>
      </c>
      <c r="AE563" s="3">
        <v>7.0000000000000007E-2</v>
      </c>
      <c r="AF563" s="3">
        <v>7.0000000000000007E-2</v>
      </c>
      <c r="AG563" s="3">
        <v>7.0000000000000007E-2</v>
      </c>
      <c r="AH563" s="3">
        <v>7.0000000000000007E-2</v>
      </c>
      <c r="AI563" s="3">
        <v>7.0000000000000007E-2</v>
      </c>
      <c r="AJ563" s="3">
        <v>7.0000000000000007E-2</v>
      </c>
      <c r="AK563" s="3">
        <v>7.0000000000000007E-2</v>
      </c>
      <c r="AL563" s="3">
        <v>7.0000000000000007E-2</v>
      </c>
      <c r="AM563" s="3">
        <v>7.0000000000000007E-2</v>
      </c>
      <c r="AN563" s="3">
        <v>7.0000000000000007E-2</v>
      </c>
      <c r="AO563" s="3">
        <v>7.0000000000000007E-2</v>
      </c>
      <c r="AP563" s="3">
        <v>7.0000000000000007E-2</v>
      </c>
    </row>
    <row r="564" spans="1:42" hidden="1" x14ac:dyDescent="0.3">
      <c r="A564" s="5" t="s">
        <v>703</v>
      </c>
      <c r="B564" s="5" t="s">
        <v>33</v>
      </c>
      <c r="C564" s="22">
        <v>44700</v>
      </c>
      <c r="D564" s="22">
        <v>44712</v>
      </c>
      <c r="E564" s="3">
        <v>0</v>
      </c>
      <c r="F564" s="3">
        <v>0</v>
      </c>
      <c r="G564" s="3">
        <v>0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7.0000000000000007E-2</v>
      </c>
      <c r="P564" s="3">
        <v>7.0000000000000007E-2</v>
      </c>
      <c r="Q564" s="3">
        <v>7.0000000000000007E-2</v>
      </c>
      <c r="R564" s="3">
        <v>7.0000000000000007E-2</v>
      </c>
      <c r="S564" s="3">
        <v>7.0000000000000007E-2</v>
      </c>
      <c r="T564" s="3">
        <v>7.0000000000000007E-2</v>
      </c>
      <c r="U564" s="3">
        <v>7.0000000000000007E-2</v>
      </c>
      <c r="V564" s="3">
        <v>7.0000000000000007E-2</v>
      </c>
      <c r="W564" s="3">
        <v>7.0000000000000007E-2</v>
      </c>
      <c r="X564" s="3">
        <v>7.0000000000000007E-2</v>
      </c>
      <c r="Y564" s="3">
        <v>7.0000000000000007E-2</v>
      </c>
      <c r="Z564" s="3">
        <v>7.0000000000000007E-2</v>
      </c>
      <c r="AA564" s="3">
        <v>7.0000000000000007E-2</v>
      </c>
      <c r="AB564" s="3">
        <v>7.0000000000000007E-2</v>
      </c>
      <c r="AC564" s="3">
        <v>7.0000000000000007E-2</v>
      </c>
      <c r="AD564" s="3">
        <v>7.0000000000000007E-2</v>
      </c>
      <c r="AE564" s="3">
        <v>7.0000000000000007E-2</v>
      </c>
      <c r="AF564" s="3">
        <v>7.0000000000000007E-2</v>
      </c>
      <c r="AG564" s="3">
        <v>7.0000000000000007E-2</v>
      </c>
      <c r="AH564" s="3">
        <v>7.0000000000000007E-2</v>
      </c>
      <c r="AI564" s="3">
        <v>7.0000000000000007E-2</v>
      </c>
      <c r="AJ564" s="3">
        <v>7.0000000000000007E-2</v>
      </c>
      <c r="AK564" s="3">
        <v>7.0000000000000007E-2</v>
      </c>
      <c r="AL564" s="3">
        <v>7.0000000000000007E-2</v>
      </c>
      <c r="AM564" s="3">
        <v>7.0000000000000007E-2</v>
      </c>
      <c r="AN564" s="3">
        <v>7.0000000000000007E-2</v>
      </c>
      <c r="AO564" s="3">
        <v>7.0000000000000007E-2</v>
      </c>
      <c r="AP564" s="3">
        <v>7.0000000000000007E-2</v>
      </c>
    </row>
    <row r="565" spans="1:42" hidden="1" x14ac:dyDescent="0.3">
      <c r="A565" s="5" t="s">
        <v>704</v>
      </c>
      <c r="B565" s="5" t="s">
        <v>33</v>
      </c>
      <c r="C565" s="22">
        <v>44679</v>
      </c>
      <c r="D565" s="22">
        <v>44691</v>
      </c>
      <c r="E565" s="3">
        <v>0</v>
      </c>
      <c r="F565" s="3">
        <v>0</v>
      </c>
      <c r="G565" s="3">
        <v>0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  <c r="M565" s="3">
        <v>0</v>
      </c>
      <c r="N565" s="3">
        <v>0.01</v>
      </c>
      <c r="O565" s="3">
        <v>7.0000000000000007E-2</v>
      </c>
      <c r="P565" s="3">
        <v>7.0000000000000007E-2</v>
      </c>
      <c r="Q565" s="3">
        <v>7.0000000000000007E-2</v>
      </c>
      <c r="R565" s="3">
        <v>7.0000000000000007E-2</v>
      </c>
      <c r="S565" s="3">
        <v>7.0000000000000007E-2</v>
      </c>
      <c r="T565" s="3">
        <v>7.0000000000000007E-2</v>
      </c>
      <c r="U565" s="3">
        <v>7.0000000000000007E-2</v>
      </c>
      <c r="V565" s="3">
        <v>7.0000000000000007E-2</v>
      </c>
      <c r="W565" s="3">
        <v>7.0000000000000007E-2</v>
      </c>
      <c r="X565" s="3">
        <v>7.0000000000000007E-2</v>
      </c>
      <c r="Y565" s="3">
        <v>7.0000000000000007E-2</v>
      </c>
      <c r="Z565" s="3">
        <v>7.0000000000000007E-2</v>
      </c>
      <c r="AA565" s="3">
        <v>7.0000000000000007E-2</v>
      </c>
      <c r="AB565" s="3">
        <v>7.0000000000000007E-2</v>
      </c>
      <c r="AC565" s="3">
        <v>7.0000000000000007E-2</v>
      </c>
      <c r="AD565" s="3">
        <v>7.0000000000000007E-2</v>
      </c>
      <c r="AE565" s="3">
        <v>7.0000000000000007E-2</v>
      </c>
      <c r="AF565" s="3">
        <v>7.0000000000000007E-2</v>
      </c>
      <c r="AG565" s="3">
        <v>7.0000000000000007E-2</v>
      </c>
      <c r="AH565" s="3">
        <v>7.0000000000000007E-2</v>
      </c>
      <c r="AI565" s="3">
        <v>7.0000000000000007E-2</v>
      </c>
      <c r="AJ565" s="3">
        <v>7.0000000000000007E-2</v>
      </c>
      <c r="AK565" s="3">
        <v>7.0000000000000007E-2</v>
      </c>
      <c r="AL565" s="3">
        <v>7.0000000000000007E-2</v>
      </c>
      <c r="AM565" s="3">
        <v>7.0000000000000007E-2</v>
      </c>
      <c r="AN565" s="3">
        <v>7.0000000000000007E-2</v>
      </c>
      <c r="AO565" s="3">
        <v>7.0000000000000007E-2</v>
      </c>
      <c r="AP565" s="3">
        <v>7.0000000000000007E-2</v>
      </c>
    </row>
    <row r="566" spans="1:42" hidden="1" x14ac:dyDescent="0.3">
      <c r="A566" s="5" t="s">
        <v>705</v>
      </c>
      <c r="B566" s="5" t="s">
        <v>33</v>
      </c>
      <c r="C566" s="22">
        <v>44669</v>
      </c>
      <c r="D566" s="22">
        <v>44679</v>
      </c>
      <c r="E566" s="3">
        <v>0</v>
      </c>
      <c r="F566" s="3">
        <v>0</v>
      </c>
      <c r="G566" s="3">
        <v>0</v>
      </c>
      <c r="H566" s="3">
        <v>0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v>7.0000000000000007E-2</v>
      </c>
      <c r="O566" s="3">
        <v>7.0000000000000007E-2</v>
      </c>
      <c r="P566" s="3">
        <v>7.0000000000000007E-2</v>
      </c>
      <c r="Q566" s="3">
        <v>7.0000000000000007E-2</v>
      </c>
      <c r="R566" s="3">
        <v>7.0000000000000007E-2</v>
      </c>
      <c r="S566" s="3">
        <v>7.0000000000000007E-2</v>
      </c>
      <c r="T566" s="3">
        <v>7.0000000000000007E-2</v>
      </c>
      <c r="U566" s="3">
        <v>7.0000000000000007E-2</v>
      </c>
      <c r="V566" s="3">
        <v>7.0000000000000007E-2</v>
      </c>
      <c r="W566" s="3">
        <v>7.0000000000000007E-2</v>
      </c>
      <c r="X566" s="3">
        <v>7.0000000000000007E-2</v>
      </c>
      <c r="Y566" s="3">
        <v>7.0000000000000007E-2</v>
      </c>
      <c r="Z566" s="3">
        <v>7.0000000000000007E-2</v>
      </c>
      <c r="AA566" s="3">
        <v>7.0000000000000007E-2</v>
      </c>
      <c r="AB566" s="3">
        <v>7.0000000000000007E-2</v>
      </c>
      <c r="AC566" s="3">
        <v>7.0000000000000007E-2</v>
      </c>
      <c r="AD566" s="3">
        <v>7.0000000000000007E-2</v>
      </c>
      <c r="AE566" s="3">
        <v>7.0000000000000007E-2</v>
      </c>
      <c r="AF566" s="3">
        <v>7.0000000000000007E-2</v>
      </c>
      <c r="AG566" s="3">
        <v>7.0000000000000007E-2</v>
      </c>
      <c r="AH566" s="3">
        <v>7.0000000000000007E-2</v>
      </c>
      <c r="AI566" s="3">
        <v>7.0000000000000007E-2</v>
      </c>
      <c r="AJ566" s="3">
        <v>7.0000000000000007E-2</v>
      </c>
      <c r="AK566" s="3">
        <v>7.0000000000000007E-2</v>
      </c>
      <c r="AL566" s="3">
        <v>7.0000000000000007E-2</v>
      </c>
      <c r="AM566" s="3">
        <v>7.0000000000000007E-2</v>
      </c>
      <c r="AN566" s="3">
        <v>7.0000000000000007E-2</v>
      </c>
      <c r="AO566" s="3">
        <v>7.0000000000000007E-2</v>
      </c>
      <c r="AP566" s="3">
        <v>7.0000000000000007E-2</v>
      </c>
    </row>
    <row r="567" spans="1:42" hidden="1" x14ac:dyDescent="0.3">
      <c r="A567" s="5" t="s">
        <v>706</v>
      </c>
      <c r="B567" s="5" t="s">
        <v>33</v>
      </c>
      <c r="C567" s="22">
        <v>44657</v>
      </c>
      <c r="D567" s="22">
        <v>44669</v>
      </c>
      <c r="E567" s="3">
        <v>0</v>
      </c>
      <c r="F567" s="3">
        <v>0</v>
      </c>
      <c r="G567" s="3">
        <v>0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  <c r="N567" s="3">
        <v>7.0000000000000007E-2</v>
      </c>
      <c r="O567" s="3">
        <v>7.0000000000000007E-2</v>
      </c>
      <c r="P567" s="3">
        <v>7.0000000000000007E-2</v>
      </c>
      <c r="Q567" s="3">
        <v>7.0000000000000007E-2</v>
      </c>
      <c r="R567" s="3">
        <v>7.0000000000000007E-2</v>
      </c>
      <c r="S567" s="3">
        <v>7.0000000000000007E-2</v>
      </c>
      <c r="T567" s="3">
        <v>7.0000000000000007E-2</v>
      </c>
      <c r="U567" s="3">
        <v>7.0000000000000007E-2</v>
      </c>
      <c r="V567" s="3">
        <v>7.0000000000000007E-2</v>
      </c>
      <c r="W567" s="3">
        <v>7.0000000000000007E-2</v>
      </c>
      <c r="X567" s="3">
        <v>7.0000000000000007E-2</v>
      </c>
      <c r="Y567" s="3">
        <v>7.0000000000000007E-2</v>
      </c>
      <c r="Z567" s="3">
        <v>7.0000000000000007E-2</v>
      </c>
      <c r="AA567" s="3">
        <v>7.0000000000000007E-2</v>
      </c>
      <c r="AB567" s="3">
        <v>7.0000000000000007E-2</v>
      </c>
      <c r="AC567" s="3">
        <v>7.0000000000000007E-2</v>
      </c>
      <c r="AD567" s="3">
        <v>7.0000000000000007E-2</v>
      </c>
      <c r="AE567" s="3">
        <v>7.0000000000000007E-2</v>
      </c>
      <c r="AF567" s="3">
        <v>7.0000000000000007E-2</v>
      </c>
      <c r="AG567" s="3">
        <v>7.0000000000000007E-2</v>
      </c>
      <c r="AH567" s="3">
        <v>7.0000000000000007E-2</v>
      </c>
      <c r="AI567" s="3">
        <v>7.0000000000000007E-2</v>
      </c>
      <c r="AJ567" s="3">
        <v>7.0000000000000007E-2</v>
      </c>
      <c r="AK567" s="3">
        <v>7.0000000000000007E-2</v>
      </c>
      <c r="AL567" s="3">
        <v>7.0000000000000007E-2</v>
      </c>
      <c r="AM567" s="3">
        <v>7.0000000000000007E-2</v>
      </c>
      <c r="AN567" s="3">
        <v>7.0000000000000007E-2</v>
      </c>
      <c r="AO567" s="3">
        <v>7.0000000000000007E-2</v>
      </c>
      <c r="AP567" s="3">
        <v>7.0000000000000007E-2</v>
      </c>
    </row>
    <row r="568" spans="1:42" hidden="1" x14ac:dyDescent="0.3">
      <c r="A568" s="5" t="s">
        <v>707</v>
      </c>
      <c r="B568" s="5" t="s">
        <v>33</v>
      </c>
      <c r="C568" s="22">
        <v>44826</v>
      </c>
      <c r="D568" s="22">
        <v>44838</v>
      </c>
      <c r="E568" s="3">
        <v>0</v>
      </c>
      <c r="F568" s="3">
        <v>0</v>
      </c>
      <c r="G568" s="3">
        <v>0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3">
        <v>0.06</v>
      </c>
      <c r="T568" s="3">
        <v>7.0000000000000007E-2</v>
      </c>
      <c r="U568" s="3">
        <v>7.0000000000000007E-2</v>
      </c>
      <c r="V568" s="3">
        <v>7.0000000000000007E-2</v>
      </c>
      <c r="W568" s="3">
        <v>7.0000000000000007E-2</v>
      </c>
      <c r="X568" s="3">
        <v>7.0000000000000007E-2</v>
      </c>
      <c r="Y568" s="3">
        <v>7.0000000000000007E-2</v>
      </c>
      <c r="Z568" s="3">
        <v>7.0000000000000007E-2</v>
      </c>
      <c r="AA568" s="3">
        <v>7.0000000000000007E-2</v>
      </c>
      <c r="AB568" s="3">
        <v>7.0000000000000007E-2</v>
      </c>
      <c r="AC568" s="3">
        <v>7.0000000000000007E-2</v>
      </c>
      <c r="AD568" s="3">
        <v>7.0000000000000007E-2</v>
      </c>
      <c r="AE568" s="3">
        <v>7.0000000000000007E-2</v>
      </c>
      <c r="AF568" s="3">
        <v>7.0000000000000007E-2</v>
      </c>
      <c r="AG568" s="3">
        <v>7.0000000000000007E-2</v>
      </c>
      <c r="AH568" s="3">
        <v>7.0000000000000007E-2</v>
      </c>
      <c r="AI568" s="3">
        <v>7.0000000000000007E-2</v>
      </c>
      <c r="AJ568" s="3">
        <v>7.0000000000000007E-2</v>
      </c>
      <c r="AK568" s="3">
        <v>7.0000000000000007E-2</v>
      </c>
      <c r="AL568" s="3">
        <v>7.0000000000000007E-2</v>
      </c>
      <c r="AM568" s="3">
        <v>7.0000000000000007E-2</v>
      </c>
      <c r="AN568" s="3">
        <v>7.0000000000000007E-2</v>
      </c>
      <c r="AO568" s="3">
        <v>7.0000000000000007E-2</v>
      </c>
      <c r="AP568" s="3">
        <v>7.0000000000000007E-2</v>
      </c>
    </row>
    <row r="569" spans="1:42" hidden="1" x14ac:dyDescent="0.3">
      <c r="A569" s="5" t="s">
        <v>708</v>
      </c>
      <c r="B569" s="5" t="s">
        <v>31</v>
      </c>
      <c r="C569" s="22">
        <v>44824</v>
      </c>
      <c r="D569" s="22">
        <v>44826</v>
      </c>
      <c r="E569" s="3">
        <v>0</v>
      </c>
      <c r="F569" s="3">
        <v>0</v>
      </c>
      <c r="G569" s="3">
        <v>0</v>
      </c>
      <c r="H569" s="3">
        <v>0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  <c r="S569" s="3">
        <v>7.0000000000000007E-2</v>
      </c>
      <c r="T569" s="3">
        <v>7.0000000000000007E-2</v>
      </c>
      <c r="U569" s="3">
        <v>7.0000000000000007E-2</v>
      </c>
      <c r="V569" s="3">
        <v>7.0000000000000007E-2</v>
      </c>
      <c r="W569" s="3">
        <v>7.0000000000000007E-2</v>
      </c>
      <c r="X569" s="3">
        <v>7.0000000000000007E-2</v>
      </c>
      <c r="Y569" s="3">
        <v>7.0000000000000007E-2</v>
      </c>
      <c r="Z569" s="3">
        <v>7.0000000000000007E-2</v>
      </c>
      <c r="AA569" s="3">
        <v>7.0000000000000007E-2</v>
      </c>
      <c r="AB569" s="3">
        <v>7.0000000000000007E-2</v>
      </c>
      <c r="AC569" s="3">
        <v>7.0000000000000007E-2</v>
      </c>
      <c r="AD569" s="3">
        <v>7.0000000000000007E-2</v>
      </c>
      <c r="AE569" s="3">
        <v>7.0000000000000007E-2</v>
      </c>
      <c r="AF569" s="3">
        <v>7.0000000000000007E-2</v>
      </c>
      <c r="AG569" s="3">
        <v>7.0000000000000007E-2</v>
      </c>
      <c r="AH569" s="3">
        <v>7.0000000000000007E-2</v>
      </c>
      <c r="AI569" s="3">
        <v>7.0000000000000007E-2</v>
      </c>
      <c r="AJ569" s="3">
        <v>7.0000000000000007E-2</v>
      </c>
      <c r="AK569" s="3">
        <v>7.0000000000000007E-2</v>
      </c>
      <c r="AL569" s="3">
        <v>7.0000000000000007E-2</v>
      </c>
      <c r="AM569" s="3">
        <v>7.0000000000000007E-2</v>
      </c>
      <c r="AN569" s="3">
        <v>7.0000000000000007E-2</v>
      </c>
      <c r="AO569" s="3">
        <v>7.0000000000000007E-2</v>
      </c>
      <c r="AP569" s="3">
        <v>7.0000000000000007E-2</v>
      </c>
    </row>
    <row r="570" spans="1:42" hidden="1" x14ac:dyDescent="0.3">
      <c r="A570" s="15" t="s">
        <v>709</v>
      </c>
      <c r="B570" s="15" t="s">
        <v>88</v>
      </c>
      <c r="C570" s="20">
        <v>44845</v>
      </c>
      <c r="D570" s="20">
        <v>45000</v>
      </c>
      <c r="E570" s="8">
        <v>0</v>
      </c>
      <c r="F570" s="8">
        <v>0</v>
      </c>
      <c r="G570" s="8">
        <v>0</v>
      </c>
      <c r="H570" s="8">
        <v>0</v>
      </c>
      <c r="I570" s="8">
        <v>0</v>
      </c>
      <c r="J570" s="8">
        <v>0</v>
      </c>
      <c r="K570" s="8">
        <v>0</v>
      </c>
      <c r="L570" s="8">
        <v>0</v>
      </c>
      <c r="M570" s="8">
        <v>0</v>
      </c>
      <c r="N570" s="8">
        <v>0</v>
      </c>
      <c r="O570" s="8">
        <v>0</v>
      </c>
      <c r="P570" s="8">
        <v>0</v>
      </c>
      <c r="Q570" s="8">
        <v>0</v>
      </c>
      <c r="R570" s="8">
        <v>0</v>
      </c>
      <c r="S570" s="8">
        <v>0</v>
      </c>
      <c r="T570" s="8">
        <v>0.14000000000000001</v>
      </c>
      <c r="U570" s="8">
        <v>0.32</v>
      </c>
      <c r="V570" s="8">
        <v>0.47</v>
      </c>
      <c r="W570" s="8">
        <v>0.64</v>
      </c>
      <c r="X570" s="8">
        <v>1.83</v>
      </c>
      <c r="Y570" s="8">
        <v>1.91</v>
      </c>
      <c r="Z570" s="8">
        <v>1.91</v>
      </c>
      <c r="AA570" s="8">
        <v>1.91</v>
      </c>
      <c r="AB570" s="8">
        <v>1.91</v>
      </c>
      <c r="AC570" s="8">
        <v>1.91</v>
      </c>
      <c r="AD570" s="8">
        <v>1.91</v>
      </c>
      <c r="AE570" s="8">
        <v>1.91</v>
      </c>
      <c r="AF570" s="8">
        <v>1.91</v>
      </c>
      <c r="AG570" s="8">
        <v>1.91</v>
      </c>
      <c r="AH570" s="8">
        <v>1.91</v>
      </c>
      <c r="AI570" s="8">
        <v>1.91</v>
      </c>
      <c r="AJ570" s="8">
        <v>1.91</v>
      </c>
      <c r="AK570" s="8">
        <v>1.91</v>
      </c>
      <c r="AL570" s="8">
        <v>1.91</v>
      </c>
      <c r="AM570" s="8">
        <v>1.91</v>
      </c>
      <c r="AN570" s="8">
        <v>1.91</v>
      </c>
      <c r="AO570" s="8">
        <v>1.91</v>
      </c>
      <c r="AP570" s="8">
        <v>1.91</v>
      </c>
    </row>
    <row r="571" spans="1:42" hidden="1" x14ac:dyDescent="0.3">
      <c r="A571" s="5" t="s">
        <v>710</v>
      </c>
      <c r="B571" s="5" t="s">
        <v>29</v>
      </c>
      <c r="C571" s="22">
        <v>44979</v>
      </c>
      <c r="D571" s="22">
        <v>44980</v>
      </c>
      <c r="E571" s="3">
        <v>0</v>
      </c>
      <c r="F571" s="3">
        <v>0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0.97</v>
      </c>
      <c r="Y571" s="3">
        <v>0.97</v>
      </c>
      <c r="Z571" s="3">
        <v>0.97</v>
      </c>
      <c r="AA571" s="3">
        <v>0.97</v>
      </c>
      <c r="AB571" s="3">
        <v>0.97</v>
      </c>
      <c r="AC571" s="3">
        <v>0.97</v>
      </c>
      <c r="AD571" s="3">
        <v>0.97</v>
      </c>
      <c r="AE571" s="3">
        <v>0.97</v>
      </c>
      <c r="AF571" s="3">
        <v>0.97</v>
      </c>
      <c r="AG571" s="3">
        <v>0.97</v>
      </c>
      <c r="AH571" s="3">
        <v>0.97</v>
      </c>
      <c r="AI571" s="3">
        <v>0.97</v>
      </c>
      <c r="AJ571" s="3">
        <v>0.97</v>
      </c>
      <c r="AK571" s="3">
        <v>0.97</v>
      </c>
      <c r="AL571" s="3">
        <v>0.97</v>
      </c>
      <c r="AM571" s="3">
        <v>0.97</v>
      </c>
      <c r="AN571" s="3">
        <v>0.97</v>
      </c>
      <c r="AO571" s="3">
        <v>0.97</v>
      </c>
      <c r="AP571" s="3">
        <v>0.97</v>
      </c>
    </row>
    <row r="572" spans="1:42" hidden="1" x14ac:dyDescent="0.3">
      <c r="A572" s="5" t="s">
        <v>711</v>
      </c>
      <c r="B572" s="5" t="s">
        <v>9</v>
      </c>
      <c r="C572" s="22">
        <v>44972</v>
      </c>
      <c r="D572" s="22">
        <v>44979</v>
      </c>
      <c r="E572" s="3">
        <v>0</v>
      </c>
      <c r="F572" s="3"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0.01</v>
      </c>
      <c r="Y572" s="3">
        <v>0.01</v>
      </c>
      <c r="Z572" s="3">
        <v>0.01</v>
      </c>
      <c r="AA572" s="3">
        <v>0.01</v>
      </c>
      <c r="AB572" s="3">
        <v>0.01</v>
      </c>
      <c r="AC572" s="3">
        <v>0.01</v>
      </c>
      <c r="AD572" s="3">
        <v>0.01</v>
      </c>
      <c r="AE572" s="3">
        <v>0.01</v>
      </c>
      <c r="AF572" s="3">
        <v>0.01</v>
      </c>
      <c r="AG572" s="3">
        <v>0.01</v>
      </c>
      <c r="AH572" s="3">
        <v>0.01</v>
      </c>
      <c r="AI572" s="3">
        <v>0.01</v>
      </c>
      <c r="AJ572" s="3">
        <v>0.01</v>
      </c>
      <c r="AK572" s="3">
        <v>0.01</v>
      </c>
      <c r="AL572" s="3">
        <v>0.01</v>
      </c>
      <c r="AM572" s="3">
        <v>0.01</v>
      </c>
      <c r="AN572" s="3">
        <v>0.01</v>
      </c>
      <c r="AO572" s="3">
        <v>0.01</v>
      </c>
      <c r="AP572" s="3">
        <v>0.01</v>
      </c>
    </row>
    <row r="573" spans="1:42" hidden="1" x14ac:dyDescent="0.3">
      <c r="A573" s="5" t="s">
        <v>712</v>
      </c>
      <c r="B573" s="5" t="s">
        <v>33</v>
      </c>
      <c r="C573" s="22">
        <v>44960</v>
      </c>
      <c r="D573" s="22">
        <v>44972</v>
      </c>
      <c r="E573" s="3">
        <v>0</v>
      </c>
      <c r="F573" s="3">
        <v>0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0.05</v>
      </c>
      <c r="Y573" s="3">
        <v>0.05</v>
      </c>
      <c r="Z573" s="3">
        <v>0.05</v>
      </c>
      <c r="AA573" s="3">
        <v>0.05</v>
      </c>
      <c r="AB573" s="3">
        <v>0.05</v>
      </c>
      <c r="AC573" s="3">
        <v>0.05</v>
      </c>
      <c r="AD573" s="3">
        <v>0.05</v>
      </c>
      <c r="AE573" s="3">
        <v>0.05</v>
      </c>
      <c r="AF573" s="3">
        <v>0.05</v>
      </c>
      <c r="AG573" s="3">
        <v>0.05</v>
      </c>
      <c r="AH573" s="3">
        <v>0.05</v>
      </c>
      <c r="AI573" s="3">
        <v>0.05</v>
      </c>
      <c r="AJ573" s="3">
        <v>0.05</v>
      </c>
      <c r="AK573" s="3">
        <v>0.05</v>
      </c>
      <c r="AL573" s="3">
        <v>0.05</v>
      </c>
      <c r="AM573" s="3">
        <v>0.05</v>
      </c>
      <c r="AN573" s="3">
        <v>0.05</v>
      </c>
      <c r="AO573" s="3">
        <v>0.05</v>
      </c>
      <c r="AP573" s="3">
        <v>0.05</v>
      </c>
    </row>
    <row r="574" spans="1:42" hidden="1" x14ac:dyDescent="0.3">
      <c r="A574" s="5" t="s">
        <v>713</v>
      </c>
      <c r="B574" s="5" t="s">
        <v>46</v>
      </c>
      <c r="C574" s="22">
        <v>44942</v>
      </c>
      <c r="D574" s="22">
        <v>44960</v>
      </c>
      <c r="E574" s="3">
        <v>0</v>
      </c>
      <c r="F574" s="3">
        <v>0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0.06</v>
      </c>
      <c r="X574" s="3">
        <v>7.0000000000000007E-2</v>
      </c>
      <c r="Y574" s="3">
        <v>7.0000000000000007E-2</v>
      </c>
      <c r="Z574" s="3">
        <v>7.0000000000000007E-2</v>
      </c>
      <c r="AA574" s="3">
        <v>7.0000000000000007E-2</v>
      </c>
      <c r="AB574" s="3">
        <v>7.0000000000000007E-2</v>
      </c>
      <c r="AC574" s="3">
        <v>7.0000000000000007E-2</v>
      </c>
      <c r="AD574" s="3">
        <v>7.0000000000000007E-2</v>
      </c>
      <c r="AE574" s="3">
        <v>7.0000000000000007E-2</v>
      </c>
      <c r="AF574" s="3">
        <v>7.0000000000000007E-2</v>
      </c>
      <c r="AG574" s="3">
        <v>7.0000000000000007E-2</v>
      </c>
      <c r="AH574" s="3">
        <v>7.0000000000000007E-2</v>
      </c>
      <c r="AI574" s="3">
        <v>7.0000000000000007E-2</v>
      </c>
      <c r="AJ574" s="3">
        <v>7.0000000000000007E-2</v>
      </c>
      <c r="AK574" s="3">
        <v>7.0000000000000007E-2</v>
      </c>
      <c r="AL574" s="3">
        <v>7.0000000000000007E-2</v>
      </c>
      <c r="AM574" s="3">
        <v>7.0000000000000007E-2</v>
      </c>
      <c r="AN574" s="3">
        <v>7.0000000000000007E-2</v>
      </c>
      <c r="AO574" s="3">
        <v>7.0000000000000007E-2</v>
      </c>
      <c r="AP574" s="3">
        <v>7.0000000000000007E-2</v>
      </c>
    </row>
    <row r="575" spans="1:42" hidden="1" x14ac:dyDescent="0.3">
      <c r="A575" s="5" t="s">
        <v>714</v>
      </c>
      <c r="B575" s="5" t="s">
        <v>10</v>
      </c>
      <c r="C575" s="22">
        <v>44924</v>
      </c>
      <c r="D575" s="22">
        <v>44942</v>
      </c>
      <c r="E575" s="3">
        <v>0</v>
      </c>
      <c r="F575" s="3">
        <v>0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0.02</v>
      </c>
      <c r="W575" s="3">
        <v>0.13</v>
      </c>
      <c r="X575" s="3">
        <v>0.13</v>
      </c>
      <c r="Y575" s="3">
        <v>0.13</v>
      </c>
      <c r="Z575" s="3">
        <v>0.13</v>
      </c>
      <c r="AA575" s="3">
        <v>0.13</v>
      </c>
      <c r="AB575" s="3">
        <v>0.13</v>
      </c>
      <c r="AC575" s="3">
        <v>0.13</v>
      </c>
      <c r="AD575" s="3">
        <v>0.13</v>
      </c>
      <c r="AE575" s="3">
        <v>0.13</v>
      </c>
      <c r="AF575" s="3">
        <v>0.13</v>
      </c>
      <c r="AG575" s="3">
        <v>0.13</v>
      </c>
      <c r="AH575" s="3">
        <v>0.13</v>
      </c>
      <c r="AI575" s="3">
        <v>0.13</v>
      </c>
      <c r="AJ575" s="3">
        <v>0.13</v>
      </c>
      <c r="AK575" s="3">
        <v>0.13</v>
      </c>
      <c r="AL575" s="3">
        <v>0.13</v>
      </c>
      <c r="AM575" s="3">
        <v>0.13</v>
      </c>
      <c r="AN575" s="3">
        <v>0.13</v>
      </c>
      <c r="AO575" s="3">
        <v>0.13</v>
      </c>
      <c r="AP575" s="3">
        <v>0.13</v>
      </c>
    </row>
    <row r="576" spans="1:42" hidden="1" x14ac:dyDescent="0.3">
      <c r="A576" s="5" t="s">
        <v>715</v>
      </c>
      <c r="B576" s="5" t="s">
        <v>45</v>
      </c>
      <c r="C576" s="22">
        <v>44900</v>
      </c>
      <c r="D576" s="22">
        <v>44924</v>
      </c>
      <c r="E576" s="3">
        <v>0</v>
      </c>
      <c r="F576" s="3">
        <v>0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0.11</v>
      </c>
      <c r="W576" s="3">
        <v>0.11</v>
      </c>
      <c r="X576" s="3">
        <v>0.11</v>
      </c>
      <c r="Y576" s="3">
        <v>0.11</v>
      </c>
      <c r="Z576" s="3">
        <v>0.11</v>
      </c>
      <c r="AA576" s="3">
        <v>0.11</v>
      </c>
      <c r="AB576" s="3">
        <v>0.11</v>
      </c>
      <c r="AC576" s="3">
        <v>0.11</v>
      </c>
      <c r="AD576" s="3">
        <v>0.11</v>
      </c>
      <c r="AE576" s="3">
        <v>0.11</v>
      </c>
      <c r="AF576" s="3">
        <v>0.11</v>
      </c>
      <c r="AG576" s="3">
        <v>0.11</v>
      </c>
      <c r="AH576" s="3">
        <v>0.11</v>
      </c>
      <c r="AI576" s="3">
        <v>0.11</v>
      </c>
      <c r="AJ576" s="3">
        <v>0.11</v>
      </c>
      <c r="AK576" s="3">
        <v>0.11</v>
      </c>
      <c r="AL576" s="3">
        <v>0.11</v>
      </c>
      <c r="AM576" s="3">
        <v>0.11</v>
      </c>
      <c r="AN576" s="3">
        <v>0.11</v>
      </c>
      <c r="AO576" s="3">
        <v>0.11</v>
      </c>
      <c r="AP576" s="3">
        <v>0.11</v>
      </c>
    </row>
    <row r="577" spans="1:42" hidden="1" x14ac:dyDescent="0.3">
      <c r="A577" s="5" t="s">
        <v>716</v>
      </c>
      <c r="B577" s="5" t="s">
        <v>45</v>
      </c>
      <c r="C577" s="22">
        <v>44874</v>
      </c>
      <c r="D577" s="22">
        <v>44900</v>
      </c>
      <c r="E577" s="3">
        <v>0</v>
      </c>
      <c r="F577" s="3">
        <v>0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0.15</v>
      </c>
      <c r="V577" s="3">
        <v>0.17</v>
      </c>
      <c r="W577" s="3">
        <v>0.17</v>
      </c>
      <c r="X577" s="3">
        <v>0.17</v>
      </c>
      <c r="Y577" s="3">
        <v>0.17</v>
      </c>
      <c r="Z577" s="3">
        <v>0.17</v>
      </c>
      <c r="AA577" s="3">
        <v>0.17</v>
      </c>
      <c r="AB577" s="3">
        <v>0.17</v>
      </c>
      <c r="AC577" s="3">
        <v>0.17</v>
      </c>
      <c r="AD577" s="3">
        <v>0.17</v>
      </c>
      <c r="AE577" s="3">
        <v>0.17</v>
      </c>
      <c r="AF577" s="3">
        <v>0.17</v>
      </c>
      <c r="AG577" s="3">
        <v>0.17</v>
      </c>
      <c r="AH577" s="3">
        <v>0.17</v>
      </c>
      <c r="AI577" s="3">
        <v>0.17</v>
      </c>
      <c r="AJ577" s="3">
        <v>0.17</v>
      </c>
      <c r="AK577" s="3">
        <v>0.17</v>
      </c>
      <c r="AL577" s="3">
        <v>0.17</v>
      </c>
      <c r="AM577" s="3">
        <v>0.17</v>
      </c>
      <c r="AN577" s="3">
        <v>0.17</v>
      </c>
      <c r="AO577" s="3">
        <v>0.17</v>
      </c>
      <c r="AP577" s="3">
        <v>0.17</v>
      </c>
    </row>
    <row r="578" spans="1:42" hidden="1" x14ac:dyDescent="0.3">
      <c r="A578" s="5" t="s">
        <v>717</v>
      </c>
      <c r="B578" s="5" t="s">
        <v>45</v>
      </c>
      <c r="C578" s="22">
        <v>44845</v>
      </c>
      <c r="D578" s="22">
        <v>44869</v>
      </c>
      <c r="E578" s="3">
        <v>0</v>
      </c>
      <c r="F578" s="3">
        <v>0</v>
      </c>
      <c r="G578" s="3">
        <v>0</v>
      </c>
      <c r="H578" s="3">
        <v>0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3">
        <v>0.14000000000000001</v>
      </c>
      <c r="U578" s="3">
        <v>0.17</v>
      </c>
      <c r="V578" s="3">
        <v>0.17</v>
      </c>
      <c r="W578" s="3">
        <v>0.17</v>
      </c>
      <c r="X578" s="3">
        <v>0.17</v>
      </c>
      <c r="Y578" s="3">
        <v>0.17</v>
      </c>
      <c r="Z578" s="3">
        <v>0.17</v>
      </c>
      <c r="AA578" s="3">
        <v>0.17</v>
      </c>
      <c r="AB578" s="3">
        <v>0.17</v>
      </c>
      <c r="AC578" s="3">
        <v>0.17</v>
      </c>
      <c r="AD578" s="3">
        <v>0.17</v>
      </c>
      <c r="AE578" s="3">
        <v>0.17</v>
      </c>
      <c r="AF578" s="3">
        <v>0.17</v>
      </c>
      <c r="AG578" s="3">
        <v>0.17</v>
      </c>
      <c r="AH578" s="3">
        <v>0.17</v>
      </c>
      <c r="AI578" s="3">
        <v>0.17</v>
      </c>
      <c r="AJ578" s="3">
        <v>0.17</v>
      </c>
      <c r="AK578" s="3">
        <v>0.17</v>
      </c>
      <c r="AL578" s="3">
        <v>0.17</v>
      </c>
      <c r="AM578" s="3">
        <v>0.17</v>
      </c>
      <c r="AN578" s="3">
        <v>0.17</v>
      </c>
      <c r="AO578" s="3">
        <v>0.17</v>
      </c>
      <c r="AP578" s="3">
        <v>0.17</v>
      </c>
    </row>
    <row r="579" spans="1:42" hidden="1" x14ac:dyDescent="0.3">
      <c r="A579" s="4" t="s">
        <v>718</v>
      </c>
      <c r="B579" s="4" t="s">
        <v>35</v>
      </c>
      <c r="C579" s="21">
        <v>44979</v>
      </c>
      <c r="D579" s="21">
        <v>44995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0.14000000000000001</v>
      </c>
      <c r="Y579" s="2">
        <v>0.21</v>
      </c>
      <c r="Z579" s="2">
        <v>0.21</v>
      </c>
      <c r="AA579" s="2">
        <v>0.21</v>
      </c>
      <c r="AB579" s="2">
        <v>0.21</v>
      </c>
      <c r="AC579" s="2">
        <v>0.21</v>
      </c>
      <c r="AD579" s="2">
        <v>0.21</v>
      </c>
      <c r="AE579" s="2">
        <v>0.21</v>
      </c>
      <c r="AF579" s="2">
        <v>0.21</v>
      </c>
      <c r="AG579" s="2">
        <v>0.21</v>
      </c>
      <c r="AH579" s="2">
        <v>0.21</v>
      </c>
      <c r="AI579" s="2">
        <v>0.21</v>
      </c>
      <c r="AJ579" s="2">
        <v>0.21</v>
      </c>
      <c r="AK579" s="2">
        <v>0.21</v>
      </c>
      <c r="AL579" s="2">
        <v>0.21</v>
      </c>
      <c r="AM579" s="2">
        <v>0.21</v>
      </c>
      <c r="AN579" s="2">
        <v>0.21</v>
      </c>
      <c r="AO579" s="2">
        <v>0.21</v>
      </c>
      <c r="AP579" s="2">
        <v>0.21</v>
      </c>
    </row>
    <row r="580" spans="1:42" hidden="1" x14ac:dyDescent="0.3">
      <c r="A580" s="5" t="s">
        <v>719</v>
      </c>
      <c r="B580" s="5" t="s">
        <v>29</v>
      </c>
      <c r="C580" s="22">
        <v>44979</v>
      </c>
      <c r="D580" s="22">
        <v>44980</v>
      </c>
      <c r="E580" s="3">
        <v>0</v>
      </c>
      <c r="F580" s="3">
        <v>0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0.11</v>
      </c>
      <c r="Y580" s="3">
        <v>0.11</v>
      </c>
      <c r="Z580" s="3">
        <v>0.11</v>
      </c>
      <c r="AA580" s="3">
        <v>0.11</v>
      </c>
      <c r="AB580" s="3">
        <v>0.11</v>
      </c>
      <c r="AC580" s="3">
        <v>0.11</v>
      </c>
      <c r="AD580" s="3">
        <v>0.11</v>
      </c>
      <c r="AE580" s="3">
        <v>0.11</v>
      </c>
      <c r="AF580" s="3">
        <v>0.11</v>
      </c>
      <c r="AG580" s="3">
        <v>0.11</v>
      </c>
      <c r="AH580" s="3">
        <v>0.11</v>
      </c>
      <c r="AI580" s="3">
        <v>0.11</v>
      </c>
      <c r="AJ580" s="3">
        <v>0.11</v>
      </c>
      <c r="AK580" s="3">
        <v>0.11</v>
      </c>
      <c r="AL580" s="3">
        <v>0.11</v>
      </c>
      <c r="AM580" s="3">
        <v>0.11</v>
      </c>
      <c r="AN580" s="3">
        <v>0.11</v>
      </c>
      <c r="AO580" s="3">
        <v>0.11</v>
      </c>
      <c r="AP580" s="3">
        <v>0.11</v>
      </c>
    </row>
    <row r="581" spans="1:42" hidden="1" x14ac:dyDescent="0.3">
      <c r="A581" s="5" t="s">
        <v>720</v>
      </c>
      <c r="B581" s="5" t="s">
        <v>29</v>
      </c>
      <c r="C581" s="22">
        <v>44994</v>
      </c>
      <c r="D581" s="22">
        <v>44995</v>
      </c>
      <c r="E581" s="3">
        <v>0</v>
      </c>
      <c r="F581" s="3">
        <v>0</v>
      </c>
      <c r="G581" s="3">
        <v>0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0.01</v>
      </c>
      <c r="Z581" s="3">
        <v>0.01</v>
      </c>
      <c r="AA581" s="3">
        <v>0.01</v>
      </c>
      <c r="AB581" s="3">
        <v>0.01</v>
      </c>
      <c r="AC581" s="3">
        <v>0.01</v>
      </c>
      <c r="AD581" s="3">
        <v>0.01</v>
      </c>
      <c r="AE581" s="3">
        <v>0.01</v>
      </c>
      <c r="AF581" s="3">
        <v>0.01</v>
      </c>
      <c r="AG581" s="3">
        <v>0.01</v>
      </c>
      <c r="AH581" s="3">
        <v>0.01</v>
      </c>
      <c r="AI581" s="3">
        <v>0.01</v>
      </c>
      <c r="AJ581" s="3">
        <v>0.01</v>
      </c>
      <c r="AK581" s="3">
        <v>0.01</v>
      </c>
      <c r="AL581" s="3">
        <v>0.01</v>
      </c>
      <c r="AM581" s="3">
        <v>0.01</v>
      </c>
      <c r="AN581" s="3">
        <v>0.01</v>
      </c>
      <c r="AO581" s="3">
        <v>0.01</v>
      </c>
      <c r="AP581" s="3">
        <v>0.01</v>
      </c>
    </row>
    <row r="582" spans="1:42" hidden="1" x14ac:dyDescent="0.3">
      <c r="A582" s="5" t="s">
        <v>721</v>
      </c>
      <c r="B582" s="5" t="s">
        <v>31</v>
      </c>
      <c r="C582" s="22">
        <v>44980</v>
      </c>
      <c r="D582" s="22">
        <v>44984</v>
      </c>
      <c r="E582" s="3">
        <v>0</v>
      </c>
      <c r="F582" s="3">
        <v>0</v>
      </c>
      <c r="G582" s="3">
        <v>0</v>
      </c>
      <c r="H582" s="3">
        <v>0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0.01</v>
      </c>
      <c r="Y582" s="3">
        <v>0.01</v>
      </c>
      <c r="Z582" s="3">
        <v>0.01</v>
      </c>
      <c r="AA582" s="3">
        <v>0.01</v>
      </c>
      <c r="AB582" s="3">
        <v>0.01</v>
      </c>
      <c r="AC582" s="3">
        <v>0.01</v>
      </c>
      <c r="AD582" s="3">
        <v>0.01</v>
      </c>
      <c r="AE582" s="3">
        <v>0.01</v>
      </c>
      <c r="AF582" s="3">
        <v>0.01</v>
      </c>
      <c r="AG582" s="3">
        <v>0.01</v>
      </c>
      <c r="AH582" s="3">
        <v>0.01</v>
      </c>
      <c r="AI582" s="3">
        <v>0.01</v>
      </c>
      <c r="AJ582" s="3">
        <v>0.01</v>
      </c>
      <c r="AK582" s="3">
        <v>0.01</v>
      </c>
      <c r="AL582" s="3">
        <v>0.01</v>
      </c>
      <c r="AM582" s="3">
        <v>0.01</v>
      </c>
      <c r="AN582" s="3">
        <v>0.01</v>
      </c>
      <c r="AO582" s="3">
        <v>0.01</v>
      </c>
      <c r="AP582" s="3">
        <v>0.01</v>
      </c>
    </row>
    <row r="583" spans="1:42" hidden="1" x14ac:dyDescent="0.3">
      <c r="A583" s="5" t="s">
        <v>722</v>
      </c>
      <c r="B583" s="5" t="s">
        <v>31</v>
      </c>
      <c r="C583" s="22">
        <v>44984</v>
      </c>
      <c r="D583" s="22">
        <v>44986</v>
      </c>
      <c r="E583" s="3">
        <v>0</v>
      </c>
      <c r="F583" s="3">
        <v>0</v>
      </c>
      <c r="G583" s="3">
        <v>0</v>
      </c>
      <c r="H583" s="3">
        <v>0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0.02</v>
      </c>
      <c r="Y583" s="3">
        <v>0.02</v>
      </c>
      <c r="Z583" s="3">
        <v>0.02</v>
      </c>
      <c r="AA583" s="3">
        <v>0.02</v>
      </c>
      <c r="AB583" s="3">
        <v>0.02</v>
      </c>
      <c r="AC583" s="3">
        <v>0.02</v>
      </c>
      <c r="AD583" s="3">
        <v>0.02</v>
      </c>
      <c r="AE583" s="3">
        <v>0.02</v>
      </c>
      <c r="AF583" s="3">
        <v>0.02</v>
      </c>
      <c r="AG583" s="3">
        <v>0.02</v>
      </c>
      <c r="AH583" s="3">
        <v>0.02</v>
      </c>
      <c r="AI583" s="3">
        <v>0.02</v>
      </c>
      <c r="AJ583" s="3">
        <v>0.02</v>
      </c>
      <c r="AK583" s="3">
        <v>0.02</v>
      </c>
      <c r="AL583" s="3">
        <v>0.02</v>
      </c>
      <c r="AM583" s="3">
        <v>0.02</v>
      </c>
      <c r="AN583" s="3">
        <v>0.02</v>
      </c>
      <c r="AO583" s="3">
        <v>0.02</v>
      </c>
      <c r="AP583" s="3">
        <v>0.02</v>
      </c>
    </row>
    <row r="584" spans="1:42" hidden="1" x14ac:dyDescent="0.3">
      <c r="A584" s="5" t="s">
        <v>723</v>
      </c>
      <c r="B584" s="5" t="s">
        <v>31</v>
      </c>
      <c r="C584" s="22">
        <v>44986</v>
      </c>
      <c r="D584" s="22">
        <v>44988</v>
      </c>
      <c r="E584" s="3">
        <v>0</v>
      </c>
      <c r="F584" s="3">
        <v>0</v>
      </c>
      <c r="G584" s="3">
        <v>0</v>
      </c>
      <c r="H584" s="3">
        <v>0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0.02</v>
      </c>
      <c r="Z584" s="3">
        <v>0.02</v>
      </c>
      <c r="AA584" s="3">
        <v>0.02</v>
      </c>
      <c r="AB584" s="3">
        <v>0.02</v>
      </c>
      <c r="AC584" s="3">
        <v>0.02</v>
      </c>
      <c r="AD584" s="3">
        <v>0.02</v>
      </c>
      <c r="AE584" s="3">
        <v>0.02</v>
      </c>
      <c r="AF584" s="3">
        <v>0.02</v>
      </c>
      <c r="AG584" s="3">
        <v>0.02</v>
      </c>
      <c r="AH584" s="3">
        <v>0.02</v>
      </c>
      <c r="AI584" s="3">
        <v>0.02</v>
      </c>
      <c r="AJ584" s="3">
        <v>0.02</v>
      </c>
      <c r="AK584" s="3">
        <v>0.02</v>
      </c>
      <c r="AL584" s="3">
        <v>0.02</v>
      </c>
      <c r="AM584" s="3">
        <v>0.02</v>
      </c>
      <c r="AN584" s="3">
        <v>0.02</v>
      </c>
      <c r="AO584" s="3">
        <v>0.02</v>
      </c>
      <c r="AP584" s="3">
        <v>0.02</v>
      </c>
    </row>
    <row r="585" spans="1:42" hidden="1" x14ac:dyDescent="0.3">
      <c r="A585" s="5" t="s">
        <v>724</v>
      </c>
      <c r="B585" s="5" t="s">
        <v>31</v>
      </c>
      <c r="C585" s="22">
        <v>44988</v>
      </c>
      <c r="D585" s="22">
        <v>44992</v>
      </c>
      <c r="E585" s="3">
        <v>0</v>
      </c>
      <c r="F585" s="3">
        <v>0</v>
      </c>
      <c r="G585" s="3">
        <v>0</v>
      </c>
      <c r="H585" s="3">
        <v>0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0.02</v>
      </c>
      <c r="Z585" s="3">
        <v>0.02</v>
      </c>
      <c r="AA585" s="3">
        <v>0.02</v>
      </c>
      <c r="AB585" s="3">
        <v>0.02</v>
      </c>
      <c r="AC585" s="3">
        <v>0.02</v>
      </c>
      <c r="AD585" s="3">
        <v>0.02</v>
      </c>
      <c r="AE585" s="3">
        <v>0.02</v>
      </c>
      <c r="AF585" s="3">
        <v>0.02</v>
      </c>
      <c r="AG585" s="3">
        <v>0.02</v>
      </c>
      <c r="AH585" s="3">
        <v>0.02</v>
      </c>
      <c r="AI585" s="3">
        <v>0.02</v>
      </c>
      <c r="AJ585" s="3">
        <v>0.02</v>
      </c>
      <c r="AK585" s="3">
        <v>0.02</v>
      </c>
      <c r="AL585" s="3">
        <v>0.02</v>
      </c>
      <c r="AM585" s="3">
        <v>0.02</v>
      </c>
      <c r="AN585" s="3">
        <v>0.02</v>
      </c>
      <c r="AO585" s="3">
        <v>0.02</v>
      </c>
      <c r="AP585" s="3">
        <v>0.02</v>
      </c>
    </row>
    <row r="586" spans="1:42" hidden="1" x14ac:dyDescent="0.3">
      <c r="A586" s="5" t="s">
        <v>725</v>
      </c>
      <c r="B586" s="5" t="s">
        <v>31</v>
      </c>
      <c r="C586" s="22">
        <v>44992</v>
      </c>
      <c r="D586" s="22">
        <v>44994</v>
      </c>
      <c r="E586" s="3">
        <v>0</v>
      </c>
      <c r="F586" s="3">
        <v>0</v>
      </c>
      <c r="G586" s="3">
        <v>0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0.02</v>
      </c>
      <c r="Z586" s="3">
        <v>0.02</v>
      </c>
      <c r="AA586" s="3">
        <v>0.02</v>
      </c>
      <c r="AB586" s="3">
        <v>0.02</v>
      </c>
      <c r="AC586" s="3">
        <v>0.02</v>
      </c>
      <c r="AD586" s="3">
        <v>0.02</v>
      </c>
      <c r="AE586" s="3">
        <v>0.02</v>
      </c>
      <c r="AF586" s="3">
        <v>0.02</v>
      </c>
      <c r="AG586" s="3">
        <v>0.02</v>
      </c>
      <c r="AH586" s="3">
        <v>0.02</v>
      </c>
      <c r="AI586" s="3">
        <v>0.02</v>
      </c>
      <c r="AJ586" s="3">
        <v>0.02</v>
      </c>
      <c r="AK586" s="3">
        <v>0.02</v>
      </c>
      <c r="AL586" s="3">
        <v>0.02</v>
      </c>
      <c r="AM586" s="3">
        <v>0.02</v>
      </c>
      <c r="AN586" s="3">
        <v>0.02</v>
      </c>
      <c r="AO586" s="3">
        <v>0.02</v>
      </c>
      <c r="AP586" s="3">
        <v>0.02</v>
      </c>
    </row>
    <row r="587" spans="1:42" hidden="1" x14ac:dyDescent="0.3">
      <c r="A587" s="5" t="s">
        <v>726</v>
      </c>
      <c r="B587" s="5" t="s">
        <v>12</v>
      </c>
      <c r="C587" s="22">
        <v>44995</v>
      </c>
      <c r="D587" s="22">
        <v>45000</v>
      </c>
      <c r="E587" s="3">
        <v>0</v>
      </c>
      <c r="F587" s="3">
        <v>0</v>
      </c>
      <c r="G587" s="3">
        <v>0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0.02</v>
      </c>
      <c r="Z587" s="3">
        <v>0.02</v>
      </c>
      <c r="AA587" s="3">
        <v>0.02</v>
      </c>
      <c r="AB587" s="3">
        <v>0.02</v>
      </c>
      <c r="AC587" s="3">
        <v>0.02</v>
      </c>
      <c r="AD587" s="3">
        <v>0.02</v>
      </c>
      <c r="AE587" s="3">
        <v>0.02</v>
      </c>
      <c r="AF587" s="3">
        <v>0.02</v>
      </c>
      <c r="AG587" s="3">
        <v>0.02</v>
      </c>
      <c r="AH587" s="3">
        <v>0.02</v>
      </c>
      <c r="AI587" s="3">
        <v>0.02</v>
      </c>
      <c r="AJ587" s="3">
        <v>0.02</v>
      </c>
      <c r="AK587" s="3">
        <v>0.02</v>
      </c>
      <c r="AL587" s="3">
        <v>0.02</v>
      </c>
      <c r="AM587" s="3">
        <v>0.02</v>
      </c>
      <c r="AN587" s="3">
        <v>0.02</v>
      </c>
      <c r="AO587" s="3">
        <v>0.02</v>
      </c>
      <c r="AP587" s="3">
        <v>0.02</v>
      </c>
    </row>
    <row r="588" spans="1:42" hidden="1" x14ac:dyDescent="0.3">
      <c r="A588" s="15" t="s">
        <v>727</v>
      </c>
      <c r="B588" s="15" t="s">
        <v>89</v>
      </c>
      <c r="C588" s="20">
        <v>44851</v>
      </c>
      <c r="D588" s="20">
        <v>45062</v>
      </c>
      <c r="E588" s="8">
        <v>0</v>
      </c>
      <c r="F588" s="8">
        <v>0</v>
      </c>
      <c r="G588" s="8">
        <v>0</v>
      </c>
      <c r="H588" s="8">
        <v>0</v>
      </c>
      <c r="I588" s="8">
        <v>0</v>
      </c>
      <c r="J588" s="8">
        <v>0</v>
      </c>
      <c r="K588" s="8">
        <v>0</v>
      </c>
      <c r="L588" s="8">
        <v>0</v>
      </c>
      <c r="M588" s="8">
        <v>0</v>
      </c>
      <c r="N588" s="8">
        <v>0</v>
      </c>
      <c r="O588" s="8">
        <v>0</v>
      </c>
      <c r="P588" s="8">
        <v>0</v>
      </c>
      <c r="Q588" s="8">
        <v>0</v>
      </c>
      <c r="R588" s="8">
        <v>0</v>
      </c>
      <c r="S588" s="8">
        <v>0</v>
      </c>
      <c r="T588" s="8">
        <v>0.1</v>
      </c>
      <c r="U588" s="8">
        <v>0.17</v>
      </c>
      <c r="V588" s="8">
        <v>0.35</v>
      </c>
      <c r="W588" s="8">
        <v>0.53</v>
      </c>
      <c r="X588" s="8">
        <v>0.67</v>
      </c>
      <c r="Y588" s="8">
        <v>1.98</v>
      </c>
      <c r="Z588" s="8">
        <v>2.09</v>
      </c>
      <c r="AA588" s="8">
        <v>2.09</v>
      </c>
      <c r="AB588" s="8">
        <v>2.09</v>
      </c>
      <c r="AC588" s="8">
        <v>2.09</v>
      </c>
      <c r="AD588" s="8">
        <v>2.09</v>
      </c>
      <c r="AE588" s="8">
        <v>2.09</v>
      </c>
      <c r="AF588" s="8">
        <v>2.09</v>
      </c>
      <c r="AG588" s="8">
        <v>2.09</v>
      </c>
      <c r="AH588" s="8">
        <v>2.09</v>
      </c>
      <c r="AI588" s="8">
        <v>2.09</v>
      </c>
      <c r="AJ588" s="8">
        <v>2.09</v>
      </c>
      <c r="AK588" s="8">
        <v>2.09</v>
      </c>
      <c r="AL588" s="8">
        <v>2.09</v>
      </c>
      <c r="AM588" s="8">
        <v>2.09</v>
      </c>
      <c r="AN588" s="8">
        <v>2.09</v>
      </c>
      <c r="AO588" s="8">
        <v>2.09</v>
      </c>
      <c r="AP588" s="8">
        <v>2.09</v>
      </c>
    </row>
    <row r="589" spans="1:42" hidden="1" x14ac:dyDescent="0.3">
      <c r="A589" s="5" t="s">
        <v>728</v>
      </c>
      <c r="B589" s="5" t="s">
        <v>29</v>
      </c>
      <c r="C589" s="22">
        <v>45015</v>
      </c>
      <c r="D589" s="22">
        <v>45016</v>
      </c>
      <c r="E589" s="3">
        <v>0</v>
      </c>
      <c r="F589" s="3">
        <v>0</v>
      </c>
      <c r="G589" s="3">
        <v>0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1.06</v>
      </c>
      <c r="Z589" s="3">
        <v>1.06</v>
      </c>
      <c r="AA589" s="3">
        <v>1.06</v>
      </c>
      <c r="AB589" s="3">
        <v>1.06</v>
      </c>
      <c r="AC589" s="3">
        <v>1.06</v>
      </c>
      <c r="AD589" s="3">
        <v>1.06</v>
      </c>
      <c r="AE589" s="3">
        <v>1.06</v>
      </c>
      <c r="AF589" s="3">
        <v>1.06</v>
      </c>
      <c r="AG589" s="3">
        <v>1.06</v>
      </c>
      <c r="AH589" s="3">
        <v>1.06</v>
      </c>
      <c r="AI589" s="3">
        <v>1.06</v>
      </c>
      <c r="AJ589" s="3">
        <v>1.06</v>
      </c>
      <c r="AK589" s="3">
        <v>1.06</v>
      </c>
      <c r="AL589" s="3">
        <v>1.06</v>
      </c>
      <c r="AM589" s="3">
        <v>1.06</v>
      </c>
      <c r="AN589" s="3">
        <v>1.06</v>
      </c>
      <c r="AO589" s="3">
        <v>1.06</v>
      </c>
      <c r="AP589" s="3">
        <v>1.06</v>
      </c>
    </row>
    <row r="590" spans="1:42" hidden="1" x14ac:dyDescent="0.3">
      <c r="A590" s="5" t="s">
        <v>729</v>
      </c>
      <c r="B590" s="5" t="s">
        <v>14</v>
      </c>
      <c r="C590" s="22">
        <v>45001</v>
      </c>
      <c r="D590" s="22">
        <v>45015</v>
      </c>
      <c r="E590" s="3">
        <v>0</v>
      </c>
      <c r="F590" s="3">
        <v>0</v>
      </c>
      <c r="G590" s="3">
        <v>0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0.01</v>
      </c>
      <c r="Z590" s="3">
        <v>0.01</v>
      </c>
      <c r="AA590" s="3">
        <v>0.01</v>
      </c>
      <c r="AB590" s="3">
        <v>0.01</v>
      </c>
      <c r="AC590" s="3">
        <v>0.01</v>
      </c>
      <c r="AD590" s="3">
        <v>0.01</v>
      </c>
      <c r="AE590" s="3">
        <v>0.01</v>
      </c>
      <c r="AF590" s="3">
        <v>0.01</v>
      </c>
      <c r="AG590" s="3">
        <v>0.01</v>
      </c>
      <c r="AH590" s="3">
        <v>0.01</v>
      </c>
      <c r="AI590" s="3">
        <v>0.01</v>
      </c>
      <c r="AJ590" s="3">
        <v>0.01</v>
      </c>
      <c r="AK590" s="3">
        <v>0.01</v>
      </c>
      <c r="AL590" s="3">
        <v>0.01</v>
      </c>
      <c r="AM590" s="3">
        <v>0.01</v>
      </c>
      <c r="AN590" s="3">
        <v>0.01</v>
      </c>
      <c r="AO590" s="3">
        <v>0.01</v>
      </c>
      <c r="AP590" s="3">
        <v>0.01</v>
      </c>
    </row>
    <row r="591" spans="1:42" hidden="1" x14ac:dyDescent="0.3">
      <c r="A591" s="5" t="s">
        <v>730</v>
      </c>
      <c r="B591" s="5" t="s">
        <v>33</v>
      </c>
      <c r="C591" s="22">
        <v>44991</v>
      </c>
      <c r="D591" s="22">
        <v>45001</v>
      </c>
      <c r="E591" s="3">
        <v>0</v>
      </c>
      <c r="F591" s="3">
        <v>0</v>
      </c>
      <c r="G591" s="3">
        <v>0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0.09</v>
      </c>
      <c r="Z591" s="3">
        <v>0.09</v>
      </c>
      <c r="AA591" s="3">
        <v>0.09</v>
      </c>
      <c r="AB591" s="3">
        <v>0.09</v>
      </c>
      <c r="AC591" s="3">
        <v>0.09</v>
      </c>
      <c r="AD591" s="3">
        <v>0.09</v>
      </c>
      <c r="AE591" s="3">
        <v>0.09</v>
      </c>
      <c r="AF591" s="3">
        <v>0.09</v>
      </c>
      <c r="AG591" s="3">
        <v>0.09</v>
      </c>
      <c r="AH591" s="3">
        <v>0.09</v>
      </c>
      <c r="AI591" s="3">
        <v>0.09</v>
      </c>
      <c r="AJ591" s="3">
        <v>0.09</v>
      </c>
      <c r="AK591" s="3">
        <v>0.09</v>
      </c>
      <c r="AL591" s="3">
        <v>0.09</v>
      </c>
      <c r="AM591" s="3">
        <v>0.09</v>
      </c>
      <c r="AN591" s="3">
        <v>0.09</v>
      </c>
      <c r="AO591" s="3">
        <v>0.09</v>
      </c>
      <c r="AP591" s="3">
        <v>0.09</v>
      </c>
    </row>
    <row r="592" spans="1:42" hidden="1" x14ac:dyDescent="0.3">
      <c r="A592" s="5" t="s">
        <v>731</v>
      </c>
      <c r="B592" s="5" t="s">
        <v>33</v>
      </c>
      <c r="C592" s="22">
        <v>45051</v>
      </c>
      <c r="D592" s="22">
        <v>45062</v>
      </c>
      <c r="E592" s="3">
        <v>0</v>
      </c>
      <c r="F592" s="3">
        <v>0</v>
      </c>
      <c r="G592" s="3">
        <v>0</v>
      </c>
      <c r="H592" s="3">
        <v>0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3">
        <v>0</v>
      </c>
      <c r="AE592" s="3">
        <v>0</v>
      </c>
      <c r="AF592" s="3">
        <v>0</v>
      </c>
      <c r="AG592" s="3">
        <v>0</v>
      </c>
      <c r="AH592" s="3">
        <v>0</v>
      </c>
      <c r="AI592" s="3">
        <v>0</v>
      </c>
      <c r="AJ592" s="3">
        <v>0</v>
      </c>
      <c r="AK592" s="3">
        <v>0</v>
      </c>
      <c r="AL592" s="3">
        <v>0</v>
      </c>
      <c r="AM592" s="3">
        <v>0</v>
      </c>
      <c r="AN592" s="3">
        <v>0</v>
      </c>
      <c r="AO592" s="3">
        <v>0</v>
      </c>
      <c r="AP592" s="3">
        <v>0</v>
      </c>
    </row>
    <row r="593" spans="1:42" hidden="1" x14ac:dyDescent="0.3">
      <c r="A593" s="5" t="s">
        <v>732</v>
      </c>
      <c r="B593" s="5" t="s">
        <v>17</v>
      </c>
      <c r="C593" s="22">
        <v>44970</v>
      </c>
      <c r="D593" s="22">
        <v>44991</v>
      </c>
      <c r="E593" s="3">
        <v>0</v>
      </c>
      <c r="F593" s="3">
        <v>0</v>
      </c>
      <c r="G593" s="3">
        <v>0</v>
      </c>
      <c r="H593" s="3">
        <v>0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0.06</v>
      </c>
      <c r="Y593" s="3">
        <v>7.0000000000000007E-2</v>
      </c>
      <c r="Z593" s="3">
        <v>7.0000000000000007E-2</v>
      </c>
      <c r="AA593" s="3">
        <v>7.0000000000000007E-2</v>
      </c>
      <c r="AB593" s="3">
        <v>7.0000000000000007E-2</v>
      </c>
      <c r="AC593" s="3">
        <v>7.0000000000000007E-2</v>
      </c>
      <c r="AD593" s="3">
        <v>7.0000000000000007E-2</v>
      </c>
      <c r="AE593" s="3">
        <v>7.0000000000000007E-2</v>
      </c>
      <c r="AF593" s="3">
        <v>7.0000000000000007E-2</v>
      </c>
      <c r="AG593" s="3">
        <v>7.0000000000000007E-2</v>
      </c>
      <c r="AH593" s="3">
        <v>7.0000000000000007E-2</v>
      </c>
      <c r="AI593" s="3">
        <v>7.0000000000000007E-2</v>
      </c>
      <c r="AJ593" s="3">
        <v>7.0000000000000007E-2</v>
      </c>
      <c r="AK593" s="3">
        <v>7.0000000000000007E-2</v>
      </c>
      <c r="AL593" s="3">
        <v>7.0000000000000007E-2</v>
      </c>
      <c r="AM593" s="3">
        <v>7.0000000000000007E-2</v>
      </c>
      <c r="AN593" s="3">
        <v>7.0000000000000007E-2</v>
      </c>
      <c r="AO593" s="3">
        <v>7.0000000000000007E-2</v>
      </c>
      <c r="AP593" s="3">
        <v>7.0000000000000007E-2</v>
      </c>
    </row>
    <row r="594" spans="1:42" hidden="1" x14ac:dyDescent="0.3">
      <c r="A594" s="5" t="s">
        <v>733</v>
      </c>
      <c r="B594" s="5" t="s">
        <v>46</v>
      </c>
      <c r="C594" s="22">
        <v>44950</v>
      </c>
      <c r="D594" s="22">
        <v>44970</v>
      </c>
      <c r="E594" s="3">
        <v>0</v>
      </c>
      <c r="F594" s="3">
        <v>0</v>
      </c>
      <c r="G594" s="3">
        <v>0</v>
      </c>
      <c r="H594" s="3">
        <v>0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0.06</v>
      </c>
      <c r="X594" s="3">
        <v>0.14000000000000001</v>
      </c>
      <c r="Y594" s="3">
        <v>0.14000000000000001</v>
      </c>
      <c r="Z594" s="3">
        <v>0.14000000000000001</v>
      </c>
      <c r="AA594" s="3">
        <v>0.14000000000000001</v>
      </c>
      <c r="AB594" s="3">
        <v>0.14000000000000001</v>
      </c>
      <c r="AC594" s="3">
        <v>0.14000000000000001</v>
      </c>
      <c r="AD594" s="3">
        <v>0.14000000000000001</v>
      </c>
      <c r="AE594" s="3">
        <v>0.14000000000000001</v>
      </c>
      <c r="AF594" s="3">
        <v>0.14000000000000001</v>
      </c>
      <c r="AG594" s="3">
        <v>0.14000000000000001</v>
      </c>
      <c r="AH594" s="3">
        <v>0.14000000000000001</v>
      </c>
      <c r="AI594" s="3">
        <v>0.14000000000000001</v>
      </c>
      <c r="AJ594" s="3">
        <v>0.14000000000000001</v>
      </c>
      <c r="AK594" s="3">
        <v>0.14000000000000001</v>
      </c>
      <c r="AL594" s="3">
        <v>0.14000000000000001</v>
      </c>
      <c r="AM594" s="3">
        <v>0.14000000000000001</v>
      </c>
      <c r="AN594" s="3">
        <v>0.14000000000000001</v>
      </c>
      <c r="AO594" s="3">
        <v>0.14000000000000001</v>
      </c>
      <c r="AP594" s="3">
        <v>0.14000000000000001</v>
      </c>
    </row>
    <row r="595" spans="1:42" hidden="1" x14ac:dyDescent="0.3">
      <c r="A595" s="5" t="s">
        <v>734</v>
      </c>
      <c r="B595" s="5" t="s">
        <v>45</v>
      </c>
      <c r="C595" s="22">
        <v>44924</v>
      </c>
      <c r="D595" s="22">
        <v>44950</v>
      </c>
      <c r="E595" s="3">
        <v>0</v>
      </c>
      <c r="F595" s="3">
        <v>0</v>
      </c>
      <c r="G595" s="3">
        <v>0</v>
      </c>
      <c r="H595" s="3">
        <v>0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0.01</v>
      </c>
      <c r="W595" s="3">
        <v>0.13</v>
      </c>
      <c r="X595" s="3">
        <v>0.13</v>
      </c>
      <c r="Y595" s="3">
        <v>0.13</v>
      </c>
      <c r="Z595" s="3">
        <v>0.13</v>
      </c>
      <c r="AA595" s="3">
        <v>0.13</v>
      </c>
      <c r="AB595" s="3">
        <v>0.13</v>
      </c>
      <c r="AC595" s="3">
        <v>0.13</v>
      </c>
      <c r="AD595" s="3">
        <v>0.13</v>
      </c>
      <c r="AE595" s="3">
        <v>0.13</v>
      </c>
      <c r="AF595" s="3">
        <v>0.13</v>
      </c>
      <c r="AG595" s="3">
        <v>0.13</v>
      </c>
      <c r="AH595" s="3">
        <v>0.13</v>
      </c>
      <c r="AI595" s="3">
        <v>0.13</v>
      </c>
      <c r="AJ595" s="3">
        <v>0.13</v>
      </c>
      <c r="AK595" s="3">
        <v>0.13</v>
      </c>
      <c r="AL595" s="3">
        <v>0.13</v>
      </c>
      <c r="AM595" s="3">
        <v>0.13</v>
      </c>
      <c r="AN595" s="3">
        <v>0.13</v>
      </c>
      <c r="AO595" s="3">
        <v>0.13</v>
      </c>
      <c r="AP595" s="3">
        <v>0.13</v>
      </c>
    </row>
    <row r="596" spans="1:42" hidden="1" x14ac:dyDescent="0.3">
      <c r="A596" s="5" t="s">
        <v>735</v>
      </c>
      <c r="B596" s="5" t="s">
        <v>45</v>
      </c>
      <c r="C596" s="22">
        <v>44900</v>
      </c>
      <c r="D596" s="22">
        <v>44924</v>
      </c>
      <c r="E596" s="3">
        <v>0</v>
      </c>
      <c r="F596" s="3">
        <v>0</v>
      </c>
      <c r="G596" s="3">
        <v>0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0.17</v>
      </c>
      <c r="W596" s="3">
        <v>0.17</v>
      </c>
      <c r="X596" s="3">
        <v>0.17</v>
      </c>
      <c r="Y596" s="3">
        <v>0.17</v>
      </c>
      <c r="Z596" s="3">
        <v>0.17</v>
      </c>
      <c r="AA596" s="3">
        <v>0.17</v>
      </c>
      <c r="AB596" s="3">
        <v>0.17</v>
      </c>
      <c r="AC596" s="3">
        <v>0.17</v>
      </c>
      <c r="AD596" s="3">
        <v>0.17</v>
      </c>
      <c r="AE596" s="3">
        <v>0.17</v>
      </c>
      <c r="AF596" s="3">
        <v>0.17</v>
      </c>
      <c r="AG596" s="3">
        <v>0.17</v>
      </c>
      <c r="AH596" s="3">
        <v>0.17</v>
      </c>
      <c r="AI596" s="3">
        <v>0.17</v>
      </c>
      <c r="AJ596" s="3">
        <v>0.17</v>
      </c>
      <c r="AK596" s="3">
        <v>0.17</v>
      </c>
      <c r="AL596" s="3">
        <v>0.17</v>
      </c>
      <c r="AM596" s="3">
        <v>0.17</v>
      </c>
      <c r="AN596" s="3">
        <v>0.17</v>
      </c>
      <c r="AO596" s="3">
        <v>0.17</v>
      </c>
      <c r="AP596" s="3">
        <v>0.17</v>
      </c>
    </row>
    <row r="597" spans="1:42" hidden="1" x14ac:dyDescent="0.3">
      <c r="A597" s="5" t="s">
        <v>736</v>
      </c>
      <c r="B597" s="5" t="s">
        <v>45</v>
      </c>
      <c r="C597" s="22">
        <v>44851</v>
      </c>
      <c r="D597" s="22">
        <v>44874</v>
      </c>
      <c r="E597" s="3">
        <v>0</v>
      </c>
      <c r="F597" s="3">
        <v>0</v>
      </c>
      <c r="G597" s="3">
        <v>0</v>
      </c>
      <c r="H597" s="3">
        <v>0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3">
        <v>0.1</v>
      </c>
      <c r="U597" s="3">
        <v>0.17</v>
      </c>
      <c r="V597" s="3">
        <v>0.17</v>
      </c>
      <c r="W597" s="3">
        <v>0.17</v>
      </c>
      <c r="X597" s="3">
        <v>0.17</v>
      </c>
      <c r="Y597" s="3">
        <v>0.17</v>
      </c>
      <c r="Z597" s="3">
        <v>0.17</v>
      </c>
      <c r="AA597" s="3">
        <v>0.17</v>
      </c>
      <c r="AB597" s="3">
        <v>0.17</v>
      </c>
      <c r="AC597" s="3">
        <v>0.17</v>
      </c>
      <c r="AD597" s="3">
        <v>0.17</v>
      </c>
      <c r="AE597" s="3">
        <v>0.17</v>
      </c>
      <c r="AF597" s="3">
        <v>0.17</v>
      </c>
      <c r="AG597" s="3">
        <v>0.17</v>
      </c>
      <c r="AH597" s="3">
        <v>0.17</v>
      </c>
      <c r="AI597" s="3">
        <v>0.17</v>
      </c>
      <c r="AJ597" s="3">
        <v>0.17</v>
      </c>
      <c r="AK597" s="3">
        <v>0.17</v>
      </c>
      <c r="AL597" s="3">
        <v>0.17</v>
      </c>
      <c r="AM597" s="3">
        <v>0.17</v>
      </c>
      <c r="AN597" s="3">
        <v>0.17</v>
      </c>
      <c r="AO597" s="3">
        <v>0.17</v>
      </c>
      <c r="AP597" s="3">
        <v>0.17</v>
      </c>
    </row>
    <row r="598" spans="1:42" hidden="1" x14ac:dyDescent="0.3">
      <c r="A598" s="4" t="s">
        <v>737</v>
      </c>
      <c r="B598" s="4" t="s">
        <v>35</v>
      </c>
      <c r="C598" s="21">
        <v>45015</v>
      </c>
      <c r="D598" s="21">
        <v>45034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0.13</v>
      </c>
      <c r="Z598" s="2">
        <v>0.22</v>
      </c>
      <c r="AA598" s="2">
        <v>0.22</v>
      </c>
      <c r="AB598" s="2">
        <v>0.22</v>
      </c>
      <c r="AC598" s="2">
        <v>0.22</v>
      </c>
      <c r="AD598" s="2">
        <v>0.22</v>
      </c>
      <c r="AE598" s="2">
        <v>0.22</v>
      </c>
      <c r="AF598" s="2">
        <v>0.22</v>
      </c>
      <c r="AG598" s="2">
        <v>0.22</v>
      </c>
      <c r="AH598" s="2">
        <v>0.22</v>
      </c>
      <c r="AI598" s="2">
        <v>0.22</v>
      </c>
      <c r="AJ598" s="2">
        <v>0.22</v>
      </c>
      <c r="AK598" s="2">
        <v>0.22</v>
      </c>
      <c r="AL598" s="2">
        <v>0.22</v>
      </c>
      <c r="AM598" s="2">
        <v>0.22</v>
      </c>
      <c r="AN598" s="2">
        <v>0.22</v>
      </c>
      <c r="AO598" s="2">
        <v>0.22</v>
      </c>
      <c r="AP598" s="2">
        <v>0.22</v>
      </c>
    </row>
    <row r="599" spans="1:42" hidden="1" x14ac:dyDescent="0.3">
      <c r="A599" s="5" t="s">
        <v>738</v>
      </c>
      <c r="B599" s="5" t="s">
        <v>29</v>
      </c>
      <c r="C599" s="22">
        <v>45015</v>
      </c>
      <c r="D599" s="22">
        <v>45016</v>
      </c>
      <c r="E599" s="3">
        <v>0</v>
      </c>
      <c r="F599" s="3">
        <v>0</v>
      </c>
      <c r="G599" s="3">
        <v>0</v>
      </c>
      <c r="H599" s="3">
        <v>0</v>
      </c>
      <c r="I599" s="3">
        <v>0</v>
      </c>
      <c r="J599" s="3">
        <v>0</v>
      </c>
      <c r="K599" s="3">
        <v>0</v>
      </c>
      <c r="L599" s="3">
        <v>0</v>
      </c>
      <c r="M599" s="3">
        <v>0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0.12</v>
      </c>
      <c r="Z599" s="3">
        <v>0.12</v>
      </c>
      <c r="AA599" s="3">
        <v>0.12</v>
      </c>
      <c r="AB599" s="3">
        <v>0.12</v>
      </c>
      <c r="AC599" s="3">
        <v>0.12</v>
      </c>
      <c r="AD599" s="3">
        <v>0.12</v>
      </c>
      <c r="AE599" s="3">
        <v>0.12</v>
      </c>
      <c r="AF599" s="3">
        <v>0.12</v>
      </c>
      <c r="AG599" s="3">
        <v>0.12</v>
      </c>
      <c r="AH599" s="3">
        <v>0.12</v>
      </c>
      <c r="AI599" s="3">
        <v>0.12</v>
      </c>
      <c r="AJ599" s="3">
        <v>0.12</v>
      </c>
      <c r="AK599" s="3">
        <v>0.12</v>
      </c>
      <c r="AL599" s="3">
        <v>0.12</v>
      </c>
      <c r="AM599" s="3">
        <v>0.12</v>
      </c>
      <c r="AN599" s="3">
        <v>0.12</v>
      </c>
      <c r="AO599" s="3">
        <v>0.12</v>
      </c>
      <c r="AP599" s="3">
        <v>0.12</v>
      </c>
    </row>
    <row r="600" spans="1:42" hidden="1" x14ac:dyDescent="0.3">
      <c r="A600" s="5" t="s">
        <v>739</v>
      </c>
      <c r="B600" s="5" t="s">
        <v>31</v>
      </c>
      <c r="C600" s="22">
        <v>45030</v>
      </c>
      <c r="D600" s="22">
        <v>45034</v>
      </c>
      <c r="E600" s="3">
        <v>0</v>
      </c>
      <c r="F600" s="3">
        <v>0</v>
      </c>
      <c r="G600" s="3">
        <v>0</v>
      </c>
      <c r="H600" s="3">
        <v>0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0.01</v>
      </c>
      <c r="AA600" s="3">
        <v>0.01</v>
      </c>
      <c r="AB600" s="3">
        <v>0.01</v>
      </c>
      <c r="AC600" s="3">
        <v>0.01</v>
      </c>
      <c r="AD600" s="3">
        <v>0.01</v>
      </c>
      <c r="AE600" s="3">
        <v>0.01</v>
      </c>
      <c r="AF600" s="3">
        <v>0.01</v>
      </c>
      <c r="AG600" s="3">
        <v>0.01</v>
      </c>
      <c r="AH600" s="3">
        <v>0.01</v>
      </c>
      <c r="AI600" s="3">
        <v>0.01</v>
      </c>
      <c r="AJ600" s="3">
        <v>0.01</v>
      </c>
      <c r="AK600" s="3">
        <v>0.01</v>
      </c>
      <c r="AL600" s="3">
        <v>0.01</v>
      </c>
      <c r="AM600" s="3">
        <v>0.01</v>
      </c>
      <c r="AN600" s="3">
        <v>0.01</v>
      </c>
      <c r="AO600" s="3">
        <v>0.01</v>
      </c>
      <c r="AP600" s="3">
        <v>0.01</v>
      </c>
    </row>
    <row r="601" spans="1:42" hidden="1" x14ac:dyDescent="0.3">
      <c r="A601" s="5" t="s">
        <v>740</v>
      </c>
      <c r="B601" s="5" t="s">
        <v>31</v>
      </c>
      <c r="C601" s="22">
        <v>45016</v>
      </c>
      <c r="D601" s="22">
        <v>45020</v>
      </c>
      <c r="E601" s="3">
        <v>0</v>
      </c>
      <c r="F601" s="3">
        <v>0</v>
      </c>
      <c r="G601" s="3">
        <v>0</v>
      </c>
      <c r="H601" s="3">
        <v>0</v>
      </c>
      <c r="I601" s="3">
        <v>0</v>
      </c>
      <c r="J601" s="3">
        <v>0</v>
      </c>
      <c r="K601" s="3">
        <v>0</v>
      </c>
      <c r="L601" s="3">
        <v>0</v>
      </c>
      <c r="M601" s="3">
        <v>0</v>
      </c>
      <c r="N601" s="3">
        <v>0</v>
      </c>
      <c r="O601" s="3">
        <v>0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0.01</v>
      </c>
      <c r="Z601" s="3">
        <v>0.02</v>
      </c>
      <c r="AA601" s="3">
        <v>0.02</v>
      </c>
      <c r="AB601" s="3">
        <v>0.02</v>
      </c>
      <c r="AC601" s="3">
        <v>0.02</v>
      </c>
      <c r="AD601" s="3">
        <v>0.02</v>
      </c>
      <c r="AE601" s="3">
        <v>0.02</v>
      </c>
      <c r="AF601" s="3">
        <v>0.02</v>
      </c>
      <c r="AG601" s="3">
        <v>0.02</v>
      </c>
      <c r="AH601" s="3">
        <v>0.02</v>
      </c>
      <c r="AI601" s="3">
        <v>0.02</v>
      </c>
      <c r="AJ601" s="3">
        <v>0.02</v>
      </c>
      <c r="AK601" s="3">
        <v>0.02</v>
      </c>
      <c r="AL601" s="3">
        <v>0.02</v>
      </c>
      <c r="AM601" s="3">
        <v>0.02</v>
      </c>
      <c r="AN601" s="3">
        <v>0.02</v>
      </c>
      <c r="AO601" s="3">
        <v>0.02</v>
      </c>
      <c r="AP601" s="3">
        <v>0.02</v>
      </c>
    </row>
    <row r="602" spans="1:42" hidden="1" x14ac:dyDescent="0.3">
      <c r="A602" s="5" t="s">
        <v>741</v>
      </c>
      <c r="B602" s="5" t="s">
        <v>31</v>
      </c>
      <c r="C602" s="22">
        <v>45020</v>
      </c>
      <c r="D602" s="22">
        <v>45022</v>
      </c>
      <c r="E602" s="3">
        <v>0</v>
      </c>
      <c r="F602" s="3">
        <v>0</v>
      </c>
      <c r="G602" s="3">
        <v>0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0.02</v>
      </c>
      <c r="AA602" s="3">
        <v>0.02</v>
      </c>
      <c r="AB602" s="3">
        <v>0.02</v>
      </c>
      <c r="AC602" s="3">
        <v>0.02</v>
      </c>
      <c r="AD602" s="3">
        <v>0.02</v>
      </c>
      <c r="AE602" s="3">
        <v>0.02</v>
      </c>
      <c r="AF602" s="3">
        <v>0.02</v>
      </c>
      <c r="AG602" s="3">
        <v>0.02</v>
      </c>
      <c r="AH602" s="3">
        <v>0.02</v>
      </c>
      <c r="AI602" s="3">
        <v>0.02</v>
      </c>
      <c r="AJ602" s="3">
        <v>0.02</v>
      </c>
      <c r="AK602" s="3">
        <v>0.02</v>
      </c>
      <c r="AL602" s="3">
        <v>0.02</v>
      </c>
      <c r="AM602" s="3">
        <v>0.02</v>
      </c>
      <c r="AN602" s="3">
        <v>0.02</v>
      </c>
      <c r="AO602" s="3">
        <v>0.02</v>
      </c>
      <c r="AP602" s="3">
        <v>0.02</v>
      </c>
    </row>
    <row r="603" spans="1:42" hidden="1" x14ac:dyDescent="0.3">
      <c r="A603" s="5" t="s">
        <v>742</v>
      </c>
      <c r="B603" s="5" t="s">
        <v>31</v>
      </c>
      <c r="C603" s="22">
        <v>45022</v>
      </c>
      <c r="D603" s="22">
        <v>45026</v>
      </c>
      <c r="E603" s="3">
        <v>0</v>
      </c>
      <c r="F603" s="3">
        <v>0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0.02</v>
      </c>
      <c r="AA603" s="3">
        <v>0.02</v>
      </c>
      <c r="AB603" s="3">
        <v>0.02</v>
      </c>
      <c r="AC603" s="3">
        <v>0.02</v>
      </c>
      <c r="AD603" s="3">
        <v>0.02</v>
      </c>
      <c r="AE603" s="3">
        <v>0.02</v>
      </c>
      <c r="AF603" s="3">
        <v>0.02</v>
      </c>
      <c r="AG603" s="3">
        <v>0.02</v>
      </c>
      <c r="AH603" s="3">
        <v>0.02</v>
      </c>
      <c r="AI603" s="3">
        <v>0.02</v>
      </c>
      <c r="AJ603" s="3">
        <v>0.02</v>
      </c>
      <c r="AK603" s="3">
        <v>0.02</v>
      </c>
      <c r="AL603" s="3">
        <v>0.02</v>
      </c>
      <c r="AM603" s="3">
        <v>0.02</v>
      </c>
      <c r="AN603" s="3">
        <v>0.02</v>
      </c>
      <c r="AO603" s="3">
        <v>0.02</v>
      </c>
      <c r="AP603" s="3">
        <v>0.02</v>
      </c>
    </row>
    <row r="604" spans="1:42" hidden="1" x14ac:dyDescent="0.3">
      <c r="A604" s="5" t="s">
        <v>743</v>
      </c>
      <c r="B604" s="5" t="s">
        <v>31</v>
      </c>
      <c r="C604" s="22">
        <v>45026</v>
      </c>
      <c r="D604" s="22">
        <v>45028</v>
      </c>
      <c r="E604" s="3">
        <v>0</v>
      </c>
      <c r="F604" s="3">
        <v>0</v>
      </c>
      <c r="G604" s="3">
        <v>0</v>
      </c>
      <c r="H604" s="3">
        <v>0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0.02</v>
      </c>
      <c r="AA604" s="3">
        <v>0.02</v>
      </c>
      <c r="AB604" s="3">
        <v>0.02</v>
      </c>
      <c r="AC604" s="3">
        <v>0.02</v>
      </c>
      <c r="AD604" s="3">
        <v>0.02</v>
      </c>
      <c r="AE604" s="3">
        <v>0.02</v>
      </c>
      <c r="AF604" s="3">
        <v>0.02</v>
      </c>
      <c r="AG604" s="3">
        <v>0.02</v>
      </c>
      <c r="AH604" s="3">
        <v>0.02</v>
      </c>
      <c r="AI604" s="3">
        <v>0.02</v>
      </c>
      <c r="AJ604" s="3">
        <v>0.02</v>
      </c>
      <c r="AK604" s="3">
        <v>0.02</v>
      </c>
      <c r="AL604" s="3">
        <v>0.02</v>
      </c>
      <c r="AM604" s="3">
        <v>0.02</v>
      </c>
      <c r="AN604" s="3">
        <v>0.02</v>
      </c>
      <c r="AO604" s="3">
        <v>0.02</v>
      </c>
      <c r="AP604" s="3">
        <v>0.02</v>
      </c>
    </row>
    <row r="605" spans="1:42" hidden="1" x14ac:dyDescent="0.3">
      <c r="A605" s="5" t="s">
        <v>744</v>
      </c>
      <c r="B605" s="5" t="s">
        <v>31</v>
      </c>
      <c r="C605" s="22">
        <v>45028</v>
      </c>
      <c r="D605" s="22">
        <v>45030</v>
      </c>
      <c r="E605" s="3">
        <v>0</v>
      </c>
      <c r="F605" s="3">
        <v>0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0.02</v>
      </c>
      <c r="AA605" s="3">
        <v>0.02</v>
      </c>
      <c r="AB605" s="3">
        <v>0.02</v>
      </c>
      <c r="AC605" s="3">
        <v>0.02</v>
      </c>
      <c r="AD605" s="3">
        <v>0.02</v>
      </c>
      <c r="AE605" s="3">
        <v>0.02</v>
      </c>
      <c r="AF605" s="3">
        <v>0.02</v>
      </c>
      <c r="AG605" s="3">
        <v>0.02</v>
      </c>
      <c r="AH605" s="3">
        <v>0.02</v>
      </c>
      <c r="AI605" s="3">
        <v>0.02</v>
      </c>
      <c r="AJ605" s="3">
        <v>0.02</v>
      </c>
      <c r="AK605" s="3">
        <v>0.02</v>
      </c>
      <c r="AL605" s="3">
        <v>0.02</v>
      </c>
      <c r="AM605" s="3">
        <v>0.02</v>
      </c>
      <c r="AN605" s="3">
        <v>0.02</v>
      </c>
      <c r="AO605" s="3">
        <v>0.02</v>
      </c>
      <c r="AP605" s="3">
        <v>0.02</v>
      </c>
    </row>
    <row r="606" spans="1:42" hidden="1" x14ac:dyDescent="0.3">
      <c r="A606" s="5" t="s">
        <v>745</v>
      </c>
      <c r="B606" s="5" t="s">
        <v>12</v>
      </c>
      <c r="C606" s="22">
        <v>45034</v>
      </c>
      <c r="D606" s="22">
        <v>45037</v>
      </c>
      <c r="E606" s="3">
        <v>0</v>
      </c>
      <c r="F606" s="3">
        <v>0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0.02</v>
      </c>
      <c r="AA606" s="3">
        <v>0.02</v>
      </c>
      <c r="AB606" s="3">
        <v>0.02</v>
      </c>
      <c r="AC606" s="3">
        <v>0.02</v>
      </c>
      <c r="AD606" s="3">
        <v>0.02</v>
      </c>
      <c r="AE606" s="3">
        <v>0.02</v>
      </c>
      <c r="AF606" s="3">
        <v>0.02</v>
      </c>
      <c r="AG606" s="3">
        <v>0.02</v>
      </c>
      <c r="AH606" s="3">
        <v>0.02</v>
      </c>
      <c r="AI606" s="3">
        <v>0.02</v>
      </c>
      <c r="AJ606" s="3">
        <v>0.02</v>
      </c>
      <c r="AK606" s="3">
        <v>0.02</v>
      </c>
      <c r="AL606" s="3">
        <v>0.02</v>
      </c>
      <c r="AM606" s="3">
        <v>0.02</v>
      </c>
      <c r="AN606" s="3">
        <v>0.02</v>
      </c>
      <c r="AO606" s="3">
        <v>0.02</v>
      </c>
      <c r="AP606" s="3">
        <v>0.02</v>
      </c>
    </row>
    <row r="607" spans="1:42" hidden="1" x14ac:dyDescent="0.3">
      <c r="A607" s="15" t="s">
        <v>746</v>
      </c>
      <c r="B607" s="15" t="s">
        <v>90</v>
      </c>
      <c r="C607" s="20">
        <v>45034</v>
      </c>
      <c r="D607" s="20">
        <v>45071</v>
      </c>
      <c r="E607" s="8">
        <v>0</v>
      </c>
      <c r="F607" s="8">
        <v>0</v>
      </c>
      <c r="G607" s="8">
        <v>0</v>
      </c>
      <c r="H607" s="8">
        <v>0</v>
      </c>
      <c r="I607" s="8">
        <v>0</v>
      </c>
      <c r="J607" s="8">
        <v>0</v>
      </c>
      <c r="K607" s="8">
        <v>0</v>
      </c>
      <c r="L607" s="8">
        <v>0</v>
      </c>
      <c r="M607" s="8">
        <v>0</v>
      </c>
      <c r="N607" s="8">
        <v>0</v>
      </c>
      <c r="O607" s="8">
        <v>0</v>
      </c>
      <c r="P607" s="8">
        <v>0</v>
      </c>
      <c r="Q607" s="8">
        <v>0</v>
      </c>
      <c r="R607" s="8">
        <v>0</v>
      </c>
      <c r="S607" s="8">
        <v>0</v>
      </c>
      <c r="T607" s="8">
        <v>0</v>
      </c>
      <c r="U607" s="8">
        <v>0</v>
      </c>
      <c r="V607" s="8">
        <v>0</v>
      </c>
      <c r="W607" s="8">
        <v>0</v>
      </c>
      <c r="X607" s="8">
        <v>0</v>
      </c>
      <c r="Y607" s="8">
        <v>0</v>
      </c>
      <c r="Z607" s="8">
        <v>0.08</v>
      </c>
      <c r="AA607" s="8">
        <v>0.47</v>
      </c>
      <c r="AB607" s="8">
        <v>0.47</v>
      </c>
      <c r="AC607" s="8">
        <v>0.47</v>
      </c>
      <c r="AD607" s="8">
        <v>0.47</v>
      </c>
      <c r="AE607" s="8">
        <v>0.47</v>
      </c>
      <c r="AF607" s="8">
        <v>0.47</v>
      </c>
      <c r="AG607" s="8">
        <v>0.47</v>
      </c>
      <c r="AH607" s="8">
        <v>0.47</v>
      </c>
      <c r="AI607" s="8">
        <v>0.47</v>
      </c>
      <c r="AJ607" s="8">
        <v>0.47</v>
      </c>
      <c r="AK607" s="8">
        <v>0.47</v>
      </c>
      <c r="AL607" s="8">
        <v>0.47</v>
      </c>
      <c r="AM607" s="8">
        <v>0.47</v>
      </c>
      <c r="AN607" s="8">
        <v>0.47</v>
      </c>
      <c r="AO607" s="8">
        <v>0.47</v>
      </c>
      <c r="AP607" s="8">
        <v>0.47</v>
      </c>
    </row>
    <row r="608" spans="1:42" hidden="1" x14ac:dyDescent="0.3">
      <c r="A608" s="5" t="s">
        <v>747</v>
      </c>
      <c r="B608" s="5" t="s">
        <v>12</v>
      </c>
      <c r="C608" s="22">
        <v>45068</v>
      </c>
      <c r="D608" s="22">
        <v>45071</v>
      </c>
      <c r="E608" s="3">
        <v>0</v>
      </c>
      <c r="F608" s="3">
        <v>0</v>
      </c>
      <c r="G608" s="3">
        <v>0</v>
      </c>
      <c r="H608" s="3">
        <v>0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0.24</v>
      </c>
      <c r="AB608" s="3">
        <v>0.24</v>
      </c>
      <c r="AC608" s="3">
        <v>0.24</v>
      </c>
      <c r="AD608" s="3">
        <v>0.24</v>
      </c>
      <c r="AE608" s="3">
        <v>0.24</v>
      </c>
      <c r="AF608" s="3">
        <v>0.24</v>
      </c>
      <c r="AG608" s="3">
        <v>0.24</v>
      </c>
      <c r="AH608" s="3">
        <v>0.24</v>
      </c>
      <c r="AI608" s="3">
        <v>0.24</v>
      </c>
      <c r="AJ608" s="3">
        <v>0.24</v>
      </c>
      <c r="AK608" s="3">
        <v>0.24</v>
      </c>
      <c r="AL608" s="3">
        <v>0.24</v>
      </c>
      <c r="AM608" s="3">
        <v>0.24</v>
      </c>
      <c r="AN608" s="3">
        <v>0.24</v>
      </c>
      <c r="AO608" s="3">
        <v>0.24</v>
      </c>
      <c r="AP608" s="3">
        <v>0.24</v>
      </c>
    </row>
    <row r="609" spans="1:42" hidden="1" x14ac:dyDescent="0.3">
      <c r="A609" s="5" t="s">
        <v>748</v>
      </c>
      <c r="B609" s="5" t="s">
        <v>12</v>
      </c>
      <c r="C609" s="22">
        <v>45063</v>
      </c>
      <c r="D609" s="22">
        <v>45068</v>
      </c>
      <c r="E609" s="3">
        <v>0</v>
      </c>
      <c r="F609" s="3">
        <v>0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0.03</v>
      </c>
      <c r="AB609" s="3">
        <v>0.03</v>
      </c>
      <c r="AC609" s="3">
        <v>0.03</v>
      </c>
      <c r="AD609" s="3">
        <v>0.03</v>
      </c>
      <c r="AE609" s="3">
        <v>0.03</v>
      </c>
      <c r="AF609" s="3">
        <v>0.03</v>
      </c>
      <c r="AG609" s="3">
        <v>0.03</v>
      </c>
      <c r="AH609" s="3">
        <v>0.03</v>
      </c>
      <c r="AI609" s="3">
        <v>0.03</v>
      </c>
      <c r="AJ609" s="3">
        <v>0.03</v>
      </c>
      <c r="AK609" s="3">
        <v>0.03</v>
      </c>
      <c r="AL609" s="3">
        <v>0.03</v>
      </c>
      <c r="AM609" s="3">
        <v>0.03</v>
      </c>
      <c r="AN609" s="3">
        <v>0.03</v>
      </c>
      <c r="AO609" s="3">
        <v>0.03</v>
      </c>
      <c r="AP609" s="3">
        <v>0.03</v>
      </c>
    </row>
    <row r="610" spans="1:42" hidden="1" x14ac:dyDescent="0.3">
      <c r="A610" s="5" t="s">
        <v>749</v>
      </c>
      <c r="B610" s="5" t="s">
        <v>12</v>
      </c>
      <c r="C610" s="22">
        <v>45058</v>
      </c>
      <c r="D610" s="22">
        <v>45063</v>
      </c>
      <c r="E610" s="3">
        <v>0</v>
      </c>
      <c r="F610" s="3">
        <v>0</v>
      </c>
      <c r="G610" s="3">
        <v>0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0.03</v>
      </c>
      <c r="AB610" s="3">
        <v>0.03</v>
      </c>
      <c r="AC610" s="3">
        <v>0.03</v>
      </c>
      <c r="AD610" s="3">
        <v>0.03</v>
      </c>
      <c r="AE610" s="3">
        <v>0.03</v>
      </c>
      <c r="AF610" s="3">
        <v>0.03</v>
      </c>
      <c r="AG610" s="3">
        <v>0.03</v>
      </c>
      <c r="AH610" s="3">
        <v>0.03</v>
      </c>
      <c r="AI610" s="3">
        <v>0.03</v>
      </c>
      <c r="AJ610" s="3">
        <v>0.03</v>
      </c>
      <c r="AK610" s="3">
        <v>0.03</v>
      </c>
      <c r="AL610" s="3">
        <v>0.03</v>
      </c>
      <c r="AM610" s="3">
        <v>0.03</v>
      </c>
      <c r="AN610" s="3">
        <v>0.03</v>
      </c>
      <c r="AO610" s="3">
        <v>0.03</v>
      </c>
      <c r="AP610" s="3">
        <v>0.03</v>
      </c>
    </row>
    <row r="611" spans="1:42" hidden="1" x14ac:dyDescent="0.3">
      <c r="A611" s="5" t="s">
        <v>750</v>
      </c>
      <c r="B611" s="5" t="s">
        <v>12</v>
      </c>
      <c r="C611" s="22">
        <v>45055</v>
      </c>
      <c r="D611" s="22">
        <v>45058</v>
      </c>
      <c r="E611" s="3">
        <v>0</v>
      </c>
      <c r="F611" s="3">
        <v>0</v>
      </c>
      <c r="G611" s="3">
        <v>0</v>
      </c>
      <c r="H611" s="3">
        <v>0</v>
      </c>
      <c r="I611" s="3">
        <v>0</v>
      </c>
      <c r="J611" s="3">
        <v>0</v>
      </c>
      <c r="K611" s="3">
        <v>0</v>
      </c>
      <c r="L611" s="3">
        <v>0</v>
      </c>
      <c r="M611" s="3">
        <v>0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0.03</v>
      </c>
      <c r="AB611" s="3">
        <v>0.03</v>
      </c>
      <c r="AC611" s="3">
        <v>0.03</v>
      </c>
      <c r="AD611" s="3">
        <v>0.03</v>
      </c>
      <c r="AE611" s="3">
        <v>0.03</v>
      </c>
      <c r="AF611" s="3">
        <v>0.03</v>
      </c>
      <c r="AG611" s="3">
        <v>0.03</v>
      </c>
      <c r="AH611" s="3">
        <v>0.03</v>
      </c>
      <c r="AI611" s="3">
        <v>0.03</v>
      </c>
      <c r="AJ611" s="3">
        <v>0.03</v>
      </c>
      <c r="AK611" s="3">
        <v>0.03</v>
      </c>
      <c r="AL611" s="3">
        <v>0.03</v>
      </c>
      <c r="AM611" s="3">
        <v>0.03</v>
      </c>
      <c r="AN611" s="3">
        <v>0.03</v>
      </c>
      <c r="AO611" s="3">
        <v>0.03</v>
      </c>
      <c r="AP611" s="3">
        <v>0.03</v>
      </c>
    </row>
    <row r="612" spans="1:42" hidden="1" x14ac:dyDescent="0.3">
      <c r="A612" s="5" t="s">
        <v>751</v>
      </c>
      <c r="B612" s="5" t="s">
        <v>12</v>
      </c>
      <c r="C612" s="22">
        <v>45050</v>
      </c>
      <c r="D612" s="22">
        <v>45055</v>
      </c>
      <c r="E612" s="3">
        <v>0</v>
      </c>
      <c r="F612" s="3">
        <v>0</v>
      </c>
      <c r="G612" s="3">
        <v>0</v>
      </c>
      <c r="H612" s="3">
        <v>0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0.03</v>
      </c>
      <c r="AB612" s="3">
        <v>0.03</v>
      </c>
      <c r="AC612" s="3">
        <v>0.03</v>
      </c>
      <c r="AD612" s="3">
        <v>0.03</v>
      </c>
      <c r="AE612" s="3">
        <v>0.03</v>
      </c>
      <c r="AF612" s="3">
        <v>0.03</v>
      </c>
      <c r="AG612" s="3">
        <v>0.03</v>
      </c>
      <c r="AH612" s="3">
        <v>0.03</v>
      </c>
      <c r="AI612" s="3">
        <v>0.03</v>
      </c>
      <c r="AJ612" s="3">
        <v>0.03</v>
      </c>
      <c r="AK612" s="3">
        <v>0.03</v>
      </c>
      <c r="AL612" s="3">
        <v>0.03</v>
      </c>
      <c r="AM612" s="3">
        <v>0.03</v>
      </c>
      <c r="AN612" s="3">
        <v>0.03</v>
      </c>
      <c r="AO612" s="3">
        <v>0.03</v>
      </c>
      <c r="AP612" s="3">
        <v>0.03</v>
      </c>
    </row>
    <row r="613" spans="1:42" hidden="1" x14ac:dyDescent="0.3">
      <c r="A613" s="5" t="s">
        <v>752</v>
      </c>
      <c r="B613" s="5" t="s">
        <v>12</v>
      </c>
      <c r="C613" s="22">
        <v>45047</v>
      </c>
      <c r="D613" s="22">
        <v>45050</v>
      </c>
      <c r="E613" s="3">
        <v>0</v>
      </c>
      <c r="F613" s="3">
        <v>0</v>
      </c>
      <c r="G613" s="3">
        <v>0</v>
      </c>
      <c r="H613" s="3">
        <v>0</v>
      </c>
      <c r="I613" s="3">
        <v>0</v>
      </c>
      <c r="J613" s="3">
        <v>0</v>
      </c>
      <c r="K613" s="3">
        <v>0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0.03</v>
      </c>
      <c r="AB613" s="3">
        <v>0.03</v>
      </c>
      <c r="AC613" s="3">
        <v>0.03</v>
      </c>
      <c r="AD613" s="3">
        <v>0.03</v>
      </c>
      <c r="AE613" s="3">
        <v>0.03</v>
      </c>
      <c r="AF613" s="3">
        <v>0.03</v>
      </c>
      <c r="AG613" s="3">
        <v>0.03</v>
      </c>
      <c r="AH613" s="3">
        <v>0.03</v>
      </c>
      <c r="AI613" s="3">
        <v>0.03</v>
      </c>
      <c r="AJ613" s="3">
        <v>0.03</v>
      </c>
      <c r="AK613" s="3">
        <v>0.03</v>
      </c>
      <c r="AL613" s="3">
        <v>0.03</v>
      </c>
      <c r="AM613" s="3">
        <v>0.03</v>
      </c>
      <c r="AN613" s="3">
        <v>0.03</v>
      </c>
      <c r="AO613" s="3">
        <v>0.03</v>
      </c>
      <c r="AP613" s="3">
        <v>0.03</v>
      </c>
    </row>
    <row r="614" spans="1:42" hidden="1" x14ac:dyDescent="0.3">
      <c r="A614" s="5" t="s">
        <v>753</v>
      </c>
      <c r="B614" s="5" t="s">
        <v>12</v>
      </c>
      <c r="C614" s="22">
        <v>45042</v>
      </c>
      <c r="D614" s="22">
        <v>45047</v>
      </c>
      <c r="E614" s="3">
        <v>0</v>
      </c>
      <c r="F614" s="3">
        <v>0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0.03</v>
      </c>
      <c r="AA614" s="3">
        <v>0.03</v>
      </c>
      <c r="AB614" s="3">
        <v>0.03</v>
      </c>
      <c r="AC614" s="3">
        <v>0.03</v>
      </c>
      <c r="AD614" s="3">
        <v>0.03</v>
      </c>
      <c r="AE614" s="3">
        <v>0.03</v>
      </c>
      <c r="AF614" s="3">
        <v>0.03</v>
      </c>
      <c r="AG614" s="3">
        <v>0.03</v>
      </c>
      <c r="AH614" s="3">
        <v>0.03</v>
      </c>
      <c r="AI614" s="3">
        <v>0.03</v>
      </c>
      <c r="AJ614" s="3">
        <v>0.03</v>
      </c>
      <c r="AK614" s="3">
        <v>0.03</v>
      </c>
      <c r="AL614" s="3">
        <v>0.03</v>
      </c>
      <c r="AM614" s="3">
        <v>0.03</v>
      </c>
      <c r="AN614" s="3">
        <v>0.03</v>
      </c>
      <c r="AO614" s="3">
        <v>0.03</v>
      </c>
      <c r="AP614" s="3">
        <v>0.03</v>
      </c>
    </row>
    <row r="615" spans="1:42" hidden="1" x14ac:dyDescent="0.3">
      <c r="A615" s="5" t="s">
        <v>754</v>
      </c>
      <c r="B615" s="5" t="s">
        <v>12</v>
      </c>
      <c r="C615" s="22">
        <v>45037</v>
      </c>
      <c r="D615" s="22">
        <v>45042</v>
      </c>
      <c r="E615" s="3">
        <v>0</v>
      </c>
      <c r="F615" s="3">
        <v>0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0.03</v>
      </c>
      <c r="AA615" s="3">
        <v>0.03</v>
      </c>
      <c r="AB615" s="3">
        <v>0.03</v>
      </c>
      <c r="AC615" s="3">
        <v>0.03</v>
      </c>
      <c r="AD615" s="3">
        <v>0.03</v>
      </c>
      <c r="AE615" s="3">
        <v>0.03</v>
      </c>
      <c r="AF615" s="3">
        <v>0.03</v>
      </c>
      <c r="AG615" s="3">
        <v>0.03</v>
      </c>
      <c r="AH615" s="3">
        <v>0.03</v>
      </c>
      <c r="AI615" s="3">
        <v>0.03</v>
      </c>
      <c r="AJ615" s="3">
        <v>0.03</v>
      </c>
      <c r="AK615" s="3">
        <v>0.03</v>
      </c>
      <c r="AL615" s="3">
        <v>0.03</v>
      </c>
      <c r="AM615" s="3">
        <v>0.03</v>
      </c>
      <c r="AN615" s="3">
        <v>0.03</v>
      </c>
      <c r="AO615" s="3">
        <v>0.03</v>
      </c>
      <c r="AP615" s="3">
        <v>0.03</v>
      </c>
    </row>
    <row r="616" spans="1:42" hidden="1" x14ac:dyDescent="0.3">
      <c r="A616" s="5" t="s">
        <v>755</v>
      </c>
      <c r="B616" s="5" t="s">
        <v>12</v>
      </c>
      <c r="C616" s="22">
        <v>45034</v>
      </c>
      <c r="D616" s="22">
        <v>45037</v>
      </c>
      <c r="E616" s="3">
        <v>0</v>
      </c>
      <c r="F616" s="3">
        <v>0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0.03</v>
      </c>
      <c r="AA616" s="3">
        <v>0.03</v>
      </c>
      <c r="AB616" s="3">
        <v>0.03</v>
      </c>
      <c r="AC616" s="3">
        <v>0.03</v>
      </c>
      <c r="AD616" s="3">
        <v>0.03</v>
      </c>
      <c r="AE616" s="3">
        <v>0.03</v>
      </c>
      <c r="AF616" s="3">
        <v>0.03</v>
      </c>
      <c r="AG616" s="3">
        <v>0.03</v>
      </c>
      <c r="AH616" s="3">
        <v>0.03</v>
      </c>
      <c r="AI616" s="3">
        <v>0.03</v>
      </c>
      <c r="AJ616" s="3">
        <v>0.03</v>
      </c>
      <c r="AK616" s="3">
        <v>0.03</v>
      </c>
      <c r="AL616" s="3">
        <v>0.03</v>
      </c>
      <c r="AM616" s="3">
        <v>0.03</v>
      </c>
      <c r="AN616" s="3">
        <v>0.03</v>
      </c>
      <c r="AO616" s="3">
        <v>0.03</v>
      </c>
      <c r="AP616" s="3">
        <v>0.03</v>
      </c>
    </row>
    <row r="617" spans="1:42" hidden="1" x14ac:dyDescent="0.3">
      <c r="A617" s="15" t="s">
        <v>756</v>
      </c>
      <c r="B617" s="15" t="s">
        <v>91</v>
      </c>
      <c r="C617" s="20">
        <v>44960</v>
      </c>
      <c r="D617" s="20">
        <v>44998</v>
      </c>
      <c r="E617" s="8">
        <v>0</v>
      </c>
      <c r="F617" s="8">
        <v>0</v>
      </c>
      <c r="G617" s="8">
        <v>0</v>
      </c>
      <c r="H617" s="8">
        <v>0</v>
      </c>
      <c r="I617" s="8">
        <v>0</v>
      </c>
      <c r="J617" s="8">
        <v>0</v>
      </c>
      <c r="K617" s="8">
        <v>0</v>
      </c>
      <c r="L617" s="8">
        <v>0</v>
      </c>
      <c r="M617" s="8">
        <v>0</v>
      </c>
      <c r="N617" s="8">
        <v>0</v>
      </c>
      <c r="O617" s="8">
        <v>0</v>
      </c>
      <c r="P617" s="8">
        <v>0</v>
      </c>
      <c r="Q617" s="8">
        <v>0</v>
      </c>
      <c r="R617" s="8">
        <v>0</v>
      </c>
      <c r="S617" s="8">
        <v>0</v>
      </c>
      <c r="T617" s="8">
        <v>0</v>
      </c>
      <c r="U617" s="8">
        <v>0</v>
      </c>
      <c r="V617" s="8">
        <v>0</v>
      </c>
      <c r="W617" s="8">
        <v>0</v>
      </c>
      <c r="X617" s="8">
        <v>0.38</v>
      </c>
      <c r="Y617" s="8">
        <v>0.47</v>
      </c>
      <c r="Z617" s="8">
        <v>0.47</v>
      </c>
      <c r="AA617" s="8">
        <v>0.47</v>
      </c>
      <c r="AB617" s="8">
        <v>0.47</v>
      </c>
      <c r="AC617" s="8">
        <v>0.47</v>
      </c>
      <c r="AD617" s="8">
        <v>0.47</v>
      </c>
      <c r="AE617" s="8">
        <v>0.47</v>
      </c>
      <c r="AF617" s="8">
        <v>0.47</v>
      </c>
      <c r="AG617" s="8">
        <v>0.47</v>
      </c>
      <c r="AH617" s="8">
        <v>0.47</v>
      </c>
      <c r="AI617" s="8">
        <v>0.47</v>
      </c>
      <c r="AJ617" s="8">
        <v>0.47</v>
      </c>
      <c r="AK617" s="8">
        <v>0.47</v>
      </c>
      <c r="AL617" s="8">
        <v>0.47</v>
      </c>
      <c r="AM617" s="8">
        <v>0.47</v>
      </c>
      <c r="AN617" s="8">
        <v>0.47</v>
      </c>
      <c r="AO617" s="8">
        <v>0.47</v>
      </c>
      <c r="AP617" s="8">
        <v>0.47</v>
      </c>
    </row>
    <row r="618" spans="1:42" hidden="1" x14ac:dyDescent="0.3">
      <c r="A618" s="5" t="s">
        <v>757</v>
      </c>
      <c r="B618" s="5" t="s">
        <v>12</v>
      </c>
      <c r="C618" s="22">
        <v>44960</v>
      </c>
      <c r="D618" s="22">
        <v>44964</v>
      </c>
      <c r="E618" s="3">
        <v>0</v>
      </c>
      <c r="F618" s="3">
        <v>0</v>
      </c>
      <c r="G618" s="3">
        <v>0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0.24</v>
      </c>
      <c r="Y618" s="3">
        <v>0.24</v>
      </c>
      <c r="Z618" s="3">
        <v>0.24</v>
      </c>
      <c r="AA618" s="3">
        <v>0.24</v>
      </c>
      <c r="AB618" s="3">
        <v>0.24</v>
      </c>
      <c r="AC618" s="3">
        <v>0.24</v>
      </c>
      <c r="AD618" s="3">
        <v>0.24</v>
      </c>
      <c r="AE618" s="3">
        <v>0.24</v>
      </c>
      <c r="AF618" s="3">
        <v>0.24</v>
      </c>
      <c r="AG618" s="3">
        <v>0.24</v>
      </c>
      <c r="AH618" s="3">
        <v>0.24</v>
      </c>
      <c r="AI618" s="3">
        <v>0.24</v>
      </c>
      <c r="AJ618" s="3">
        <v>0.24</v>
      </c>
      <c r="AK618" s="3">
        <v>0.24</v>
      </c>
      <c r="AL618" s="3">
        <v>0.24</v>
      </c>
      <c r="AM618" s="3">
        <v>0.24</v>
      </c>
      <c r="AN618" s="3">
        <v>0.24</v>
      </c>
      <c r="AO618" s="3">
        <v>0.24</v>
      </c>
      <c r="AP618" s="3">
        <v>0.24</v>
      </c>
    </row>
    <row r="619" spans="1:42" hidden="1" x14ac:dyDescent="0.3">
      <c r="A619" s="5" t="s">
        <v>758</v>
      </c>
      <c r="B619" s="5" t="s">
        <v>12</v>
      </c>
      <c r="C619" s="22">
        <v>44965</v>
      </c>
      <c r="D619" s="22">
        <v>44967</v>
      </c>
      <c r="E619" s="3">
        <v>0</v>
      </c>
      <c r="F619" s="3">
        <v>0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0.03</v>
      </c>
      <c r="Y619" s="3">
        <v>0.03</v>
      </c>
      <c r="Z619" s="3">
        <v>0.03</v>
      </c>
      <c r="AA619" s="3">
        <v>0.03</v>
      </c>
      <c r="AB619" s="3">
        <v>0.03</v>
      </c>
      <c r="AC619" s="3">
        <v>0.03</v>
      </c>
      <c r="AD619" s="3">
        <v>0.03</v>
      </c>
      <c r="AE619" s="3">
        <v>0.03</v>
      </c>
      <c r="AF619" s="3">
        <v>0.03</v>
      </c>
      <c r="AG619" s="3">
        <v>0.03</v>
      </c>
      <c r="AH619" s="3">
        <v>0.03</v>
      </c>
      <c r="AI619" s="3">
        <v>0.03</v>
      </c>
      <c r="AJ619" s="3">
        <v>0.03</v>
      </c>
      <c r="AK619" s="3">
        <v>0.03</v>
      </c>
      <c r="AL619" s="3">
        <v>0.03</v>
      </c>
      <c r="AM619" s="3">
        <v>0.03</v>
      </c>
      <c r="AN619" s="3">
        <v>0.03</v>
      </c>
      <c r="AO619" s="3">
        <v>0.03</v>
      </c>
      <c r="AP619" s="3">
        <v>0.03</v>
      </c>
    </row>
    <row r="620" spans="1:42" hidden="1" x14ac:dyDescent="0.3">
      <c r="A620" s="5" t="s">
        <v>759</v>
      </c>
      <c r="B620" s="5" t="s">
        <v>12</v>
      </c>
      <c r="C620" s="22">
        <v>44970</v>
      </c>
      <c r="D620" s="22">
        <v>44972</v>
      </c>
      <c r="E620" s="3">
        <v>0</v>
      </c>
      <c r="F620" s="3">
        <v>0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0.03</v>
      </c>
      <c r="Y620" s="3">
        <v>0.03</v>
      </c>
      <c r="Z620" s="3">
        <v>0.03</v>
      </c>
      <c r="AA620" s="3">
        <v>0.03</v>
      </c>
      <c r="AB620" s="3">
        <v>0.03</v>
      </c>
      <c r="AC620" s="3">
        <v>0.03</v>
      </c>
      <c r="AD620" s="3">
        <v>0.03</v>
      </c>
      <c r="AE620" s="3">
        <v>0.03</v>
      </c>
      <c r="AF620" s="3">
        <v>0.03</v>
      </c>
      <c r="AG620" s="3">
        <v>0.03</v>
      </c>
      <c r="AH620" s="3">
        <v>0.03</v>
      </c>
      <c r="AI620" s="3">
        <v>0.03</v>
      </c>
      <c r="AJ620" s="3">
        <v>0.03</v>
      </c>
      <c r="AK620" s="3">
        <v>0.03</v>
      </c>
      <c r="AL620" s="3">
        <v>0.03</v>
      </c>
      <c r="AM620" s="3">
        <v>0.03</v>
      </c>
      <c r="AN620" s="3">
        <v>0.03</v>
      </c>
      <c r="AO620" s="3">
        <v>0.03</v>
      </c>
      <c r="AP620" s="3">
        <v>0.03</v>
      </c>
    </row>
    <row r="621" spans="1:42" hidden="1" x14ac:dyDescent="0.3">
      <c r="A621" s="5" t="s">
        <v>760</v>
      </c>
      <c r="B621" s="5" t="s">
        <v>12</v>
      </c>
      <c r="C621" s="22">
        <v>44973</v>
      </c>
      <c r="D621" s="22">
        <v>44977</v>
      </c>
      <c r="E621" s="3">
        <v>0</v>
      </c>
      <c r="F621" s="3">
        <v>0</v>
      </c>
      <c r="G621" s="3">
        <v>0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0.03</v>
      </c>
      <c r="Y621" s="3">
        <v>0.03</v>
      </c>
      <c r="Z621" s="3">
        <v>0.03</v>
      </c>
      <c r="AA621" s="3">
        <v>0.03</v>
      </c>
      <c r="AB621" s="3">
        <v>0.03</v>
      </c>
      <c r="AC621" s="3">
        <v>0.03</v>
      </c>
      <c r="AD621" s="3">
        <v>0.03</v>
      </c>
      <c r="AE621" s="3">
        <v>0.03</v>
      </c>
      <c r="AF621" s="3">
        <v>0.03</v>
      </c>
      <c r="AG621" s="3">
        <v>0.03</v>
      </c>
      <c r="AH621" s="3">
        <v>0.03</v>
      </c>
      <c r="AI621" s="3">
        <v>0.03</v>
      </c>
      <c r="AJ621" s="3">
        <v>0.03</v>
      </c>
      <c r="AK621" s="3">
        <v>0.03</v>
      </c>
      <c r="AL621" s="3">
        <v>0.03</v>
      </c>
      <c r="AM621" s="3">
        <v>0.03</v>
      </c>
      <c r="AN621" s="3">
        <v>0.03</v>
      </c>
      <c r="AO621" s="3">
        <v>0.03</v>
      </c>
      <c r="AP621" s="3">
        <v>0.03</v>
      </c>
    </row>
    <row r="622" spans="1:42" hidden="1" x14ac:dyDescent="0.3">
      <c r="A622" s="5" t="s">
        <v>761</v>
      </c>
      <c r="B622" s="5" t="s">
        <v>12</v>
      </c>
      <c r="C622" s="22">
        <v>44978</v>
      </c>
      <c r="D622" s="22">
        <v>44980</v>
      </c>
      <c r="E622" s="3">
        <v>0</v>
      </c>
      <c r="F622" s="3">
        <v>0</v>
      </c>
      <c r="G622" s="3">
        <v>0</v>
      </c>
      <c r="H622" s="3">
        <v>0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0.03</v>
      </c>
      <c r="Y622" s="3">
        <v>0.03</v>
      </c>
      <c r="Z622" s="3">
        <v>0.03</v>
      </c>
      <c r="AA622" s="3">
        <v>0.03</v>
      </c>
      <c r="AB622" s="3">
        <v>0.03</v>
      </c>
      <c r="AC622" s="3">
        <v>0.03</v>
      </c>
      <c r="AD622" s="3">
        <v>0.03</v>
      </c>
      <c r="AE622" s="3">
        <v>0.03</v>
      </c>
      <c r="AF622" s="3">
        <v>0.03</v>
      </c>
      <c r="AG622" s="3">
        <v>0.03</v>
      </c>
      <c r="AH622" s="3">
        <v>0.03</v>
      </c>
      <c r="AI622" s="3">
        <v>0.03</v>
      </c>
      <c r="AJ622" s="3">
        <v>0.03</v>
      </c>
      <c r="AK622" s="3">
        <v>0.03</v>
      </c>
      <c r="AL622" s="3">
        <v>0.03</v>
      </c>
      <c r="AM622" s="3">
        <v>0.03</v>
      </c>
      <c r="AN622" s="3">
        <v>0.03</v>
      </c>
      <c r="AO622" s="3">
        <v>0.03</v>
      </c>
      <c r="AP622" s="3">
        <v>0.03</v>
      </c>
    </row>
    <row r="623" spans="1:42" hidden="1" x14ac:dyDescent="0.3">
      <c r="A623" s="5" t="s">
        <v>762</v>
      </c>
      <c r="B623" s="5" t="s">
        <v>12</v>
      </c>
      <c r="C623" s="22">
        <v>44981</v>
      </c>
      <c r="D623" s="22">
        <v>44985</v>
      </c>
      <c r="E623" s="3">
        <v>0</v>
      </c>
      <c r="F623" s="3">
        <v>0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0.03</v>
      </c>
      <c r="Y623" s="3">
        <v>0.03</v>
      </c>
      <c r="Z623" s="3">
        <v>0.03</v>
      </c>
      <c r="AA623" s="3">
        <v>0.03</v>
      </c>
      <c r="AB623" s="3">
        <v>0.03</v>
      </c>
      <c r="AC623" s="3">
        <v>0.03</v>
      </c>
      <c r="AD623" s="3">
        <v>0.03</v>
      </c>
      <c r="AE623" s="3">
        <v>0.03</v>
      </c>
      <c r="AF623" s="3">
        <v>0.03</v>
      </c>
      <c r="AG623" s="3">
        <v>0.03</v>
      </c>
      <c r="AH623" s="3">
        <v>0.03</v>
      </c>
      <c r="AI623" s="3">
        <v>0.03</v>
      </c>
      <c r="AJ623" s="3">
        <v>0.03</v>
      </c>
      <c r="AK623" s="3">
        <v>0.03</v>
      </c>
      <c r="AL623" s="3">
        <v>0.03</v>
      </c>
      <c r="AM623" s="3">
        <v>0.03</v>
      </c>
      <c r="AN623" s="3">
        <v>0.03</v>
      </c>
      <c r="AO623" s="3">
        <v>0.03</v>
      </c>
      <c r="AP623" s="3">
        <v>0.03</v>
      </c>
    </row>
    <row r="624" spans="1:42" hidden="1" x14ac:dyDescent="0.3">
      <c r="A624" s="5" t="s">
        <v>763</v>
      </c>
      <c r="B624" s="5" t="s">
        <v>12</v>
      </c>
      <c r="C624" s="22">
        <v>44986</v>
      </c>
      <c r="D624" s="22">
        <v>44988</v>
      </c>
      <c r="E624" s="3">
        <v>0</v>
      </c>
      <c r="F624" s="3">
        <v>0</v>
      </c>
      <c r="G624" s="3">
        <v>0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0.03</v>
      </c>
      <c r="Z624" s="3">
        <v>0.03</v>
      </c>
      <c r="AA624" s="3">
        <v>0.03</v>
      </c>
      <c r="AB624" s="3">
        <v>0.03</v>
      </c>
      <c r="AC624" s="3">
        <v>0.03</v>
      </c>
      <c r="AD624" s="3">
        <v>0.03</v>
      </c>
      <c r="AE624" s="3">
        <v>0.03</v>
      </c>
      <c r="AF624" s="3">
        <v>0.03</v>
      </c>
      <c r="AG624" s="3">
        <v>0.03</v>
      </c>
      <c r="AH624" s="3">
        <v>0.03</v>
      </c>
      <c r="AI624" s="3">
        <v>0.03</v>
      </c>
      <c r="AJ624" s="3">
        <v>0.03</v>
      </c>
      <c r="AK624" s="3">
        <v>0.03</v>
      </c>
      <c r="AL624" s="3">
        <v>0.03</v>
      </c>
      <c r="AM624" s="3">
        <v>0.03</v>
      </c>
      <c r="AN624" s="3">
        <v>0.03</v>
      </c>
      <c r="AO624" s="3">
        <v>0.03</v>
      </c>
      <c r="AP624" s="3">
        <v>0.03</v>
      </c>
    </row>
    <row r="625" spans="1:42" hidden="1" x14ac:dyDescent="0.3">
      <c r="A625" s="5" t="s">
        <v>764</v>
      </c>
      <c r="B625" s="5" t="s">
        <v>12</v>
      </c>
      <c r="C625" s="22">
        <v>44991</v>
      </c>
      <c r="D625" s="22">
        <v>44993</v>
      </c>
      <c r="E625" s="3">
        <v>0</v>
      </c>
      <c r="F625" s="3">
        <v>0</v>
      </c>
      <c r="G625" s="3">
        <v>0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0.03</v>
      </c>
      <c r="Z625" s="3">
        <v>0.03</v>
      </c>
      <c r="AA625" s="3">
        <v>0.03</v>
      </c>
      <c r="AB625" s="3">
        <v>0.03</v>
      </c>
      <c r="AC625" s="3">
        <v>0.03</v>
      </c>
      <c r="AD625" s="3">
        <v>0.03</v>
      </c>
      <c r="AE625" s="3">
        <v>0.03</v>
      </c>
      <c r="AF625" s="3">
        <v>0.03</v>
      </c>
      <c r="AG625" s="3">
        <v>0.03</v>
      </c>
      <c r="AH625" s="3">
        <v>0.03</v>
      </c>
      <c r="AI625" s="3">
        <v>0.03</v>
      </c>
      <c r="AJ625" s="3">
        <v>0.03</v>
      </c>
      <c r="AK625" s="3">
        <v>0.03</v>
      </c>
      <c r="AL625" s="3">
        <v>0.03</v>
      </c>
      <c r="AM625" s="3">
        <v>0.03</v>
      </c>
      <c r="AN625" s="3">
        <v>0.03</v>
      </c>
      <c r="AO625" s="3">
        <v>0.03</v>
      </c>
      <c r="AP625" s="3">
        <v>0.03</v>
      </c>
    </row>
    <row r="626" spans="1:42" hidden="1" x14ac:dyDescent="0.3">
      <c r="A626" s="5" t="s">
        <v>765</v>
      </c>
      <c r="B626" s="5" t="s">
        <v>12</v>
      </c>
      <c r="C626" s="22">
        <v>44994</v>
      </c>
      <c r="D626" s="22">
        <v>44998</v>
      </c>
      <c r="E626" s="3">
        <v>0</v>
      </c>
      <c r="F626" s="3">
        <v>0</v>
      </c>
      <c r="G626" s="3">
        <v>0</v>
      </c>
      <c r="H626" s="3">
        <v>0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0.03</v>
      </c>
      <c r="Z626" s="3">
        <v>0.03</v>
      </c>
      <c r="AA626" s="3">
        <v>0.03</v>
      </c>
      <c r="AB626" s="3">
        <v>0.03</v>
      </c>
      <c r="AC626" s="3">
        <v>0.03</v>
      </c>
      <c r="AD626" s="3">
        <v>0.03</v>
      </c>
      <c r="AE626" s="3">
        <v>0.03</v>
      </c>
      <c r="AF626" s="3">
        <v>0.03</v>
      </c>
      <c r="AG626" s="3">
        <v>0.03</v>
      </c>
      <c r="AH626" s="3">
        <v>0.03</v>
      </c>
      <c r="AI626" s="3">
        <v>0.03</v>
      </c>
      <c r="AJ626" s="3">
        <v>0.03</v>
      </c>
      <c r="AK626" s="3">
        <v>0.03</v>
      </c>
      <c r="AL626" s="3">
        <v>0.03</v>
      </c>
      <c r="AM626" s="3">
        <v>0.03</v>
      </c>
      <c r="AN626" s="3">
        <v>0.03</v>
      </c>
      <c r="AO626" s="3">
        <v>0.03</v>
      </c>
      <c r="AP626" s="3">
        <v>0.03</v>
      </c>
    </row>
    <row r="627" spans="1:42" hidden="1" x14ac:dyDescent="0.3">
      <c r="A627" s="15" t="s">
        <v>766</v>
      </c>
      <c r="B627" s="15" t="s">
        <v>92</v>
      </c>
      <c r="C627" s="20">
        <v>44999</v>
      </c>
      <c r="D627" s="20">
        <v>45035</v>
      </c>
      <c r="E627" s="8">
        <v>0</v>
      </c>
      <c r="F627" s="8">
        <v>0</v>
      </c>
      <c r="G627" s="8">
        <v>0</v>
      </c>
      <c r="H627" s="8">
        <v>0</v>
      </c>
      <c r="I627" s="8">
        <v>0</v>
      </c>
      <c r="J627" s="8">
        <v>0</v>
      </c>
      <c r="K627" s="8">
        <v>0</v>
      </c>
      <c r="L627" s="8">
        <v>0</v>
      </c>
      <c r="M627" s="8">
        <v>0</v>
      </c>
      <c r="N627" s="8">
        <v>0</v>
      </c>
      <c r="O627" s="8">
        <v>0</v>
      </c>
      <c r="P627" s="8">
        <v>0</v>
      </c>
      <c r="Q627" s="8">
        <v>0</v>
      </c>
      <c r="R627" s="8">
        <v>0</v>
      </c>
      <c r="S627" s="8">
        <v>0</v>
      </c>
      <c r="T627" s="8">
        <v>0</v>
      </c>
      <c r="U627" s="8">
        <v>0</v>
      </c>
      <c r="V627" s="8">
        <v>0</v>
      </c>
      <c r="W627" s="8">
        <v>0</v>
      </c>
      <c r="X627" s="8">
        <v>0</v>
      </c>
      <c r="Y627" s="8">
        <v>0.36</v>
      </c>
      <c r="Z627" s="8">
        <v>0.48</v>
      </c>
      <c r="AA627" s="8">
        <v>0.48</v>
      </c>
      <c r="AB627" s="8">
        <v>0.48</v>
      </c>
      <c r="AC627" s="8">
        <v>0.48</v>
      </c>
      <c r="AD627" s="8">
        <v>0.48</v>
      </c>
      <c r="AE627" s="8">
        <v>0.48</v>
      </c>
      <c r="AF627" s="8">
        <v>0.48</v>
      </c>
      <c r="AG627" s="8">
        <v>0.48</v>
      </c>
      <c r="AH627" s="8">
        <v>0.48</v>
      </c>
      <c r="AI627" s="8">
        <v>0.48</v>
      </c>
      <c r="AJ627" s="8">
        <v>0.48</v>
      </c>
      <c r="AK627" s="8">
        <v>0.48</v>
      </c>
      <c r="AL627" s="8">
        <v>0.48</v>
      </c>
      <c r="AM627" s="8">
        <v>0.48</v>
      </c>
      <c r="AN627" s="8">
        <v>0.48</v>
      </c>
      <c r="AO627" s="8">
        <v>0.48</v>
      </c>
      <c r="AP627" s="8">
        <v>0.48</v>
      </c>
    </row>
    <row r="628" spans="1:42" hidden="1" x14ac:dyDescent="0.3">
      <c r="A628" s="5" t="s">
        <v>767</v>
      </c>
      <c r="B628" s="5" t="s">
        <v>12</v>
      </c>
      <c r="C628" s="22">
        <v>44999</v>
      </c>
      <c r="D628" s="22">
        <v>45001</v>
      </c>
      <c r="E628" s="3">
        <v>0</v>
      </c>
      <c r="F628" s="3">
        <v>0</v>
      </c>
      <c r="G628" s="3">
        <v>0</v>
      </c>
      <c r="H628" s="3">
        <v>0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0.25</v>
      </c>
      <c r="Z628" s="3">
        <v>0.25</v>
      </c>
      <c r="AA628" s="3">
        <v>0.25</v>
      </c>
      <c r="AB628" s="3">
        <v>0.25</v>
      </c>
      <c r="AC628" s="3">
        <v>0.25</v>
      </c>
      <c r="AD628" s="3">
        <v>0.25</v>
      </c>
      <c r="AE628" s="3">
        <v>0.25</v>
      </c>
      <c r="AF628" s="3">
        <v>0.25</v>
      </c>
      <c r="AG628" s="3">
        <v>0.25</v>
      </c>
      <c r="AH628" s="3">
        <v>0.25</v>
      </c>
      <c r="AI628" s="3">
        <v>0.25</v>
      </c>
      <c r="AJ628" s="3">
        <v>0.25</v>
      </c>
      <c r="AK628" s="3">
        <v>0.25</v>
      </c>
      <c r="AL628" s="3">
        <v>0.25</v>
      </c>
      <c r="AM628" s="3">
        <v>0.25</v>
      </c>
      <c r="AN628" s="3">
        <v>0.25</v>
      </c>
      <c r="AO628" s="3">
        <v>0.25</v>
      </c>
      <c r="AP628" s="3">
        <v>0.25</v>
      </c>
    </row>
    <row r="629" spans="1:42" hidden="1" x14ac:dyDescent="0.3">
      <c r="A629" s="5" t="s">
        <v>768</v>
      </c>
      <c r="B629" s="5" t="s">
        <v>12</v>
      </c>
      <c r="C629" s="22">
        <v>45002</v>
      </c>
      <c r="D629" s="22">
        <v>45006</v>
      </c>
      <c r="E629" s="3">
        <v>0</v>
      </c>
      <c r="F629" s="3">
        <v>0</v>
      </c>
      <c r="G629" s="3">
        <v>0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>
        <v>0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0.03</v>
      </c>
      <c r="Z629" s="3">
        <v>0.03</v>
      </c>
      <c r="AA629" s="3">
        <v>0.03</v>
      </c>
      <c r="AB629" s="3">
        <v>0.03</v>
      </c>
      <c r="AC629" s="3">
        <v>0.03</v>
      </c>
      <c r="AD629" s="3">
        <v>0.03</v>
      </c>
      <c r="AE629" s="3">
        <v>0.03</v>
      </c>
      <c r="AF629" s="3">
        <v>0.03</v>
      </c>
      <c r="AG629" s="3">
        <v>0.03</v>
      </c>
      <c r="AH629" s="3">
        <v>0.03</v>
      </c>
      <c r="AI629" s="3">
        <v>0.03</v>
      </c>
      <c r="AJ629" s="3">
        <v>0.03</v>
      </c>
      <c r="AK629" s="3">
        <v>0.03</v>
      </c>
      <c r="AL629" s="3">
        <v>0.03</v>
      </c>
      <c r="AM629" s="3">
        <v>0.03</v>
      </c>
      <c r="AN629" s="3">
        <v>0.03</v>
      </c>
      <c r="AO629" s="3">
        <v>0.03</v>
      </c>
      <c r="AP629" s="3">
        <v>0.03</v>
      </c>
    </row>
    <row r="630" spans="1:42" hidden="1" x14ac:dyDescent="0.3">
      <c r="A630" s="5" t="s">
        <v>769</v>
      </c>
      <c r="B630" s="5" t="s">
        <v>12</v>
      </c>
      <c r="C630" s="22">
        <v>45007</v>
      </c>
      <c r="D630" s="22">
        <v>45009</v>
      </c>
      <c r="E630" s="3">
        <v>0</v>
      </c>
      <c r="F630" s="3">
        <v>0</v>
      </c>
      <c r="G630" s="3">
        <v>0</v>
      </c>
      <c r="H630" s="3">
        <v>0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0.03</v>
      </c>
      <c r="Z630" s="3">
        <v>0.03</v>
      </c>
      <c r="AA630" s="3">
        <v>0.03</v>
      </c>
      <c r="AB630" s="3">
        <v>0.03</v>
      </c>
      <c r="AC630" s="3">
        <v>0.03</v>
      </c>
      <c r="AD630" s="3">
        <v>0.03</v>
      </c>
      <c r="AE630" s="3">
        <v>0.03</v>
      </c>
      <c r="AF630" s="3">
        <v>0.03</v>
      </c>
      <c r="AG630" s="3">
        <v>0.03</v>
      </c>
      <c r="AH630" s="3">
        <v>0.03</v>
      </c>
      <c r="AI630" s="3">
        <v>0.03</v>
      </c>
      <c r="AJ630" s="3">
        <v>0.03</v>
      </c>
      <c r="AK630" s="3">
        <v>0.03</v>
      </c>
      <c r="AL630" s="3">
        <v>0.03</v>
      </c>
      <c r="AM630" s="3">
        <v>0.03</v>
      </c>
      <c r="AN630" s="3">
        <v>0.03</v>
      </c>
      <c r="AO630" s="3">
        <v>0.03</v>
      </c>
      <c r="AP630" s="3">
        <v>0.03</v>
      </c>
    </row>
    <row r="631" spans="1:42" hidden="1" x14ac:dyDescent="0.3">
      <c r="A631" s="5" t="s">
        <v>770</v>
      </c>
      <c r="B631" s="5" t="s">
        <v>12</v>
      </c>
      <c r="C631" s="22">
        <v>45012</v>
      </c>
      <c r="D631" s="22">
        <v>45014</v>
      </c>
      <c r="E631" s="3">
        <v>0</v>
      </c>
      <c r="F631" s="3">
        <v>0</v>
      </c>
      <c r="G631" s="3">
        <v>0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0.03</v>
      </c>
      <c r="Z631" s="3">
        <v>0.03</v>
      </c>
      <c r="AA631" s="3">
        <v>0.03</v>
      </c>
      <c r="AB631" s="3">
        <v>0.03</v>
      </c>
      <c r="AC631" s="3">
        <v>0.03</v>
      </c>
      <c r="AD631" s="3">
        <v>0.03</v>
      </c>
      <c r="AE631" s="3">
        <v>0.03</v>
      </c>
      <c r="AF631" s="3">
        <v>0.03</v>
      </c>
      <c r="AG631" s="3">
        <v>0.03</v>
      </c>
      <c r="AH631" s="3">
        <v>0.03</v>
      </c>
      <c r="AI631" s="3">
        <v>0.03</v>
      </c>
      <c r="AJ631" s="3">
        <v>0.03</v>
      </c>
      <c r="AK631" s="3">
        <v>0.03</v>
      </c>
      <c r="AL631" s="3">
        <v>0.03</v>
      </c>
      <c r="AM631" s="3">
        <v>0.03</v>
      </c>
      <c r="AN631" s="3">
        <v>0.03</v>
      </c>
      <c r="AO631" s="3">
        <v>0.03</v>
      </c>
      <c r="AP631" s="3">
        <v>0.03</v>
      </c>
    </row>
    <row r="632" spans="1:42" hidden="1" x14ac:dyDescent="0.3">
      <c r="A632" s="5" t="s">
        <v>771</v>
      </c>
      <c r="B632" s="5" t="s">
        <v>12</v>
      </c>
      <c r="C632" s="22">
        <v>45015</v>
      </c>
      <c r="D632" s="22">
        <v>45019</v>
      </c>
      <c r="E632" s="3">
        <v>0</v>
      </c>
      <c r="F632" s="3">
        <v>0</v>
      </c>
      <c r="G632" s="3">
        <v>0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0.02</v>
      </c>
      <c r="Z632" s="3">
        <v>0.03</v>
      </c>
      <c r="AA632" s="3">
        <v>0.03</v>
      </c>
      <c r="AB632" s="3">
        <v>0.03</v>
      </c>
      <c r="AC632" s="3">
        <v>0.03</v>
      </c>
      <c r="AD632" s="3">
        <v>0.03</v>
      </c>
      <c r="AE632" s="3">
        <v>0.03</v>
      </c>
      <c r="AF632" s="3">
        <v>0.03</v>
      </c>
      <c r="AG632" s="3">
        <v>0.03</v>
      </c>
      <c r="AH632" s="3">
        <v>0.03</v>
      </c>
      <c r="AI632" s="3">
        <v>0.03</v>
      </c>
      <c r="AJ632" s="3">
        <v>0.03</v>
      </c>
      <c r="AK632" s="3">
        <v>0.03</v>
      </c>
      <c r="AL632" s="3">
        <v>0.03</v>
      </c>
      <c r="AM632" s="3">
        <v>0.03</v>
      </c>
      <c r="AN632" s="3">
        <v>0.03</v>
      </c>
      <c r="AO632" s="3">
        <v>0.03</v>
      </c>
      <c r="AP632" s="3">
        <v>0.03</v>
      </c>
    </row>
    <row r="633" spans="1:42" hidden="1" x14ac:dyDescent="0.3">
      <c r="A633" s="5" t="s">
        <v>772</v>
      </c>
      <c r="B633" s="5" t="s">
        <v>12</v>
      </c>
      <c r="C633" s="22">
        <v>45020</v>
      </c>
      <c r="D633" s="22">
        <v>45022</v>
      </c>
      <c r="E633" s="3">
        <v>0</v>
      </c>
      <c r="F633" s="3">
        <v>0</v>
      </c>
      <c r="G633" s="3">
        <v>0</v>
      </c>
      <c r="H633" s="3">
        <v>0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0.03</v>
      </c>
      <c r="AA633" s="3">
        <v>0.03</v>
      </c>
      <c r="AB633" s="3">
        <v>0.03</v>
      </c>
      <c r="AC633" s="3">
        <v>0.03</v>
      </c>
      <c r="AD633" s="3">
        <v>0.03</v>
      </c>
      <c r="AE633" s="3">
        <v>0.03</v>
      </c>
      <c r="AF633" s="3">
        <v>0.03</v>
      </c>
      <c r="AG633" s="3">
        <v>0.03</v>
      </c>
      <c r="AH633" s="3">
        <v>0.03</v>
      </c>
      <c r="AI633" s="3">
        <v>0.03</v>
      </c>
      <c r="AJ633" s="3">
        <v>0.03</v>
      </c>
      <c r="AK633" s="3">
        <v>0.03</v>
      </c>
      <c r="AL633" s="3">
        <v>0.03</v>
      </c>
      <c r="AM633" s="3">
        <v>0.03</v>
      </c>
      <c r="AN633" s="3">
        <v>0.03</v>
      </c>
      <c r="AO633" s="3">
        <v>0.03</v>
      </c>
      <c r="AP633" s="3">
        <v>0.03</v>
      </c>
    </row>
    <row r="634" spans="1:42" hidden="1" x14ac:dyDescent="0.3">
      <c r="A634" s="5" t="s">
        <v>773</v>
      </c>
      <c r="B634" s="5" t="s">
        <v>12</v>
      </c>
      <c r="C634" s="22">
        <v>45023</v>
      </c>
      <c r="D634" s="22">
        <v>45027</v>
      </c>
      <c r="E634" s="3">
        <v>0</v>
      </c>
      <c r="F634" s="3">
        <v>0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0.03</v>
      </c>
      <c r="AA634" s="3">
        <v>0.03</v>
      </c>
      <c r="AB634" s="3">
        <v>0.03</v>
      </c>
      <c r="AC634" s="3">
        <v>0.03</v>
      </c>
      <c r="AD634" s="3">
        <v>0.03</v>
      </c>
      <c r="AE634" s="3">
        <v>0.03</v>
      </c>
      <c r="AF634" s="3">
        <v>0.03</v>
      </c>
      <c r="AG634" s="3">
        <v>0.03</v>
      </c>
      <c r="AH634" s="3">
        <v>0.03</v>
      </c>
      <c r="AI634" s="3">
        <v>0.03</v>
      </c>
      <c r="AJ634" s="3">
        <v>0.03</v>
      </c>
      <c r="AK634" s="3">
        <v>0.03</v>
      </c>
      <c r="AL634" s="3">
        <v>0.03</v>
      </c>
      <c r="AM634" s="3">
        <v>0.03</v>
      </c>
      <c r="AN634" s="3">
        <v>0.03</v>
      </c>
      <c r="AO634" s="3">
        <v>0.03</v>
      </c>
      <c r="AP634" s="3">
        <v>0.03</v>
      </c>
    </row>
    <row r="635" spans="1:42" hidden="1" x14ac:dyDescent="0.3">
      <c r="A635" s="5" t="s">
        <v>774</v>
      </c>
      <c r="B635" s="5" t="s">
        <v>12</v>
      </c>
      <c r="C635" s="22">
        <v>45028</v>
      </c>
      <c r="D635" s="22">
        <v>45030</v>
      </c>
      <c r="E635" s="3">
        <v>0</v>
      </c>
      <c r="F635" s="3">
        <v>0</v>
      </c>
      <c r="G635" s="3">
        <v>0</v>
      </c>
      <c r="H635" s="3">
        <v>0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0.03</v>
      </c>
      <c r="AA635" s="3">
        <v>0.03</v>
      </c>
      <c r="AB635" s="3">
        <v>0.03</v>
      </c>
      <c r="AC635" s="3">
        <v>0.03</v>
      </c>
      <c r="AD635" s="3">
        <v>0.03</v>
      </c>
      <c r="AE635" s="3">
        <v>0.03</v>
      </c>
      <c r="AF635" s="3">
        <v>0.03</v>
      </c>
      <c r="AG635" s="3">
        <v>0.03</v>
      </c>
      <c r="AH635" s="3">
        <v>0.03</v>
      </c>
      <c r="AI635" s="3">
        <v>0.03</v>
      </c>
      <c r="AJ635" s="3">
        <v>0.03</v>
      </c>
      <c r="AK635" s="3">
        <v>0.03</v>
      </c>
      <c r="AL635" s="3">
        <v>0.03</v>
      </c>
      <c r="AM635" s="3">
        <v>0.03</v>
      </c>
      <c r="AN635" s="3">
        <v>0.03</v>
      </c>
      <c r="AO635" s="3">
        <v>0.03</v>
      </c>
      <c r="AP635" s="3">
        <v>0.03</v>
      </c>
    </row>
    <row r="636" spans="1:42" hidden="1" x14ac:dyDescent="0.3">
      <c r="A636" s="5" t="s">
        <v>775</v>
      </c>
      <c r="B636" s="5" t="s">
        <v>12</v>
      </c>
      <c r="C636" s="22">
        <v>45033</v>
      </c>
      <c r="D636" s="22">
        <v>45035</v>
      </c>
      <c r="E636" s="3">
        <v>0</v>
      </c>
      <c r="F636" s="3">
        <v>0</v>
      </c>
      <c r="G636" s="3">
        <v>0</v>
      </c>
      <c r="H636" s="3">
        <v>0</v>
      </c>
      <c r="I636" s="3">
        <v>0</v>
      </c>
      <c r="J636" s="3">
        <v>0</v>
      </c>
      <c r="K636" s="3">
        <v>0</v>
      </c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0.03</v>
      </c>
      <c r="AA636" s="3">
        <v>0.03</v>
      </c>
      <c r="AB636" s="3">
        <v>0.03</v>
      </c>
      <c r="AC636" s="3">
        <v>0.03</v>
      </c>
      <c r="AD636" s="3">
        <v>0.03</v>
      </c>
      <c r="AE636" s="3">
        <v>0.03</v>
      </c>
      <c r="AF636" s="3">
        <v>0.03</v>
      </c>
      <c r="AG636" s="3">
        <v>0.03</v>
      </c>
      <c r="AH636" s="3">
        <v>0.03</v>
      </c>
      <c r="AI636" s="3">
        <v>0.03</v>
      </c>
      <c r="AJ636" s="3">
        <v>0.03</v>
      </c>
      <c r="AK636" s="3">
        <v>0.03</v>
      </c>
      <c r="AL636" s="3">
        <v>0.03</v>
      </c>
      <c r="AM636" s="3">
        <v>0.03</v>
      </c>
      <c r="AN636" s="3">
        <v>0.03</v>
      </c>
      <c r="AO636" s="3">
        <v>0.03</v>
      </c>
      <c r="AP636" s="3">
        <v>0.03</v>
      </c>
    </row>
    <row r="637" spans="1:42" hidden="1" x14ac:dyDescent="0.3">
      <c r="A637" s="14" t="s">
        <v>776</v>
      </c>
      <c r="B637" s="14" t="s">
        <v>93</v>
      </c>
      <c r="C637" s="19">
        <v>44928</v>
      </c>
      <c r="D637" s="19">
        <v>45349</v>
      </c>
      <c r="E637" s="7">
        <v>0</v>
      </c>
      <c r="F637" s="7">
        <v>0</v>
      </c>
      <c r="G637" s="7">
        <v>0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7">
        <v>0</v>
      </c>
      <c r="U637" s="7">
        <v>0</v>
      </c>
      <c r="V637" s="7">
        <v>0</v>
      </c>
      <c r="W637" s="7">
        <v>0.36</v>
      </c>
      <c r="X637" s="7">
        <v>0.8</v>
      </c>
      <c r="Y637" s="7">
        <v>1.58</v>
      </c>
      <c r="Z637" s="7">
        <v>2.89</v>
      </c>
      <c r="AA637" s="7">
        <v>3.62</v>
      </c>
      <c r="AB637" s="7">
        <v>4.3600000000000003</v>
      </c>
      <c r="AC637" s="7">
        <v>8.2200000000000006</v>
      </c>
      <c r="AD637" s="7">
        <v>8.5</v>
      </c>
      <c r="AE637" s="7">
        <v>8.57</v>
      </c>
      <c r="AF637" s="7">
        <v>8.57</v>
      </c>
      <c r="AG637" s="7">
        <v>8.84</v>
      </c>
      <c r="AH637" s="7">
        <v>9.06</v>
      </c>
      <c r="AI637" s="7">
        <v>9.1300000000000008</v>
      </c>
      <c r="AJ637" s="7">
        <v>9.16</v>
      </c>
      <c r="AK637" s="7">
        <v>9.16</v>
      </c>
      <c r="AL637" s="7">
        <v>9.16</v>
      </c>
      <c r="AM637" s="7">
        <v>9.16</v>
      </c>
      <c r="AN637" s="7">
        <v>9.16</v>
      </c>
      <c r="AO637" s="7">
        <v>9.16</v>
      </c>
      <c r="AP637" s="7">
        <v>9.16</v>
      </c>
    </row>
    <row r="638" spans="1:42" hidden="1" x14ac:dyDescent="0.3">
      <c r="A638" s="15" t="s">
        <v>777</v>
      </c>
      <c r="B638" s="15" t="s">
        <v>94</v>
      </c>
      <c r="C638" s="20">
        <v>44946</v>
      </c>
      <c r="D638" s="20">
        <v>45184</v>
      </c>
      <c r="E638" s="8">
        <v>0</v>
      </c>
      <c r="F638" s="8">
        <v>0</v>
      </c>
      <c r="G638" s="8">
        <v>0</v>
      </c>
      <c r="H638" s="8">
        <v>0</v>
      </c>
      <c r="I638" s="8">
        <v>0</v>
      </c>
      <c r="J638" s="8">
        <v>0</v>
      </c>
      <c r="K638" s="8">
        <v>0</v>
      </c>
      <c r="L638" s="8">
        <v>0</v>
      </c>
      <c r="M638" s="8">
        <v>0</v>
      </c>
      <c r="N638" s="8">
        <v>0</v>
      </c>
      <c r="O638" s="8">
        <v>0</v>
      </c>
      <c r="P638" s="8">
        <v>0</v>
      </c>
      <c r="Q638" s="8">
        <v>0</v>
      </c>
      <c r="R638" s="8">
        <v>0</v>
      </c>
      <c r="S638" s="8">
        <v>0</v>
      </c>
      <c r="T638" s="8">
        <v>0</v>
      </c>
      <c r="U638" s="8">
        <v>0</v>
      </c>
      <c r="V638" s="8">
        <v>0</v>
      </c>
      <c r="W638" s="8">
        <v>7.0000000000000007E-2</v>
      </c>
      <c r="X638" s="8">
        <v>0.26</v>
      </c>
      <c r="Y638" s="8">
        <v>0.51</v>
      </c>
      <c r="Z638" s="8">
        <v>0.66</v>
      </c>
      <c r="AA638" s="8">
        <v>0.79</v>
      </c>
      <c r="AB638" s="8">
        <v>0.8</v>
      </c>
      <c r="AC638" s="8">
        <v>2.2999999999999998</v>
      </c>
      <c r="AD638" s="8">
        <v>2.44</v>
      </c>
      <c r="AE638" s="8">
        <v>2.46</v>
      </c>
      <c r="AF638" s="8">
        <v>2.46</v>
      </c>
      <c r="AG638" s="8">
        <v>2.46</v>
      </c>
      <c r="AH638" s="8">
        <v>2.46</v>
      </c>
      <c r="AI638" s="8">
        <v>2.46</v>
      </c>
      <c r="AJ638" s="8">
        <v>2.46</v>
      </c>
      <c r="AK638" s="8">
        <v>2.46</v>
      </c>
      <c r="AL638" s="8">
        <v>2.46</v>
      </c>
      <c r="AM638" s="8">
        <v>2.46</v>
      </c>
      <c r="AN638" s="8">
        <v>2.46</v>
      </c>
      <c r="AO638" s="8">
        <v>2.46</v>
      </c>
      <c r="AP638" s="8">
        <v>2.46</v>
      </c>
    </row>
    <row r="639" spans="1:42" hidden="1" x14ac:dyDescent="0.3">
      <c r="A639" s="5" t="s">
        <v>778</v>
      </c>
      <c r="B639" s="5" t="s">
        <v>9</v>
      </c>
      <c r="C639" s="22">
        <v>45112</v>
      </c>
      <c r="D639" s="22">
        <v>45119</v>
      </c>
      <c r="E639" s="3">
        <v>0</v>
      </c>
      <c r="F639" s="3">
        <v>0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3">
        <v>0</v>
      </c>
      <c r="AC639" s="3">
        <v>1.28</v>
      </c>
      <c r="AD639" s="3">
        <v>1.28</v>
      </c>
      <c r="AE639" s="3">
        <v>1.28</v>
      </c>
      <c r="AF639" s="3">
        <v>1.28</v>
      </c>
      <c r="AG639" s="3">
        <v>1.28</v>
      </c>
      <c r="AH639" s="3">
        <v>1.28</v>
      </c>
      <c r="AI639" s="3">
        <v>1.28</v>
      </c>
      <c r="AJ639" s="3">
        <v>1.28</v>
      </c>
      <c r="AK639" s="3">
        <v>1.28</v>
      </c>
      <c r="AL639" s="3">
        <v>1.28</v>
      </c>
      <c r="AM639" s="3">
        <v>1.28</v>
      </c>
      <c r="AN639" s="3">
        <v>1.28</v>
      </c>
      <c r="AO639" s="3">
        <v>1.28</v>
      </c>
      <c r="AP639" s="3">
        <v>1.28</v>
      </c>
    </row>
    <row r="640" spans="1:42" hidden="1" x14ac:dyDescent="0.3">
      <c r="A640" s="5" t="s">
        <v>779</v>
      </c>
      <c r="B640" s="5" t="s">
        <v>17</v>
      </c>
      <c r="C640" s="22">
        <v>45105</v>
      </c>
      <c r="D640" s="22">
        <v>45125</v>
      </c>
      <c r="E640" s="3">
        <v>0</v>
      </c>
      <c r="F640" s="3">
        <v>0</v>
      </c>
      <c r="G640" s="3">
        <v>0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3">
        <v>0</v>
      </c>
      <c r="AC640" s="3">
        <v>0</v>
      </c>
      <c r="AD640" s="3">
        <v>0</v>
      </c>
      <c r="AE640" s="3">
        <v>0</v>
      </c>
      <c r="AF640" s="3">
        <v>0</v>
      </c>
      <c r="AG640" s="3">
        <v>0</v>
      </c>
      <c r="AH640" s="3">
        <v>0</v>
      </c>
      <c r="AI640" s="3">
        <v>0</v>
      </c>
      <c r="AJ640" s="3">
        <v>0</v>
      </c>
      <c r="AK640" s="3">
        <v>0</v>
      </c>
      <c r="AL640" s="3">
        <v>0</v>
      </c>
      <c r="AM640" s="3">
        <v>0</v>
      </c>
      <c r="AN640" s="3">
        <v>0</v>
      </c>
      <c r="AO640" s="3">
        <v>0</v>
      </c>
      <c r="AP640" s="3">
        <v>0</v>
      </c>
    </row>
    <row r="641" spans="1:42" hidden="1" x14ac:dyDescent="0.3">
      <c r="A641" s="5" t="s">
        <v>780</v>
      </c>
      <c r="B641" s="5" t="s">
        <v>17</v>
      </c>
      <c r="C641" s="22">
        <v>45058</v>
      </c>
      <c r="D641" s="22">
        <v>45079</v>
      </c>
      <c r="E641" s="3">
        <v>0</v>
      </c>
      <c r="F641" s="3">
        <v>0</v>
      </c>
      <c r="G641" s="3">
        <v>0</v>
      </c>
      <c r="H641" s="3">
        <v>0</v>
      </c>
      <c r="I641" s="3">
        <v>0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0.04</v>
      </c>
      <c r="AB641" s="3">
        <v>0.05</v>
      </c>
      <c r="AC641" s="3">
        <v>0.05</v>
      </c>
      <c r="AD641" s="3">
        <v>0.05</v>
      </c>
      <c r="AE641" s="3">
        <v>0.05</v>
      </c>
      <c r="AF641" s="3">
        <v>0.05</v>
      </c>
      <c r="AG641" s="3">
        <v>0.05</v>
      </c>
      <c r="AH641" s="3">
        <v>0.05</v>
      </c>
      <c r="AI641" s="3">
        <v>0.05</v>
      </c>
      <c r="AJ641" s="3">
        <v>0.05</v>
      </c>
      <c r="AK641" s="3">
        <v>0.05</v>
      </c>
      <c r="AL641" s="3">
        <v>0.05</v>
      </c>
      <c r="AM641" s="3">
        <v>0.05</v>
      </c>
      <c r="AN641" s="3">
        <v>0.05</v>
      </c>
      <c r="AO641" s="3">
        <v>0.05</v>
      </c>
      <c r="AP641" s="3">
        <v>0.05</v>
      </c>
    </row>
    <row r="642" spans="1:42" hidden="1" x14ac:dyDescent="0.3">
      <c r="A642" s="5" t="s">
        <v>781</v>
      </c>
      <c r="B642" s="5" t="s">
        <v>17</v>
      </c>
      <c r="C642" s="22">
        <v>45037</v>
      </c>
      <c r="D642" s="22">
        <v>45058</v>
      </c>
      <c r="E642" s="3">
        <v>0</v>
      </c>
      <c r="F642" s="3">
        <v>0</v>
      </c>
      <c r="G642" s="3">
        <v>0</v>
      </c>
      <c r="H642" s="3">
        <v>0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0.05</v>
      </c>
      <c r="AA642" s="3">
        <v>0.14000000000000001</v>
      </c>
      <c r="AB642" s="3">
        <v>0.14000000000000001</v>
      </c>
      <c r="AC642" s="3">
        <v>0.14000000000000001</v>
      </c>
      <c r="AD642" s="3">
        <v>0.14000000000000001</v>
      </c>
      <c r="AE642" s="3">
        <v>0.14000000000000001</v>
      </c>
      <c r="AF642" s="3">
        <v>0.14000000000000001</v>
      </c>
      <c r="AG642" s="3">
        <v>0.14000000000000001</v>
      </c>
      <c r="AH642" s="3">
        <v>0.14000000000000001</v>
      </c>
      <c r="AI642" s="3">
        <v>0.14000000000000001</v>
      </c>
      <c r="AJ642" s="3">
        <v>0.14000000000000001</v>
      </c>
      <c r="AK642" s="3">
        <v>0.14000000000000001</v>
      </c>
      <c r="AL642" s="3">
        <v>0.14000000000000001</v>
      </c>
      <c r="AM642" s="3">
        <v>0.14000000000000001</v>
      </c>
      <c r="AN642" s="3">
        <v>0.14000000000000001</v>
      </c>
      <c r="AO642" s="3">
        <v>0.14000000000000001</v>
      </c>
      <c r="AP642" s="3">
        <v>0.14000000000000001</v>
      </c>
    </row>
    <row r="643" spans="1:42" hidden="1" x14ac:dyDescent="0.3">
      <c r="A643" s="5" t="s">
        <v>782</v>
      </c>
      <c r="B643" s="5" t="s">
        <v>11</v>
      </c>
      <c r="C643" s="22">
        <v>45009</v>
      </c>
      <c r="D643" s="22">
        <v>45037</v>
      </c>
      <c r="E643" s="3">
        <v>0</v>
      </c>
      <c r="F643" s="3">
        <v>0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0.04</v>
      </c>
      <c r="Z643" s="3">
        <v>0.14000000000000001</v>
      </c>
      <c r="AA643" s="3">
        <v>0.14000000000000001</v>
      </c>
      <c r="AB643" s="3">
        <v>0.14000000000000001</v>
      </c>
      <c r="AC643" s="3">
        <v>0.14000000000000001</v>
      </c>
      <c r="AD643" s="3">
        <v>0.14000000000000001</v>
      </c>
      <c r="AE643" s="3">
        <v>0.14000000000000001</v>
      </c>
      <c r="AF643" s="3">
        <v>0.14000000000000001</v>
      </c>
      <c r="AG643" s="3">
        <v>0.14000000000000001</v>
      </c>
      <c r="AH643" s="3">
        <v>0.14000000000000001</v>
      </c>
      <c r="AI643" s="3">
        <v>0.14000000000000001</v>
      </c>
      <c r="AJ643" s="3">
        <v>0.14000000000000001</v>
      </c>
      <c r="AK643" s="3">
        <v>0.14000000000000001</v>
      </c>
      <c r="AL643" s="3">
        <v>0.14000000000000001</v>
      </c>
      <c r="AM643" s="3">
        <v>0.14000000000000001</v>
      </c>
      <c r="AN643" s="3">
        <v>0.14000000000000001</v>
      </c>
      <c r="AO643" s="3">
        <v>0.14000000000000001</v>
      </c>
      <c r="AP643" s="3">
        <v>0.14000000000000001</v>
      </c>
    </row>
    <row r="644" spans="1:42" hidden="1" x14ac:dyDescent="0.3">
      <c r="A644" s="5" t="s">
        <v>783</v>
      </c>
      <c r="B644" s="5" t="s">
        <v>17</v>
      </c>
      <c r="C644" s="22">
        <v>44988</v>
      </c>
      <c r="D644" s="22">
        <v>45009</v>
      </c>
      <c r="E644" s="3">
        <v>0</v>
      </c>
      <c r="F644" s="3">
        <v>0</v>
      </c>
      <c r="G644" s="3">
        <v>0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>
        <v>0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0.19</v>
      </c>
      <c r="Z644" s="3">
        <v>0.19</v>
      </c>
      <c r="AA644" s="3">
        <v>0.19</v>
      </c>
      <c r="AB644" s="3">
        <v>0.19</v>
      </c>
      <c r="AC644" s="3">
        <v>0.19</v>
      </c>
      <c r="AD644" s="3">
        <v>0.19</v>
      </c>
      <c r="AE644" s="3">
        <v>0.19</v>
      </c>
      <c r="AF644" s="3">
        <v>0.19</v>
      </c>
      <c r="AG644" s="3">
        <v>0.19</v>
      </c>
      <c r="AH644" s="3">
        <v>0.19</v>
      </c>
      <c r="AI644" s="3">
        <v>0.19</v>
      </c>
      <c r="AJ644" s="3">
        <v>0.19</v>
      </c>
      <c r="AK644" s="3">
        <v>0.19</v>
      </c>
      <c r="AL644" s="3">
        <v>0.19</v>
      </c>
      <c r="AM644" s="3">
        <v>0.19</v>
      </c>
      <c r="AN644" s="3">
        <v>0.19</v>
      </c>
      <c r="AO644" s="3">
        <v>0.19</v>
      </c>
      <c r="AP644" s="3">
        <v>0.19</v>
      </c>
    </row>
    <row r="645" spans="1:42" hidden="1" x14ac:dyDescent="0.3">
      <c r="A645" s="5" t="s">
        <v>784</v>
      </c>
      <c r="B645" s="5" t="s">
        <v>17</v>
      </c>
      <c r="C645" s="22">
        <v>44967</v>
      </c>
      <c r="D645" s="22">
        <v>44988</v>
      </c>
      <c r="E645" s="3">
        <v>0</v>
      </c>
      <c r="F645" s="3">
        <v>0</v>
      </c>
      <c r="G645" s="3">
        <v>0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>
        <v>0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0.12</v>
      </c>
      <c r="Y645" s="3">
        <v>0.14000000000000001</v>
      </c>
      <c r="Z645" s="3">
        <v>0.14000000000000001</v>
      </c>
      <c r="AA645" s="3">
        <v>0.14000000000000001</v>
      </c>
      <c r="AB645" s="3">
        <v>0.14000000000000001</v>
      </c>
      <c r="AC645" s="3">
        <v>0.14000000000000001</v>
      </c>
      <c r="AD645" s="3">
        <v>0.14000000000000001</v>
      </c>
      <c r="AE645" s="3">
        <v>0.14000000000000001</v>
      </c>
      <c r="AF645" s="3">
        <v>0.14000000000000001</v>
      </c>
      <c r="AG645" s="3">
        <v>0.14000000000000001</v>
      </c>
      <c r="AH645" s="3">
        <v>0.14000000000000001</v>
      </c>
      <c r="AI645" s="3">
        <v>0.14000000000000001</v>
      </c>
      <c r="AJ645" s="3">
        <v>0.14000000000000001</v>
      </c>
      <c r="AK645" s="3">
        <v>0.14000000000000001</v>
      </c>
      <c r="AL645" s="3">
        <v>0.14000000000000001</v>
      </c>
      <c r="AM645" s="3">
        <v>0.14000000000000001</v>
      </c>
      <c r="AN645" s="3">
        <v>0.14000000000000001</v>
      </c>
      <c r="AO645" s="3">
        <v>0.14000000000000001</v>
      </c>
      <c r="AP645" s="3">
        <v>0.14000000000000001</v>
      </c>
    </row>
    <row r="646" spans="1:42" hidden="1" x14ac:dyDescent="0.3">
      <c r="A646" s="5" t="s">
        <v>785</v>
      </c>
      <c r="B646" s="5" t="s">
        <v>17</v>
      </c>
      <c r="C646" s="22">
        <v>44946</v>
      </c>
      <c r="D646" s="22">
        <v>44967</v>
      </c>
      <c r="E646" s="3">
        <v>0</v>
      </c>
      <c r="F646" s="3">
        <v>0</v>
      </c>
      <c r="G646" s="3">
        <v>0</v>
      </c>
      <c r="H646" s="3">
        <v>0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7.0000000000000007E-2</v>
      </c>
      <c r="X646" s="3">
        <v>0.14000000000000001</v>
      </c>
      <c r="Y646" s="3">
        <v>0.14000000000000001</v>
      </c>
      <c r="Z646" s="3">
        <v>0.14000000000000001</v>
      </c>
      <c r="AA646" s="3">
        <v>0.14000000000000001</v>
      </c>
      <c r="AB646" s="3">
        <v>0.14000000000000001</v>
      </c>
      <c r="AC646" s="3">
        <v>0.14000000000000001</v>
      </c>
      <c r="AD646" s="3">
        <v>0.14000000000000001</v>
      </c>
      <c r="AE646" s="3">
        <v>0.14000000000000001</v>
      </c>
      <c r="AF646" s="3">
        <v>0.14000000000000001</v>
      </c>
      <c r="AG646" s="3">
        <v>0.14000000000000001</v>
      </c>
      <c r="AH646" s="3">
        <v>0.14000000000000001</v>
      </c>
      <c r="AI646" s="3">
        <v>0.14000000000000001</v>
      </c>
      <c r="AJ646" s="3">
        <v>0.14000000000000001</v>
      </c>
      <c r="AK646" s="3">
        <v>0.14000000000000001</v>
      </c>
      <c r="AL646" s="3">
        <v>0.14000000000000001</v>
      </c>
      <c r="AM646" s="3">
        <v>0.14000000000000001</v>
      </c>
      <c r="AN646" s="3">
        <v>0.14000000000000001</v>
      </c>
      <c r="AO646" s="3">
        <v>0.14000000000000001</v>
      </c>
      <c r="AP646" s="3">
        <v>0.14000000000000001</v>
      </c>
    </row>
    <row r="647" spans="1:42" hidden="1" x14ac:dyDescent="0.3">
      <c r="A647" s="4" t="s">
        <v>786</v>
      </c>
      <c r="B647" s="4" t="s">
        <v>95</v>
      </c>
      <c r="C647" s="21">
        <v>45121</v>
      </c>
      <c r="D647" s="21">
        <v>45156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0.22</v>
      </c>
      <c r="AD647" s="2">
        <v>0.35</v>
      </c>
      <c r="AE647" s="2">
        <v>0.35</v>
      </c>
      <c r="AF647" s="2">
        <v>0.35</v>
      </c>
      <c r="AG647" s="2">
        <v>0.35</v>
      </c>
      <c r="AH647" s="2">
        <v>0.35</v>
      </c>
      <c r="AI647" s="2">
        <v>0.35</v>
      </c>
      <c r="AJ647" s="2">
        <v>0.35</v>
      </c>
      <c r="AK647" s="2">
        <v>0.35</v>
      </c>
      <c r="AL647" s="2">
        <v>0.35</v>
      </c>
      <c r="AM647" s="2">
        <v>0.35</v>
      </c>
      <c r="AN647" s="2">
        <v>0.35</v>
      </c>
      <c r="AO647" s="2">
        <v>0.35</v>
      </c>
      <c r="AP647" s="2">
        <v>0.35</v>
      </c>
    </row>
    <row r="648" spans="1:42" hidden="1" x14ac:dyDescent="0.3">
      <c r="A648" s="5" t="s">
        <v>787</v>
      </c>
      <c r="B648" s="5" t="s">
        <v>9</v>
      </c>
      <c r="C648" s="22">
        <v>45121</v>
      </c>
      <c r="D648" s="22">
        <v>45128</v>
      </c>
      <c r="E648" s="3">
        <v>0</v>
      </c>
      <c r="F648" s="3">
        <v>0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>
        <v>0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3">
        <v>0</v>
      </c>
      <c r="AC648" s="3">
        <v>0.14000000000000001</v>
      </c>
      <c r="AD648" s="3">
        <v>0.14000000000000001</v>
      </c>
      <c r="AE648" s="3">
        <v>0.14000000000000001</v>
      </c>
      <c r="AF648" s="3">
        <v>0.14000000000000001</v>
      </c>
      <c r="AG648" s="3">
        <v>0.14000000000000001</v>
      </c>
      <c r="AH648" s="3">
        <v>0.14000000000000001</v>
      </c>
      <c r="AI648" s="3">
        <v>0.14000000000000001</v>
      </c>
      <c r="AJ648" s="3">
        <v>0.14000000000000001</v>
      </c>
      <c r="AK648" s="3">
        <v>0.14000000000000001</v>
      </c>
      <c r="AL648" s="3">
        <v>0.14000000000000001</v>
      </c>
      <c r="AM648" s="3">
        <v>0.14000000000000001</v>
      </c>
      <c r="AN648" s="3">
        <v>0.14000000000000001</v>
      </c>
      <c r="AO648" s="3">
        <v>0.14000000000000001</v>
      </c>
      <c r="AP648" s="3">
        <v>0.14000000000000001</v>
      </c>
    </row>
    <row r="649" spans="1:42" hidden="1" x14ac:dyDescent="0.3">
      <c r="A649" s="5" t="s">
        <v>788</v>
      </c>
      <c r="B649" s="5" t="s">
        <v>9</v>
      </c>
      <c r="C649" s="22">
        <v>45149</v>
      </c>
      <c r="D649" s="22">
        <v>45156</v>
      </c>
      <c r="E649" s="3">
        <v>0</v>
      </c>
      <c r="F649" s="3">
        <v>0</v>
      </c>
      <c r="G649" s="3">
        <v>0</v>
      </c>
      <c r="H649" s="3">
        <v>0</v>
      </c>
      <c r="I649" s="3">
        <v>0</v>
      </c>
      <c r="J649" s="3">
        <v>0</v>
      </c>
      <c r="K649" s="3">
        <v>0</v>
      </c>
      <c r="L649" s="3">
        <v>0</v>
      </c>
      <c r="M649" s="3">
        <v>0</v>
      </c>
      <c r="N649" s="3">
        <v>0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3">
        <v>0</v>
      </c>
      <c r="AC649" s="3">
        <v>0</v>
      </c>
      <c r="AD649" s="3">
        <v>0.05</v>
      </c>
      <c r="AE649" s="3">
        <v>0.05</v>
      </c>
      <c r="AF649" s="3">
        <v>0.05</v>
      </c>
      <c r="AG649" s="3">
        <v>0.05</v>
      </c>
      <c r="AH649" s="3">
        <v>0.05</v>
      </c>
      <c r="AI649" s="3">
        <v>0.05</v>
      </c>
      <c r="AJ649" s="3">
        <v>0.05</v>
      </c>
      <c r="AK649" s="3">
        <v>0.05</v>
      </c>
      <c r="AL649" s="3">
        <v>0.05</v>
      </c>
      <c r="AM649" s="3">
        <v>0.05</v>
      </c>
      <c r="AN649" s="3">
        <v>0.05</v>
      </c>
      <c r="AO649" s="3">
        <v>0.05</v>
      </c>
      <c r="AP649" s="3">
        <v>0.05</v>
      </c>
    </row>
    <row r="650" spans="1:42" hidden="1" x14ac:dyDescent="0.3">
      <c r="A650" s="5" t="s">
        <v>789</v>
      </c>
      <c r="B650" s="5" t="s">
        <v>12</v>
      </c>
      <c r="C650" s="22">
        <v>45128</v>
      </c>
      <c r="D650" s="22">
        <v>45133</v>
      </c>
      <c r="E650" s="3">
        <v>0</v>
      </c>
      <c r="F650" s="3">
        <v>0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3">
        <v>0</v>
      </c>
      <c r="AC650" s="3">
        <v>0.05</v>
      </c>
      <c r="AD650" s="3">
        <v>0.05</v>
      </c>
      <c r="AE650" s="3">
        <v>0.05</v>
      </c>
      <c r="AF650" s="3">
        <v>0.05</v>
      </c>
      <c r="AG650" s="3">
        <v>0.05</v>
      </c>
      <c r="AH650" s="3">
        <v>0.05</v>
      </c>
      <c r="AI650" s="3">
        <v>0.05</v>
      </c>
      <c r="AJ650" s="3">
        <v>0.05</v>
      </c>
      <c r="AK650" s="3">
        <v>0.05</v>
      </c>
      <c r="AL650" s="3">
        <v>0.05</v>
      </c>
      <c r="AM650" s="3">
        <v>0.05</v>
      </c>
      <c r="AN650" s="3">
        <v>0.05</v>
      </c>
      <c r="AO650" s="3">
        <v>0.05</v>
      </c>
      <c r="AP650" s="3">
        <v>0.05</v>
      </c>
    </row>
    <row r="651" spans="1:42" hidden="1" x14ac:dyDescent="0.3">
      <c r="A651" s="5" t="s">
        <v>790</v>
      </c>
      <c r="B651" s="5" t="s">
        <v>12</v>
      </c>
      <c r="C651" s="22">
        <v>45133</v>
      </c>
      <c r="D651" s="22">
        <v>45138</v>
      </c>
      <c r="E651" s="3">
        <v>0</v>
      </c>
      <c r="F651" s="3">
        <v>0</v>
      </c>
      <c r="G651" s="3">
        <v>0</v>
      </c>
      <c r="H651" s="3">
        <v>0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3">
        <v>0</v>
      </c>
      <c r="AC651" s="3">
        <v>0.03</v>
      </c>
      <c r="AD651" s="3">
        <v>0.03</v>
      </c>
      <c r="AE651" s="3">
        <v>0.03</v>
      </c>
      <c r="AF651" s="3">
        <v>0.03</v>
      </c>
      <c r="AG651" s="3">
        <v>0.03</v>
      </c>
      <c r="AH651" s="3">
        <v>0.03</v>
      </c>
      <c r="AI651" s="3">
        <v>0.03</v>
      </c>
      <c r="AJ651" s="3">
        <v>0.03</v>
      </c>
      <c r="AK651" s="3">
        <v>0.03</v>
      </c>
      <c r="AL651" s="3">
        <v>0.03</v>
      </c>
      <c r="AM651" s="3">
        <v>0.03</v>
      </c>
      <c r="AN651" s="3">
        <v>0.03</v>
      </c>
      <c r="AO651" s="3">
        <v>0.03</v>
      </c>
      <c r="AP651" s="3">
        <v>0.03</v>
      </c>
    </row>
    <row r="652" spans="1:42" hidden="1" x14ac:dyDescent="0.3">
      <c r="A652" s="5" t="s">
        <v>791</v>
      </c>
      <c r="B652" s="5" t="s">
        <v>12</v>
      </c>
      <c r="C652" s="22">
        <v>45138</v>
      </c>
      <c r="D652" s="22">
        <v>45141</v>
      </c>
      <c r="E652" s="3">
        <v>0</v>
      </c>
      <c r="F652" s="3">
        <v>0</v>
      </c>
      <c r="G652" s="3">
        <v>0</v>
      </c>
      <c r="H652" s="3">
        <v>0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3">
        <v>0</v>
      </c>
      <c r="AC652" s="3">
        <v>0.01</v>
      </c>
      <c r="AD652" s="3">
        <v>0.03</v>
      </c>
      <c r="AE652" s="3">
        <v>0.03</v>
      </c>
      <c r="AF652" s="3">
        <v>0.03</v>
      </c>
      <c r="AG652" s="3">
        <v>0.03</v>
      </c>
      <c r="AH652" s="3">
        <v>0.03</v>
      </c>
      <c r="AI652" s="3">
        <v>0.03</v>
      </c>
      <c r="AJ652" s="3">
        <v>0.03</v>
      </c>
      <c r="AK652" s="3">
        <v>0.03</v>
      </c>
      <c r="AL652" s="3">
        <v>0.03</v>
      </c>
      <c r="AM652" s="3">
        <v>0.03</v>
      </c>
      <c r="AN652" s="3">
        <v>0.03</v>
      </c>
      <c r="AO652" s="3">
        <v>0.03</v>
      </c>
      <c r="AP652" s="3">
        <v>0.03</v>
      </c>
    </row>
    <row r="653" spans="1:42" hidden="1" x14ac:dyDescent="0.3">
      <c r="A653" s="5" t="s">
        <v>792</v>
      </c>
      <c r="B653" s="5" t="s">
        <v>12</v>
      </c>
      <c r="C653" s="22">
        <v>45141</v>
      </c>
      <c r="D653" s="22">
        <v>45146</v>
      </c>
      <c r="E653" s="3">
        <v>0</v>
      </c>
      <c r="F653" s="3">
        <v>0</v>
      </c>
      <c r="G653" s="3">
        <v>0</v>
      </c>
      <c r="H653" s="3">
        <v>0</v>
      </c>
      <c r="I653" s="3">
        <v>0</v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3">
        <v>0</v>
      </c>
      <c r="AC653" s="3">
        <v>0</v>
      </c>
      <c r="AD653" s="3">
        <v>0.03</v>
      </c>
      <c r="AE653" s="3">
        <v>0.03</v>
      </c>
      <c r="AF653" s="3">
        <v>0.03</v>
      </c>
      <c r="AG653" s="3">
        <v>0.03</v>
      </c>
      <c r="AH653" s="3">
        <v>0.03</v>
      </c>
      <c r="AI653" s="3">
        <v>0.03</v>
      </c>
      <c r="AJ653" s="3">
        <v>0.03</v>
      </c>
      <c r="AK653" s="3">
        <v>0.03</v>
      </c>
      <c r="AL653" s="3">
        <v>0.03</v>
      </c>
      <c r="AM653" s="3">
        <v>0.03</v>
      </c>
      <c r="AN653" s="3">
        <v>0.03</v>
      </c>
      <c r="AO653" s="3">
        <v>0.03</v>
      </c>
      <c r="AP653" s="3">
        <v>0.03</v>
      </c>
    </row>
    <row r="654" spans="1:42" hidden="1" x14ac:dyDescent="0.3">
      <c r="A654" s="5" t="s">
        <v>793</v>
      </c>
      <c r="B654" s="5" t="s">
        <v>12</v>
      </c>
      <c r="C654" s="22">
        <v>45146</v>
      </c>
      <c r="D654" s="22">
        <v>45149</v>
      </c>
      <c r="E654" s="3">
        <v>0</v>
      </c>
      <c r="F654" s="3">
        <v>0</v>
      </c>
      <c r="G654" s="3">
        <v>0</v>
      </c>
      <c r="H654" s="3">
        <v>0</v>
      </c>
      <c r="I654" s="3">
        <v>0</v>
      </c>
      <c r="J654" s="3">
        <v>0</v>
      </c>
      <c r="K654" s="3">
        <v>0</v>
      </c>
      <c r="L654" s="3">
        <v>0</v>
      </c>
      <c r="M654" s="3">
        <v>0</v>
      </c>
      <c r="N654" s="3">
        <v>0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3">
        <v>0</v>
      </c>
      <c r="AC654" s="3">
        <v>0</v>
      </c>
      <c r="AD654" s="3">
        <v>0.03</v>
      </c>
      <c r="AE654" s="3">
        <v>0.03</v>
      </c>
      <c r="AF654" s="3">
        <v>0.03</v>
      </c>
      <c r="AG654" s="3">
        <v>0.03</v>
      </c>
      <c r="AH654" s="3">
        <v>0.03</v>
      </c>
      <c r="AI654" s="3">
        <v>0.03</v>
      </c>
      <c r="AJ654" s="3">
        <v>0.03</v>
      </c>
      <c r="AK654" s="3">
        <v>0.03</v>
      </c>
      <c r="AL654" s="3">
        <v>0.03</v>
      </c>
      <c r="AM654" s="3">
        <v>0.03</v>
      </c>
      <c r="AN654" s="3">
        <v>0.03</v>
      </c>
      <c r="AO654" s="3">
        <v>0.03</v>
      </c>
      <c r="AP654" s="3">
        <v>0.03</v>
      </c>
    </row>
    <row r="655" spans="1:42" hidden="1" x14ac:dyDescent="0.3">
      <c r="A655" s="5" t="s">
        <v>794</v>
      </c>
      <c r="B655" s="5" t="s">
        <v>11</v>
      </c>
      <c r="C655" s="22">
        <v>45156</v>
      </c>
      <c r="D655" s="22">
        <v>45184</v>
      </c>
      <c r="E655" s="3">
        <v>0</v>
      </c>
      <c r="F655" s="3">
        <v>0</v>
      </c>
      <c r="G655" s="3">
        <v>0</v>
      </c>
      <c r="H655" s="3">
        <v>0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3">
        <v>0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3">
        <v>0</v>
      </c>
      <c r="AC655" s="3">
        <v>0</v>
      </c>
      <c r="AD655" s="3">
        <v>0.01</v>
      </c>
      <c r="AE655" s="3">
        <v>0.03</v>
      </c>
      <c r="AF655" s="3">
        <v>0.03</v>
      </c>
      <c r="AG655" s="3">
        <v>0.03</v>
      </c>
      <c r="AH655" s="3">
        <v>0.03</v>
      </c>
      <c r="AI655" s="3">
        <v>0.03</v>
      </c>
      <c r="AJ655" s="3">
        <v>0.03</v>
      </c>
      <c r="AK655" s="3">
        <v>0.03</v>
      </c>
      <c r="AL655" s="3">
        <v>0.03</v>
      </c>
      <c r="AM655" s="3">
        <v>0.03</v>
      </c>
      <c r="AN655" s="3">
        <v>0.03</v>
      </c>
      <c r="AO655" s="3">
        <v>0.03</v>
      </c>
      <c r="AP655" s="3">
        <v>0.03</v>
      </c>
    </row>
    <row r="656" spans="1:42" hidden="1" x14ac:dyDescent="0.3">
      <c r="A656" s="15" t="s">
        <v>795</v>
      </c>
      <c r="B656" s="15" t="s">
        <v>96</v>
      </c>
      <c r="C656" s="20">
        <v>45274</v>
      </c>
      <c r="D656" s="20">
        <v>45286</v>
      </c>
      <c r="E656" s="8">
        <v>0</v>
      </c>
      <c r="F656" s="8">
        <v>0</v>
      </c>
      <c r="G656" s="8">
        <v>0</v>
      </c>
      <c r="H656" s="8">
        <v>0</v>
      </c>
      <c r="I656" s="8">
        <v>0</v>
      </c>
      <c r="J656" s="8">
        <v>0</v>
      </c>
      <c r="K656" s="8">
        <v>0</v>
      </c>
      <c r="L656" s="8">
        <v>0</v>
      </c>
      <c r="M656" s="8">
        <v>0</v>
      </c>
      <c r="N656" s="8">
        <v>0</v>
      </c>
      <c r="O656" s="8">
        <v>0</v>
      </c>
      <c r="P656" s="8">
        <v>0</v>
      </c>
      <c r="Q656" s="8">
        <v>0</v>
      </c>
      <c r="R656" s="8">
        <v>0</v>
      </c>
      <c r="S656" s="8">
        <v>0</v>
      </c>
      <c r="T656" s="8">
        <v>0</v>
      </c>
      <c r="U656" s="8">
        <v>0</v>
      </c>
      <c r="V656" s="8">
        <v>0</v>
      </c>
      <c r="W656" s="8">
        <v>0</v>
      </c>
      <c r="X656" s="8">
        <v>0</v>
      </c>
      <c r="Y656" s="8">
        <v>0</v>
      </c>
      <c r="Z656" s="8">
        <v>0</v>
      </c>
      <c r="AA656" s="8">
        <v>0</v>
      </c>
      <c r="AB656" s="8">
        <v>0</v>
      </c>
      <c r="AC656" s="8">
        <v>0</v>
      </c>
      <c r="AD656" s="8">
        <v>0</v>
      </c>
      <c r="AE656" s="8">
        <v>0</v>
      </c>
      <c r="AF656" s="8">
        <v>0</v>
      </c>
      <c r="AG656" s="8">
        <v>0</v>
      </c>
      <c r="AH656" s="8">
        <v>7.0000000000000007E-2</v>
      </c>
      <c r="AI656" s="8">
        <v>7.0000000000000007E-2</v>
      </c>
      <c r="AJ656" s="8">
        <v>7.0000000000000007E-2</v>
      </c>
      <c r="AK656" s="8">
        <v>7.0000000000000007E-2</v>
      </c>
      <c r="AL656" s="8">
        <v>7.0000000000000007E-2</v>
      </c>
      <c r="AM656" s="8">
        <v>7.0000000000000007E-2</v>
      </c>
      <c r="AN656" s="8">
        <v>7.0000000000000007E-2</v>
      </c>
      <c r="AO656" s="8">
        <v>7.0000000000000007E-2</v>
      </c>
      <c r="AP656" s="8">
        <v>7.0000000000000007E-2</v>
      </c>
    </row>
    <row r="657" spans="1:42" hidden="1" x14ac:dyDescent="0.3">
      <c r="A657" s="5" t="s">
        <v>796</v>
      </c>
      <c r="B657" s="5" t="s">
        <v>33</v>
      </c>
      <c r="C657" s="22">
        <v>45274</v>
      </c>
      <c r="D657" s="22">
        <v>45286</v>
      </c>
      <c r="E657" s="3">
        <v>0</v>
      </c>
      <c r="F657" s="3">
        <v>0</v>
      </c>
      <c r="G657" s="3">
        <v>0</v>
      </c>
      <c r="H657" s="3">
        <v>0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3">
        <v>0</v>
      </c>
      <c r="AC657" s="3">
        <v>0</v>
      </c>
      <c r="AD657" s="3">
        <v>0</v>
      </c>
      <c r="AE657" s="3">
        <v>0</v>
      </c>
      <c r="AF657" s="3">
        <v>0</v>
      </c>
      <c r="AG657" s="3">
        <v>0</v>
      </c>
      <c r="AH657" s="3">
        <v>7.0000000000000007E-2</v>
      </c>
      <c r="AI657" s="3">
        <v>7.0000000000000007E-2</v>
      </c>
      <c r="AJ657" s="3">
        <v>7.0000000000000007E-2</v>
      </c>
      <c r="AK657" s="3">
        <v>7.0000000000000007E-2</v>
      </c>
      <c r="AL657" s="3">
        <v>7.0000000000000007E-2</v>
      </c>
      <c r="AM657" s="3">
        <v>7.0000000000000007E-2</v>
      </c>
      <c r="AN657" s="3">
        <v>7.0000000000000007E-2</v>
      </c>
      <c r="AO657" s="3">
        <v>7.0000000000000007E-2</v>
      </c>
      <c r="AP657" s="3">
        <v>7.0000000000000007E-2</v>
      </c>
    </row>
    <row r="658" spans="1:42" hidden="1" x14ac:dyDescent="0.3">
      <c r="A658" s="15" t="s">
        <v>797</v>
      </c>
      <c r="B658" s="15" t="s">
        <v>12</v>
      </c>
      <c r="C658" s="20">
        <v>45345</v>
      </c>
      <c r="D658" s="20">
        <v>45349</v>
      </c>
      <c r="E658" s="8">
        <v>0</v>
      </c>
      <c r="F658" s="8">
        <v>0</v>
      </c>
      <c r="G658" s="8">
        <v>0</v>
      </c>
      <c r="H658" s="8">
        <v>0</v>
      </c>
      <c r="I658" s="8">
        <v>0</v>
      </c>
      <c r="J658" s="8">
        <v>0</v>
      </c>
      <c r="K658" s="8">
        <v>0</v>
      </c>
      <c r="L658" s="8">
        <v>0</v>
      </c>
      <c r="M658" s="8">
        <v>0</v>
      </c>
      <c r="N658" s="8">
        <v>0</v>
      </c>
      <c r="O658" s="8">
        <v>0</v>
      </c>
      <c r="P658" s="8">
        <v>0</v>
      </c>
      <c r="Q658" s="8">
        <v>0</v>
      </c>
      <c r="R658" s="8">
        <v>0</v>
      </c>
      <c r="S658" s="8">
        <v>0</v>
      </c>
      <c r="T658" s="8">
        <v>0</v>
      </c>
      <c r="U658" s="8">
        <v>0</v>
      </c>
      <c r="V658" s="8">
        <v>0</v>
      </c>
      <c r="W658" s="8">
        <v>0</v>
      </c>
      <c r="X658" s="8">
        <v>0</v>
      </c>
      <c r="Y658" s="8">
        <v>0</v>
      </c>
      <c r="Z658" s="8">
        <v>0</v>
      </c>
      <c r="AA658" s="8">
        <v>0</v>
      </c>
      <c r="AB658" s="8">
        <v>0</v>
      </c>
      <c r="AC658" s="8">
        <v>0</v>
      </c>
      <c r="AD658" s="8">
        <v>0</v>
      </c>
      <c r="AE658" s="8">
        <v>0</v>
      </c>
      <c r="AF658" s="8">
        <v>0</v>
      </c>
      <c r="AG658" s="8">
        <v>0</v>
      </c>
      <c r="AH658" s="8">
        <v>0</v>
      </c>
      <c r="AI658" s="8">
        <v>0</v>
      </c>
      <c r="AJ658" s="8">
        <v>0.01</v>
      </c>
      <c r="AK658" s="8">
        <v>0.01</v>
      </c>
      <c r="AL658" s="8">
        <v>0.01</v>
      </c>
      <c r="AM658" s="8">
        <v>0.01</v>
      </c>
      <c r="AN658" s="8">
        <v>0.01</v>
      </c>
      <c r="AO658" s="8">
        <v>0.01</v>
      </c>
      <c r="AP658" s="8">
        <v>0.01</v>
      </c>
    </row>
    <row r="659" spans="1:42" hidden="1" x14ac:dyDescent="0.3">
      <c r="A659" s="5" t="s">
        <v>798</v>
      </c>
      <c r="B659" s="5" t="s">
        <v>12</v>
      </c>
      <c r="C659" s="22">
        <v>45345</v>
      </c>
      <c r="D659" s="22">
        <v>45349</v>
      </c>
      <c r="E659" s="3">
        <v>0</v>
      </c>
      <c r="F659" s="3">
        <v>0</v>
      </c>
      <c r="G659" s="3">
        <v>0</v>
      </c>
      <c r="H659" s="3">
        <v>0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3">
        <v>0</v>
      </c>
      <c r="AC659" s="3">
        <v>0</v>
      </c>
      <c r="AD659" s="3">
        <v>0</v>
      </c>
      <c r="AE659" s="3">
        <v>0</v>
      </c>
      <c r="AF659" s="3">
        <v>0</v>
      </c>
      <c r="AG659" s="3">
        <v>0</v>
      </c>
      <c r="AH659" s="3">
        <v>0</v>
      </c>
      <c r="AI659" s="3">
        <v>0</v>
      </c>
      <c r="AJ659" s="3">
        <v>0.01</v>
      </c>
      <c r="AK659" s="3">
        <v>0.01</v>
      </c>
      <c r="AL659" s="3">
        <v>0.01</v>
      </c>
      <c r="AM659" s="3">
        <v>0.01</v>
      </c>
      <c r="AN659" s="3">
        <v>0.01</v>
      </c>
      <c r="AO659" s="3">
        <v>0.01</v>
      </c>
      <c r="AP659" s="3">
        <v>0.01</v>
      </c>
    </row>
    <row r="660" spans="1:42" hidden="1" x14ac:dyDescent="0.3">
      <c r="A660" s="15" t="s">
        <v>799</v>
      </c>
      <c r="B660" s="15" t="s">
        <v>9</v>
      </c>
      <c r="C660" s="20">
        <v>45184</v>
      </c>
      <c r="D660" s="20">
        <v>45190</v>
      </c>
      <c r="E660" s="8">
        <v>0</v>
      </c>
      <c r="F660" s="8">
        <v>0</v>
      </c>
      <c r="G660" s="8">
        <v>0</v>
      </c>
      <c r="H660" s="8">
        <v>0</v>
      </c>
      <c r="I660" s="8">
        <v>0</v>
      </c>
      <c r="J660" s="8">
        <v>0</v>
      </c>
      <c r="K660" s="8">
        <v>0</v>
      </c>
      <c r="L660" s="8">
        <v>0</v>
      </c>
      <c r="M660" s="8">
        <v>0</v>
      </c>
      <c r="N660" s="8">
        <v>0</v>
      </c>
      <c r="O660" s="8">
        <v>0</v>
      </c>
      <c r="P660" s="8">
        <v>0</v>
      </c>
      <c r="Q660" s="8">
        <v>0</v>
      </c>
      <c r="R660" s="8">
        <v>0</v>
      </c>
      <c r="S660" s="8">
        <v>0</v>
      </c>
      <c r="T660" s="8">
        <v>0</v>
      </c>
      <c r="U660" s="8">
        <v>0</v>
      </c>
      <c r="V660" s="8">
        <v>0</v>
      </c>
      <c r="W660" s="8">
        <v>0</v>
      </c>
      <c r="X660" s="8">
        <v>0</v>
      </c>
      <c r="Y660" s="8">
        <v>0</v>
      </c>
      <c r="Z660" s="8">
        <v>0</v>
      </c>
      <c r="AA660" s="8">
        <v>0</v>
      </c>
      <c r="AB660" s="8">
        <v>0</v>
      </c>
      <c r="AC660" s="8">
        <v>0</v>
      </c>
      <c r="AD660" s="8">
        <v>0</v>
      </c>
      <c r="AE660" s="8">
        <v>0.01</v>
      </c>
      <c r="AF660" s="8">
        <v>0.01</v>
      </c>
      <c r="AG660" s="8">
        <v>0.01</v>
      </c>
      <c r="AH660" s="8">
        <v>0.01</v>
      </c>
      <c r="AI660" s="8">
        <v>0.01</v>
      </c>
      <c r="AJ660" s="8">
        <v>0.01</v>
      </c>
      <c r="AK660" s="8">
        <v>0.01</v>
      </c>
      <c r="AL660" s="8">
        <v>0.01</v>
      </c>
      <c r="AM660" s="8">
        <v>0.01</v>
      </c>
      <c r="AN660" s="8">
        <v>0.01</v>
      </c>
      <c r="AO660" s="8">
        <v>0.01</v>
      </c>
      <c r="AP660" s="8">
        <v>0.01</v>
      </c>
    </row>
    <row r="661" spans="1:42" hidden="1" x14ac:dyDescent="0.3">
      <c r="A661" s="5" t="s">
        <v>800</v>
      </c>
      <c r="B661" s="5" t="s">
        <v>9</v>
      </c>
      <c r="C661" s="22">
        <v>45184</v>
      </c>
      <c r="D661" s="22">
        <v>45190</v>
      </c>
      <c r="E661" s="3">
        <v>0</v>
      </c>
      <c r="F661" s="3">
        <v>0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  <c r="M661" s="3">
        <v>0</v>
      </c>
      <c r="N661" s="3">
        <v>0</v>
      </c>
      <c r="O661" s="3">
        <v>0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3">
        <v>0</v>
      </c>
      <c r="AC661" s="3">
        <v>0</v>
      </c>
      <c r="AD661" s="3">
        <v>0</v>
      </c>
      <c r="AE661" s="3">
        <v>0.01</v>
      </c>
      <c r="AF661" s="3">
        <v>0.01</v>
      </c>
      <c r="AG661" s="3">
        <v>0.01</v>
      </c>
      <c r="AH661" s="3">
        <v>0.01</v>
      </c>
      <c r="AI661" s="3">
        <v>0.01</v>
      </c>
      <c r="AJ661" s="3">
        <v>0.01</v>
      </c>
      <c r="AK661" s="3">
        <v>0.01</v>
      </c>
      <c r="AL661" s="3">
        <v>0.01</v>
      </c>
      <c r="AM661" s="3">
        <v>0.01</v>
      </c>
      <c r="AN661" s="3">
        <v>0.01</v>
      </c>
      <c r="AO661" s="3">
        <v>0.01</v>
      </c>
      <c r="AP661" s="3">
        <v>0.01</v>
      </c>
    </row>
    <row r="662" spans="1:42" hidden="1" x14ac:dyDescent="0.3">
      <c r="A662" s="15" t="s">
        <v>801</v>
      </c>
      <c r="B662" s="15" t="s">
        <v>97</v>
      </c>
      <c r="C662" s="20">
        <v>45079</v>
      </c>
      <c r="D662" s="20">
        <v>45197</v>
      </c>
      <c r="E662" s="8">
        <v>0</v>
      </c>
      <c r="F662" s="8">
        <v>0</v>
      </c>
      <c r="G662" s="8">
        <v>0</v>
      </c>
      <c r="H662" s="8">
        <v>0</v>
      </c>
      <c r="I662" s="8">
        <v>0</v>
      </c>
      <c r="J662" s="8">
        <v>0</v>
      </c>
      <c r="K662" s="8">
        <v>0</v>
      </c>
      <c r="L662" s="8">
        <v>0</v>
      </c>
      <c r="M662" s="8">
        <v>0</v>
      </c>
      <c r="N662" s="8">
        <v>0</v>
      </c>
      <c r="O662" s="8">
        <v>0</v>
      </c>
      <c r="P662" s="8">
        <v>0</v>
      </c>
      <c r="Q662" s="8">
        <v>0</v>
      </c>
      <c r="R662" s="8">
        <v>0</v>
      </c>
      <c r="S662" s="8">
        <v>0</v>
      </c>
      <c r="T662" s="8">
        <v>0</v>
      </c>
      <c r="U662" s="8">
        <v>0</v>
      </c>
      <c r="V662" s="8">
        <v>0</v>
      </c>
      <c r="W662" s="8">
        <v>0</v>
      </c>
      <c r="X662" s="8">
        <v>0</v>
      </c>
      <c r="Y662" s="8">
        <v>0</v>
      </c>
      <c r="Z662" s="8">
        <v>0</v>
      </c>
      <c r="AA662" s="8">
        <v>0</v>
      </c>
      <c r="AB662" s="8">
        <v>0.49</v>
      </c>
      <c r="AC662" s="8">
        <v>0.49</v>
      </c>
      <c r="AD662" s="8">
        <v>0.53</v>
      </c>
      <c r="AE662" s="8">
        <v>0.57999999999999996</v>
      </c>
      <c r="AF662" s="8">
        <v>0.57999999999999996</v>
      </c>
      <c r="AG662" s="8">
        <v>0.57999999999999996</v>
      </c>
      <c r="AH662" s="8">
        <v>0.57999999999999996</v>
      </c>
      <c r="AI662" s="8">
        <v>0.57999999999999996</v>
      </c>
      <c r="AJ662" s="8">
        <v>0.57999999999999996</v>
      </c>
      <c r="AK662" s="8">
        <v>0.57999999999999996</v>
      </c>
      <c r="AL662" s="8">
        <v>0.57999999999999996</v>
      </c>
      <c r="AM662" s="8">
        <v>0.57999999999999996</v>
      </c>
      <c r="AN662" s="8">
        <v>0.57999999999999996</v>
      </c>
      <c r="AO662" s="8">
        <v>0.57999999999999996</v>
      </c>
      <c r="AP662" s="8">
        <v>0.57999999999999996</v>
      </c>
    </row>
    <row r="663" spans="1:42" hidden="1" x14ac:dyDescent="0.3">
      <c r="A663" s="5" t="s">
        <v>802</v>
      </c>
      <c r="B663" s="5" t="s">
        <v>9</v>
      </c>
      <c r="C663" s="22">
        <v>45079</v>
      </c>
      <c r="D663" s="22">
        <v>45086</v>
      </c>
      <c r="E663" s="3">
        <v>0</v>
      </c>
      <c r="F663" s="3">
        <v>0</v>
      </c>
      <c r="G663" s="3">
        <v>0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3">
        <v>0.49</v>
      </c>
      <c r="AC663" s="3">
        <v>0.49</v>
      </c>
      <c r="AD663" s="3">
        <v>0.49</v>
      </c>
      <c r="AE663" s="3">
        <v>0.49</v>
      </c>
      <c r="AF663" s="3">
        <v>0.49</v>
      </c>
      <c r="AG663" s="3">
        <v>0.49</v>
      </c>
      <c r="AH663" s="3">
        <v>0.49</v>
      </c>
      <c r="AI663" s="3">
        <v>0.49</v>
      </c>
      <c r="AJ663" s="3">
        <v>0.49</v>
      </c>
      <c r="AK663" s="3">
        <v>0.49</v>
      </c>
      <c r="AL663" s="3">
        <v>0.49</v>
      </c>
      <c r="AM663" s="3">
        <v>0.49</v>
      </c>
      <c r="AN663" s="3">
        <v>0.49</v>
      </c>
      <c r="AO663" s="3">
        <v>0.49</v>
      </c>
      <c r="AP663" s="3">
        <v>0.49</v>
      </c>
    </row>
    <row r="664" spans="1:42" hidden="1" x14ac:dyDescent="0.3">
      <c r="A664" s="5" t="s">
        <v>803</v>
      </c>
      <c r="B664" s="5" t="s">
        <v>9</v>
      </c>
      <c r="C664" s="22">
        <v>45156</v>
      </c>
      <c r="D664" s="22">
        <v>45162</v>
      </c>
      <c r="E664" s="3">
        <v>0</v>
      </c>
      <c r="F664" s="3">
        <v>0</v>
      </c>
      <c r="G664" s="3">
        <v>0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3">
        <v>0</v>
      </c>
      <c r="AC664" s="3">
        <v>0</v>
      </c>
      <c r="AD664" s="3">
        <v>0.05</v>
      </c>
      <c r="AE664" s="3">
        <v>0.05</v>
      </c>
      <c r="AF664" s="3">
        <v>0.05</v>
      </c>
      <c r="AG664" s="3">
        <v>0.05</v>
      </c>
      <c r="AH664" s="3">
        <v>0.05</v>
      </c>
      <c r="AI664" s="3">
        <v>0.05</v>
      </c>
      <c r="AJ664" s="3">
        <v>0.05</v>
      </c>
      <c r="AK664" s="3">
        <v>0.05</v>
      </c>
      <c r="AL664" s="3">
        <v>0.05</v>
      </c>
      <c r="AM664" s="3">
        <v>0.05</v>
      </c>
      <c r="AN664" s="3">
        <v>0.05</v>
      </c>
      <c r="AO664" s="3">
        <v>0.05</v>
      </c>
      <c r="AP664" s="3">
        <v>0.05</v>
      </c>
    </row>
    <row r="665" spans="1:42" hidden="1" x14ac:dyDescent="0.3">
      <c r="A665" s="5" t="s">
        <v>804</v>
      </c>
      <c r="B665" s="5" t="s">
        <v>9</v>
      </c>
      <c r="C665" s="22">
        <v>45191</v>
      </c>
      <c r="D665" s="22">
        <v>45197</v>
      </c>
      <c r="E665" s="3">
        <v>0</v>
      </c>
      <c r="F665" s="3">
        <v>0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3">
        <v>0</v>
      </c>
      <c r="AC665" s="3">
        <v>0</v>
      </c>
      <c r="AD665" s="3">
        <v>0</v>
      </c>
      <c r="AE665" s="3">
        <v>0.05</v>
      </c>
      <c r="AF665" s="3">
        <v>0.05</v>
      </c>
      <c r="AG665" s="3">
        <v>0.05</v>
      </c>
      <c r="AH665" s="3">
        <v>0.05</v>
      </c>
      <c r="AI665" s="3">
        <v>0.05</v>
      </c>
      <c r="AJ665" s="3">
        <v>0.05</v>
      </c>
      <c r="AK665" s="3">
        <v>0.05</v>
      </c>
      <c r="AL665" s="3">
        <v>0.05</v>
      </c>
      <c r="AM665" s="3">
        <v>0.05</v>
      </c>
      <c r="AN665" s="3">
        <v>0.05</v>
      </c>
      <c r="AO665" s="3">
        <v>0.05</v>
      </c>
      <c r="AP665" s="3">
        <v>0.05</v>
      </c>
    </row>
    <row r="666" spans="1:42" hidden="1" x14ac:dyDescent="0.3">
      <c r="A666" s="15" t="s">
        <v>805</v>
      </c>
      <c r="B666" s="15" t="s">
        <v>98</v>
      </c>
      <c r="C666" s="20">
        <v>45034</v>
      </c>
      <c r="D666" s="20">
        <v>45128</v>
      </c>
      <c r="E666" s="8">
        <v>0</v>
      </c>
      <c r="F666" s="8">
        <v>0</v>
      </c>
      <c r="G666" s="8">
        <v>0</v>
      </c>
      <c r="H666" s="8">
        <v>0</v>
      </c>
      <c r="I666" s="8">
        <v>0</v>
      </c>
      <c r="J666" s="8">
        <v>0</v>
      </c>
      <c r="K666" s="8">
        <v>0</v>
      </c>
      <c r="L666" s="8">
        <v>0</v>
      </c>
      <c r="M666" s="8">
        <v>0</v>
      </c>
      <c r="N666" s="8">
        <v>0</v>
      </c>
      <c r="O666" s="8">
        <v>0</v>
      </c>
      <c r="P666" s="8">
        <v>0</v>
      </c>
      <c r="Q666" s="8">
        <v>0</v>
      </c>
      <c r="R666" s="8">
        <v>0</v>
      </c>
      <c r="S666" s="8">
        <v>0</v>
      </c>
      <c r="T666" s="8">
        <v>0</v>
      </c>
      <c r="U666" s="8">
        <v>0</v>
      </c>
      <c r="V666" s="8">
        <v>0</v>
      </c>
      <c r="W666" s="8">
        <v>0</v>
      </c>
      <c r="X666" s="8">
        <v>0</v>
      </c>
      <c r="Y666" s="8">
        <v>0</v>
      </c>
      <c r="Z666" s="8">
        <v>0.08</v>
      </c>
      <c r="AA666" s="8">
        <v>0.25</v>
      </c>
      <c r="AB666" s="8">
        <v>0.44</v>
      </c>
      <c r="AC666" s="8">
        <v>1.1599999999999999</v>
      </c>
      <c r="AD666" s="8">
        <v>1.1599999999999999</v>
      </c>
      <c r="AE666" s="8">
        <v>1.1599999999999999</v>
      </c>
      <c r="AF666" s="8">
        <v>1.1599999999999999</v>
      </c>
      <c r="AG666" s="8">
        <v>1.1599999999999999</v>
      </c>
      <c r="AH666" s="8">
        <v>1.1599999999999999</v>
      </c>
      <c r="AI666" s="8">
        <v>1.1599999999999999</v>
      </c>
      <c r="AJ666" s="8">
        <v>1.1599999999999999</v>
      </c>
      <c r="AK666" s="8">
        <v>1.1599999999999999</v>
      </c>
      <c r="AL666" s="8">
        <v>1.1599999999999999</v>
      </c>
      <c r="AM666" s="8">
        <v>1.1599999999999999</v>
      </c>
      <c r="AN666" s="8">
        <v>1.1599999999999999</v>
      </c>
      <c r="AO666" s="8">
        <v>1.1599999999999999</v>
      </c>
      <c r="AP666" s="8">
        <v>1.1599999999999999</v>
      </c>
    </row>
    <row r="667" spans="1:42" hidden="1" x14ac:dyDescent="0.3">
      <c r="A667" s="5" t="s">
        <v>806</v>
      </c>
      <c r="B667" s="5" t="s">
        <v>10</v>
      </c>
      <c r="C667" s="22">
        <v>45113</v>
      </c>
      <c r="D667" s="22">
        <v>45128</v>
      </c>
      <c r="E667" s="3">
        <v>0</v>
      </c>
      <c r="F667" s="3">
        <v>0</v>
      </c>
      <c r="G667" s="3">
        <v>0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3">
        <v>0</v>
      </c>
      <c r="AC667" s="3">
        <v>0.71</v>
      </c>
      <c r="AD667" s="3">
        <v>0.71</v>
      </c>
      <c r="AE667" s="3">
        <v>0.71</v>
      </c>
      <c r="AF667" s="3">
        <v>0.71</v>
      </c>
      <c r="AG667" s="3">
        <v>0.71</v>
      </c>
      <c r="AH667" s="3">
        <v>0.71</v>
      </c>
      <c r="AI667" s="3">
        <v>0.71</v>
      </c>
      <c r="AJ667" s="3">
        <v>0.71</v>
      </c>
      <c r="AK667" s="3">
        <v>0.71</v>
      </c>
      <c r="AL667" s="3">
        <v>0.71</v>
      </c>
      <c r="AM667" s="3">
        <v>0.71</v>
      </c>
      <c r="AN667" s="3">
        <v>0.71</v>
      </c>
      <c r="AO667" s="3">
        <v>0.71</v>
      </c>
      <c r="AP667" s="3">
        <v>0.71</v>
      </c>
    </row>
    <row r="668" spans="1:42" hidden="1" x14ac:dyDescent="0.3">
      <c r="A668" s="5" t="s">
        <v>807</v>
      </c>
      <c r="B668" s="5" t="s">
        <v>10</v>
      </c>
      <c r="C668" s="22">
        <v>45096</v>
      </c>
      <c r="D668" s="22">
        <v>45111</v>
      </c>
      <c r="E668" s="3">
        <v>0</v>
      </c>
      <c r="F668" s="3">
        <v>0</v>
      </c>
      <c r="G668" s="3">
        <v>0</v>
      </c>
      <c r="H668" s="3">
        <v>0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3">
        <v>0.1</v>
      </c>
      <c r="AC668" s="3">
        <v>0.11</v>
      </c>
      <c r="AD668" s="3">
        <v>0.11</v>
      </c>
      <c r="AE668" s="3">
        <v>0.11</v>
      </c>
      <c r="AF668" s="3">
        <v>0.11</v>
      </c>
      <c r="AG668" s="3">
        <v>0.11</v>
      </c>
      <c r="AH668" s="3">
        <v>0.11</v>
      </c>
      <c r="AI668" s="3">
        <v>0.11</v>
      </c>
      <c r="AJ668" s="3">
        <v>0.11</v>
      </c>
      <c r="AK668" s="3">
        <v>0.11</v>
      </c>
      <c r="AL668" s="3">
        <v>0.11</v>
      </c>
      <c r="AM668" s="3">
        <v>0.11</v>
      </c>
      <c r="AN668" s="3">
        <v>0.11</v>
      </c>
      <c r="AO668" s="3">
        <v>0.11</v>
      </c>
      <c r="AP668" s="3">
        <v>0.11</v>
      </c>
    </row>
    <row r="669" spans="1:42" hidden="1" x14ac:dyDescent="0.3">
      <c r="A669" s="5" t="s">
        <v>808</v>
      </c>
      <c r="B669" s="5" t="s">
        <v>10</v>
      </c>
      <c r="C669" s="22">
        <v>45075</v>
      </c>
      <c r="D669" s="22">
        <v>45091</v>
      </c>
      <c r="E669" s="3">
        <v>0</v>
      </c>
      <c r="F669" s="3">
        <v>0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0.02</v>
      </c>
      <c r="AB669" s="3">
        <v>0.11</v>
      </c>
      <c r="AC669" s="3">
        <v>0.11</v>
      </c>
      <c r="AD669" s="3">
        <v>0.11</v>
      </c>
      <c r="AE669" s="3">
        <v>0.11</v>
      </c>
      <c r="AF669" s="3">
        <v>0.11</v>
      </c>
      <c r="AG669" s="3">
        <v>0.11</v>
      </c>
      <c r="AH669" s="3">
        <v>0.11</v>
      </c>
      <c r="AI669" s="3">
        <v>0.11</v>
      </c>
      <c r="AJ669" s="3">
        <v>0.11</v>
      </c>
      <c r="AK669" s="3">
        <v>0.11</v>
      </c>
      <c r="AL669" s="3">
        <v>0.11</v>
      </c>
      <c r="AM669" s="3">
        <v>0.11</v>
      </c>
      <c r="AN669" s="3">
        <v>0.11</v>
      </c>
      <c r="AO669" s="3">
        <v>0.11</v>
      </c>
      <c r="AP669" s="3">
        <v>0.11</v>
      </c>
    </row>
    <row r="670" spans="1:42" hidden="1" x14ac:dyDescent="0.3">
      <c r="A670" s="5" t="s">
        <v>809</v>
      </c>
      <c r="B670" s="5" t="s">
        <v>10</v>
      </c>
      <c r="C670" s="22">
        <v>45056</v>
      </c>
      <c r="D670" s="22">
        <v>45070</v>
      </c>
      <c r="E670" s="3">
        <v>0</v>
      </c>
      <c r="F670" s="3">
        <v>0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0.11</v>
      </c>
      <c r="AB670" s="3">
        <v>0.11</v>
      </c>
      <c r="AC670" s="3">
        <v>0.11</v>
      </c>
      <c r="AD670" s="3">
        <v>0.11</v>
      </c>
      <c r="AE670" s="3">
        <v>0.11</v>
      </c>
      <c r="AF670" s="3">
        <v>0.11</v>
      </c>
      <c r="AG670" s="3">
        <v>0.11</v>
      </c>
      <c r="AH670" s="3">
        <v>0.11</v>
      </c>
      <c r="AI670" s="3">
        <v>0.11</v>
      </c>
      <c r="AJ670" s="3">
        <v>0.11</v>
      </c>
      <c r="AK670" s="3">
        <v>0.11</v>
      </c>
      <c r="AL670" s="3">
        <v>0.11</v>
      </c>
      <c r="AM670" s="3">
        <v>0.11</v>
      </c>
      <c r="AN670" s="3">
        <v>0.11</v>
      </c>
      <c r="AO670" s="3">
        <v>0.11</v>
      </c>
      <c r="AP670" s="3">
        <v>0.11</v>
      </c>
    </row>
    <row r="671" spans="1:42" hidden="1" x14ac:dyDescent="0.3">
      <c r="A671" s="5" t="s">
        <v>810</v>
      </c>
      <c r="B671" s="5" t="s">
        <v>10</v>
      </c>
      <c r="C671" s="22">
        <v>45034</v>
      </c>
      <c r="D671" s="22">
        <v>45051</v>
      </c>
      <c r="E671" s="3">
        <v>0</v>
      </c>
      <c r="F671" s="3">
        <v>0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0.08</v>
      </c>
      <c r="AA671" s="3">
        <v>0.11</v>
      </c>
      <c r="AB671" s="3">
        <v>0.11</v>
      </c>
      <c r="AC671" s="3">
        <v>0.11</v>
      </c>
      <c r="AD671" s="3">
        <v>0.11</v>
      </c>
      <c r="AE671" s="3">
        <v>0.11</v>
      </c>
      <c r="AF671" s="3">
        <v>0.11</v>
      </c>
      <c r="AG671" s="3">
        <v>0.11</v>
      </c>
      <c r="AH671" s="3">
        <v>0.11</v>
      </c>
      <c r="AI671" s="3">
        <v>0.11</v>
      </c>
      <c r="AJ671" s="3">
        <v>0.11</v>
      </c>
      <c r="AK671" s="3">
        <v>0.11</v>
      </c>
      <c r="AL671" s="3">
        <v>0.11</v>
      </c>
      <c r="AM671" s="3">
        <v>0.11</v>
      </c>
      <c r="AN671" s="3">
        <v>0.11</v>
      </c>
      <c r="AO671" s="3">
        <v>0.11</v>
      </c>
      <c r="AP671" s="3">
        <v>0.11</v>
      </c>
    </row>
    <row r="672" spans="1:42" hidden="1" x14ac:dyDescent="0.3">
      <c r="A672" s="15" t="s">
        <v>811</v>
      </c>
      <c r="B672" s="15" t="s">
        <v>14</v>
      </c>
      <c r="C672" s="20">
        <v>45313</v>
      </c>
      <c r="D672" s="20">
        <v>45324</v>
      </c>
      <c r="E672" s="8">
        <v>0</v>
      </c>
      <c r="F672" s="8">
        <v>0</v>
      </c>
      <c r="G672" s="8">
        <v>0</v>
      </c>
      <c r="H672" s="8">
        <v>0</v>
      </c>
      <c r="I672" s="8">
        <v>0</v>
      </c>
      <c r="J672" s="8">
        <v>0</v>
      </c>
      <c r="K672" s="8">
        <v>0</v>
      </c>
      <c r="L672" s="8">
        <v>0</v>
      </c>
      <c r="M672" s="8">
        <v>0</v>
      </c>
      <c r="N672" s="8">
        <v>0</v>
      </c>
      <c r="O672" s="8">
        <v>0</v>
      </c>
      <c r="P672" s="8">
        <v>0</v>
      </c>
      <c r="Q672" s="8">
        <v>0</v>
      </c>
      <c r="R672" s="8">
        <v>0</v>
      </c>
      <c r="S672" s="8">
        <v>0</v>
      </c>
      <c r="T672" s="8">
        <v>0</v>
      </c>
      <c r="U672" s="8">
        <v>0</v>
      </c>
      <c r="V672" s="8">
        <v>0</v>
      </c>
      <c r="W672" s="8">
        <v>0</v>
      </c>
      <c r="X672" s="8">
        <v>0</v>
      </c>
      <c r="Y672" s="8">
        <v>0</v>
      </c>
      <c r="Z672" s="8">
        <v>0</v>
      </c>
      <c r="AA672" s="8">
        <v>0</v>
      </c>
      <c r="AB672" s="8">
        <v>0</v>
      </c>
      <c r="AC672" s="8">
        <v>0</v>
      </c>
      <c r="AD672" s="8">
        <v>0</v>
      </c>
      <c r="AE672" s="8">
        <v>0</v>
      </c>
      <c r="AF672" s="8">
        <v>0</v>
      </c>
      <c r="AG672" s="8">
        <v>0</v>
      </c>
      <c r="AH672" s="8">
        <v>0</v>
      </c>
      <c r="AI672" s="8">
        <v>0.08</v>
      </c>
      <c r="AJ672" s="8">
        <v>0.09</v>
      </c>
      <c r="AK672" s="8">
        <v>0.09</v>
      </c>
      <c r="AL672" s="8">
        <v>0.09</v>
      </c>
      <c r="AM672" s="8">
        <v>0.09</v>
      </c>
      <c r="AN672" s="8">
        <v>0.09</v>
      </c>
      <c r="AO672" s="8">
        <v>0.09</v>
      </c>
      <c r="AP672" s="8">
        <v>0.09</v>
      </c>
    </row>
    <row r="673" spans="1:42" hidden="1" x14ac:dyDescent="0.3">
      <c r="A673" s="5" t="s">
        <v>812</v>
      </c>
      <c r="B673" s="5" t="s">
        <v>14</v>
      </c>
      <c r="C673" s="22">
        <v>45313</v>
      </c>
      <c r="D673" s="22">
        <v>45324</v>
      </c>
      <c r="E673" s="3">
        <v>0</v>
      </c>
      <c r="F673" s="3">
        <v>0</v>
      </c>
      <c r="G673" s="3">
        <v>0</v>
      </c>
      <c r="H673" s="3">
        <v>0</v>
      </c>
      <c r="I673" s="3">
        <v>0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>
        <v>0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3">
        <v>0</v>
      </c>
      <c r="AC673" s="3">
        <v>0</v>
      </c>
      <c r="AD673" s="3">
        <v>0</v>
      </c>
      <c r="AE673" s="3">
        <v>0</v>
      </c>
      <c r="AF673" s="3">
        <v>0</v>
      </c>
      <c r="AG673" s="3">
        <v>0</v>
      </c>
      <c r="AH673" s="3">
        <v>0</v>
      </c>
      <c r="AI673" s="3">
        <v>0.08</v>
      </c>
      <c r="AJ673" s="3">
        <v>0.09</v>
      </c>
      <c r="AK673" s="3">
        <v>0.09</v>
      </c>
      <c r="AL673" s="3">
        <v>0.09</v>
      </c>
      <c r="AM673" s="3">
        <v>0.09</v>
      </c>
      <c r="AN673" s="3">
        <v>0.09</v>
      </c>
      <c r="AO673" s="3">
        <v>0.09</v>
      </c>
      <c r="AP673" s="3">
        <v>0.09</v>
      </c>
    </row>
    <row r="674" spans="1:42" hidden="1" x14ac:dyDescent="0.3">
      <c r="A674" s="15" t="s">
        <v>813</v>
      </c>
      <c r="B674" s="15" t="s">
        <v>99</v>
      </c>
      <c r="C674" s="20">
        <v>45012</v>
      </c>
      <c r="D674" s="20">
        <v>45056</v>
      </c>
      <c r="E674" s="8">
        <v>0</v>
      </c>
      <c r="F674" s="8">
        <v>0</v>
      </c>
      <c r="G674" s="8">
        <v>0</v>
      </c>
      <c r="H674" s="8">
        <v>0</v>
      </c>
      <c r="I674" s="8">
        <v>0</v>
      </c>
      <c r="J674" s="8">
        <v>0</v>
      </c>
      <c r="K674" s="8">
        <v>0</v>
      </c>
      <c r="L674" s="8">
        <v>0</v>
      </c>
      <c r="M674" s="8">
        <v>0</v>
      </c>
      <c r="N674" s="8">
        <v>0</v>
      </c>
      <c r="O674" s="8">
        <v>0</v>
      </c>
      <c r="P674" s="8">
        <v>0</v>
      </c>
      <c r="Q674" s="8">
        <v>0</v>
      </c>
      <c r="R674" s="8">
        <v>0</v>
      </c>
      <c r="S674" s="8">
        <v>0</v>
      </c>
      <c r="T674" s="8">
        <v>0</v>
      </c>
      <c r="U674" s="8">
        <v>0</v>
      </c>
      <c r="V674" s="8">
        <v>0</v>
      </c>
      <c r="W674" s="8">
        <v>0</v>
      </c>
      <c r="X674" s="8">
        <v>0</v>
      </c>
      <c r="Y674" s="8">
        <v>0.3</v>
      </c>
      <c r="Z674" s="8">
        <v>0.47</v>
      </c>
      <c r="AA674" s="8">
        <v>0.59</v>
      </c>
      <c r="AB674" s="8">
        <v>0.59</v>
      </c>
      <c r="AC674" s="8">
        <v>0.59</v>
      </c>
      <c r="AD674" s="8">
        <v>0.59</v>
      </c>
      <c r="AE674" s="8">
        <v>0.59</v>
      </c>
      <c r="AF674" s="8">
        <v>0.59</v>
      </c>
      <c r="AG674" s="8">
        <v>0.59</v>
      </c>
      <c r="AH674" s="8">
        <v>0.59</v>
      </c>
      <c r="AI674" s="8">
        <v>0.59</v>
      </c>
      <c r="AJ674" s="8">
        <v>0.59</v>
      </c>
      <c r="AK674" s="8">
        <v>0.59</v>
      </c>
      <c r="AL674" s="8">
        <v>0.59</v>
      </c>
      <c r="AM674" s="8">
        <v>0.59</v>
      </c>
      <c r="AN674" s="8">
        <v>0.59</v>
      </c>
      <c r="AO674" s="8">
        <v>0.59</v>
      </c>
      <c r="AP674" s="8">
        <v>0.59</v>
      </c>
    </row>
    <row r="675" spans="1:42" hidden="1" x14ac:dyDescent="0.3">
      <c r="A675" s="5" t="s">
        <v>814</v>
      </c>
      <c r="B675" s="5" t="s">
        <v>9</v>
      </c>
      <c r="C675" s="22">
        <v>45012</v>
      </c>
      <c r="D675" s="22">
        <v>45016</v>
      </c>
      <c r="E675" s="3">
        <v>0</v>
      </c>
      <c r="F675" s="3">
        <v>0</v>
      </c>
      <c r="G675" s="3">
        <v>0</v>
      </c>
      <c r="H675" s="3">
        <v>0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0.3</v>
      </c>
      <c r="Z675" s="3">
        <v>0.3</v>
      </c>
      <c r="AA675" s="3">
        <v>0.3</v>
      </c>
      <c r="AB675" s="3">
        <v>0.3</v>
      </c>
      <c r="AC675" s="3">
        <v>0.3</v>
      </c>
      <c r="AD675" s="3">
        <v>0.3</v>
      </c>
      <c r="AE675" s="3">
        <v>0.3</v>
      </c>
      <c r="AF675" s="3">
        <v>0.3</v>
      </c>
      <c r="AG675" s="3">
        <v>0.3</v>
      </c>
      <c r="AH675" s="3">
        <v>0.3</v>
      </c>
      <c r="AI675" s="3">
        <v>0.3</v>
      </c>
      <c r="AJ675" s="3">
        <v>0.3</v>
      </c>
      <c r="AK675" s="3">
        <v>0.3</v>
      </c>
      <c r="AL675" s="3">
        <v>0.3</v>
      </c>
      <c r="AM675" s="3">
        <v>0.3</v>
      </c>
      <c r="AN675" s="3">
        <v>0.3</v>
      </c>
      <c r="AO675" s="3">
        <v>0.3</v>
      </c>
      <c r="AP675" s="3">
        <v>0.3</v>
      </c>
    </row>
    <row r="676" spans="1:42" hidden="1" x14ac:dyDescent="0.3">
      <c r="A676" s="5" t="s">
        <v>815</v>
      </c>
      <c r="B676" s="5" t="s">
        <v>31</v>
      </c>
      <c r="C676" s="22">
        <v>45019</v>
      </c>
      <c r="D676" s="22">
        <v>45020</v>
      </c>
      <c r="E676" s="3">
        <v>0</v>
      </c>
      <c r="F676" s="3">
        <v>0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s="3">
        <v>0.05</v>
      </c>
      <c r="AA676" s="3">
        <v>0.05</v>
      </c>
      <c r="AB676" s="3">
        <v>0.05</v>
      </c>
      <c r="AC676" s="3">
        <v>0.05</v>
      </c>
      <c r="AD676" s="3">
        <v>0.05</v>
      </c>
      <c r="AE676" s="3">
        <v>0.05</v>
      </c>
      <c r="AF676" s="3">
        <v>0.05</v>
      </c>
      <c r="AG676" s="3">
        <v>0.05</v>
      </c>
      <c r="AH676" s="3">
        <v>0.05</v>
      </c>
      <c r="AI676" s="3">
        <v>0.05</v>
      </c>
      <c r="AJ676" s="3">
        <v>0.05</v>
      </c>
      <c r="AK676" s="3">
        <v>0.05</v>
      </c>
      <c r="AL676" s="3">
        <v>0.05</v>
      </c>
      <c r="AM676" s="3">
        <v>0.05</v>
      </c>
      <c r="AN676" s="3">
        <v>0.05</v>
      </c>
      <c r="AO676" s="3">
        <v>0.05</v>
      </c>
      <c r="AP676" s="3">
        <v>0.05</v>
      </c>
    </row>
    <row r="677" spans="1:42" hidden="1" x14ac:dyDescent="0.3">
      <c r="A677" s="5" t="s">
        <v>816</v>
      </c>
      <c r="B677" s="5" t="s">
        <v>9</v>
      </c>
      <c r="C677" s="22">
        <v>45020</v>
      </c>
      <c r="D677" s="22">
        <v>45028</v>
      </c>
      <c r="E677" s="3">
        <v>0</v>
      </c>
      <c r="F677" s="3">
        <v>0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  <c r="O677" s="3">
        <v>0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0.02</v>
      </c>
      <c r="AA677" s="3">
        <v>0.02</v>
      </c>
      <c r="AB677" s="3">
        <v>0.02</v>
      </c>
      <c r="AC677" s="3">
        <v>0.02</v>
      </c>
      <c r="AD677" s="3">
        <v>0.02</v>
      </c>
      <c r="AE677" s="3">
        <v>0.02</v>
      </c>
      <c r="AF677" s="3">
        <v>0.02</v>
      </c>
      <c r="AG677" s="3">
        <v>0.02</v>
      </c>
      <c r="AH677" s="3">
        <v>0.02</v>
      </c>
      <c r="AI677" s="3">
        <v>0.02</v>
      </c>
      <c r="AJ677" s="3">
        <v>0.02</v>
      </c>
      <c r="AK677" s="3">
        <v>0.02</v>
      </c>
      <c r="AL677" s="3">
        <v>0.02</v>
      </c>
      <c r="AM677" s="3">
        <v>0.02</v>
      </c>
      <c r="AN677" s="3">
        <v>0.02</v>
      </c>
      <c r="AO677" s="3">
        <v>0.02</v>
      </c>
      <c r="AP677" s="3">
        <v>0.02</v>
      </c>
    </row>
    <row r="678" spans="1:42" hidden="1" x14ac:dyDescent="0.3">
      <c r="A678" s="5" t="s">
        <v>817</v>
      </c>
      <c r="B678" s="5" t="s">
        <v>12</v>
      </c>
      <c r="C678" s="22">
        <v>45028</v>
      </c>
      <c r="D678" s="22">
        <v>45030</v>
      </c>
      <c r="E678" s="3">
        <v>0</v>
      </c>
      <c r="F678" s="3">
        <v>0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0.05</v>
      </c>
      <c r="AA678" s="3">
        <v>0.05</v>
      </c>
      <c r="AB678" s="3">
        <v>0.05</v>
      </c>
      <c r="AC678" s="3">
        <v>0.05</v>
      </c>
      <c r="AD678" s="3">
        <v>0.05</v>
      </c>
      <c r="AE678" s="3">
        <v>0.05</v>
      </c>
      <c r="AF678" s="3">
        <v>0.05</v>
      </c>
      <c r="AG678" s="3">
        <v>0.05</v>
      </c>
      <c r="AH678" s="3">
        <v>0.05</v>
      </c>
      <c r="AI678" s="3">
        <v>0.05</v>
      </c>
      <c r="AJ678" s="3">
        <v>0.05</v>
      </c>
      <c r="AK678" s="3">
        <v>0.05</v>
      </c>
      <c r="AL678" s="3">
        <v>0.05</v>
      </c>
      <c r="AM678" s="3">
        <v>0.05</v>
      </c>
      <c r="AN678" s="3">
        <v>0.05</v>
      </c>
      <c r="AO678" s="3">
        <v>0.05</v>
      </c>
      <c r="AP678" s="3">
        <v>0.05</v>
      </c>
    </row>
    <row r="679" spans="1:42" hidden="1" x14ac:dyDescent="0.3">
      <c r="A679" s="5" t="s">
        <v>818</v>
      </c>
      <c r="B679" s="5" t="s">
        <v>9</v>
      </c>
      <c r="C679" s="22">
        <v>45033</v>
      </c>
      <c r="D679" s="22">
        <v>45040</v>
      </c>
      <c r="E679" s="3">
        <v>0</v>
      </c>
      <c r="F679" s="3">
        <v>0</v>
      </c>
      <c r="G679" s="3">
        <v>0</v>
      </c>
      <c r="H679" s="3">
        <v>0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0.03</v>
      </c>
      <c r="AA679" s="3">
        <v>0.03</v>
      </c>
      <c r="AB679" s="3">
        <v>0.03</v>
      </c>
      <c r="AC679" s="3">
        <v>0.03</v>
      </c>
      <c r="AD679" s="3">
        <v>0.03</v>
      </c>
      <c r="AE679" s="3">
        <v>0.03</v>
      </c>
      <c r="AF679" s="3">
        <v>0.03</v>
      </c>
      <c r="AG679" s="3">
        <v>0.03</v>
      </c>
      <c r="AH679" s="3">
        <v>0.03</v>
      </c>
      <c r="AI679" s="3">
        <v>0.03</v>
      </c>
      <c r="AJ679" s="3">
        <v>0.03</v>
      </c>
      <c r="AK679" s="3">
        <v>0.03</v>
      </c>
      <c r="AL679" s="3">
        <v>0.03</v>
      </c>
      <c r="AM679" s="3">
        <v>0.03</v>
      </c>
      <c r="AN679" s="3">
        <v>0.03</v>
      </c>
      <c r="AO679" s="3">
        <v>0.03</v>
      </c>
      <c r="AP679" s="3">
        <v>0.03</v>
      </c>
    </row>
    <row r="680" spans="1:42" hidden="1" x14ac:dyDescent="0.3">
      <c r="A680" s="5" t="s">
        <v>819</v>
      </c>
      <c r="B680" s="5" t="s">
        <v>33</v>
      </c>
      <c r="C680" s="22">
        <v>45040</v>
      </c>
      <c r="D680" s="22">
        <v>45050</v>
      </c>
      <c r="E680" s="3">
        <v>0</v>
      </c>
      <c r="F680" s="3">
        <v>0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3">
        <v>0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0.03</v>
      </c>
      <c r="AA680" s="3">
        <v>0.05</v>
      </c>
      <c r="AB680" s="3">
        <v>0.05</v>
      </c>
      <c r="AC680" s="3">
        <v>0.05</v>
      </c>
      <c r="AD680" s="3">
        <v>0.05</v>
      </c>
      <c r="AE680" s="3">
        <v>0.05</v>
      </c>
      <c r="AF680" s="3">
        <v>0.05</v>
      </c>
      <c r="AG680" s="3">
        <v>0.05</v>
      </c>
      <c r="AH680" s="3">
        <v>0.05</v>
      </c>
      <c r="AI680" s="3">
        <v>0.05</v>
      </c>
      <c r="AJ680" s="3">
        <v>0.05</v>
      </c>
      <c r="AK680" s="3">
        <v>0.05</v>
      </c>
      <c r="AL680" s="3">
        <v>0.05</v>
      </c>
      <c r="AM680" s="3">
        <v>0.05</v>
      </c>
      <c r="AN680" s="3">
        <v>0.05</v>
      </c>
      <c r="AO680" s="3">
        <v>0.05</v>
      </c>
      <c r="AP680" s="3">
        <v>0.05</v>
      </c>
    </row>
    <row r="681" spans="1:42" hidden="1" x14ac:dyDescent="0.3">
      <c r="A681" s="5" t="s">
        <v>820</v>
      </c>
      <c r="B681" s="5" t="s">
        <v>31</v>
      </c>
      <c r="C681" s="22">
        <v>45050</v>
      </c>
      <c r="D681" s="22">
        <v>45054</v>
      </c>
      <c r="E681" s="3">
        <v>0</v>
      </c>
      <c r="F681" s="3">
        <v>0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3">
        <v>0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7.0000000000000007E-2</v>
      </c>
      <c r="AB681" s="3">
        <v>7.0000000000000007E-2</v>
      </c>
      <c r="AC681" s="3">
        <v>7.0000000000000007E-2</v>
      </c>
      <c r="AD681" s="3">
        <v>7.0000000000000007E-2</v>
      </c>
      <c r="AE681" s="3">
        <v>7.0000000000000007E-2</v>
      </c>
      <c r="AF681" s="3">
        <v>7.0000000000000007E-2</v>
      </c>
      <c r="AG681" s="3">
        <v>7.0000000000000007E-2</v>
      </c>
      <c r="AH681" s="3">
        <v>7.0000000000000007E-2</v>
      </c>
      <c r="AI681" s="3">
        <v>7.0000000000000007E-2</v>
      </c>
      <c r="AJ681" s="3">
        <v>7.0000000000000007E-2</v>
      </c>
      <c r="AK681" s="3">
        <v>7.0000000000000007E-2</v>
      </c>
      <c r="AL681" s="3">
        <v>7.0000000000000007E-2</v>
      </c>
      <c r="AM681" s="3">
        <v>7.0000000000000007E-2</v>
      </c>
      <c r="AN681" s="3">
        <v>7.0000000000000007E-2</v>
      </c>
      <c r="AO681" s="3">
        <v>7.0000000000000007E-2</v>
      </c>
      <c r="AP681" s="3">
        <v>7.0000000000000007E-2</v>
      </c>
    </row>
    <row r="682" spans="1:42" hidden="1" x14ac:dyDescent="0.3">
      <c r="A682" s="5" t="s">
        <v>821</v>
      </c>
      <c r="B682" s="5" t="s">
        <v>29</v>
      </c>
      <c r="C682" s="22">
        <v>45054</v>
      </c>
      <c r="D682" s="22">
        <v>45055</v>
      </c>
      <c r="E682" s="3">
        <v>0</v>
      </c>
      <c r="F682" s="3">
        <v>0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0.02</v>
      </c>
      <c r="AB682" s="3">
        <v>0.02</v>
      </c>
      <c r="AC682" s="3">
        <v>0.02</v>
      </c>
      <c r="AD682" s="3">
        <v>0.02</v>
      </c>
      <c r="AE682" s="3">
        <v>0.02</v>
      </c>
      <c r="AF682" s="3">
        <v>0.02</v>
      </c>
      <c r="AG682" s="3">
        <v>0.02</v>
      </c>
      <c r="AH682" s="3">
        <v>0.02</v>
      </c>
      <c r="AI682" s="3">
        <v>0.02</v>
      </c>
      <c r="AJ682" s="3">
        <v>0.02</v>
      </c>
      <c r="AK682" s="3">
        <v>0.02</v>
      </c>
      <c r="AL682" s="3">
        <v>0.02</v>
      </c>
      <c r="AM682" s="3">
        <v>0.02</v>
      </c>
      <c r="AN682" s="3">
        <v>0.02</v>
      </c>
      <c r="AO682" s="3">
        <v>0.02</v>
      </c>
      <c r="AP682" s="3">
        <v>0.02</v>
      </c>
    </row>
    <row r="683" spans="1:42" hidden="1" x14ac:dyDescent="0.3">
      <c r="A683" s="5" t="s">
        <v>822</v>
      </c>
      <c r="B683" s="5" t="s">
        <v>29</v>
      </c>
      <c r="C683" s="22">
        <v>45055</v>
      </c>
      <c r="D683" s="22">
        <v>45056</v>
      </c>
      <c r="E683" s="3">
        <v>0</v>
      </c>
      <c r="F683" s="3">
        <v>0</v>
      </c>
      <c r="G683" s="3">
        <v>0</v>
      </c>
      <c r="H683" s="3">
        <v>0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0.01</v>
      </c>
      <c r="AB683" s="3">
        <v>0.01</v>
      </c>
      <c r="AC683" s="3">
        <v>0.01</v>
      </c>
      <c r="AD683" s="3">
        <v>0.01</v>
      </c>
      <c r="AE683" s="3">
        <v>0.01</v>
      </c>
      <c r="AF683" s="3">
        <v>0.01</v>
      </c>
      <c r="AG683" s="3">
        <v>0.01</v>
      </c>
      <c r="AH683" s="3">
        <v>0.01</v>
      </c>
      <c r="AI683" s="3">
        <v>0.01</v>
      </c>
      <c r="AJ683" s="3">
        <v>0.01</v>
      </c>
      <c r="AK683" s="3">
        <v>0.01</v>
      </c>
      <c r="AL683" s="3">
        <v>0.01</v>
      </c>
      <c r="AM683" s="3">
        <v>0.01</v>
      </c>
      <c r="AN683" s="3">
        <v>0.01</v>
      </c>
      <c r="AO683" s="3">
        <v>0.01</v>
      </c>
      <c r="AP683" s="3">
        <v>0.01</v>
      </c>
    </row>
    <row r="684" spans="1:42" hidden="1" x14ac:dyDescent="0.3">
      <c r="A684" s="15" t="s">
        <v>823</v>
      </c>
      <c r="B684" s="15" t="s">
        <v>100</v>
      </c>
      <c r="C684" s="20">
        <v>44928</v>
      </c>
      <c r="D684" s="20">
        <v>45121</v>
      </c>
      <c r="E684" s="8">
        <v>0</v>
      </c>
      <c r="F684" s="8">
        <v>0</v>
      </c>
      <c r="G684" s="8">
        <v>0</v>
      </c>
      <c r="H684" s="8">
        <v>0</v>
      </c>
      <c r="I684" s="8">
        <v>0</v>
      </c>
      <c r="J684" s="8">
        <v>0</v>
      </c>
      <c r="K684" s="8">
        <v>0</v>
      </c>
      <c r="L684" s="8">
        <v>0</v>
      </c>
      <c r="M684" s="8">
        <v>0</v>
      </c>
      <c r="N684" s="8">
        <v>0</v>
      </c>
      <c r="O684" s="8">
        <v>0</v>
      </c>
      <c r="P684" s="8">
        <v>0</v>
      </c>
      <c r="Q684" s="8">
        <v>0</v>
      </c>
      <c r="R684" s="8">
        <v>0</v>
      </c>
      <c r="S684" s="8">
        <v>0</v>
      </c>
      <c r="T684" s="8">
        <v>0</v>
      </c>
      <c r="U684" s="8">
        <v>0</v>
      </c>
      <c r="V684" s="8">
        <v>0</v>
      </c>
      <c r="W684" s="8">
        <v>0.09</v>
      </c>
      <c r="X684" s="8">
        <v>0.16</v>
      </c>
      <c r="Y684" s="8">
        <v>0.22</v>
      </c>
      <c r="Z684" s="8">
        <v>0.28000000000000003</v>
      </c>
      <c r="AA684" s="8">
        <v>0.28999999999999998</v>
      </c>
      <c r="AB684" s="8">
        <v>0.28999999999999998</v>
      </c>
      <c r="AC684" s="8">
        <v>1.62</v>
      </c>
      <c r="AD684" s="8">
        <v>1.62</v>
      </c>
      <c r="AE684" s="8">
        <v>1.62</v>
      </c>
      <c r="AF684" s="8">
        <v>1.62</v>
      </c>
      <c r="AG684" s="8">
        <v>1.62</v>
      </c>
      <c r="AH684" s="8">
        <v>1.62</v>
      </c>
      <c r="AI684" s="8">
        <v>1.62</v>
      </c>
      <c r="AJ684" s="8">
        <v>1.62</v>
      </c>
      <c r="AK684" s="8">
        <v>1.62</v>
      </c>
      <c r="AL684" s="8">
        <v>1.62</v>
      </c>
      <c r="AM684" s="8">
        <v>1.62</v>
      </c>
      <c r="AN684" s="8">
        <v>1.62</v>
      </c>
      <c r="AO684" s="8">
        <v>1.62</v>
      </c>
      <c r="AP684" s="8">
        <v>1.62</v>
      </c>
    </row>
    <row r="685" spans="1:42" hidden="1" x14ac:dyDescent="0.3">
      <c r="A685" s="5" t="s">
        <v>824</v>
      </c>
      <c r="B685" s="5" t="s">
        <v>31</v>
      </c>
      <c r="C685" s="22">
        <v>45112</v>
      </c>
      <c r="D685" s="22">
        <v>45114</v>
      </c>
      <c r="E685" s="3">
        <v>0</v>
      </c>
      <c r="F685" s="3">
        <v>0</v>
      </c>
      <c r="G685" s="3">
        <v>0</v>
      </c>
      <c r="H685" s="3">
        <v>0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3">
        <v>0</v>
      </c>
      <c r="AC685" s="3">
        <v>1.22</v>
      </c>
      <c r="AD685" s="3">
        <v>1.22</v>
      </c>
      <c r="AE685" s="3">
        <v>1.22</v>
      </c>
      <c r="AF685" s="3">
        <v>1.22</v>
      </c>
      <c r="AG685" s="3">
        <v>1.22</v>
      </c>
      <c r="AH685" s="3">
        <v>1.22</v>
      </c>
      <c r="AI685" s="3">
        <v>1.22</v>
      </c>
      <c r="AJ685" s="3">
        <v>1.22</v>
      </c>
      <c r="AK685" s="3">
        <v>1.22</v>
      </c>
      <c r="AL685" s="3">
        <v>1.22</v>
      </c>
      <c r="AM685" s="3">
        <v>1.22</v>
      </c>
      <c r="AN685" s="3">
        <v>1.22</v>
      </c>
      <c r="AO685" s="3">
        <v>1.22</v>
      </c>
      <c r="AP685" s="3">
        <v>1.22</v>
      </c>
    </row>
    <row r="686" spans="1:42" hidden="1" x14ac:dyDescent="0.3">
      <c r="A686" s="5" t="s">
        <v>825</v>
      </c>
      <c r="B686" s="5" t="s">
        <v>9</v>
      </c>
      <c r="C686" s="22">
        <v>45043</v>
      </c>
      <c r="D686" s="22">
        <v>45050</v>
      </c>
      <c r="E686" s="3">
        <v>0</v>
      </c>
      <c r="F686" s="3">
        <v>0</v>
      </c>
      <c r="G686" s="3">
        <v>0</v>
      </c>
      <c r="H686" s="3">
        <v>0</v>
      </c>
      <c r="I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v>0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0.01</v>
      </c>
      <c r="AA686" s="3">
        <v>0.02</v>
      </c>
      <c r="AB686" s="3">
        <v>0.02</v>
      </c>
      <c r="AC686" s="3">
        <v>0.02</v>
      </c>
      <c r="AD686" s="3">
        <v>0.02</v>
      </c>
      <c r="AE686" s="3">
        <v>0.02</v>
      </c>
      <c r="AF686" s="3">
        <v>0.02</v>
      </c>
      <c r="AG686" s="3">
        <v>0.02</v>
      </c>
      <c r="AH686" s="3">
        <v>0.02</v>
      </c>
      <c r="AI686" s="3">
        <v>0.02</v>
      </c>
      <c r="AJ686" s="3">
        <v>0.02</v>
      </c>
      <c r="AK686" s="3">
        <v>0.02</v>
      </c>
      <c r="AL686" s="3">
        <v>0.02</v>
      </c>
      <c r="AM686" s="3">
        <v>0.02</v>
      </c>
      <c r="AN686" s="3">
        <v>0.02</v>
      </c>
      <c r="AO686" s="3">
        <v>0.02</v>
      </c>
      <c r="AP686" s="3">
        <v>0.02</v>
      </c>
    </row>
    <row r="687" spans="1:42" hidden="1" x14ac:dyDescent="0.3">
      <c r="A687" s="5" t="s">
        <v>826</v>
      </c>
      <c r="B687" s="5" t="s">
        <v>17</v>
      </c>
      <c r="C687" s="22">
        <v>45062</v>
      </c>
      <c r="D687" s="22">
        <v>45082</v>
      </c>
      <c r="E687" s="3">
        <v>0</v>
      </c>
      <c r="F687" s="3">
        <v>0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3">
        <v>0</v>
      </c>
      <c r="AC687" s="3">
        <v>0</v>
      </c>
      <c r="AD687" s="3">
        <v>0</v>
      </c>
      <c r="AE687" s="3">
        <v>0</v>
      </c>
      <c r="AF687" s="3">
        <v>0</v>
      </c>
      <c r="AG687" s="3">
        <v>0</v>
      </c>
      <c r="AH687" s="3">
        <v>0</v>
      </c>
      <c r="AI687" s="3">
        <v>0</v>
      </c>
      <c r="AJ687" s="3">
        <v>0</v>
      </c>
      <c r="AK687" s="3">
        <v>0</v>
      </c>
      <c r="AL687" s="3">
        <v>0</v>
      </c>
      <c r="AM687" s="3">
        <v>0</v>
      </c>
      <c r="AN687" s="3">
        <v>0</v>
      </c>
      <c r="AO687" s="3">
        <v>0</v>
      </c>
      <c r="AP687" s="3">
        <v>0</v>
      </c>
    </row>
    <row r="688" spans="1:42" hidden="1" x14ac:dyDescent="0.3">
      <c r="A688" s="5" t="s">
        <v>827</v>
      </c>
      <c r="B688" s="5" t="s">
        <v>42</v>
      </c>
      <c r="C688" s="22">
        <v>45021</v>
      </c>
      <c r="D688" s="22">
        <v>45029</v>
      </c>
      <c r="E688" s="3">
        <v>0</v>
      </c>
      <c r="F688" s="3">
        <v>0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0.05</v>
      </c>
      <c r="AA688" s="3">
        <v>0.05</v>
      </c>
      <c r="AB688" s="3">
        <v>0.05</v>
      </c>
      <c r="AC688" s="3">
        <v>0.05</v>
      </c>
      <c r="AD688" s="3">
        <v>0.05</v>
      </c>
      <c r="AE688" s="3">
        <v>0.05</v>
      </c>
      <c r="AF688" s="3">
        <v>0.05</v>
      </c>
      <c r="AG688" s="3">
        <v>0.05</v>
      </c>
      <c r="AH688" s="3">
        <v>0.05</v>
      </c>
      <c r="AI688" s="3">
        <v>0.05</v>
      </c>
      <c r="AJ688" s="3">
        <v>0.05</v>
      </c>
      <c r="AK688" s="3">
        <v>0.05</v>
      </c>
      <c r="AL688" s="3">
        <v>0.05</v>
      </c>
      <c r="AM688" s="3">
        <v>0.05</v>
      </c>
      <c r="AN688" s="3">
        <v>0.05</v>
      </c>
      <c r="AO688" s="3">
        <v>0.05</v>
      </c>
      <c r="AP688" s="3">
        <v>0.05</v>
      </c>
    </row>
    <row r="689" spans="1:42" hidden="1" x14ac:dyDescent="0.3">
      <c r="A689" s="5" t="s">
        <v>828</v>
      </c>
      <c r="B689" s="5" t="s">
        <v>42</v>
      </c>
      <c r="C689" s="22">
        <v>45002</v>
      </c>
      <c r="D689" s="22">
        <v>45013</v>
      </c>
      <c r="E689" s="3">
        <v>0</v>
      </c>
      <c r="F689" s="3">
        <v>0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0.06</v>
      </c>
      <c r="Z689" s="3">
        <v>0.06</v>
      </c>
      <c r="AA689" s="3">
        <v>0.06</v>
      </c>
      <c r="AB689" s="3">
        <v>0.06</v>
      </c>
      <c r="AC689" s="3">
        <v>0.06</v>
      </c>
      <c r="AD689" s="3">
        <v>0.06</v>
      </c>
      <c r="AE689" s="3">
        <v>0.06</v>
      </c>
      <c r="AF689" s="3">
        <v>0.06</v>
      </c>
      <c r="AG689" s="3">
        <v>0.06</v>
      </c>
      <c r="AH689" s="3">
        <v>0.06</v>
      </c>
      <c r="AI689" s="3">
        <v>0.06</v>
      </c>
      <c r="AJ689" s="3">
        <v>0.06</v>
      </c>
      <c r="AK689" s="3">
        <v>0.06</v>
      </c>
      <c r="AL689" s="3">
        <v>0.06</v>
      </c>
      <c r="AM689" s="3">
        <v>0.06</v>
      </c>
      <c r="AN689" s="3">
        <v>0.06</v>
      </c>
      <c r="AO689" s="3">
        <v>0.06</v>
      </c>
      <c r="AP689" s="3">
        <v>0.06</v>
      </c>
    </row>
    <row r="690" spans="1:42" hidden="1" x14ac:dyDescent="0.3">
      <c r="A690" s="5" t="s">
        <v>829</v>
      </c>
      <c r="B690" s="5" t="s">
        <v>42</v>
      </c>
      <c r="C690" s="22">
        <v>44979</v>
      </c>
      <c r="D690" s="22">
        <v>44986</v>
      </c>
      <c r="E690" s="3">
        <v>0</v>
      </c>
      <c r="F690" s="3">
        <v>0</v>
      </c>
      <c r="G690" s="3">
        <v>0</v>
      </c>
      <c r="H690" s="3">
        <v>0</v>
      </c>
      <c r="I690" s="3">
        <v>0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  <c r="O690" s="3">
        <v>0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0.05</v>
      </c>
      <c r="Y690" s="3">
        <v>0.06</v>
      </c>
      <c r="Z690" s="3">
        <v>0.06</v>
      </c>
      <c r="AA690" s="3">
        <v>0.06</v>
      </c>
      <c r="AB690" s="3">
        <v>0.06</v>
      </c>
      <c r="AC690" s="3">
        <v>0.06</v>
      </c>
      <c r="AD690" s="3">
        <v>0.06</v>
      </c>
      <c r="AE690" s="3">
        <v>0.06</v>
      </c>
      <c r="AF690" s="3">
        <v>0.06</v>
      </c>
      <c r="AG690" s="3">
        <v>0.06</v>
      </c>
      <c r="AH690" s="3">
        <v>0.06</v>
      </c>
      <c r="AI690" s="3">
        <v>0.06</v>
      </c>
      <c r="AJ690" s="3">
        <v>0.06</v>
      </c>
      <c r="AK690" s="3">
        <v>0.06</v>
      </c>
      <c r="AL690" s="3">
        <v>0.06</v>
      </c>
      <c r="AM690" s="3">
        <v>0.06</v>
      </c>
      <c r="AN690" s="3">
        <v>0.06</v>
      </c>
      <c r="AO690" s="3">
        <v>0.06</v>
      </c>
      <c r="AP690" s="3">
        <v>0.06</v>
      </c>
    </row>
    <row r="691" spans="1:42" hidden="1" x14ac:dyDescent="0.3">
      <c r="A691" s="5" t="s">
        <v>830</v>
      </c>
      <c r="B691" s="5" t="s">
        <v>42</v>
      </c>
      <c r="C691" s="22">
        <v>44952</v>
      </c>
      <c r="D691" s="22">
        <v>44960</v>
      </c>
      <c r="E691" s="3">
        <v>0</v>
      </c>
      <c r="F691" s="3">
        <v>0</v>
      </c>
      <c r="G691" s="3">
        <v>0</v>
      </c>
      <c r="H691" s="3">
        <v>0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v>0</v>
      </c>
      <c r="O691" s="3">
        <v>0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0.03</v>
      </c>
      <c r="X691" s="3">
        <v>0.06</v>
      </c>
      <c r="Y691" s="3">
        <v>0.06</v>
      </c>
      <c r="Z691" s="3">
        <v>0.06</v>
      </c>
      <c r="AA691" s="3">
        <v>0.06</v>
      </c>
      <c r="AB691" s="3">
        <v>0.06</v>
      </c>
      <c r="AC691" s="3">
        <v>0.06</v>
      </c>
      <c r="AD691" s="3">
        <v>0.06</v>
      </c>
      <c r="AE691" s="3">
        <v>0.06</v>
      </c>
      <c r="AF691" s="3">
        <v>0.06</v>
      </c>
      <c r="AG691" s="3">
        <v>0.06</v>
      </c>
      <c r="AH691" s="3">
        <v>0.06</v>
      </c>
      <c r="AI691" s="3">
        <v>0.06</v>
      </c>
      <c r="AJ691" s="3">
        <v>0.06</v>
      </c>
      <c r="AK691" s="3">
        <v>0.06</v>
      </c>
      <c r="AL691" s="3">
        <v>0.06</v>
      </c>
      <c r="AM691" s="3">
        <v>0.06</v>
      </c>
      <c r="AN691" s="3">
        <v>0.06</v>
      </c>
      <c r="AO691" s="3">
        <v>0.06</v>
      </c>
      <c r="AP691" s="3">
        <v>0.06</v>
      </c>
    </row>
    <row r="692" spans="1:42" hidden="1" x14ac:dyDescent="0.3">
      <c r="A692" s="5" t="s">
        <v>831</v>
      </c>
      <c r="B692" s="5" t="s">
        <v>42</v>
      </c>
      <c r="C692" s="22">
        <v>44928</v>
      </c>
      <c r="D692" s="22">
        <v>44936</v>
      </c>
      <c r="E692" s="3">
        <v>0</v>
      </c>
      <c r="F692" s="3">
        <v>0</v>
      </c>
      <c r="G692" s="3">
        <v>0</v>
      </c>
      <c r="H692" s="3">
        <v>0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0.06</v>
      </c>
      <c r="X692" s="3">
        <v>0.06</v>
      </c>
      <c r="Y692" s="3">
        <v>0.06</v>
      </c>
      <c r="Z692" s="3">
        <v>0.06</v>
      </c>
      <c r="AA692" s="3">
        <v>0.06</v>
      </c>
      <c r="AB692" s="3">
        <v>0.06</v>
      </c>
      <c r="AC692" s="3">
        <v>0.06</v>
      </c>
      <c r="AD692" s="3">
        <v>0.06</v>
      </c>
      <c r="AE692" s="3">
        <v>0.06</v>
      </c>
      <c r="AF692" s="3">
        <v>0.06</v>
      </c>
      <c r="AG692" s="3">
        <v>0.06</v>
      </c>
      <c r="AH692" s="3">
        <v>0.06</v>
      </c>
      <c r="AI692" s="3">
        <v>0.06</v>
      </c>
      <c r="AJ692" s="3">
        <v>0.06</v>
      </c>
      <c r="AK692" s="3">
        <v>0.06</v>
      </c>
      <c r="AL692" s="3">
        <v>0.06</v>
      </c>
      <c r="AM692" s="3">
        <v>0.06</v>
      </c>
      <c r="AN692" s="3">
        <v>0.06</v>
      </c>
      <c r="AO692" s="3">
        <v>0.06</v>
      </c>
      <c r="AP692" s="3">
        <v>0.06</v>
      </c>
    </row>
    <row r="693" spans="1:42" hidden="1" x14ac:dyDescent="0.3">
      <c r="A693" s="5" t="s">
        <v>832</v>
      </c>
      <c r="B693" s="5" t="s">
        <v>42</v>
      </c>
      <c r="C693" s="22">
        <v>45114</v>
      </c>
      <c r="D693" s="22">
        <v>45121</v>
      </c>
      <c r="E693" s="3">
        <v>0</v>
      </c>
      <c r="F693" s="3">
        <v>0</v>
      </c>
      <c r="G693" s="3">
        <v>0</v>
      </c>
      <c r="H693" s="3">
        <v>0</v>
      </c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s="3">
        <v>0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3">
        <v>0</v>
      </c>
      <c r="AC693" s="3">
        <v>0.06</v>
      </c>
      <c r="AD693" s="3">
        <v>0.06</v>
      </c>
      <c r="AE693" s="3">
        <v>0.06</v>
      </c>
      <c r="AF693" s="3">
        <v>0.06</v>
      </c>
      <c r="AG693" s="3">
        <v>0.06</v>
      </c>
      <c r="AH693" s="3">
        <v>0.06</v>
      </c>
      <c r="AI693" s="3">
        <v>0.06</v>
      </c>
      <c r="AJ693" s="3">
        <v>0.06</v>
      </c>
      <c r="AK693" s="3">
        <v>0.06</v>
      </c>
      <c r="AL693" s="3">
        <v>0.06</v>
      </c>
      <c r="AM693" s="3">
        <v>0.06</v>
      </c>
      <c r="AN693" s="3">
        <v>0.06</v>
      </c>
      <c r="AO693" s="3">
        <v>0.06</v>
      </c>
      <c r="AP693" s="3">
        <v>0.06</v>
      </c>
    </row>
    <row r="694" spans="1:42" hidden="1" x14ac:dyDescent="0.3">
      <c r="A694" s="5" t="s">
        <v>833</v>
      </c>
      <c r="B694" s="5" t="s">
        <v>42</v>
      </c>
      <c r="C694" s="22">
        <v>45114</v>
      </c>
      <c r="D694" s="22">
        <v>45121</v>
      </c>
      <c r="E694" s="3">
        <v>0</v>
      </c>
      <c r="F694" s="3">
        <v>0</v>
      </c>
      <c r="G694" s="3">
        <v>0</v>
      </c>
      <c r="H694" s="3">
        <v>0</v>
      </c>
      <c r="I694" s="3">
        <v>0</v>
      </c>
      <c r="J694" s="3">
        <v>0</v>
      </c>
      <c r="K694" s="3">
        <v>0</v>
      </c>
      <c r="L694" s="3">
        <v>0</v>
      </c>
      <c r="M694" s="3">
        <v>0</v>
      </c>
      <c r="N694" s="3">
        <v>0</v>
      </c>
      <c r="O694" s="3">
        <v>0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3">
        <v>0</v>
      </c>
      <c r="AC694" s="3">
        <v>0.06</v>
      </c>
      <c r="AD694" s="3">
        <v>0.06</v>
      </c>
      <c r="AE694" s="3">
        <v>0.06</v>
      </c>
      <c r="AF694" s="3">
        <v>0.06</v>
      </c>
      <c r="AG694" s="3">
        <v>0.06</v>
      </c>
      <c r="AH694" s="3">
        <v>0.06</v>
      </c>
      <c r="AI694" s="3">
        <v>0.06</v>
      </c>
      <c r="AJ694" s="3">
        <v>0.06</v>
      </c>
      <c r="AK694" s="3">
        <v>0.06</v>
      </c>
      <c r="AL694" s="3">
        <v>0.06</v>
      </c>
      <c r="AM694" s="3">
        <v>0.06</v>
      </c>
      <c r="AN694" s="3">
        <v>0.06</v>
      </c>
      <c r="AO694" s="3">
        <v>0.06</v>
      </c>
      <c r="AP694" s="3">
        <v>0.06</v>
      </c>
    </row>
    <row r="695" spans="1:42" hidden="1" x14ac:dyDescent="0.3">
      <c r="A695" s="15" t="s">
        <v>834</v>
      </c>
      <c r="B695" s="15" t="s">
        <v>101</v>
      </c>
      <c r="C695" s="20">
        <v>45105</v>
      </c>
      <c r="D695" s="20">
        <v>45170</v>
      </c>
      <c r="E695" s="8">
        <v>0</v>
      </c>
      <c r="F695" s="8">
        <v>0</v>
      </c>
      <c r="G695" s="8">
        <v>0</v>
      </c>
      <c r="H695" s="8">
        <v>0</v>
      </c>
      <c r="I695" s="8">
        <v>0</v>
      </c>
      <c r="J695" s="8">
        <v>0</v>
      </c>
      <c r="K695" s="8">
        <v>0</v>
      </c>
      <c r="L695" s="8">
        <v>0</v>
      </c>
      <c r="M695" s="8">
        <v>0</v>
      </c>
      <c r="N695" s="8">
        <v>0</v>
      </c>
      <c r="O695" s="8">
        <v>0</v>
      </c>
      <c r="P695" s="8">
        <v>0</v>
      </c>
      <c r="Q695" s="8">
        <v>0</v>
      </c>
      <c r="R695" s="8">
        <v>0</v>
      </c>
      <c r="S695" s="8">
        <v>0</v>
      </c>
      <c r="T695" s="8">
        <v>0</v>
      </c>
      <c r="U695" s="8">
        <v>0</v>
      </c>
      <c r="V695" s="8">
        <v>0</v>
      </c>
      <c r="W695" s="8">
        <v>0</v>
      </c>
      <c r="X695" s="8">
        <v>0</v>
      </c>
      <c r="Y695" s="8">
        <v>0</v>
      </c>
      <c r="Z695" s="8">
        <v>0</v>
      </c>
      <c r="AA695" s="8">
        <v>0</v>
      </c>
      <c r="AB695" s="8">
        <v>0.06</v>
      </c>
      <c r="AC695" s="8">
        <v>0.36</v>
      </c>
      <c r="AD695" s="8">
        <v>0.45</v>
      </c>
      <c r="AE695" s="8">
        <v>0.45</v>
      </c>
      <c r="AF695" s="8">
        <v>0.45</v>
      </c>
      <c r="AG695" s="8">
        <v>0.45</v>
      </c>
      <c r="AH695" s="8">
        <v>0.45</v>
      </c>
      <c r="AI695" s="8">
        <v>0.45</v>
      </c>
      <c r="AJ695" s="8">
        <v>0.45</v>
      </c>
      <c r="AK695" s="8">
        <v>0.45</v>
      </c>
      <c r="AL695" s="8">
        <v>0.45</v>
      </c>
      <c r="AM695" s="8">
        <v>0.45</v>
      </c>
      <c r="AN695" s="8">
        <v>0.45</v>
      </c>
      <c r="AO695" s="8">
        <v>0.45</v>
      </c>
      <c r="AP695" s="8">
        <v>0.45</v>
      </c>
    </row>
    <row r="696" spans="1:42" hidden="1" x14ac:dyDescent="0.3">
      <c r="A696" s="5" t="s">
        <v>835</v>
      </c>
      <c r="B696" s="5" t="s">
        <v>17</v>
      </c>
      <c r="C696" s="22">
        <v>45105</v>
      </c>
      <c r="D696" s="22">
        <v>45126</v>
      </c>
      <c r="E696" s="3">
        <v>0</v>
      </c>
      <c r="F696" s="3">
        <v>0</v>
      </c>
      <c r="G696" s="3">
        <v>0</v>
      </c>
      <c r="H696" s="3">
        <v>0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0</v>
      </c>
      <c r="O696" s="3">
        <v>0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3">
        <v>0.06</v>
      </c>
      <c r="AC696" s="3">
        <v>0.36</v>
      </c>
      <c r="AD696" s="3">
        <v>0.36</v>
      </c>
      <c r="AE696" s="3">
        <v>0.36</v>
      </c>
      <c r="AF696" s="3">
        <v>0.36</v>
      </c>
      <c r="AG696" s="3">
        <v>0.36</v>
      </c>
      <c r="AH696" s="3">
        <v>0.36</v>
      </c>
      <c r="AI696" s="3">
        <v>0.36</v>
      </c>
      <c r="AJ696" s="3">
        <v>0.36</v>
      </c>
      <c r="AK696" s="3">
        <v>0.36</v>
      </c>
      <c r="AL696" s="3">
        <v>0.36</v>
      </c>
      <c r="AM696" s="3">
        <v>0.36</v>
      </c>
      <c r="AN696" s="3">
        <v>0.36</v>
      </c>
      <c r="AO696" s="3">
        <v>0.36</v>
      </c>
      <c r="AP696" s="3">
        <v>0.36</v>
      </c>
    </row>
    <row r="697" spans="1:42" hidden="1" x14ac:dyDescent="0.3">
      <c r="A697" s="4" t="s">
        <v>836</v>
      </c>
      <c r="B697" s="4" t="s">
        <v>34</v>
      </c>
      <c r="C697" s="21">
        <v>45156</v>
      </c>
      <c r="D697" s="21">
        <v>45170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0.09</v>
      </c>
      <c r="AE697" s="2">
        <v>0.09</v>
      </c>
      <c r="AF697" s="2">
        <v>0.09</v>
      </c>
      <c r="AG697" s="2">
        <v>0.09</v>
      </c>
      <c r="AH697" s="2">
        <v>0.09</v>
      </c>
      <c r="AI697" s="2">
        <v>0.09</v>
      </c>
      <c r="AJ697" s="2">
        <v>0.09</v>
      </c>
      <c r="AK697" s="2">
        <v>0.09</v>
      </c>
      <c r="AL697" s="2">
        <v>0.09</v>
      </c>
      <c r="AM697" s="2">
        <v>0.09</v>
      </c>
      <c r="AN697" s="2">
        <v>0.09</v>
      </c>
      <c r="AO697" s="2">
        <v>0.09</v>
      </c>
      <c r="AP697" s="2">
        <v>0.09</v>
      </c>
    </row>
    <row r="698" spans="1:42" hidden="1" x14ac:dyDescent="0.3">
      <c r="A698" s="5" t="s">
        <v>837</v>
      </c>
      <c r="B698" s="5" t="s">
        <v>14</v>
      </c>
      <c r="C698" s="22">
        <v>45156</v>
      </c>
      <c r="D698" s="22">
        <v>45170</v>
      </c>
      <c r="E698" s="3">
        <v>0</v>
      </c>
      <c r="F698" s="3">
        <v>0</v>
      </c>
      <c r="G698" s="3">
        <v>0</v>
      </c>
      <c r="H698" s="3">
        <v>0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3">
        <v>0</v>
      </c>
      <c r="AC698" s="3">
        <v>0</v>
      </c>
      <c r="AD698" s="3">
        <v>0.09</v>
      </c>
      <c r="AE698" s="3">
        <v>0.09</v>
      </c>
      <c r="AF698" s="3">
        <v>0.09</v>
      </c>
      <c r="AG698" s="3">
        <v>0.09</v>
      </c>
      <c r="AH698" s="3">
        <v>0.09</v>
      </c>
      <c r="AI698" s="3">
        <v>0.09</v>
      </c>
      <c r="AJ698" s="3">
        <v>0.09</v>
      </c>
      <c r="AK698" s="3">
        <v>0.09</v>
      </c>
      <c r="AL698" s="3">
        <v>0.09</v>
      </c>
      <c r="AM698" s="3">
        <v>0.09</v>
      </c>
      <c r="AN698" s="3">
        <v>0.09</v>
      </c>
      <c r="AO698" s="3">
        <v>0.09</v>
      </c>
      <c r="AP698" s="3">
        <v>0.09</v>
      </c>
    </row>
    <row r="699" spans="1:42" hidden="1" x14ac:dyDescent="0.3">
      <c r="A699" s="15" t="s">
        <v>838</v>
      </c>
      <c r="B699" s="15" t="s">
        <v>102</v>
      </c>
      <c r="C699" s="20">
        <v>44928</v>
      </c>
      <c r="D699" s="20">
        <v>45068</v>
      </c>
      <c r="E699" s="8">
        <v>0</v>
      </c>
      <c r="F699" s="8">
        <v>0</v>
      </c>
      <c r="G699" s="8">
        <v>0</v>
      </c>
      <c r="H699" s="8">
        <v>0</v>
      </c>
      <c r="I699" s="8">
        <v>0</v>
      </c>
      <c r="J699" s="8">
        <v>0</v>
      </c>
      <c r="K699" s="8">
        <v>0</v>
      </c>
      <c r="L699" s="8">
        <v>0</v>
      </c>
      <c r="M699" s="8">
        <v>0</v>
      </c>
      <c r="N699" s="8">
        <v>0</v>
      </c>
      <c r="O699" s="8">
        <v>0</v>
      </c>
      <c r="P699" s="8">
        <v>0</v>
      </c>
      <c r="Q699" s="8">
        <v>0</v>
      </c>
      <c r="R699" s="8">
        <v>0</v>
      </c>
      <c r="S699" s="8">
        <v>0</v>
      </c>
      <c r="T699" s="8">
        <v>0</v>
      </c>
      <c r="U699" s="8">
        <v>0</v>
      </c>
      <c r="V699" s="8">
        <v>0</v>
      </c>
      <c r="W699" s="8">
        <v>0.2</v>
      </c>
      <c r="X699" s="8">
        <v>0.37</v>
      </c>
      <c r="Y699" s="8">
        <v>0.55000000000000004</v>
      </c>
      <c r="Z699" s="8">
        <v>1.4</v>
      </c>
      <c r="AA699" s="8">
        <v>1.7</v>
      </c>
      <c r="AB699" s="8">
        <v>1.7</v>
      </c>
      <c r="AC699" s="8">
        <v>1.7</v>
      </c>
      <c r="AD699" s="8">
        <v>1.7</v>
      </c>
      <c r="AE699" s="8">
        <v>1.7</v>
      </c>
      <c r="AF699" s="8">
        <v>1.7</v>
      </c>
      <c r="AG699" s="8">
        <v>1.7</v>
      </c>
      <c r="AH699" s="8">
        <v>1.7</v>
      </c>
      <c r="AI699" s="8">
        <v>1.7</v>
      </c>
      <c r="AJ699" s="8">
        <v>1.7</v>
      </c>
      <c r="AK699" s="8">
        <v>1.7</v>
      </c>
      <c r="AL699" s="8">
        <v>1.7</v>
      </c>
      <c r="AM699" s="8">
        <v>1.7</v>
      </c>
      <c r="AN699" s="8">
        <v>1.7</v>
      </c>
      <c r="AO699" s="8">
        <v>1.7</v>
      </c>
      <c r="AP699" s="8">
        <v>1.7</v>
      </c>
    </row>
    <row r="700" spans="1:42" hidden="1" x14ac:dyDescent="0.3">
      <c r="A700" s="5" t="s">
        <v>839</v>
      </c>
      <c r="B700" s="5" t="s">
        <v>31</v>
      </c>
      <c r="C700" s="22">
        <v>45043</v>
      </c>
      <c r="D700" s="22">
        <v>45047</v>
      </c>
      <c r="E700" s="3">
        <v>0</v>
      </c>
      <c r="F700" s="3">
        <v>0</v>
      </c>
      <c r="G700" s="3">
        <v>0</v>
      </c>
      <c r="H700" s="3">
        <v>0</v>
      </c>
      <c r="I700" s="3">
        <v>0</v>
      </c>
      <c r="J700" s="3">
        <v>0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0.79</v>
      </c>
      <c r="AA700" s="3">
        <v>0.9</v>
      </c>
      <c r="AB700" s="3">
        <v>0.9</v>
      </c>
      <c r="AC700" s="3">
        <v>0.9</v>
      </c>
      <c r="AD700" s="3">
        <v>0.9</v>
      </c>
      <c r="AE700" s="3">
        <v>0.9</v>
      </c>
      <c r="AF700" s="3">
        <v>0.9</v>
      </c>
      <c r="AG700" s="3">
        <v>0.9</v>
      </c>
      <c r="AH700" s="3">
        <v>0.9</v>
      </c>
      <c r="AI700" s="3">
        <v>0.9</v>
      </c>
      <c r="AJ700" s="3">
        <v>0.9</v>
      </c>
      <c r="AK700" s="3">
        <v>0.9</v>
      </c>
      <c r="AL700" s="3">
        <v>0.9</v>
      </c>
      <c r="AM700" s="3">
        <v>0.9</v>
      </c>
      <c r="AN700" s="3">
        <v>0.9</v>
      </c>
      <c r="AO700" s="3">
        <v>0.9</v>
      </c>
      <c r="AP700" s="3">
        <v>0.9</v>
      </c>
    </row>
    <row r="701" spans="1:42" hidden="1" x14ac:dyDescent="0.3">
      <c r="A701" s="5" t="s">
        <v>840</v>
      </c>
      <c r="B701" s="5" t="s">
        <v>10</v>
      </c>
      <c r="C701" s="22">
        <v>45021</v>
      </c>
      <c r="D701" s="22">
        <v>45037</v>
      </c>
      <c r="E701" s="3">
        <v>0</v>
      </c>
      <c r="F701" s="3">
        <v>0</v>
      </c>
      <c r="G701" s="3">
        <v>0</v>
      </c>
      <c r="H701" s="3">
        <v>0</v>
      </c>
      <c r="I701" s="3">
        <v>0</v>
      </c>
      <c r="J701" s="3">
        <v>0</v>
      </c>
      <c r="K701" s="3">
        <v>0</v>
      </c>
      <c r="L701" s="3">
        <v>0</v>
      </c>
      <c r="M701" s="3">
        <v>0</v>
      </c>
      <c r="N701" s="3">
        <v>0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0.05</v>
      </c>
      <c r="AA701" s="3">
        <v>0.05</v>
      </c>
      <c r="AB701" s="3">
        <v>0.05</v>
      </c>
      <c r="AC701" s="3">
        <v>0.05</v>
      </c>
      <c r="AD701" s="3">
        <v>0.05</v>
      </c>
      <c r="AE701" s="3">
        <v>0.05</v>
      </c>
      <c r="AF701" s="3">
        <v>0.05</v>
      </c>
      <c r="AG701" s="3">
        <v>0.05</v>
      </c>
      <c r="AH701" s="3">
        <v>0.05</v>
      </c>
      <c r="AI701" s="3">
        <v>0.05</v>
      </c>
      <c r="AJ701" s="3">
        <v>0.05</v>
      </c>
      <c r="AK701" s="3">
        <v>0.05</v>
      </c>
      <c r="AL701" s="3">
        <v>0.05</v>
      </c>
      <c r="AM701" s="3">
        <v>0.05</v>
      </c>
      <c r="AN701" s="3">
        <v>0.05</v>
      </c>
      <c r="AO701" s="3">
        <v>0.05</v>
      </c>
      <c r="AP701" s="3">
        <v>0.05</v>
      </c>
    </row>
    <row r="702" spans="1:42" hidden="1" x14ac:dyDescent="0.3">
      <c r="A702" s="5" t="s">
        <v>841</v>
      </c>
      <c r="B702" s="5" t="s">
        <v>10</v>
      </c>
      <c r="C702" s="22">
        <v>45002</v>
      </c>
      <c r="D702" s="22">
        <v>45020</v>
      </c>
      <c r="E702" s="3">
        <v>0</v>
      </c>
      <c r="F702" s="3">
        <v>0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0.1</v>
      </c>
      <c r="Z702" s="3">
        <v>0.11</v>
      </c>
      <c r="AA702" s="3">
        <v>0.11</v>
      </c>
      <c r="AB702" s="3">
        <v>0.11</v>
      </c>
      <c r="AC702" s="3">
        <v>0.11</v>
      </c>
      <c r="AD702" s="3">
        <v>0.11</v>
      </c>
      <c r="AE702" s="3">
        <v>0.11</v>
      </c>
      <c r="AF702" s="3">
        <v>0.11</v>
      </c>
      <c r="AG702" s="3">
        <v>0.11</v>
      </c>
      <c r="AH702" s="3">
        <v>0.11</v>
      </c>
      <c r="AI702" s="3">
        <v>0.11</v>
      </c>
      <c r="AJ702" s="3">
        <v>0.11</v>
      </c>
      <c r="AK702" s="3">
        <v>0.11</v>
      </c>
      <c r="AL702" s="3">
        <v>0.11</v>
      </c>
      <c r="AM702" s="3">
        <v>0.11</v>
      </c>
      <c r="AN702" s="3">
        <v>0.11</v>
      </c>
      <c r="AO702" s="3">
        <v>0.11</v>
      </c>
      <c r="AP702" s="3">
        <v>0.11</v>
      </c>
    </row>
    <row r="703" spans="1:42" hidden="1" x14ac:dyDescent="0.3">
      <c r="A703" s="5" t="s">
        <v>842</v>
      </c>
      <c r="B703" s="5" t="s">
        <v>45</v>
      </c>
      <c r="C703" s="22">
        <v>44978</v>
      </c>
      <c r="D703" s="22">
        <v>45002</v>
      </c>
      <c r="E703" s="3">
        <v>0</v>
      </c>
      <c r="F703" s="3">
        <v>0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0.03</v>
      </c>
      <c r="Y703" s="3">
        <v>0.11</v>
      </c>
      <c r="Z703" s="3">
        <v>0.11</v>
      </c>
      <c r="AA703" s="3">
        <v>0.11</v>
      </c>
      <c r="AB703" s="3">
        <v>0.11</v>
      </c>
      <c r="AC703" s="3">
        <v>0.11</v>
      </c>
      <c r="AD703" s="3">
        <v>0.11</v>
      </c>
      <c r="AE703" s="3">
        <v>0.11</v>
      </c>
      <c r="AF703" s="3">
        <v>0.11</v>
      </c>
      <c r="AG703" s="3">
        <v>0.11</v>
      </c>
      <c r="AH703" s="3">
        <v>0.11</v>
      </c>
      <c r="AI703" s="3">
        <v>0.11</v>
      </c>
      <c r="AJ703" s="3">
        <v>0.11</v>
      </c>
      <c r="AK703" s="3">
        <v>0.11</v>
      </c>
      <c r="AL703" s="3">
        <v>0.11</v>
      </c>
      <c r="AM703" s="3">
        <v>0.11</v>
      </c>
      <c r="AN703" s="3">
        <v>0.11</v>
      </c>
      <c r="AO703" s="3">
        <v>0.11</v>
      </c>
      <c r="AP703" s="3">
        <v>0.11</v>
      </c>
    </row>
    <row r="704" spans="1:42" hidden="1" x14ac:dyDescent="0.3">
      <c r="A704" s="5" t="s">
        <v>843</v>
      </c>
      <c r="B704" s="5" t="s">
        <v>45</v>
      </c>
      <c r="C704" s="22">
        <v>44952</v>
      </c>
      <c r="D704" s="22">
        <v>44978</v>
      </c>
      <c r="E704" s="3">
        <v>0</v>
      </c>
      <c r="F704" s="3">
        <v>0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0.03</v>
      </c>
      <c r="X704" s="3">
        <v>0.17</v>
      </c>
      <c r="Y704" s="3">
        <v>0.17</v>
      </c>
      <c r="Z704" s="3">
        <v>0.17</v>
      </c>
      <c r="AA704" s="3">
        <v>0.17</v>
      </c>
      <c r="AB704" s="3">
        <v>0.17</v>
      </c>
      <c r="AC704" s="3">
        <v>0.17</v>
      </c>
      <c r="AD704" s="3">
        <v>0.17</v>
      </c>
      <c r="AE704" s="3">
        <v>0.17</v>
      </c>
      <c r="AF704" s="3">
        <v>0.17</v>
      </c>
      <c r="AG704" s="3">
        <v>0.17</v>
      </c>
      <c r="AH704" s="3">
        <v>0.17</v>
      </c>
      <c r="AI704" s="3">
        <v>0.17</v>
      </c>
      <c r="AJ704" s="3">
        <v>0.17</v>
      </c>
      <c r="AK704" s="3">
        <v>0.17</v>
      </c>
      <c r="AL704" s="3">
        <v>0.17</v>
      </c>
      <c r="AM704" s="3">
        <v>0.17</v>
      </c>
      <c r="AN704" s="3">
        <v>0.17</v>
      </c>
      <c r="AO704" s="3">
        <v>0.17</v>
      </c>
      <c r="AP704" s="3">
        <v>0.17</v>
      </c>
    </row>
    <row r="705" spans="1:42" hidden="1" x14ac:dyDescent="0.3">
      <c r="A705" s="5" t="s">
        <v>844</v>
      </c>
      <c r="B705" s="5" t="s">
        <v>45</v>
      </c>
      <c r="C705" s="22">
        <v>44928</v>
      </c>
      <c r="D705" s="22">
        <v>44952</v>
      </c>
      <c r="E705" s="3">
        <v>0</v>
      </c>
      <c r="F705" s="3">
        <v>0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0.17</v>
      </c>
      <c r="X705" s="3">
        <v>0.17</v>
      </c>
      <c r="Y705" s="3">
        <v>0.17</v>
      </c>
      <c r="Z705" s="3">
        <v>0.17</v>
      </c>
      <c r="AA705" s="3">
        <v>0.17</v>
      </c>
      <c r="AB705" s="3">
        <v>0.17</v>
      </c>
      <c r="AC705" s="3">
        <v>0.17</v>
      </c>
      <c r="AD705" s="3">
        <v>0.17</v>
      </c>
      <c r="AE705" s="3">
        <v>0.17</v>
      </c>
      <c r="AF705" s="3">
        <v>0.17</v>
      </c>
      <c r="AG705" s="3">
        <v>0.17</v>
      </c>
      <c r="AH705" s="3">
        <v>0.17</v>
      </c>
      <c r="AI705" s="3">
        <v>0.17</v>
      </c>
      <c r="AJ705" s="3">
        <v>0.17</v>
      </c>
      <c r="AK705" s="3">
        <v>0.17</v>
      </c>
      <c r="AL705" s="3">
        <v>0.17</v>
      </c>
      <c r="AM705" s="3">
        <v>0.17</v>
      </c>
      <c r="AN705" s="3">
        <v>0.17</v>
      </c>
      <c r="AO705" s="3">
        <v>0.17</v>
      </c>
      <c r="AP705" s="3">
        <v>0.17</v>
      </c>
    </row>
    <row r="706" spans="1:42" hidden="1" x14ac:dyDescent="0.3">
      <c r="A706" s="4" t="s">
        <v>845</v>
      </c>
      <c r="B706" s="4" t="s">
        <v>25</v>
      </c>
      <c r="C706" s="21">
        <v>45047</v>
      </c>
      <c r="D706" s="21">
        <v>45068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0.19</v>
      </c>
      <c r="AB706" s="2">
        <v>0.19</v>
      </c>
      <c r="AC706" s="2">
        <v>0.19</v>
      </c>
      <c r="AD706" s="2">
        <v>0.19</v>
      </c>
      <c r="AE706" s="2">
        <v>0.19</v>
      </c>
      <c r="AF706" s="2">
        <v>0.19</v>
      </c>
      <c r="AG706" s="2">
        <v>0.19</v>
      </c>
      <c r="AH706" s="2">
        <v>0.19</v>
      </c>
      <c r="AI706" s="2">
        <v>0.19</v>
      </c>
      <c r="AJ706" s="2">
        <v>0.19</v>
      </c>
      <c r="AK706" s="2">
        <v>0.19</v>
      </c>
      <c r="AL706" s="2">
        <v>0.19</v>
      </c>
      <c r="AM706" s="2">
        <v>0.19</v>
      </c>
      <c r="AN706" s="2">
        <v>0.19</v>
      </c>
      <c r="AO706" s="2">
        <v>0.19</v>
      </c>
      <c r="AP706" s="2">
        <v>0.19</v>
      </c>
    </row>
    <row r="707" spans="1:42" hidden="1" x14ac:dyDescent="0.3">
      <c r="A707" s="5" t="s">
        <v>846</v>
      </c>
      <c r="B707" s="5" t="s">
        <v>29</v>
      </c>
      <c r="C707" s="22">
        <v>45068</v>
      </c>
      <c r="D707" s="22">
        <v>45068</v>
      </c>
      <c r="E707" s="3">
        <v>0</v>
      </c>
      <c r="F707" s="3">
        <v>0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0.14000000000000001</v>
      </c>
      <c r="AB707" s="3">
        <v>0.14000000000000001</v>
      </c>
      <c r="AC707" s="3">
        <v>0.14000000000000001</v>
      </c>
      <c r="AD707" s="3">
        <v>0.14000000000000001</v>
      </c>
      <c r="AE707" s="3">
        <v>0.14000000000000001</v>
      </c>
      <c r="AF707" s="3">
        <v>0.14000000000000001</v>
      </c>
      <c r="AG707" s="3">
        <v>0.14000000000000001</v>
      </c>
      <c r="AH707" s="3">
        <v>0.14000000000000001</v>
      </c>
      <c r="AI707" s="3">
        <v>0.14000000000000001</v>
      </c>
      <c r="AJ707" s="3">
        <v>0.14000000000000001</v>
      </c>
      <c r="AK707" s="3">
        <v>0.14000000000000001</v>
      </c>
      <c r="AL707" s="3">
        <v>0.14000000000000001</v>
      </c>
      <c r="AM707" s="3">
        <v>0.14000000000000001</v>
      </c>
      <c r="AN707" s="3">
        <v>0.14000000000000001</v>
      </c>
      <c r="AO707" s="3">
        <v>0.14000000000000001</v>
      </c>
      <c r="AP707" s="3">
        <v>0.14000000000000001</v>
      </c>
    </row>
    <row r="708" spans="1:42" hidden="1" x14ac:dyDescent="0.3">
      <c r="A708" s="5" t="s">
        <v>847</v>
      </c>
      <c r="B708" s="5" t="s">
        <v>29</v>
      </c>
      <c r="C708" s="22">
        <v>45047</v>
      </c>
      <c r="D708" s="22">
        <v>45048</v>
      </c>
      <c r="E708" s="3">
        <v>0</v>
      </c>
      <c r="F708" s="3">
        <v>0</v>
      </c>
      <c r="G708" s="3">
        <v>0</v>
      </c>
      <c r="H708" s="3">
        <v>0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0.01</v>
      </c>
      <c r="AB708" s="3">
        <v>0.01</v>
      </c>
      <c r="AC708" s="3">
        <v>0.01</v>
      </c>
      <c r="AD708" s="3">
        <v>0.01</v>
      </c>
      <c r="AE708" s="3">
        <v>0.01</v>
      </c>
      <c r="AF708" s="3">
        <v>0.01</v>
      </c>
      <c r="AG708" s="3">
        <v>0.01</v>
      </c>
      <c r="AH708" s="3">
        <v>0.01</v>
      </c>
      <c r="AI708" s="3">
        <v>0.01</v>
      </c>
      <c r="AJ708" s="3">
        <v>0.01</v>
      </c>
      <c r="AK708" s="3">
        <v>0.01</v>
      </c>
      <c r="AL708" s="3">
        <v>0.01</v>
      </c>
      <c r="AM708" s="3">
        <v>0.01</v>
      </c>
      <c r="AN708" s="3">
        <v>0.01</v>
      </c>
      <c r="AO708" s="3">
        <v>0.01</v>
      </c>
      <c r="AP708" s="3">
        <v>0.01</v>
      </c>
    </row>
    <row r="709" spans="1:42" hidden="1" x14ac:dyDescent="0.3">
      <c r="A709" s="5" t="s">
        <v>848</v>
      </c>
      <c r="B709" s="5" t="s">
        <v>29</v>
      </c>
      <c r="C709" s="22">
        <v>45048</v>
      </c>
      <c r="D709" s="22">
        <v>45049</v>
      </c>
      <c r="E709" s="3">
        <v>0</v>
      </c>
      <c r="F709" s="3">
        <v>0</v>
      </c>
      <c r="G709" s="3">
        <v>0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0.01</v>
      </c>
      <c r="AB709" s="3">
        <v>0.01</v>
      </c>
      <c r="AC709" s="3">
        <v>0.01</v>
      </c>
      <c r="AD709" s="3">
        <v>0.01</v>
      </c>
      <c r="AE709" s="3">
        <v>0.01</v>
      </c>
      <c r="AF709" s="3">
        <v>0.01</v>
      </c>
      <c r="AG709" s="3">
        <v>0.01</v>
      </c>
      <c r="AH709" s="3">
        <v>0.01</v>
      </c>
      <c r="AI709" s="3">
        <v>0.01</v>
      </c>
      <c r="AJ709" s="3">
        <v>0.01</v>
      </c>
      <c r="AK709" s="3">
        <v>0.01</v>
      </c>
      <c r="AL709" s="3">
        <v>0.01</v>
      </c>
      <c r="AM709" s="3">
        <v>0.01</v>
      </c>
      <c r="AN709" s="3">
        <v>0.01</v>
      </c>
      <c r="AO709" s="3">
        <v>0.01</v>
      </c>
      <c r="AP709" s="3">
        <v>0.01</v>
      </c>
    </row>
    <row r="710" spans="1:42" hidden="1" x14ac:dyDescent="0.3">
      <c r="A710" s="5" t="s">
        <v>849</v>
      </c>
      <c r="B710" s="5" t="s">
        <v>29</v>
      </c>
      <c r="C710" s="22">
        <v>45050</v>
      </c>
      <c r="D710" s="22">
        <v>45051</v>
      </c>
      <c r="E710" s="3">
        <v>0</v>
      </c>
      <c r="F710" s="3">
        <v>0</v>
      </c>
      <c r="G710" s="3">
        <v>0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0.01</v>
      </c>
      <c r="AB710" s="3">
        <v>0.01</v>
      </c>
      <c r="AC710" s="3">
        <v>0.01</v>
      </c>
      <c r="AD710" s="3">
        <v>0.01</v>
      </c>
      <c r="AE710" s="3">
        <v>0.01</v>
      </c>
      <c r="AF710" s="3">
        <v>0.01</v>
      </c>
      <c r="AG710" s="3">
        <v>0.01</v>
      </c>
      <c r="AH710" s="3">
        <v>0.01</v>
      </c>
      <c r="AI710" s="3">
        <v>0.01</v>
      </c>
      <c r="AJ710" s="3">
        <v>0.01</v>
      </c>
      <c r="AK710" s="3">
        <v>0.01</v>
      </c>
      <c r="AL710" s="3">
        <v>0.01</v>
      </c>
      <c r="AM710" s="3">
        <v>0.01</v>
      </c>
      <c r="AN710" s="3">
        <v>0.01</v>
      </c>
      <c r="AO710" s="3">
        <v>0.01</v>
      </c>
      <c r="AP710" s="3">
        <v>0.01</v>
      </c>
    </row>
    <row r="711" spans="1:42" hidden="1" x14ac:dyDescent="0.3">
      <c r="A711" s="5" t="s">
        <v>850</v>
      </c>
      <c r="B711" s="5" t="s">
        <v>29</v>
      </c>
      <c r="C711" s="22">
        <v>45054</v>
      </c>
      <c r="D711" s="22">
        <v>45055</v>
      </c>
      <c r="E711" s="3">
        <v>0</v>
      </c>
      <c r="F711" s="3">
        <v>0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0.01</v>
      </c>
      <c r="AB711" s="3">
        <v>0.01</v>
      </c>
      <c r="AC711" s="3">
        <v>0.01</v>
      </c>
      <c r="AD711" s="3">
        <v>0.01</v>
      </c>
      <c r="AE711" s="3">
        <v>0.01</v>
      </c>
      <c r="AF711" s="3">
        <v>0.01</v>
      </c>
      <c r="AG711" s="3">
        <v>0.01</v>
      </c>
      <c r="AH711" s="3">
        <v>0.01</v>
      </c>
      <c r="AI711" s="3">
        <v>0.01</v>
      </c>
      <c r="AJ711" s="3">
        <v>0.01</v>
      </c>
      <c r="AK711" s="3">
        <v>0.01</v>
      </c>
      <c r="AL711" s="3">
        <v>0.01</v>
      </c>
      <c r="AM711" s="3">
        <v>0.01</v>
      </c>
      <c r="AN711" s="3">
        <v>0.01</v>
      </c>
      <c r="AO711" s="3">
        <v>0.01</v>
      </c>
      <c r="AP711" s="3">
        <v>0.01</v>
      </c>
    </row>
    <row r="712" spans="1:42" hidden="1" x14ac:dyDescent="0.3">
      <c r="A712" s="5" t="s">
        <v>851</v>
      </c>
      <c r="B712" s="5" t="s">
        <v>29</v>
      </c>
      <c r="C712" s="22">
        <v>45056</v>
      </c>
      <c r="D712" s="22">
        <v>45057</v>
      </c>
      <c r="E712" s="3">
        <v>0</v>
      </c>
      <c r="F712" s="3">
        <v>0</v>
      </c>
      <c r="G712" s="3">
        <v>0</v>
      </c>
      <c r="H712" s="3">
        <v>0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0.01</v>
      </c>
      <c r="AB712" s="3">
        <v>0.01</v>
      </c>
      <c r="AC712" s="3">
        <v>0.01</v>
      </c>
      <c r="AD712" s="3">
        <v>0.01</v>
      </c>
      <c r="AE712" s="3">
        <v>0.01</v>
      </c>
      <c r="AF712" s="3">
        <v>0.01</v>
      </c>
      <c r="AG712" s="3">
        <v>0.01</v>
      </c>
      <c r="AH712" s="3">
        <v>0.01</v>
      </c>
      <c r="AI712" s="3">
        <v>0.01</v>
      </c>
      <c r="AJ712" s="3">
        <v>0.01</v>
      </c>
      <c r="AK712" s="3">
        <v>0.01</v>
      </c>
      <c r="AL712" s="3">
        <v>0.01</v>
      </c>
      <c r="AM712" s="3">
        <v>0.01</v>
      </c>
      <c r="AN712" s="3">
        <v>0.01</v>
      </c>
      <c r="AO712" s="3">
        <v>0.01</v>
      </c>
      <c r="AP712" s="3">
        <v>0.01</v>
      </c>
    </row>
    <row r="713" spans="1:42" hidden="1" x14ac:dyDescent="0.3">
      <c r="A713" s="15" t="s">
        <v>852</v>
      </c>
      <c r="B713" s="15" t="s">
        <v>103</v>
      </c>
      <c r="C713" s="20">
        <v>45250</v>
      </c>
      <c r="D713" s="20">
        <v>45282</v>
      </c>
      <c r="E713" s="8">
        <v>0</v>
      </c>
      <c r="F713" s="8">
        <v>0</v>
      </c>
      <c r="G713" s="8">
        <v>0</v>
      </c>
      <c r="H713" s="8">
        <v>0</v>
      </c>
      <c r="I713" s="8">
        <v>0</v>
      </c>
      <c r="J713" s="8">
        <v>0</v>
      </c>
      <c r="K713" s="8">
        <v>0</v>
      </c>
      <c r="L713" s="8">
        <v>0</v>
      </c>
      <c r="M713" s="8">
        <v>0</v>
      </c>
      <c r="N713" s="8">
        <v>0</v>
      </c>
      <c r="O713" s="8">
        <v>0</v>
      </c>
      <c r="P713" s="8">
        <v>0</v>
      </c>
      <c r="Q713" s="8">
        <v>0</v>
      </c>
      <c r="R713" s="8">
        <v>0</v>
      </c>
      <c r="S713" s="8">
        <v>0</v>
      </c>
      <c r="T713" s="8">
        <v>0</v>
      </c>
      <c r="U713" s="8">
        <v>0</v>
      </c>
      <c r="V713" s="8">
        <v>0</v>
      </c>
      <c r="W713" s="8">
        <v>0</v>
      </c>
      <c r="X713" s="8">
        <v>0</v>
      </c>
      <c r="Y713" s="8">
        <v>0</v>
      </c>
      <c r="Z713" s="8">
        <v>0</v>
      </c>
      <c r="AA713" s="8">
        <v>0</v>
      </c>
      <c r="AB713" s="8">
        <v>0</v>
      </c>
      <c r="AC713" s="8">
        <v>0</v>
      </c>
      <c r="AD713" s="8">
        <v>0</v>
      </c>
      <c r="AE713" s="8">
        <v>0</v>
      </c>
      <c r="AF713" s="8">
        <v>0</v>
      </c>
      <c r="AG713" s="8">
        <v>0.27</v>
      </c>
      <c r="AH713" s="8">
        <v>0.41</v>
      </c>
      <c r="AI713" s="8">
        <v>0.41</v>
      </c>
      <c r="AJ713" s="8">
        <v>0.41</v>
      </c>
      <c r="AK713" s="8">
        <v>0.41</v>
      </c>
      <c r="AL713" s="8">
        <v>0.41</v>
      </c>
      <c r="AM713" s="8">
        <v>0.41</v>
      </c>
      <c r="AN713" s="8">
        <v>0.41</v>
      </c>
      <c r="AO713" s="8">
        <v>0.41</v>
      </c>
      <c r="AP713" s="8">
        <v>0.41</v>
      </c>
    </row>
    <row r="714" spans="1:42" hidden="1" x14ac:dyDescent="0.3">
      <c r="A714" s="5" t="s">
        <v>853</v>
      </c>
      <c r="B714" s="5" t="s">
        <v>12</v>
      </c>
      <c r="C714" s="22">
        <v>45250</v>
      </c>
      <c r="D714" s="22">
        <v>45253</v>
      </c>
      <c r="E714" s="3">
        <v>0</v>
      </c>
      <c r="F714" s="3">
        <v>0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3">
        <v>0</v>
      </c>
      <c r="AC714" s="3">
        <v>0</v>
      </c>
      <c r="AD714" s="3">
        <v>0</v>
      </c>
      <c r="AE714" s="3">
        <v>0</v>
      </c>
      <c r="AF714" s="3">
        <v>0</v>
      </c>
      <c r="AG714" s="3">
        <v>0.22</v>
      </c>
      <c r="AH714" s="3">
        <v>0.22</v>
      </c>
      <c r="AI714" s="3">
        <v>0.22</v>
      </c>
      <c r="AJ714" s="3">
        <v>0.22</v>
      </c>
      <c r="AK714" s="3">
        <v>0.22</v>
      </c>
      <c r="AL714" s="3">
        <v>0.22</v>
      </c>
      <c r="AM714" s="3">
        <v>0.22</v>
      </c>
      <c r="AN714" s="3">
        <v>0.22</v>
      </c>
      <c r="AO714" s="3">
        <v>0.22</v>
      </c>
      <c r="AP714" s="3">
        <v>0.22</v>
      </c>
    </row>
    <row r="715" spans="1:42" hidden="1" x14ac:dyDescent="0.3">
      <c r="A715" s="5" t="s">
        <v>854</v>
      </c>
      <c r="B715" s="5" t="s">
        <v>12</v>
      </c>
      <c r="C715" s="22">
        <v>45253</v>
      </c>
      <c r="D715" s="22">
        <v>45258</v>
      </c>
      <c r="E715" s="3">
        <v>0</v>
      </c>
      <c r="F715" s="3">
        <v>0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3">
        <v>0</v>
      </c>
      <c r="AC715" s="3">
        <v>0</v>
      </c>
      <c r="AD715" s="3">
        <v>0</v>
      </c>
      <c r="AE715" s="3">
        <v>0</v>
      </c>
      <c r="AF715" s="3">
        <v>0</v>
      </c>
      <c r="AG715" s="3">
        <v>0.03</v>
      </c>
      <c r="AH715" s="3">
        <v>0.03</v>
      </c>
      <c r="AI715" s="3">
        <v>0.03</v>
      </c>
      <c r="AJ715" s="3">
        <v>0.03</v>
      </c>
      <c r="AK715" s="3">
        <v>0.03</v>
      </c>
      <c r="AL715" s="3">
        <v>0.03</v>
      </c>
      <c r="AM715" s="3">
        <v>0.03</v>
      </c>
      <c r="AN715" s="3">
        <v>0.03</v>
      </c>
      <c r="AO715" s="3">
        <v>0.03</v>
      </c>
      <c r="AP715" s="3">
        <v>0.03</v>
      </c>
    </row>
    <row r="716" spans="1:42" hidden="1" x14ac:dyDescent="0.3">
      <c r="A716" s="5" t="s">
        <v>855</v>
      </c>
      <c r="B716" s="5" t="s">
        <v>12</v>
      </c>
      <c r="C716" s="22">
        <v>45258</v>
      </c>
      <c r="D716" s="22">
        <v>45261</v>
      </c>
      <c r="E716" s="3">
        <v>0</v>
      </c>
      <c r="F716" s="3">
        <v>0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3">
        <v>0</v>
      </c>
      <c r="AC716" s="3">
        <v>0</v>
      </c>
      <c r="AD716" s="3">
        <v>0</v>
      </c>
      <c r="AE716" s="3">
        <v>0</v>
      </c>
      <c r="AF716" s="3">
        <v>0</v>
      </c>
      <c r="AG716" s="3">
        <v>0.03</v>
      </c>
      <c r="AH716" s="3">
        <v>0.03</v>
      </c>
      <c r="AI716" s="3">
        <v>0.03</v>
      </c>
      <c r="AJ716" s="3">
        <v>0.03</v>
      </c>
      <c r="AK716" s="3">
        <v>0.03</v>
      </c>
      <c r="AL716" s="3">
        <v>0.03</v>
      </c>
      <c r="AM716" s="3">
        <v>0.03</v>
      </c>
      <c r="AN716" s="3">
        <v>0.03</v>
      </c>
      <c r="AO716" s="3">
        <v>0.03</v>
      </c>
      <c r="AP716" s="3">
        <v>0.03</v>
      </c>
    </row>
    <row r="717" spans="1:42" hidden="1" x14ac:dyDescent="0.3">
      <c r="A717" s="5" t="s">
        <v>856</v>
      </c>
      <c r="B717" s="5" t="s">
        <v>12</v>
      </c>
      <c r="C717" s="22">
        <v>45261</v>
      </c>
      <c r="D717" s="22">
        <v>45266</v>
      </c>
      <c r="E717" s="3">
        <v>0</v>
      </c>
      <c r="F717" s="3">
        <v>0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3">
        <v>0</v>
      </c>
      <c r="AC717" s="3">
        <v>0</v>
      </c>
      <c r="AD717" s="3">
        <v>0</v>
      </c>
      <c r="AE717" s="3">
        <v>0</v>
      </c>
      <c r="AF717" s="3">
        <v>0</v>
      </c>
      <c r="AG717" s="3">
        <v>0</v>
      </c>
      <c r="AH717" s="3">
        <v>0.03</v>
      </c>
      <c r="AI717" s="3">
        <v>0.03</v>
      </c>
      <c r="AJ717" s="3">
        <v>0.03</v>
      </c>
      <c r="AK717" s="3">
        <v>0.03</v>
      </c>
      <c r="AL717" s="3">
        <v>0.03</v>
      </c>
      <c r="AM717" s="3">
        <v>0.03</v>
      </c>
      <c r="AN717" s="3">
        <v>0.03</v>
      </c>
      <c r="AO717" s="3">
        <v>0.03</v>
      </c>
      <c r="AP717" s="3">
        <v>0.03</v>
      </c>
    </row>
    <row r="718" spans="1:42" hidden="1" x14ac:dyDescent="0.3">
      <c r="A718" s="5" t="s">
        <v>857</v>
      </c>
      <c r="B718" s="5" t="s">
        <v>12</v>
      </c>
      <c r="C718" s="22">
        <v>45266</v>
      </c>
      <c r="D718" s="22">
        <v>45271</v>
      </c>
      <c r="E718" s="3">
        <v>0</v>
      </c>
      <c r="F718" s="3">
        <v>0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3">
        <v>0</v>
      </c>
      <c r="AC718" s="3">
        <v>0</v>
      </c>
      <c r="AD718" s="3">
        <v>0</v>
      </c>
      <c r="AE718" s="3">
        <v>0</v>
      </c>
      <c r="AF718" s="3">
        <v>0</v>
      </c>
      <c r="AG718" s="3">
        <v>0</v>
      </c>
      <c r="AH718" s="3">
        <v>0.03</v>
      </c>
      <c r="AI718" s="3">
        <v>0.03</v>
      </c>
      <c r="AJ718" s="3">
        <v>0.03</v>
      </c>
      <c r="AK718" s="3">
        <v>0.03</v>
      </c>
      <c r="AL718" s="3">
        <v>0.03</v>
      </c>
      <c r="AM718" s="3">
        <v>0.03</v>
      </c>
      <c r="AN718" s="3">
        <v>0.03</v>
      </c>
      <c r="AO718" s="3">
        <v>0.03</v>
      </c>
      <c r="AP718" s="3">
        <v>0.03</v>
      </c>
    </row>
    <row r="719" spans="1:42" hidden="1" x14ac:dyDescent="0.3">
      <c r="A719" s="5" t="s">
        <v>858</v>
      </c>
      <c r="B719" s="5" t="s">
        <v>12</v>
      </c>
      <c r="C719" s="22">
        <v>45271</v>
      </c>
      <c r="D719" s="22">
        <v>45274</v>
      </c>
      <c r="E719" s="3">
        <v>0</v>
      </c>
      <c r="F719" s="3">
        <v>0</v>
      </c>
      <c r="G719" s="3">
        <v>0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3">
        <v>0</v>
      </c>
      <c r="AC719" s="3">
        <v>0</v>
      </c>
      <c r="AD719" s="3">
        <v>0</v>
      </c>
      <c r="AE719" s="3">
        <v>0</v>
      </c>
      <c r="AF719" s="3">
        <v>0</v>
      </c>
      <c r="AG719" s="3">
        <v>0</v>
      </c>
      <c r="AH719" s="3">
        <v>0.03</v>
      </c>
      <c r="AI719" s="3">
        <v>0.03</v>
      </c>
      <c r="AJ719" s="3">
        <v>0.03</v>
      </c>
      <c r="AK719" s="3">
        <v>0.03</v>
      </c>
      <c r="AL719" s="3">
        <v>0.03</v>
      </c>
      <c r="AM719" s="3">
        <v>0.03</v>
      </c>
      <c r="AN719" s="3">
        <v>0.03</v>
      </c>
      <c r="AO719" s="3">
        <v>0.03</v>
      </c>
      <c r="AP719" s="3">
        <v>0.03</v>
      </c>
    </row>
    <row r="720" spans="1:42" hidden="1" x14ac:dyDescent="0.3">
      <c r="A720" s="5" t="s">
        <v>859</v>
      </c>
      <c r="B720" s="5" t="s">
        <v>12</v>
      </c>
      <c r="C720" s="22">
        <v>45274</v>
      </c>
      <c r="D720" s="22">
        <v>45279</v>
      </c>
      <c r="E720" s="3">
        <v>0</v>
      </c>
      <c r="F720" s="3">
        <v>0</v>
      </c>
      <c r="G720" s="3">
        <v>0</v>
      </c>
      <c r="H720" s="3">
        <v>0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3">
        <v>0</v>
      </c>
      <c r="AC720" s="3">
        <v>0</v>
      </c>
      <c r="AD720" s="3">
        <v>0</v>
      </c>
      <c r="AE720" s="3">
        <v>0</v>
      </c>
      <c r="AF720" s="3">
        <v>0</v>
      </c>
      <c r="AG720" s="3">
        <v>0</v>
      </c>
      <c r="AH720" s="3">
        <v>0.03</v>
      </c>
      <c r="AI720" s="3">
        <v>0.03</v>
      </c>
      <c r="AJ720" s="3">
        <v>0.03</v>
      </c>
      <c r="AK720" s="3">
        <v>0.03</v>
      </c>
      <c r="AL720" s="3">
        <v>0.03</v>
      </c>
      <c r="AM720" s="3">
        <v>0.03</v>
      </c>
      <c r="AN720" s="3">
        <v>0.03</v>
      </c>
      <c r="AO720" s="3">
        <v>0.03</v>
      </c>
      <c r="AP720" s="3">
        <v>0.03</v>
      </c>
    </row>
    <row r="721" spans="1:42" hidden="1" x14ac:dyDescent="0.3">
      <c r="A721" s="5" t="s">
        <v>860</v>
      </c>
      <c r="B721" s="5" t="s">
        <v>12</v>
      </c>
      <c r="C721" s="22">
        <v>45279</v>
      </c>
      <c r="D721" s="22">
        <v>45282</v>
      </c>
      <c r="E721" s="3">
        <v>0</v>
      </c>
      <c r="F721" s="3">
        <v>0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3">
        <v>0</v>
      </c>
      <c r="AC721" s="3">
        <v>0</v>
      </c>
      <c r="AD721" s="3">
        <v>0</v>
      </c>
      <c r="AE721" s="3">
        <v>0</v>
      </c>
      <c r="AF721" s="3">
        <v>0</v>
      </c>
      <c r="AG721" s="3">
        <v>0</v>
      </c>
      <c r="AH721" s="3">
        <v>0.03</v>
      </c>
      <c r="AI721" s="3">
        <v>0.03</v>
      </c>
      <c r="AJ721" s="3">
        <v>0.03</v>
      </c>
      <c r="AK721" s="3">
        <v>0.03</v>
      </c>
      <c r="AL721" s="3">
        <v>0.03</v>
      </c>
      <c r="AM721" s="3">
        <v>0.03</v>
      </c>
      <c r="AN721" s="3">
        <v>0.03</v>
      </c>
      <c r="AO721" s="3">
        <v>0.03</v>
      </c>
      <c r="AP721" s="3">
        <v>0.03</v>
      </c>
    </row>
    <row r="722" spans="1:42" hidden="1" x14ac:dyDescent="0.3">
      <c r="A722" s="14" t="s">
        <v>861</v>
      </c>
      <c r="B722" s="14" t="s">
        <v>104</v>
      </c>
      <c r="C722" s="19">
        <v>44740</v>
      </c>
      <c r="D722" s="19">
        <v>45124</v>
      </c>
      <c r="E722" s="7">
        <v>0</v>
      </c>
      <c r="F722" s="7">
        <v>0</v>
      </c>
      <c r="G722" s="7">
        <v>0</v>
      </c>
      <c r="H722" s="7">
        <v>0</v>
      </c>
      <c r="I722" s="7">
        <v>0</v>
      </c>
      <c r="J722" s="7">
        <v>0</v>
      </c>
      <c r="K722" s="7">
        <v>0</v>
      </c>
      <c r="L722" s="7">
        <v>0</v>
      </c>
      <c r="M722" s="7">
        <v>0</v>
      </c>
      <c r="N722" s="7">
        <v>0</v>
      </c>
      <c r="O722" s="7">
        <v>0</v>
      </c>
      <c r="P722" s="7">
        <v>0.04</v>
      </c>
      <c r="Q722" s="7">
        <v>0.6</v>
      </c>
      <c r="R722" s="7">
        <v>0.6</v>
      </c>
      <c r="S722" s="7">
        <v>0.6</v>
      </c>
      <c r="T722" s="7">
        <v>0.6</v>
      </c>
      <c r="U722" s="7">
        <v>0.6</v>
      </c>
      <c r="V722" s="7">
        <v>0.6</v>
      </c>
      <c r="W722" s="7">
        <v>0.76</v>
      </c>
      <c r="X722" s="7">
        <v>0.94</v>
      </c>
      <c r="Y722" s="7">
        <v>1.1100000000000001</v>
      </c>
      <c r="Z722" s="7">
        <v>1.43</v>
      </c>
      <c r="AA722" s="7">
        <v>2.7</v>
      </c>
      <c r="AB722" s="7">
        <v>2.74</v>
      </c>
      <c r="AC722" s="7">
        <v>2.77</v>
      </c>
      <c r="AD722" s="7">
        <v>2.77</v>
      </c>
      <c r="AE722" s="7">
        <v>2.77</v>
      </c>
      <c r="AF722" s="7">
        <v>2.77</v>
      </c>
      <c r="AG722" s="7">
        <v>2.77</v>
      </c>
      <c r="AH722" s="7">
        <v>2.77</v>
      </c>
      <c r="AI722" s="7">
        <v>2.77</v>
      </c>
      <c r="AJ722" s="7">
        <v>2.77</v>
      </c>
      <c r="AK722" s="7">
        <v>2.77</v>
      </c>
      <c r="AL722" s="7">
        <v>2.77</v>
      </c>
      <c r="AM722" s="7">
        <v>2.77</v>
      </c>
      <c r="AN722" s="7">
        <v>2.77</v>
      </c>
      <c r="AO722" s="7">
        <v>2.77</v>
      </c>
      <c r="AP722" s="7">
        <v>2.77</v>
      </c>
    </row>
    <row r="723" spans="1:42" hidden="1" x14ac:dyDescent="0.3">
      <c r="A723" s="15" t="s">
        <v>862</v>
      </c>
      <c r="B723" s="15" t="s">
        <v>105</v>
      </c>
      <c r="C723" s="20">
        <v>44935</v>
      </c>
      <c r="D723" s="20">
        <v>45124</v>
      </c>
      <c r="E723" s="8">
        <v>0</v>
      </c>
      <c r="F723" s="8">
        <v>0</v>
      </c>
      <c r="G723" s="8">
        <v>0</v>
      </c>
      <c r="H723" s="8">
        <v>0</v>
      </c>
      <c r="I723" s="8">
        <v>0</v>
      </c>
      <c r="J723" s="8">
        <v>0</v>
      </c>
      <c r="K723" s="8">
        <v>0</v>
      </c>
      <c r="L723" s="8">
        <v>0</v>
      </c>
      <c r="M723" s="8">
        <v>0</v>
      </c>
      <c r="N723" s="8">
        <v>0</v>
      </c>
      <c r="O723" s="8">
        <v>0</v>
      </c>
      <c r="P723" s="8">
        <v>0</v>
      </c>
      <c r="Q723" s="8">
        <v>0</v>
      </c>
      <c r="R723" s="8">
        <v>0</v>
      </c>
      <c r="S723" s="8">
        <v>0</v>
      </c>
      <c r="T723" s="8">
        <v>0</v>
      </c>
      <c r="U723" s="8">
        <v>0</v>
      </c>
      <c r="V723" s="8">
        <v>0</v>
      </c>
      <c r="W723" s="8">
        <v>0.16</v>
      </c>
      <c r="X723" s="8">
        <v>0.34</v>
      </c>
      <c r="Y723" s="8">
        <v>0.51</v>
      </c>
      <c r="Z723" s="8">
        <v>0.83</v>
      </c>
      <c r="AA723" s="8">
        <v>2.1</v>
      </c>
      <c r="AB723" s="8">
        <v>2.14</v>
      </c>
      <c r="AC723" s="8">
        <v>2.17</v>
      </c>
      <c r="AD723" s="8">
        <v>2.17</v>
      </c>
      <c r="AE723" s="8">
        <v>2.17</v>
      </c>
      <c r="AF723" s="8">
        <v>2.17</v>
      </c>
      <c r="AG723" s="8">
        <v>2.17</v>
      </c>
      <c r="AH723" s="8">
        <v>2.17</v>
      </c>
      <c r="AI723" s="8">
        <v>2.17</v>
      </c>
      <c r="AJ723" s="8">
        <v>2.17</v>
      </c>
      <c r="AK723" s="8">
        <v>2.17</v>
      </c>
      <c r="AL723" s="8">
        <v>2.17</v>
      </c>
      <c r="AM723" s="8">
        <v>2.17</v>
      </c>
      <c r="AN723" s="8">
        <v>2.17</v>
      </c>
      <c r="AO723" s="8">
        <v>2.17</v>
      </c>
      <c r="AP723" s="8">
        <v>2.17</v>
      </c>
    </row>
    <row r="724" spans="1:42" hidden="1" x14ac:dyDescent="0.3">
      <c r="A724" s="5" t="s">
        <v>863</v>
      </c>
      <c r="B724" s="5" t="s">
        <v>9</v>
      </c>
      <c r="C724" s="22">
        <v>45044</v>
      </c>
      <c r="D724" s="22">
        <v>45051</v>
      </c>
      <c r="E724" s="3">
        <v>0</v>
      </c>
      <c r="F724" s="3">
        <v>0</v>
      </c>
      <c r="G724" s="3">
        <v>0</v>
      </c>
      <c r="H724" s="3">
        <v>0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0.21</v>
      </c>
      <c r="AA724" s="3">
        <v>1.18</v>
      </c>
      <c r="AB724" s="3">
        <v>1.18</v>
      </c>
      <c r="AC724" s="3">
        <v>1.18</v>
      </c>
      <c r="AD724" s="3">
        <v>1.18</v>
      </c>
      <c r="AE724" s="3">
        <v>1.18</v>
      </c>
      <c r="AF724" s="3">
        <v>1.18</v>
      </c>
      <c r="AG724" s="3">
        <v>1.18</v>
      </c>
      <c r="AH724" s="3">
        <v>1.18</v>
      </c>
      <c r="AI724" s="3">
        <v>1.18</v>
      </c>
      <c r="AJ724" s="3">
        <v>1.18</v>
      </c>
      <c r="AK724" s="3">
        <v>1.18</v>
      </c>
      <c r="AL724" s="3">
        <v>1.18</v>
      </c>
      <c r="AM724" s="3">
        <v>1.18</v>
      </c>
      <c r="AN724" s="3">
        <v>1.18</v>
      </c>
      <c r="AO724" s="3">
        <v>1.18</v>
      </c>
      <c r="AP724" s="3">
        <v>1.18</v>
      </c>
    </row>
    <row r="725" spans="1:42" hidden="1" x14ac:dyDescent="0.3">
      <c r="A725" s="5" t="s">
        <v>864</v>
      </c>
      <c r="B725" s="5" t="s">
        <v>17</v>
      </c>
      <c r="C725" s="22">
        <v>45023</v>
      </c>
      <c r="D725" s="22">
        <v>45044</v>
      </c>
      <c r="E725" s="3">
        <v>0</v>
      </c>
      <c r="F725" s="3">
        <v>0</v>
      </c>
      <c r="G725" s="3">
        <v>0</v>
      </c>
      <c r="H725" s="3">
        <v>0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0.05</v>
      </c>
      <c r="AA725" s="3">
        <v>0.05</v>
      </c>
      <c r="AB725" s="3">
        <v>0.05</v>
      </c>
      <c r="AC725" s="3">
        <v>0.05</v>
      </c>
      <c r="AD725" s="3">
        <v>0.05</v>
      </c>
      <c r="AE725" s="3">
        <v>0.05</v>
      </c>
      <c r="AF725" s="3">
        <v>0.05</v>
      </c>
      <c r="AG725" s="3">
        <v>0.05</v>
      </c>
      <c r="AH725" s="3">
        <v>0.05</v>
      </c>
      <c r="AI725" s="3">
        <v>0.05</v>
      </c>
      <c r="AJ725" s="3">
        <v>0.05</v>
      </c>
      <c r="AK725" s="3">
        <v>0.05</v>
      </c>
      <c r="AL725" s="3">
        <v>0.05</v>
      </c>
      <c r="AM725" s="3">
        <v>0.05</v>
      </c>
      <c r="AN725" s="3">
        <v>0.05</v>
      </c>
      <c r="AO725" s="3">
        <v>0.05</v>
      </c>
      <c r="AP725" s="3">
        <v>0.05</v>
      </c>
    </row>
    <row r="726" spans="1:42" hidden="1" x14ac:dyDescent="0.3">
      <c r="A726" s="5" t="s">
        <v>865</v>
      </c>
      <c r="B726" s="5" t="s">
        <v>14</v>
      </c>
      <c r="C726" s="22">
        <v>45009</v>
      </c>
      <c r="D726" s="22">
        <v>45023</v>
      </c>
      <c r="E726" s="3">
        <v>0</v>
      </c>
      <c r="F726" s="3">
        <v>0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0.08</v>
      </c>
      <c r="Z726" s="3">
        <v>0.14000000000000001</v>
      </c>
      <c r="AA726" s="3">
        <v>0.14000000000000001</v>
      </c>
      <c r="AB726" s="3">
        <v>0.14000000000000001</v>
      </c>
      <c r="AC726" s="3">
        <v>0.14000000000000001</v>
      </c>
      <c r="AD726" s="3">
        <v>0.14000000000000001</v>
      </c>
      <c r="AE726" s="3">
        <v>0.14000000000000001</v>
      </c>
      <c r="AF726" s="3">
        <v>0.14000000000000001</v>
      </c>
      <c r="AG726" s="3">
        <v>0.14000000000000001</v>
      </c>
      <c r="AH726" s="3">
        <v>0.14000000000000001</v>
      </c>
      <c r="AI726" s="3">
        <v>0.14000000000000001</v>
      </c>
      <c r="AJ726" s="3">
        <v>0.14000000000000001</v>
      </c>
      <c r="AK726" s="3">
        <v>0.14000000000000001</v>
      </c>
      <c r="AL726" s="3">
        <v>0.14000000000000001</v>
      </c>
      <c r="AM726" s="3">
        <v>0.14000000000000001</v>
      </c>
      <c r="AN726" s="3">
        <v>0.14000000000000001</v>
      </c>
      <c r="AO726" s="3">
        <v>0.14000000000000001</v>
      </c>
      <c r="AP726" s="3">
        <v>0.14000000000000001</v>
      </c>
    </row>
    <row r="727" spans="1:42" hidden="1" x14ac:dyDescent="0.3">
      <c r="A727" s="5" t="s">
        <v>866</v>
      </c>
      <c r="B727" s="5" t="s">
        <v>45</v>
      </c>
      <c r="C727" s="22">
        <v>44985</v>
      </c>
      <c r="D727" s="22">
        <v>45009</v>
      </c>
      <c r="E727" s="3">
        <v>0</v>
      </c>
      <c r="F727" s="3">
        <v>0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0.09</v>
      </c>
      <c r="Z727" s="3">
        <v>0.09</v>
      </c>
      <c r="AA727" s="3">
        <v>0.09</v>
      </c>
      <c r="AB727" s="3">
        <v>0.09</v>
      </c>
      <c r="AC727" s="3">
        <v>0.09</v>
      </c>
      <c r="AD727" s="3">
        <v>0.09</v>
      </c>
      <c r="AE727" s="3">
        <v>0.09</v>
      </c>
      <c r="AF727" s="3">
        <v>0.09</v>
      </c>
      <c r="AG727" s="3">
        <v>0.09</v>
      </c>
      <c r="AH727" s="3">
        <v>0.09</v>
      </c>
      <c r="AI727" s="3">
        <v>0.09</v>
      </c>
      <c r="AJ727" s="3">
        <v>0.09</v>
      </c>
      <c r="AK727" s="3">
        <v>0.09</v>
      </c>
      <c r="AL727" s="3">
        <v>0.09</v>
      </c>
      <c r="AM727" s="3">
        <v>0.09</v>
      </c>
      <c r="AN727" s="3">
        <v>0.09</v>
      </c>
      <c r="AO727" s="3">
        <v>0.09</v>
      </c>
      <c r="AP727" s="3">
        <v>0.09</v>
      </c>
    </row>
    <row r="728" spans="1:42" hidden="1" x14ac:dyDescent="0.3">
      <c r="A728" s="5" t="s">
        <v>867</v>
      </c>
      <c r="B728" s="5" t="s">
        <v>45</v>
      </c>
      <c r="C728" s="22">
        <v>44959</v>
      </c>
      <c r="D728" s="22">
        <v>44985</v>
      </c>
      <c r="E728" s="3">
        <v>0</v>
      </c>
      <c r="F728" s="3">
        <v>0</v>
      </c>
      <c r="G728" s="3">
        <v>0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0.17</v>
      </c>
      <c r="Y728" s="3">
        <v>0.17</v>
      </c>
      <c r="Z728" s="3">
        <v>0.17</v>
      </c>
      <c r="AA728" s="3">
        <v>0.17</v>
      </c>
      <c r="AB728" s="3">
        <v>0.17</v>
      </c>
      <c r="AC728" s="3">
        <v>0.17</v>
      </c>
      <c r="AD728" s="3">
        <v>0.17</v>
      </c>
      <c r="AE728" s="3">
        <v>0.17</v>
      </c>
      <c r="AF728" s="3">
        <v>0.17</v>
      </c>
      <c r="AG728" s="3">
        <v>0.17</v>
      </c>
      <c r="AH728" s="3">
        <v>0.17</v>
      </c>
      <c r="AI728" s="3">
        <v>0.17</v>
      </c>
      <c r="AJ728" s="3">
        <v>0.17</v>
      </c>
      <c r="AK728" s="3">
        <v>0.17</v>
      </c>
      <c r="AL728" s="3">
        <v>0.17</v>
      </c>
      <c r="AM728" s="3">
        <v>0.17</v>
      </c>
      <c r="AN728" s="3">
        <v>0.17</v>
      </c>
      <c r="AO728" s="3">
        <v>0.17</v>
      </c>
      <c r="AP728" s="3">
        <v>0.17</v>
      </c>
    </row>
    <row r="729" spans="1:42" hidden="1" x14ac:dyDescent="0.3">
      <c r="A729" s="5" t="s">
        <v>868</v>
      </c>
      <c r="B729" s="5" t="s">
        <v>45</v>
      </c>
      <c r="C729" s="22">
        <v>44935</v>
      </c>
      <c r="D729" s="22">
        <v>44959</v>
      </c>
      <c r="E729" s="3">
        <v>0</v>
      </c>
      <c r="F729" s="3">
        <v>0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0.16</v>
      </c>
      <c r="X729" s="3">
        <v>0.17</v>
      </c>
      <c r="Y729" s="3">
        <v>0.17</v>
      </c>
      <c r="Z729" s="3">
        <v>0.17</v>
      </c>
      <c r="AA729" s="3">
        <v>0.17</v>
      </c>
      <c r="AB729" s="3">
        <v>0.17</v>
      </c>
      <c r="AC729" s="3">
        <v>0.17</v>
      </c>
      <c r="AD729" s="3">
        <v>0.17</v>
      </c>
      <c r="AE729" s="3">
        <v>0.17</v>
      </c>
      <c r="AF729" s="3">
        <v>0.17</v>
      </c>
      <c r="AG729" s="3">
        <v>0.17</v>
      </c>
      <c r="AH729" s="3">
        <v>0.17</v>
      </c>
      <c r="AI729" s="3">
        <v>0.17</v>
      </c>
      <c r="AJ729" s="3">
        <v>0.17</v>
      </c>
      <c r="AK729" s="3">
        <v>0.17</v>
      </c>
      <c r="AL729" s="3">
        <v>0.17</v>
      </c>
      <c r="AM729" s="3">
        <v>0.17</v>
      </c>
      <c r="AN729" s="3">
        <v>0.17</v>
      </c>
      <c r="AO729" s="3">
        <v>0.17</v>
      </c>
      <c r="AP729" s="3">
        <v>0.17</v>
      </c>
    </row>
    <row r="730" spans="1:42" hidden="1" x14ac:dyDescent="0.3">
      <c r="A730" s="4" t="s">
        <v>869</v>
      </c>
      <c r="B730" s="4" t="s">
        <v>26</v>
      </c>
      <c r="C730" s="21">
        <v>45051</v>
      </c>
      <c r="D730" s="21">
        <v>45079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0.3</v>
      </c>
      <c r="AB730" s="2">
        <v>0.34</v>
      </c>
      <c r="AC730" s="2">
        <v>0.34</v>
      </c>
      <c r="AD730" s="2">
        <v>0.34</v>
      </c>
      <c r="AE730" s="2">
        <v>0.34</v>
      </c>
      <c r="AF730" s="2">
        <v>0.34</v>
      </c>
      <c r="AG730" s="2">
        <v>0.34</v>
      </c>
      <c r="AH730" s="2">
        <v>0.34</v>
      </c>
      <c r="AI730" s="2">
        <v>0.34</v>
      </c>
      <c r="AJ730" s="2">
        <v>0.34</v>
      </c>
      <c r="AK730" s="2">
        <v>0.34</v>
      </c>
      <c r="AL730" s="2">
        <v>0.34</v>
      </c>
      <c r="AM730" s="2">
        <v>0.34</v>
      </c>
      <c r="AN730" s="2">
        <v>0.34</v>
      </c>
      <c r="AO730" s="2">
        <v>0.34</v>
      </c>
      <c r="AP730" s="2">
        <v>0.34</v>
      </c>
    </row>
    <row r="731" spans="1:42" hidden="1" x14ac:dyDescent="0.3">
      <c r="A731" s="5" t="s">
        <v>870</v>
      </c>
      <c r="B731" s="5" t="s">
        <v>9</v>
      </c>
      <c r="C731" s="22">
        <v>45072</v>
      </c>
      <c r="D731" s="22">
        <v>45079</v>
      </c>
      <c r="E731" s="3">
        <v>0</v>
      </c>
      <c r="F731" s="3">
        <v>0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0.14000000000000001</v>
      </c>
      <c r="AB731" s="3">
        <v>0.18</v>
      </c>
      <c r="AC731" s="3">
        <v>0.18</v>
      </c>
      <c r="AD731" s="3">
        <v>0.18</v>
      </c>
      <c r="AE731" s="3">
        <v>0.18</v>
      </c>
      <c r="AF731" s="3">
        <v>0.18</v>
      </c>
      <c r="AG731" s="3">
        <v>0.18</v>
      </c>
      <c r="AH731" s="3">
        <v>0.18</v>
      </c>
      <c r="AI731" s="3">
        <v>0.18</v>
      </c>
      <c r="AJ731" s="3">
        <v>0.18</v>
      </c>
      <c r="AK731" s="3">
        <v>0.18</v>
      </c>
      <c r="AL731" s="3">
        <v>0.18</v>
      </c>
      <c r="AM731" s="3">
        <v>0.18</v>
      </c>
      <c r="AN731" s="3">
        <v>0.18</v>
      </c>
      <c r="AO731" s="3">
        <v>0.18</v>
      </c>
      <c r="AP731" s="3">
        <v>0.18</v>
      </c>
    </row>
    <row r="732" spans="1:42" hidden="1" x14ac:dyDescent="0.3">
      <c r="A732" s="5" t="s">
        <v>871</v>
      </c>
      <c r="B732" s="5" t="s">
        <v>12</v>
      </c>
      <c r="C732" s="22">
        <v>45051</v>
      </c>
      <c r="D732" s="22">
        <v>45056</v>
      </c>
      <c r="E732" s="3">
        <v>0</v>
      </c>
      <c r="F732" s="3">
        <v>0</v>
      </c>
      <c r="G732" s="3">
        <v>0</v>
      </c>
      <c r="H732" s="3">
        <v>0</v>
      </c>
      <c r="I732" s="3">
        <v>0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0.05</v>
      </c>
      <c r="AB732" s="3">
        <v>0.05</v>
      </c>
      <c r="AC732" s="3">
        <v>0.05</v>
      </c>
      <c r="AD732" s="3">
        <v>0.05</v>
      </c>
      <c r="AE732" s="3">
        <v>0.05</v>
      </c>
      <c r="AF732" s="3">
        <v>0.05</v>
      </c>
      <c r="AG732" s="3">
        <v>0.05</v>
      </c>
      <c r="AH732" s="3">
        <v>0.05</v>
      </c>
      <c r="AI732" s="3">
        <v>0.05</v>
      </c>
      <c r="AJ732" s="3">
        <v>0.05</v>
      </c>
      <c r="AK732" s="3">
        <v>0.05</v>
      </c>
      <c r="AL732" s="3">
        <v>0.05</v>
      </c>
      <c r="AM732" s="3">
        <v>0.05</v>
      </c>
      <c r="AN732" s="3">
        <v>0.05</v>
      </c>
      <c r="AO732" s="3">
        <v>0.05</v>
      </c>
      <c r="AP732" s="3">
        <v>0.05</v>
      </c>
    </row>
    <row r="733" spans="1:42" hidden="1" x14ac:dyDescent="0.3">
      <c r="A733" s="5" t="s">
        <v>872</v>
      </c>
      <c r="B733" s="5" t="s">
        <v>12</v>
      </c>
      <c r="C733" s="22">
        <v>45056</v>
      </c>
      <c r="D733" s="22">
        <v>45061</v>
      </c>
      <c r="E733" s="3">
        <v>0</v>
      </c>
      <c r="F733" s="3">
        <v>0</v>
      </c>
      <c r="G733" s="3">
        <v>0</v>
      </c>
      <c r="H733" s="3">
        <v>0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  <c r="O733" s="3">
        <v>0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0.03</v>
      </c>
      <c r="AB733" s="3">
        <v>0.03</v>
      </c>
      <c r="AC733" s="3">
        <v>0.03</v>
      </c>
      <c r="AD733" s="3">
        <v>0.03</v>
      </c>
      <c r="AE733" s="3">
        <v>0.03</v>
      </c>
      <c r="AF733" s="3">
        <v>0.03</v>
      </c>
      <c r="AG733" s="3">
        <v>0.03</v>
      </c>
      <c r="AH733" s="3">
        <v>0.03</v>
      </c>
      <c r="AI733" s="3">
        <v>0.03</v>
      </c>
      <c r="AJ733" s="3">
        <v>0.03</v>
      </c>
      <c r="AK733" s="3">
        <v>0.03</v>
      </c>
      <c r="AL733" s="3">
        <v>0.03</v>
      </c>
      <c r="AM733" s="3">
        <v>0.03</v>
      </c>
      <c r="AN733" s="3">
        <v>0.03</v>
      </c>
      <c r="AO733" s="3">
        <v>0.03</v>
      </c>
      <c r="AP733" s="3">
        <v>0.03</v>
      </c>
    </row>
    <row r="734" spans="1:42" hidden="1" x14ac:dyDescent="0.3">
      <c r="A734" s="5" t="s">
        <v>873</v>
      </c>
      <c r="B734" s="5" t="s">
        <v>12</v>
      </c>
      <c r="C734" s="22">
        <v>45061</v>
      </c>
      <c r="D734" s="22">
        <v>45064</v>
      </c>
      <c r="E734" s="3">
        <v>0</v>
      </c>
      <c r="F734" s="3">
        <v>0</v>
      </c>
      <c r="G734" s="3">
        <v>0</v>
      </c>
      <c r="H734" s="3">
        <v>0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0.03</v>
      </c>
      <c r="AB734" s="3">
        <v>0.03</v>
      </c>
      <c r="AC734" s="3">
        <v>0.03</v>
      </c>
      <c r="AD734" s="3">
        <v>0.03</v>
      </c>
      <c r="AE734" s="3">
        <v>0.03</v>
      </c>
      <c r="AF734" s="3">
        <v>0.03</v>
      </c>
      <c r="AG734" s="3">
        <v>0.03</v>
      </c>
      <c r="AH734" s="3">
        <v>0.03</v>
      </c>
      <c r="AI734" s="3">
        <v>0.03</v>
      </c>
      <c r="AJ734" s="3">
        <v>0.03</v>
      </c>
      <c r="AK734" s="3">
        <v>0.03</v>
      </c>
      <c r="AL734" s="3">
        <v>0.03</v>
      </c>
      <c r="AM734" s="3">
        <v>0.03</v>
      </c>
      <c r="AN734" s="3">
        <v>0.03</v>
      </c>
      <c r="AO734" s="3">
        <v>0.03</v>
      </c>
      <c r="AP734" s="3">
        <v>0.03</v>
      </c>
    </row>
    <row r="735" spans="1:42" hidden="1" x14ac:dyDescent="0.3">
      <c r="A735" s="5" t="s">
        <v>874</v>
      </c>
      <c r="B735" s="5" t="s">
        <v>12</v>
      </c>
      <c r="C735" s="22">
        <v>45064</v>
      </c>
      <c r="D735" s="22">
        <v>45069</v>
      </c>
      <c r="E735" s="3">
        <v>0</v>
      </c>
      <c r="F735" s="3">
        <v>0</v>
      </c>
      <c r="G735" s="3">
        <v>0</v>
      </c>
      <c r="H735" s="3">
        <v>0</v>
      </c>
      <c r="I735" s="3">
        <v>0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3">
        <v>0</v>
      </c>
      <c r="P735" s="3">
        <v>0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0.03</v>
      </c>
      <c r="AB735" s="3">
        <v>0.03</v>
      </c>
      <c r="AC735" s="3">
        <v>0.03</v>
      </c>
      <c r="AD735" s="3">
        <v>0.03</v>
      </c>
      <c r="AE735" s="3">
        <v>0.03</v>
      </c>
      <c r="AF735" s="3">
        <v>0.03</v>
      </c>
      <c r="AG735" s="3">
        <v>0.03</v>
      </c>
      <c r="AH735" s="3">
        <v>0.03</v>
      </c>
      <c r="AI735" s="3">
        <v>0.03</v>
      </c>
      <c r="AJ735" s="3">
        <v>0.03</v>
      </c>
      <c r="AK735" s="3">
        <v>0.03</v>
      </c>
      <c r="AL735" s="3">
        <v>0.03</v>
      </c>
      <c r="AM735" s="3">
        <v>0.03</v>
      </c>
      <c r="AN735" s="3">
        <v>0.03</v>
      </c>
      <c r="AO735" s="3">
        <v>0.03</v>
      </c>
      <c r="AP735" s="3">
        <v>0.03</v>
      </c>
    </row>
    <row r="736" spans="1:42" hidden="1" x14ac:dyDescent="0.3">
      <c r="A736" s="5" t="s">
        <v>875</v>
      </c>
      <c r="B736" s="5" t="s">
        <v>12</v>
      </c>
      <c r="C736" s="22">
        <v>45069</v>
      </c>
      <c r="D736" s="22">
        <v>45072</v>
      </c>
      <c r="E736" s="3">
        <v>0</v>
      </c>
      <c r="F736" s="3">
        <v>0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0.03</v>
      </c>
      <c r="AB736" s="3">
        <v>0.03</v>
      </c>
      <c r="AC736" s="3">
        <v>0.03</v>
      </c>
      <c r="AD736" s="3">
        <v>0.03</v>
      </c>
      <c r="AE736" s="3">
        <v>0.03</v>
      </c>
      <c r="AF736" s="3">
        <v>0.03</v>
      </c>
      <c r="AG736" s="3">
        <v>0.03</v>
      </c>
      <c r="AH736" s="3">
        <v>0.03</v>
      </c>
      <c r="AI736" s="3">
        <v>0.03</v>
      </c>
      <c r="AJ736" s="3">
        <v>0.03</v>
      </c>
      <c r="AK736" s="3">
        <v>0.03</v>
      </c>
      <c r="AL736" s="3">
        <v>0.03</v>
      </c>
      <c r="AM736" s="3">
        <v>0.03</v>
      </c>
      <c r="AN736" s="3">
        <v>0.03</v>
      </c>
      <c r="AO736" s="3">
        <v>0.03</v>
      </c>
      <c r="AP736" s="3">
        <v>0.03</v>
      </c>
    </row>
    <row r="737" spans="1:42" hidden="1" x14ac:dyDescent="0.3">
      <c r="A737" s="5" t="s">
        <v>876</v>
      </c>
      <c r="B737" s="5" t="s">
        <v>29</v>
      </c>
      <c r="C737" s="22">
        <v>45121</v>
      </c>
      <c r="D737" s="22">
        <v>45124</v>
      </c>
      <c r="E737" s="3">
        <v>0</v>
      </c>
      <c r="F737" s="3">
        <v>0</v>
      </c>
      <c r="G737" s="3">
        <v>0</v>
      </c>
      <c r="H737" s="3">
        <v>0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3">
        <v>0</v>
      </c>
      <c r="AC737" s="3">
        <v>0.03</v>
      </c>
      <c r="AD737" s="3">
        <v>0.03</v>
      </c>
      <c r="AE737" s="3">
        <v>0.03</v>
      </c>
      <c r="AF737" s="3">
        <v>0.03</v>
      </c>
      <c r="AG737" s="3">
        <v>0.03</v>
      </c>
      <c r="AH737" s="3">
        <v>0.03</v>
      </c>
      <c r="AI737" s="3">
        <v>0.03</v>
      </c>
      <c r="AJ737" s="3">
        <v>0.03</v>
      </c>
      <c r="AK737" s="3">
        <v>0.03</v>
      </c>
      <c r="AL737" s="3">
        <v>0.03</v>
      </c>
      <c r="AM737" s="3">
        <v>0.03</v>
      </c>
      <c r="AN737" s="3">
        <v>0.03</v>
      </c>
      <c r="AO737" s="3">
        <v>0.03</v>
      </c>
      <c r="AP737" s="3">
        <v>0.03</v>
      </c>
    </row>
    <row r="738" spans="1:42" hidden="1" x14ac:dyDescent="0.3">
      <c r="A738" s="15" t="s">
        <v>877</v>
      </c>
      <c r="B738" s="15" t="s">
        <v>106</v>
      </c>
      <c r="C738" s="20">
        <v>44742</v>
      </c>
      <c r="D738" s="20">
        <v>44757</v>
      </c>
      <c r="E738" s="8">
        <v>0</v>
      </c>
      <c r="F738" s="8">
        <v>0</v>
      </c>
      <c r="G738" s="8">
        <v>0</v>
      </c>
      <c r="H738" s="8">
        <v>0</v>
      </c>
      <c r="I738" s="8">
        <v>0</v>
      </c>
      <c r="J738" s="8">
        <v>0</v>
      </c>
      <c r="K738" s="8">
        <v>0</v>
      </c>
      <c r="L738" s="8">
        <v>0</v>
      </c>
      <c r="M738" s="8">
        <v>0</v>
      </c>
      <c r="N738" s="8">
        <v>0</v>
      </c>
      <c r="O738" s="8">
        <v>0</v>
      </c>
      <c r="P738" s="8">
        <v>0.01</v>
      </c>
      <c r="Q738" s="8">
        <v>0.28999999999999998</v>
      </c>
      <c r="R738" s="8">
        <v>0.28999999999999998</v>
      </c>
      <c r="S738" s="8">
        <v>0.28999999999999998</v>
      </c>
      <c r="T738" s="8">
        <v>0.28999999999999998</v>
      </c>
      <c r="U738" s="8">
        <v>0.28999999999999998</v>
      </c>
      <c r="V738" s="8">
        <v>0.28999999999999998</v>
      </c>
      <c r="W738" s="8">
        <v>0.28999999999999998</v>
      </c>
      <c r="X738" s="8">
        <v>0.28999999999999998</v>
      </c>
      <c r="Y738" s="8">
        <v>0.28999999999999998</v>
      </c>
      <c r="Z738" s="8">
        <v>0.28999999999999998</v>
      </c>
      <c r="AA738" s="8">
        <v>0.28999999999999998</v>
      </c>
      <c r="AB738" s="8">
        <v>0.28999999999999998</v>
      </c>
      <c r="AC738" s="8">
        <v>0.28999999999999998</v>
      </c>
      <c r="AD738" s="8">
        <v>0.28999999999999998</v>
      </c>
      <c r="AE738" s="8">
        <v>0.28999999999999998</v>
      </c>
      <c r="AF738" s="8">
        <v>0.28999999999999998</v>
      </c>
      <c r="AG738" s="8">
        <v>0.28999999999999998</v>
      </c>
      <c r="AH738" s="8">
        <v>0.28999999999999998</v>
      </c>
      <c r="AI738" s="8">
        <v>0.28999999999999998</v>
      </c>
      <c r="AJ738" s="8">
        <v>0.28999999999999998</v>
      </c>
      <c r="AK738" s="8">
        <v>0.28999999999999998</v>
      </c>
      <c r="AL738" s="8">
        <v>0.28999999999999998</v>
      </c>
      <c r="AM738" s="8">
        <v>0.28999999999999998</v>
      </c>
      <c r="AN738" s="8">
        <v>0.28999999999999998</v>
      </c>
      <c r="AO738" s="8">
        <v>0.28999999999999998</v>
      </c>
      <c r="AP738" s="8">
        <v>0.28999999999999998</v>
      </c>
    </row>
    <row r="739" spans="1:42" hidden="1" x14ac:dyDescent="0.3">
      <c r="A739" s="5" t="s">
        <v>878</v>
      </c>
      <c r="B739" s="5" t="s">
        <v>14</v>
      </c>
      <c r="C739" s="22">
        <v>44746</v>
      </c>
      <c r="D739" s="22">
        <v>44757</v>
      </c>
      <c r="E739" s="3">
        <v>0</v>
      </c>
      <c r="F739" s="3">
        <v>0</v>
      </c>
      <c r="G739" s="3">
        <v>0</v>
      </c>
      <c r="H739" s="3">
        <v>0</v>
      </c>
      <c r="I739" s="3">
        <v>0</v>
      </c>
      <c r="J739" s="3">
        <v>0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3">
        <v>0</v>
      </c>
      <c r="Q739" s="3">
        <v>0.2</v>
      </c>
      <c r="R739" s="3">
        <v>0.2</v>
      </c>
      <c r="S739" s="3">
        <v>0.2</v>
      </c>
      <c r="T739" s="3">
        <v>0.2</v>
      </c>
      <c r="U739" s="3">
        <v>0.2</v>
      </c>
      <c r="V739" s="3">
        <v>0.2</v>
      </c>
      <c r="W739" s="3">
        <v>0.2</v>
      </c>
      <c r="X739" s="3">
        <v>0.2</v>
      </c>
      <c r="Y739" s="3">
        <v>0.2</v>
      </c>
      <c r="Z739" s="3">
        <v>0.2</v>
      </c>
      <c r="AA739" s="3">
        <v>0.2</v>
      </c>
      <c r="AB739" s="3">
        <v>0.2</v>
      </c>
      <c r="AC739" s="3">
        <v>0.2</v>
      </c>
      <c r="AD739" s="3">
        <v>0.2</v>
      </c>
      <c r="AE739" s="3">
        <v>0.2</v>
      </c>
      <c r="AF739" s="3">
        <v>0.2</v>
      </c>
      <c r="AG739" s="3">
        <v>0.2</v>
      </c>
      <c r="AH739" s="3">
        <v>0.2</v>
      </c>
      <c r="AI739" s="3">
        <v>0.2</v>
      </c>
      <c r="AJ739" s="3">
        <v>0.2</v>
      </c>
      <c r="AK739" s="3">
        <v>0.2</v>
      </c>
      <c r="AL739" s="3">
        <v>0.2</v>
      </c>
      <c r="AM739" s="3">
        <v>0.2</v>
      </c>
      <c r="AN739" s="3">
        <v>0.2</v>
      </c>
      <c r="AO739" s="3">
        <v>0.2</v>
      </c>
      <c r="AP739" s="3">
        <v>0.2</v>
      </c>
    </row>
    <row r="740" spans="1:42" hidden="1" x14ac:dyDescent="0.3">
      <c r="A740" s="5" t="s">
        <v>879</v>
      </c>
      <c r="B740" s="5" t="s">
        <v>14</v>
      </c>
      <c r="C740" s="22">
        <v>44742</v>
      </c>
      <c r="D740" s="22">
        <v>44755</v>
      </c>
      <c r="E740" s="3">
        <v>0</v>
      </c>
      <c r="F740" s="3">
        <v>0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3">
        <v>0.01</v>
      </c>
      <c r="Q740" s="3">
        <v>0.09</v>
      </c>
      <c r="R740" s="3">
        <v>0.09</v>
      </c>
      <c r="S740" s="3">
        <v>0.09</v>
      </c>
      <c r="T740" s="3">
        <v>0.09</v>
      </c>
      <c r="U740" s="3">
        <v>0.09</v>
      </c>
      <c r="V740" s="3">
        <v>0.09</v>
      </c>
      <c r="W740" s="3">
        <v>0.09</v>
      </c>
      <c r="X740" s="3">
        <v>0.09</v>
      </c>
      <c r="Y740" s="3">
        <v>0.09</v>
      </c>
      <c r="Z740" s="3">
        <v>0.09</v>
      </c>
      <c r="AA740" s="3">
        <v>0.09</v>
      </c>
      <c r="AB740" s="3">
        <v>0.09</v>
      </c>
      <c r="AC740" s="3">
        <v>0.09</v>
      </c>
      <c r="AD740" s="3">
        <v>0.09</v>
      </c>
      <c r="AE740" s="3">
        <v>0.09</v>
      </c>
      <c r="AF740" s="3">
        <v>0.09</v>
      </c>
      <c r="AG740" s="3">
        <v>0.09</v>
      </c>
      <c r="AH740" s="3">
        <v>0.09</v>
      </c>
      <c r="AI740" s="3">
        <v>0.09</v>
      </c>
      <c r="AJ740" s="3">
        <v>0.09</v>
      </c>
      <c r="AK740" s="3">
        <v>0.09</v>
      </c>
      <c r="AL740" s="3">
        <v>0.09</v>
      </c>
      <c r="AM740" s="3">
        <v>0.09</v>
      </c>
      <c r="AN740" s="3">
        <v>0.09</v>
      </c>
      <c r="AO740" s="3">
        <v>0.09</v>
      </c>
      <c r="AP740" s="3">
        <v>0.09</v>
      </c>
    </row>
    <row r="741" spans="1:42" hidden="1" x14ac:dyDescent="0.3">
      <c r="A741" s="15" t="s">
        <v>880</v>
      </c>
      <c r="B741" s="15" t="s">
        <v>107</v>
      </c>
      <c r="C741" s="20">
        <v>44740</v>
      </c>
      <c r="D741" s="20">
        <v>44763</v>
      </c>
      <c r="E741" s="8">
        <v>0</v>
      </c>
      <c r="F741" s="8">
        <v>0</v>
      </c>
      <c r="G741" s="8">
        <v>0</v>
      </c>
      <c r="H741" s="8">
        <v>0</v>
      </c>
      <c r="I741" s="8">
        <v>0</v>
      </c>
      <c r="J741" s="8">
        <v>0</v>
      </c>
      <c r="K741" s="8">
        <v>0</v>
      </c>
      <c r="L741" s="8">
        <v>0</v>
      </c>
      <c r="M741" s="8">
        <v>0</v>
      </c>
      <c r="N741" s="8">
        <v>0</v>
      </c>
      <c r="O741" s="8">
        <v>0</v>
      </c>
      <c r="P741" s="8">
        <v>0.03</v>
      </c>
      <c r="Q741" s="8">
        <v>0.31</v>
      </c>
      <c r="R741" s="8">
        <v>0.31</v>
      </c>
      <c r="S741" s="8">
        <v>0.31</v>
      </c>
      <c r="T741" s="8">
        <v>0.31</v>
      </c>
      <c r="U741" s="8">
        <v>0.31</v>
      </c>
      <c r="V741" s="8">
        <v>0.31</v>
      </c>
      <c r="W741" s="8">
        <v>0.31</v>
      </c>
      <c r="X741" s="8">
        <v>0.31</v>
      </c>
      <c r="Y741" s="8">
        <v>0.31</v>
      </c>
      <c r="Z741" s="8">
        <v>0.31</v>
      </c>
      <c r="AA741" s="8">
        <v>0.31</v>
      </c>
      <c r="AB741" s="8">
        <v>0.31</v>
      </c>
      <c r="AC741" s="8">
        <v>0.31</v>
      </c>
      <c r="AD741" s="8">
        <v>0.31</v>
      </c>
      <c r="AE741" s="8">
        <v>0.31</v>
      </c>
      <c r="AF741" s="8">
        <v>0.31</v>
      </c>
      <c r="AG741" s="8">
        <v>0.31</v>
      </c>
      <c r="AH741" s="8">
        <v>0.31</v>
      </c>
      <c r="AI741" s="8">
        <v>0.31</v>
      </c>
      <c r="AJ741" s="8">
        <v>0.31</v>
      </c>
      <c r="AK741" s="8">
        <v>0.31</v>
      </c>
      <c r="AL741" s="8">
        <v>0.31</v>
      </c>
      <c r="AM741" s="8">
        <v>0.31</v>
      </c>
      <c r="AN741" s="8">
        <v>0.31</v>
      </c>
      <c r="AO741" s="8">
        <v>0.31</v>
      </c>
      <c r="AP741" s="8">
        <v>0.31</v>
      </c>
    </row>
    <row r="742" spans="1:42" hidden="1" x14ac:dyDescent="0.3">
      <c r="A742" s="5" t="s">
        <v>881</v>
      </c>
      <c r="B742" s="5" t="s">
        <v>31</v>
      </c>
      <c r="C742" s="22">
        <v>44762</v>
      </c>
      <c r="D742" s="22">
        <v>44763</v>
      </c>
      <c r="E742" s="3">
        <v>0</v>
      </c>
      <c r="F742" s="3">
        <v>0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3">
        <v>0.16</v>
      </c>
      <c r="R742" s="3">
        <v>0.16</v>
      </c>
      <c r="S742" s="3">
        <v>0.16</v>
      </c>
      <c r="T742" s="3">
        <v>0.16</v>
      </c>
      <c r="U742" s="3">
        <v>0.16</v>
      </c>
      <c r="V742" s="3">
        <v>0.16</v>
      </c>
      <c r="W742" s="3">
        <v>0.16</v>
      </c>
      <c r="X742" s="3">
        <v>0.16</v>
      </c>
      <c r="Y742" s="3">
        <v>0.16</v>
      </c>
      <c r="Z742" s="3">
        <v>0.16</v>
      </c>
      <c r="AA742" s="3">
        <v>0.16</v>
      </c>
      <c r="AB742" s="3">
        <v>0.16</v>
      </c>
      <c r="AC742" s="3">
        <v>0.16</v>
      </c>
      <c r="AD742" s="3">
        <v>0.16</v>
      </c>
      <c r="AE742" s="3">
        <v>0.16</v>
      </c>
      <c r="AF742" s="3">
        <v>0.16</v>
      </c>
      <c r="AG742" s="3">
        <v>0.16</v>
      </c>
      <c r="AH742" s="3">
        <v>0.16</v>
      </c>
      <c r="AI742" s="3">
        <v>0.16</v>
      </c>
      <c r="AJ742" s="3">
        <v>0.16</v>
      </c>
      <c r="AK742" s="3">
        <v>0.16</v>
      </c>
      <c r="AL742" s="3">
        <v>0.16</v>
      </c>
      <c r="AM742" s="3">
        <v>0.16</v>
      </c>
      <c r="AN742" s="3">
        <v>0.16</v>
      </c>
      <c r="AO742" s="3">
        <v>0.16</v>
      </c>
      <c r="AP742" s="3">
        <v>0.16</v>
      </c>
    </row>
    <row r="743" spans="1:42" hidden="1" x14ac:dyDescent="0.3">
      <c r="A743" s="5" t="s">
        <v>882</v>
      </c>
      <c r="B743" s="5" t="s">
        <v>31</v>
      </c>
      <c r="C743" s="22">
        <v>44760</v>
      </c>
      <c r="D743" s="22">
        <v>44761</v>
      </c>
      <c r="E743" s="3">
        <v>0</v>
      </c>
      <c r="F743" s="3">
        <v>0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3">
        <v>0</v>
      </c>
      <c r="Q743" s="3">
        <v>0.02</v>
      </c>
      <c r="R743" s="3">
        <v>0.02</v>
      </c>
      <c r="S743" s="3">
        <v>0.02</v>
      </c>
      <c r="T743" s="3">
        <v>0.02</v>
      </c>
      <c r="U743" s="3">
        <v>0.02</v>
      </c>
      <c r="V743" s="3">
        <v>0.02</v>
      </c>
      <c r="W743" s="3">
        <v>0.02</v>
      </c>
      <c r="X743" s="3">
        <v>0.02</v>
      </c>
      <c r="Y743" s="3">
        <v>0.02</v>
      </c>
      <c r="Z743" s="3">
        <v>0.02</v>
      </c>
      <c r="AA743" s="3">
        <v>0.02</v>
      </c>
      <c r="AB743" s="3">
        <v>0.02</v>
      </c>
      <c r="AC743" s="3">
        <v>0.02</v>
      </c>
      <c r="AD743" s="3">
        <v>0.02</v>
      </c>
      <c r="AE743" s="3">
        <v>0.02</v>
      </c>
      <c r="AF743" s="3">
        <v>0.02</v>
      </c>
      <c r="AG743" s="3">
        <v>0.02</v>
      </c>
      <c r="AH743" s="3">
        <v>0.02</v>
      </c>
      <c r="AI743" s="3">
        <v>0.02</v>
      </c>
      <c r="AJ743" s="3">
        <v>0.02</v>
      </c>
      <c r="AK743" s="3">
        <v>0.02</v>
      </c>
      <c r="AL743" s="3">
        <v>0.02</v>
      </c>
      <c r="AM743" s="3">
        <v>0.02</v>
      </c>
      <c r="AN743" s="3">
        <v>0.02</v>
      </c>
      <c r="AO743" s="3">
        <v>0.02</v>
      </c>
      <c r="AP743" s="3">
        <v>0.02</v>
      </c>
    </row>
    <row r="744" spans="1:42" hidden="1" x14ac:dyDescent="0.3">
      <c r="A744" s="5" t="s">
        <v>883</v>
      </c>
      <c r="B744" s="5" t="s">
        <v>31</v>
      </c>
      <c r="C744" s="22">
        <v>44756</v>
      </c>
      <c r="D744" s="22">
        <v>44757</v>
      </c>
      <c r="E744" s="3">
        <v>0</v>
      </c>
      <c r="F744" s="3">
        <v>0</v>
      </c>
      <c r="G744" s="3">
        <v>0</v>
      </c>
      <c r="H744" s="3">
        <v>0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 s="3">
        <v>0.02</v>
      </c>
      <c r="R744" s="3">
        <v>0.02</v>
      </c>
      <c r="S744" s="3">
        <v>0.02</v>
      </c>
      <c r="T744" s="3">
        <v>0.02</v>
      </c>
      <c r="U744" s="3">
        <v>0.02</v>
      </c>
      <c r="V744" s="3">
        <v>0.02</v>
      </c>
      <c r="W744" s="3">
        <v>0.02</v>
      </c>
      <c r="X744" s="3">
        <v>0.02</v>
      </c>
      <c r="Y744" s="3">
        <v>0.02</v>
      </c>
      <c r="Z744" s="3">
        <v>0.02</v>
      </c>
      <c r="AA744" s="3">
        <v>0.02</v>
      </c>
      <c r="AB744" s="3">
        <v>0.02</v>
      </c>
      <c r="AC744" s="3">
        <v>0.02</v>
      </c>
      <c r="AD744" s="3">
        <v>0.02</v>
      </c>
      <c r="AE744" s="3">
        <v>0.02</v>
      </c>
      <c r="AF744" s="3">
        <v>0.02</v>
      </c>
      <c r="AG744" s="3">
        <v>0.02</v>
      </c>
      <c r="AH744" s="3">
        <v>0.02</v>
      </c>
      <c r="AI744" s="3">
        <v>0.02</v>
      </c>
      <c r="AJ744" s="3">
        <v>0.02</v>
      </c>
      <c r="AK744" s="3">
        <v>0.02</v>
      </c>
      <c r="AL744" s="3">
        <v>0.02</v>
      </c>
      <c r="AM744" s="3">
        <v>0.02</v>
      </c>
      <c r="AN744" s="3">
        <v>0.02</v>
      </c>
      <c r="AO744" s="3">
        <v>0.02</v>
      </c>
      <c r="AP744" s="3">
        <v>0.02</v>
      </c>
    </row>
    <row r="745" spans="1:42" hidden="1" x14ac:dyDescent="0.3">
      <c r="A745" s="5" t="s">
        <v>884</v>
      </c>
      <c r="B745" s="5" t="s">
        <v>31</v>
      </c>
      <c r="C745" s="22">
        <v>44754</v>
      </c>
      <c r="D745" s="22">
        <v>44755</v>
      </c>
      <c r="E745" s="3">
        <v>0</v>
      </c>
      <c r="F745" s="3">
        <v>0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3">
        <v>0.02</v>
      </c>
      <c r="R745" s="3">
        <v>0.02</v>
      </c>
      <c r="S745" s="3">
        <v>0.02</v>
      </c>
      <c r="T745" s="3">
        <v>0.02</v>
      </c>
      <c r="U745" s="3">
        <v>0.02</v>
      </c>
      <c r="V745" s="3">
        <v>0.02</v>
      </c>
      <c r="W745" s="3">
        <v>0.02</v>
      </c>
      <c r="X745" s="3">
        <v>0.02</v>
      </c>
      <c r="Y745" s="3">
        <v>0.02</v>
      </c>
      <c r="Z745" s="3">
        <v>0.02</v>
      </c>
      <c r="AA745" s="3">
        <v>0.02</v>
      </c>
      <c r="AB745" s="3">
        <v>0.02</v>
      </c>
      <c r="AC745" s="3">
        <v>0.02</v>
      </c>
      <c r="AD745" s="3">
        <v>0.02</v>
      </c>
      <c r="AE745" s="3">
        <v>0.02</v>
      </c>
      <c r="AF745" s="3">
        <v>0.02</v>
      </c>
      <c r="AG745" s="3">
        <v>0.02</v>
      </c>
      <c r="AH745" s="3">
        <v>0.02</v>
      </c>
      <c r="AI745" s="3">
        <v>0.02</v>
      </c>
      <c r="AJ745" s="3">
        <v>0.02</v>
      </c>
      <c r="AK745" s="3">
        <v>0.02</v>
      </c>
      <c r="AL745" s="3">
        <v>0.02</v>
      </c>
      <c r="AM745" s="3">
        <v>0.02</v>
      </c>
      <c r="AN745" s="3">
        <v>0.02</v>
      </c>
      <c r="AO745" s="3">
        <v>0.02</v>
      </c>
      <c r="AP745" s="3">
        <v>0.02</v>
      </c>
    </row>
    <row r="746" spans="1:42" hidden="1" x14ac:dyDescent="0.3">
      <c r="A746" s="5" t="s">
        <v>885</v>
      </c>
      <c r="B746" s="5" t="s">
        <v>31</v>
      </c>
      <c r="C746" s="22">
        <v>44750</v>
      </c>
      <c r="D746" s="22">
        <v>44753</v>
      </c>
      <c r="E746" s="3">
        <v>0</v>
      </c>
      <c r="F746" s="3">
        <v>0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  <c r="Q746" s="3">
        <v>0.02</v>
      </c>
      <c r="R746" s="3">
        <v>0.02</v>
      </c>
      <c r="S746" s="3">
        <v>0.02</v>
      </c>
      <c r="T746" s="3">
        <v>0.02</v>
      </c>
      <c r="U746" s="3">
        <v>0.02</v>
      </c>
      <c r="V746" s="3">
        <v>0.02</v>
      </c>
      <c r="W746" s="3">
        <v>0.02</v>
      </c>
      <c r="X746" s="3">
        <v>0.02</v>
      </c>
      <c r="Y746" s="3">
        <v>0.02</v>
      </c>
      <c r="Z746" s="3">
        <v>0.02</v>
      </c>
      <c r="AA746" s="3">
        <v>0.02</v>
      </c>
      <c r="AB746" s="3">
        <v>0.02</v>
      </c>
      <c r="AC746" s="3">
        <v>0.02</v>
      </c>
      <c r="AD746" s="3">
        <v>0.02</v>
      </c>
      <c r="AE746" s="3">
        <v>0.02</v>
      </c>
      <c r="AF746" s="3">
        <v>0.02</v>
      </c>
      <c r="AG746" s="3">
        <v>0.02</v>
      </c>
      <c r="AH746" s="3">
        <v>0.02</v>
      </c>
      <c r="AI746" s="3">
        <v>0.02</v>
      </c>
      <c r="AJ746" s="3">
        <v>0.02</v>
      </c>
      <c r="AK746" s="3">
        <v>0.02</v>
      </c>
      <c r="AL746" s="3">
        <v>0.02</v>
      </c>
      <c r="AM746" s="3">
        <v>0.02</v>
      </c>
      <c r="AN746" s="3">
        <v>0.02</v>
      </c>
      <c r="AO746" s="3">
        <v>0.02</v>
      </c>
      <c r="AP746" s="3">
        <v>0.02</v>
      </c>
    </row>
    <row r="747" spans="1:42" hidden="1" x14ac:dyDescent="0.3">
      <c r="A747" s="5" t="s">
        <v>886</v>
      </c>
      <c r="B747" s="5" t="s">
        <v>31</v>
      </c>
      <c r="C747" s="22">
        <v>44748</v>
      </c>
      <c r="D747" s="22">
        <v>44749</v>
      </c>
      <c r="E747" s="3">
        <v>0</v>
      </c>
      <c r="F747" s="3">
        <v>0</v>
      </c>
      <c r="G747" s="3">
        <v>0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  <c r="Q747" s="3">
        <v>0.02</v>
      </c>
      <c r="R747" s="3">
        <v>0.02</v>
      </c>
      <c r="S747" s="3">
        <v>0.02</v>
      </c>
      <c r="T747" s="3">
        <v>0.02</v>
      </c>
      <c r="U747" s="3">
        <v>0.02</v>
      </c>
      <c r="V747" s="3">
        <v>0.02</v>
      </c>
      <c r="W747" s="3">
        <v>0.02</v>
      </c>
      <c r="X747" s="3">
        <v>0.02</v>
      </c>
      <c r="Y747" s="3">
        <v>0.02</v>
      </c>
      <c r="Z747" s="3">
        <v>0.02</v>
      </c>
      <c r="AA747" s="3">
        <v>0.02</v>
      </c>
      <c r="AB747" s="3">
        <v>0.02</v>
      </c>
      <c r="AC747" s="3">
        <v>0.02</v>
      </c>
      <c r="AD747" s="3">
        <v>0.02</v>
      </c>
      <c r="AE747" s="3">
        <v>0.02</v>
      </c>
      <c r="AF747" s="3">
        <v>0.02</v>
      </c>
      <c r="AG747" s="3">
        <v>0.02</v>
      </c>
      <c r="AH747" s="3">
        <v>0.02</v>
      </c>
      <c r="AI747" s="3">
        <v>0.02</v>
      </c>
      <c r="AJ747" s="3">
        <v>0.02</v>
      </c>
      <c r="AK747" s="3">
        <v>0.02</v>
      </c>
      <c r="AL747" s="3">
        <v>0.02</v>
      </c>
      <c r="AM747" s="3">
        <v>0.02</v>
      </c>
      <c r="AN747" s="3">
        <v>0.02</v>
      </c>
      <c r="AO747" s="3">
        <v>0.02</v>
      </c>
      <c r="AP747" s="3">
        <v>0.02</v>
      </c>
    </row>
    <row r="748" spans="1:42" hidden="1" x14ac:dyDescent="0.3">
      <c r="A748" s="5" t="s">
        <v>887</v>
      </c>
      <c r="B748" s="5" t="s">
        <v>31</v>
      </c>
      <c r="C748" s="22">
        <v>44746</v>
      </c>
      <c r="D748" s="22">
        <v>44747</v>
      </c>
      <c r="E748" s="3">
        <v>0</v>
      </c>
      <c r="F748" s="3">
        <v>0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3">
        <v>0.02</v>
      </c>
      <c r="R748" s="3">
        <v>0.02</v>
      </c>
      <c r="S748" s="3">
        <v>0.02</v>
      </c>
      <c r="T748" s="3">
        <v>0.02</v>
      </c>
      <c r="U748" s="3">
        <v>0.02</v>
      </c>
      <c r="V748" s="3">
        <v>0.02</v>
      </c>
      <c r="W748" s="3">
        <v>0.02</v>
      </c>
      <c r="X748" s="3">
        <v>0.02</v>
      </c>
      <c r="Y748" s="3">
        <v>0.02</v>
      </c>
      <c r="Z748" s="3">
        <v>0.02</v>
      </c>
      <c r="AA748" s="3">
        <v>0.02</v>
      </c>
      <c r="AB748" s="3">
        <v>0.02</v>
      </c>
      <c r="AC748" s="3">
        <v>0.02</v>
      </c>
      <c r="AD748" s="3">
        <v>0.02</v>
      </c>
      <c r="AE748" s="3">
        <v>0.02</v>
      </c>
      <c r="AF748" s="3">
        <v>0.02</v>
      </c>
      <c r="AG748" s="3">
        <v>0.02</v>
      </c>
      <c r="AH748" s="3">
        <v>0.02</v>
      </c>
      <c r="AI748" s="3">
        <v>0.02</v>
      </c>
      <c r="AJ748" s="3">
        <v>0.02</v>
      </c>
      <c r="AK748" s="3">
        <v>0.02</v>
      </c>
      <c r="AL748" s="3">
        <v>0.02</v>
      </c>
      <c r="AM748" s="3">
        <v>0.02</v>
      </c>
      <c r="AN748" s="3">
        <v>0.02</v>
      </c>
      <c r="AO748" s="3">
        <v>0.02</v>
      </c>
      <c r="AP748" s="3">
        <v>0.02</v>
      </c>
    </row>
    <row r="749" spans="1:42" hidden="1" x14ac:dyDescent="0.3">
      <c r="A749" s="5" t="s">
        <v>888</v>
      </c>
      <c r="B749" s="5" t="s">
        <v>31</v>
      </c>
      <c r="C749" s="22">
        <v>44742</v>
      </c>
      <c r="D749" s="22">
        <v>44743</v>
      </c>
      <c r="E749" s="3">
        <v>0</v>
      </c>
      <c r="F749" s="3">
        <v>0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3">
        <v>0.01</v>
      </c>
      <c r="Q749" s="3">
        <v>0.02</v>
      </c>
      <c r="R749" s="3">
        <v>0.02</v>
      </c>
      <c r="S749" s="3">
        <v>0.02</v>
      </c>
      <c r="T749" s="3">
        <v>0.02</v>
      </c>
      <c r="U749" s="3">
        <v>0.02</v>
      </c>
      <c r="V749" s="3">
        <v>0.02</v>
      </c>
      <c r="W749" s="3">
        <v>0.02</v>
      </c>
      <c r="X749" s="3">
        <v>0.02</v>
      </c>
      <c r="Y749" s="3">
        <v>0.02</v>
      </c>
      <c r="Z749" s="3">
        <v>0.02</v>
      </c>
      <c r="AA749" s="3">
        <v>0.02</v>
      </c>
      <c r="AB749" s="3">
        <v>0.02</v>
      </c>
      <c r="AC749" s="3">
        <v>0.02</v>
      </c>
      <c r="AD749" s="3">
        <v>0.02</v>
      </c>
      <c r="AE749" s="3">
        <v>0.02</v>
      </c>
      <c r="AF749" s="3">
        <v>0.02</v>
      </c>
      <c r="AG749" s="3">
        <v>0.02</v>
      </c>
      <c r="AH749" s="3">
        <v>0.02</v>
      </c>
      <c r="AI749" s="3">
        <v>0.02</v>
      </c>
      <c r="AJ749" s="3">
        <v>0.02</v>
      </c>
      <c r="AK749" s="3">
        <v>0.02</v>
      </c>
      <c r="AL749" s="3">
        <v>0.02</v>
      </c>
      <c r="AM749" s="3">
        <v>0.02</v>
      </c>
      <c r="AN749" s="3">
        <v>0.02</v>
      </c>
      <c r="AO749" s="3">
        <v>0.02</v>
      </c>
      <c r="AP749" s="3">
        <v>0.02</v>
      </c>
    </row>
    <row r="750" spans="1:42" hidden="1" x14ac:dyDescent="0.3">
      <c r="A750" s="5" t="s">
        <v>889</v>
      </c>
      <c r="B750" s="5" t="s">
        <v>31</v>
      </c>
      <c r="C750" s="22">
        <v>44740</v>
      </c>
      <c r="D750" s="22">
        <v>44741</v>
      </c>
      <c r="E750" s="3">
        <v>0</v>
      </c>
      <c r="F750" s="3">
        <v>0</v>
      </c>
      <c r="G750" s="3">
        <v>0</v>
      </c>
      <c r="H750" s="3">
        <v>0</v>
      </c>
      <c r="I750" s="3">
        <v>0</v>
      </c>
      <c r="J750" s="3">
        <v>0</v>
      </c>
      <c r="K750" s="3">
        <v>0</v>
      </c>
      <c r="L750" s="3">
        <v>0</v>
      </c>
      <c r="M750" s="3">
        <v>0</v>
      </c>
      <c r="N750" s="3">
        <v>0</v>
      </c>
      <c r="O750" s="3">
        <v>0</v>
      </c>
      <c r="P750" s="3">
        <v>0.02</v>
      </c>
      <c r="Q750" s="3">
        <v>0.02</v>
      </c>
      <c r="R750" s="3">
        <v>0.02</v>
      </c>
      <c r="S750" s="3">
        <v>0.02</v>
      </c>
      <c r="T750" s="3">
        <v>0.02</v>
      </c>
      <c r="U750" s="3">
        <v>0.02</v>
      </c>
      <c r="V750" s="3">
        <v>0.02</v>
      </c>
      <c r="W750" s="3">
        <v>0.02</v>
      </c>
      <c r="X750" s="3">
        <v>0.02</v>
      </c>
      <c r="Y750" s="3">
        <v>0.02</v>
      </c>
      <c r="Z750" s="3">
        <v>0.02</v>
      </c>
      <c r="AA750" s="3">
        <v>0.02</v>
      </c>
      <c r="AB750" s="3">
        <v>0.02</v>
      </c>
      <c r="AC750" s="3">
        <v>0.02</v>
      </c>
      <c r="AD750" s="3">
        <v>0.02</v>
      </c>
      <c r="AE750" s="3">
        <v>0.02</v>
      </c>
      <c r="AF750" s="3">
        <v>0.02</v>
      </c>
      <c r="AG750" s="3">
        <v>0.02</v>
      </c>
      <c r="AH750" s="3">
        <v>0.02</v>
      </c>
      <c r="AI750" s="3">
        <v>0.02</v>
      </c>
      <c r="AJ750" s="3">
        <v>0.02</v>
      </c>
      <c r="AK750" s="3">
        <v>0.02</v>
      </c>
      <c r="AL750" s="3">
        <v>0.02</v>
      </c>
      <c r="AM750" s="3">
        <v>0.02</v>
      </c>
      <c r="AN750" s="3">
        <v>0.02</v>
      </c>
      <c r="AO750" s="3">
        <v>0.02</v>
      </c>
      <c r="AP750" s="3">
        <v>0.02</v>
      </c>
    </row>
    <row r="751" spans="1:42" hidden="1" x14ac:dyDescent="0.3">
      <c r="A751" s="14" t="s">
        <v>890</v>
      </c>
      <c r="B751" s="14" t="s">
        <v>108</v>
      </c>
      <c r="C751" s="19">
        <v>44937</v>
      </c>
      <c r="D751" s="19">
        <v>45334</v>
      </c>
      <c r="E751" s="7">
        <v>0</v>
      </c>
      <c r="F751" s="7">
        <v>0</v>
      </c>
      <c r="G751" s="7">
        <v>0</v>
      </c>
      <c r="H751" s="7">
        <v>0</v>
      </c>
      <c r="I751" s="7">
        <v>0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7">
        <v>0</v>
      </c>
      <c r="U751" s="7">
        <v>0</v>
      </c>
      <c r="V751" s="7">
        <v>0</v>
      </c>
      <c r="W751" s="7">
        <v>0.11</v>
      </c>
      <c r="X751" s="7">
        <v>0.27</v>
      </c>
      <c r="Y751" s="7">
        <v>0.48</v>
      </c>
      <c r="Z751" s="7">
        <v>0.86</v>
      </c>
      <c r="AA751" s="7">
        <v>1.42</v>
      </c>
      <c r="AB751" s="7">
        <v>1.94</v>
      </c>
      <c r="AC751" s="7">
        <v>3.58</v>
      </c>
      <c r="AD751" s="7">
        <v>3.8</v>
      </c>
      <c r="AE751" s="7">
        <v>4.16</v>
      </c>
      <c r="AF751" s="7">
        <v>6.39</v>
      </c>
      <c r="AG751" s="7">
        <v>6.89</v>
      </c>
      <c r="AH751" s="7">
        <v>7.91</v>
      </c>
      <c r="AI751" s="7">
        <v>8.1300000000000008</v>
      </c>
      <c r="AJ751" s="7">
        <v>9.0399999999999991</v>
      </c>
      <c r="AK751" s="7">
        <v>9.0399999999999991</v>
      </c>
      <c r="AL751" s="7">
        <v>9.0399999999999991</v>
      </c>
      <c r="AM751" s="7">
        <v>9.0399999999999991</v>
      </c>
      <c r="AN751" s="7">
        <v>9.0399999999999991</v>
      </c>
      <c r="AO751" s="7">
        <v>9.0399999999999991</v>
      </c>
      <c r="AP751" s="7">
        <v>9.0399999999999991</v>
      </c>
    </row>
    <row r="752" spans="1:42" hidden="1" x14ac:dyDescent="0.3">
      <c r="A752" s="15" t="s">
        <v>891</v>
      </c>
      <c r="B752" s="15" t="s">
        <v>109</v>
      </c>
      <c r="C752" s="20">
        <v>44937</v>
      </c>
      <c r="D752" s="20">
        <v>45146</v>
      </c>
      <c r="E752" s="8">
        <v>0</v>
      </c>
      <c r="F752" s="8">
        <v>0</v>
      </c>
      <c r="G752" s="8">
        <v>0</v>
      </c>
      <c r="H752" s="8">
        <v>0</v>
      </c>
      <c r="I752" s="8">
        <v>0</v>
      </c>
      <c r="J752" s="8">
        <v>0</v>
      </c>
      <c r="K752" s="8">
        <v>0</v>
      </c>
      <c r="L752" s="8">
        <v>0</v>
      </c>
      <c r="M752" s="8">
        <v>0</v>
      </c>
      <c r="N752" s="8">
        <v>0</v>
      </c>
      <c r="O752" s="8">
        <v>0</v>
      </c>
      <c r="P752" s="8">
        <v>0</v>
      </c>
      <c r="Q752" s="8">
        <v>0</v>
      </c>
      <c r="R752" s="8">
        <v>0</v>
      </c>
      <c r="S752" s="8">
        <v>0</v>
      </c>
      <c r="T752" s="8">
        <v>0</v>
      </c>
      <c r="U752" s="8">
        <v>0</v>
      </c>
      <c r="V752" s="8">
        <v>0</v>
      </c>
      <c r="W752" s="8">
        <v>0.11</v>
      </c>
      <c r="X752" s="8">
        <v>0.27</v>
      </c>
      <c r="Y752" s="8">
        <v>0.48</v>
      </c>
      <c r="Z752" s="8">
        <v>0.63</v>
      </c>
      <c r="AA752" s="8">
        <v>0.7</v>
      </c>
      <c r="AB752" s="8">
        <v>0.7</v>
      </c>
      <c r="AC752" s="8">
        <v>2.06</v>
      </c>
      <c r="AD752" s="8">
        <v>2.08</v>
      </c>
      <c r="AE752" s="8">
        <v>2.08</v>
      </c>
      <c r="AF752" s="8">
        <v>2.08</v>
      </c>
      <c r="AG752" s="8">
        <v>2.08</v>
      </c>
      <c r="AH752" s="8">
        <v>2.08</v>
      </c>
      <c r="AI752" s="8">
        <v>2.08</v>
      </c>
      <c r="AJ752" s="8">
        <v>2.08</v>
      </c>
      <c r="AK752" s="8">
        <v>2.08</v>
      </c>
      <c r="AL752" s="8">
        <v>2.08</v>
      </c>
      <c r="AM752" s="8">
        <v>2.08</v>
      </c>
      <c r="AN752" s="8">
        <v>2.08</v>
      </c>
      <c r="AO752" s="8">
        <v>2.08</v>
      </c>
      <c r="AP752" s="8">
        <v>2.08</v>
      </c>
    </row>
    <row r="753" spans="1:42" hidden="1" x14ac:dyDescent="0.3">
      <c r="A753" s="5" t="s">
        <v>892</v>
      </c>
      <c r="B753" s="5" t="s">
        <v>9</v>
      </c>
      <c r="C753" s="22">
        <v>45112</v>
      </c>
      <c r="D753" s="22">
        <v>45119</v>
      </c>
      <c r="E753" s="3">
        <v>0</v>
      </c>
      <c r="F753" s="3">
        <v>0</v>
      </c>
      <c r="G753" s="3">
        <v>0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>
        <v>0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3">
        <v>0</v>
      </c>
      <c r="AC753" s="3">
        <v>1.1200000000000001</v>
      </c>
      <c r="AD753" s="3">
        <v>1.1200000000000001</v>
      </c>
      <c r="AE753" s="3">
        <v>1.1200000000000001</v>
      </c>
      <c r="AF753" s="3">
        <v>1.1200000000000001</v>
      </c>
      <c r="AG753" s="3">
        <v>1.1200000000000001</v>
      </c>
      <c r="AH753" s="3">
        <v>1.1200000000000001</v>
      </c>
      <c r="AI753" s="3">
        <v>1.1200000000000001</v>
      </c>
      <c r="AJ753" s="3">
        <v>1.1200000000000001</v>
      </c>
      <c r="AK753" s="3">
        <v>1.1200000000000001</v>
      </c>
      <c r="AL753" s="3">
        <v>1.1200000000000001</v>
      </c>
      <c r="AM753" s="3">
        <v>1.1200000000000001</v>
      </c>
      <c r="AN753" s="3">
        <v>1.1200000000000001</v>
      </c>
      <c r="AO753" s="3">
        <v>1.1200000000000001</v>
      </c>
      <c r="AP753" s="3">
        <v>1.1200000000000001</v>
      </c>
    </row>
    <row r="754" spans="1:42" hidden="1" x14ac:dyDescent="0.3">
      <c r="A754" s="5" t="s">
        <v>893</v>
      </c>
      <c r="B754" s="5" t="s">
        <v>14</v>
      </c>
      <c r="C754" s="22">
        <v>45051</v>
      </c>
      <c r="D754" s="22">
        <v>45065</v>
      </c>
      <c r="E754" s="3">
        <v>0</v>
      </c>
      <c r="F754" s="3">
        <v>0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0.05</v>
      </c>
      <c r="AB754" s="3">
        <v>0.05</v>
      </c>
      <c r="AC754" s="3">
        <v>0.05</v>
      </c>
      <c r="AD754" s="3">
        <v>0.05</v>
      </c>
      <c r="AE754" s="3">
        <v>0.05</v>
      </c>
      <c r="AF754" s="3">
        <v>0.05</v>
      </c>
      <c r="AG754" s="3">
        <v>0.05</v>
      </c>
      <c r="AH754" s="3">
        <v>0.05</v>
      </c>
      <c r="AI754" s="3">
        <v>0.05</v>
      </c>
      <c r="AJ754" s="3">
        <v>0.05</v>
      </c>
      <c r="AK754" s="3">
        <v>0.05</v>
      </c>
      <c r="AL754" s="3">
        <v>0.05</v>
      </c>
      <c r="AM754" s="3">
        <v>0.05</v>
      </c>
      <c r="AN754" s="3">
        <v>0.05</v>
      </c>
      <c r="AO754" s="3">
        <v>0.05</v>
      </c>
      <c r="AP754" s="3">
        <v>0.05</v>
      </c>
    </row>
    <row r="755" spans="1:42" hidden="1" x14ac:dyDescent="0.3">
      <c r="A755" s="5" t="s">
        <v>894</v>
      </c>
      <c r="B755" s="5" t="s">
        <v>17</v>
      </c>
      <c r="C755" s="22">
        <v>45030</v>
      </c>
      <c r="D755" s="22">
        <v>45051</v>
      </c>
      <c r="E755" s="3">
        <v>0</v>
      </c>
      <c r="F755" s="3">
        <v>0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7.0000000000000007E-2</v>
      </c>
      <c r="AA755" s="3">
        <v>0.09</v>
      </c>
      <c r="AB755" s="3">
        <v>0.09</v>
      </c>
      <c r="AC755" s="3">
        <v>0.09</v>
      </c>
      <c r="AD755" s="3">
        <v>0.09</v>
      </c>
      <c r="AE755" s="3">
        <v>0.09</v>
      </c>
      <c r="AF755" s="3">
        <v>0.09</v>
      </c>
      <c r="AG755" s="3">
        <v>0.09</v>
      </c>
      <c r="AH755" s="3">
        <v>0.09</v>
      </c>
      <c r="AI755" s="3">
        <v>0.09</v>
      </c>
      <c r="AJ755" s="3">
        <v>0.09</v>
      </c>
      <c r="AK755" s="3">
        <v>0.09</v>
      </c>
      <c r="AL755" s="3">
        <v>0.09</v>
      </c>
      <c r="AM755" s="3">
        <v>0.09</v>
      </c>
      <c r="AN755" s="3">
        <v>0.09</v>
      </c>
      <c r="AO755" s="3">
        <v>0.09</v>
      </c>
      <c r="AP755" s="3">
        <v>0.09</v>
      </c>
    </row>
    <row r="756" spans="1:42" hidden="1" x14ac:dyDescent="0.3">
      <c r="A756" s="5" t="s">
        <v>895</v>
      </c>
      <c r="B756" s="5" t="s">
        <v>17</v>
      </c>
      <c r="C756" s="22">
        <v>45009</v>
      </c>
      <c r="D756" s="22">
        <v>45030</v>
      </c>
      <c r="E756" s="3">
        <v>0</v>
      </c>
      <c r="F756" s="3">
        <v>0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>
        <v>0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0.05</v>
      </c>
      <c r="Z756" s="3">
        <v>0.14000000000000001</v>
      </c>
      <c r="AA756" s="3">
        <v>0.14000000000000001</v>
      </c>
      <c r="AB756" s="3">
        <v>0.14000000000000001</v>
      </c>
      <c r="AC756" s="3">
        <v>0.14000000000000001</v>
      </c>
      <c r="AD756" s="3">
        <v>0.14000000000000001</v>
      </c>
      <c r="AE756" s="3">
        <v>0.14000000000000001</v>
      </c>
      <c r="AF756" s="3">
        <v>0.14000000000000001</v>
      </c>
      <c r="AG756" s="3">
        <v>0.14000000000000001</v>
      </c>
      <c r="AH756" s="3">
        <v>0.14000000000000001</v>
      </c>
      <c r="AI756" s="3">
        <v>0.14000000000000001</v>
      </c>
      <c r="AJ756" s="3">
        <v>0.14000000000000001</v>
      </c>
      <c r="AK756" s="3">
        <v>0.14000000000000001</v>
      </c>
      <c r="AL756" s="3">
        <v>0.14000000000000001</v>
      </c>
      <c r="AM756" s="3">
        <v>0.14000000000000001</v>
      </c>
      <c r="AN756" s="3">
        <v>0.14000000000000001</v>
      </c>
      <c r="AO756" s="3">
        <v>0.14000000000000001</v>
      </c>
      <c r="AP756" s="3">
        <v>0.14000000000000001</v>
      </c>
    </row>
    <row r="757" spans="1:42" hidden="1" x14ac:dyDescent="0.3">
      <c r="A757" s="5" t="s">
        <v>896</v>
      </c>
      <c r="B757" s="5" t="s">
        <v>17</v>
      </c>
      <c r="C757" s="22">
        <v>44987</v>
      </c>
      <c r="D757" s="22">
        <v>45008</v>
      </c>
      <c r="E757" s="3">
        <v>0</v>
      </c>
      <c r="F757" s="3">
        <v>0</v>
      </c>
      <c r="G757" s="3">
        <v>0</v>
      </c>
      <c r="H757" s="3">
        <v>0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>
        <v>0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0.14000000000000001</v>
      </c>
      <c r="Z757" s="3">
        <v>0.14000000000000001</v>
      </c>
      <c r="AA757" s="3">
        <v>0.14000000000000001</v>
      </c>
      <c r="AB757" s="3">
        <v>0.14000000000000001</v>
      </c>
      <c r="AC757" s="3">
        <v>0.14000000000000001</v>
      </c>
      <c r="AD757" s="3">
        <v>0.14000000000000001</v>
      </c>
      <c r="AE757" s="3">
        <v>0.14000000000000001</v>
      </c>
      <c r="AF757" s="3">
        <v>0.14000000000000001</v>
      </c>
      <c r="AG757" s="3">
        <v>0.14000000000000001</v>
      </c>
      <c r="AH757" s="3">
        <v>0.14000000000000001</v>
      </c>
      <c r="AI757" s="3">
        <v>0.14000000000000001</v>
      </c>
      <c r="AJ757" s="3">
        <v>0.14000000000000001</v>
      </c>
      <c r="AK757" s="3">
        <v>0.14000000000000001</v>
      </c>
      <c r="AL757" s="3">
        <v>0.14000000000000001</v>
      </c>
      <c r="AM757" s="3">
        <v>0.14000000000000001</v>
      </c>
      <c r="AN757" s="3">
        <v>0.14000000000000001</v>
      </c>
      <c r="AO757" s="3">
        <v>0.14000000000000001</v>
      </c>
      <c r="AP757" s="3">
        <v>0.14000000000000001</v>
      </c>
    </row>
    <row r="758" spans="1:42" hidden="1" x14ac:dyDescent="0.3">
      <c r="A758" s="5" t="s">
        <v>897</v>
      </c>
      <c r="B758" s="5" t="s">
        <v>45</v>
      </c>
      <c r="C758" s="22">
        <v>44963</v>
      </c>
      <c r="D758" s="22">
        <v>44987</v>
      </c>
      <c r="E758" s="3">
        <v>0</v>
      </c>
      <c r="F758" s="3">
        <v>0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0.13</v>
      </c>
      <c r="Y758" s="3">
        <v>0.14000000000000001</v>
      </c>
      <c r="Z758" s="3">
        <v>0.14000000000000001</v>
      </c>
      <c r="AA758" s="3">
        <v>0.14000000000000001</v>
      </c>
      <c r="AB758" s="3">
        <v>0.14000000000000001</v>
      </c>
      <c r="AC758" s="3">
        <v>0.14000000000000001</v>
      </c>
      <c r="AD758" s="3">
        <v>0.14000000000000001</v>
      </c>
      <c r="AE758" s="3">
        <v>0.14000000000000001</v>
      </c>
      <c r="AF758" s="3">
        <v>0.14000000000000001</v>
      </c>
      <c r="AG758" s="3">
        <v>0.14000000000000001</v>
      </c>
      <c r="AH758" s="3">
        <v>0.14000000000000001</v>
      </c>
      <c r="AI758" s="3">
        <v>0.14000000000000001</v>
      </c>
      <c r="AJ758" s="3">
        <v>0.14000000000000001</v>
      </c>
      <c r="AK758" s="3">
        <v>0.14000000000000001</v>
      </c>
      <c r="AL758" s="3">
        <v>0.14000000000000001</v>
      </c>
      <c r="AM758" s="3">
        <v>0.14000000000000001</v>
      </c>
      <c r="AN758" s="3">
        <v>0.14000000000000001</v>
      </c>
      <c r="AO758" s="3">
        <v>0.14000000000000001</v>
      </c>
      <c r="AP758" s="3">
        <v>0.14000000000000001</v>
      </c>
    </row>
    <row r="759" spans="1:42" hidden="1" x14ac:dyDescent="0.3">
      <c r="A759" s="5" t="s">
        <v>898</v>
      </c>
      <c r="B759" s="5" t="s">
        <v>45</v>
      </c>
      <c r="C759" s="22">
        <v>44937</v>
      </c>
      <c r="D759" s="22">
        <v>44963</v>
      </c>
      <c r="E759" s="3">
        <v>0</v>
      </c>
      <c r="F759" s="3">
        <v>0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0.11</v>
      </c>
      <c r="X759" s="3">
        <v>0.14000000000000001</v>
      </c>
      <c r="Y759" s="3">
        <v>0.14000000000000001</v>
      </c>
      <c r="Z759" s="3">
        <v>0.14000000000000001</v>
      </c>
      <c r="AA759" s="3">
        <v>0.14000000000000001</v>
      </c>
      <c r="AB759" s="3">
        <v>0.14000000000000001</v>
      </c>
      <c r="AC759" s="3">
        <v>0.14000000000000001</v>
      </c>
      <c r="AD759" s="3">
        <v>0.14000000000000001</v>
      </c>
      <c r="AE759" s="3">
        <v>0.14000000000000001</v>
      </c>
      <c r="AF759" s="3">
        <v>0.14000000000000001</v>
      </c>
      <c r="AG759" s="3">
        <v>0.14000000000000001</v>
      </c>
      <c r="AH759" s="3">
        <v>0.14000000000000001</v>
      </c>
      <c r="AI759" s="3">
        <v>0.14000000000000001</v>
      </c>
      <c r="AJ759" s="3">
        <v>0.14000000000000001</v>
      </c>
      <c r="AK759" s="3">
        <v>0.14000000000000001</v>
      </c>
      <c r="AL759" s="3">
        <v>0.14000000000000001</v>
      </c>
      <c r="AM759" s="3">
        <v>0.14000000000000001</v>
      </c>
      <c r="AN759" s="3">
        <v>0.14000000000000001</v>
      </c>
      <c r="AO759" s="3">
        <v>0.14000000000000001</v>
      </c>
      <c r="AP759" s="3">
        <v>0.14000000000000001</v>
      </c>
    </row>
    <row r="760" spans="1:42" hidden="1" x14ac:dyDescent="0.3">
      <c r="A760" s="4" t="s">
        <v>899</v>
      </c>
      <c r="B760" s="4" t="s">
        <v>24</v>
      </c>
      <c r="C760" s="21">
        <v>45119</v>
      </c>
      <c r="D760" s="21">
        <v>45139</v>
      </c>
      <c r="E760" s="2">
        <v>0</v>
      </c>
      <c r="F760" s="2">
        <v>0</v>
      </c>
      <c r="G760" s="2">
        <v>0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0.23</v>
      </c>
      <c r="AD760" s="2">
        <v>0.23</v>
      </c>
      <c r="AE760" s="2">
        <v>0.23</v>
      </c>
      <c r="AF760" s="2">
        <v>0.23</v>
      </c>
      <c r="AG760" s="2">
        <v>0.23</v>
      </c>
      <c r="AH760" s="2">
        <v>0.23</v>
      </c>
      <c r="AI760" s="2">
        <v>0.23</v>
      </c>
      <c r="AJ760" s="2">
        <v>0.23</v>
      </c>
      <c r="AK760" s="2">
        <v>0.23</v>
      </c>
      <c r="AL760" s="2">
        <v>0.23</v>
      </c>
      <c r="AM760" s="2">
        <v>0.23</v>
      </c>
      <c r="AN760" s="2">
        <v>0.23</v>
      </c>
      <c r="AO760" s="2">
        <v>0.23</v>
      </c>
      <c r="AP760" s="2">
        <v>0.23</v>
      </c>
    </row>
    <row r="761" spans="1:42" hidden="1" x14ac:dyDescent="0.3">
      <c r="A761" s="5" t="s">
        <v>900</v>
      </c>
      <c r="B761" s="5" t="s">
        <v>31</v>
      </c>
      <c r="C761" s="22">
        <v>45119</v>
      </c>
      <c r="D761" s="22">
        <v>45121</v>
      </c>
      <c r="E761" s="3">
        <v>0</v>
      </c>
      <c r="F761" s="3">
        <v>0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3">
        <v>0</v>
      </c>
      <c r="AC761" s="3">
        <v>0.12</v>
      </c>
      <c r="AD761" s="3">
        <v>0.12</v>
      </c>
      <c r="AE761" s="3">
        <v>0.12</v>
      </c>
      <c r="AF761" s="3">
        <v>0.12</v>
      </c>
      <c r="AG761" s="3">
        <v>0.12</v>
      </c>
      <c r="AH761" s="3">
        <v>0.12</v>
      </c>
      <c r="AI761" s="3">
        <v>0.12</v>
      </c>
      <c r="AJ761" s="3">
        <v>0.12</v>
      </c>
      <c r="AK761" s="3">
        <v>0.12</v>
      </c>
      <c r="AL761" s="3">
        <v>0.12</v>
      </c>
      <c r="AM761" s="3">
        <v>0.12</v>
      </c>
      <c r="AN761" s="3">
        <v>0.12</v>
      </c>
      <c r="AO761" s="3">
        <v>0.12</v>
      </c>
      <c r="AP761" s="3">
        <v>0.12</v>
      </c>
    </row>
    <row r="762" spans="1:42" hidden="1" x14ac:dyDescent="0.3">
      <c r="A762" s="5" t="s">
        <v>901</v>
      </c>
      <c r="B762" s="5" t="s">
        <v>31</v>
      </c>
      <c r="C762" s="22">
        <v>45135</v>
      </c>
      <c r="D762" s="22">
        <v>45139</v>
      </c>
      <c r="E762" s="3">
        <v>0</v>
      </c>
      <c r="F762" s="3">
        <v>0</v>
      </c>
      <c r="G762" s="3">
        <v>0</v>
      </c>
      <c r="H762" s="3">
        <v>0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3">
        <v>0</v>
      </c>
      <c r="AC762" s="3">
        <v>0.02</v>
      </c>
      <c r="AD762" s="3">
        <v>0.02</v>
      </c>
      <c r="AE762" s="3">
        <v>0.02</v>
      </c>
      <c r="AF762" s="3">
        <v>0.02</v>
      </c>
      <c r="AG762" s="3">
        <v>0.02</v>
      </c>
      <c r="AH762" s="3">
        <v>0.02</v>
      </c>
      <c r="AI762" s="3">
        <v>0.02</v>
      </c>
      <c r="AJ762" s="3">
        <v>0.02</v>
      </c>
      <c r="AK762" s="3">
        <v>0.02</v>
      </c>
      <c r="AL762" s="3">
        <v>0.02</v>
      </c>
      <c r="AM762" s="3">
        <v>0.02</v>
      </c>
      <c r="AN762" s="3">
        <v>0.02</v>
      </c>
      <c r="AO762" s="3">
        <v>0.02</v>
      </c>
      <c r="AP762" s="3">
        <v>0.02</v>
      </c>
    </row>
    <row r="763" spans="1:42" hidden="1" x14ac:dyDescent="0.3">
      <c r="A763" s="5" t="s">
        <v>902</v>
      </c>
      <c r="B763" s="5" t="s">
        <v>31</v>
      </c>
      <c r="C763" s="22">
        <v>45121</v>
      </c>
      <c r="D763" s="22">
        <v>45125</v>
      </c>
      <c r="E763" s="3">
        <v>0</v>
      </c>
      <c r="F763" s="3">
        <v>0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3">
        <v>0</v>
      </c>
      <c r="AC763" s="3">
        <v>0.02</v>
      </c>
      <c r="AD763" s="3">
        <v>0.02</v>
      </c>
      <c r="AE763" s="3">
        <v>0.02</v>
      </c>
      <c r="AF763" s="3">
        <v>0.02</v>
      </c>
      <c r="AG763" s="3">
        <v>0.02</v>
      </c>
      <c r="AH763" s="3">
        <v>0.02</v>
      </c>
      <c r="AI763" s="3">
        <v>0.02</v>
      </c>
      <c r="AJ763" s="3">
        <v>0.02</v>
      </c>
      <c r="AK763" s="3">
        <v>0.02</v>
      </c>
      <c r="AL763" s="3">
        <v>0.02</v>
      </c>
      <c r="AM763" s="3">
        <v>0.02</v>
      </c>
      <c r="AN763" s="3">
        <v>0.02</v>
      </c>
      <c r="AO763" s="3">
        <v>0.02</v>
      </c>
      <c r="AP763" s="3">
        <v>0.02</v>
      </c>
    </row>
    <row r="764" spans="1:42" hidden="1" x14ac:dyDescent="0.3">
      <c r="A764" s="5" t="s">
        <v>903</v>
      </c>
      <c r="B764" s="5" t="s">
        <v>31</v>
      </c>
      <c r="C764" s="22">
        <v>45125</v>
      </c>
      <c r="D764" s="22">
        <v>45127</v>
      </c>
      <c r="E764" s="3">
        <v>0</v>
      </c>
      <c r="F764" s="3">
        <v>0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3">
        <v>0</v>
      </c>
      <c r="AC764" s="3">
        <v>0.02</v>
      </c>
      <c r="AD764" s="3">
        <v>0.02</v>
      </c>
      <c r="AE764" s="3">
        <v>0.02</v>
      </c>
      <c r="AF764" s="3">
        <v>0.02</v>
      </c>
      <c r="AG764" s="3">
        <v>0.02</v>
      </c>
      <c r="AH764" s="3">
        <v>0.02</v>
      </c>
      <c r="AI764" s="3">
        <v>0.02</v>
      </c>
      <c r="AJ764" s="3">
        <v>0.02</v>
      </c>
      <c r="AK764" s="3">
        <v>0.02</v>
      </c>
      <c r="AL764" s="3">
        <v>0.02</v>
      </c>
      <c r="AM764" s="3">
        <v>0.02</v>
      </c>
      <c r="AN764" s="3">
        <v>0.02</v>
      </c>
      <c r="AO764" s="3">
        <v>0.02</v>
      </c>
      <c r="AP764" s="3">
        <v>0.02</v>
      </c>
    </row>
    <row r="765" spans="1:42" hidden="1" x14ac:dyDescent="0.3">
      <c r="A765" s="5" t="s">
        <v>904</v>
      </c>
      <c r="B765" s="5" t="s">
        <v>31</v>
      </c>
      <c r="C765" s="22">
        <v>45127</v>
      </c>
      <c r="D765" s="22">
        <v>45131</v>
      </c>
      <c r="E765" s="3">
        <v>0</v>
      </c>
      <c r="F765" s="3">
        <v>0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3">
        <v>0</v>
      </c>
      <c r="AC765" s="3">
        <v>0.02</v>
      </c>
      <c r="AD765" s="3">
        <v>0.02</v>
      </c>
      <c r="AE765" s="3">
        <v>0.02</v>
      </c>
      <c r="AF765" s="3">
        <v>0.02</v>
      </c>
      <c r="AG765" s="3">
        <v>0.02</v>
      </c>
      <c r="AH765" s="3">
        <v>0.02</v>
      </c>
      <c r="AI765" s="3">
        <v>0.02</v>
      </c>
      <c r="AJ765" s="3">
        <v>0.02</v>
      </c>
      <c r="AK765" s="3">
        <v>0.02</v>
      </c>
      <c r="AL765" s="3">
        <v>0.02</v>
      </c>
      <c r="AM765" s="3">
        <v>0.02</v>
      </c>
      <c r="AN765" s="3">
        <v>0.02</v>
      </c>
      <c r="AO765" s="3">
        <v>0.02</v>
      </c>
      <c r="AP765" s="3">
        <v>0.02</v>
      </c>
    </row>
    <row r="766" spans="1:42" hidden="1" x14ac:dyDescent="0.3">
      <c r="A766" s="5" t="s">
        <v>905</v>
      </c>
      <c r="B766" s="5" t="s">
        <v>31</v>
      </c>
      <c r="C766" s="22">
        <v>45131</v>
      </c>
      <c r="D766" s="22">
        <v>45133</v>
      </c>
      <c r="E766" s="3">
        <v>0</v>
      </c>
      <c r="F766" s="3">
        <v>0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3">
        <v>0</v>
      </c>
      <c r="AC766" s="3">
        <v>0.02</v>
      </c>
      <c r="AD766" s="3">
        <v>0.02</v>
      </c>
      <c r="AE766" s="3">
        <v>0.02</v>
      </c>
      <c r="AF766" s="3">
        <v>0.02</v>
      </c>
      <c r="AG766" s="3">
        <v>0.02</v>
      </c>
      <c r="AH766" s="3">
        <v>0.02</v>
      </c>
      <c r="AI766" s="3">
        <v>0.02</v>
      </c>
      <c r="AJ766" s="3">
        <v>0.02</v>
      </c>
      <c r="AK766" s="3">
        <v>0.02</v>
      </c>
      <c r="AL766" s="3">
        <v>0.02</v>
      </c>
      <c r="AM766" s="3">
        <v>0.02</v>
      </c>
      <c r="AN766" s="3">
        <v>0.02</v>
      </c>
      <c r="AO766" s="3">
        <v>0.02</v>
      </c>
      <c r="AP766" s="3">
        <v>0.02</v>
      </c>
    </row>
    <row r="767" spans="1:42" hidden="1" x14ac:dyDescent="0.3">
      <c r="A767" s="5" t="s">
        <v>906</v>
      </c>
      <c r="B767" s="5" t="s">
        <v>31</v>
      </c>
      <c r="C767" s="22">
        <v>45133</v>
      </c>
      <c r="D767" s="22">
        <v>45135</v>
      </c>
      <c r="E767" s="3">
        <v>0</v>
      </c>
      <c r="F767" s="3">
        <v>0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  <c r="L767" s="3">
        <v>0</v>
      </c>
      <c r="M767" s="3">
        <v>0</v>
      </c>
      <c r="N767" s="3">
        <v>0</v>
      </c>
      <c r="O767" s="3">
        <v>0</v>
      </c>
      <c r="P767" s="3">
        <v>0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3">
        <v>0</v>
      </c>
      <c r="AC767" s="3">
        <v>0.02</v>
      </c>
      <c r="AD767" s="3">
        <v>0.02</v>
      </c>
      <c r="AE767" s="3">
        <v>0.02</v>
      </c>
      <c r="AF767" s="3">
        <v>0.02</v>
      </c>
      <c r="AG767" s="3">
        <v>0.02</v>
      </c>
      <c r="AH767" s="3">
        <v>0.02</v>
      </c>
      <c r="AI767" s="3">
        <v>0.02</v>
      </c>
      <c r="AJ767" s="3">
        <v>0.02</v>
      </c>
      <c r="AK767" s="3">
        <v>0.02</v>
      </c>
      <c r="AL767" s="3">
        <v>0.02</v>
      </c>
      <c r="AM767" s="3">
        <v>0.02</v>
      </c>
      <c r="AN767" s="3">
        <v>0.02</v>
      </c>
      <c r="AO767" s="3">
        <v>0.02</v>
      </c>
      <c r="AP767" s="3">
        <v>0.02</v>
      </c>
    </row>
    <row r="768" spans="1:42" hidden="1" x14ac:dyDescent="0.3">
      <c r="A768" s="5" t="s">
        <v>907</v>
      </c>
      <c r="B768" s="5" t="s">
        <v>9</v>
      </c>
      <c r="C768" s="22">
        <v>45139</v>
      </c>
      <c r="D768" s="22">
        <v>45146</v>
      </c>
      <c r="E768" s="3">
        <v>0</v>
      </c>
      <c r="F768" s="3">
        <v>0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3">
        <v>0</v>
      </c>
      <c r="AC768" s="3">
        <v>0</v>
      </c>
      <c r="AD768" s="3">
        <v>0.02</v>
      </c>
      <c r="AE768" s="3">
        <v>0.02</v>
      </c>
      <c r="AF768" s="3">
        <v>0.02</v>
      </c>
      <c r="AG768" s="3">
        <v>0.02</v>
      </c>
      <c r="AH768" s="3">
        <v>0.02</v>
      </c>
      <c r="AI768" s="3">
        <v>0.02</v>
      </c>
      <c r="AJ768" s="3">
        <v>0.02</v>
      </c>
      <c r="AK768" s="3">
        <v>0.02</v>
      </c>
      <c r="AL768" s="3">
        <v>0.02</v>
      </c>
      <c r="AM768" s="3">
        <v>0.02</v>
      </c>
      <c r="AN768" s="3">
        <v>0.02</v>
      </c>
      <c r="AO768" s="3">
        <v>0.02</v>
      </c>
      <c r="AP768" s="3">
        <v>0.02</v>
      </c>
    </row>
    <row r="769" spans="1:42" hidden="1" x14ac:dyDescent="0.3">
      <c r="A769" s="15" t="s">
        <v>908</v>
      </c>
      <c r="B769" s="15" t="s">
        <v>110</v>
      </c>
      <c r="C769" s="20">
        <v>45061</v>
      </c>
      <c r="D769" s="20">
        <v>45271</v>
      </c>
      <c r="E769" s="8">
        <v>0</v>
      </c>
      <c r="F769" s="8">
        <v>0</v>
      </c>
      <c r="G769" s="8">
        <v>0</v>
      </c>
      <c r="H769" s="8">
        <v>0</v>
      </c>
      <c r="I769" s="8">
        <v>0</v>
      </c>
      <c r="J769" s="8">
        <v>0</v>
      </c>
      <c r="K769" s="8">
        <v>0</v>
      </c>
      <c r="L769" s="8">
        <v>0</v>
      </c>
      <c r="M769" s="8">
        <v>0</v>
      </c>
      <c r="N769" s="8">
        <v>0</v>
      </c>
      <c r="O769" s="8">
        <v>0</v>
      </c>
      <c r="P769" s="8">
        <v>0</v>
      </c>
      <c r="Q769" s="8">
        <v>0</v>
      </c>
      <c r="R769" s="8">
        <v>0</v>
      </c>
      <c r="S769" s="8">
        <v>0</v>
      </c>
      <c r="T769" s="8">
        <v>0</v>
      </c>
      <c r="U769" s="8">
        <v>0</v>
      </c>
      <c r="V769" s="8">
        <v>0</v>
      </c>
      <c r="W769" s="8">
        <v>0</v>
      </c>
      <c r="X769" s="8">
        <v>0</v>
      </c>
      <c r="Y769" s="8">
        <v>0</v>
      </c>
      <c r="Z769" s="8">
        <v>0</v>
      </c>
      <c r="AA769" s="8">
        <v>0.12</v>
      </c>
      <c r="AB769" s="8">
        <v>0.32</v>
      </c>
      <c r="AC769" s="8">
        <v>0.48</v>
      </c>
      <c r="AD769" s="8">
        <v>0.69</v>
      </c>
      <c r="AE769" s="8">
        <v>0.83</v>
      </c>
      <c r="AF769" s="8">
        <v>2.5499999999999998</v>
      </c>
      <c r="AG769" s="8">
        <v>2.73</v>
      </c>
      <c r="AH769" s="8">
        <v>2.76</v>
      </c>
      <c r="AI769" s="8">
        <v>2.76</v>
      </c>
      <c r="AJ769" s="8">
        <v>2.76</v>
      </c>
      <c r="AK769" s="8">
        <v>2.76</v>
      </c>
      <c r="AL769" s="8">
        <v>2.76</v>
      </c>
      <c r="AM769" s="8">
        <v>2.76</v>
      </c>
      <c r="AN769" s="8">
        <v>2.76</v>
      </c>
      <c r="AO769" s="8">
        <v>2.76</v>
      </c>
      <c r="AP769" s="8">
        <v>2.76</v>
      </c>
    </row>
    <row r="770" spans="1:42" hidden="1" x14ac:dyDescent="0.3">
      <c r="A770" s="5" t="s">
        <v>909</v>
      </c>
      <c r="B770" s="5" t="s">
        <v>9</v>
      </c>
      <c r="C770" s="22">
        <v>45208</v>
      </c>
      <c r="D770" s="22">
        <v>45215</v>
      </c>
      <c r="E770" s="3">
        <v>0</v>
      </c>
      <c r="F770" s="3">
        <v>0</v>
      </c>
      <c r="G770" s="3">
        <v>0</v>
      </c>
      <c r="H770" s="3">
        <v>0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3">
        <v>0</v>
      </c>
      <c r="AC770" s="3">
        <v>0</v>
      </c>
      <c r="AD770" s="3">
        <v>0</v>
      </c>
      <c r="AE770" s="3">
        <v>0</v>
      </c>
      <c r="AF770" s="3">
        <v>1.36</v>
      </c>
      <c r="AG770" s="3">
        <v>1.36</v>
      </c>
      <c r="AH770" s="3">
        <v>1.36</v>
      </c>
      <c r="AI770" s="3">
        <v>1.36</v>
      </c>
      <c r="AJ770" s="3">
        <v>1.36</v>
      </c>
      <c r="AK770" s="3">
        <v>1.36</v>
      </c>
      <c r="AL770" s="3">
        <v>1.36</v>
      </c>
      <c r="AM770" s="3">
        <v>1.36</v>
      </c>
      <c r="AN770" s="3">
        <v>1.36</v>
      </c>
      <c r="AO770" s="3">
        <v>1.36</v>
      </c>
      <c r="AP770" s="3">
        <v>1.36</v>
      </c>
    </row>
    <row r="771" spans="1:42" hidden="1" x14ac:dyDescent="0.3">
      <c r="A771" s="5" t="s">
        <v>910</v>
      </c>
      <c r="B771" s="5" t="s">
        <v>17</v>
      </c>
      <c r="C771" s="22">
        <v>45187</v>
      </c>
      <c r="D771" s="22">
        <v>45208</v>
      </c>
      <c r="E771" s="3">
        <v>0</v>
      </c>
      <c r="F771" s="3">
        <v>0</v>
      </c>
      <c r="G771" s="3">
        <v>0</v>
      </c>
      <c r="H771" s="3">
        <v>0</v>
      </c>
      <c r="I771" s="3">
        <v>0</v>
      </c>
      <c r="J771" s="3">
        <v>0</v>
      </c>
      <c r="K771" s="3">
        <v>0</v>
      </c>
      <c r="L771" s="3">
        <v>0</v>
      </c>
      <c r="M771" s="3">
        <v>0</v>
      </c>
      <c r="N771" s="3">
        <v>0</v>
      </c>
      <c r="O771" s="3">
        <v>0</v>
      </c>
      <c r="P771" s="3">
        <v>0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3">
        <v>0</v>
      </c>
      <c r="AC771" s="3">
        <v>0</v>
      </c>
      <c r="AD771" s="3">
        <v>0</v>
      </c>
      <c r="AE771" s="3">
        <v>0.03</v>
      </c>
      <c r="AF771" s="3">
        <v>0.05</v>
      </c>
      <c r="AG771" s="3">
        <v>0.05</v>
      </c>
      <c r="AH771" s="3">
        <v>0.05</v>
      </c>
      <c r="AI771" s="3">
        <v>0.05</v>
      </c>
      <c r="AJ771" s="3">
        <v>0.05</v>
      </c>
      <c r="AK771" s="3">
        <v>0.05</v>
      </c>
      <c r="AL771" s="3">
        <v>0.05</v>
      </c>
      <c r="AM771" s="3">
        <v>0.05</v>
      </c>
      <c r="AN771" s="3">
        <v>0.05</v>
      </c>
      <c r="AO771" s="3">
        <v>0.05</v>
      </c>
      <c r="AP771" s="3">
        <v>0.05</v>
      </c>
    </row>
    <row r="772" spans="1:42" hidden="1" x14ac:dyDescent="0.3">
      <c r="A772" s="5" t="s">
        <v>911</v>
      </c>
      <c r="B772" s="5" t="s">
        <v>17</v>
      </c>
      <c r="C772" s="22">
        <v>45166</v>
      </c>
      <c r="D772" s="22">
        <v>45187</v>
      </c>
      <c r="E772" s="3">
        <v>0</v>
      </c>
      <c r="F772" s="3">
        <v>0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>
        <v>0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3">
        <v>0</v>
      </c>
      <c r="AC772" s="3">
        <v>0</v>
      </c>
      <c r="AD772" s="3">
        <v>0.03</v>
      </c>
      <c r="AE772" s="3">
        <v>0.14000000000000001</v>
      </c>
      <c r="AF772" s="3">
        <v>0.14000000000000001</v>
      </c>
      <c r="AG772" s="3">
        <v>0.14000000000000001</v>
      </c>
      <c r="AH772" s="3">
        <v>0.14000000000000001</v>
      </c>
      <c r="AI772" s="3">
        <v>0.14000000000000001</v>
      </c>
      <c r="AJ772" s="3">
        <v>0.14000000000000001</v>
      </c>
      <c r="AK772" s="3">
        <v>0.14000000000000001</v>
      </c>
      <c r="AL772" s="3">
        <v>0.14000000000000001</v>
      </c>
      <c r="AM772" s="3">
        <v>0.14000000000000001</v>
      </c>
      <c r="AN772" s="3">
        <v>0.14000000000000001</v>
      </c>
      <c r="AO772" s="3">
        <v>0.14000000000000001</v>
      </c>
      <c r="AP772" s="3">
        <v>0.14000000000000001</v>
      </c>
    </row>
    <row r="773" spans="1:42" hidden="1" x14ac:dyDescent="0.3">
      <c r="A773" s="5" t="s">
        <v>912</v>
      </c>
      <c r="B773" s="5" t="s">
        <v>17</v>
      </c>
      <c r="C773" s="22">
        <v>45145</v>
      </c>
      <c r="D773" s="22">
        <v>45166</v>
      </c>
      <c r="E773" s="3">
        <v>0</v>
      </c>
      <c r="F773" s="3">
        <v>0</v>
      </c>
      <c r="G773" s="3">
        <v>0</v>
      </c>
      <c r="H773" s="3">
        <v>0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3">
        <v>0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3">
        <v>0</v>
      </c>
      <c r="AC773" s="3">
        <v>0</v>
      </c>
      <c r="AD773" s="3">
        <v>0.14000000000000001</v>
      </c>
      <c r="AE773" s="3">
        <v>0.14000000000000001</v>
      </c>
      <c r="AF773" s="3">
        <v>0.14000000000000001</v>
      </c>
      <c r="AG773" s="3">
        <v>0.14000000000000001</v>
      </c>
      <c r="AH773" s="3">
        <v>0.14000000000000001</v>
      </c>
      <c r="AI773" s="3">
        <v>0.14000000000000001</v>
      </c>
      <c r="AJ773" s="3">
        <v>0.14000000000000001</v>
      </c>
      <c r="AK773" s="3">
        <v>0.14000000000000001</v>
      </c>
      <c r="AL773" s="3">
        <v>0.14000000000000001</v>
      </c>
      <c r="AM773" s="3">
        <v>0.14000000000000001</v>
      </c>
      <c r="AN773" s="3">
        <v>0.14000000000000001</v>
      </c>
      <c r="AO773" s="3">
        <v>0.14000000000000001</v>
      </c>
      <c r="AP773" s="3">
        <v>0.14000000000000001</v>
      </c>
    </row>
    <row r="774" spans="1:42" hidden="1" x14ac:dyDescent="0.3">
      <c r="A774" s="5" t="s">
        <v>913</v>
      </c>
      <c r="B774" s="5" t="s">
        <v>11</v>
      </c>
      <c r="C774" s="22">
        <v>45117</v>
      </c>
      <c r="D774" s="22">
        <v>45145</v>
      </c>
      <c r="E774" s="3">
        <v>0</v>
      </c>
      <c r="F774" s="3">
        <v>0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3">
        <v>0</v>
      </c>
      <c r="AC774" s="3">
        <v>0.11</v>
      </c>
      <c r="AD774" s="3">
        <v>0.14000000000000001</v>
      </c>
      <c r="AE774" s="3">
        <v>0.14000000000000001</v>
      </c>
      <c r="AF774" s="3">
        <v>0.14000000000000001</v>
      </c>
      <c r="AG774" s="3">
        <v>0.14000000000000001</v>
      </c>
      <c r="AH774" s="3">
        <v>0.14000000000000001</v>
      </c>
      <c r="AI774" s="3">
        <v>0.14000000000000001</v>
      </c>
      <c r="AJ774" s="3">
        <v>0.14000000000000001</v>
      </c>
      <c r="AK774" s="3">
        <v>0.14000000000000001</v>
      </c>
      <c r="AL774" s="3">
        <v>0.14000000000000001</v>
      </c>
      <c r="AM774" s="3">
        <v>0.14000000000000001</v>
      </c>
      <c r="AN774" s="3">
        <v>0.14000000000000001</v>
      </c>
      <c r="AO774" s="3">
        <v>0.14000000000000001</v>
      </c>
      <c r="AP774" s="3">
        <v>0.14000000000000001</v>
      </c>
    </row>
    <row r="775" spans="1:42" hidden="1" x14ac:dyDescent="0.3">
      <c r="A775" s="5" t="s">
        <v>914</v>
      </c>
      <c r="B775" s="5" t="s">
        <v>11</v>
      </c>
      <c r="C775" s="22">
        <v>45089</v>
      </c>
      <c r="D775" s="22">
        <v>45117</v>
      </c>
      <c r="E775" s="3">
        <v>0</v>
      </c>
      <c r="F775" s="3">
        <v>0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3">
        <v>0.14000000000000001</v>
      </c>
      <c r="AC775" s="3">
        <v>0.19</v>
      </c>
      <c r="AD775" s="3">
        <v>0.19</v>
      </c>
      <c r="AE775" s="3">
        <v>0.19</v>
      </c>
      <c r="AF775" s="3">
        <v>0.19</v>
      </c>
      <c r="AG775" s="3">
        <v>0.19</v>
      </c>
      <c r="AH775" s="3">
        <v>0.19</v>
      </c>
      <c r="AI775" s="3">
        <v>0.19</v>
      </c>
      <c r="AJ775" s="3">
        <v>0.19</v>
      </c>
      <c r="AK775" s="3">
        <v>0.19</v>
      </c>
      <c r="AL775" s="3">
        <v>0.19</v>
      </c>
      <c r="AM775" s="3">
        <v>0.19</v>
      </c>
      <c r="AN775" s="3">
        <v>0.19</v>
      </c>
      <c r="AO775" s="3">
        <v>0.19</v>
      </c>
      <c r="AP775" s="3">
        <v>0.19</v>
      </c>
    </row>
    <row r="776" spans="1:42" hidden="1" x14ac:dyDescent="0.3">
      <c r="A776" s="5" t="s">
        <v>915</v>
      </c>
      <c r="B776" s="5" t="s">
        <v>11</v>
      </c>
      <c r="C776" s="22">
        <v>45061</v>
      </c>
      <c r="D776" s="22">
        <v>45089</v>
      </c>
      <c r="E776" s="3">
        <v>0</v>
      </c>
      <c r="F776" s="3">
        <v>0</v>
      </c>
      <c r="G776" s="3">
        <v>0</v>
      </c>
      <c r="H776" s="3">
        <v>0</v>
      </c>
      <c r="I776" s="3">
        <v>0</v>
      </c>
      <c r="J776" s="3">
        <v>0</v>
      </c>
      <c r="K776" s="3">
        <v>0</v>
      </c>
      <c r="L776" s="3">
        <v>0</v>
      </c>
      <c r="M776" s="3">
        <v>0</v>
      </c>
      <c r="N776" s="3">
        <v>0</v>
      </c>
      <c r="O776" s="3">
        <v>0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0.12</v>
      </c>
      <c r="AB776" s="3">
        <v>0.19</v>
      </c>
      <c r="AC776" s="3">
        <v>0.19</v>
      </c>
      <c r="AD776" s="3">
        <v>0.19</v>
      </c>
      <c r="AE776" s="3">
        <v>0.19</v>
      </c>
      <c r="AF776" s="3">
        <v>0.19</v>
      </c>
      <c r="AG776" s="3">
        <v>0.19</v>
      </c>
      <c r="AH776" s="3">
        <v>0.19</v>
      </c>
      <c r="AI776" s="3">
        <v>0.19</v>
      </c>
      <c r="AJ776" s="3">
        <v>0.19</v>
      </c>
      <c r="AK776" s="3">
        <v>0.19</v>
      </c>
      <c r="AL776" s="3">
        <v>0.19</v>
      </c>
      <c r="AM776" s="3">
        <v>0.19</v>
      </c>
      <c r="AN776" s="3">
        <v>0.19</v>
      </c>
      <c r="AO776" s="3">
        <v>0.19</v>
      </c>
      <c r="AP776" s="3">
        <v>0.19</v>
      </c>
    </row>
    <row r="777" spans="1:42" hidden="1" x14ac:dyDescent="0.3">
      <c r="A777" s="4" t="s">
        <v>916</v>
      </c>
      <c r="B777" s="4" t="s">
        <v>111</v>
      </c>
      <c r="C777" s="21">
        <v>45215</v>
      </c>
      <c r="D777" s="21">
        <v>45257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0.34</v>
      </c>
      <c r="AG777" s="2">
        <v>0.52</v>
      </c>
      <c r="AH777" s="2">
        <v>0.52</v>
      </c>
      <c r="AI777" s="2">
        <v>0.52</v>
      </c>
      <c r="AJ777" s="2">
        <v>0.52</v>
      </c>
      <c r="AK777" s="2">
        <v>0.52</v>
      </c>
      <c r="AL777" s="2">
        <v>0.52</v>
      </c>
      <c r="AM777" s="2">
        <v>0.52</v>
      </c>
      <c r="AN777" s="2">
        <v>0.52</v>
      </c>
      <c r="AO777" s="2">
        <v>0.52</v>
      </c>
      <c r="AP777" s="2">
        <v>0.52</v>
      </c>
    </row>
    <row r="778" spans="1:42" hidden="1" x14ac:dyDescent="0.3">
      <c r="A778" s="5" t="s">
        <v>917</v>
      </c>
      <c r="B778" s="5" t="s">
        <v>9</v>
      </c>
      <c r="C778" s="22">
        <v>45215</v>
      </c>
      <c r="D778" s="22">
        <v>45222</v>
      </c>
      <c r="E778" s="3">
        <v>0</v>
      </c>
      <c r="F778" s="3">
        <v>0</v>
      </c>
      <c r="G778" s="3">
        <v>0</v>
      </c>
      <c r="H778" s="3">
        <v>0</v>
      </c>
      <c r="I778" s="3">
        <v>0</v>
      </c>
      <c r="J778" s="3">
        <v>0</v>
      </c>
      <c r="K778" s="3">
        <v>0</v>
      </c>
      <c r="L778" s="3">
        <v>0</v>
      </c>
      <c r="M778" s="3">
        <v>0</v>
      </c>
      <c r="N778" s="3">
        <v>0</v>
      </c>
      <c r="O778" s="3">
        <v>0</v>
      </c>
      <c r="P778" s="3">
        <v>0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3">
        <v>0</v>
      </c>
      <c r="AC778" s="3">
        <v>0</v>
      </c>
      <c r="AD778" s="3">
        <v>0</v>
      </c>
      <c r="AE778" s="3">
        <v>0</v>
      </c>
      <c r="AF778" s="3">
        <v>0.27</v>
      </c>
      <c r="AG778" s="3">
        <v>0.27</v>
      </c>
      <c r="AH778" s="3">
        <v>0.27</v>
      </c>
      <c r="AI778" s="3">
        <v>0.27</v>
      </c>
      <c r="AJ778" s="3">
        <v>0.27</v>
      </c>
      <c r="AK778" s="3">
        <v>0.27</v>
      </c>
      <c r="AL778" s="3">
        <v>0.27</v>
      </c>
      <c r="AM778" s="3">
        <v>0.27</v>
      </c>
      <c r="AN778" s="3">
        <v>0.27</v>
      </c>
      <c r="AO778" s="3">
        <v>0.27</v>
      </c>
      <c r="AP778" s="3">
        <v>0.27</v>
      </c>
    </row>
    <row r="779" spans="1:42" hidden="1" x14ac:dyDescent="0.3">
      <c r="A779" s="5" t="s">
        <v>918</v>
      </c>
      <c r="B779" s="5" t="s">
        <v>9</v>
      </c>
      <c r="C779" s="22">
        <v>45250</v>
      </c>
      <c r="D779" s="22">
        <v>45257</v>
      </c>
      <c r="E779" s="3">
        <v>0</v>
      </c>
      <c r="F779" s="3">
        <v>0</v>
      </c>
      <c r="G779" s="3">
        <v>0</v>
      </c>
      <c r="H779" s="3">
        <v>0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3">
        <v>0</v>
      </c>
      <c r="AC779" s="3">
        <v>0</v>
      </c>
      <c r="AD779" s="3">
        <v>0</v>
      </c>
      <c r="AE779" s="3">
        <v>0</v>
      </c>
      <c r="AF779" s="3">
        <v>0</v>
      </c>
      <c r="AG779" s="3">
        <v>0.05</v>
      </c>
      <c r="AH779" s="3">
        <v>0.05</v>
      </c>
      <c r="AI779" s="3">
        <v>0.05</v>
      </c>
      <c r="AJ779" s="3">
        <v>0.05</v>
      </c>
      <c r="AK779" s="3">
        <v>0.05</v>
      </c>
      <c r="AL779" s="3">
        <v>0.05</v>
      </c>
      <c r="AM779" s="3">
        <v>0.05</v>
      </c>
      <c r="AN779" s="3">
        <v>0.05</v>
      </c>
      <c r="AO779" s="3">
        <v>0.05</v>
      </c>
      <c r="AP779" s="3">
        <v>0.05</v>
      </c>
    </row>
    <row r="780" spans="1:42" hidden="1" x14ac:dyDescent="0.3">
      <c r="A780" s="5" t="s">
        <v>919</v>
      </c>
      <c r="B780" s="5" t="s">
        <v>16</v>
      </c>
      <c r="C780" s="22">
        <v>45222</v>
      </c>
      <c r="D780" s="22">
        <v>45226</v>
      </c>
      <c r="E780" s="3">
        <v>0</v>
      </c>
      <c r="F780" s="3">
        <v>0</v>
      </c>
      <c r="G780" s="3">
        <v>0</v>
      </c>
      <c r="H780" s="3">
        <v>0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  <c r="O780" s="3">
        <v>0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3">
        <v>0</v>
      </c>
      <c r="AC780" s="3">
        <v>0</v>
      </c>
      <c r="AD780" s="3">
        <v>0</v>
      </c>
      <c r="AE780" s="3">
        <v>0</v>
      </c>
      <c r="AF780" s="3">
        <v>0.05</v>
      </c>
      <c r="AG780" s="3">
        <v>0.05</v>
      </c>
      <c r="AH780" s="3">
        <v>0.05</v>
      </c>
      <c r="AI780" s="3">
        <v>0.05</v>
      </c>
      <c r="AJ780" s="3">
        <v>0.05</v>
      </c>
      <c r="AK780" s="3">
        <v>0.05</v>
      </c>
      <c r="AL780" s="3">
        <v>0.05</v>
      </c>
      <c r="AM780" s="3">
        <v>0.05</v>
      </c>
      <c r="AN780" s="3">
        <v>0.05</v>
      </c>
      <c r="AO780" s="3">
        <v>0.05</v>
      </c>
      <c r="AP780" s="3">
        <v>0.05</v>
      </c>
    </row>
    <row r="781" spans="1:42" hidden="1" x14ac:dyDescent="0.3">
      <c r="A781" s="5" t="s">
        <v>920</v>
      </c>
      <c r="B781" s="5" t="s">
        <v>16</v>
      </c>
      <c r="C781" s="22">
        <v>45226</v>
      </c>
      <c r="D781" s="22">
        <v>45232</v>
      </c>
      <c r="E781" s="3">
        <v>0</v>
      </c>
      <c r="F781" s="3">
        <v>0</v>
      </c>
      <c r="G781" s="3">
        <v>0</v>
      </c>
      <c r="H781" s="3">
        <v>0</v>
      </c>
      <c r="I781" s="3">
        <v>0</v>
      </c>
      <c r="J781" s="3">
        <v>0</v>
      </c>
      <c r="K781" s="3">
        <v>0</v>
      </c>
      <c r="L781" s="3">
        <v>0</v>
      </c>
      <c r="M781" s="3">
        <v>0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3">
        <v>0</v>
      </c>
      <c r="AC781" s="3">
        <v>0</v>
      </c>
      <c r="AD781" s="3">
        <v>0</v>
      </c>
      <c r="AE781" s="3">
        <v>0</v>
      </c>
      <c r="AF781" s="3">
        <v>0.02</v>
      </c>
      <c r="AG781" s="3">
        <v>0.04</v>
      </c>
      <c r="AH781" s="3">
        <v>0.04</v>
      </c>
      <c r="AI781" s="3">
        <v>0.04</v>
      </c>
      <c r="AJ781" s="3">
        <v>0.04</v>
      </c>
      <c r="AK781" s="3">
        <v>0.04</v>
      </c>
      <c r="AL781" s="3">
        <v>0.04</v>
      </c>
      <c r="AM781" s="3">
        <v>0.04</v>
      </c>
      <c r="AN781" s="3">
        <v>0.04</v>
      </c>
      <c r="AO781" s="3">
        <v>0.04</v>
      </c>
      <c r="AP781" s="3">
        <v>0.04</v>
      </c>
    </row>
    <row r="782" spans="1:42" hidden="1" x14ac:dyDescent="0.3">
      <c r="A782" s="5" t="s">
        <v>921</v>
      </c>
      <c r="B782" s="5" t="s">
        <v>16</v>
      </c>
      <c r="C782" s="22">
        <v>45232</v>
      </c>
      <c r="D782" s="22">
        <v>45238</v>
      </c>
      <c r="E782" s="3">
        <v>0</v>
      </c>
      <c r="F782" s="3">
        <v>0</v>
      </c>
      <c r="G782" s="3">
        <v>0</v>
      </c>
      <c r="H782" s="3">
        <v>0</v>
      </c>
      <c r="I782" s="3">
        <v>0</v>
      </c>
      <c r="J782" s="3">
        <v>0</v>
      </c>
      <c r="K782" s="3">
        <v>0</v>
      </c>
      <c r="L782" s="3">
        <v>0</v>
      </c>
      <c r="M782" s="3">
        <v>0</v>
      </c>
      <c r="N782" s="3">
        <v>0</v>
      </c>
      <c r="O782" s="3">
        <v>0</v>
      </c>
      <c r="P782" s="3">
        <v>0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3">
        <v>0</v>
      </c>
      <c r="AC782" s="3">
        <v>0</v>
      </c>
      <c r="AD782" s="3">
        <v>0</v>
      </c>
      <c r="AE782" s="3">
        <v>0</v>
      </c>
      <c r="AF782" s="3">
        <v>0</v>
      </c>
      <c r="AG782" s="3">
        <v>0.04</v>
      </c>
      <c r="AH782" s="3">
        <v>0.04</v>
      </c>
      <c r="AI782" s="3">
        <v>0.04</v>
      </c>
      <c r="AJ782" s="3">
        <v>0.04</v>
      </c>
      <c r="AK782" s="3">
        <v>0.04</v>
      </c>
      <c r="AL782" s="3">
        <v>0.04</v>
      </c>
      <c r="AM782" s="3">
        <v>0.04</v>
      </c>
      <c r="AN782" s="3">
        <v>0.04</v>
      </c>
      <c r="AO782" s="3">
        <v>0.04</v>
      </c>
      <c r="AP782" s="3">
        <v>0.04</v>
      </c>
    </row>
    <row r="783" spans="1:42" hidden="1" x14ac:dyDescent="0.3">
      <c r="A783" s="5" t="s">
        <v>922</v>
      </c>
      <c r="B783" s="5" t="s">
        <v>16</v>
      </c>
      <c r="C783" s="22">
        <v>45238</v>
      </c>
      <c r="D783" s="22">
        <v>45244</v>
      </c>
      <c r="E783" s="3">
        <v>0</v>
      </c>
      <c r="F783" s="3">
        <v>0</v>
      </c>
      <c r="G783" s="3">
        <v>0</v>
      </c>
      <c r="H783" s="3">
        <v>0</v>
      </c>
      <c r="I783" s="3">
        <v>0</v>
      </c>
      <c r="J783" s="3">
        <v>0</v>
      </c>
      <c r="K783" s="3">
        <v>0</v>
      </c>
      <c r="L783" s="3">
        <v>0</v>
      </c>
      <c r="M783" s="3">
        <v>0</v>
      </c>
      <c r="N783" s="3">
        <v>0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3">
        <v>0</v>
      </c>
      <c r="AC783" s="3">
        <v>0</v>
      </c>
      <c r="AD783" s="3">
        <v>0</v>
      </c>
      <c r="AE783" s="3">
        <v>0</v>
      </c>
      <c r="AF783" s="3">
        <v>0</v>
      </c>
      <c r="AG783" s="3">
        <v>0.04</v>
      </c>
      <c r="AH783" s="3">
        <v>0.04</v>
      </c>
      <c r="AI783" s="3">
        <v>0.04</v>
      </c>
      <c r="AJ783" s="3">
        <v>0.04</v>
      </c>
      <c r="AK783" s="3">
        <v>0.04</v>
      </c>
      <c r="AL783" s="3">
        <v>0.04</v>
      </c>
      <c r="AM783" s="3">
        <v>0.04</v>
      </c>
      <c r="AN783" s="3">
        <v>0.04</v>
      </c>
      <c r="AO783" s="3">
        <v>0.04</v>
      </c>
      <c r="AP783" s="3">
        <v>0.04</v>
      </c>
    </row>
    <row r="784" spans="1:42" hidden="1" x14ac:dyDescent="0.3">
      <c r="A784" s="5" t="s">
        <v>923</v>
      </c>
      <c r="B784" s="5" t="s">
        <v>16</v>
      </c>
      <c r="C784" s="22">
        <v>45244</v>
      </c>
      <c r="D784" s="22">
        <v>45250</v>
      </c>
      <c r="E784" s="3">
        <v>0</v>
      </c>
      <c r="F784" s="3">
        <v>0</v>
      </c>
      <c r="G784" s="3">
        <v>0</v>
      </c>
      <c r="H784" s="3">
        <v>0</v>
      </c>
      <c r="I784" s="3">
        <v>0</v>
      </c>
      <c r="J784" s="3">
        <v>0</v>
      </c>
      <c r="K784" s="3">
        <v>0</v>
      </c>
      <c r="L784" s="3">
        <v>0</v>
      </c>
      <c r="M784" s="3">
        <v>0</v>
      </c>
      <c r="N784" s="3">
        <v>0</v>
      </c>
      <c r="O784" s="3">
        <v>0</v>
      </c>
      <c r="P784" s="3">
        <v>0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3">
        <v>0</v>
      </c>
      <c r="AC784" s="3">
        <v>0</v>
      </c>
      <c r="AD784" s="3">
        <v>0</v>
      </c>
      <c r="AE784" s="3">
        <v>0</v>
      </c>
      <c r="AF784" s="3">
        <v>0</v>
      </c>
      <c r="AG784" s="3">
        <v>0.04</v>
      </c>
      <c r="AH784" s="3">
        <v>0.04</v>
      </c>
      <c r="AI784" s="3">
        <v>0.04</v>
      </c>
      <c r="AJ784" s="3">
        <v>0.04</v>
      </c>
      <c r="AK784" s="3">
        <v>0.04</v>
      </c>
      <c r="AL784" s="3">
        <v>0.04</v>
      </c>
      <c r="AM784" s="3">
        <v>0.04</v>
      </c>
      <c r="AN784" s="3">
        <v>0.04</v>
      </c>
      <c r="AO784" s="3">
        <v>0.04</v>
      </c>
      <c r="AP784" s="3">
        <v>0.04</v>
      </c>
    </row>
    <row r="785" spans="1:42" hidden="1" x14ac:dyDescent="0.3">
      <c r="A785" s="5" t="s">
        <v>924</v>
      </c>
      <c r="B785" s="5" t="s">
        <v>14</v>
      </c>
      <c r="C785" s="22">
        <v>45257</v>
      </c>
      <c r="D785" s="22">
        <v>45271</v>
      </c>
      <c r="E785" s="3">
        <v>0</v>
      </c>
      <c r="F785" s="3">
        <v>0</v>
      </c>
      <c r="G785" s="3">
        <v>0</v>
      </c>
      <c r="H785" s="3">
        <v>0</v>
      </c>
      <c r="I785" s="3">
        <v>0</v>
      </c>
      <c r="J785" s="3">
        <v>0</v>
      </c>
      <c r="K785" s="3">
        <v>0</v>
      </c>
      <c r="L785" s="3">
        <v>0</v>
      </c>
      <c r="M785" s="3">
        <v>0</v>
      </c>
      <c r="N785" s="3">
        <v>0</v>
      </c>
      <c r="O785" s="3">
        <v>0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3">
        <v>0</v>
      </c>
      <c r="AC785" s="3">
        <v>0</v>
      </c>
      <c r="AD785" s="3">
        <v>0</v>
      </c>
      <c r="AE785" s="3">
        <v>0</v>
      </c>
      <c r="AF785" s="3">
        <v>0</v>
      </c>
      <c r="AG785" s="3">
        <v>0.01</v>
      </c>
      <c r="AH785" s="3">
        <v>0.04</v>
      </c>
      <c r="AI785" s="3">
        <v>0.04</v>
      </c>
      <c r="AJ785" s="3">
        <v>0.04</v>
      </c>
      <c r="AK785" s="3">
        <v>0.04</v>
      </c>
      <c r="AL785" s="3">
        <v>0.04</v>
      </c>
      <c r="AM785" s="3">
        <v>0.04</v>
      </c>
      <c r="AN785" s="3">
        <v>0.04</v>
      </c>
      <c r="AO785" s="3">
        <v>0.04</v>
      </c>
      <c r="AP785" s="3">
        <v>0.04</v>
      </c>
    </row>
    <row r="786" spans="1:42" hidden="1" x14ac:dyDescent="0.3">
      <c r="A786" s="15" t="s">
        <v>925</v>
      </c>
      <c r="B786" s="15" t="s">
        <v>112</v>
      </c>
      <c r="C786" s="20">
        <v>45225</v>
      </c>
      <c r="D786" s="20">
        <v>45334</v>
      </c>
      <c r="E786" s="8">
        <v>0</v>
      </c>
      <c r="F786" s="8">
        <v>0</v>
      </c>
      <c r="G786" s="8">
        <v>0</v>
      </c>
      <c r="H786" s="8">
        <v>0</v>
      </c>
      <c r="I786" s="8">
        <v>0</v>
      </c>
      <c r="J786" s="8">
        <v>0</v>
      </c>
      <c r="K786" s="8">
        <v>0</v>
      </c>
      <c r="L786" s="8">
        <v>0</v>
      </c>
      <c r="M786" s="8">
        <v>0</v>
      </c>
      <c r="N786" s="8">
        <v>0</v>
      </c>
      <c r="O786" s="8">
        <v>0</v>
      </c>
      <c r="P786" s="8">
        <v>0</v>
      </c>
      <c r="Q786" s="8">
        <v>0</v>
      </c>
      <c r="R786" s="8">
        <v>0</v>
      </c>
      <c r="S786" s="8">
        <v>0</v>
      </c>
      <c r="T786" s="8">
        <v>0</v>
      </c>
      <c r="U786" s="8">
        <v>0</v>
      </c>
      <c r="V786" s="8">
        <v>0</v>
      </c>
      <c r="W786" s="8">
        <v>0</v>
      </c>
      <c r="X786" s="8">
        <v>0</v>
      </c>
      <c r="Y786" s="8">
        <v>0</v>
      </c>
      <c r="Z786" s="8">
        <v>0</v>
      </c>
      <c r="AA786" s="8">
        <v>0</v>
      </c>
      <c r="AB786" s="8">
        <v>0</v>
      </c>
      <c r="AC786" s="8">
        <v>0</v>
      </c>
      <c r="AD786" s="8">
        <v>0</v>
      </c>
      <c r="AE786" s="8">
        <v>0</v>
      </c>
      <c r="AF786" s="8">
        <v>0.04</v>
      </c>
      <c r="AG786" s="8">
        <v>0.24</v>
      </c>
      <c r="AH786" s="8">
        <v>0.74</v>
      </c>
      <c r="AI786" s="8">
        <v>0.94</v>
      </c>
      <c r="AJ786" s="8">
        <v>1.77</v>
      </c>
      <c r="AK786" s="8">
        <v>1.77</v>
      </c>
      <c r="AL786" s="8">
        <v>1.77</v>
      </c>
      <c r="AM786" s="8">
        <v>1.77</v>
      </c>
      <c r="AN786" s="8">
        <v>1.77</v>
      </c>
      <c r="AO786" s="8">
        <v>1.77</v>
      </c>
      <c r="AP786" s="8">
        <v>1.77</v>
      </c>
    </row>
    <row r="787" spans="1:42" hidden="1" x14ac:dyDescent="0.3">
      <c r="A787" s="5" t="s">
        <v>926</v>
      </c>
      <c r="B787" s="5" t="s">
        <v>9</v>
      </c>
      <c r="C787" s="22">
        <v>45327</v>
      </c>
      <c r="D787" s="22">
        <v>45334</v>
      </c>
      <c r="E787" s="3">
        <v>0</v>
      </c>
      <c r="F787" s="3">
        <v>0</v>
      </c>
      <c r="G787" s="3">
        <v>0</v>
      </c>
      <c r="H787" s="3">
        <v>0</v>
      </c>
      <c r="I787" s="3">
        <v>0</v>
      </c>
      <c r="J787" s="3">
        <v>0</v>
      </c>
      <c r="K787" s="3">
        <v>0</v>
      </c>
      <c r="L787" s="3">
        <v>0</v>
      </c>
      <c r="M787" s="3">
        <v>0</v>
      </c>
      <c r="N787" s="3">
        <v>0</v>
      </c>
      <c r="O787" s="3">
        <v>0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3">
        <v>0</v>
      </c>
      <c r="AC787" s="3">
        <v>0</v>
      </c>
      <c r="AD787" s="3">
        <v>0</v>
      </c>
      <c r="AE787" s="3">
        <v>0</v>
      </c>
      <c r="AF787" s="3">
        <v>0</v>
      </c>
      <c r="AG787" s="3">
        <v>0</v>
      </c>
      <c r="AH787" s="3">
        <v>0</v>
      </c>
      <c r="AI787" s="3">
        <v>0</v>
      </c>
      <c r="AJ787" s="3">
        <v>0.82</v>
      </c>
      <c r="AK787" s="3">
        <v>0.82</v>
      </c>
      <c r="AL787" s="3">
        <v>0.82</v>
      </c>
      <c r="AM787" s="3">
        <v>0.82</v>
      </c>
      <c r="AN787" s="3">
        <v>0.82</v>
      </c>
      <c r="AO787" s="3">
        <v>0.82</v>
      </c>
      <c r="AP787" s="3">
        <v>0.82</v>
      </c>
    </row>
    <row r="788" spans="1:42" hidden="1" x14ac:dyDescent="0.3">
      <c r="A788" s="5" t="s">
        <v>927</v>
      </c>
      <c r="B788" s="5" t="s">
        <v>9</v>
      </c>
      <c r="C788" s="22">
        <v>45320</v>
      </c>
      <c r="D788" s="22">
        <v>45327</v>
      </c>
      <c r="E788" s="3">
        <v>0</v>
      </c>
      <c r="F788" s="3">
        <v>0</v>
      </c>
      <c r="G788" s="3">
        <v>0</v>
      </c>
      <c r="H788" s="3">
        <v>0</v>
      </c>
      <c r="I788" s="3">
        <v>0</v>
      </c>
      <c r="J788" s="3">
        <v>0</v>
      </c>
      <c r="K788" s="3">
        <v>0</v>
      </c>
      <c r="L788" s="3">
        <v>0</v>
      </c>
      <c r="M788" s="3">
        <v>0</v>
      </c>
      <c r="N788" s="3">
        <v>0</v>
      </c>
      <c r="O788" s="3">
        <v>0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3">
        <v>0</v>
      </c>
      <c r="AC788" s="3">
        <v>0</v>
      </c>
      <c r="AD788" s="3">
        <v>0</v>
      </c>
      <c r="AE788" s="3">
        <v>0</v>
      </c>
      <c r="AF788" s="3">
        <v>0</v>
      </c>
      <c r="AG788" s="3">
        <v>0</v>
      </c>
      <c r="AH788" s="3">
        <v>0</v>
      </c>
      <c r="AI788" s="3">
        <v>0.03</v>
      </c>
      <c r="AJ788" s="3">
        <v>0.05</v>
      </c>
      <c r="AK788" s="3">
        <v>0.05</v>
      </c>
      <c r="AL788" s="3">
        <v>0.05</v>
      </c>
      <c r="AM788" s="3">
        <v>0.05</v>
      </c>
      <c r="AN788" s="3">
        <v>0.05</v>
      </c>
      <c r="AO788" s="3">
        <v>0.05</v>
      </c>
      <c r="AP788" s="3">
        <v>0.05</v>
      </c>
    </row>
    <row r="789" spans="1:42" hidden="1" x14ac:dyDescent="0.3">
      <c r="A789" s="5" t="s">
        <v>928</v>
      </c>
      <c r="B789" s="5" t="s">
        <v>9</v>
      </c>
      <c r="C789" s="22">
        <v>45313</v>
      </c>
      <c r="D789" s="22">
        <v>45320</v>
      </c>
      <c r="E789" s="3">
        <v>0</v>
      </c>
      <c r="F789" s="3">
        <v>0</v>
      </c>
      <c r="G789" s="3">
        <v>0</v>
      </c>
      <c r="H789" s="3">
        <v>0</v>
      </c>
      <c r="I789" s="3">
        <v>0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3">
        <v>0</v>
      </c>
      <c r="AC789" s="3">
        <v>0</v>
      </c>
      <c r="AD789" s="3">
        <v>0</v>
      </c>
      <c r="AE789" s="3">
        <v>0</v>
      </c>
      <c r="AF789" s="3">
        <v>0</v>
      </c>
      <c r="AG789" s="3">
        <v>0</v>
      </c>
      <c r="AH789" s="3">
        <v>0</v>
      </c>
      <c r="AI789" s="3">
        <v>0.05</v>
      </c>
      <c r="AJ789" s="3">
        <v>0.05</v>
      </c>
      <c r="AK789" s="3">
        <v>0.05</v>
      </c>
      <c r="AL789" s="3">
        <v>0.05</v>
      </c>
      <c r="AM789" s="3">
        <v>0.05</v>
      </c>
      <c r="AN789" s="3">
        <v>0.05</v>
      </c>
      <c r="AO789" s="3">
        <v>0.05</v>
      </c>
      <c r="AP789" s="3">
        <v>0.05</v>
      </c>
    </row>
    <row r="790" spans="1:42" hidden="1" x14ac:dyDescent="0.3">
      <c r="A790" s="5" t="s">
        <v>929</v>
      </c>
      <c r="B790" s="5" t="s">
        <v>14</v>
      </c>
      <c r="C790" s="22">
        <v>45299</v>
      </c>
      <c r="D790" s="22">
        <v>45313</v>
      </c>
      <c r="E790" s="3">
        <v>0</v>
      </c>
      <c r="F790" s="3">
        <v>0</v>
      </c>
      <c r="G790" s="3">
        <v>0</v>
      </c>
      <c r="H790" s="3">
        <v>0</v>
      </c>
      <c r="I790" s="3">
        <v>0</v>
      </c>
      <c r="J790" s="3">
        <v>0</v>
      </c>
      <c r="K790" s="3">
        <v>0</v>
      </c>
      <c r="L790" s="3">
        <v>0</v>
      </c>
      <c r="M790" s="3">
        <v>0</v>
      </c>
      <c r="N790" s="3">
        <v>0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3">
        <v>0</v>
      </c>
      <c r="AC790" s="3">
        <v>0</v>
      </c>
      <c r="AD790" s="3">
        <v>0</v>
      </c>
      <c r="AE790" s="3">
        <v>0</v>
      </c>
      <c r="AF790" s="3">
        <v>0</v>
      </c>
      <c r="AG790" s="3">
        <v>0</v>
      </c>
      <c r="AH790" s="3">
        <v>0</v>
      </c>
      <c r="AI790" s="3">
        <v>0.05</v>
      </c>
      <c r="AJ790" s="3">
        <v>0.05</v>
      </c>
      <c r="AK790" s="3">
        <v>0.05</v>
      </c>
      <c r="AL790" s="3">
        <v>0.05</v>
      </c>
      <c r="AM790" s="3">
        <v>0.05</v>
      </c>
      <c r="AN790" s="3">
        <v>0.05</v>
      </c>
      <c r="AO790" s="3">
        <v>0.05</v>
      </c>
      <c r="AP790" s="3">
        <v>0.05</v>
      </c>
    </row>
    <row r="791" spans="1:42" hidden="1" x14ac:dyDescent="0.3">
      <c r="A791" s="5" t="s">
        <v>930</v>
      </c>
      <c r="B791" s="5" t="s">
        <v>14</v>
      </c>
      <c r="C791" s="22">
        <v>45285</v>
      </c>
      <c r="D791" s="22">
        <v>45299</v>
      </c>
      <c r="E791" s="3">
        <v>0</v>
      </c>
      <c r="F791" s="3">
        <v>0</v>
      </c>
      <c r="G791" s="3">
        <v>0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>
        <v>0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3">
        <v>0</v>
      </c>
      <c r="AC791" s="3">
        <v>0</v>
      </c>
      <c r="AD791" s="3">
        <v>0</v>
      </c>
      <c r="AE791" s="3">
        <v>0</v>
      </c>
      <c r="AF791" s="3">
        <v>0</v>
      </c>
      <c r="AG791" s="3">
        <v>0</v>
      </c>
      <c r="AH791" s="3">
        <v>0.04</v>
      </c>
      <c r="AI791" s="3">
        <v>0.09</v>
      </c>
      <c r="AJ791" s="3">
        <v>0.09</v>
      </c>
      <c r="AK791" s="3">
        <v>0.09</v>
      </c>
      <c r="AL791" s="3">
        <v>0.09</v>
      </c>
      <c r="AM791" s="3">
        <v>0.09</v>
      </c>
      <c r="AN791" s="3">
        <v>0.09</v>
      </c>
      <c r="AO791" s="3">
        <v>0.09</v>
      </c>
      <c r="AP791" s="3">
        <v>0.09</v>
      </c>
    </row>
    <row r="792" spans="1:42" hidden="1" x14ac:dyDescent="0.3">
      <c r="A792" s="5" t="s">
        <v>931</v>
      </c>
      <c r="B792" s="5" t="s">
        <v>46</v>
      </c>
      <c r="C792" s="22">
        <v>45265</v>
      </c>
      <c r="D792" s="22">
        <v>45285</v>
      </c>
      <c r="E792" s="3">
        <v>0</v>
      </c>
      <c r="F792" s="3">
        <v>0</v>
      </c>
      <c r="G792" s="3">
        <v>0</v>
      </c>
      <c r="H792" s="3">
        <v>0</v>
      </c>
      <c r="I792" s="3">
        <v>0</v>
      </c>
      <c r="J792" s="3">
        <v>0</v>
      </c>
      <c r="K792" s="3">
        <v>0</v>
      </c>
      <c r="L792" s="3">
        <v>0</v>
      </c>
      <c r="M792" s="3">
        <v>0</v>
      </c>
      <c r="N792" s="3">
        <v>0</v>
      </c>
      <c r="O792" s="3">
        <v>0</v>
      </c>
      <c r="P792" s="3">
        <v>0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3">
        <v>0</v>
      </c>
      <c r="AC792" s="3">
        <v>0</v>
      </c>
      <c r="AD792" s="3">
        <v>0</v>
      </c>
      <c r="AE792" s="3">
        <v>0</v>
      </c>
      <c r="AF792" s="3">
        <v>0</v>
      </c>
      <c r="AG792" s="3">
        <v>0</v>
      </c>
      <c r="AH792" s="3">
        <v>0.09</v>
      </c>
      <c r="AI792" s="3">
        <v>0.09</v>
      </c>
      <c r="AJ792" s="3">
        <v>0.09</v>
      </c>
      <c r="AK792" s="3">
        <v>0.09</v>
      </c>
      <c r="AL792" s="3">
        <v>0.09</v>
      </c>
      <c r="AM792" s="3">
        <v>0.09</v>
      </c>
      <c r="AN792" s="3">
        <v>0.09</v>
      </c>
      <c r="AO792" s="3">
        <v>0.09</v>
      </c>
      <c r="AP792" s="3">
        <v>0.09</v>
      </c>
    </row>
    <row r="793" spans="1:42" hidden="1" x14ac:dyDescent="0.3">
      <c r="A793" s="5" t="s">
        <v>932</v>
      </c>
      <c r="B793" s="5" t="s">
        <v>46</v>
      </c>
      <c r="C793" s="22">
        <v>45245</v>
      </c>
      <c r="D793" s="22">
        <v>45265</v>
      </c>
      <c r="E793" s="3">
        <v>0</v>
      </c>
      <c r="F793" s="3">
        <v>0</v>
      </c>
      <c r="G793" s="3">
        <v>0</v>
      </c>
      <c r="H793" s="3">
        <v>0</v>
      </c>
      <c r="I793" s="3">
        <v>0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3">
        <v>0</v>
      </c>
      <c r="AC793" s="3">
        <v>0</v>
      </c>
      <c r="AD793" s="3">
        <v>0</v>
      </c>
      <c r="AE793" s="3">
        <v>0</v>
      </c>
      <c r="AF793" s="3">
        <v>0</v>
      </c>
      <c r="AG793" s="3">
        <v>0.11</v>
      </c>
      <c r="AH793" s="3">
        <v>0.13</v>
      </c>
      <c r="AI793" s="3">
        <v>0.13</v>
      </c>
      <c r="AJ793" s="3">
        <v>0.13</v>
      </c>
      <c r="AK793" s="3">
        <v>0.13</v>
      </c>
      <c r="AL793" s="3">
        <v>0.13</v>
      </c>
      <c r="AM793" s="3">
        <v>0.13</v>
      </c>
      <c r="AN793" s="3">
        <v>0.13</v>
      </c>
      <c r="AO793" s="3">
        <v>0.13</v>
      </c>
      <c r="AP793" s="3">
        <v>0.13</v>
      </c>
    </row>
    <row r="794" spans="1:42" hidden="1" x14ac:dyDescent="0.3">
      <c r="A794" s="5" t="s">
        <v>933</v>
      </c>
      <c r="B794" s="5" t="s">
        <v>46</v>
      </c>
      <c r="C794" s="22">
        <v>45225</v>
      </c>
      <c r="D794" s="22">
        <v>45245</v>
      </c>
      <c r="E794" s="3">
        <v>0</v>
      </c>
      <c r="F794" s="3">
        <v>0</v>
      </c>
      <c r="G794" s="3">
        <v>0</v>
      </c>
      <c r="H794" s="3">
        <v>0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3">
        <v>0</v>
      </c>
      <c r="AC794" s="3">
        <v>0</v>
      </c>
      <c r="AD794" s="3">
        <v>0</v>
      </c>
      <c r="AE794" s="3">
        <v>0</v>
      </c>
      <c r="AF794" s="3">
        <v>0.04</v>
      </c>
      <c r="AG794" s="3">
        <v>0.13</v>
      </c>
      <c r="AH794" s="3">
        <v>0.13</v>
      </c>
      <c r="AI794" s="3">
        <v>0.13</v>
      </c>
      <c r="AJ794" s="3">
        <v>0.13</v>
      </c>
      <c r="AK794" s="3">
        <v>0.13</v>
      </c>
      <c r="AL794" s="3">
        <v>0.13</v>
      </c>
      <c r="AM794" s="3">
        <v>0.13</v>
      </c>
      <c r="AN794" s="3">
        <v>0.13</v>
      </c>
      <c r="AO794" s="3">
        <v>0.13</v>
      </c>
      <c r="AP794" s="3">
        <v>0.13</v>
      </c>
    </row>
    <row r="795" spans="1:42" hidden="1" x14ac:dyDescent="0.3">
      <c r="A795" s="4" t="s">
        <v>934</v>
      </c>
      <c r="B795" s="4" t="s">
        <v>113</v>
      </c>
      <c r="C795" s="21">
        <v>45265</v>
      </c>
      <c r="D795" s="21">
        <v>45293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0.34</v>
      </c>
      <c r="AI795" s="2">
        <v>0.35</v>
      </c>
      <c r="AJ795" s="2">
        <v>0.35</v>
      </c>
      <c r="AK795" s="2">
        <v>0.35</v>
      </c>
      <c r="AL795" s="2">
        <v>0.35</v>
      </c>
      <c r="AM795" s="2">
        <v>0.35</v>
      </c>
      <c r="AN795" s="2">
        <v>0.35</v>
      </c>
      <c r="AO795" s="2">
        <v>0.35</v>
      </c>
      <c r="AP795" s="2">
        <v>0.35</v>
      </c>
    </row>
    <row r="796" spans="1:42" hidden="1" x14ac:dyDescent="0.3">
      <c r="A796" s="5" t="s">
        <v>935</v>
      </c>
      <c r="B796" s="5" t="s">
        <v>9</v>
      </c>
      <c r="C796" s="22">
        <v>45265</v>
      </c>
      <c r="D796" s="22">
        <v>45272</v>
      </c>
      <c r="E796" s="3">
        <v>0</v>
      </c>
      <c r="F796" s="3">
        <v>0</v>
      </c>
      <c r="G796" s="3">
        <v>0</v>
      </c>
      <c r="H796" s="3">
        <v>0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3">
        <v>0</v>
      </c>
      <c r="AC796" s="3">
        <v>0</v>
      </c>
      <c r="AD796" s="3">
        <v>0</v>
      </c>
      <c r="AE796" s="3">
        <v>0</v>
      </c>
      <c r="AF796" s="3">
        <v>0</v>
      </c>
      <c r="AG796" s="3">
        <v>0</v>
      </c>
      <c r="AH796" s="3">
        <v>0.18</v>
      </c>
      <c r="AI796" s="3">
        <v>0.18</v>
      </c>
      <c r="AJ796" s="3">
        <v>0.18</v>
      </c>
      <c r="AK796" s="3">
        <v>0.18</v>
      </c>
      <c r="AL796" s="3">
        <v>0.18</v>
      </c>
      <c r="AM796" s="3">
        <v>0.18</v>
      </c>
      <c r="AN796" s="3">
        <v>0.18</v>
      </c>
      <c r="AO796" s="3">
        <v>0.18</v>
      </c>
      <c r="AP796" s="3">
        <v>0.18</v>
      </c>
    </row>
    <row r="797" spans="1:42" hidden="1" x14ac:dyDescent="0.3">
      <c r="A797" s="5" t="s">
        <v>936</v>
      </c>
      <c r="B797" s="5" t="s">
        <v>9</v>
      </c>
      <c r="C797" s="22">
        <v>45286</v>
      </c>
      <c r="D797" s="22">
        <v>45293</v>
      </c>
      <c r="E797" s="3">
        <v>0</v>
      </c>
      <c r="F797" s="3">
        <v>0</v>
      </c>
      <c r="G797" s="3">
        <v>0</v>
      </c>
      <c r="H797" s="3">
        <v>0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s="3">
        <v>0</v>
      </c>
      <c r="O797" s="3">
        <v>0</v>
      </c>
      <c r="P797" s="3">
        <v>0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3">
        <v>0</v>
      </c>
      <c r="AC797" s="3">
        <v>0</v>
      </c>
      <c r="AD797" s="3">
        <v>0</v>
      </c>
      <c r="AE797" s="3">
        <v>0</v>
      </c>
      <c r="AF797" s="3">
        <v>0</v>
      </c>
      <c r="AG797" s="3">
        <v>0</v>
      </c>
      <c r="AH797" s="3">
        <v>0.04</v>
      </c>
      <c r="AI797" s="3">
        <v>0.05</v>
      </c>
      <c r="AJ797" s="3">
        <v>0.05</v>
      </c>
      <c r="AK797" s="3">
        <v>0.05</v>
      </c>
      <c r="AL797" s="3">
        <v>0.05</v>
      </c>
      <c r="AM797" s="3">
        <v>0.05</v>
      </c>
      <c r="AN797" s="3">
        <v>0.05</v>
      </c>
      <c r="AO797" s="3">
        <v>0.05</v>
      </c>
      <c r="AP797" s="3">
        <v>0.05</v>
      </c>
    </row>
    <row r="798" spans="1:42" hidden="1" x14ac:dyDescent="0.3">
      <c r="A798" s="5" t="s">
        <v>937</v>
      </c>
      <c r="B798" s="5" t="s">
        <v>31</v>
      </c>
      <c r="C798" s="22">
        <v>45272</v>
      </c>
      <c r="D798" s="22">
        <v>45274</v>
      </c>
      <c r="E798" s="3">
        <v>0</v>
      </c>
      <c r="F798" s="3">
        <v>0</v>
      </c>
      <c r="G798" s="3">
        <v>0</v>
      </c>
      <c r="H798" s="3">
        <v>0</v>
      </c>
      <c r="I798" s="3">
        <v>0</v>
      </c>
      <c r="J798" s="3">
        <v>0</v>
      </c>
      <c r="K798" s="3">
        <v>0</v>
      </c>
      <c r="L798" s="3">
        <v>0</v>
      </c>
      <c r="M798" s="3">
        <v>0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3">
        <v>0</v>
      </c>
      <c r="AC798" s="3">
        <v>0</v>
      </c>
      <c r="AD798" s="3">
        <v>0</v>
      </c>
      <c r="AE798" s="3">
        <v>0</v>
      </c>
      <c r="AF798" s="3">
        <v>0</v>
      </c>
      <c r="AG798" s="3">
        <v>0</v>
      </c>
      <c r="AH798" s="3">
        <v>0.05</v>
      </c>
      <c r="AI798" s="3">
        <v>0.05</v>
      </c>
      <c r="AJ798" s="3">
        <v>0.05</v>
      </c>
      <c r="AK798" s="3">
        <v>0.05</v>
      </c>
      <c r="AL798" s="3">
        <v>0.05</v>
      </c>
      <c r="AM798" s="3">
        <v>0.05</v>
      </c>
      <c r="AN798" s="3">
        <v>0.05</v>
      </c>
      <c r="AO798" s="3">
        <v>0.05</v>
      </c>
      <c r="AP798" s="3">
        <v>0.05</v>
      </c>
    </row>
    <row r="799" spans="1:42" hidden="1" x14ac:dyDescent="0.3">
      <c r="A799" s="5" t="s">
        <v>938</v>
      </c>
      <c r="B799" s="5" t="s">
        <v>31</v>
      </c>
      <c r="C799" s="22">
        <v>45274</v>
      </c>
      <c r="D799" s="22">
        <v>45278</v>
      </c>
      <c r="E799" s="3">
        <v>0</v>
      </c>
      <c r="F799" s="3">
        <v>0</v>
      </c>
      <c r="G799" s="3">
        <v>0</v>
      </c>
      <c r="H799" s="3">
        <v>0</v>
      </c>
      <c r="I799" s="3">
        <v>0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  <c r="O799" s="3">
        <v>0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3">
        <v>0</v>
      </c>
      <c r="AC799" s="3">
        <v>0</v>
      </c>
      <c r="AD799" s="3">
        <v>0</v>
      </c>
      <c r="AE799" s="3">
        <v>0</v>
      </c>
      <c r="AF799" s="3">
        <v>0</v>
      </c>
      <c r="AG799" s="3">
        <v>0</v>
      </c>
      <c r="AH799" s="3">
        <v>0.02</v>
      </c>
      <c r="AI799" s="3">
        <v>0.02</v>
      </c>
      <c r="AJ799" s="3">
        <v>0.02</v>
      </c>
      <c r="AK799" s="3">
        <v>0.02</v>
      </c>
      <c r="AL799" s="3">
        <v>0.02</v>
      </c>
      <c r="AM799" s="3">
        <v>0.02</v>
      </c>
      <c r="AN799" s="3">
        <v>0.02</v>
      </c>
      <c r="AO799" s="3">
        <v>0.02</v>
      </c>
      <c r="AP799" s="3">
        <v>0.02</v>
      </c>
    </row>
    <row r="800" spans="1:42" hidden="1" x14ac:dyDescent="0.3">
      <c r="A800" s="5" t="s">
        <v>939</v>
      </c>
      <c r="B800" s="5" t="s">
        <v>31</v>
      </c>
      <c r="C800" s="22">
        <v>45278</v>
      </c>
      <c r="D800" s="22">
        <v>45280</v>
      </c>
      <c r="E800" s="3">
        <v>0</v>
      </c>
      <c r="F800" s="3">
        <v>0</v>
      </c>
      <c r="G800" s="3">
        <v>0</v>
      </c>
      <c r="H800" s="3">
        <v>0</v>
      </c>
      <c r="I800" s="3">
        <v>0</v>
      </c>
      <c r="J800" s="3">
        <v>0</v>
      </c>
      <c r="K800" s="3">
        <v>0</v>
      </c>
      <c r="L800" s="3">
        <v>0</v>
      </c>
      <c r="M800" s="3">
        <v>0</v>
      </c>
      <c r="N800" s="3">
        <v>0</v>
      </c>
      <c r="O800" s="3">
        <v>0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3">
        <v>0</v>
      </c>
      <c r="AC800" s="3">
        <v>0</v>
      </c>
      <c r="AD800" s="3">
        <v>0</v>
      </c>
      <c r="AE800" s="3">
        <v>0</v>
      </c>
      <c r="AF800" s="3">
        <v>0</v>
      </c>
      <c r="AG800" s="3">
        <v>0</v>
      </c>
      <c r="AH800" s="3">
        <v>0.02</v>
      </c>
      <c r="AI800" s="3">
        <v>0.02</v>
      </c>
      <c r="AJ800" s="3">
        <v>0.02</v>
      </c>
      <c r="AK800" s="3">
        <v>0.02</v>
      </c>
      <c r="AL800" s="3">
        <v>0.02</v>
      </c>
      <c r="AM800" s="3">
        <v>0.02</v>
      </c>
      <c r="AN800" s="3">
        <v>0.02</v>
      </c>
      <c r="AO800" s="3">
        <v>0.02</v>
      </c>
      <c r="AP800" s="3">
        <v>0.02</v>
      </c>
    </row>
    <row r="801" spans="1:42" hidden="1" x14ac:dyDescent="0.3">
      <c r="A801" s="5" t="s">
        <v>940</v>
      </c>
      <c r="B801" s="5" t="s">
        <v>31</v>
      </c>
      <c r="C801" s="22">
        <v>45280</v>
      </c>
      <c r="D801" s="22">
        <v>45282</v>
      </c>
      <c r="E801" s="3">
        <v>0</v>
      </c>
      <c r="F801" s="3">
        <v>0</v>
      </c>
      <c r="G801" s="3">
        <v>0</v>
      </c>
      <c r="H801" s="3">
        <v>0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3">
        <v>0</v>
      </c>
      <c r="AC801" s="3">
        <v>0</v>
      </c>
      <c r="AD801" s="3">
        <v>0</v>
      </c>
      <c r="AE801" s="3">
        <v>0</v>
      </c>
      <c r="AF801" s="3">
        <v>0</v>
      </c>
      <c r="AG801" s="3">
        <v>0</v>
      </c>
      <c r="AH801" s="3">
        <v>0.02</v>
      </c>
      <c r="AI801" s="3">
        <v>0.02</v>
      </c>
      <c r="AJ801" s="3">
        <v>0.02</v>
      </c>
      <c r="AK801" s="3">
        <v>0.02</v>
      </c>
      <c r="AL801" s="3">
        <v>0.02</v>
      </c>
      <c r="AM801" s="3">
        <v>0.02</v>
      </c>
      <c r="AN801" s="3">
        <v>0.02</v>
      </c>
      <c r="AO801" s="3">
        <v>0.02</v>
      </c>
      <c r="AP801" s="3">
        <v>0.02</v>
      </c>
    </row>
    <row r="802" spans="1:42" hidden="1" x14ac:dyDescent="0.3">
      <c r="A802" s="5" t="s">
        <v>941</v>
      </c>
      <c r="B802" s="5" t="s">
        <v>31</v>
      </c>
      <c r="C802" s="22">
        <v>45282</v>
      </c>
      <c r="D802" s="22">
        <v>45286</v>
      </c>
      <c r="E802" s="3">
        <v>0</v>
      </c>
      <c r="F802" s="3">
        <v>0</v>
      </c>
      <c r="G802" s="3">
        <v>0</v>
      </c>
      <c r="H802" s="3">
        <v>0</v>
      </c>
      <c r="I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0.02</v>
      </c>
      <c r="AI802" s="3">
        <v>0.02</v>
      </c>
      <c r="AJ802" s="3">
        <v>0.02</v>
      </c>
      <c r="AK802" s="3">
        <v>0.02</v>
      </c>
      <c r="AL802" s="3">
        <v>0.02</v>
      </c>
      <c r="AM802" s="3">
        <v>0.02</v>
      </c>
      <c r="AN802" s="3">
        <v>0.02</v>
      </c>
      <c r="AO802" s="3">
        <v>0.02</v>
      </c>
      <c r="AP802" s="3">
        <v>0.02</v>
      </c>
    </row>
    <row r="803" spans="1:42" hidden="1" x14ac:dyDescent="0.3">
      <c r="A803" s="5" t="s">
        <v>942</v>
      </c>
      <c r="B803" s="5" t="s">
        <v>45</v>
      </c>
      <c r="C803" s="22">
        <v>45294</v>
      </c>
      <c r="D803" s="22">
        <v>45320</v>
      </c>
      <c r="E803" s="3">
        <v>0</v>
      </c>
      <c r="F803" s="3">
        <v>0</v>
      </c>
      <c r="G803" s="3">
        <v>0</v>
      </c>
      <c r="H803" s="3">
        <v>0</v>
      </c>
      <c r="I803" s="3">
        <v>0</v>
      </c>
      <c r="J803" s="3">
        <v>0</v>
      </c>
      <c r="K803" s="3">
        <v>0</v>
      </c>
      <c r="L803" s="3">
        <v>0</v>
      </c>
      <c r="M803" s="3">
        <v>0</v>
      </c>
      <c r="N803" s="3">
        <v>0</v>
      </c>
      <c r="O803" s="3">
        <v>0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3">
        <v>0</v>
      </c>
      <c r="AC803" s="3">
        <v>0</v>
      </c>
      <c r="AD803" s="3">
        <v>0</v>
      </c>
      <c r="AE803" s="3">
        <v>0</v>
      </c>
      <c r="AF803" s="3">
        <v>0</v>
      </c>
      <c r="AG803" s="3">
        <v>0</v>
      </c>
      <c r="AH803" s="3">
        <v>0</v>
      </c>
      <c r="AI803" s="3">
        <v>0.02</v>
      </c>
      <c r="AJ803" s="3">
        <v>0.02</v>
      </c>
      <c r="AK803" s="3">
        <v>0.02</v>
      </c>
      <c r="AL803" s="3">
        <v>0.02</v>
      </c>
      <c r="AM803" s="3">
        <v>0.02</v>
      </c>
      <c r="AN803" s="3">
        <v>0.02</v>
      </c>
      <c r="AO803" s="3">
        <v>0.02</v>
      </c>
      <c r="AP803" s="3">
        <v>0.02</v>
      </c>
    </row>
    <row r="804" spans="1:42" hidden="1" x14ac:dyDescent="0.3">
      <c r="A804" s="15" t="s">
        <v>943</v>
      </c>
      <c r="B804" s="15" t="s">
        <v>114</v>
      </c>
      <c r="C804" s="20">
        <v>45215</v>
      </c>
      <c r="D804" s="20">
        <v>45275</v>
      </c>
      <c r="E804" s="8">
        <v>0</v>
      </c>
      <c r="F804" s="8">
        <v>0</v>
      </c>
      <c r="G804" s="8">
        <v>0</v>
      </c>
      <c r="H804" s="8">
        <v>0</v>
      </c>
      <c r="I804" s="8">
        <v>0</v>
      </c>
      <c r="J804" s="8">
        <v>0</v>
      </c>
      <c r="K804" s="8">
        <v>0</v>
      </c>
      <c r="L804" s="8">
        <v>0</v>
      </c>
      <c r="M804" s="8">
        <v>0</v>
      </c>
      <c r="N804" s="8">
        <v>0</v>
      </c>
      <c r="O804" s="8">
        <v>0</v>
      </c>
      <c r="P804" s="8">
        <v>0</v>
      </c>
      <c r="Q804" s="8">
        <v>0</v>
      </c>
      <c r="R804" s="8">
        <v>0</v>
      </c>
      <c r="S804" s="8">
        <v>0</v>
      </c>
      <c r="T804" s="8">
        <v>0</v>
      </c>
      <c r="U804" s="8">
        <v>0</v>
      </c>
      <c r="V804" s="8">
        <v>0</v>
      </c>
      <c r="W804" s="8">
        <v>0</v>
      </c>
      <c r="X804" s="8">
        <v>0</v>
      </c>
      <c r="Y804" s="8">
        <v>0</v>
      </c>
      <c r="Z804" s="8">
        <v>0</v>
      </c>
      <c r="AA804" s="8">
        <v>0</v>
      </c>
      <c r="AB804" s="8">
        <v>0</v>
      </c>
      <c r="AC804" s="8">
        <v>0</v>
      </c>
      <c r="AD804" s="8">
        <v>0</v>
      </c>
      <c r="AE804" s="8">
        <v>0</v>
      </c>
      <c r="AF804" s="8">
        <v>0.34</v>
      </c>
      <c r="AG804" s="8">
        <v>0.45</v>
      </c>
      <c r="AH804" s="8">
        <v>0.55000000000000004</v>
      </c>
      <c r="AI804" s="8">
        <v>0.55000000000000004</v>
      </c>
      <c r="AJ804" s="8">
        <v>0.55000000000000004</v>
      </c>
      <c r="AK804" s="8">
        <v>0.55000000000000004</v>
      </c>
      <c r="AL804" s="8">
        <v>0.55000000000000004</v>
      </c>
      <c r="AM804" s="8">
        <v>0.55000000000000004</v>
      </c>
      <c r="AN804" s="8">
        <v>0.55000000000000004</v>
      </c>
      <c r="AO804" s="8">
        <v>0.55000000000000004</v>
      </c>
      <c r="AP804" s="8">
        <v>0.55000000000000004</v>
      </c>
    </row>
    <row r="805" spans="1:42" hidden="1" x14ac:dyDescent="0.3">
      <c r="A805" s="5" t="s">
        <v>944</v>
      </c>
      <c r="B805" s="5" t="s">
        <v>17</v>
      </c>
      <c r="C805" s="22">
        <v>45215</v>
      </c>
      <c r="D805" s="22">
        <v>45236</v>
      </c>
      <c r="E805" s="3">
        <v>0</v>
      </c>
      <c r="F805" s="3">
        <v>0</v>
      </c>
      <c r="G805" s="3">
        <v>0</v>
      </c>
      <c r="H805" s="3">
        <v>0</v>
      </c>
      <c r="I805" s="3">
        <v>0</v>
      </c>
      <c r="J805" s="3">
        <v>0</v>
      </c>
      <c r="K805" s="3">
        <v>0</v>
      </c>
      <c r="L805" s="3">
        <v>0</v>
      </c>
      <c r="M805" s="3">
        <v>0</v>
      </c>
      <c r="N805" s="3">
        <v>0</v>
      </c>
      <c r="O805" s="3">
        <v>0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  <c r="AF805" s="3">
        <v>0.34</v>
      </c>
      <c r="AG805" s="3">
        <v>0.41</v>
      </c>
      <c r="AH805" s="3">
        <v>0.41</v>
      </c>
      <c r="AI805" s="3">
        <v>0.41</v>
      </c>
      <c r="AJ805" s="3">
        <v>0.41</v>
      </c>
      <c r="AK805" s="3">
        <v>0.41</v>
      </c>
      <c r="AL805" s="3">
        <v>0.41</v>
      </c>
      <c r="AM805" s="3">
        <v>0.41</v>
      </c>
      <c r="AN805" s="3">
        <v>0.41</v>
      </c>
      <c r="AO805" s="3">
        <v>0.41</v>
      </c>
      <c r="AP805" s="3">
        <v>0.41</v>
      </c>
    </row>
    <row r="806" spans="1:42" hidden="1" x14ac:dyDescent="0.3">
      <c r="A806" s="5" t="s">
        <v>945</v>
      </c>
      <c r="B806" s="5" t="s">
        <v>17</v>
      </c>
      <c r="C806" s="22">
        <v>45257</v>
      </c>
      <c r="D806" s="22">
        <v>45275</v>
      </c>
      <c r="E806" s="3">
        <v>0</v>
      </c>
      <c r="F806" s="3">
        <v>0</v>
      </c>
      <c r="G806" s="3">
        <v>0</v>
      </c>
      <c r="H806" s="3">
        <v>0</v>
      </c>
      <c r="I806" s="3">
        <v>0</v>
      </c>
      <c r="J806" s="3">
        <v>0</v>
      </c>
      <c r="K806" s="3">
        <v>0</v>
      </c>
      <c r="L806" s="3">
        <v>0</v>
      </c>
      <c r="M806" s="3">
        <v>0</v>
      </c>
      <c r="N806" s="3">
        <v>0</v>
      </c>
      <c r="O806" s="3">
        <v>0</v>
      </c>
      <c r="P806" s="3">
        <v>0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0.04</v>
      </c>
      <c r="AH806" s="3">
        <v>0.14000000000000001</v>
      </c>
      <c r="AI806" s="3">
        <v>0.14000000000000001</v>
      </c>
      <c r="AJ806" s="3">
        <v>0.14000000000000001</v>
      </c>
      <c r="AK806" s="3">
        <v>0.14000000000000001</v>
      </c>
      <c r="AL806" s="3">
        <v>0.14000000000000001</v>
      </c>
      <c r="AM806" s="3">
        <v>0.14000000000000001</v>
      </c>
      <c r="AN806" s="3">
        <v>0.14000000000000001</v>
      </c>
      <c r="AO806" s="3">
        <v>0.14000000000000001</v>
      </c>
      <c r="AP806" s="3">
        <v>0.14000000000000001</v>
      </c>
    </row>
    <row r="807" spans="1:42" hidden="1" x14ac:dyDescent="0.3">
      <c r="A807" s="15" t="s">
        <v>946</v>
      </c>
      <c r="B807" s="15" t="s">
        <v>107</v>
      </c>
      <c r="C807" s="20">
        <v>45036</v>
      </c>
      <c r="D807" s="20">
        <v>45063</v>
      </c>
      <c r="E807" s="8">
        <v>0</v>
      </c>
      <c r="F807" s="8">
        <v>0</v>
      </c>
      <c r="G807" s="8">
        <v>0</v>
      </c>
      <c r="H807" s="8">
        <v>0</v>
      </c>
      <c r="I807" s="8">
        <v>0</v>
      </c>
      <c r="J807" s="8">
        <v>0</v>
      </c>
      <c r="K807" s="8">
        <v>0</v>
      </c>
      <c r="L807" s="8">
        <v>0</v>
      </c>
      <c r="M807" s="8">
        <v>0</v>
      </c>
      <c r="N807" s="8">
        <v>0</v>
      </c>
      <c r="O807" s="8">
        <v>0</v>
      </c>
      <c r="P807" s="8">
        <v>0</v>
      </c>
      <c r="Q807" s="8">
        <v>0</v>
      </c>
      <c r="R807" s="8">
        <v>0</v>
      </c>
      <c r="S807" s="8">
        <v>0</v>
      </c>
      <c r="T807" s="8">
        <v>0</v>
      </c>
      <c r="U807" s="8">
        <v>0</v>
      </c>
      <c r="V807" s="8">
        <v>0</v>
      </c>
      <c r="W807" s="8">
        <v>0</v>
      </c>
      <c r="X807" s="8">
        <v>0</v>
      </c>
      <c r="Y807" s="8">
        <v>0</v>
      </c>
      <c r="Z807" s="8">
        <v>0.22</v>
      </c>
      <c r="AA807" s="8">
        <v>0.35</v>
      </c>
      <c r="AB807" s="8">
        <v>0.35</v>
      </c>
      <c r="AC807" s="8">
        <v>0.35</v>
      </c>
      <c r="AD807" s="8">
        <v>0.35</v>
      </c>
      <c r="AE807" s="8">
        <v>0.35</v>
      </c>
      <c r="AF807" s="8">
        <v>0.35</v>
      </c>
      <c r="AG807" s="8">
        <v>0.35</v>
      </c>
      <c r="AH807" s="8">
        <v>0.35</v>
      </c>
      <c r="AI807" s="8">
        <v>0.35</v>
      </c>
      <c r="AJ807" s="8">
        <v>0.35</v>
      </c>
      <c r="AK807" s="8">
        <v>0.35</v>
      </c>
      <c r="AL807" s="8">
        <v>0.35</v>
      </c>
      <c r="AM807" s="8">
        <v>0.35</v>
      </c>
      <c r="AN807" s="8">
        <v>0.35</v>
      </c>
      <c r="AO807" s="8">
        <v>0.35</v>
      </c>
      <c r="AP807" s="8">
        <v>0.35</v>
      </c>
    </row>
    <row r="808" spans="1:42" hidden="1" x14ac:dyDescent="0.3">
      <c r="A808" s="5" t="s">
        <v>947</v>
      </c>
      <c r="B808" s="5" t="s">
        <v>31</v>
      </c>
      <c r="C808" s="22">
        <v>45036</v>
      </c>
      <c r="D808" s="22">
        <v>45037</v>
      </c>
      <c r="E808" s="3">
        <v>0</v>
      </c>
      <c r="F808" s="3">
        <v>0</v>
      </c>
      <c r="G808" s="3">
        <v>0</v>
      </c>
      <c r="H808" s="3">
        <v>0</v>
      </c>
      <c r="I808" s="3">
        <v>0</v>
      </c>
      <c r="J808" s="3">
        <v>0</v>
      </c>
      <c r="K808" s="3">
        <v>0</v>
      </c>
      <c r="L808" s="3">
        <v>0</v>
      </c>
      <c r="M808" s="3">
        <v>0</v>
      </c>
      <c r="N808" s="3">
        <v>0</v>
      </c>
      <c r="O808" s="3">
        <v>0</v>
      </c>
      <c r="P808" s="3">
        <v>0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0.18</v>
      </c>
      <c r="AA808" s="3">
        <v>0.18</v>
      </c>
      <c r="AB808" s="3">
        <v>0.18</v>
      </c>
      <c r="AC808" s="3">
        <v>0.18</v>
      </c>
      <c r="AD808" s="3">
        <v>0.18</v>
      </c>
      <c r="AE808" s="3">
        <v>0.18</v>
      </c>
      <c r="AF808" s="3">
        <v>0.18</v>
      </c>
      <c r="AG808" s="3">
        <v>0.18</v>
      </c>
      <c r="AH808" s="3">
        <v>0.18</v>
      </c>
      <c r="AI808" s="3">
        <v>0.18</v>
      </c>
      <c r="AJ808" s="3">
        <v>0.18</v>
      </c>
      <c r="AK808" s="3">
        <v>0.18</v>
      </c>
      <c r="AL808" s="3">
        <v>0.18</v>
      </c>
      <c r="AM808" s="3">
        <v>0.18</v>
      </c>
      <c r="AN808" s="3">
        <v>0.18</v>
      </c>
      <c r="AO808" s="3">
        <v>0.18</v>
      </c>
      <c r="AP808" s="3">
        <v>0.18</v>
      </c>
    </row>
    <row r="809" spans="1:42" hidden="1" x14ac:dyDescent="0.3">
      <c r="A809" s="5" t="s">
        <v>948</v>
      </c>
      <c r="B809" s="5" t="s">
        <v>31</v>
      </c>
      <c r="C809" s="22">
        <v>45040</v>
      </c>
      <c r="D809" s="22">
        <v>45041</v>
      </c>
      <c r="E809" s="3">
        <v>0</v>
      </c>
      <c r="F809" s="3">
        <v>0</v>
      </c>
      <c r="G809" s="3">
        <v>0</v>
      </c>
      <c r="H809" s="3">
        <v>0</v>
      </c>
      <c r="I809" s="3">
        <v>0</v>
      </c>
      <c r="J809" s="3">
        <v>0</v>
      </c>
      <c r="K809" s="3">
        <v>0</v>
      </c>
      <c r="L809" s="3">
        <v>0</v>
      </c>
      <c r="M809" s="3">
        <v>0</v>
      </c>
      <c r="N809" s="3">
        <v>0</v>
      </c>
      <c r="O809" s="3">
        <v>0</v>
      </c>
      <c r="P809" s="3">
        <v>0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0.02</v>
      </c>
      <c r="AA809" s="3">
        <v>0.02</v>
      </c>
      <c r="AB809" s="3">
        <v>0.02</v>
      </c>
      <c r="AC809" s="3">
        <v>0.02</v>
      </c>
      <c r="AD809" s="3">
        <v>0.02</v>
      </c>
      <c r="AE809" s="3">
        <v>0.02</v>
      </c>
      <c r="AF809" s="3">
        <v>0.02</v>
      </c>
      <c r="AG809" s="3">
        <v>0.02</v>
      </c>
      <c r="AH809" s="3">
        <v>0.02</v>
      </c>
      <c r="AI809" s="3">
        <v>0.02</v>
      </c>
      <c r="AJ809" s="3">
        <v>0.02</v>
      </c>
      <c r="AK809" s="3">
        <v>0.02</v>
      </c>
      <c r="AL809" s="3">
        <v>0.02</v>
      </c>
      <c r="AM809" s="3">
        <v>0.02</v>
      </c>
      <c r="AN809" s="3">
        <v>0.02</v>
      </c>
      <c r="AO809" s="3">
        <v>0.02</v>
      </c>
      <c r="AP809" s="3">
        <v>0.02</v>
      </c>
    </row>
    <row r="810" spans="1:42" hidden="1" x14ac:dyDescent="0.3">
      <c r="A810" s="5" t="s">
        <v>949</v>
      </c>
      <c r="B810" s="5" t="s">
        <v>31</v>
      </c>
      <c r="C810" s="22">
        <v>45042</v>
      </c>
      <c r="D810" s="22">
        <v>45043</v>
      </c>
      <c r="E810" s="3">
        <v>0</v>
      </c>
      <c r="F810" s="3">
        <v>0</v>
      </c>
      <c r="G810" s="3">
        <v>0</v>
      </c>
      <c r="H810" s="3">
        <v>0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0.02</v>
      </c>
      <c r="AA810" s="3">
        <v>0.02</v>
      </c>
      <c r="AB810" s="3">
        <v>0.02</v>
      </c>
      <c r="AC810" s="3">
        <v>0.02</v>
      </c>
      <c r="AD810" s="3">
        <v>0.02</v>
      </c>
      <c r="AE810" s="3">
        <v>0.02</v>
      </c>
      <c r="AF810" s="3">
        <v>0.02</v>
      </c>
      <c r="AG810" s="3">
        <v>0.02</v>
      </c>
      <c r="AH810" s="3">
        <v>0.02</v>
      </c>
      <c r="AI810" s="3">
        <v>0.02</v>
      </c>
      <c r="AJ810" s="3">
        <v>0.02</v>
      </c>
      <c r="AK810" s="3">
        <v>0.02</v>
      </c>
      <c r="AL810" s="3">
        <v>0.02</v>
      </c>
      <c r="AM810" s="3">
        <v>0.02</v>
      </c>
      <c r="AN810" s="3">
        <v>0.02</v>
      </c>
      <c r="AO810" s="3">
        <v>0.02</v>
      </c>
      <c r="AP810" s="3">
        <v>0.02</v>
      </c>
    </row>
    <row r="811" spans="1:42" hidden="1" x14ac:dyDescent="0.3">
      <c r="A811" s="5" t="s">
        <v>950</v>
      </c>
      <c r="B811" s="5" t="s">
        <v>31</v>
      </c>
      <c r="C811" s="22">
        <v>45044</v>
      </c>
      <c r="D811" s="22">
        <v>45047</v>
      </c>
      <c r="E811" s="3">
        <v>0</v>
      </c>
      <c r="F811" s="3">
        <v>0</v>
      </c>
      <c r="G811" s="3">
        <v>0</v>
      </c>
      <c r="H811" s="3">
        <v>0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  <c r="O811" s="3">
        <v>0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0.01</v>
      </c>
      <c r="AA811" s="3">
        <v>0.02</v>
      </c>
      <c r="AB811" s="3">
        <v>0.02</v>
      </c>
      <c r="AC811" s="3">
        <v>0.02</v>
      </c>
      <c r="AD811" s="3">
        <v>0.02</v>
      </c>
      <c r="AE811" s="3">
        <v>0.02</v>
      </c>
      <c r="AF811" s="3">
        <v>0.02</v>
      </c>
      <c r="AG811" s="3">
        <v>0.02</v>
      </c>
      <c r="AH811" s="3">
        <v>0.02</v>
      </c>
      <c r="AI811" s="3">
        <v>0.02</v>
      </c>
      <c r="AJ811" s="3">
        <v>0.02</v>
      </c>
      <c r="AK811" s="3">
        <v>0.02</v>
      </c>
      <c r="AL811" s="3">
        <v>0.02</v>
      </c>
      <c r="AM811" s="3">
        <v>0.02</v>
      </c>
      <c r="AN811" s="3">
        <v>0.02</v>
      </c>
      <c r="AO811" s="3">
        <v>0.02</v>
      </c>
      <c r="AP811" s="3">
        <v>0.02</v>
      </c>
    </row>
    <row r="812" spans="1:42" hidden="1" x14ac:dyDescent="0.3">
      <c r="A812" s="5" t="s">
        <v>951</v>
      </c>
      <c r="B812" s="5" t="s">
        <v>31</v>
      </c>
      <c r="C812" s="22">
        <v>45048</v>
      </c>
      <c r="D812" s="22">
        <v>45049</v>
      </c>
      <c r="E812" s="3">
        <v>0</v>
      </c>
      <c r="F812" s="3">
        <v>0</v>
      </c>
      <c r="G812" s="3">
        <v>0</v>
      </c>
      <c r="H812" s="3">
        <v>0</v>
      </c>
      <c r="I812" s="3">
        <v>0</v>
      </c>
      <c r="J812" s="3">
        <v>0</v>
      </c>
      <c r="K812" s="3">
        <v>0</v>
      </c>
      <c r="L812" s="3">
        <v>0</v>
      </c>
      <c r="M812" s="3">
        <v>0</v>
      </c>
      <c r="N812" s="3">
        <v>0</v>
      </c>
      <c r="O812" s="3">
        <v>0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0.02</v>
      </c>
      <c r="AB812" s="3">
        <v>0.02</v>
      </c>
      <c r="AC812" s="3">
        <v>0.02</v>
      </c>
      <c r="AD812" s="3">
        <v>0.02</v>
      </c>
      <c r="AE812" s="3">
        <v>0.02</v>
      </c>
      <c r="AF812" s="3">
        <v>0.02</v>
      </c>
      <c r="AG812" s="3">
        <v>0.02</v>
      </c>
      <c r="AH812" s="3">
        <v>0.02</v>
      </c>
      <c r="AI812" s="3">
        <v>0.02</v>
      </c>
      <c r="AJ812" s="3">
        <v>0.02</v>
      </c>
      <c r="AK812" s="3">
        <v>0.02</v>
      </c>
      <c r="AL812" s="3">
        <v>0.02</v>
      </c>
      <c r="AM812" s="3">
        <v>0.02</v>
      </c>
      <c r="AN812" s="3">
        <v>0.02</v>
      </c>
      <c r="AO812" s="3">
        <v>0.02</v>
      </c>
      <c r="AP812" s="3">
        <v>0.02</v>
      </c>
    </row>
    <row r="813" spans="1:42" hidden="1" x14ac:dyDescent="0.3">
      <c r="A813" s="5" t="s">
        <v>952</v>
      </c>
      <c r="B813" s="5" t="s">
        <v>31</v>
      </c>
      <c r="C813" s="22">
        <v>45050</v>
      </c>
      <c r="D813" s="22">
        <v>45051</v>
      </c>
      <c r="E813" s="3">
        <v>0</v>
      </c>
      <c r="F813" s="3">
        <v>0</v>
      </c>
      <c r="G813" s="3">
        <v>0</v>
      </c>
      <c r="H813" s="3">
        <v>0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0.02</v>
      </c>
      <c r="AB813" s="3">
        <v>0.02</v>
      </c>
      <c r="AC813" s="3">
        <v>0.02</v>
      </c>
      <c r="AD813" s="3">
        <v>0.02</v>
      </c>
      <c r="AE813" s="3">
        <v>0.02</v>
      </c>
      <c r="AF813" s="3">
        <v>0.02</v>
      </c>
      <c r="AG813" s="3">
        <v>0.02</v>
      </c>
      <c r="AH813" s="3">
        <v>0.02</v>
      </c>
      <c r="AI813" s="3">
        <v>0.02</v>
      </c>
      <c r="AJ813" s="3">
        <v>0.02</v>
      </c>
      <c r="AK813" s="3">
        <v>0.02</v>
      </c>
      <c r="AL813" s="3">
        <v>0.02</v>
      </c>
      <c r="AM813" s="3">
        <v>0.02</v>
      </c>
      <c r="AN813" s="3">
        <v>0.02</v>
      </c>
      <c r="AO813" s="3">
        <v>0.02</v>
      </c>
      <c r="AP813" s="3">
        <v>0.02</v>
      </c>
    </row>
    <row r="814" spans="1:42" hidden="1" x14ac:dyDescent="0.3">
      <c r="A814" s="5" t="s">
        <v>953</v>
      </c>
      <c r="B814" s="5" t="s">
        <v>31</v>
      </c>
      <c r="C814" s="22">
        <v>45054</v>
      </c>
      <c r="D814" s="22">
        <v>45055</v>
      </c>
      <c r="E814" s="3">
        <v>0</v>
      </c>
      <c r="F814" s="3">
        <v>0</v>
      </c>
      <c r="G814" s="3">
        <v>0</v>
      </c>
      <c r="H814" s="3">
        <v>0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0</v>
      </c>
      <c r="O814" s="3">
        <v>0</v>
      </c>
      <c r="P814" s="3">
        <v>0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0.02</v>
      </c>
      <c r="AB814" s="3">
        <v>0.02</v>
      </c>
      <c r="AC814" s="3">
        <v>0.02</v>
      </c>
      <c r="AD814" s="3">
        <v>0.02</v>
      </c>
      <c r="AE814" s="3">
        <v>0.02</v>
      </c>
      <c r="AF814" s="3">
        <v>0.02</v>
      </c>
      <c r="AG814" s="3">
        <v>0.02</v>
      </c>
      <c r="AH814" s="3">
        <v>0.02</v>
      </c>
      <c r="AI814" s="3">
        <v>0.02</v>
      </c>
      <c r="AJ814" s="3">
        <v>0.02</v>
      </c>
      <c r="AK814" s="3">
        <v>0.02</v>
      </c>
      <c r="AL814" s="3">
        <v>0.02</v>
      </c>
      <c r="AM814" s="3">
        <v>0.02</v>
      </c>
      <c r="AN814" s="3">
        <v>0.02</v>
      </c>
      <c r="AO814" s="3">
        <v>0.02</v>
      </c>
      <c r="AP814" s="3">
        <v>0.02</v>
      </c>
    </row>
    <row r="815" spans="1:42" hidden="1" x14ac:dyDescent="0.3">
      <c r="A815" s="5" t="s">
        <v>954</v>
      </c>
      <c r="B815" s="5" t="s">
        <v>31</v>
      </c>
      <c r="C815" s="22">
        <v>45056</v>
      </c>
      <c r="D815" s="22">
        <v>45057</v>
      </c>
      <c r="E815" s="3">
        <v>0</v>
      </c>
      <c r="F815" s="3">
        <v>0</v>
      </c>
      <c r="G815" s="3">
        <v>0</v>
      </c>
      <c r="H815" s="3">
        <v>0</v>
      </c>
      <c r="I815" s="3">
        <v>0</v>
      </c>
      <c r="J815" s="3">
        <v>0</v>
      </c>
      <c r="K815" s="3">
        <v>0</v>
      </c>
      <c r="L815" s="3">
        <v>0</v>
      </c>
      <c r="M815" s="3">
        <v>0</v>
      </c>
      <c r="N815" s="3">
        <v>0</v>
      </c>
      <c r="O815" s="3">
        <v>0</v>
      </c>
      <c r="P815" s="3">
        <v>0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0.02</v>
      </c>
      <c r="AB815" s="3">
        <v>0.02</v>
      </c>
      <c r="AC815" s="3">
        <v>0.02</v>
      </c>
      <c r="AD815" s="3">
        <v>0.02</v>
      </c>
      <c r="AE815" s="3">
        <v>0.02</v>
      </c>
      <c r="AF815" s="3">
        <v>0.02</v>
      </c>
      <c r="AG815" s="3">
        <v>0.02</v>
      </c>
      <c r="AH815" s="3">
        <v>0.02</v>
      </c>
      <c r="AI815" s="3">
        <v>0.02</v>
      </c>
      <c r="AJ815" s="3">
        <v>0.02</v>
      </c>
      <c r="AK815" s="3">
        <v>0.02</v>
      </c>
      <c r="AL815" s="3">
        <v>0.02</v>
      </c>
      <c r="AM815" s="3">
        <v>0.02</v>
      </c>
      <c r="AN815" s="3">
        <v>0.02</v>
      </c>
      <c r="AO815" s="3">
        <v>0.02</v>
      </c>
      <c r="AP815" s="3">
        <v>0.02</v>
      </c>
    </row>
    <row r="816" spans="1:42" hidden="1" x14ac:dyDescent="0.3">
      <c r="A816" s="5" t="s">
        <v>955</v>
      </c>
      <c r="B816" s="5" t="s">
        <v>31</v>
      </c>
      <c r="C816" s="22">
        <v>45058</v>
      </c>
      <c r="D816" s="22">
        <v>45061</v>
      </c>
      <c r="E816" s="3">
        <v>0</v>
      </c>
      <c r="F816" s="3">
        <v>0</v>
      </c>
      <c r="G816" s="3">
        <v>0</v>
      </c>
      <c r="H816" s="3">
        <v>0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0.02</v>
      </c>
      <c r="AB816" s="3">
        <v>0.02</v>
      </c>
      <c r="AC816" s="3">
        <v>0.02</v>
      </c>
      <c r="AD816" s="3">
        <v>0.02</v>
      </c>
      <c r="AE816" s="3">
        <v>0.02</v>
      </c>
      <c r="AF816" s="3">
        <v>0.02</v>
      </c>
      <c r="AG816" s="3">
        <v>0.02</v>
      </c>
      <c r="AH816" s="3">
        <v>0.02</v>
      </c>
      <c r="AI816" s="3">
        <v>0.02</v>
      </c>
      <c r="AJ816" s="3">
        <v>0.02</v>
      </c>
      <c r="AK816" s="3">
        <v>0.02</v>
      </c>
      <c r="AL816" s="3">
        <v>0.02</v>
      </c>
      <c r="AM816" s="3">
        <v>0.02</v>
      </c>
      <c r="AN816" s="3">
        <v>0.02</v>
      </c>
      <c r="AO816" s="3">
        <v>0.02</v>
      </c>
      <c r="AP816" s="3">
        <v>0.02</v>
      </c>
    </row>
    <row r="817" spans="1:42" hidden="1" x14ac:dyDescent="0.3">
      <c r="A817" s="5" t="s">
        <v>956</v>
      </c>
      <c r="B817" s="5" t="s">
        <v>31</v>
      </c>
      <c r="C817" s="22">
        <v>45062</v>
      </c>
      <c r="D817" s="22">
        <v>45063</v>
      </c>
      <c r="E817" s="3">
        <v>0</v>
      </c>
      <c r="F817" s="3">
        <v>0</v>
      </c>
      <c r="G817" s="3">
        <v>0</v>
      </c>
      <c r="H817" s="3">
        <v>0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0.02</v>
      </c>
      <c r="AB817" s="3">
        <v>0.02</v>
      </c>
      <c r="AC817" s="3">
        <v>0.02</v>
      </c>
      <c r="AD817" s="3">
        <v>0.02</v>
      </c>
      <c r="AE817" s="3">
        <v>0.02</v>
      </c>
      <c r="AF817" s="3">
        <v>0.02</v>
      </c>
      <c r="AG817" s="3">
        <v>0.02</v>
      </c>
      <c r="AH817" s="3">
        <v>0.02</v>
      </c>
      <c r="AI817" s="3">
        <v>0.02</v>
      </c>
      <c r="AJ817" s="3">
        <v>0.02</v>
      </c>
      <c r="AK817" s="3">
        <v>0.02</v>
      </c>
      <c r="AL817" s="3">
        <v>0.02</v>
      </c>
      <c r="AM817" s="3">
        <v>0.02</v>
      </c>
      <c r="AN817" s="3">
        <v>0.02</v>
      </c>
      <c r="AO817" s="3">
        <v>0.02</v>
      </c>
      <c r="AP817" s="3">
        <v>0.02</v>
      </c>
    </row>
    <row r="818" spans="1:42" hidden="1" x14ac:dyDescent="0.3">
      <c r="A818" s="15" t="s">
        <v>957</v>
      </c>
      <c r="B818" s="15" t="s">
        <v>115</v>
      </c>
      <c r="C818" s="20">
        <v>45064</v>
      </c>
      <c r="D818" s="20">
        <v>45091</v>
      </c>
      <c r="E818" s="8">
        <v>0</v>
      </c>
      <c r="F818" s="8">
        <v>0</v>
      </c>
      <c r="G818" s="8">
        <v>0</v>
      </c>
      <c r="H818" s="8">
        <v>0</v>
      </c>
      <c r="I818" s="8">
        <v>0</v>
      </c>
      <c r="J818" s="8">
        <v>0</v>
      </c>
      <c r="K818" s="8">
        <v>0</v>
      </c>
      <c r="L818" s="8">
        <v>0</v>
      </c>
      <c r="M818" s="8">
        <v>0</v>
      </c>
      <c r="N818" s="8">
        <v>0</v>
      </c>
      <c r="O818" s="8">
        <v>0</v>
      </c>
      <c r="P818" s="8">
        <v>0</v>
      </c>
      <c r="Q818" s="8">
        <v>0</v>
      </c>
      <c r="R818" s="8">
        <v>0</v>
      </c>
      <c r="S818" s="8">
        <v>0</v>
      </c>
      <c r="T818" s="8">
        <v>0</v>
      </c>
      <c r="U818" s="8">
        <v>0</v>
      </c>
      <c r="V818" s="8">
        <v>0</v>
      </c>
      <c r="W818" s="8">
        <v>0</v>
      </c>
      <c r="X818" s="8">
        <v>0</v>
      </c>
      <c r="Y818" s="8">
        <v>0</v>
      </c>
      <c r="Z818" s="8">
        <v>0</v>
      </c>
      <c r="AA818" s="8">
        <v>0.25</v>
      </c>
      <c r="AB818" s="8">
        <v>0.35</v>
      </c>
      <c r="AC818" s="8">
        <v>0.35</v>
      </c>
      <c r="AD818" s="8">
        <v>0.35</v>
      </c>
      <c r="AE818" s="8">
        <v>0.35</v>
      </c>
      <c r="AF818" s="8">
        <v>0.35</v>
      </c>
      <c r="AG818" s="8">
        <v>0.35</v>
      </c>
      <c r="AH818" s="8">
        <v>0.35</v>
      </c>
      <c r="AI818" s="8">
        <v>0.35</v>
      </c>
      <c r="AJ818" s="8">
        <v>0.35</v>
      </c>
      <c r="AK818" s="8">
        <v>0.35</v>
      </c>
      <c r="AL818" s="8">
        <v>0.35</v>
      </c>
      <c r="AM818" s="8">
        <v>0.35</v>
      </c>
      <c r="AN818" s="8">
        <v>0.35</v>
      </c>
      <c r="AO818" s="8">
        <v>0.35</v>
      </c>
      <c r="AP818" s="8">
        <v>0.35</v>
      </c>
    </row>
    <row r="819" spans="1:42" hidden="1" x14ac:dyDescent="0.3">
      <c r="A819" s="5" t="s">
        <v>958</v>
      </c>
      <c r="B819" s="5" t="s">
        <v>31</v>
      </c>
      <c r="C819" s="22">
        <v>45064</v>
      </c>
      <c r="D819" s="22">
        <v>45065</v>
      </c>
      <c r="E819" s="3">
        <v>0</v>
      </c>
      <c r="F819" s="3">
        <v>0</v>
      </c>
      <c r="G819" s="3">
        <v>0</v>
      </c>
      <c r="H819" s="3">
        <v>0</v>
      </c>
      <c r="I819" s="3">
        <v>0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0.18</v>
      </c>
      <c r="AB819" s="3">
        <v>0.18</v>
      </c>
      <c r="AC819" s="3">
        <v>0.18</v>
      </c>
      <c r="AD819" s="3">
        <v>0.18</v>
      </c>
      <c r="AE819" s="3">
        <v>0.18</v>
      </c>
      <c r="AF819" s="3">
        <v>0.18</v>
      </c>
      <c r="AG819" s="3">
        <v>0.18</v>
      </c>
      <c r="AH819" s="3">
        <v>0.18</v>
      </c>
      <c r="AI819" s="3">
        <v>0.18</v>
      </c>
      <c r="AJ819" s="3">
        <v>0.18</v>
      </c>
      <c r="AK819" s="3">
        <v>0.18</v>
      </c>
      <c r="AL819" s="3">
        <v>0.18</v>
      </c>
      <c r="AM819" s="3">
        <v>0.18</v>
      </c>
      <c r="AN819" s="3">
        <v>0.18</v>
      </c>
      <c r="AO819" s="3">
        <v>0.18</v>
      </c>
      <c r="AP819" s="3">
        <v>0.18</v>
      </c>
    </row>
    <row r="820" spans="1:42" hidden="1" x14ac:dyDescent="0.3">
      <c r="A820" s="5" t="s">
        <v>959</v>
      </c>
      <c r="B820" s="5" t="s">
        <v>31</v>
      </c>
      <c r="C820" s="22">
        <v>45068</v>
      </c>
      <c r="D820" s="22">
        <v>45069</v>
      </c>
      <c r="E820" s="3">
        <v>0</v>
      </c>
      <c r="F820" s="3">
        <v>0</v>
      </c>
      <c r="G820" s="3">
        <v>0</v>
      </c>
      <c r="H820" s="3">
        <v>0</v>
      </c>
      <c r="I820" s="3">
        <v>0</v>
      </c>
      <c r="J820" s="3">
        <v>0</v>
      </c>
      <c r="K820" s="3">
        <v>0</v>
      </c>
      <c r="L820" s="3">
        <v>0</v>
      </c>
      <c r="M820" s="3">
        <v>0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0.02</v>
      </c>
      <c r="AB820" s="3">
        <v>0.02</v>
      </c>
      <c r="AC820" s="3">
        <v>0.02</v>
      </c>
      <c r="AD820" s="3">
        <v>0.02</v>
      </c>
      <c r="AE820" s="3">
        <v>0.02</v>
      </c>
      <c r="AF820" s="3">
        <v>0.02</v>
      </c>
      <c r="AG820" s="3">
        <v>0.02</v>
      </c>
      <c r="AH820" s="3">
        <v>0.02</v>
      </c>
      <c r="AI820" s="3">
        <v>0.02</v>
      </c>
      <c r="AJ820" s="3">
        <v>0.02</v>
      </c>
      <c r="AK820" s="3">
        <v>0.02</v>
      </c>
      <c r="AL820" s="3">
        <v>0.02</v>
      </c>
      <c r="AM820" s="3">
        <v>0.02</v>
      </c>
      <c r="AN820" s="3">
        <v>0.02</v>
      </c>
      <c r="AO820" s="3">
        <v>0.02</v>
      </c>
      <c r="AP820" s="3">
        <v>0.02</v>
      </c>
    </row>
    <row r="821" spans="1:42" hidden="1" x14ac:dyDescent="0.3">
      <c r="A821" s="5" t="s">
        <v>960</v>
      </c>
      <c r="B821" s="5" t="s">
        <v>31</v>
      </c>
      <c r="C821" s="22">
        <v>45070</v>
      </c>
      <c r="D821" s="22">
        <v>45071</v>
      </c>
      <c r="E821" s="3">
        <v>0</v>
      </c>
      <c r="F821" s="3">
        <v>0</v>
      </c>
      <c r="G821" s="3">
        <v>0</v>
      </c>
      <c r="H821" s="3">
        <v>0</v>
      </c>
      <c r="I821" s="3">
        <v>0</v>
      </c>
      <c r="J821" s="3">
        <v>0</v>
      </c>
      <c r="K821" s="3">
        <v>0</v>
      </c>
      <c r="L821" s="3">
        <v>0</v>
      </c>
      <c r="M821" s="3">
        <v>0</v>
      </c>
      <c r="N821" s="3">
        <v>0</v>
      </c>
      <c r="O821" s="3">
        <v>0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0.02</v>
      </c>
      <c r="AB821" s="3">
        <v>0.02</v>
      </c>
      <c r="AC821" s="3">
        <v>0.02</v>
      </c>
      <c r="AD821" s="3">
        <v>0.02</v>
      </c>
      <c r="AE821" s="3">
        <v>0.02</v>
      </c>
      <c r="AF821" s="3">
        <v>0.02</v>
      </c>
      <c r="AG821" s="3">
        <v>0.02</v>
      </c>
      <c r="AH821" s="3">
        <v>0.02</v>
      </c>
      <c r="AI821" s="3">
        <v>0.02</v>
      </c>
      <c r="AJ821" s="3">
        <v>0.02</v>
      </c>
      <c r="AK821" s="3">
        <v>0.02</v>
      </c>
      <c r="AL821" s="3">
        <v>0.02</v>
      </c>
      <c r="AM821" s="3">
        <v>0.02</v>
      </c>
      <c r="AN821" s="3">
        <v>0.02</v>
      </c>
      <c r="AO821" s="3">
        <v>0.02</v>
      </c>
      <c r="AP821" s="3">
        <v>0.02</v>
      </c>
    </row>
    <row r="822" spans="1:42" hidden="1" x14ac:dyDescent="0.3">
      <c r="A822" s="5" t="s">
        <v>961</v>
      </c>
      <c r="B822" s="5" t="s">
        <v>31</v>
      </c>
      <c r="C822" s="22">
        <v>45072</v>
      </c>
      <c r="D822" s="22">
        <v>45075</v>
      </c>
      <c r="E822" s="3">
        <v>0</v>
      </c>
      <c r="F822" s="3">
        <v>0</v>
      </c>
      <c r="G822" s="3">
        <v>0</v>
      </c>
      <c r="H822" s="3">
        <v>0</v>
      </c>
      <c r="I822" s="3">
        <v>0</v>
      </c>
      <c r="J822" s="3">
        <v>0</v>
      </c>
      <c r="K822" s="3">
        <v>0</v>
      </c>
      <c r="L822" s="3">
        <v>0</v>
      </c>
      <c r="M822" s="3">
        <v>0</v>
      </c>
      <c r="N822" s="3">
        <v>0</v>
      </c>
      <c r="O822" s="3">
        <v>0</v>
      </c>
      <c r="P822" s="3">
        <v>0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0.02</v>
      </c>
      <c r="AB822" s="3">
        <v>0.02</v>
      </c>
      <c r="AC822" s="3">
        <v>0.02</v>
      </c>
      <c r="AD822" s="3">
        <v>0.02</v>
      </c>
      <c r="AE822" s="3">
        <v>0.02</v>
      </c>
      <c r="AF822" s="3">
        <v>0.02</v>
      </c>
      <c r="AG822" s="3">
        <v>0.02</v>
      </c>
      <c r="AH822" s="3">
        <v>0.02</v>
      </c>
      <c r="AI822" s="3">
        <v>0.02</v>
      </c>
      <c r="AJ822" s="3">
        <v>0.02</v>
      </c>
      <c r="AK822" s="3">
        <v>0.02</v>
      </c>
      <c r="AL822" s="3">
        <v>0.02</v>
      </c>
      <c r="AM822" s="3">
        <v>0.02</v>
      </c>
      <c r="AN822" s="3">
        <v>0.02</v>
      </c>
      <c r="AO822" s="3">
        <v>0.02</v>
      </c>
      <c r="AP822" s="3">
        <v>0.02</v>
      </c>
    </row>
    <row r="823" spans="1:42" hidden="1" x14ac:dyDescent="0.3">
      <c r="A823" s="5" t="s">
        <v>962</v>
      </c>
      <c r="B823" s="5" t="s">
        <v>31</v>
      </c>
      <c r="C823" s="22">
        <v>45076</v>
      </c>
      <c r="D823" s="22">
        <v>45077</v>
      </c>
      <c r="E823" s="3">
        <v>0</v>
      </c>
      <c r="F823" s="3">
        <v>0</v>
      </c>
      <c r="G823" s="3">
        <v>0</v>
      </c>
      <c r="H823" s="3">
        <v>0</v>
      </c>
      <c r="I823" s="3">
        <v>0</v>
      </c>
      <c r="J823" s="3">
        <v>0</v>
      </c>
      <c r="K823" s="3">
        <v>0</v>
      </c>
      <c r="L823" s="3">
        <v>0</v>
      </c>
      <c r="M823" s="3">
        <v>0</v>
      </c>
      <c r="N823" s="3">
        <v>0</v>
      </c>
      <c r="O823" s="3">
        <v>0</v>
      </c>
      <c r="P823" s="3">
        <v>0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0.02</v>
      </c>
      <c r="AB823" s="3">
        <v>0.02</v>
      </c>
      <c r="AC823" s="3">
        <v>0.02</v>
      </c>
      <c r="AD823" s="3">
        <v>0.02</v>
      </c>
      <c r="AE823" s="3">
        <v>0.02</v>
      </c>
      <c r="AF823" s="3">
        <v>0.02</v>
      </c>
      <c r="AG823" s="3">
        <v>0.02</v>
      </c>
      <c r="AH823" s="3">
        <v>0.02</v>
      </c>
      <c r="AI823" s="3">
        <v>0.02</v>
      </c>
      <c r="AJ823" s="3">
        <v>0.02</v>
      </c>
      <c r="AK823" s="3">
        <v>0.02</v>
      </c>
      <c r="AL823" s="3">
        <v>0.02</v>
      </c>
      <c r="AM823" s="3">
        <v>0.02</v>
      </c>
      <c r="AN823" s="3">
        <v>0.02</v>
      </c>
      <c r="AO823" s="3">
        <v>0.02</v>
      </c>
      <c r="AP823" s="3">
        <v>0.02</v>
      </c>
    </row>
    <row r="824" spans="1:42" hidden="1" x14ac:dyDescent="0.3">
      <c r="A824" s="5" t="s">
        <v>963</v>
      </c>
      <c r="B824" s="5" t="s">
        <v>31</v>
      </c>
      <c r="C824" s="22">
        <v>45078</v>
      </c>
      <c r="D824" s="22">
        <v>45079</v>
      </c>
      <c r="E824" s="3">
        <v>0</v>
      </c>
      <c r="F824" s="3">
        <v>0</v>
      </c>
      <c r="G824" s="3">
        <v>0</v>
      </c>
      <c r="H824" s="3">
        <v>0</v>
      </c>
      <c r="I824" s="3">
        <v>0</v>
      </c>
      <c r="J824" s="3">
        <v>0</v>
      </c>
      <c r="K824" s="3">
        <v>0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0.02</v>
      </c>
      <c r="AC824" s="3">
        <v>0.02</v>
      </c>
      <c r="AD824" s="3">
        <v>0.02</v>
      </c>
      <c r="AE824" s="3">
        <v>0.02</v>
      </c>
      <c r="AF824" s="3">
        <v>0.02</v>
      </c>
      <c r="AG824" s="3">
        <v>0.02</v>
      </c>
      <c r="AH824" s="3">
        <v>0.02</v>
      </c>
      <c r="AI824" s="3">
        <v>0.02</v>
      </c>
      <c r="AJ824" s="3">
        <v>0.02</v>
      </c>
      <c r="AK824" s="3">
        <v>0.02</v>
      </c>
      <c r="AL824" s="3">
        <v>0.02</v>
      </c>
      <c r="AM824" s="3">
        <v>0.02</v>
      </c>
      <c r="AN824" s="3">
        <v>0.02</v>
      </c>
      <c r="AO824" s="3">
        <v>0.02</v>
      </c>
      <c r="AP824" s="3">
        <v>0.02</v>
      </c>
    </row>
    <row r="825" spans="1:42" hidden="1" x14ac:dyDescent="0.3">
      <c r="A825" s="5" t="s">
        <v>964</v>
      </c>
      <c r="B825" s="5" t="s">
        <v>31</v>
      </c>
      <c r="C825" s="22">
        <v>45082</v>
      </c>
      <c r="D825" s="22">
        <v>45083</v>
      </c>
      <c r="E825" s="3">
        <v>0</v>
      </c>
      <c r="F825" s="3">
        <v>0</v>
      </c>
      <c r="G825" s="3">
        <v>0</v>
      </c>
      <c r="H825" s="3">
        <v>0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  <c r="O825" s="3">
        <v>0</v>
      </c>
      <c r="P825" s="3">
        <v>0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0.02</v>
      </c>
      <c r="AC825" s="3">
        <v>0.02</v>
      </c>
      <c r="AD825" s="3">
        <v>0.02</v>
      </c>
      <c r="AE825" s="3">
        <v>0.02</v>
      </c>
      <c r="AF825" s="3">
        <v>0.02</v>
      </c>
      <c r="AG825" s="3">
        <v>0.02</v>
      </c>
      <c r="AH825" s="3">
        <v>0.02</v>
      </c>
      <c r="AI825" s="3">
        <v>0.02</v>
      </c>
      <c r="AJ825" s="3">
        <v>0.02</v>
      </c>
      <c r="AK825" s="3">
        <v>0.02</v>
      </c>
      <c r="AL825" s="3">
        <v>0.02</v>
      </c>
      <c r="AM825" s="3">
        <v>0.02</v>
      </c>
      <c r="AN825" s="3">
        <v>0.02</v>
      </c>
      <c r="AO825" s="3">
        <v>0.02</v>
      </c>
      <c r="AP825" s="3">
        <v>0.02</v>
      </c>
    </row>
    <row r="826" spans="1:42" hidden="1" x14ac:dyDescent="0.3">
      <c r="A826" s="5" t="s">
        <v>965</v>
      </c>
      <c r="B826" s="5" t="s">
        <v>31</v>
      </c>
      <c r="C826" s="22">
        <v>45084</v>
      </c>
      <c r="D826" s="22">
        <v>45085</v>
      </c>
      <c r="E826" s="3">
        <v>0</v>
      </c>
      <c r="F826" s="3">
        <v>0</v>
      </c>
      <c r="G826" s="3">
        <v>0</v>
      </c>
      <c r="H826" s="3">
        <v>0</v>
      </c>
      <c r="I826" s="3">
        <v>0</v>
      </c>
      <c r="J826" s="3">
        <v>0</v>
      </c>
      <c r="K826" s="3">
        <v>0</v>
      </c>
      <c r="L826" s="3">
        <v>0</v>
      </c>
      <c r="M826" s="3">
        <v>0</v>
      </c>
      <c r="N826" s="3">
        <v>0</v>
      </c>
      <c r="O826" s="3">
        <v>0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0.02</v>
      </c>
      <c r="AC826" s="3">
        <v>0.02</v>
      </c>
      <c r="AD826" s="3">
        <v>0.02</v>
      </c>
      <c r="AE826" s="3">
        <v>0.02</v>
      </c>
      <c r="AF826" s="3">
        <v>0.02</v>
      </c>
      <c r="AG826" s="3">
        <v>0.02</v>
      </c>
      <c r="AH826" s="3">
        <v>0.02</v>
      </c>
      <c r="AI826" s="3">
        <v>0.02</v>
      </c>
      <c r="AJ826" s="3">
        <v>0.02</v>
      </c>
      <c r="AK826" s="3">
        <v>0.02</v>
      </c>
      <c r="AL826" s="3">
        <v>0.02</v>
      </c>
      <c r="AM826" s="3">
        <v>0.02</v>
      </c>
      <c r="AN826" s="3">
        <v>0.02</v>
      </c>
      <c r="AO826" s="3">
        <v>0.02</v>
      </c>
      <c r="AP826" s="3">
        <v>0.02</v>
      </c>
    </row>
    <row r="827" spans="1:42" hidden="1" x14ac:dyDescent="0.3">
      <c r="A827" s="5" t="s">
        <v>966</v>
      </c>
      <c r="B827" s="5" t="s">
        <v>31</v>
      </c>
      <c r="C827" s="22">
        <v>45086</v>
      </c>
      <c r="D827" s="22">
        <v>45089</v>
      </c>
      <c r="E827" s="3">
        <v>0</v>
      </c>
      <c r="F827" s="3">
        <v>0</v>
      </c>
      <c r="G827" s="3">
        <v>0</v>
      </c>
      <c r="H827" s="3">
        <v>0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0.02</v>
      </c>
      <c r="AC827" s="3">
        <v>0.02</v>
      </c>
      <c r="AD827" s="3">
        <v>0.02</v>
      </c>
      <c r="AE827" s="3">
        <v>0.02</v>
      </c>
      <c r="AF827" s="3">
        <v>0.02</v>
      </c>
      <c r="AG827" s="3">
        <v>0.02</v>
      </c>
      <c r="AH827" s="3">
        <v>0.02</v>
      </c>
      <c r="AI827" s="3">
        <v>0.02</v>
      </c>
      <c r="AJ827" s="3">
        <v>0.02</v>
      </c>
      <c r="AK827" s="3">
        <v>0.02</v>
      </c>
      <c r="AL827" s="3">
        <v>0.02</v>
      </c>
      <c r="AM827" s="3">
        <v>0.02</v>
      </c>
      <c r="AN827" s="3">
        <v>0.02</v>
      </c>
      <c r="AO827" s="3">
        <v>0.02</v>
      </c>
      <c r="AP827" s="3">
        <v>0.02</v>
      </c>
    </row>
    <row r="828" spans="1:42" hidden="1" x14ac:dyDescent="0.3">
      <c r="A828" s="5" t="s">
        <v>967</v>
      </c>
      <c r="B828" s="5" t="s">
        <v>31</v>
      </c>
      <c r="C828" s="22">
        <v>45090</v>
      </c>
      <c r="D828" s="22">
        <v>45091</v>
      </c>
      <c r="E828" s="3">
        <v>0</v>
      </c>
      <c r="F828" s="3">
        <v>0</v>
      </c>
      <c r="G828" s="3">
        <v>0</v>
      </c>
      <c r="H828" s="3">
        <v>0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0.02</v>
      </c>
      <c r="AC828" s="3">
        <v>0.02</v>
      </c>
      <c r="AD828" s="3">
        <v>0.02</v>
      </c>
      <c r="AE828" s="3">
        <v>0.02</v>
      </c>
      <c r="AF828" s="3">
        <v>0.02</v>
      </c>
      <c r="AG828" s="3">
        <v>0.02</v>
      </c>
      <c r="AH828" s="3">
        <v>0.02</v>
      </c>
      <c r="AI828" s="3">
        <v>0.02</v>
      </c>
      <c r="AJ828" s="3">
        <v>0.02</v>
      </c>
      <c r="AK828" s="3">
        <v>0.02</v>
      </c>
      <c r="AL828" s="3">
        <v>0.02</v>
      </c>
      <c r="AM828" s="3">
        <v>0.02</v>
      </c>
      <c r="AN828" s="3">
        <v>0.02</v>
      </c>
      <c r="AO828" s="3">
        <v>0.02</v>
      </c>
      <c r="AP828" s="3">
        <v>0.02</v>
      </c>
    </row>
    <row r="829" spans="1:42" hidden="1" x14ac:dyDescent="0.3">
      <c r="A829" s="15" t="s">
        <v>968</v>
      </c>
      <c r="B829" s="15" t="s">
        <v>26</v>
      </c>
      <c r="C829" s="20">
        <v>45098</v>
      </c>
      <c r="D829" s="20">
        <v>45126</v>
      </c>
      <c r="E829" s="8">
        <v>0</v>
      </c>
      <c r="F829" s="8">
        <v>0</v>
      </c>
      <c r="G829" s="8">
        <v>0</v>
      </c>
      <c r="H829" s="8">
        <v>0</v>
      </c>
      <c r="I829" s="8">
        <v>0</v>
      </c>
      <c r="J829" s="8">
        <v>0</v>
      </c>
      <c r="K829" s="8">
        <v>0</v>
      </c>
      <c r="L829" s="8">
        <v>0</v>
      </c>
      <c r="M829" s="8">
        <v>0</v>
      </c>
      <c r="N829" s="8">
        <v>0</v>
      </c>
      <c r="O829" s="8">
        <v>0</v>
      </c>
      <c r="P829" s="8">
        <v>0</v>
      </c>
      <c r="Q829" s="8">
        <v>0</v>
      </c>
      <c r="R829" s="8">
        <v>0</v>
      </c>
      <c r="S829" s="8">
        <v>0</v>
      </c>
      <c r="T829" s="8">
        <v>0</v>
      </c>
      <c r="U829" s="8">
        <v>0</v>
      </c>
      <c r="V829" s="8">
        <v>0</v>
      </c>
      <c r="W829" s="8">
        <v>0</v>
      </c>
      <c r="X829" s="8">
        <v>0</v>
      </c>
      <c r="Y829" s="8">
        <v>0</v>
      </c>
      <c r="Z829" s="8">
        <v>0</v>
      </c>
      <c r="AA829" s="8">
        <v>0</v>
      </c>
      <c r="AB829" s="8">
        <v>0.22</v>
      </c>
      <c r="AC829" s="8">
        <v>0.34</v>
      </c>
      <c r="AD829" s="8">
        <v>0.34</v>
      </c>
      <c r="AE829" s="8">
        <v>0.34</v>
      </c>
      <c r="AF829" s="8">
        <v>0.34</v>
      </c>
      <c r="AG829" s="8">
        <v>0.34</v>
      </c>
      <c r="AH829" s="8">
        <v>0.34</v>
      </c>
      <c r="AI829" s="8">
        <v>0.34</v>
      </c>
      <c r="AJ829" s="8">
        <v>0.34</v>
      </c>
      <c r="AK829" s="8">
        <v>0.34</v>
      </c>
      <c r="AL829" s="8">
        <v>0.34</v>
      </c>
      <c r="AM829" s="8">
        <v>0.34</v>
      </c>
      <c r="AN829" s="8">
        <v>0.34</v>
      </c>
      <c r="AO829" s="8">
        <v>0.34</v>
      </c>
      <c r="AP829" s="8">
        <v>0.34</v>
      </c>
    </row>
    <row r="830" spans="1:42" hidden="1" x14ac:dyDescent="0.3">
      <c r="A830" s="5" t="s">
        <v>969</v>
      </c>
      <c r="B830" s="5" t="s">
        <v>31</v>
      </c>
      <c r="C830" s="22">
        <v>45098</v>
      </c>
      <c r="D830" s="22">
        <v>45100</v>
      </c>
      <c r="E830" s="3">
        <v>0</v>
      </c>
      <c r="F830" s="3">
        <v>0</v>
      </c>
      <c r="G830" s="3">
        <v>0</v>
      </c>
      <c r="H830" s="3">
        <v>0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3">
        <v>0.17</v>
      </c>
      <c r="AC830" s="3">
        <v>0.17</v>
      </c>
      <c r="AD830" s="3">
        <v>0.17</v>
      </c>
      <c r="AE830" s="3">
        <v>0.17</v>
      </c>
      <c r="AF830" s="3">
        <v>0.17</v>
      </c>
      <c r="AG830" s="3">
        <v>0.17</v>
      </c>
      <c r="AH830" s="3">
        <v>0.17</v>
      </c>
      <c r="AI830" s="3">
        <v>0.17</v>
      </c>
      <c r="AJ830" s="3">
        <v>0.17</v>
      </c>
      <c r="AK830" s="3">
        <v>0.17</v>
      </c>
      <c r="AL830" s="3">
        <v>0.17</v>
      </c>
      <c r="AM830" s="3">
        <v>0.17</v>
      </c>
      <c r="AN830" s="3">
        <v>0.17</v>
      </c>
      <c r="AO830" s="3">
        <v>0.17</v>
      </c>
      <c r="AP830" s="3">
        <v>0.17</v>
      </c>
    </row>
    <row r="831" spans="1:42" hidden="1" x14ac:dyDescent="0.3">
      <c r="A831" s="5" t="s">
        <v>970</v>
      </c>
      <c r="B831" s="5" t="s">
        <v>31</v>
      </c>
      <c r="C831" s="22">
        <v>45100</v>
      </c>
      <c r="D831" s="22">
        <v>45104</v>
      </c>
      <c r="E831" s="3">
        <v>0</v>
      </c>
      <c r="F831" s="3">
        <v>0</v>
      </c>
      <c r="G831" s="3">
        <v>0</v>
      </c>
      <c r="H831" s="3">
        <v>0</v>
      </c>
      <c r="I831" s="3">
        <v>0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  <c r="O831" s="3">
        <v>0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3">
        <v>0.02</v>
      </c>
      <c r="AC831" s="3">
        <v>0.02</v>
      </c>
      <c r="AD831" s="3">
        <v>0.02</v>
      </c>
      <c r="AE831" s="3">
        <v>0.02</v>
      </c>
      <c r="AF831" s="3">
        <v>0.02</v>
      </c>
      <c r="AG831" s="3">
        <v>0.02</v>
      </c>
      <c r="AH831" s="3">
        <v>0.02</v>
      </c>
      <c r="AI831" s="3">
        <v>0.02</v>
      </c>
      <c r="AJ831" s="3">
        <v>0.02</v>
      </c>
      <c r="AK831" s="3">
        <v>0.02</v>
      </c>
      <c r="AL831" s="3">
        <v>0.02</v>
      </c>
      <c r="AM831" s="3">
        <v>0.02</v>
      </c>
      <c r="AN831" s="3">
        <v>0.02</v>
      </c>
      <c r="AO831" s="3">
        <v>0.02</v>
      </c>
      <c r="AP831" s="3">
        <v>0.02</v>
      </c>
    </row>
    <row r="832" spans="1:42" hidden="1" x14ac:dyDescent="0.3">
      <c r="A832" s="5" t="s">
        <v>971</v>
      </c>
      <c r="B832" s="5" t="s">
        <v>31</v>
      </c>
      <c r="C832" s="22">
        <v>45104</v>
      </c>
      <c r="D832" s="22">
        <v>45106</v>
      </c>
      <c r="E832" s="3">
        <v>0</v>
      </c>
      <c r="F832" s="3">
        <v>0</v>
      </c>
      <c r="G832" s="3">
        <v>0</v>
      </c>
      <c r="H832" s="3">
        <v>0</v>
      </c>
      <c r="I832" s="3">
        <v>0</v>
      </c>
      <c r="J832" s="3">
        <v>0</v>
      </c>
      <c r="K832" s="3">
        <v>0</v>
      </c>
      <c r="L832" s="3">
        <v>0</v>
      </c>
      <c r="M832" s="3">
        <v>0</v>
      </c>
      <c r="N832" s="3">
        <v>0</v>
      </c>
      <c r="O832" s="3">
        <v>0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3">
        <v>0.02</v>
      </c>
      <c r="AC832" s="3">
        <v>0.02</v>
      </c>
      <c r="AD832" s="3">
        <v>0.02</v>
      </c>
      <c r="AE832" s="3">
        <v>0.02</v>
      </c>
      <c r="AF832" s="3">
        <v>0.02</v>
      </c>
      <c r="AG832" s="3">
        <v>0.02</v>
      </c>
      <c r="AH832" s="3">
        <v>0.02</v>
      </c>
      <c r="AI832" s="3">
        <v>0.02</v>
      </c>
      <c r="AJ832" s="3">
        <v>0.02</v>
      </c>
      <c r="AK832" s="3">
        <v>0.02</v>
      </c>
      <c r="AL832" s="3">
        <v>0.02</v>
      </c>
      <c r="AM832" s="3">
        <v>0.02</v>
      </c>
      <c r="AN832" s="3">
        <v>0.02</v>
      </c>
      <c r="AO832" s="3">
        <v>0.02</v>
      </c>
      <c r="AP832" s="3">
        <v>0.02</v>
      </c>
    </row>
    <row r="833" spans="1:42" hidden="1" x14ac:dyDescent="0.3">
      <c r="A833" s="5" t="s">
        <v>972</v>
      </c>
      <c r="B833" s="5" t="s">
        <v>31</v>
      </c>
      <c r="C833" s="22">
        <v>45106</v>
      </c>
      <c r="D833" s="22">
        <v>45110</v>
      </c>
      <c r="E833" s="3">
        <v>0</v>
      </c>
      <c r="F833" s="3">
        <v>0</v>
      </c>
      <c r="G833" s="3">
        <v>0</v>
      </c>
      <c r="H833" s="3">
        <v>0</v>
      </c>
      <c r="I833" s="3">
        <v>0</v>
      </c>
      <c r="J833" s="3">
        <v>0</v>
      </c>
      <c r="K833" s="3">
        <v>0</v>
      </c>
      <c r="L833" s="3">
        <v>0</v>
      </c>
      <c r="M833" s="3">
        <v>0</v>
      </c>
      <c r="N833" s="3">
        <v>0</v>
      </c>
      <c r="O833" s="3">
        <v>0</v>
      </c>
      <c r="P833" s="3">
        <v>0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3">
        <v>0.01</v>
      </c>
      <c r="AC833" s="3">
        <v>0.02</v>
      </c>
      <c r="AD833" s="3">
        <v>0.02</v>
      </c>
      <c r="AE833" s="3">
        <v>0.02</v>
      </c>
      <c r="AF833" s="3">
        <v>0.02</v>
      </c>
      <c r="AG833" s="3">
        <v>0.02</v>
      </c>
      <c r="AH833" s="3">
        <v>0.02</v>
      </c>
      <c r="AI833" s="3">
        <v>0.02</v>
      </c>
      <c r="AJ833" s="3">
        <v>0.02</v>
      </c>
      <c r="AK833" s="3">
        <v>0.02</v>
      </c>
      <c r="AL833" s="3">
        <v>0.02</v>
      </c>
      <c r="AM833" s="3">
        <v>0.02</v>
      </c>
      <c r="AN833" s="3">
        <v>0.02</v>
      </c>
      <c r="AO833" s="3">
        <v>0.02</v>
      </c>
      <c r="AP833" s="3">
        <v>0.02</v>
      </c>
    </row>
    <row r="834" spans="1:42" hidden="1" x14ac:dyDescent="0.3">
      <c r="A834" s="5" t="s">
        <v>973</v>
      </c>
      <c r="B834" s="5" t="s">
        <v>31</v>
      </c>
      <c r="C834" s="22">
        <v>45110</v>
      </c>
      <c r="D834" s="22">
        <v>45112</v>
      </c>
      <c r="E834" s="3">
        <v>0</v>
      </c>
      <c r="F834" s="3">
        <v>0</v>
      </c>
      <c r="G834" s="3">
        <v>0</v>
      </c>
      <c r="H834" s="3">
        <v>0</v>
      </c>
      <c r="I834" s="3">
        <v>0</v>
      </c>
      <c r="J834" s="3">
        <v>0</v>
      </c>
      <c r="K834" s="3">
        <v>0</v>
      </c>
      <c r="L834" s="3">
        <v>0</v>
      </c>
      <c r="M834" s="3">
        <v>0</v>
      </c>
      <c r="N834" s="3">
        <v>0</v>
      </c>
      <c r="O834" s="3">
        <v>0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3">
        <v>0</v>
      </c>
      <c r="AC834" s="3">
        <v>0.02</v>
      </c>
      <c r="AD834" s="3">
        <v>0.02</v>
      </c>
      <c r="AE834" s="3">
        <v>0.02</v>
      </c>
      <c r="AF834" s="3">
        <v>0.02</v>
      </c>
      <c r="AG834" s="3">
        <v>0.02</v>
      </c>
      <c r="AH834" s="3">
        <v>0.02</v>
      </c>
      <c r="AI834" s="3">
        <v>0.02</v>
      </c>
      <c r="AJ834" s="3">
        <v>0.02</v>
      </c>
      <c r="AK834" s="3">
        <v>0.02</v>
      </c>
      <c r="AL834" s="3">
        <v>0.02</v>
      </c>
      <c r="AM834" s="3">
        <v>0.02</v>
      </c>
      <c r="AN834" s="3">
        <v>0.02</v>
      </c>
      <c r="AO834" s="3">
        <v>0.02</v>
      </c>
      <c r="AP834" s="3">
        <v>0.02</v>
      </c>
    </row>
    <row r="835" spans="1:42" hidden="1" x14ac:dyDescent="0.3">
      <c r="A835" s="5" t="s">
        <v>974</v>
      </c>
      <c r="B835" s="5" t="s">
        <v>31</v>
      </c>
      <c r="C835" s="22">
        <v>45112</v>
      </c>
      <c r="D835" s="22">
        <v>45114</v>
      </c>
      <c r="E835" s="3">
        <v>0</v>
      </c>
      <c r="F835" s="3">
        <v>0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s="3">
        <v>0</v>
      </c>
      <c r="O835" s="3">
        <v>0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3">
        <v>0</v>
      </c>
      <c r="AC835" s="3">
        <v>0.02</v>
      </c>
      <c r="AD835" s="3">
        <v>0.02</v>
      </c>
      <c r="AE835" s="3">
        <v>0.02</v>
      </c>
      <c r="AF835" s="3">
        <v>0.02</v>
      </c>
      <c r="AG835" s="3">
        <v>0.02</v>
      </c>
      <c r="AH835" s="3">
        <v>0.02</v>
      </c>
      <c r="AI835" s="3">
        <v>0.02</v>
      </c>
      <c r="AJ835" s="3">
        <v>0.02</v>
      </c>
      <c r="AK835" s="3">
        <v>0.02</v>
      </c>
      <c r="AL835" s="3">
        <v>0.02</v>
      </c>
      <c r="AM835" s="3">
        <v>0.02</v>
      </c>
      <c r="AN835" s="3">
        <v>0.02</v>
      </c>
      <c r="AO835" s="3">
        <v>0.02</v>
      </c>
      <c r="AP835" s="3">
        <v>0.02</v>
      </c>
    </row>
    <row r="836" spans="1:42" hidden="1" x14ac:dyDescent="0.3">
      <c r="A836" s="5" t="s">
        <v>975</v>
      </c>
      <c r="B836" s="5" t="s">
        <v>31</v>
      </c>
      <c r="C836" s="22">
        <v>45114</v>
      </c>
      <c r="D836" s="22">
        <v>45118</v>
      </c>
      <c r="E836" s="3">
        <v>0</v>
      </c>
      <c r="F836" s="3">
        <v>0</v>
      </c>
      <c r="G836" s="3">
        <v>0</v>
      </c>
      <c r="H836" s="3">
        <v>0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0</v>
      </c>
      <c r="AB836" s="3">
        <v>0</v>
      </c>
      <c r="AC836" s="3">
        <v>0.02</v>
      </c>
      <c r="AD836" s="3">
        <v>0.02</v>
      </c>
      <c r="AE836" s="3">
        <v>0.02</v>
      </c>
      <c r="AF836" s="3">
        <v>0.02</v>
      </c>
      <c r="AG836" s="3">
        <v>0.02</v>
      </c>
      <c r="AH836" s="3">
        <v>0.02</v>
      </c>
      <c r="AI836" s="3">
        <v>0.02</v>
      </c>
      <c r="AJ836" s="3">
        <v>0.02</v>
      </c>
      <c r="AK836" s="3">
        <v>0.02</v>
      </c>
      <c r="AL836" s="3">
        <v>0.02</v>
      </c>
      <c r="AM836" s="3">
        <v>0.02</v>
      </c>
      <c r="AN836" s="3">
        <v>0.02</v>
      </c>
      <c r="AO836" s="3">
        <v>0.02</v>
      </c>
      <c r="AP836" s="3">
        <v>0.02</v>
      </c>
    </row>
    <row r="837" spans="1:42" hidden="1" x14ac:dyDescent="0.3">
      <c r="A837" s="5" t="s">
        <v>976</v>
      </c>
      <c r="B837" s="5" t="s">
        <v>31</v>
      </c>
      <c r="C837" s="22">
        <v>45118</v>
      </c>
      <c r="D837" s="22">
        <v>45120</v>
      </c>
      <c r="E837" s="3">
        <v>0</v>
      </c>
      <c r="F837" s="3">
        <v>0</v>
      </c>
      <c r="G837" s="3">
        <v>0</v>
      </c>
      <c r="H837" s="3">
        <v>0</v>
      </c>
      <c r="I837" s="3">
        <v>0</v>
      </c>
      <c r="J837" s="3">
        <v>0</v>
      </c>
      <c r="K837" s="3">
        <v>0</v>
      </c>
      <c r="L837" s="3">
        <v>0</v>
      </c>
      <c r="M837" s="3">
        <v>0</v>
      </c>
      <c r="N837" s="3">
        <v>0</v>
      </c>
      <c r="O837" s="3">
        <v>0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B837" s="3">
        <v>0</v>
      </c>
      <c r="AC837" s="3">
        <v>0.02</v>
      </c>
      <c r="AD837" s="3">
        <v>0.02</v>
      </c>
      <c r="AE837" s="3">
        <v>0.02</v>
      </c>
      <c r="AF837" s="3">
        <v>0.02</v>
      </c>
      <c r="AG837" s="3">
        <v>0.02</v>
      </c>
      <c r="AH837" s="3">
        <v>0.02</v>
      </c>
      <c r="AI837" s="3">
        <v>0.02</v>
      </c>
      <c r="AJ837" s="3">
        <v>0.02</v>
      </c>
      <c r="AK837" s="3">
        <v>0.02</v>
      </c>
      <c r="AL837" s="3">
        <v>0.02</v>
      </c>
      <c r="AM837" s="3">
        <v>0.02</v>
      </c>
      <c r="AN837" s="3">
        <v>0.02</v>
      </c>
      <c r="AO837" s="3">
        <v>0.02</v>
      </c>
      <c r="AP837" s="3">
        <v>0.02</v>
      </c>
    </row>
    <row r="838" spans="1:42" hidden="1" x14ac:dyDescent="0.3">
      <c r="A838" s="5" t="s">
        <v>977</v>
      </c>
      <c r="B838" s="5" t="s">
        <v>31</v>
      </c>
      <c r="C838" s="22">
        <v>45120</v>
      </c>
      <c r="D838" s="22">
        <v>45124</v>
      </c>
      <c r="E838" s="3">
        <v>0</v>
      </c>
      <c r="F838" s="3">
        <v>0</v>
      </c>
      <c r="G838" s="3">
        <v>0</v>
      </c>
      <c r="H838" s="3">
        <v>0</v>
      </c>
      <c r="I838" s="3">
        <v>0</v>
      </c>
      <c r="J838" s="3">
        <v>0</v>
      </c>
      <c r="K838" s="3">
        <v>0</v>
      </c>
      <c r="L838" s="3">
        <v>0</v>
      </c>
      <c r="M838" s="3">
        <v>0</v>
      </c>
      <c r="N838" s="3">
        <v>0</v>
      </c>
      <c r="O838" s="3">
        <v>0</v>
      </c>
      <c r="P838" s="3">
        <v>0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3">
        <v>0</v>
      </c>
      <c r="AC838" s="3">
        <v>0.02</v>
      </c>
      <c r="AD838" s="3">
        <v>0.02</v>
      </c>
      <c r="AE838" s="3">
        <v>0.02</v>
      </c>
      <c r="AF838" s="3">
        <v>0.02</v>
      </c>
      <c r="AG838" s="3">
        <v>0.02</v>
      </c>
      <c r="AH838" s="3">
        <v>0.02</v>
      </c>
      <c r="AI838" s="3">
        <v>0.02</v>
      </c>
      <c r="AJ838" s="3">
        <v>0.02</v>
      </c>
      <c r="AK838" s="3">
        <v>0.02</v>
      </c>
      <c r="AL838" s="3">
        <v>0.02</v>
      </c>
      <c r="AM838" s="3">
        <v>0.02</v>
      </c>
      <c r="AN838" s="3">
        <v>0.02</v>
      </c>
      <c r="AO838" s="3">
        <v>0.02</v>
      </c>
      <c r="AP838" s="3">
        <v>0.02</v>
      </c>
    </row>
    <row r="839" spans="1:42" hidden="1" x14ac:dyDescent="0.3">
      <c r="A839" s="5" t="s">
        <v>978</v>
      </c>
      <c r="B839" s="5" t="s">
        <v>31</v>
      </c>
      <c r="C839" s="22">
        <v>45124</v>
      </c>
      <c r="D839" s="22">
        <v>45126</v>
      </c>
      <c r="E839" s="3">
        <v>0</v>
      </c>
      <c r="F839" s="3">
        <v>0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  <c r="L839" s="3">
        <v>0</v>
      </c>
      <c r="M839" s="3">
        <v>0</v>
      </c>
      <c r="N839" s="3">
        <v>0</v>
      </c>
      <c r="O839" s="3">
        <v>0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3">
        <v>0</v>
      </c>
      <c r="AC839" s="3">
        <v>0.02</v>
      </c>
      <c r="AD839" s="3">
        <v>0.02</v>
      </c>
      <c r="AE839" s="3">
        <v>0.02</v>
      </c>
      <c r="AF839" s="3">
        <v>0.02</v>
      </c>
      <c r="AG839" s="3">
        <v>0.02</v>
      </c>
      <c r="AH839" s="3">
        <v>0.02</v>
      </c>
      <c r="AI839" s="3">
        <v>0.02</v>
      </c>
      <c r="AJ839" s="3">
        <v>0.02</v>
      </c>
      <c r="AK839" s="3">
        <v>0.02</v>
      </c>
      <c r="AL839" s="3">
        <v>0.02</v>
      </c>
      <c r="AM839" s="3">
        <v>0.02</v>
      </c>
      <c r="AN839" s="3">
        <v>0.02</v>
      </c>
      <c r="AO839" s="3">
        <v>0.02</v>
      </c>
      <c r="AP839" s="3">
        <v>0.02</v>
      </c>
    </row>
    <row r="840" spans="1:42" hidden="1" x14ac:dyDescent="0.3">
      <c r="A840" s="15" t="s">
        <v>979</v>
      </c>
      <c r="B840" s="15" t="s">
        <v>116</v>
      </c>
      <c r="C840" s="20">
        <v>45191</v>
      </c>
      <c r="D840" s="20">
        <v>45219</v>
      </c>
      <c r="E840" s="8">
        <v>0</v>
      </c>
      <c r="F840" s="8">
        <v>0</v>
      </c>
      <c r="G840" s="8">
        <v>0</v>
      </c>
      <c r="H840" s="8">
        <v>0</v>
      </c>
      <c r="I840" s="8">
        <v>0</v>
      </c>
      <c r="J840" s="8">
        <v>0</v>
      </c>
      <c r="K840" s="8">
        <v>0</v>
      </c>
      <c r="L840" s="8">
        <v>0</v>
      </c>
      <c r="M840" s="8">
        <v>0</v>
      </c>
      <c r="N840" s="8">
        <v>0</v>
      </c>
      <c r="O840" s="8">
        <v>0</v>
      </c>
      <c r="P840" s="8">
        <v>0</v>
      </c>
      <c r="Q840" s="8">
        <v>0</v>
      </c>
      <c r="R840" s="8">
        <v>0</v>
      </c>
      <c r="S840" s="8">
        <v>0</v>
      </c>
      <c r="T840" s="8">
        <v>0</v>
      </c>
      <c r="U840" s="8">
        <v>0</v>
      </c>
      <c r="V840" s="8">
        <v>0</v>
      </c>
      <c r="W840" s="8">
        <v>0</v>
      </c>
      <c r="X840" s="8">
        <v>0</v>
      </c>
      <c r="Y840" s="8">
        <v>0</v>
      </c>
      <c r="Z840" s="8">
        <v>0</v>
      </c>
      <c r="AA840" s="8">
        <v>0</v>
      </c>
      <c r="AB840" s="8">
        <v>0</v>
      </c>
      <c r="AC840" s="8">
        <v>0</v>
      </c>
      <c r="AD840" s="8">
        <v>0</v>
      </c>
      <c r="AE840" s="8">
        <v>0.22</v>
      </c>
      <c r="AF840" s="8">
        <v>0.36</v>
      </c>
      <c r="AG840" s="8">
        <v>0.36</v>
      </c>
      <c r="AH840" s="8">
        <v>0.36</v>
      </c>
      <c r="AI840" s="8">
        <v>0.36</v>
      </c>
      <c r="AJ840" s="8">
        <v>0.36</v>
      </c>
      <c r="AK840" s="8">
        <v>0.36</v>
      </c>
      <c r="AL840" s="8">
        <v>0.36</v>
      </c>
      <c r="AM840" s="8">
        <v>0.36</v>
      </c>
      <c r="AN840" s="8">
        <v>0.36</v>
      </c>
      <c r="AO840" s="8">
        <v>0.36</v>
      </c>
      <c r="AP840" s="8">
        <v>0.36</v>
      </c>
    </row>
    <row r="841" spans="1:42" hidden="1" x14ac:dyDescent="0.3">
      <c r="A841" s="5" t="s">
        <v>980</v>
      </c>
      <c r="B841" s="5" t="s">
        <v>31</v>
      </c>
      <c r="C841" s="22">
        <v>45191</v>
      </c>
      <c r="D841" s="22">
        <v>45195</v>
      </c>
      <c r="E841" s="3">
        <v>0</v>
      </c>
      <c r="F841" s="3">
        <v>0</v>
      </c>
      <c r="G841" s="3">
        <v>0</v>
      </c>
      <c r="H841" s="3">
        <v>0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0</v>
      </c>
      <c r="AB841" s="3">
        <v>0</v>
      </c>
      <c r="AC841" s="3">
        <v>0</v>
      </c>
      <c r="AD841" s="3">
        <v>0</v>
      </c>
      <c r="AE841" s="3">
        <v>0.19</v>
      </c>
      <c r="AF841" s="3">
        <v>0.19</v>
      </c>
      <c r="AG841" s="3">
        <v>0.19</v>
      </c>
      <c r="AH841" s="3">
        <v>0.19</v>
      </c>
      <c r="AI841" s="3">
        <v>0.19</v>
      </c>
      <c r="AJ841" s="3">
        <v>0.19</v>
      </c>
      <c r="AK841" s="3">
        <v>0.19</v>
      </c>
      <c r="AL841" s="3">
        <v>0.19</v>
      </c>
      <c r="AM841" s="3">
        <v>0.19</v>
      </c>
      <c r="AN841" s="3">
        <v>0.19</v>
      </c>
      <c r="AO841" s="3">
        <v>0.19</v>
      </c>
      <c r="AP841" s="3">
        <v>0.19</v>
      </c>
    </row>
    <row r="842" spans="1:42" hidden="1" x14ac:dyDescent="0.3">
      <c r="A842" s="5" t="s">
        <v>981</v>
      </c>
      <c r="B842" s="5" t="s">
        <v>31</v>
      </c>
      <c r="C842" s="22">
        <v>45195</v>
      </c>
      <c r="D842" s="22">
        <v>45197</v>
      </c>
      <c r="E842" s="3">
        <v>0</v>
      </c>
      <c r="F842" s="3">
        <v>0</v>
      </c>
      <c r="G842" s="3">
        <v>0</v>
      </c>
      <c r="H842" s="3">
        <v>0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0</v>
      </c>
      <c r="O842" s="3">
        <v>0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  <c r="AB842" s="3">
        <v>0</v>
      </c>
      <c r="AC842" s="3">
        <v>0</v>
      </c>
      <c r="AD842" s="3">
        <v>0</v>
      </c>
      <c r="AE842" s="3">
        <v>0.02</v>
      </c>
      <c r="AF842" s="3">
        <v>0.02</v>
      </c>
      <c r="AG842" s="3">
        <v>0.02</v>
      </c>
      <c r="AH842" s="3">
        <v>0.02</v>
      </c>
      <c r="AI842" s="3">
        <v>0.02</v>
      </c>
      <c r="AJ842" s="3">
        <v>0.02</v>
      </c>
      <c r="AK842" s="3">
        <v>0.02</v>
      </c>
      <c r="AL842" s="3">
        <v>0.02</v>
      </c>
      <c r="AM842" s="3">
        <v>0.02</v>
      </c>
      <c r="AN842" s="3">
        <v>0.02</v>
      </c>
      <c r="AO842" s="3">
        <v>0.02</v>
      </c>
      <c r="AP842" s="3">
        <v>0.02</v>
      </c>
    </row>
    <row r="843" spans="1:42" hidden="1" x14ac:dyDescent="0.3">
      <c r="A843" s="5" t="s">
        <v>982</v>
      </c>
      <c r="B843" s="5" t="s">
        <v>31</v>
      </c>
      <c r="C843" s="22">
        <v>45197</v>
      </c>
      <c r="D843" s="22">
        <v>45201</v>
      </c>
      <c r="E843" s="3">
        <v>0</v>
      </c>
      <c r="F843" s="3">
        <v>0</v>
      </c>
      <c r="G843" s="3">
        <v>0</v>
      </c>
      <c r="H843" s="3">
        <v>0</v>
      </c>
      <c r="I843" s="3">
        <v>0</v>
      </c>
      <c r="J843" s="3">
        <v>0</v>
      </c>
      <c r="K843" s="3">
        <v>0</v>
      </c>
      <c r="L843" s="3">
        <v>0</v>
      </c>
      <c r="M843" s="3">
        <v>0</v>
      </c>
      <c r="N843" s="3">
        <v>0</v>
      </c>
      <c r="O843" s="3">
        <v>0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0</v>
      </c>
      <c r="AB843" s="3">
        <v>0</v>
      </c>
      <c r="AC843" s="3">
        <v>0</v>
      </c>
      <c r="AD843" s="3">
        <v>0</v>
      </c>
      <c r="AE843" s="3">
        <v>0.02</v>
      </c>
      <c r="AF843" s="3">
        <v>0.02</v>
      </c>
      <c r="AG843" s="3">
        <v>0.02</v>
      </c>
      <c r="AH843" s="3">
        <v>0.02</v>
      </c>
      <c r="AI843" s="3">
        <v>0.02</v>
      </c>
      <c r="AJ843" s="3">
        <v>0.02</v>
      </c>
      <c r="AK843" s="3">
        <v>0.02</v>
      </c>
      <c r="AL843" s="3">
        <v>0.02</v>
      </c>
      <c r="AM843" s="3">
        <v>0.02</v>
      </c>
      <c r="AN843" s="3">
        <v>0.02</v>
      </c>
      <c r="AO843" s="3">
        <v>0.02</v>
      </c>
      <c r="AP843" s="3">
        <v>0.02</v>
      </c>
    </row>
    <row r="844" spans="1:42" hidden="1" x14ac:dyDescent="0.3">
      <c r="A844" s="5" t="s">
        <v>983</v>
      </c>
      <c r="B844" s="5" t="s">
        <v>31</v>
      </c>
      <c r="C844" s="22">
        <v>45201</v>
      </c>
      <c r="D844" s="22">
        <v>45203</v>
      </c>
      <c r="E844" s="3">
        <v>0</v>
      </c>
      <c r="F844" s="3">
        <v>0</v>
      </c>
      <c r="G844" s="3">
        <v>0</v>
      </c>
      <c r="H844" s="3">
        <v>0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3">
        <v>0</v>
      </c>
      <c r="AC844" s="3">
        <v>0</v>
      </c>
      <c r="AD844" s="3">
        <v>0</v>
      </c>
      <c r="AE844" s="3">
        <v>0</v>
      </c>
      <c r="AF844" s="3">
        <v>0.02</v>
      </c>
      <c r="AG844" s="3">
        <v>0.02</v>
      </c>
      <c r="AH844" s="3">
        <v>0.02</v>
      </c>
      <c r="AI844" s="3">
        <v>0.02</v>
      </c>
      <c r="AJ844" s="3">
        <v>0.02</v>
      </c>
      <c r="AK844" s="3">
        <v>0.02</v>
      </c>
      <c r="AL844" s="3">
        <v>0.02</v>
      </c>
      <c r="AM844" s="3">
        <v>0.02</v>
      </c>
      <c r="AN844" s="3">
        <v>0.02</v>
      </c>
      <c r="AO844" s="3">
        <v>0.02</v>
      </c>
      <c r="AP844" s="3">
        <v>0.02</v>
      </c>
    </row>
    <row r="845" spans="1:42" hidden="1" x14ac:dyDescent="0.3">
      <c r="A845" s="5" t="s">
        <v>984</v>
      </c>
      <c r="B845" s="5" t="s">
        <v>31</v>
      </c>
      <c r="C845" s="22">
        <v>45203</v>
      </c>
      <c r="D845" s="22">
        <v>45205</v>
      </c>
      <c r="E845" s="3">
        <v>0</v>
      </c>
      <c r="F845" s="3">
        <v>0</v>
      </c>
      <c r="G845" s="3">
        <v>0</v>
      </c>
      <c r="H845" s="3">
        <v>0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3">
        <v>0</v>
      </c>
      <c r="AB845" s="3">
        <v>0</v>
      </c>
      <c r="AC845" s="3">
        <v>0</v>
      </c>
      <c r="AD845" s="3">
        <v>0</v>
      </c>
      <c r="AE845" s="3">
        <v>0</v>
      </c>
      <c r="AF845" s="3">
        <v>0.02</v>
      </c>
      <c r="AG845" s="3">
        <v>0.02</v>
      </c>
      <c r="AH845" s="3">
        <v>0.02</v>
      </c>
      <c r="AI845" s="3">
        <v>0.02</v>
      </c>
      <c r="AJ845" s="3">
        <v>0.02</v>
      </c>
      <c r="AK845" s="3">
        <v>0.02</v>
      </c>
      <c r="AL845" s="3">
        <v>0.02</v>
      </c>
      <c r="AM845" s="3">
        <v>0.02</v>
      </c>
      <c r="AN845" s="3">
        <v>0.02</v>
      </c>
      <c r="AO845" s="3">
        <v>0.02</v>
      </c>
      <c r="AP845" s="3">
        <v>0.02</v>
      </c>
    </row>
    <row r="846" spans="1:42" hidden="1" x14ac:dyDescent="0.3">
      <c r="A846" s="5" t="s">
        <v>985</v>
      </c>
      <c r="B846" s="5" t="s">
        <v>31</v>
      </c>
      <c r="C846" s="22">
        <v>45205</v>
      </c>
      <c r="D846" s="22">
        <v>45209</v>
      </c>
      <c r="E846" s="3">
        <v>0</v>
      </c>
      <c r="F846" s="3">
        <v>0</v>
      </c>
      <c r="G846" s="3">
        <v>0</v>
      </c>
      <c r="H846" s="3">
        <v>0</v>
      </c>
      <c r="I846" s="3">
        <v>0</v>
      </c>
      <c r="J846" s="3">
        <v>0</v>
      </c>
      <c r="K846" s="3">
        <v>0</v>
      </c>
      <c r="L846" s="3">
        <v>0</v>
      </c>
      <c r="M846" s="3">
        <v>0</v>
      </c>
      <c r="N846" s="3">
        <v>0</v>
      </c>
      <c r="O846" s="3">
        <v>0</v>
      </c>
      <c r="P846" s="3">
        <v>0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3">
        <v>0</v>
      </c>
      <c r="AC846" s="3">
        <v>0</v>
      </c>
      <c r="AD846" s="3">
        <v>0</v>
      </c>
      <c r="AE846" s="3">
        <v>0</v>
      </c>
      <c r="AF846" s="3">
        <v>0.02</v>
      </c>
      <c r="AG846" s="3">
        <v>0.02</v>
      </c>
      <c r="AH846" s="3">
        <v>0.02</v>
      </c>
      <c r="AI846" s="3">
        <v>0.02</v>
      </c>
      <c r="AJ846" s="3">
        <v>0.02</v>
      </c>
      <c r="AK846" s="3">
        <v>0.02</v>
      </c>
      <c r="AL846" s="3">
        <v>0.02</v>
      </c>
      <c r="AM846" s="3">
        <v>0.02</v>
      </c>
      <c r="AN846" s="3">
        <v>0.02</v>
      </c>
      <c r="AO846" s="3">
        <v>0.02</v>
      </c>
      <c r="AP846" s="3">
        <v>0.02</v>
      </c>
    </row>
    <row r="847" spans="1:42" hidden="1" x14ac:dyDescent="0.3">
      <c r="A847" s="5" t="s">
        <v>986</v>
      </c>
      <c r="B847" s="5" t="s">
        <v>31</v>
      </c>
      <c r="C847" s="22">
        <v>45209</v>
      </c>
      <c r="D847" s="22">
        <v>45211</v>
      </c>
      <c r="E847" s="3">
        <v>0</v>
      </c>
      <c r="F847" s="3">
        <v>0</v>
      </c>
      <c r="G847" s="3">
        <v>0</v>
      </c>
      <c r="H847" s="3">
        <v>0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  <c r="O847" s="3">
        <v>0</v>
      </c>
      <c r="P847" s="3">
        <v>0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B847" s="3">
        <v>0</v>
      </c>
      <c r="AC847" s="3">
        <v>0</v>
      </c>
      <c r="AD847" s="3">
        <v>0</v>
      </c>
      <c r="AE847" s="3">
        <v>0</v>
      </c>
      <c r="AF847" s="3">
        <v>0.02</v>
      </c>
      <c r="AG847" s="3">
        <v>0.02</v>
      </c>
      <c r="AH847" s="3">
        <v>0.02</v>
      </c>
      <c r="AI847" s="3">
        <v>0.02</v>
      </c>
      <c r="AJ847" s="3">
        <v>0.02</v>
      </c>
      <c r="AK847" s="3">
        <v>0.02</v>
      </c>
      <c r="AL847" s="3">
        <v>0.02</v>
      </c>
      <c r="AM847" s="3">
        <v>0.02</v>
      </c>
      <c r="AN847" s="3">
        <v>0.02</v>
      </c>
      <c r="AO847" s="3">
        <v>0.02</v>
      </c>
      <c r="AP847" s="3">
        <v>0.02</v>
      </c>
    </row>
    <row r="848" spans="1:42" hidden="1" x14ac:dyDescent="0.3">
      <c r="A848" s="5" t="s">
        <v>987</v>
      </c>
      <c r="B848" s="5" t="s">
        <v>31</v>
      </c>
      <c r="C848" s="22">
        <v>45211</v>
      </c>
      <c r="D848" s="22">
        <v>45215</v>
      </c>
      <c r="E848" s="3">
        <v>0</v>
      </c>
      <c r="F848" s="3">
        <v>0</v>
      </c>
      <c r="G848" s="3">
        <v>0</v>
      </c>
      <c r="H848" s="3">
        <v>0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3">
        <v>0</v>
      </c>
      <c r="AC848" s="3">
        <v>0</v>
      </c>
      <c r="AD848" s="3">
        <v>0</v>
      </c>
      <c r="AE848" s="3">
        <v>0</v>
      </c>
      <c r="AF848" s="3">
        <v>0.02</v>
      </c>
      <c r="AG848" s="3">
        <v>0.02</v>
      </c>
      <c r="AH848" s="3">
        <v>0.02</v>
      </c>
      <c r="AI848" s="3">
        <v>0.02</v>
      </c>
      <c r="AJ848" s="3">
        <v>0.02</v>
      </c>
      <c r="AK848" s="3">
        <v>0.02</v>
      </c>
      <c r="AL848" s="3">
        <v>0.02</v>
      </c>
      <c r="AM848" s="3">
        <v>0.02</v>
      </c>
      <c r="AN848" s="3">
        <v>0.02</v>
      </c>
      <c r="AO848" s="3">
        <v>0.02</v>
      </c>
      <c r="AP848" s="3">
        <v>0.02</v>
      </c>
    </row>
    <row r="849" spans="1:42" hidden="1" x14ac:dyDescent="0.3">
      <c r="A849" s="5" t="s">
        <v>988</v>
      </c>
      <c r="B849" s="5" t="s">
        <v>31</v>
      </c>
      <c r="C849" s="22">
        <v>45215</v>
      </c>
      <c r="D849" s="22">
        <v>45217</v>
      </c>
      <c r="E849" s="3">
        <v>0</v>
      </c>
      <c r="F849" s="3">
        <v>0</v>
      </c>
      <c r="G849" s="3">
        <v>0</v>
      </c>
      <c r="H849" s="3">
        <v>0</v>
      </c>
      <c r="I849" s="3">
        <v>0</v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  <c r="O849" s="3">
        <v>0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3">
        <v>0</v>
      </c>
      <c r="AC849" s="3">
        <v>0</v>
      </c>
      <c r="AD849" s="3">
        <v>0</v>
      </c>
      <c r="AE849" s="3">
        <v>0</v>
      </c>
      <c r="AF849" s="3">
        <v>0.02</v>
      </c>
      <c r="AG849" s="3">
        <v>0.02</v>
      </c>
      <c r="AH849" s="3">
        <v>0.02</v>
      </c>
      <c r="AI849" s="3">
        <v>0.02</v>
      </c>
      <c r="AJ849" s="3">
        <v>0.02</v>
      </c>
      <c r="AK849" s="3">
        <v>0.02</v>
      </c>
      <c r="AL849" s="3">
        <v>0.02</v>
      </c>
      <c r="AM849" s="3">
        <v>0.02</v>
      </c>
      <c r="AN849" s="3">
        <v>0.02</v>
      </c>
      <c r="AO849" s="3">
        <v>0.02</v>
      </c>
      <c r="AP849" s="3">
        <v>0.02</v>
      </c>
    </row>
    <row r="850" spans="1:42" hidden="1" x14ac:dyDescent="0.3">
      <c r="A850" s="5" t="s">
        <v>989</v>
      </c>
      <c r="B850" s="5" t="s">
        <v>31</v>
      </c>
      <c r="C850" s="22">
        <v>45217</v>
      </c>
      <c r="D850" s="22">
        <v>45219</v>
      </c>
      <c r="E850" s="3">
        <v>0</v>
      </c>
      <c r="F850" s="3">
        <v>0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B850" s="3">
        <v>0</v>
      </c>
      <c r="AC850" s="3">
        <v>0</v>
      </c>
      <c r="AD850" s="3">
        <v>0</v>
      </c>
      <c r="AE850" s="3">
        <v>0</v>
      </c>
      <c r="AF850" s="3">
        <v>0.02</v>
      </c>
      <c r="AG850" s="3">
        <v>0.02</v>
      </c>
      <c r="AH850" s="3">
        <v>0.02</v>
      </c>
      <c r="AI850" s="3">
        <v>0.02</v>
      </c>
      <c r="AJ850" s="3">
        <v>0.02</v>
      </c>
      <c r="AK850" s="3">
        <v>0.02</v>
      </c>
      <c r="AL850" s="3">
        <v>0.02</v>
      </c>
      <c r="AM850" s="3">
        <v>0.02</v>
      </c>
      <c r="AN850" s="3">
        <v>0.02</v>
      </c>
      <c r="AO850" s="3">
        <v>0.02</v>
      </c>
      <c r="AP850" s="3">
        <v>0.02</v>
      </c>
    </row>
    <row r="851" spans="1:42" hidden="1" x14ac:dyDescent="0.3">
      <c r="A851" s="15" t="s">
        <v>990</v>
      </c>
      <c r="B851" s="15" t="s">
        <v>117</v>
      </c>
      <c r="C851" s="20">
        <v>45272</v>
      </c>
      <c r="D851" s="20">
        <v>45334</v>
      </c>
      <c r="E851" s="8">
        <v>0</v>
      </c>
      <c r="F851" s="8">
        <v>0</v>
      </c>
      <c r="G851" s="8">
        <v>0</v>
      </c>
      <c r="H851" s="8">
        <v>0</v>
      </c>
      <c r="I851" s="8">
        <v>0</v>
      </c>
      <c r="J851" s="8">
        <v>0</v>
      </c>
      <c r="K851" s="8">
        <v>0</v>
      </c>
      <c r="L851" s="8">
        <v>0</v>
      </c>
      <c r="M851" s="8">
        <v>0</v>
      </c>
      <c r="N851" s="8">
        <v>0</v>
      </c>
      <c r="O851" s="8">
        <v>0</v>
      </c>
      <c r="P851" s="8">
        <v>0</v>
      </c>
      <c r="Q851" s="8">
        <v>0</v>
      </c>
      <c r="R851" s="8">
        <v>0</v>
      </c>
      <c r="S851" s="8">
        <v>0</v>
      </c>
      <c r="T851" s="8">
        <v>0</v>
      </c>
      <c r="U851" s="8">
        <v>0</v>
      </c>
      <c r="V851" s="8">
        <v>0</v>
      </c>
      <c r="W851" s="8">
        <v>0</v>
      </c>
      <c r="X851" s="8">
        <v>0</v>
      </c>
      <c r="Y851" s="8">
        <v>0</v>
      </c>
      <c r="Z851" s="8">
        <v>0</v>
      </c>
      <c r="AA851" s="8">
        <v>0</v>
      </c>
      <c r="AB851" s="8">
        <v>0</v>
      </c>
      <c r="AC851" s="8">
        <v>0</v>
      </c>
      <c r="AD851" s="8">
        <v>0</v>
      </c>
      <c r="AE851" s="8">
        <v>0</v>
      </c>
      <c r="AF851" s="8">
        <v>0</v>
      </c>
      <c r="AG851" s="8">
        <v>0</v>
      </c>
      <c r="AH851" s="8">
        <v>0.39</v>
      </c>
      <c r="AI851" s="8">
        <v>0.41</v>
      </c>
      <c r="AJ851" s="8">
        <v>0.49</v>
      </c>
      <c r="AK851" s="8">
        <v>0.49</v>
      </c>
      <c r="AL851" s="8">
        <v>0.49</v>
      </c>
      <c r="AM851" s="8">
        <v>0.49</v>
      </c>
      <c r="AN851" s="8">
        <v>0.49</v>
      </c>
      <c r="AO851" s="8">
        <v>0.49</v>
      </c>
      <c r="AP851" s="8">
        <v>0.49</v>
      </c>
    </row>
    <row r="852" spans="1:42" hidden="1" x14ac:dyDescent="0.3">
      <c r="A852" s="5" t="s">
        <v>991</v>
      </c>
      <c r="B852" s="5" t="s">
        <v>14</v>
      </c>
      <c r="C852" s="22">
        <v>45272</v>
      </c>
      <c r="D852" s="22">
        <v>45286</v>
      </c>
      <c r="E852" s="3">
        <v>0</v>
      </c>
      <c r="F852" s="3">
        <v>0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3">
        <v>0</v>
      </c>
      <c r="AC852" s="3">
        <v>0</v>
      </c>
      <c r="AD852" s="3">
        <v>0</v>
      </c>
      <c r="AE852" s="3">
        <v>0</v>
      </c>
      <c r="AF852" s="3">
        <v>0</v>
      </c>
      <c r="AG852" s="3">
        <v>0</v>
      </c>
      <c r="AH852" s="3">
        <v>0.39</v>
      </c>
      <c r="AI852" s="3">
        <v>0.39</v>
      </c>
      <c r="AJ852" s="3">
        <v>0.39</v>
      </c>
      <c r="AK852" s="3">
        <v>0.39</v>
      </c>
      <c r="AL852" s="3">
        <v>0.39</v>
      </c>
      <c r="AM852" s="3">
        <v>0.39</v>
      </c>
      <c r="AN852" s="3">
        <v>0.39</v>
      </c>
      <c r="AO852" s="3">
        <v>0.39</v>
      </c>
      <c r="AP852" s="3">
        <v>0.39</v>
      </c>
    </row>
    <row r="853" spans="1:42" hidden="1" x14ac:dyDescent="0.3">
      <c r="A853" s="5" t="s">
        <v>992</v>
      </c>
      <c r="B853" s="5" t="s">
        <v>14</v>
      </c>
      <c r="C853" s="22">
        <v>45320</v>
      </c>
      <c r="D853" s="22">
        <v>45334</v>
      </c>
      <c r="E853" s="3">
        <v>0</v>
      </c>
      <c r="F853" s="3">
        <v>0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3">
        <v>0</v>
      </c>
      <c r="AC853" s="3">
        <v>0</v>
      </c>
      <c r="AD853" s="3">
        <v>0</v>
      </c>
      <c r="AE853" s="3">
        <v>0</v>
      </c>
      <c r="AF853" s="3">
        <v>0</v>
      </c>
      <c r="AG853" s="3">
        <v>0</v>
      </c>
      <c r="AH853" s="3">
        <v>0</v>
      </c>
      <c r="AI853" s="3">
        <v>0.02</v>
      </c>
      <c r="AJ853" s="3">
        <v>0.09</v>
      </c>
      <c r="AK853" s="3">
        <v>0.09</v>
      </c>
      <c r="AL853" s="3">
        <v>0.09</v>
      </c>
      <c r="AM853" s="3">
        <v>0.09</v>
      </c>
      <c r="AN853" s="3">
        <v>0.09</v>
      </c>
      <c r="AO853" s="3">
        <v>0.09</v>
      </c>
      <c r="AP853" s="3">
        <v>0.09</v>
      </c>
    </row>
    <row r="854" spans="1:42" hidden="1" x14ac:dyDescent="0.3">
      <c r="A854" s="14" t="s">
        <v>993</v>
      </c>
      <c r="B854" s="14" t="s">
        <v>118</v>
      </c>
      <c r="C854" s="19">
        <v>44763</v>
      </c>
      <c r="D854" s="19">
        <v>45273</v>
      </c>
      <c r="E854" s="7">
        <v>0</v>
      </c>
      <c r="F854" s="7">
        <v>0</v>
      </c>
      <c r="G854" s="7">
        <v>0</v>
      </c>
      <c r="H854" s="7">
        <v>0</v>
      </c>
      <c r="I854" s="7">
        <v>0</v>
      </c>
      <c r="J854" s="7">
        <v>0</v>
      </c>
      <c r="K854" s="7">
        <v>0</v>
      </c>
      <c r="L854" s="7">
        <v>0</v>
      </c>
      <c r="M854" s="7">
        <v>0</v>
      </c>
      <c r="N854" s="7">
        <v>0</v>
      </c>
      <c r="O854" s="7">
        <v>0</v>
      </c>
      <c r="P854" s="7">
        <v>0</v>
      </c>
      <c r="Q854" s="7">
        <v>0.06</v>
      </c>
      <c r="R854" s="7">
        <v>0.27</v>
      </c>
      <c r="S854" s="7">
        <v>1.21</v>
      </c>
      <c r="T854" s="7">
        <v>1.21</v>
      </c>
      <c r="U854" s="7">
        <v>1.23</v>
      </c>
      <c r="V854" s="7">
        <v>1.25</v>
      </c>
      <c r="W854" s="7">
        <v>1.25</v>
      </c>
      <c r="X854" s="7">
        <v>1.25</v>
      </c>
      <c r="Y854" s="7">
        <v>1.28</v>
      </c>
      <c r="Z854" s="7">
        <v>1.76</v>
      </c>
      <c r="AA854" s="7">
        <v>2.83</v>
      </c>
      <c r="AB854" s="7">
        <v>4.1500000000000004</v>
      </c>
      <c r="AC854" s="7">
        <v>6.58</v>
      </c>
      <c r="AD854" s="7">
        <v>11.45</v>
      </c>
      <c r="AE854" s="7">
        <v>11.87</v>
      </c>
      <c r="AF854" s="7">
        <v>11.9</v>
      </c>
      <c r="AG854" s="7">
        <v>12.15</v>
      </c>
      <c r="AH854" s="7">
        <v>12.76</v>
      </c>
      <c r="AI854" s="7">
        <v>12.76</v>
      </c>
      <c r="AJ854" s="7">
        <v>12.76</v>
      </c>
      <c r="AK854" s="7">
        <v>12.76</v>
      </c>
      <c r="AL854" s="7">
        <v>12.76</v>
      </c>
      <c r="AM854" s="7">
        <v>12.76</v>
      </c>
      <c r="AN854" s="7">
        <v>12.76</v>
      </c>
      <c r="AO854" s="7">
        <v>12.76</v>
      </c>
      <c r="AP854" s="7">
        <v>12.76</v>
      </c>
    </row>
    <row r="855" spans="1:42" hidden="1" x14ac:dyDescent="0.3">
      <c r="A855" s="15" t="s">
        <v>994</v>
      </c>
      <c r="B855" s="15" t="s">
        <v>119</v>
      </c>
      <c r="C855" s="20">
        <v>44763</v>
      </c>
      <c r="D855" s="20">
        <v>44914</v>
      </c>
      <c r="E855" s="8">
        <v>0</v>
      </c>
      <c r="F855" s="8">
        <v>0</v>
      </c>
      <c r="G855" s="8">
        <v>0</v>
      </c>
      <c r="H855" s="8">
        <v>0</v>
      </c>
      <c r="I855" s="8">
        <v>0</v>
      </c>
      <c r="J855" s="8">
        <v>0</v>
      </c>
      <c r="K855" s="8">
        <v>0</v>
      </c>
      <c r="L855" s="8">
        <v>0</v>
      </c>
      <c r="M855" s="8">
        <v>0</v>
      </c>
      <c r="N855" s="8">
        <v>0</v>
      </c>
      <c r="O855" s="8">
        <v>0</v>
      </c>
      <c r="P855" s="8">
        <v>0</v>
      </c>
      <c r="Q855" s="8">
        <v>0.06</v>
      </c>
      <c r="R855" s="8">
        <v>0.27</v>
      </c>
      <c r="S855" s="8">
        <v>1.21</v>
      </c>
      <c r="T855" s="8">
        <v>1.21</v>
      </c>
      <c r="U855" s="8">
        <v>1.23</v>
      </c>
      <c r="V855" s="8">
        <v>1.25</v>
      </c>
      <c r="W855" s="8">
        <v>1.25</v>
      </c>
      <c r="X855" s="8">
        <v>1.25</v>
      </c>
      <c r="Y855" s="8">
        <v>1.25</v>
      </c>
      <c r="Z855" s="8">
        <v>1.25</v>
      </c>
      <c r="AA855" s="8">
        <v>1.25</v>
      </c>
      <c r="AB855" s="8">
        <v>1.25</v>
      </c>
      <c r="AC855" s="8">
        <v>1.25</v>
      </c>
      <c r="AD855" s="8">
        <v>1.25</v>
      </c>
      <c r="AE855" s="8">
        <v>1.25</v>
      </c>
      <c r="AF855" s="8">
        <v>1.25</v>
      </c>
      <c r="AG855" s="8">
        <v>1.25</v>
      </c>
      <c r="AH855" s="8">
        <v>1.25</v>
      </c>
      <c r="AI855" s="8">
        <v>1.25</v>
      </c>
      <c r="AJ855" s="8">
        <v>1.25</v>
      </c>
      <c r="AK855" s="8">
        <v>1.25</v>
      </c>
      <c r="AL855" s="8">
        <v>1.25</v>
      </c>
      <c r="AM855" s="8">
        <v>1.25</v>
      </c>
      <c r="AN855" s="8">
        <v>1.25</v>
      </c>
      <c r="AO855" s="8">
        <v>1.25</v>
      </c>
      <c r="AP855" s="8">
        <v>1.25</v>
      </c>
    </row>
    <row r="856" spans="1:42" hidden="1" x14ac:dyDescent="0.3">
      <c r="A856" s="5" t="s">
        <v>995</v>
      </c>
      <c r="B856" s="5" t="s">
        <v>29</v>
      </c>
      <c r="C856" s="22">
        <v>44833</v>
      </c>
      <c r="D856" s="22">
        <v>44834</v>
      </c>
      <c r="E856" s="3">
        <v>0</v>
      </c>
      <c r="F856" s="3">
        <v>0</v>
      </c>
      <c r="G856" s="3">
        <v>0</v>
      </c>
      <c r="H856" s="3">
        <v>0</v>
      </c>
      <c r="I856" s="3">
        <v>0</v>
      </c>
      <c r="J856" s="3">
        <v>0</v>
      </c>
      <c r="K856" s="3">
        <v>0</v>
      </c>
      <c r="L856" s="3">
        <v>0</v>
      </c>
      <c r="M856" s="3">
        <v>0</v>
      </c>
      <c r="N856" s="3">
        <v>0</v>
      </c>
      <c r="O856" s="3">
        <v>0</v>
      </c>
      <c r="P856" s="3">
        <v>0</v>
      </c>
      <c r="Q856" s="3">
        <v>0</v>
      </c>
      <c r="R856" s="3">
        <v>0</v>
      </c>
      <c r="S856" s="3">
        <v>0.89</v>
      </c>
      <c r="T856" s="3">
        <v>0.89</v>
      </c>
      <c r="U856" s="3">
        <v>0.89</v>
      </c>
      <c r="V856" s="3">
        <v>0.89</v>
      </c>
      <c r="W856" s="3">
        <v>0.89</v>
      </c>
      <c r="X856" s="3">
        <v>0.89</v>
      </c>
      <c r="Y856" s="3">
        <v>0.89</v>
      </c>
      <c r="Z856" s="3">
        <v>0.89</v>
      </c>
      <c r="AA856" s="3">
        <v>0.89</v>
      </c>
      <c r="AB856" s="3">
        <v>0.89</v>
      </c>
      <c r="AC856" s="3">
        <v>0.89</v>
      </c>
      <c r="AD856" s="3">
        <v>0.89</v>
      </c>
      <c r="AE856" s="3">
        <v>0.89</v>
      </c>
      <c r="AF856" s="3">
        <v>0.89</v>
      </c>
      <c r="AG856" s="3">
        <v>0.89</v>
      </c>
      <c r="AH856" s="3">
        <v>0.89</v>
      </c>
      <c r="AI856" s="3">
        <v>0.89</v>
      </c>
      <c r="AJ856" s="3">
        <v>0.89</v>
      </c>
      <c r="AK856" s="3">
        <v>0.89</v>
      </c>
      <c r="AL856" s="3">
        <v>0.89</v>
      </c>
      <c r="AM856" s="3">
        <v>0.89</v>
      </c>
      <c r="AN856" s="3">
        <v>0.89</v>
      </c>
      <c r="AO856" s="3">
        <v>0.89</v>
      </c>
      <c r="AP856" s="3">
        <v>0.89</v>
      </c>
    </row>
    <row r="857" spans="1:42" hidden="1" x14ac:dyDescent="0.3">
      <c r="A857" s="5" t="s">
        <v>996</v>
      </c>
      <c r="B857" s="5" t="s">
        <v>12</v>
      </c>
      <c r="C857" s="22">
        <v>44819</v>
      </c>
      <c r="D857" s="22">
        <v>44824</v>
      </c>
      <c r="E857" s="3">
        <v>0</v>
      </c>
      <c r="F857" s="3">
        <v>0</v>
      </c>
      <c r="G857" s="3">
        <v>0</v>
      </c>
      <c r="H857" s="3">
        <v>0</v>
      </c>
      <c r="I857" s="3">
        <v>0</v>
      </c>
      <c r="J857" s="3">
        <v>0</v>
      </c>
      <c r="K857" s="3">
        <v>0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s="3">
        <v>0.01</v>
      </c>
      <c r="T857" s="3">
        <v>0.01</v>
      </c>
      <c r="U857" s="3">
        <v>0.01</v>
      </c>
      <c r="V857" s="3">
        <v>0.01</v>
      </c>
      <c r="W857" s="3">
        <v>0.01</v>
      </c>
      <c r="X857" s="3">
        <v>0.01</v>
      </c>
      <c r="Y857" s="3">
        <v>0.01</v>
      </c>
      <c r="Z857" s="3">
        <v>0.01</v>
      </c>
      <c r="AA857" s="3">
        <v>0.01</v>
      </c>
      <c r="AB857" s="3">
        <v>0.01</v>
      </c>
      <c r="AC857" s="3">
        <v>0.01</v>
      </c>
      <c r="AD857" s="3">
        <v>0.01</v>
      </c>
      <c r="AE857" s="3">
        <v>0.01</v>
      </c>
      <c r="AF857" s="3">
        <v>0.01</v>
      </c>
      <c r="AG857" s="3">
        <v>0.01</v>
      </c>
      <c r="AH857" s="3">
        <v>0.01</v>
      </c>
      <c r="AI857" s="3">
        <v>0.01</v>
      </c>
      <c r="AJ857" s="3">
        <v>0.01</v>
      </c>
      <c r="AK857" s="3">
        <v>0.01</v>
      </c>
      <c r="AL857" s="3">
        <v>0.01</v>
      </c>
      <c r="AM857" s="3">
        <v>0.01</v>
      </c>
      <c r="AN857" s="3">
        <v>0.01</v>
      </c>
      <c r="AO857" s="3">
        <v>0.01</v>
      </c>
      <c r="AP857" s="3">
        <v>0.01</v>
      </c>
    </row>
    <row r="858" spans="1:42" hidden="1" x14ac:dyDescent="0.3">
      <c r="A858" s="5" t="s">
        <v>997</v>
      </c>
      <c r="B858" s="5" t="s">
        <v>14</v>
      </c>
      <c r="C858" s="22">
        <v>44805</v>
      </c>
      <c r="D858" s="22">
        <v>44819</v>
      </c>
      <c r="E858" s="3">
        <v>0</v>
      </c>
      <c r="F858" s="3">
        <v>0</v>
      </c>
      <c r="G858" s="3">
        <v>0</v>
      </c>
      <c r="H858" s="3">
        <v>0</v>
      </c>
      <c r="I858" s="3">
        <v>0</v>
      </c>
      <c r="J858" s="3">
        <v>0</v>
      </c>
      <c r="K858" s="3">
        <v>0</v>
      </c>
      <c r="L858" s="3">
        <v>0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S858" s="3">
        <v>0.03</v>
      </c>
      <c r="T858" s="3">
        <v>0.03</v>
      </c>
      <c r="U858" s="3">
        <v>0.03</v>
      </c>
      <c r="V858" s="3">
        <v>0.03</v>
      </c>
      <c r="W858" s="3">
        <v>0.03</v>
      </c>
      <c r="X858" s="3">
        <v>0.03</v>
      </c>
      <c r="Y858" s="3">
        <v>0.03</v>
      </c>
      <c r="Z858" s="3">
        <v>0.03</v>
      </c>
      <c r="AA858" s="3">
        <v>0.03</v>
      </c>
      <c r="AB858" s="3">
        <v>0.03</v>
      </c>
      <c r="AC858" s="3">
        <v>0.03</v>
      </c>
      <c r="AD858" s="3">
        <v>0.03</v>
      </c>
      <c r="AE858" s="3">
        <v>0.03</v>
      </c>
      <c r="AF858" s="3">
        <v>0.03</v>
      </c>
      <c r="AG858" s="3">
        <v>0.03</v>
      </c>
      <c r="AH858" s="3">
        <v>0.03</v>
      </c>
      <c r="AI858" s="3">
        <v>0.03</v>
      </c>
      <c r="AJ858" s="3">
        <v>0.03</v>
      </c>
      <c r="AK858" s="3">
        <v>0.03</v>
      </c>
      <c r="AL858" s="3">
        <v>0.03</v>
      </c>
      <c r="AM858" s="3">
        <v>0.03</v>
      </c>
      <c r="AN858" s="3">
        <v>0.03</v>
      </c>
      <c r="AO858" s="3">
        <v>0.03</v>
      </c>
      <c r="AP858" s="3">
        <v>0.03</v>
      </c>
    </row>
    <row r="859" spans="1:42" hidden="1" x14ac:dyDescent="0.3">
      <c r="A859" s="5" t="s">
        <v>998</v>
      </c>
      <c r="B859" s="5" t="s">
        <v>14</v>
      </c>
      <c r="C859" s="22">
        <v>44791</v>
      </c>
      <c r="D859" s="22">
        <v>44805</v>
      </c>
      <c r="E859" s="3">
        <v>0</v>
      </c>
      <c r="F859" s="3">
        <v>0</v>
      </c>
      <c r="G859" s="3">
        <v>0</v>
      </c>
      <c r="H859" s="3">
        <v>0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v>0</v>
      </c>
      <c r="O859" s="3">
        <v>0</v>
      </c>
      <c r="P859" s="3">
        <v>0</v>
      </c>
      <c r="Q859" s="3">
        <v>0</v>
      </c>
      <c r="R859" s="3">
        <v>0.09</v>
      </c>
      <c r="S859" s="3">
        <v>0.09</v>
      </c>
      <c r="T859" s="3">
        <v>0.09</v>
      </c>
      <c r="U859" s="3">
        <v>0.09</v>
      </c>
      <c r="V859" s="3">
        <v>0.09</v>
      </c>
      <c r="W859" s="3">
        <v>0.09</v>
      </c>
      <c r="X859" s="3">
        <v>0.09</v>
      </c>
      <c r="Y859" s="3">
        <v>0.09</v>
      </c>
      <c r="Z859" s="3">
        <v>0.09</v>
      </c>
      <c r="AA859" s="3">
        <v>0.09</v>
      </c>
      <c r="AB859" s="3">
        <v>0.09</v>
      </c>
      <c r="AC859" s="3">
        <v>0.09</v>
      </c>
      <c r="AD859" s="3">
        <v>0.09</v>
      </c>
      <c r="AE859" s="3">
        <v>0.09</v>
      </c>
      <c r="AF859" s="3">
        <v>0.09</v>
      </c>
      <c r="AG859" s="3">
        <v>0.09</v>
      </c>
      <c r="AH859" s="3">
        <v>0.09</v>
      </c>
      <c r="AI859" s="3">
        <v>0.09</v>
      </c>
      <c r="AJ859" s="3">
        <v>0.09</v>
      </c>
      <c r="AK859" s="3">
        <v>0.09</v>
      </c>
      <c r="AL859" s="3">
        <v>0.09</v>
      </c>
      <c r="AM859" s="3">
        <v>0.09</v>
      </c>
      <c r="AN859" s="3">
        <v>0.09</v>
      </c>
      <c r="AO859" s="3">
        <v>0.09</v>
      </c>
      <c r="AP859" s="3">
        <v>0.09</v>
      </c>
    </row>
    <row r="860" spans="1:42" hidden="1" x14ac:dyDescent="0.3">
      <c r="A860" s="5" t="s">
        <v>999</v>
      </c>
      <c r="B860" s="5" t="s">
        <v>14</v>
      </c>
      <c r="C860" s="22">
        <v>44777</v>
      </c>
      <c r="D860" s="22">
        <v>44791</v>
      </c>
      <c r="E860" s="3">
        <v>0</v>
      </c>
      <c r="F860" s="3">
        <v>0</v>
      </c>
      <c r="G860" s="3">
        <v>0</v>
      </c>
      <c r="H860" s="3">
        <v>0</v>
      </c>
      <c r="I860" s="3">
        <v>0</v>
      </c>
      <c r="J860" s="3">
        <v>0</v>
      </c>
      <c r="K860" s="3">
        <v>0</v>
      </c>
      <c r="L860" s="3">
        <v>0</v>
      </c>
      <c r="M860" s="3">
        <v>0</v>
      </c>
      <c r="N860" s="3">
        <v>0</v>
      </c>
      <c r="O860" s="3">
        <v>0</v>
      </c>
      <c r="P860" s="3">
        <v>0</v>
      </c>
      <c r="Q860" s="3">
        <v>0</v>
      </c>
      <c r="R860" s="3">
        <v>0.09</v>
      </c>
      <c r="S860" s="3">
        <v>0.09</v>
      </c>
      <c r="T860" s="3">
        <v>0.09</v>
      </c>
      <c r="U860" s="3">
        <v>0.09</v>
      </c>
      <c r="V860" s="3">
        <v>0.09</v>
      </c>
      <c r="W860" s="3">
        <v>0.09</v>
      </c>
      <c r="X860" s="3">
        <v>0.09</v>
      </c>
      <c r="Y860" s="3">
        <v>0.09</v>
      </c>
      <c r="Z860" s="3">
        <v>0.09</v>
      </c>
      <c r="AA860" s="3">
        <v>0.09</v>
      </c>
      <c r="AB860" s="3">
        <v>0.09</v>
      </c>
      <c r="AC860" s="3">
        <v>0.09</v>
      </c>
      <c r="AD860" s="3">
        <v>0.09</v>
      </c>
      <c r="AE860" s="3">
        <v>0.09</v>
      </c>
      <c r="AF860" s="3">
        <v>0.09</v>
      </c>
      <c r="AG860" s="3">
        <v>0.09</v>
      </c>
      <c r="AH860" s="3">
        <v>0.09</v>
      </c>
      <c r="AI860" s="3">
        <v>0.09</v>
      </c>
      <c r="AJ860" s="3">
        <v>0.09</v>
      </c>
      <c r="AK860" s="3">
        <v>0.09</v>
      </c>
      <c r="AL860" s="3">
        <v>0.09</v>
      </c>
      <c r="AM860" s="3">
        <v>0.09</v>
      </c>
      <c r="AN860" s="3">
        <v>0.09</v>
      </c>
      <c r="AO860" s="3">
        <v>0.09</v>
      </c>
      <c r="AP860" s="3">
        <v>0.09</v>
      </c>
    </row>
    <row r="861" spans="1:42" hidden="1" x14ac:dyDescent="0.3">
      <c r="A861" s="5" t="s">
        <v>1000</v>
      </c>
      <c r="B861" s="5" t="s">
        <v>14</v>
      </c>
      <c r="C861" s="22">
        <v>44763</v>
      </c>
      <c r="D861" s="22">
        <v>44777</v>
      </c>
      <c r="E861" s="3">
        <v>0</v>
      </c>
      <c r="F861" s="3">
        <v>0</v>
      </c>
      <c r="G861" s="3">
        <v>0</v>
      </c>
      <c r="H861" s="3">
        <v>0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3">
        <v>0</v>
      </c>
      <c r="Q861" s="3">
        <v>0.06</v>
      </c>
      <c r="R861" s="3">
        <v>0.09</v>
      </c>
      <c r="S861" s="3">
        <v>0.09</v>
      </c>
      <c r="T861" s="3">
        <v>0.09</v>
      </c>
      <c r="U861" s="3">
        <v>0.09</v>
      </c>
      <c r="V861" s="3">
        <v>0.09</v>
      </c>
      <c r="W861" s="3">
        <v>0.09</v>
      </c>
      <c r="X861" s="3">
        <v>0.09</v>
      </c>
      <c r="Y861" s="3">
        <v>0.09</v>
      </c>
      <c r="Z861" s="3">
        <v>0.09</v>
      </c>
      <c r="AA861" s="3">
        <v>0.09</v>
      </c>
      <c r="AB861" s="3">
        <v>0.09</v>
      </c>
      <c r="AC861" s="3">
        <v>0.09</v>
      </c>
      <c r="AD861" s="3">
        <v>0.09</v>
      </c>
      <c r="AE861" s="3">
        <v>0.09</v>
      </c>
      <c r="AF861" s="3">
        <v>0.09</v>
      </c>
      <c r="AG861" s="3">
        <v>0.09</v>
      </c>
      <c r="AH861" s="3">
        <v>0.09</v>
      </c>
      <c r="AI861" s="3">
        <v>0.09</v>
      </c>
      <c r="AJ861" s="3">
        <v>0.09</v>
      </c>
      <c r="AK861" s="3">
        <v>0.09</v>
      </c>
      <c r="AL861" s="3">
        <v>0.09</v>
      </c>
      <c r="AM861" s="3">
        <v>0.09</v>
      </c>
      <c r="AN861" s="3">
        <v>0.09</v>
      </c>
      <c r="AO861" s="3">
        <v>0.09</v>
      </c>
      <c r="AP861" s="3">
        <v>0.09</v>
      </c>
    </row>
    <row r="862" spans="1:42" hidden="1" x14ac:dyDescent="0.3">
      <c r="A862" s="4" t="s">
        <v>1001</v>
      </c>
      <c r="B862" s="4" t="s">
        <v>120</v>
      </c>
      <c r="C862" s="21">
        <v>44876</v>
      </c>
      <c r="D862" s="21">
        <v>44880</v>
      </c>
      <c r="E862" s="2">
        <v>0</v>
      </c>
      <c r="F862" s="2">
        <v>0</v>
      </c>
      <c r="G862" s="2">
        <v>0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0.02</v>
      </c>
      <c r="V862" s="2">
        <v>0.02</v>
      </c>
      <c r="W862" s="2">
        <v>0.02</v>
      </c>
      <c r="X862" s="2">
        <v>0.02</v>
      </c>
      <c r="Y862" s="2">
        <v>0.02</v>
      </c>
      <c r="Z862" s="2">
        <v>0.02</v>
      </c>
      <c r="AA862" s="2">
        <v>0.02</v>
      </c>
      <c r="AB862" s="2">
        <v>0.02</v>
      </c>
      <c r="AC862" s="2">
        <v>0.02</v>
      </c>
      <c r="AD862" s="2">
        <v>0.02</v>
      </c>
      <c r="AE862" s="2">
        <v>0.02</v>
      </c>
      <c r="AF862" s="2">
        <v>0.02</v>
      </c>
      <c r="AG862" s="2">
        <v>0.02</v>
      </c>
      <c r="AH862" s="2">
        <v>0.02</v>
      </c>
      <c r="AI862" s="2">
        <v>0.02</v>
      </c>
      <c r="AJ862" s="2">
        <v>0.02</v>
      </c>
      <c r="AK862" s="2">
        <v>0.02</v>
      </c>
      <c r="AL862" s="2">
        <v>0.02</v>
      </c>
      <c r="AM862" s="2">
        <v>0.02</v>
      </c>
      <c r="AN862" s="2">
        <v>0.02</v>
      </c>
      <c r="AO862" s="2">
        <v>0.02</v>
      </c>
      <c r="AP862" s="2">
        <v>0.02</v>
      </c>
    </row>
    <row r="863" spans="1:42" hidden="1" x14ac:dyDescent="0.3">
      <c r="A863" s="5" t="s">
        <v>1002</v>
      </c>
      <c r="B863" s="5" t="s">
        <v>31</v>
      </c>
      <c r="C863" s="22">
        <v>44876</v>
      </c>
      <c r="D863" s="22">
        <v>44880</v>
      </c>
      <c r="E863" s="3">
        <v>0</v>
      </c>
      <c r="F863" s="3">
        <v>0</v>
      </c>
      <c r="G863" s="3">
        <v>0</v>
      </c>
      <c r="H863" s="3">
        <v>0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v>0</v>
      </c>
      <c r="O863" s="3">
        <v>0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3">
        <v>0.02</v>
      </c>
      <c r="V863" s="3">
        <v>0.02</v>
      </c>
      <c r="W863" s="3">
        <v>0.02</v>
      </c>
      <c r="X863" s="3">
        <v>0.02</v>
      </c>
      <c r="Y863" s="3">
        <v>0.02</v>
      </c>
      <c r="Z863" s="3">
        <v>0.02</v>
      </c>
      <c r="AA863" s="3">
        <v>0.02</v>
      </c>
      <c r="AB863" s="3">
        <v>0.02</v>
      </c>
      <c r="AC863" s="3">
        <v>0.02</v>
      </c>
      <c r="AD863" s="3">
        <v>0.02</v>
      </c>
      <c r="AE863" s="3">
        <v>0.02</v>
      </c>
      <c r="AF863" s="3">
        <v>0.02</v>
      </c>
      <c r="AG863" s="3">
        <v>0.02</v>
      </c>
      <c r="AH863" s="3">
        <v>0.02</v>
      </c>
      <c r="AI863" s="3">
        <v>0.02</v>
      </c>
      <c r="AJ863" s="3">
        <v>0.02</v>
      </c>
      <c r="AK863" s="3">
        <v>0.02</v>
      </c>
      <c r="AL863" s="3">
        <v>0.02</v>
      </c>
      <c r="AM863" s="3">
        <v>0.02</v>
      </c>
      <c r="AN863" s="3">
        <v>0.02</v>
      </c>
      <c r="AO863" s="3">
        <v>0.02</v>
      </c>
      <c r="AP863" s="3">
        <v>0.02</v>
      </c>
    </row>
    <row r="864" spans="1:42" hidden="1" x14ac:dyDescent="0.3">
      <c r="A864" s="5" t="s">
        <v>1003</v>
      </c>
      <c r="B864" s="5" t="s">
        <v>9</v>
      </c>
      <c r="C864" s="22">
        <v>44908</v>
      </c>
      <c r="D864" s="22">
        <v>44914</v>
      </c>
      <c r="E864" s="3">
        <v>0</v>
      </c>
      <c r="F864" s="3">
        <v>0</v>
      </c>
      <c r="G864" s="3">
        <v>0</v>
      </c>
      <c r="H864" s="3">
        <v>0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3">
        <v>0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0.02</v>
      </c>
      <c r="W864" s="3">
        <v>0.02</v>
      </c>
      <c r="X864" s="3">
        <v>0.02</v>
      </c>
      <c r="Y864" s="3">
        <v>0.02</v>
      </c>
      <c r="Z864" s="3">
        <v>0.02</v>
      </c>
      <c r="AA864" s="3">
        <v>0.02</v>
      </c>
      <c r="AB864" s="3">
        <v>0.02</v>
      </c>
      <c r="AC864" s="3">
        <v>0.02</v>
      </c>
      <c r="AD864" s="3">
        <v>0.02</v>
      </c>
      <c r="AE864" s="3">
        <v>0.02</v>
      </c>
      <c r="AF864" s="3">
        <v>0.02</v>
      </c>
      <c r="AG864" s="3">
        <v>0.02</v>
      </c>
      <c r="AH864" s="3">
        <v>0.02</v>
      </c>
      <c r="AI864" s="3">
        <v>0.02</v>
      </c>
      <c r="AJ864" s="3">
        <v>0.02</v>
      </c>
      <c r="AK864" s="3">
        <v>0.02</v>
      </c>
      <c r="AL864" s="3">
        <v>0.02</v>
      </c>
      <c r="AM864" s="3">
        <v>0.02</v>
      </c>
      <c r="AN864" s="3">
        <v>0.02</v>
      </c>
      <c r="AO864" s="3">
        <v>0.02</v>
      </c>
      <c r="AP864" s="3">
        <v>0.02</v>
      </c>
    </row>
    <row r="865" spans="1:42" hidden="1" x14ac:dyDescent="0.3">
      <c r="A865" s="15" t="s">
        <v>1004</v>
      </c>
      <c r="B865" s="15" t="s">
        <v>6</v>
      </c>
      <c r="C865" s="20">
        <v>45013</v>
      </c>
      <c r="D865" s="20">
        <v>45187</v>
      </c>
      <c r="E865" s="8">
        <v>0</v>
      </c>
      <c r="F865" s="8">
        <v>0</v>
      </c>
      <c r="G865" s="8">
        <v>0</v>
      </c>
      <c r="H865" s="8">
        <v>0</v>
      </c>
      <c r="I865" s="8">
        <v>0</v>
      </c>
      <c r="J865" s="8">
        <v>0</v>
      </c>
      <c r="K865" s="8">
        <v>0</v>
      </c>
      <c r="L865" s="8">
        <v>0</v>
      </c>
      <c r="M865" s="8">
        <v>0</v>
      </c>
      <c r="N865" s="8">
        <v>0</v>
      </c>
      <c r="O865" s="8">
        <v>0</v>
      </c>
      <c r="P865" s="8">
        <v>0</v>
      </c>
      <c r="Q865" s="8">
        <v>0</v>
      </c>
      <c r="R865" s="8">
        <v>0</v>
      </c>
      <c r="S865" s="8">
        <v>0</v>
      </c>
      <c r="T865" s="8">
        <v>0</v>
      </c>
      <c r="U865" s="8">
        <v>0</v>
      </c>
      <c r="V865" s="8">
        <v>0</v>
      </c>
      <c r="W865" s="8">
        <v>0</v>
      </c>
      <c r="X865" s="8">
        <v>0</v>
      </c>
      <c r="Y865" s="8">
        <v>0.03</v>
      </c>
      <c r="Z865" s="8">
        <v>0.22</v>
      </c>
      <c r="AA865" s="8">
        <v>0.45</v>
      </c>
      <c r="AB865" s="8">
        <v>0.66</v>
      </c>
      <c r="AC865" s="8">
        <v>2.12</v>
      </c>
      <c r="AD865" s="8">
        <v>2.2999999999999998</v>
      </c>
      <c r="AE865" s="8">
        <v>2.3199999999999998</v>
      </c>
      <c r="AF865" s="8">
        <v>2.3199999999999998</v>
      </c>
      <c r="AG865" s="8">
        <v>2.3199999999999998</v>
      </c>
      <c r="AH865" s="8">
        <v>2.3199999999999998</v>
      </c>
      <c r="AI865" s="8">
        <v>2.3199999999999998</v>
      </c>
      <c r="AJ865" s="8">
        <v>2.3199999999999998</v>
      </c>
      <c r="AK865" s="8">
        <v>2.3199999999999998</v>
      </c>
      <c r="AL865" s="8">
        <v>2.3199999999999998</v>
      </c>
      <c r="AM865" s="8">
        <v>2.3199999999999998</v>
      </c>
      <c r="AN865" s="8">
        <v>2.3199999999999998</v>
      </c>
      <c r="AO865" s="8">
        <v>2.3199999999999998</v>
      </c>
      <c r="AP865" s="8">
        <v>2.3199999999999998</v>
      </c>
    </row>
    <row r="866" spans="1:42" hidden="1" x14ac:dyDescent="0.3">
      <c r="A866" s="5" t="s">
        <v>1005</v>
      </c>
      <c r="B866" s="5" t="s">
        <v>17</v>
      </c>
      <c r="C866" s="22">
        <v>45113</v>
      </c>
      <c r="D866" s="22">
        <v>45133</v>
      </c>
      <c r="E866" s="3">
        <v>0</v>
      </c>
      <c r="F866" s="3">
        <v>0</v>
      </c>
      <c r="G866" s="3">
        <v>0</v>
      </c>
      <c r="H866" s="3">
        <v>0</v>
      </c>
      <c r="I866" s="3">
        <v>0</v>
      </c>
      <c r="J866" s="3">
        <v>0</v>
      </c>
      <c r="K866" s="3">
        <v>0</v>
      </c>
      <c r="L866" s="3">
        <v>0</v>
      </c>
      <c r="M866" s="3">
        <v>0</v>
      </c>
      <c r="N866" s="3">
        <v>0</v>
      </c>
      <c r="O866" s="3">
        <v>0</v>
      </c>
      <c r="P866" s="3">
        <v>0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3">
        <v>0</v>
      </c>
      <c r="AC866" s="3">
        <v>1.1499999999999999</v>
      </c>
      <c r="AD866" s="3">
        <v>1.1499999999999999</v>
      </c>
      <c r="AE866" s="3">
        <v>1.1499999999999999</v>
      </c>
      <c r="AF866" s="3">
        <v>1.1499999999999999</v>
      </c>
      <c r="AG866" s="3">
        <v>1.1499999999999999</v>
      </c>
      <c r="AH866" s="3">
        <v>1.1499999999999999</v>
      </c>
      <c r="AI866" s="3">
        <v>1.1499999999999999</v>
      </c>
      <c r="AJ866" s="3">
        <v>1.1499999999999999</v>
      </c>
      <c r="AK866" s="3">
        <v>1.1499999999999999</v>
      </c>
      <c r="AL866" s="3">
        <v>1.1499999999999999</v>
      </c>
      <c r="AM866" s="3">
        <v>1.1499999999999999</v>
      </c>
      <c r="AN866" s="3">
        <v>1.1499999999999999</v>
      </c>
      <c r="AO866" s="3">
        <v>1.1499999999999999</v>
      </c>
      <c r="AP866" s="3">
        <v>1.1499999999999999</v>
      </c>
    </row>
    <row r="867" spans="1:42" hidden="1" x14ac:dyDescent="0.3">
      <c r="A867" s="5" t="s">
        <v>1006</v>
      </c>
      <c r="B867" s="5" t="s">
        <v>17</v>
      </c>
      <c r="C867" s="22">
        <v>45096</v>
      </c>
      <c r="D867" s="22">
        <v>45113</v>
      </c>
      <c r="E867" s="3">
        <v>0</v>
      </c>
      <c r="F867" s="3">
        <v>0</v>
      </c>
      <c r="G867" s="3">
        <v>0</v>
      </c>
      <c r="H867" s="3">
        <v>0</v>
      </c>
      <c r="I867" s="3">
        <v>0</v>
      </c>
      <c r="J867" s="3">
        <v>0</v>
      </c>
      <c r="K867" s="3">
        <v>0</v>
      </c>
      <c r="L867" s="3">
        <v>0</v>
      </c>
      <c r="M867" s="3">
        <v>0</v>
      </c>
      <c r="N867" s="3">
        <v>0</v>
      </c>
      <c r="O867" s="3">
        <v>0</v>
      </c>
      <c r="P867" s="3">
        <v>0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3">
        <v>0.1</v>
      </c>
      <c r="AC867" s="3">
        <v>0.14000000000000001</v>
      </c>
      <c r="AD867" s="3">
        <v>0.14000000000000001</v>
      </c>
      <c r="AE867" s="3">
        <v>0.14000000000000001</v>
      </c>
      <c r="AF867" s="3">
        <v>0.14000000000000001</v>
      </c>
      <c r="AG867" s="3">
        <v>0.14000000000000001</v>
      </c>
      <c r="AH867" s="3">
        <v>0.14000000000000001</v>
      </c>
      <c r="AI867" s="3">
        <v>0.14000000000000001</v>
      </c>
      <c r="AJ867" s="3">
        <v>0.14000000000000001</v>
      </c>
      <c r="AK867" s="3">
        <v>0.14000000000000001</v>
      </c>
      <c r="AL867" s="3">
        <v>0.14000000000000001</v>
      </c>
      <c r="AM867" s="3">
        <v>0.14000000000000001</v>
      </c>
      <c r="AN867" s="3">
        <v>0.14000000000000001</v>
      </c>
      <c r="AO867" s="3">
        <v>0.14000000000000001</v>
      </c>
      <c r="AP867" s="3">
        <v>0.14000000000000001</v>
      </c>
    </row>
    <row r="868" spans="1:42" hidden="1" x14ac:dyDescent="0.3">
      <c r="A868" s="5" t="s">
        <v>1007</v>
      </c>
      <c r="B868" s="5" t="s">
        <v>17</v>
      </c>
      <c r="C868" s="22">
        <v>45075</v>
      </c>
      <c r="D868" s="22">
        <v>45096</v>
      </c>
      <c r="E868" s="3">
        <v>0</v>
      </c>
      <c r="F868" s="3">
        <v>0</v>
      </c>
      <c r="G868" s="3">
        <v>0</v>
      </c>
      <c r="H868" s="3">
        <v>0</v>
      </c>
      <c r="I868" s="3">
        <v>0</v>
      </c>
      <c r="J868" s="3">
        <v>0</v>
      </c>
      <c r="K868" s="3">
        <v>0</v>
      </c>
      <c r="L868" s="3">
        <v>0</v>
      </c>
      <c r="M868" s="3">
        <v>0</v>
      </c>
      <c r="N868" s="3">
        <v>0</v>
      </c>
      <c r="O868" s="3">
        <v>0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0.03</v>
      </c>
      <c r="AB868" s="3">
        <v>0.14000000000000001</v>
      </c>
      <c r="AC868" s="3">
        <v>0.14000000000000001</v>
      </c>
      <c r="AD868" s="3">
        <v>0.14000000000000001</v>
      </c>
      <c r="AE868" s="3">
        <v>0.14000000000000001</v>
      </c>
      <c r="AF868" s="3">
        <v>0.14000000000000001</v>
      </c>
      <c r="AG868" s="3">
        <v>0.14000000000000001</v>
      </c>
      <c r="AH868" s="3">
        <v>0.14000000000000001</v>
      </c>
      <c r="AI868" s="3">
        <v>0.14000000000000001</v>
      </c>
      <c r="AJ868" s="3">
        <v>0.14000000000000001</v>
      </c>
      <c r="AK868" s="3">
        <v>0.14000000000000001</v>
      </c>
      <c r="AL868" s="3">
        <v>0.14000000000000001</v>
      </c>
      <c r="AM868" s="3">
        <v>0.14000000000000001</v>
      </c>
      <c r="AN868" s="3">
        <v>0.14000000000000001</v>
      </c>
      <c r="AO868" s="3">
        <v>0.14000000000000001</v>
      </c>
      <c r="AP868" s="3">
        <v>0.14000000000000001</v>
      </c>
    </row>
    <row r="869" spans="1:42" hidden="1" x14ac:dyDescent="0.3">
      <c r="A869" s="5" t="s">
        <v>1008</v>
      </c>
      <c r="B869" s="5" t="s">
        <v>17</v>
      </c>
      <c r="C869" s="22">
        <v>45056</v>
      </c>
      <c r="D869" s="22">
        <v>45075</v>
      </c>
      <c r="E869" s="3">
        <v>0</v>
      </c>
      <c r="F869" s="3">
        <v>0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0.14000000000000001</v>
      </c>
      <c r="AB869" s="3">
        <v>0.14000000000000001</v>
      </c>
      <c r="AC869" s="3">
        <v>0.14000000000000001</v>
      </c>
      <c r="AD869" s="3">
        <v>0.14000000000000001</v>
      </c>
      <c r="AE869" s="3">
        <v>0.14000000000000001</v>
      </c>
      <c r="AF869" s="3">
        <v>0.14000000000000001</v>
      </c>
      <c r="AG869" s="3">
        <v>0.14000000000000001</v>
      </c>
      <c r="AH869" s="3">
        <v>0.14000000000000001</v>
      </c>
      <c r="AI869" s="3">
        <v>0.14000000000000001</v>
      </c>
      <c r="AJ869" s="3">
        <v>0.14000000000000001</v>
      </c>
      <c r="AK869" s="3">
        <v>0.14000000000000001</v>
      </c>
      <c r="AL869" s="3">
        <v>0.14000000000000001</v>
      </c>
      <c r="AM869" s="3">
        <v>0.14000000000000001</v>
      </c>
      <c r="AN869" s="3">
        <v>0.14000000000000001</v>
      </c>
      <c r="AO869" s="3">
        <v>0.14000000000000001</v>
      </c>
      <c r="AP869" s="3">
        <v>0.14000000000000001</v>
      </c>
    </row>
    <row r="870" spans="1:42" hidden="1" x14ac:dyDescent="0.3">
      <c r="A870" s="5" t="s">
        <v>1009</v>
      </c>
      <c r="B870" s="5" t="s">
        <v>17</v>
      </c>
      <c r="C870" s="22">
        <v>45034</v>
      </c>
      <c r="D870" s="22">
        <v>45055</v>
      </c>
      <c r="E870" s="3">
        <v>0</v>
      </c>
      <c r="F870" s="3">
        <v>0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0.08</v>
      </c>
      <c r="AA870" s="3">
        <v>0.14000000000000001</v>
      </c>
      <c r="AB870" s="3">
        <v>0.14000000000000001</v>
      </c>
      <c r="AC870" s="3">
        <v>0.14000000000000001</v>
      </c>
      <c r="AD870" s="3">
        <v>0.14000000000000001</v>
      </c>
      <c r="AE870" s="3">
        <v>0.14000000000000001</v>
      </c>
      <c r="AF870" s="3">
        <v>0.14000000000000001</v>
      </c>
      <c r="AG870" s="3">
        <v>0.14000000000000001</v>
      </c>
      <c r="AH870" s="3">
        <v>0.14000000000000001</v>
      </c>
      <c r="AI870" s="3">
        <v>0.14000000000000001</v>
      </c>
      <c r="AJ870" s="3">
        <v>0.14000000000000001</v>
      </c>
      <c r="AK870" s="3">
        <v>0.14000000000000001</v>
      </c>
      <c r="AL870" s="3">
        <v>0.14000000000000001</v>
      </c>
      <c r="AM870" s="3">
        <v>0.14000000000000001</v>
      </c>
      <c r="AN870" s="3">
        <v>0.14000000000000001</v>
      </c>
      <c r="AO870" s="3">
        <v>0.14000000000000001</v>
      </c>
      <c r="AP870" s="3">
        <v>0.14000000000000001</v>
      </c>
    </row>
    <row r="871" spans="1:42" hidden="1" x14ac:dyDescent="0.3">
      <c r="A871" s="5" t="s">
        <v>1010</v>
      </c>
      <c r="B871" s="5" t="s">
        <v>17</v>
      </c>
      <c r="C871" s="22">
        <v>45013</v>
      </c>
      <c r="D871" s="22">
        <v>45034</v>
      </c>
      <c r="E871" s="3">
        <v>0</v>
      </c>
      <c r="F871" s="3">
        <v>0</v>
      </c>
      <c r="G871" s="3">
        <v>0</v>
      </c>
      <c r="H871" s="3">
        <v>0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0.03</v>
      </c>
      <c r="Z871" s="3">
        <v>0.14000000000000001</v>
      </c>
      <c r="AA871" s="3">
        <v>0.14000000000000001</v>
      </c>
      <c r="AB871" s="3">
        <v>0.14000000000000001</v>
      </c>
      <c r="AC871" s="3">
        <v>0.14000000000000001</v>
      </c>
      <c r="AD871" s="3">
        <v>0.14000000000000001</v>
      </c>
      <c r="AE871" s="3">
        <v>0.14000000000000001</v>
      </c>
      <c r="AF871" s="3">
        <v>0.14000000000000001</v>
      </c>
      <c r="AG871" s="3">
        <v>0.14000000000000001</v>
      </c>
      <c r="AH871" s="3">
        <v>0.14000000000000001</v>
      </c>
      <c r="AI871" s="3">
        <v>0.14000000000000001</v>
      </c>
      <c r="AJ871" s="3">
        <v>0.14000000000000001</v>
      </c>
      <c r="AK871" s="3">
        <v>0.14000000000000001</v>
      </c>
      <c r="AL871" s="3">
        <v>0.14000000000000001</v>
      </c>
      <c r="AM871" s="3">
        <v>0.14000000000000001</v>
      </c>
      <c r="AN871" s="3">
        <v>0.14000000000000001</v>
      </c>
      <c r="AO871" s="3">
        <v>0.14000000000000001</v>
      </c>
      <c r="AP871" s="3">
        <v>0.14000000000000001</v>
      </c>
    </row>
    <row r="872" spans="1:42" hidden="1" x14ac:dyDescent="0.3">
      <c r="A872" s="4" t="s">
        <v>1011</v>
      </c>
      <c r="B872" s="4" t="s">
        <v>121</v>
      </c>
      <c r="C872" s="21">
        <v>45128</v>
      </c>
      <c r="D872" s="21">
        <v>45162</v>
      </c>
      <c r="E872" s="2">
        <v>0</v>
      </c>
      <c r="F872" s="2">
        <v>0</v>
      </c>
      <c r="G872" s="2">
        <v>0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0.27</v>
      </c>
      <c r="AD872" s="2">
        <v>0.44</v>
      </c>
      <c r="AE872" s="2">
        <v>0.44</v>
      </c>
      <c r="AF872" s="2">
        <v>0.44</v>
      </c>
      <c r="AG872" s="2">
        <v>0.44</v>
      </c>
      <c r="AH872" s="2">
        <v>0.44</v>
      </c>
      <c r="AI872" s="2">
        <v>0.44</v>
      </c>
      <c r="AJ872" s="2">
        <v>0.44</v>
      </c>
      <c r="AK872" s="2">
        <v>0.44</v>
      </c>
      <c r="AL872" s="2">
        <v>0.44</v>
      </c>
      <c r="AM872" s="2">
        <v>0.44</v>
      </c>
      <c r="AN872" s="2">
        <v>0.44</v>
      </c>
      <c r="AO872" s="2">
        <v>0.44</v>
      </c>
      <c r="AP872" s="2">
        <v>0.44</v>
      </c>
    </row>
    <row r="873" spans="1:42" hidden="1" x14ac:dyDescent="0.3">
      <c r="A873" s="5" t="s">
        <v>1012</v>
      </c>
      <c r="B873" s="5" t="s">
        <v>9</v>
      </c>
      <c r="C873" s="22">
        <v>45128</v>
      </c>
      <c r="D873" s="22">
        <v>45134</v>
      </c>
      <c r="E873" s="3">
        <v>0</v>
      </c>
      <c r="F873" s="3">
        <v>0</v>
      </c>
      <c r="G873" s="3">
        <v>0</v>
      </c>
      <c r="H873" s="3">
        <v>0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B873" s="3">
        <v>0</v>
      </c>
      <c r="AC873" s="3">
        <v>0.23</v>
      </c>
      <c r="AD873" s="3">
        <v>0.23</v>
      </c>
      <c r="AE873" s="3">
        <v>0.23</v>
      </c>
      <c r="AF873" s="3">
        <v>0.23</v>
      </c>
      <c r="AG873" s="3">
        <v>0.23</v>
      </c>
      <c r="AH873" s="3">
        <v>0.23</v>
      </c>
      <c r="AI873" s="3">
        <v>0.23</v>
      </c>
      <c r="AJ873" s="3">
        <v>0.23</v>
      </c>
      <c r="AK873" s="3">
        <v>0.23</v>
      </c>
      <c r="AL873" s="3">
        <v>0.23</v>
      </c>
      <c r="AM873" s="3">
        <v>0.23</v>
      </c>
      <c r="AN873" s="3">
        <v>0.23</v>
      </c>
      <c r="AO873" s="3">
        <v>0.23</v>
      </c>
      <c r="AP873" s="3">
        <v>0.23</v>
      </c>
    </row>
    <row r="874" spans="1:42" hidden="1" x14ac:dyDescent="0.3">
      <c r="A874" s="5" t="s">
        <v>1013</v>
      </c>
      <c r="B874" s="5" t="s">
        <v>9</v>
      </c>
      <c r="C874" s="22">
        <v>45156</v>
      </c>
      <c r="D874" s="22">
        <v>45162</v>
      </c>
      <c r="E874" s="3">
        <v>0</v>
      </c>
      <c r="F874" s="3">
        <v>0</v>
      </c>
      <c r="G874" s="3">
        <v>0</v>
      </c>
      <c r="H874" s="3">
        <v>0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  <c r="AB874" s="3">
        <v>0</v>
      </c>
      <c r="AC874" s="3">
        <v>0</v>
      </c>
      <c r="AD874" s="3">
        <v>0.05</v>
      </c>
      <c r="AE874" s="3">
        <v>0.05</v>
      </c>
      <c r="AF874" s="3">
        <v>0.05</v>
      </c>
      <c r="AG874" s="3">
        <v>0.05</v>
      </c>
      <c r="AH874" s="3">
        <v>0.05</v>
      </c>
      <c r="AI874" s="3">
        <v>0.05</v>
      </c>
      <c r="AJ874" s="3">
        <v>0.05</v>
      </c>
      <c r="AK874" s="3">
        <v>0.05</v>
      </c>
      <c r="AL874" s="3">
        <v>0.05</v>
      </c>
      <c r="AM874" s="3">
        <v>0.05</v>
      </c>
      <c r="AN874" s="3">
        <v>0.05</v>
      </c>
      <c r="AO874" s="3">
        <v>0.05</v>
      </c>
      <c r="AP874" s="3">
        <v>0.05</v>
      </c>
    </row>
    <row r="875" spans="1:42" hidden="1" x14ac:dyDescent="0.3">
      <c r="A875" s="5" t="s">
        <v>1014</v>
      </c>
      <c r="B875" s="5" t="s">
        <v>12</v>
      </c>
      <c r="C875" s="22">
        <v>45135</v>
      </c>
      <c r="D875" s="22">
        <v>45139</v>
      </c>
      <c r="E875" s="3">
        <v>0</v>
      </c>
      <c r="F875" s="3">
        <v>0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>
        <v>0</v>
      </c>
      <c r="P875" s="3">
        <v>0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3">
        <v>0</v>
      </c>
      <c r="AC875" s="3">
        <v>0.03</v>
      </c>
      <c r="AD875" s="3">
        <v>0.05</v>
      </c>
      <c r="AE875" s="3">
        <v>0.05</v>
      </c>
      <c r="AF875" s="3">
        <v>0.05</v>
      </c>
      <c r="AG875" s="3">
        <v>0.05</v>
      </c>
      <c r="AH875" s="3">
        <v>0.05</v>
      </c>
      <c r="AI875" s="3">
        <v>0.05</v>
      </c>
      <c r="AJ875" s="3">
        <v>0.05</v>
      </c>
      <c r="AK875" s="3">
        <v>0.05</v>
      </c>
      <c r="AL875" s="3">
        <v>0.05</v>
      </c>
      <c r="AM875" s="3">
        <v>0.05</v>
      </c>
      <c r="AN875" s="3">
        <v>0.05</v>
      </c>
      <c r="AO875" s="3">
        <v>0.05</v>
      </c>
      <c r="AP875" s="3">
        <v>0.05</v>
      </c>
    </row>
    <row r="876" spans="1:42" hidden="1" x14ac:dyDescent="0.3">
      <c r="A876" s="5" t="s">
        <v>1015</v>
      </c>
      <c r="B876" s="5" t="s">
        <v>12</v>
      </c>
      <c r="C876" s="22">
        <v>45139</v>
      </c>
      <c r="D876" s="22">
        <v>45142</v>
      </c>
      <c r="E876" s="3">
        <v>0</v>
      </c>
      <c r="F876" s="3">
        <v>0</v>
      </c>
      <c r="G876" s="3">
        <v>0</v>
      </c>
      <c r="H876" s="3">
        <v>0</v>
      </c>
      <c r="I876" s="3">
        <v>0</v>
      </c>
      <c r="J876" s="3">
        <v>0</v>
      </c>
      <c r="K876" s="3">
        <v>0</v>
      </c>
      <c r="L876" s="3">
        <v>0</v>
      </c>
      <c r="M876" s="3">
        <v>0</v>
      </c>
      <c r="N876" s="3">
        <v>0</v>
      </c>
      <c r="O876" s="3">
        <v>0</v>
      </c>
      <c r="P876" s="3">
        <v>0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3">
        <v>0</v>
      </c>
      <c r="AC876" s="3">
        <v>0</v>
      </c>
      <c r="AD876" s="3">
        <v>0.03</v>
      </c>
      <c r="AE876" s="3">
        <v>0.03</v>
      </c>
      <c r="AF876" s="3">
        <v>0.03</v>
      </c>
      <c r="AG876" s="3">
        <v>0.03</v>
      </c>
      <c r="AH876" s="3">
        <v>0.03</v>
      </c>
      <c r="AI876" s="3">
        <v>0.03</v>
      </c>
      <c r="AJ876" s="3">
        <v>0.03</v>
      </c>
      <c r="AK876" s="3">
        <v>0.03</v>
      </c>
      <c r="AL876" s="3">
        <v>0.03</v>
      </c>
      <c r="AM876" s="3">
        <v>0.03</v>
      </c>
      <c r="AN876" s="3">
        <v>0.03</v>
      </c>
      <c r="AO876" s="3">
        <v>0.03</v>
      </c>
      <c r="AP876" s="3">
        <v>0.03</v>
      </c>
    </row>
    <row r="877" spans="1:42" hidden="1" x14ac:dyDescent="0.3">
      <c r="A877" s="5" t="s">
        <v>1016</v>
      </c>
      <c r="B877" s="5" t="s">
        <v>12</v>
      </c>
      <c r="C877" s="22">
        <v>45142</v>
      </c>
      <c r="D877" s="22">
        <v>45147</v>
      </c>
      <c r="E877" s="3">
        <v>0</v>
      </c>
      <c r="F877" s="3">
        <v>0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>
        <v>0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3">
        <v>0</v>
      </c>
      <c r="AC877" s="3">
        <v>0</v>
      </c>
      <c r="AD877" s="3">
        <v>0.03</v>
      </c>
      <c r="AE877" s="3">
        <v>0.03</v>
      </c>
      <c r="AF877" s="3">
        <v>0.03</v>
      </c>
      <c r="AG877" s="3">
        <v>0.03</v>
      </c>
      <c r="AH877" s="3">
        <v>0.03</v>
      </c>
      <c r="AI877" s="3">
        <v>0.03</v>
      </c>
      <c r="AJ877" s="3">
        <v>0.03</v>
      </c>
      <c r="AK877" s="3">
        <v>0.03</v>
      </c>
      <c r="AL877" s="3">
        <v>0.03</v>
      </c>
      <c r="AM877" s="3">
        <v>0.03</v>
      </c>
      <c r="AN877" s="3">
        <v>0.03</v>
      </c>
      <c r="AO877" s="3">
        <v>0.03</v>
      </c>
      <c r="AP877" s="3">
        <v>0.03</v>
      </c>
    </row>
    <row r="878" spans="1:42" hidden="1" x14ac:dyDescent="0.3">
      <c r="A878" s="5" t="s">
        <v>1017</v>
      </c>
      <c r="B878" s="5" t="s">
        <v>12</v>
      </c>
      <c r="C878" s="22">
        <v>45147</v>
      </c>
      <c r="D878" s="22">
        <v>45149</v>
      </c>
      <c r="E878" s="3">
        <v>0</v>
      </c>
      <c r="F878" s="3">
        <v>0</v>
      </c>
      <c r="G878" s="3">
        <v>0</v>
      </c>
      <c r="H878" s="3">
        <v>0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>
        <v>0</v>
      </c>
      <c r="P878" s="3">
        <v>0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3">
        <v>0</v>
      </c>
      <c r="AC878" s="3">
        <v>0</v>
      </c>
      <c r="AD878" s="3">
        <v>0.03</v>
      </c>
      <c r="AE878" s="3">
        <v>0.03</v>
      </c>
      <c r="AF878" s="3">
        <v>0.03</v>
      </c>
      <c r="AG878" s="3">
        <v>0.03</v>
      </c>
      <c r="AH878" s="3">
        <v>0.03</v>
      </c>
      <c r="AI878" s="3">
        <v>0.03</v>
      </c>
      <c r="AJ878" s="3">
        <v>0.03</v>
      </c>
      <c r="AK878" s="3">
        <v>0.03</v>
      </c>
      <c r="AL878" s="3">
        <v>0.03</v>
      </c>
      <c r="AM878" s="3">
        <v>0.03</v>
      </c>
      <c r="AN878" s="3">
        <v>0.03</v>
      </c>
      <c r="AO878" s="3">
        <v>0.03</v>
      </c>
      <c r="AP878" s="3">
        <v>0.03</v>
      </c>
    </row>
    <row r="879" spans="1:42" hidden="1" x14ac:dyDescent="0.3">
      <c r="A879" s="5" t="s">
        <v>1018</v>
      </c>
      <c r="B879" s="5" t="s">
        <v>12</v>
      </c>
      <c r="C879" s="22">
        <v>45152</v>
      </c>
      <c r="D879" s="22">
        <v>45154</v>
      </c>
      <c r="E879" s="3">
        <v>0</v>
      </c>
      <c r="F879" s="3">
        <v>0</v>
      </c>
      <c r="G879" s="3">
        <v>0</v>
      </c>
      <c r="H879" s="3">
        <v>0</v>
      </c>
      <c r="I879" s="3">
        <v>0</v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  <c r="O879" s="3">
        <v>0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3">
        <v>0</v>
      </c>
      <c r="AC879" s="3">
        <v>0</v>
      </c>
      <c r="AD879" s="3">
        <v>0.03</v>
      </c>
      <c r="AE879" s="3">
        <v>0.03</v>
      </c>
      <c r="AF879" s="3">
        <v>0.03</v>
      </c>
      <c r="AG879" s="3">
        <v>0.03</v>
      </c>
      <c r="AH879" s="3">
        <v>0.03</v>
      </c>
      <c r="AI879" s="3">
        <v>0.03</v>
      </c>
      <c r="AJ879" s="3">
        <v>0.03</v>
      </c>
      <c r="AK879" s="3">
        <v>0.03</v>
      </c>
      <c r="AL879" s="3">
        <v>0.03</v>
      </c>
      <c r="AM879" s="3">
        <v>0.03</v>
      </c>
      <c r="AN879" s="3">
        <v>0.03</v>
      </c>
      <c r="AO879" s="3">
        <v>0.03</v>
      </c>
      <c r="AP879" s="3">
        <v>0.03</v>
      </c>
    </row>
    <row r="880" spans="1:42" hidden="1" x14ac:dyDescent="0.3">
      <c r="A880" s="5" t="s">
        <v>1019</v>
      </c>
      <c r="B880" s="5" t="s">
        <v>29</v>
      </c>
      <c r="C880" s="22">
        <v>45184</v>
      </c>
      <c r="D880" s="22">
        <v>45187</v>
      </c>
      <c r="E880" s="3">
        <v>0</v>
      </c>
      <c r="F880" s="3">
        <v>0</v>
      </c>
      <c r="G880" s="3">
        <v>0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3">
        <v>0</v>
      </c>
      <c r="AC880" s="3">
        <v>0</v>
      </c>
      <c r="AD880" s="3">
        <v>0</v>
      </c>
      <c r="AE880" s="3">
        <v>0.03</v>
      </c>
      <c r="AF880" s="3">
        <v>0.03</v>
      </c>
      <c r="AG880" s="3">
        <v>0.03</v>
      </c>
      <c r="AH880" s="3">
        <v>0.03</v>
      </c>
      <c r="AI880" s="3">
        <v>0.03</v>
      </c>
      <c r="AJ880" s="3">
        <v>0.03</v>
      </c>
      <c r="AK880" s="3">
        <v>0.03</v>
      </c>
      <c r="AL880" s="3">
        <v>0.03</v>
      </c>
      <c r="AM880" s="3">
        <v>0.03</v>
      </c>
      <c r="AN880" s="3">
        <v>0.03</v>
      </c>
      <c r="AO880" s="3">
        <v>0.03</v>
      </c>
      <c r="AP880" s="3">
        <v>0.03</v>
      </c>
    </row>
    <row r="881" spans="1:42" hidden="1" x14ac:dyDescent="0.3">
      <c r="A881" s="15" t="s">
        <v>1020</v>
      </c>
      <c r="B881" s="15" t="s">
        <v>122</v>
      </c>
      <c r="C881" s="20">
        <v>45034</v>
      </c>
      <c r="D881" s="20">
        <v>45189</v>
      </c>
      <c r="E881" s="8">
        <v>0</v>
      </c>
      <c r="F881" s="8">
        <v>0</v>
      </c>
      <c r="G881" s="8">
        <v>0</v>
      </c>
      <c r="H881" s="8">
        <v>0</v>
      </c>
      <c r="I881" s="8">
        <v>0</v>
      </c>
      <c r="J881" s="8">
        <v>0</v>
      </c>
      <c r="K881" s="8">
        <v>0</v>
      </c>
      <c r="L881" s="8">
        <v>0</v>
      </c>
      <c r="M881" s="8">
        <v>0</v>
      </c>
      <c r="N881" s="8">
        <v>0</v>
      </c>
      <c r="O881" s="8">
        <v>0</v>
      </c>
      <c r="P881" s="8">
        <v>0</v>
      </c>
      <c r="Q881" s="8">
        <v>0</v>
      </c>
      <c r="R881" s="8">
        <v>0</v>
      </c>
      <c r="S881" s="8">
        <v>0</v>
      </c>
      <c r="T881" s="8">
        <v>0</v>
      </c>
      <c r="U881" s="8">
        <v>0</v>
      </c>
      <c r="V881" s="8">
        <v>0</v>
      </c>
      <c r="W881" s="8">
        <v>0</v>
      </c>
      <c r="X881" s="8">
        <v>0</v>
      </c>
      <c r="Y881" s="8">
        <v>0</v>
      </c>
      <c r="Z881" s="8">
        <v>0.08</v>
      </c>
      <c r="AA881" s="8">
        <v>0.31</v>
      </c>
      <c r="AB881" s="8">
        <v>0.52</v>
      </c>
      <c r="AC881" s="8">
        <v>0.71</v>
      </c>
      <c r="AD881" s="8">
        <v>1.9</v>
      </c>
      <c r="AE881" s="8">
        <v>1.95</v>
      </c>
      <c r="AF881" s="8">
        <v>1.95</v>
      </c>
      <c r="AG881" s="8">
        <v>1.95</v>
      </c>
      <c r="AH881" s="8">
        <v>1.95</v>
      </c>
      <c r="AI881" s="8">
        <v>1.95</v>
      </c>
      <c r="AJ881" s="8">
        <v>1.95</v>
      </c>
      <c r="AK881" s="8">
        <v>1.95</v>
      </c>
      <c r="AL881" s="8">
        <v>1.95</v>
      </c>
      <c r="AM881" s="8">
        <v>1.95</v>
      </c>
      <c r="AN881" s="8">
        <v>1.95</v>
      </c>
      <c r="AO881" s="8">
        <v>1.95</v>
      </c>
      <c r="AP881" s="8">
        <v>1.95</v>
      </c>
    </row>
    <row r="882" spans="1:42" hidden="1" x14ac:dyDescent="0.3">
      <c r="A882" s="5" t="s">
        <v>1021</v>
      </c>
      <c r="B882" s="5" t="s">
        <v>31</v>
      </c>
      <c r="C882" s="22">
        <v>45153</v>
      </c>
      <c r="D882" s="22">
        <v>45154</v>
      </c>
      <c r="E882" s="3">
        <v>0</v>
      </c>
      <c r="F882" s="3">
        <v>0</v>
      </c>
      <c r="G882" s="3">
        <v>0</v>
      </c>
      <c r="H882" s="3">
        <v>0</v>
      </c>
      <c r="I882" s="3">
        <v>0</v>
      </c>
      <c r="J882" s="3">
        <v>0</v>
      </c>
      <c r="K882" s="3">
        <v>0</v>
      </c>
      <c r="L882" s="3">
        <v>0</v>
      </c>
      <c r="M882" s="3">
        <v>0</v>
      </c>
      <c r="N882" s="3">
        <v>0</v>
      </c>
      <c r="O882" s="3">
        <v>0</v>
      </c>
      <c r="P882" s="3">
        <v>0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3">
        <v>0</v>
      </c>
      <c r="AC882" s="3">
        <v>0</v>
      </c>
      <c r="AD882" s="3">
        <v>1.03</v>
      </c>
      <c r="AE882" s="3">
        <v>1.03</v>
      </c>
      <c r="AF882" s="3">
        <v>1.03</v>
      </c>
      <c r="AG882" s="3">
        <v>1.03</v>
      </c>
      <c r="AH882" s="3">
        <v>1.03</v>
      </c>
      <c r="AI882" s="3">
        <v>1.03</v>
      </c>
      <c r="AJ882" s="3">
        <v>1.03</v>
      </c>
      <c r="AK882" s="3">
        <v>1.03</v>
      </c>
      <c r="AL882" s="3">
        <v>1.03</v>
      </c>
      <c r="AM882" s="3">
        <v>1.03</v>
      </c>
      <c r="AN882" s="3">
        <v>1.03</v>
      </c>
      <c r="AO882" s="3">
        <v>1.03</v>
      </c>
      <c r="AP882" s="3">
        <v>1.03</v>
      </c>
    </row>
    <row r="883" spans="1:42" hidden="1" x14ac:dyDescent="0.3">
      <c r="A883" s="5" t="s">
        <v>1022</v>
      </c>
      <c r="B883" s="5" t="s">
        <v>17</v>
      </c>
      <c r="C883" s="22">
        <v>45133</v>
      </c>
      <c r="D883" s="22">
        <v>45153</v>
      </c>
      <c r="E883" s="3">
        <v>0</v>
      </c>
      <c r="F883" s="3">
        <v>0</v>
      </c>
      <c r="G883" s="3">
        <v>0</v>
      </c>
      <c r="H883" s="3">
        <v>0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>
        <v>0</v>
      </c>
      <c r="P883" s="3">
        <v>0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3">
        <v>0</v>
      </c>
      <c r="AC883" s="3">
        <v>0</v>
      </c>
      <c r="AD883" s="3">
        <v>0.02</v>
      </c>
      <c r="AE883" s="3">
        <v>0.02</v>
      </c>
      <c r="AF883" s="3">
        <v>0.02</v>
      </c>
      <c r="AG883" s="3">
        <v>0.02</v>
      </c>
      <c r="AH883" s="3">
        <v>0.02</v>
      </c>
      <c r="AI883" s="3">
        <v>0.02</v>
      </c>
      <c r="AJ883" s="3">
        <v>0.02</v>
      </c>
      <c r="AK883" s="3">
        <v>0.02</v>
      </c>
      <c r="AL883" s="3">
        <v>0.02</v>
      </c>
      <c r="AM883" s="3">
        <v>0.02</v>
      </c>
      <c r="AN883" s="3">
        <v>0.02</v>
      </c>
      <c r="AO883" s="3">
        <v>0.02</v>
      </c>
      <c r="AP883" s="3">
        <v>0.02</v>
      </c>
    </row>
    <row r="884" spans="1:42" hidden="1" x14ac:dyDescent="0.3">
      <c r="A884" s="5" t="s">
        <v>1023</v>
      </c>
      <c r="B884" s="5" t="s">
        <v>17</v>
      </c>
      <c r="C884" s="22">
        <v>45113</v>
      </c>
      <c r="D884" s="22">
        <v>45133</v>
      </c>
      <c r="E884" s="3">
        <v>0</v>
      </c>
      <c r="F884" s="3">
        <v>0</v>
      </c>
      <c r="G884" s="3">
        <v>0</v>
      </c>
      <c r="H884" s="3">
        <v>0</v>
      </c>
      <c r="I884" s="3">
        <v>0</v>
      </c>
      <c r="J884" s="3">
        <v>0</v>
      </c>
      <c r="K884" s="3">
        <v>0</v>
      </c>
      <c r="L884" s="3">
        <v>0</v>
      </c>
      <c r="M884" s="3">
        <v>0</v>
      </c>
      <c r="N884" s="3">
        <v>0</v>
      </c>
      <c r="O884" s="3">
        <v>0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3">
        <v>0</v>
      </c>
      <c r="AC884" s="3">
        <v>0.14000000000000001</v>
      </c>
      <c r="AD884" s="3">
        <v>0.14000000000000001</v>
      </c>
      <c r="AE884" s="3">
        <v>0.14000000000000001</v>
      </c>
      <c r="AF884" s="3">
        <v>0.14000000000000001</v>
      </c>
      <c r="AG884" s="3">
        <v>0.14000000000000001</v>
      </c>
      <c r="AH884" s="3">
        <v>0.14000000000000001</v>
      </c>
      <c r="AI884" s="3">
        <v>0.14000000000000001</v>
      </c>
      <c r="AJ884" s="3">
        <v>0.14000000000000001</v>
      </c>
      <c r="AK884" s="3">
        <v>0.14000000000000001</v>
      </c>
      <c r="AL884" s="3">
        <v>0.14000000000000001</v>
      </c>
      <c r="AM884" s="3">
        <v>0.14000000000000001</v>
      </c>
      <c r="AN884" s="3">
        <v>0.14000000000000001</v>
      </c>
      <c r="AO884" s="3">
        <v>0.14000000000000001</v>
      </c>
      <c r="AP884" s="3">
        <v>0.14000000000000001</v>
      </c>
    </row>
    <row r="885" spans="1:42" hidden="1" x14ac:dyDescent="0.3">
      <c r="A885" s="5" t="s">
        <v>1024</v>
      </c>
      <c r="B885" s="5" t="s">
        <v>17</v>
      </c>
      <c r="C885" s="22">
        <v>45096</v>
      </c>
      <c r="D885" s="22">
        <v>45113</v>
      </c>
      <c r="E885" s="3">
        <v>0</v>
      </c>
      <c r="F885" s="3">
        <v>0</v>
      </c>
      <c r="G885" s="3">
        <v>0</v>
      </c>
      <c r="H885" s="3">
        <v>0</v>
      </c>
      <c r="I885" s="3">
        <v>0</v>
      </c>
      <c r="J885" s="3">
        <v>0</v>
      </c>
      <c r="K885" s="3">
        <v>0</v>
      </c>
      <c r="L885" s="3">
        <v>0</v>
      </c>
      <c r="M885" s="3">
        <v>0</v>
      </c>
      <c r="N885" s="3">
        <v>0</v>
      </c>
      <c r="O885" s="3">
        <v>0</v>
      </c>
      <c r="P885" s="3">
        <v>0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3">
        <v>0.1</v>
      </c>
      <c r="AC885" s="3">
        <v>0.14000000000000001</v>
      </c>
      <c r="AD885" s="3">
        <v>0.14000000000000001</v>
      </c>
      <c r="AE885" s="3">
        <v>0.14000000000000001</v>
      </c>
      <c r="AF885" s="3">
        <v>0.14000000000000001</v>
      </c>
      <c r="AG885" s="3">
        <v>0.14000000000000001</v>
      </c>
      <c r="AH885" s="3">
        <v>0.14000000000000001</v>
      </c>
      <c r="AI885" s="3">
        <v>0.14000000000000001</v>
      </c>
      <c r="AJ885" s="3">
        <v>0.14000000000000001</v>
      </c>
      <c r="AK885" s="3">
        <v>0.14000000000000001</v>
      </c>
      <c r="AL885" s="3">
        <v>0.14000000000000001</v>
      </c>
      <c r="AM885" s="3">
        <v>0.14000000000000001</v>
      </c>
      <c r="AN885" s="3">
        <v>0.14000000000000001</v>
      </c>
      <c r="AO885" s="3">
        <v>0.14000000000000001</v>
      </c>
      <c r="AP885" s="3">
        <v>0.14000000000000001</v>
      </c>
    </row>
    <row r="886" spans="1:42" hidden="1" x14ac:dyDescent="0.3">
      <c r="A886" s="5" t="s">
        <v>1025</v>
      </c>
      <c r="B886" s="5" t="s">
        <v>17</v>
      </c>
      <c r="C886" s="22">
        <v>45075</v>
      </c>
      <c r="D886" s="22">
        <v>45096</v>
      </c>
      <c r="E886" s="3">
        <v>0</v>
      </c>
      <c r="F886" s="3">
        <v>0</v>
      </c>
      <c r="G886" s="3">
        <v>0</v>
      </c>
      <c r="H886" s="3">
        <v>0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  <c r="O886" s="3">
        <v>0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0.03</v>
      </c>
      <c r="AB886" s="3">
        <v>0.14000000000000001</v>
      </c>
      <c r="AC886" s="3">
        <v>0.14000000000000001</v>
      </c>
      <c r="AD886" s="3">
        <v>0.14000000000000001</v>
      </c>
      <c r="AE886" s="3">
        <v>0.14000000000000001</v>
      </c>
      <c r="AF886" s="3">
        <v>0.14000000000000001</v>
      </c>
      <c r="AG886" s="3">
        <v>0.14000000000000001</v>
      </c>
      <c r="AH886" s="3">
        <v>0.14000000000000001</v>
      </c>
      <c r="AI886" s="3">
        <v>0.14000000000000001</v>
      </c>
      <c r="AJ886" s="3">
        <v>0.14000000000000001</v>
      </c>
      <c r="AK886" s="3">
        <v>0.14000000000000001</v>
      </c>
      <c r="AL886" s="3">
        <v>0.14000000000000001</v>
      </c>
      <c r="AM886" s="3">
        <v>0.14000000000000001</v>
      </c>
      <c r="AN886" s="3">
        <v>0.14000000000000001</v>
      </c>
      <c r="AO886" s="3">
        <v>0.14000000000000001</v>
      </c>
      <c r="AP886" s="3">
        <v>0.14000000000000001</v>
      </c>
    </row>
    <row r="887" spans="1:42" hidden="1" x14ac:dyDescent="0.3">
      <c r="A887" s="5" t="s">
        <v>1026</v>
      </c>
      <c r="B887" s="5" t="s">
        <v>17</v>
      </c>
      <c r="C887" s="22">
        <v>45056</v>
      </c>
      <c r="D887" s="22">
        <v>45075</v>
      </c>
      <c r="E887" s="3">
        <v>0</v>
      </c>
      <c r="F887" s="3">
        <v>0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  <c r="O887" s="3">
        <v>0</v>
      </c>
      <c r="P887" s="3">
        <v>0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0.14000000000000001</v>
      </c>
      <c r="AB887" s="3">
        <v>0.14000000000000001</v>
      </c>
      <c r="AC887" s="3">
        <v>0.14000000000000001</v>
      </c>
      <c r="AD887" s="3">
        <v>0.14000000000000001</v>
      </c>
      <c r="AE887" s="3">
        <v>0.14000000000000001</v>
      </c>
      <c r="AF887" s="3">
        <v>0.14000000000000001</v>
      </c>
      <c r="AG887" s="3">
        <v>0.14000000000000001</v>
      </c>
      <c r="AH887" s="3">
        <v>0.14000000000000001</v>
      </c>
      <c r="AI887" s="3">
        <v>0.14000000000000001</v>
      </c>
      <c r="AJ887" s="3">
        <v>0.14000000000000001</v>
      </c>
      <c r="AK887" s="3">
        <v>0.14000000000000001</v>
      </c>
      <c r="AL887" s="3">
        <v>0.14000000000000001</v>
      </c>
      <c r="AM887" s="3">
        <v>0.14000000000000001</v>
      </c>
      <c r="AN887" s="3">
        <v>0.14000000000000001</v>
      </c>
      <c r="AO887" s="3">
        <v>0.14000000000000001</v>
      </c>
      <c r="AP887" s="3">
        <v>0.14000000000000001</v>
      </c>
    </row>
    <row r="888" spans="1:42" hidden="1" x14ac:dyDescent="0.3">
      <c r="A888" s="5" t="s">
        <v>1027</v>
      </c>
      <c r="B888" s="5" t="s">
        <v>17</v>
      </c>
      <c r="C888" s="22">
        <v>45034</v>
      </c>
      <c r="D888" s="22">
        <v>45055</v>
      </c>
      <c r="E888" s="3">
        <v>0</v>
      </c>
      <c r="F888" s="3">
        <v>0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>
        <v>0</v>
      </c>
      <c r="P888" s="3">
        <v>0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0.08</v>
      </c>
      <c r="AA888" s="3">
        <v>0.14000000000000001</v>
      </c>
      <c r="AB888" s="3">
        <v>0.14000000000000001</v>
      </c>
      <c r="AC888" s="3">
        <v>0.14000000000000001</v>
      </c>
      <c r="AD888" s="3">
        <v>0.14000000000000001</v>
      </c>
      <c r="AE888" s="3">
        <v>0.14000000000000001</v>
      </c>
      <c r="AF888" s="3">
        <v>0.14000000000000001</v>
      </c>
      <c r="AG888" s="3">
        <v>0.14000000000000001</v>
      </c>
      <c r="AH888" s="3">
        <v>0.14000000000000001</v>
      </c>
      <c r="AI888" s="3">
        <v>0.14000000000000001</v>
      </c>
      <c r="AJ888" s="3">
        <v>0.14000000000000001</v>
      </c>
      <c r="AK888" s="3">
        <v>0.14000000000000001</v>
      </c>
      <c r="AL888" s="3">
        <v>0.14000000000000001</v>
      </c>
      <c r="AM888" s="3">
        <v>0.14000000000000001</v>
      </c>
      <c r="AN888" s="3">
        <v>0.14000000000000001</v>
      </c>
      <c r="AO888" s="3">
        <v>0.14000000000000001</v>
      </c>
      <c r="AP888" s="3">
        <v>0.14000000000000001</v>
      </c>
    </row>
    <row r="889" spans="1:42" hidden="1" x14ac:dyDescent="0.3">
      <c r="A889" s="4" t="s">
        <v>1028</v>
      </c>
      <c r="B889" s="4" t="s">
        <v>123</v>
      </c>
      <c r="C889" s="21">
        <v>45155</v>
      </c>
      <c r="D889" s="21">
        <v>45169</v>
      </c>
      <c r="E889" s="2">
        <v>0</v>
      </c>
      <c r="F889" s="2">
        <v>0</v>
      </c>
      <c r="G889" s="2">
        <v>0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0.15</v>
      </c>
      <c r="AE889" s="2">
        <v>0.15</v>
      </c>
      <c r="AF889" s="2">
        <v>0.15</v>
      </c>
      <c r="AG889" s="2">
        <v>0.15</v>
      </c>
      <c r="AH889" s="2">
        <v>0.15</v>
      </c>
      <c r="AI889" s="2">
        <v>0.15</v>
      </c>
      <c r="AJ889" s="2">
        <v>0.15</v>
      </c>
      <c r="AK889" s="2">
        <v>0.15</v>
      </c>
      <c r="AL889" s="2">
        <v>0.15</v>
      </c>
      <c r="AM889" s="2">
        <v>0.15</v>
      </c>
      <c r="AN889" s="2">
        <v>0.15</v>
      </c>
      <c r="AO889" s="2">
        <v>0.15</v>
      </c>
      <c r="AP889" s="2">
        <v>0.15</v>
      </c>
    </row>
    <row r="890" spans="1:42" hidden="1" x14ac:dyDescent="0.3">
      <c r="A890" s="5" t="s">
        <v>1029</v>
      </c>
      <c r="B890" s="5" t="s">
        <v>9</v>
      </c>
      <c r="C890" s="22">
        <v>45155</v>
      </c>
      <c r="D890" s="22">
        <v>45161</v>
      </c>
      <c r="E890" s="3">
        <v>0</v>
      </c>
      <c r="F890" s="3">
        <v>0</v>
      </c>
      <c r="G890" s="3">
        <v>0</v>
      </c>
      <c r="H890" s="3">
        <v>0</v>
      </c>
      <c r="I890" s="3">
        <v>0</v>
      </c>
      <c r="J890" s="3">
        <v>0</v>
      </c>
      <c r="K890" s="3">
        <v>0</v>
      </c>
      <c r="L890" s="3">
        <v>0</v>
      </c>
      <c r="M890" s="3">
        <v>0</v>
      </c>
      <c r="N890" s="3">
        <v>0</v>
      </c>
      <c r="O890" s="3">
        <v>0</v>
      </c>
      <c r="P890" s="3">
        <v>0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B890" s="3">
        <v>0</v>
      </c>
      <c r="AC890" s="3">
        <v>0</v>
      </c>
      <c r="AD890" s="3">
        <v>0.1</v>
      </c>
      <c r="AE890" s="3">
        <v>0.1</v>
      </c>
      <c r="AF890" s="3">
        <v>0.1</v>
      </c>
      <c r="AG890" s="3">
        <v>0.1</v>
      </c>
      <c r="AH890" s="3">
        <v>0.1</v>
      </c>
      <c r="AI890" s="3">
        <v>0.1</v>
      </c>
      <c r="AJ890" s="3">
        <v>0.1</v>
      </c>
      <c r="AK890" s="3">
        <v>0.1</v>
      </c>
      <c r="AL890" s="3">
        <v>0.1</v>
      </c>
      <c r="AM890" s="3">
        <v>0.1</v>
      </c>
      <c r="AN890" s="3">
        <v>0.1</v>
      </c>
      <c r="AO890" s="3">
        <v>0.1</v>
      </c>
      <c r="AP890" s="3">
        <v>0.1</v>
      </c>
    </row>
    <row r="891" spans="1:42" hidden="1" x14ac:dyDescent="0.3">
      <c r="A891" s="5" t="s">
        <v>1030</v>
      </c>
      <c r="B891" s="5" t="s">
        <v>9</v>
      </c>
      <c r="C891" s="22">
        <v>45163</v>
      </c>
      <c r="D891" s="22">
        <v>45169</v>
      </c>
      <c r="E891" s="3">
        <v>0</v>
      </c>
      <c r="F891" s="3">
        <v>0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  <c r="O891" s="3">
        <v>0</v>
      </c>
      <c r="P891" s="3">
        <v>0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3">
        <v>0</v>
      </c>
      <c r="AC891" s="3">
        <v>0</v>
      </c>
      <c r="AD891" s="3">
        <v>0.05</v>
      </c>
      <c r="AE891" s="3">
        <v>0.05</v>
      </c>
      <c r="AF891" s="3">
        <v>0.05</v>
      </c>
      <c r="AG891" s="3">
        <v>0.05</v>
      </c>
      <c r="AH891" s="3">
        <v>0.05</v>
      </c>
      <c r="AI891" s="3">
        <v>0.05</v>
      </c>
      <c r="AJ891" s="3">
        <v>0.05</v>
      </c>
      <c r="AK891" s="3">
        <v>0.05</v>
      </c>
      <c r="AL891" s="3">
        <v>0.05</v>
      </c>
      <c r="AM891" s="3">
        <v>0.05</v>
      </c>
      <c r="AN891" s="3">
        <v>0.05</v>
      </c>
      <c r="AO891" s="3">
        <v>0.05</v>
      </c>
      <c r="AP891" s="3">
        <v>0.05</v>
      </c>
    </row>
    <row r="892" spans="1:42" hidden="1" x14ac:dyDescent="0.3">
      <c r="A892" s="5" t="s">
        <v>1031</v>
      </c>
      <c r="B892" s="5" t="s">
        <v>31</v>
      </c>
      <c r="C892" s="22">
        <v>45187</v>
      </c>
      <c r="D892" s="22">
        <v>45189</v>
      </c>
      <c r="E892" s="3">
        <v>0</v>
      </c>
      <c r="F892" s="3">
        <v>0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  <c r="L892" s="3">
        <v>0</v>
      </c>
      <c r="M892" s="3">
        <v>0</v>
      </c>
      <c r="N892" s="3">
        <v>0</v>
      </c>
      <c r="O892" s="3">
        <v>0</v>
      </c>
      <c r="P892" s="3">
        <v>0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  <c r="Z892" s="3">
        <v>0</v>
      </c>
      <c r="AA892" s="3">
        <v>0</v>
      </c>
      <c r="AB892" s="3">
        <v>0</v>
      </c>
      <c r="AC892" s="3">
        <v>0</v>
      </c>
      <c r="AD892" s="3">
        <v>0</v>
      </c>
      <c r="AE892" s="3">
        <v>0.05</v>
      </c>
      <c r="AF892" s="3">
        <v>0.05</v>
      </c>
      <c r="AG892" s="3">
        <v>0.05</v>
      </c>
      <c r="AH892" s="3">
        <v>0.05</v>
      </c>
      <c r="AI892" s="3">
        <v>0.05</v>
      </c>
      <c r="AJ892" s="3">
        <v>0.05</v>
      </c>
      <c r="AK892" s="3">
        <v>0.05</v>
      </c>
      <c r="AL892" s="3">
        <v>0.05</v>
      </c>
      <c r="AM892" s="3">
        <v>0.05</v>
      </c>
      <c r="AN892" s="3">
        <v>0.05</v>
      </c>
      <c r="AO892" s="3">
        <v>0.05</v>
      </c>
      <c r="AP892" s="3">
        <v>0.05</v>
      </c>
    </row>
    <row r="893" spans="1:42" hidden="1" x14ac:dyDescent="0.3">
      <c r="A893" s="15" t="s">
        <v>1032</v>
      </c>
      <c r="B893" s="15" t="s">
        <v>124</v>
      </c>
      <c r="C893" s="20">
        <v>45034</v>
      </c>
      <c r="D893" s="20">
        <v>45166</v>
      </c>
      <c r="E893" s="8">
        <v>0</v>
      </c>
      <c r="F893" s="8">
        <v>0</v>
      </c>
      <c r="G893" s="8">
        <v>0</v>
      </c>
      <c r="H893" s="8">
        <v>0</v>
      </c>
      <c r="I893" s="8">
        <v>0</v>
      </c>
      <c r="J893" s="8">
        <v>0</v>
      </c>
      <c r="K893" s="8">
        <v>0</v>
      </c>
      <c r="L893" s="8">
        <v>0</v>
      </c>
      <c r="M893" s="8">
        <v>0</v>
      </c>
      <c r="N893" s="8">
        <v>0</v>
      </c>
      <c r="O893" s="8">
        <v>0</v>
      </c>
      <c r="P893" s="8">
        <v>0</v>
      </c>
      <c r="Q893" s="8">
        <v>0</v>
      </c>
      <c r="R893" s="8">
        <v>0</v>
      </c>
      <c r="S893" s="8">
        <v>0</v>
      </c>
      <c r="T893" s="8">
        <v>0</v>
      </c>
      <c r="U893" s="8">
        <v>0</v>
      </c>
      <c r="V893" s="8">
        <v>0</v>
      </c>
      <c r="W893" s="8">
        <v>0</v>
      </c>
      <c r="X893" s="8">
        <v>0</v>
      </c>
      <c r="Y893" s="8">
        <v>0</v>
      </c>
      <c r="Z893" s="8">
        <v>0.08</v>
      </c>
      <c r="AA893" s="8">
        <v>0.21</v>
      </c>
      <c r="AB893" s="8">
        <v>0.37</v>
      </c>
      <c r="AC893" s="8">
        <v>0.74</v>
      </c>
      <c r="AD893" s="8">
        <v>1.4</v>
      </c>
      <c r="AE893" s="8">
        <v>1.4</v>
      </c>
      <c r="AF893" s="8">
        <v>1.4</v>
      </c>
      <c r="AG893" s="8">
        <v>1.4</v>
      </c>
      <c r="AH893" s="8">
        <v>1.4</v>
      </c>
      <c r="AI893" s="8">
        <v>1.4</v>
      </c>
      <c r="AJ893" s="8">
        <v>1.4</v>
      </c>
      <c r="AK893" s="8">
        <v>1.4</v>
      </c>
      <c r="AL893" s="8">
        <v>1.4</v>
      </c>
      <c r="AM893" s="8">
        <v>1.4</v>
      </c>
      <c r="AN893" s="8">
        <v>1.4</v>
      </c>
      <c r="AO893" s="8">
        <v>1.4</v>
      </c>
      <c r="AP893" s="8">
        <v>1.4</v>
      </c>
    </row>
    <row r="894" spans="1:42" hidden="1" x14ac:dyDescent="0.3">
      <c r="A894" s="5" t="s">
        <v>1033</v>
      </c>
      <c r="B894" s="5" t="s">
        <v>17</v>
      </c>
      <c r="C894" s="22">
        <v>45133</v>
      </c>
      <c r="D894" s="22">
        <v>45153</v>
      </c>
      <c r="E894" s="3">
        <v>0</v>
      </c>
      <c r="F894" s="3">
        <v>0</v>
      </c>
      <c r="G894" s="3">
        <v>0</v>
      </c>
      <c r="H894" s="3">
        <v>0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v>0</v>
      </c>
      <c r="O894" s="3">
        <v>0</v>
      </c>
      <c r="P894" s="3">
        <v>0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3">
        <v>0</v>
      </c>
      <c r="AC894" s="3">
        <v>0.22</v>
      </c>
      <c r="AD894" s="3">
        <v>0.88</v>
      </c>
      <c r="AE894" s="3">
        <v>0.88</v>
      </c>
      <c r="AF894" s="3">
        <v>0.88</v>
      </c>
      <c r="AG894" s="3">
        <v>0.88</v>
      </c>
      <c r="AH894" s="3">
        <v>0.88</v>
      </c>
      <c r="AI894" s="3">
        <v>0.88</v>
      </c>
      <c r="AJ894" s="3">
        <v>0.88</v>
      </c>
      <c r="AK894" s="3">
        <v>0.88</v>
      </c>
      <c r="AL894" s="3">
        <v>0.88</v>
      </c>
      <c r="AM894" s="3">
        <v>0.88</v>
      </c>
      <c r="AN894" s="3">
        <v>0.88</v>
      </c>
      <c r="AO894" s="3">
        <v>0.88</v>
      </c>
      <c r="AP894" s="3">
        <v>0.88</v>
      </c>
    </row>
    <row r="895" spans="1:42" hidden="1" x14ac:dyDescent="0.3">
      <c r="A895" s="5" t="s">
        <v>1034</v>
      </c>
      <c r="B895" s="5" t="s">
        <v>14</v>
      </c>
      <c r="C895" s="22">
        <v>45113</v>
      </c>
      <c r="D895" s="22">
        <v>45126</v>
      </c>
      <c r="E895" s="3">
        <v>0</v>
      </c>
      <c r="F895" s="3">
        <v>0</v>
      </c>
      <c r="G895" s="3">
        <v>0</v>
      </c>
      <c r="H895" s="3">
        <v>0</v>
      </c>
      <c r="I895" s="3">
        <v>0</v>
      </c>
      <c r="J895" s="3">
        <v>0</v>
      </c>
      <c r="K895" s="3">
        <v>0</v>
      </c>
      <c r="L895" s="3">
        <v>0</v>
      </c>
      <c r="M895" s="3">
        <v>0</v>
      </c>
      <c r="N895" s="3">
        <v>0</v>
      </c>
      <c r="O895" s="3">
        <v>0</v>
      </c>
      <c r="P895" s="3">
        <v>0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3">
        <v>0</v>
      </c>
      <c r="AC895" s="3">
        <v>0.14000000000000001</v>
      </c>
      <c r="AD895" s="3">
        <v>0.14000000000000001</v>
      </c>
      <c r="AE895" s="3">
        <v>0.14000000000000001</v>
      </c>
      <c r="AF895" s="3">
        <v>0.14000000000000001</v>
      </c>
      <c r="AG895" s="3">
        <v>0.14000000000000001</v>
      </c>
      <c r="AH895" s="3">
        <v>0.14000000000000001</v>
      </c>
      <c r="AI895" s="3">
        <v>0.14000000000000001</v>
      </c>
      <c r="AJ895" s="3">
        <v>0.14000000000000001</v>
      </c>
      <c r="AK895" s="3">
        <v>0.14000000000000001</v>
      </c>
      <c r="AL895" s="3">
        <v>0.14000000000000001</v>
      </c>
      <c r="AM895" s="3">
        <v>0.14000000000000001</v>
      </c>
      <c r="AN895" s="3">
        <v>0.14000000000000001</v>
      </c>
      <c r="AO895" s="3">
        <v>0.14000000000000001</v>
      </c>
      <c r="AP895" s="3">
        <v>0.14000000000000001</v>
      </c>
    </row>
    <row r="896" spans="1:42" hidden="1" x14ac:dyDescent="0.3">
      <c r="A896" s="5" t="s">
        <v>1035</v>
      </c>
      <c r="B896" s="5" t="s">
        <v>14</v>
      </c>
      <c r="C896" s="22">
        <v>45096</v>
      </c>
      <c r="D896" s="22">
        <v>45107</v>
      </c>
      <c r="E896" s="3">
        <v>0</v>
      </c>
      <c r="F896" s="3">
        <v>0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3">
        <v>0.09</v>
      </c>
      <c r="AC896" s="3">
        <v>0.09</v>
      </c>
      <c r="AD896" s="3">
        <v>0.09</v>
      </c>
      <c r="AE896" s="3">
        <v>0.09</v>
      </c>
      <c r="AF896" s="3">
        <v>0.09</v>
      </c>
      <c r="AG896" s="3">
        <v>0.09</v>
      </c>
      <c r="AH896" s="3">
        <v>0.09</v>
      </c>
      <c r="AI896" s="3">
        <v>0.09</v>
      </c>
      <c r="AJ896" s="3">
        <v>0.09</v>
      </c>
      <c r="AK896" s="3">
        <v>0.09</v>
      </c>
      <c r="AL896" s="3">
        <v>0.09</v>
      </c>
      <c r="AM896" s="3">
        <v>0.09</v>
      </c>
      <c r="AN896" s="3">
        <v>0.09</v>
      </c>
      <c r="AO896" s="3">
        <v>0.09</v>
      </c>
      <c r="AP896" s="3">
        <v>0.09</v>
      </c>
    </row>
    <row r="897" spans="1:42" hidden="1" x14ac:dyDescent="0.3">
      <c r="A897" s="5" t="s">
        <v>1036</v>
      </c>
      <c r="B897" s="5" t="s">
        <v>14</v>
      </c>
      <c r="C897" s="22">
        <v>45075</v>
      </c>
      <c r="D897" s="22">
        <v>45089</v>
      </c>
      <c r="E897" s="3">
        <v>0</v>
      </c>
      <c r="F897" s="3">
        <v>0</v>
      </c>
      <c r="G897" s="3">
        <v>0</v>
      </c>
      <c r="H897" s="3">
        <v>0</v>
      </c>
      <c r="I897" s="3">
        <v>0</v>
      </c>
      <c r="J897" s="3">
        <v>0</v>
      </c>
      <c r="K897" s="3">
        <v>0</v>
      </c>
      <c r="L897" s="3">
        <v>0</v>
      </c>
      <c r="M897" s="3">
        <v>0</v>
      </c>
      <c r="N897" s="3">
        <v>0</v>
      </c>
      <c r="O897" s="3">
        <v>0</v>
      </c>
      <c r="P897" s="3">
        <v>0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0.02</v>
      </c>
      <c r="AB897" s="3">
        <v>0.09</v>
      </c>
      <c r="AC897" s="3">
        <v>0.09</v>
      </c>
      <c r="AD897" s="3">
        <v>0.09</v>
      </c>
      <c r="AE897" s="3">
        <v>0.09</v>
      </c>
      <c r="AF897" s="3">
        <v>0.09</v>
      </c>
      <c r="AG897" s="3">
        <v>0.09</v>
      </c>
      <c r="AH897" s="3">
        <v>0.09</v>
      </c>
      <c r="AI897" s="3">
        <v>0.09</v>
      </c>
      <c r="AJ897" s="3">
        <v>0.09</v>
      </c>
      <c r="AK897" s="3">
        <v>0.09</v>
      </c>
      <c r="AL897" s="3">
        <v>0.09</v>
      </c>
      <c r="AM897" s="3">
        <v>0.09</v>
      </c>
      <c r="AN897" s="3">
        <v>0.09</v>
      </c>
      <c r="AO897" s="3">
        <v>0.09</v>
      </c>
      <c r="AP897" s="3">
        <v>0.09</v>
      </c>
    </row>
    <row r="898" spans="1:42" hidden="1" x14ac:dyDescent="0.3">
      <c r="A898" s="5" t="s">
        <v>1037</v>
      </c>
      <c r="B898" s="5" t="s">
        <v>14</v>
      </c>
      <c r="C898" s="22">
        <v>45056</v>
      </c>
      <c r="D898" s="22">
        <v>45069</v>
      </c>
      <c r="E898" s="3">
        <v>0</v>
      </c>
      <c r="F898" s="3">
        <v>0</v>
      </c>
      <c r="G898" s="3">
        <v>0</v>
      </c>
      <c r="H898" s="3">
        <v>0</v>
      </c>
      <c r="I898" s="3">
        <v>0</v>
      </c>
      <c r="J898" s="3">
        <v>0</v>
      </c>
      <c r="K898" s="3">
        <v>0</v>
      </c>
      <c r="L898" s="3">
        <v>0</v>
      </c>
      <c r="M898" s="3">
        <v>0</v>
      </c>
      <c r="N898" s="3">
        <v>0</v>
      </c>
      <c r="O898" s="3">
        <v>0</v>
      </c>
      <c r="P898" s="3">
        <v>0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0.09</v>
      </c>
      <c r="AB898" s="3">
        <v>0.09</v>
      </c>
      <c r="AC898" s="3">
        <v>0.09</v>
      </c>
      <c r="AD898" s="3">
        <v>0.09</v>
      </c>
      <c r="AE898" s="3">
        <v>0.09</v>
      </c>
      <c r="AF898" s="3">
        <v>0.09</v>
      </c>
      <c r="AG898" s="3">
        <v>0.09</v>
      </c>
      <c r="AH898" s="3">
        <v>0.09</v>
      </c>
      <c r="AI898" s="3">
        <v>0.09</v>
      </c>
      <c r="AJ898" s="3">
        <v>0.09</v>
      </c>
      <c r="AK898" s="3">
        <v>0.09</v>
      </c>
      <c r="AL898" s="3">
        <v>0.09</v>
      </c>
      <c r="AM898" s="3">
        <v>0.09</v>
      </c>
      <c r="AN898" s="3">
        <v>0.09</v>
      </c>
      <c r="AO898" s="3">
        <v>0.09</v>
      </c>
      <c r="AP898" s="3">
        <v>0.09</v>
      </c>
    </row>
    <row r="899" spans="1:42" hidden="1" x14ac:dyDescent="0.3">
      <c r="A899" s="5" t="s">
        <v>1038</v>
      </c>
      <c r="B899" s="5" t="s">
        <v>14</v>
      </c>
      <c r="C899" s="22">
        <v>45034</v>
      </c>
      <c r="D899" s="22">
        <v>45049</v>
      </c>
      <c r="E899" s="3">
        <v>0</v>
      </c>
      <c r="F899" s="3">
        <v>0</v>
      </c>
      <c r="G899" s="3">
        <v>0</v>
      </c>
      <c r="H899" s="3">
        <v>0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s="3">
        <v>0</v>
      </c>
      <c r="O899" s="3">
        <v>0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0.08</v>
      </c>
      <c r="AA899" s="3">
        <v>0.09</v>
      </c>
      <c r="AB899" s="3">
        <v>0.09</v>
      </c>
      <c r="AC899" s="3">
        <v>0.09</v>
      </c>
      <c r="AD899" s="3">
        <v>0.09</v>
      </c>
      <c r="AE899" s="3">
        <v>0.09</v>
      </c>
      <c r="AF899" s="3">
        <v>0.09</v>
      </c>
      <c r="AG899" s="3">
        <v>0.09</v>
      </c>
      <c r="AH899" s="3">
        <v>0.09</v>
      </c>
      <c r="AI899" s="3">
        <v>0.09</v>
      </c>
      <c r="AJ899" s="3">
        <v>0.09</v>
      </c>
      <c r="AK899" s="3">
        <v>0.09</v>
      </c>
      <c r="AL899" s="3">
        <v>0.09</v>
      </c>
      <c r="AM899" s="3">
        <v>0.09</v>
      </c>
      <c r="AN899" s="3">
        <v>0.09</v>
      </c>
      <c r="AO899" s="3">
        <v>0.09</v>
      </c>
      <c r="AP899" s="3">
        <v>0.09</v>
      </c>
    </row>
    <row r="900" spans="1:42" hidden="1" x14ac:dyDescent="0.3">
      <c r="A900" s="5" t="s">
        <v>1039</v>
      </c>
      <c r="B900" s="5" t="s">
        <v>14</v>
      </c>
      <c r="C900" s="22">
        <v>45153</v>
      </c>
      <c r="D900" s="22">
        <v>45166</v>
      </c>
      <c r="E900" s="3">
        <v>0</v>
      </c>
      <c r="F900" s="3">
        <v>0</v>
      </c>
      <c r="G900" s="3">
        <v>0</v>
      </c>
      <c r="H900" s="3">
        <v>0</v>
      </c>
      <c r="I900" s="3">
        <v>0</v>
      </c>
      <c r="J900" s="3">
        <v>0</v>
      </c>
      <c r="K900" s="3">
        <v>0</v>
      </c>
      <c r="L900" s="3">
        <v>0</v>
      </c>
      <c r="M900" s="3">
        <v>0</v>
      </c>
      <c r="N900" s="3">
        <v>0</v>
      </c>
      <c r="O900" s="3">
        <v>0</v>
      </c>
      <c r="P900" s="3">
        <v>0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3">
        <v>0</v>
      </c>
      <c r="AC900" s="3">
        <v>0</v>
      </c>
      <c r="AD900" s="3">
        <v>0</v>
      </c>
      <c r="AE900" s="3">
        <v>0</v>
      </c>
      <c r="AF900" s="3">
        <v>0</v>
      </c>
      <c r="AG900" s="3">
        <v>0</v>
      </c>
      <c r="AH900" s="3">
        <v>0</v>
      </c>
      <c r="AI900" s="3">
        <v>0</v>
      </c>
      <c r="AJ900" s="3">
        <v>0</v>
      </c>
      <c r="AK900" s="3">
        <v>0</v>
      </c>
      <c r="AL900" s="3">
        <v>0</v>
      </c>
      <c r="AM900" s="3">
        <v>0</v>
      </c>
      <c r="AN900" s="3">
        <v>0</v>
      </c>
      <c r="AO900" s="3">
        <v>0</v>
      </c>
      <c r="AP900" s="3">
        <v>0</v>
      </c>
    </row>
    <row r="901" spans="1:42" hidden="1" x14ac:dyDescent="0.3">
      <c r="A901" s="15" t="s">
        <v>1040</v>
      </c>
      <c r="B901" s="15" t="s">
        <v>45</v>
      </c>
      <c r="C901" s="20">
        <v>45075</v>
      </c>
      <c r="D901" s="20">
        <v>45098</v>
      </c>
      <c r="E901" s="8">
        <v>0</v>
      </c>
      <c r="F901" s="8">
        <v>0</v>
      </c>
      <c r="G901" s="8">
        <v>0</v>
      </c>
      <c r="H901" s="8">
        <v>0</v>
      </c>
      <c r="I901" s="8">
        <v>0</v>
      </c>
      <c r="J901" s="8">
        <v>0</v>
      </c>
      <c r="K901" s="8">
        <v>0</v>
      </c>
      <c r="L901" s="8">
        <v>0</v>
      </c>
      <c r="M901" s="8">
        <v>0</v>
      </c>
      <c r="N901" s="8">
        <v>0</v>
      </c>
      <c r="O901" s="8">
        <v>0</v>
      </c>
      <c r="P901" s="8">
        <v>0</v>
      </c>
      <c r="Q901" s="8">
        <v>0</v>
      </c>
      <c r="R901" s="8">
        <v>0</v>
      </c>
      <c r="S901" s="8">
        <v>0</v>
      </c>
      <c r="T901" s="8">
        <v>0</v>
      </c>
      <c r="U901" s="8">
        <v>0</v>
      </c>
      <c r="V901" s="8">
        <v>0</v>
      </c>
      <c r="W901" s="8">
        <v>0</v>
      </c>
      <c r="X901" s="8">
        <v>0</v>
      </c>
      <c r="Y901" s="8">
        <v>0</v>
      </c>
      <c r="Z901" s="8">
        <v>0</v>
      </c>
      <c r="AA901" s="8">
        <v>0.03</v>
      </c>
      <c r="AB901" s="8">
        <v>0.32</v>
      </c>
      <c r="AC901" s="8">
        <v>0.32</v>
      </c>
      <c r="AD901" s="8">
        <v>0.32</v>
      </c>
      <c r="AE901" s="8">
        <v>0.32</v>
      </c>
      <c r="AF901" s="8">
        <v>0.32</v>
      </c>
      <c r="AG901" s="8">
        <v>0.32</v>
      </c>
      <c r="AH901" s="8">
        <v>0.32</v>
      </c>
      <c r="AI901" s="8">
        <v>0.32</v>
      </c>
      <c r="AJ901" s="8">
        <v>0.32</v>
      </c>
      <c r="AK901" s="8">
        <v>0.32</v>
      </c>
      <c r="AL901" s="8">
        <v>0.32</v>
      </c>
      <c r="AM901" s="8">
        <v>0.32</v>
      </c>
      <c r="AN901" s="8">
        <v>0.32</v>
      </c>
      <c r="AO901" s="8">
        <v>0.32</v>
      </c>
      <c r="AP901" s="8">
        <v>0.32</v>
      </c>
    </row>
    <row r="902" spans="1:42" hidden="1" x14ac:dyDescent="0.3">
      <c r="A902" s="5" t="s">
        <v>1041</v>
      </c>
      <c r="B902" s="5" t="s">
        <v>31</v>
      </c>
      <c r="C902" s="22">
        <v>45097</v>
      </c>
      <c r="D902" s="22">
        <v>45098</v>
      </c>
      <c r="E902" s="3">
        <v>0</v>
      </c>
      <c r="F902" s="3">
        <v>0</v>
      </c>
      <c r="G902" s="3">
        <v>0</v>
      </c>
      <c r="H902" s="3">
        <v>0</v>
      </c>
      <c r="I902" s="3">
        <v>0</v>
      </c>
      <c r="J902" s="3">
        <v>0</v>
      </c>
      <c r="K902" s="3">
        <v>0</v>
      </c>
      <c r="L902" s="3">
        <v>0</v>
      </c>
      <c r="M902" s="3">
        <v>0</v>
      </c>
      <c r="N902" s="3">
        <v>0</v>
      </c>
      <c r="O902" s="3">
        <v>0</v>
      </c>
      <c r="P902" s="3">
        <v>0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3">
        <v>0.17</v>
      </c>
      <c r="AC902" s="3">
        <v>0.17</v>
      </c>
      <c r="AD902" s="3">
        <v>0.17</v>
      </c>
      <c r="AE902" s="3">
        <v>0.17</v>
      </c>
      <c r="AF902" s="3">
        <v>0.17</v>
      </c>
      <c r="AG902" s="3">
        <v>0.17</v>
      </c>
      <c r="AH902" s="3">
        <v>0.17</v>
      </c>
      <c r="AI902" s="3">
        <v>0.17</v>
      </c>
      <c r="AJ902" s="3">
        <v>0.17</v>
      </c>
      <c r="AK902" s="3">
        <v>0.17</v>
      </c>
      <c r="AL902" s="3">
        <v>0.17</v>
      </c>
      <c r="AM902" s="3">
        <v>0.17</v>
      </c>
      <c r="AN902" s="3">
        <v>0.17</v>
      </c>
      <c r="AO902" s="3">
        <v>0.17</v>
      </c>
      <c r="AP902" s="3">
        <v>0.17</v>
      </c>
    </row>
    <row r="903" spans="1:42" hidden="1" x14ac:dyDescent="0.3">
      <c r="A903" s="5" t="s">
        <v>1042</v>
      </c>
      <c r="B903" s="5" t="s">
        <v>31</v>
      </c>
      <c r="C903" s="22">
        <v>45093</v>
      </c>
      <c r="D903" s="22">
        <v>45096</v>
      </c>
      <c r="E903" s="3">
        <v>0</v>
      </c>
      <c r="F903" s="3">
        <v>0</v>
      </c>
      <c r="G903" s="3">
        <v>0</v>
      </c>
      <c r="H903" s="3">
        <v>0</v>
      </c>
      <c r="I903" s="3">
        <v>0</v>
      </c>
      <c r="J903" s="3">
        <v>0</v>
      </c>
      <c r="K903" s="3">
        <v>0</v>
      </c>
      <c r="L903" s="3">
        <v>0</v>
      </c>
      <c r="M903" s="3">
        <v>0</v>
      </c>
      <c r="N903" s="3">
        <v>0</v>
      </c>
      <c r="O903" s="3">
        <v>0</v>
      </c>
      <c r="P903" s="3">
        <v>0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3">
        <v>0</v>
      </c>
      <c r="AA903" s="3">
        <v>0</v>
      </c>
      <c r="AB903" s="3">
        <v>0.02</v>
      </c>
      <c r="AC903" s="3">
        <v>0.02</v>
      </c>
      <c r="AD903" s="3">
        <v>0.02</v>
      </c>
      <c r="AE903" s="3">
        <v>0.02</v>
      </c>
      <c r="AF903" s="3">
        <v>0.02</v>
      </c>
      <c r="AG903" s="3">
        <v>0.02</v>
      </c>
      <c r="AH903" s="3">
        <v>0.02</v>
      </c>
      <c r="AI903" s="3">
        <v>0.02</v>
      </c>
      <c r="AJ903" s="3">
        <v>0.02</v>
      </c>
      <c r="AK903" s="3">
        <v>0.02</v>
      </c>
      <c r="AL903" s="3">
        <v>0.02</v>
      </c>
      <c r="AM903" s="3">
        <v>0.02</v>
      </c>
      <c r="AN903" s="3">
        <v>0.02</v>
      </c>
      <c r="AO903" s="3">
        <v>0.02</v>
      </c>
      <c r="AP903" s="3">
        <v>0.02</v>
      </c>
    </row>
    <row r="904" spans="1:42" hidden="1" x14ac:dyDescent="0.3">
      <c r="A904" s="5" t="s">
        <v>1043</v>
      </c>
      <c r="B904" s="5" t="s">
        <v>31</v>
      </c>
      <c r="C904" s="22">
        <v>45091</v>
      </c>
      <c r="D904" s="22">
        <v>45093</v>
      </c>
      <c r="E904" s="3">
        <v>0</v>
      </c>
      <c r="F904" s="3">
        <v>0</v>
      </c>
      <c r="G904" s="3">
        <v>0</v>
      </c>
      <c r="H904" s="3">
        <v>0</v>
      </c>
      <c r="I904" s="3">
        <v>0</v>
      </c>
      <c r="J904" s="3">
        <v>0</v>
      </c>
      <c r="K904" s="3">
        <v>0</v>
      </c>
      <c r="L904" s="3">
        <v>0</v>
      </c>
      <c r="M904" s="3">
        <v>0</v>
      </c>
      <c r="N904" s="3">
        <v>0</v>
      </c>
      <c r="O904" s="3">
        <v>0</v>
      </c>
      <c r="P904" s="3">
        <v>0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3">
        <v>0</v>
      </c>
      <c r="AB904" s="3">
        <v>0.02</v>
      </c>
      <c r="AC904" s="3">
        <v>0.02</v>
      </c>
      <c r="AD904" s="3">
        <v>0.02</v>
      </c>
      <c r="AE904" s="3">
        <v>0.02</v>
      </c>
      <c r="AF904" s="3">
        <v>0.02</v>
      </c>
      <c r="AG904" s="3">
        <v>0.02</v>
      </c>
      <c r="AH904" s="3">
        <v>0.02</v>
      </c>
      <c r="AI904" s="3">
        <v>0.02</v>
      </c>
      <c r="AJ904" s="3">
        <v>0.02</v>
      </c>
      <c r="AK904" s="3">
        <v>0.02</v>
      </c>
      <c r="AL904" s="3">
        <v>0.02</v>
      </c>
      <c r="AM904" s="3">
        <v>0.02</v>
      </c>
      <c r="AN904" s="3">
        <v>0.02</v>
      </c>
      <c r="AO904" s="3">
        <v>0.02</v>
      </c>
      <c r="AP904" s="3">
        <v>0.02</v>
      </c>
    </row>
    <row r="905" spans="1:42" hidden="1" x14ac:dyDescent="0.3">
      <c r="A905" s="5" t="s">
        <v>1044</v>
      </c>
      <c r="B905" s="5" t="s">
        <v>31</v>
      </c>
      <c r="C905" s="22">
        <v>45089</v>
      </c>
      <c r="D905" s="22">
        <v>45091</v>
      </c>
      <c r="E905" s="3">
        <v>0</v>
      </c>
      <c r="F905" s="3">
        <v>0</v>
      </c>
      <c r="G905" s="3">
        <v>0</v>
      </c>
      <c r="H905" s="3">
        <v>0</v>
      </c>
      <c r="I905" s="3">
        <v>0</v>
      </c>
      <c r="J905" s="3">
        <v>0</v>
      </c>
      <c r="K905" s="3">
        <v>0</v>
      </c>
      <c r="L905" s="3">
        <v>0</v>
      </c>
      <c r="M905" s="3">
        <v>0</v>
      </c>
      <c r="N905" s="3">
        <v>0</v>
      </c>
      <c r="O905" s="3">
        <v>0</v>
      </c>
      <c r="P905" s="3">
        <v>0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3">
        <v>0.02</v>
      </c>
      <c r="AC905" s="3">
        <v>0.02</v>
      </c>
      <c r="AD905" s="3">
        <v>0.02</v>
      </c>
      <c r="AE905" s="3">
        <v>0.02</v>
      </c>
      <c r="AF905" s="3">
        <v>0.02</v>
      </c>
      <c r="AG905" s="3">
        <v>0.02</v>
      </c>
      <c r="AH905" s="3">
        <v>0.02</v>
      </c>
      <c r="AI905" s="3">
        <v>0.02</v>
      </c>
      <c r="AJ905" s="3">
        <v>0.02</v>
      </c>
      <c r="AK905" s="3">
        <v>0.02</v>
      </c>
      <c r="AL905" s="3">
        <v>0.02</v>
      </c>
      <c r="AM905" s="3">
        <v>0.02</v>
      </c>
      <c r="AN905" s="3">
        <v>0.02</v>
      </c>
      <c r="AO905" s="3">
        <v>0.02</v>
      </c>
      <c r="AP905" s="3">
        <v>0.02</v>
      </c>
    </row>
    <row r="906" spans="1:42" hidden="1" x14ac:dyDescent="0.3">
      <c r="A906" s="5" t="s">
        <v>1045</v>
      </c>
      <c r="B906" s="5" t="s">
        <v>31</v>
      </c>
      <c r="C906" s="22">
        <v>45084</v>
      </c>
      <c r="D906" s="22">
        <v>45089</v>
      </c>
      <c r="E906" s="3">
        <v>0</v>
      </c>
      <c r="F906" s="3">
        <v>0</v>
      </c>
      <c r="G906" s="3">
        <v>0</v>
      </c>
      <c r="H906" s="3">
        <v>0</v>
      </c>
      <c r="I906" s="3">
        <v>0</v>
      </c>
      <c r="J906" s="3">
        <v>0</v>
      </c>
      <c r="K906" s="3">
        <v>0</v>
      </c>
      <c r="L906" s="3">
        <v>0</v>
      </c>
      <c r="M906" s="3">
        <v>0</v>
      </c>
      <c r="N906" s="3">
        <v>0</v>
      </c>
      <c r="O906" s="3">
        <v>0</v>
      </c>
      <c r="P906" s="3">
        <v>0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3">
        <v>0.02</v>
      </c>
      <c r="AC906" s="3">
        <v>0.02</v>
      </c>
      <c r="AD906" s="3">
        <v>0.02</v>
      </c>
      <c r="AE906" s="3">
        <v>0.02</v>
      </c>
      <c r="AF906" s="3">
        <v>0.02</v>
      </c>
      <c r="AG906" s="3">
        <v>0.02</v>
      </c>
      <c r="AH906" s="3">
        <v>0.02</v>
      </c>
      <c r="AI906" s="3">
        <v>0.02</v>
      </c>
      <c r="AJ906" s="3">
        <v>0.02</v>
      </c>
      <c r="AK906" s="3">
        <v>0.02</v>
      </c>
      <c r="AL906" s="3">
        <v>0.02</v>
      </c>
      <c r="AM906" s="3">
        <v>0.02</v>
      </c>
      <c r="AN906" s="3">
        <v>0.02</v>
      </c>
      <c r="AO906" s="3">
        <v>0.02</v>
      </c>
      <c r="AP906" s="3">
        <v>0.02</v>
      </c>
    </row>
    <row r="907" spans="1:42" hidden="1" x14ac:dyDescent="0.3">
      <c r="A907" s="5" t="s">
        <v>1046</v>
      </c>
      <c r="B907" s="5" t="s">
        <v>31</v>
      </c>
      <c r="C907" s="22">
        <v>45082</v>
      </c>
      <c r="D907" s="22">
        <v>45084</v>
      </c>
      <c r="E907" s="3">
        <v>0</v>
      </c>
      <c r="F907" s="3">
        <v>0</v>
      </c>
      <c r="G907" s="3">
        <v>0</v>
      </c>
      <c r="H907" s="3">
        <v>0</v>
      </c>
      <c r="I907" s="3">
        <v>0</v>
      </c>
      <c r="J907" s="3">
        <v>0</v>
      </c>
      <c r="K907" s="3">
        <v>0</v>
      </c>
      <c r="L907" s="3">
        <v>0</v>
      </c>
      <c r="M907" s="3">
        <v>0</v>
      </c>
      <c r="N907" s="3">
        <v>0</v>
      </c>
      <c r="O907" s="3">
        <v>0</v>
      </c>
      <c r="P907" s="3">
        <v>0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  <c r="Z907" s="3">
        <v>0</v>
      </c>
      <c r="AA907" s="3">
        <v>0</v>
      </c>
      <c r="AB907" s="3">
        <v>0.02</v>
      </c>
      <c r="AC907" s="3">
        <v>0.02</v>
      </c>
      <c r="AD907" s="3">
        <v>0.02</v>
      </c>
      <c r="AE907" s="3">
        <v>0.02</v>
      </c>
      <c r="AF907" s="3">
        <v>0.02</v>
      </c>
      <c r="AG907" s="3">
        <v>0.02</v>
      </c>
      <c r="AH907" s="3">
        <v>0.02</v>
      </c>
      <c r="AI907" s="3">
        <v>0.02</v>
      </c>
      <c r="AJ907" s="3">
        <v>0.02</v>
      </c>
      <c r="AK907" s="3">
        <v>0.02</v>
      </c>
      <c r="AL907" s="3">
        <v>0.02</v>
      </c>
      <c r="AM907" s="3">
        <v>0.02</v>
      </c>
      <c r="AN907" s="3">
        <v>0.02</v>
      </c>
      <c r="AO907" s="3">
        <v>0.02</v>
      </c>
      <c r="AP907" s="3">
        <v>0.02</v>
      </c>
    </row>
    <row r="908" spans="1:42" hidden="1" x14ac:dyDescent="0.3">
      <c r="A908" s="5" t="s">
        <v>1047</v>
      </c>
      <c r="B908" s="5" t="s">
        <v>31</v>
      </c>
      <c r="C908" s="22">
        <v>45079</v>
      </c>
      <c r="D908" s="22">
        <v>45082</v>
      </c>
      <c r="E908" s="3">
        <v>0</v>
      </c>
      <c r="F908" s="3">
        <v>0</v>
      </c>
      <c r="G908" s="3">
        <v>0</v>
      </c>
      <c r="H908" s="3">
        <v>0</v>
      </c>
      <c r="I908" s="3">
        <v>0</v>
      </c>
      <c r="J908" s="3">
        <v>0</v>
      </c>
      <c r="K908" s="3">
        <v>0</v>
      </c>
      <c r="L908" s="3">
        <v>0</v>
      </c>
      <c r="M908" s="3">
        <v>0</v>
      </c>
      <c r="N908" s="3">
        <v>0</v>
      </c>
      <c r="O908" s="3">
        <v>0</v>
      </c>
      <c r="P908" s="3">
        <v>0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3">
        <v>0</v>
      </c>
      <c r="AA908" s="3">
        <v>0</v>
      </c>
      <c r="AB908" s="3">
        <v>0.02</v>
      </c>
      <c r="AC908" s="3">
        <v>0.02</v>
      </c>
      <c r="AD908" s="3">
        <v>0.02</v>
      </c>
      <c r="AE908" s="3">
        <v>0.02</v>
      </c>
      <c r="AF908" s="3">
        <v>0.02</v>
      </c>
      <c r="AG908" s="3">
        <v>0.02</v>
      </c>
      <c r="AH908" s="3">
        <v>0.02</v>
      </c>
      <c r="AI908" s="3">
        <v>0.02</v>
      </c>
      <c r="AJ908" s="3">
        <v>0.02</v>
      </c>
      <c r="AK908" s="3">
        <v>0.02</v>
      </c>
      <c r="AL908" s="3">
        <v>0.02</v>
      </c>
      <c r="AM908" s="3">
        <v>0.02</v>
      </c>
      <c r="AN908" s="3">
        <v>0.02</v>
      </c>
      <c r="AO908" s="3">
        <v>0.02</v>
      </c>
      <c r="AP908" s="3">
        <v>0.02</v>
      </c>
    </row>
    <row r="909" spans="1:42" hidden="1" x14ac:dyDescent="0.3">
      <c r="A909" s="5" t="s">
        <v>1048</v>
      </c>
      <c r="B909" s="5" t="s">
        <v>31</v>
      </c>
      <c r="C909" s="22">
        <v>45077</v>
      </c>
      <c r="D909" s="22">
        <v>45078</v>
      </c>
      <c r="E909" s="3">
        <v>0</v>
      </c>
      <c r="F909" s="3">
        <v>0</v>
      </c>
      <c r="G909" s="3">
        <v>0</v>
      </c>
      <c r="H909" s="3">
        <v>0</v>
      </c>
      <c r="I909" s="3">
        <v>0</v>
      </c>
      <c r="J909" s="3">
        <v>0</v>
      </c>
      <c r="K909" s="3">
        <v>0</v>
      </c>
      <c r="L909" s="3">
        <v>0</v>
      </c>
      <c r="M909" s="3">
        <v>0</v>
      </c>
      <c r="N909" s="3">
        <v>0</v>
      </c>
      <c r="O909" s="3">
        <v>0</v>
      </c>
      <c r="P909" s="3">
        <v>0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  <c r="Z909" s="3">
        <v>0</v>
      </c>
      <c r="AA909" s="3">
        <v>0.01</v>
      </c>
      <c r="AB909" s="3">
        <v>0.02</v>
      </c>
      <c r="AC909" s="3">
        <v>0.02</v>
      </c>
      <c r="AD909" s="3">
        <v>0.02</v>
      </c>
      <c r="AE909" s="3">
        <v>0.02</v>
      </c>
      <c r="AF909" s="3">
        <v>0.02</v>
      </c>
      <c r="AG909" s="3">
        <v>0.02</v>
      </c>
      <c r="AH909" s="3">
        <v>0.02</v>
      </c>
      <c r="AI909" s="3">
        <v>0.02</v>
      </c>
      <c r="AJ909" s="3">
        <v>0.02</v>
      </c>
      <c r="AK909" s="3">
        <v>0.02</v>
      </c>
      <c r="AL909" s="3">
        <v>0.02</v>
      </c>
      <c r="AM909" s="3">
        <v>0.02</v>
      </c>
      <c r="AN909" s="3">
        <v>0.02</v>
      </c>
      <c r="AO909" s="3">
        <v>0.02</v>
      </c>
      <c r="AP909" s="3">
        <v>0.02</v>
      </c>
    </row>
    <row r="910" spans="1:42" hidden="1" x14ac:dyDescent="0.3">
      <c r="A910" s="5" t="s">
        <v>1049</v>
      </c>
      <c r="B910" s="5" t="s">
        <v>31</v>
      </c>
      <c r="C910" s="22">
        <v>45075</v>
      </c>
      <c r="D910" s="22">
        <v>45077</v>
      </c>
      <c r="E910" s="3">
        <v>0</v>
      </c>
      <c r="F910" s="3">
        <v>0</v>
      </c>
      <c r="G910" s="3">
        <v>0</v>
      </c>
      <c r="H910" s="3">
        <v>0</v>
      </c>
      <c r="I910" s="3">
        <v>0</v>
      </c>
      <c r="J910" s="3">
        <v>0</v>
      </c>
      <c r="K910" s="3">
        <v>0</v>
      </c>
      <c r="L910" s="3">
        <v>0</v>
      </c>
      <c r="M910" s="3">
        <v>0</v>
      </c>
      <c r="N910" s="3">
        <v>0</v>
      </c>
      <c r="O910" s="3">
        <v>0</v>
      </c>
      <c r="P910" s="3">
        <v>0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  <c r="Z910" s="3">
        <v>0</v>
      </c>
      <c r="AA910" s="3">
        <v>0.02</v>
      </c>
      <c r="AB910" s="3">
        <v>0.02</v>
      </c>
      <c r="AC910" s="3">
        <v>0.02</v>
      </c>
      <c r="AD910" s="3">
        <v>0.02</v>
      </c>
      <c r="AE910" s="3">
        <v>0.02</v>
      </c>
      <c r="AF910" s="3">
        <v>0.02</v>
      </c>
      <c r="AG910" s="3">
        <v>0.02</v>
      </c>
      <c r="AH910" s="3">
        <v>0.02</v>
      </c>
      <c r="AI910" s="3">
        <v>0.02</v>
      </c>
      <c r="AJ910" s="3">
        <v>0.02</v>
      </c>
      <c r="AK910" s="3">
        <v>0.02</v>
      </c>
      <c r="AL910" s="3">
        <v>0.02</v>
      </c>
      <c r="AM910" s="3">
        <v>0.02</v>
      </c>
      <c r="AN910" s="3">
        <v>0.02</v>
      </c>
      <c r="AO910" s="3">
        <v>0.02</v>
      </c>
      <c r="AP910" s="3">
        <v>0.02</v>
      </c>
    </row>
    <row r="911" spans="1:42" hidden="1" x14ac:dyDescent="0.3">
      <c r="A911" s="15" t="s">
        <v>1050</v>
      </c>
      <c r="B911" s="15" t="s">
        <v>45</v>
      </c>
      <c r="C911" s="20">
        <v>45133</v>
      </c>
      <c r="D911" s="20">
        <v>45155</v>
      </c>
      <c r="E911" s="8">
        <v>0</v>
      </c>
      <c r="F911" s="8">
        <v>0</v>
      </c>
      <c r="G911" s="8">
        <v>0</v>
      </c>
      <c r="H911" s="8">
        <v>0</v>
      </c>
      <c r="I911" s="8">
        <v>0</v>
      </c>
      <c r="J911" s="8">
        <v>0</v>
      </c>
      <c r="K911" s="8">
        <v>0</v>
      </c>
      <c r="L911" s="8">
        <v>0</v>
      </c>
      <c r="M911" s="8">
        <v>0</v>
      </c>
      <c r="N911" s="8">
        <v>0</v>
      </c>
      <c r="O911" s="8">
        <v>0</v>
      </c>
      <c r="P911" s="8">
        <v>0</v>
      </c>
      <c r="Q911" s="8">
        <v>0</v>
      </c>
      <c r="R911" s="8">
        <v>0</v>
      </c>
      <c r="S911" s="8">
        <v>0</v>
      </c>
      <c r="T911" s="8">
        <v>0</v>
      </c>
      <c r="U911" s="8">
        <v>0</v>
      </c>
      <c r="V911" s="8">
        <v>0</v>
      </c>
      <c r="W911" s="8">
        <v>0</v>
      </c>
      <c r="X911" s="8">
        <v>0</v>
      </c>
      <c r="Y911" s="8">
        <v>0</v>
      </c>
      <c r="Z911" s="8">
        <v>0</v>
      </c>
      <c r="AA911" s="8">
        <v>0</v>
      </c>
      <c r="AB911" s="8">
        <v>0</v>
      </c>
      <c r="AC911" s="8">
        <v>0.04</v>
      </c>
      <c r="AD911" s="8">
        <v>0.32</v>
      </c>
      <c r="AE911" s="8">
        <v>0.32</v>
      </c>
      <c r="AF911" s="8">
        <v>0.32</v>
      </c>
      <c r="AG911" s="8">
        <v>0.32</v>
      </c>
      <c r="AH911" s="8">
        <v>0.32</v>
      </c>
      <c r="AI911" s="8">
        <v>0.32</v>
      </c>
      <c r="AJ911" s="8">
        <v>0.32</v>
      </c>
      <c r="AK911" s="8">
        <v>0.32</v>
      </c>
      <c r="AL911" s="8">
        <v>0.32</v>
      </c>
      <c r="AM911" s="8">
        <v>0.32</v>
      </c>
      <c r="AN911" s="8">
        <v>0.32</v>
      </c>
      <c r="AO911" s="8">
        <v>0.32</v>
      </c>
      <c r="AP911" s="8">
        <v>0.32</v>
      </c>
    </row>
    <row r="912" spans="1:42" hidden="1" x14ac:dyDescent="0.3">
      <c r="A912" s="5" t="s">
        <v>1051</v>
      </c>
      <c r="B912" s="5" t="s">
        <v>31</v>
      </c>
      <c r="C912" s="22">
        <v>45154</v>
      </c>
      <c r="D912" s="22">
        <v>45155</v>
      </c>
      <c r="E912" s="3">
        <v>0</v>
      </c>
      <c r="F912" s="3">
        <v>0</v>
      </c>
      <c r="G912" s="3">
        <v>0</v>
      </c>
      <c r="H912" s="3">
        <v>0</v>
      </c>
      <c r="I912" s="3">
        <v>0</v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  <c r="O912" s="3">
        <v>0</v>
      </c>
      <c r="P912" s="3">
        <v>0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  <c r="AA912" s="3">
        <v>0</v>
      </c>
      <c r="AB912" s="3">
        <v>0</v>
      </c>
      <c r="AC912" s="3">
        <v>0</v>
      </c>
      <c r="AD912" s="3">
        <v>0.17</v>
      </c>
      <c r="AE912" s="3">
        <v>0.17</v>
      </c>
      <c r="AF912" s="3">
        <v>0.17</v>
      </c>
      <c r="AG912" s="3">
        <v>0.17</v>
      </c>
      <c r="AH912" s="3">
        <v>0.17</v>
      </c>
      <c r="AI912" s="3">
        <v>0.17</v>
      </c>
      <c r="AJ912" s="3">
        <v>0.17</v>
      </c>
      <c r="AK912" s="3">
        <v>0.17</v>
      </c>
      <c r="AL912" s="3">
        <v>0.17</v>
      </c>
      <c r="AM912" s="3">
        <v>0.17</v>
      </c>
      <c r="AN912" s="3">
        <v>0.17</v>
      </c>
      <c r="AO912" s="3">
        <v>0.17</v>
      </c>
      <c r="AP912" s="3">
        <v>0.17</v>
      </c>
    </row>
    <row r="913" spans="1:42" hidden="1" x14ac:dyDescent="0.3">
      <c r="A913" s="5" t="s">
        <v>1052</v>
      </c>
      <c r="B913" s="5" t="s">
        <v>31</v>
      </c>
      <c r="C913" s="22">
        <v>45152</v>
      </c>
      <c r="D913" s="22">
        <v>45154</v>
      </c>
      <c r="E913" s="3">
        <v>0</v>
      </c>
      <c r="F913" s="3">
        <v>0</v>
      </c>
      <c r="G913" s="3">
        <v>0</v>
      </c>
      <c r="H913" s="3">
        <v>0</v>
      </c>
      <c r="I913" s="3">
        <v>0</v>
      </c>
      <c r="J913" s="3">
        <v>0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3">
        <v>0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  <c r="AA913" s="3">
        <v>0</v>
      </c>
      <c r="AB913" s="3">
        <v>0</v>
      </c>
      <c r="AC913" s="3">
        <v>0</v>
      </c>
      <c r="AD913" s="3">
        <v>0.02</v>
      </c>
      <c r="AE913" s="3">
        <v>0.02</v>
      </c>
      <c r="AF913" s="3">
        <v>0.02</v>
      </c>
      <c r="AG913" s="3">
        <v>0.02</v>
      </c>
      <c r="AH913" s="3">
        <v>0.02</v>
      </c>
      <c r="AI913" s="3">
        <v>0.02</v>
      </c>
      <c r="AJ913" s="3">
        <v>0.02</v>
      </c>
      <c r="AK913" s="3">
        <v>0.02</v>
      </c>
      <c r="AL913" s="3">
        <v>0.02</v>
      </c>
      <c r="AM913" s="3">
        <v>0.02</v>
      </c>
      <c r="AN913" s="3">
        <v>0.02</v>
      </c>
      <c r="AO913" s="3">
        <v>0.02</v>
      </c>
      <c r="AP913" s="3">
        <v>0.02</v>
      </c>
    </row>
    <row r="914" spans="1:42" hidden="1" x14ac:dyDescent="0.3">
      <c r="A914" s="5" t="s">
        <v>1053</v>
      </c>
      <c r="B914" s="5" t="s">
        <v>31</v>
      </c>
      <c r="C914" s="22">
        <v>45148</v>
      </c>
      <c r="D914" s="22">
        <v>45152</v>
      </c>
      <c r="E914" s="3">
        <v>0</v>
      </c>
      <c r="F914" s="3">
        <v>0</v>
      </c>
      <c r="G914" s="3">
        <v>0</v>
      </c>
      <c r="H914" s="3">
        <v>0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0</v>
      </c>
      <c r="O914" s="3">
        <v>0</v>
      </c>
      <c r="P914" s="3">
        <v>0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3">
        <v>0</v>
      </c>
      <c r="Y914" s="3">
        <v>0</v>
      </c>
      <c r="Z914" s="3">
        <v>0</v>
      </c>
      <c r="AA914" s="3">
        <v>0</v>
      </c>
      <c r="AB914" s="3">
        <v>0</v>
      </c>
      <c r="AC914" s="3">
        <v>0</v>
      </c>
      <c r="AD914" s="3">
        <v>0.02</v>
      </c>
      <c r="AE914" s="3">
        <v>0.02</v>
      </c>
      <c r="AF914" s="3">
        <v>0.02</v>
      </c>
      <c r="AG914" s="3">
        <v>0.02</v>
      </c>
      <c r="AH914" s="3">
        <v>0.02</v>
      </c>
      <c r="AI914" s="3">
        <v>0.02</v>
      </c>
      <c r="AJ914" s="3">
        <v>0.02</v>
      </c>
      <c r="AK914" s="3">
        <v>0.02</v>
      </c>
      <c r="AL914" s="3">
        <v>0.02</v>
      </c>
      <c r="AM914" s="3">
        <v>0.02</v>
      </c>
      <c r="AN914" s="3">
        <v>0.02</v>
      </c>
      <c r="AO914" s="3">
        <v>0.02</v>
      </c>
      <c r="AP914" s="3">
        <v>0.02</v>
      </c>
    </row>
    <row r="915" spans="1:42" hidden="1" x14ac:dyDescent="0.3">
      <c r="A915" s="5" t="s">
        <v>1054</v>
      </c>
      <c r="B915" s="5" t="s">
        <v>31</v>
      </c>
      <c r="C915" s="22">
        <v>45146</v>
      </c>
      <c r="D915" s="22">
        <v>45148</v>
      </c>
      <c r="E915" s="3">
        <v>0</v>
      </c>
      <c r="F915" s="3">
        <v>0</v>
      </c>
      <c r="G915" s="3">
        <v>0</v>
      </c>
      <c r="H915" s="3">
        <v>0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  <c r="N915" s="3">
        <v>0</v>
      </c>
      <c r="O915" s="3">
        <v>0</v>
      </c>
      <c r="P915" s="3">
        <v>0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  <c r="AB915" s="3">
        <v>0</v>
      </c>
      <c r="AC915" s="3">
        <v>0</v>
      </c>
      <c r="AD915" s="3">
        <v>0.02</v>
      </c>
      <c r="AE915" s="3">
        <v>0.02</v>
      </c>
      <c r="AF915" s="3">
        <v>0.02</v>
      </c>
      <c r="AG915" s="3">
        <v>0.02</v>
      </c>
      <c r="AH915" s="3">
        <v>0.02</v>
      </c>
      <c r="AI915" s="3">
        <v>0.02</v>
      </c>
      <c r="AJ915" s="3">
        <v>0.02</v>
      </c>
      <c r="AK915" s="3">
        <v>0.02</v>
      </c>
      <c r="AL915" s="3">
        <v>0.02</v>
      </c>
      <c r="AM915" s="3">
        <v>0.02</v>
      </c>
      <c r="AN915" s="3">
        <v>0.02</v>
      </c>
      <c r="AO915" s="3">
        <v>0.02</v>
      </c>
      <c r="AP915" s="3">
        <v>0.02</v>
      </c>
    </row>
    <row r="916" spans="1:42" hidden="1" x14ac:dyDescent="0.3">
      <c r="A916" s="5" t="s">
        <v>1055</v>
      </c>
      <c r="B916" s="5" t="s">
        <v>31</v>
      </c>
      <c r="C916" s="22">
        <v>45142</v>
      </c>
      <c r="D916" s="22">
        <v>45146</v>
      </c>
      <c r="E916" s="3">
        <v>0</v>
      </c>
      <c r="F916" s="3">
        <v>0</v>
      </c>
      <c r="G916" s="3">
        <v>0</v>
      </c>
      <c r="H916" s="3">
        <v>0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3">
        <v>0</v>
      </c>
      <c r="AA916" s="3">
        <v>0</v>
      </c>
      <c r="AB916" s="3">
        <v>0</v>
      </c>
      <c r="AC916" s="3">
        <v>0</v>
      </c>
      <c r="AD916" s="3">
        <v>0.02</v>
      </c>
      <c r="AE916" s="3">
        <v>0.02</v>
      </c>
      <c r="AF916" s="3">
        <v>0.02</v>
      </c>
      <c r="AG916" s="3">
        <v>0.02</v>
      </c>
      <c r="AH916" s="3">
        <v>0.02</v>
      </c>
      <c r="AI916" s="3">
        <v>0.02</v>
      </c>
      <c r="AJ916" s="3">
        <v>0.02</v>
      </c>
      <c r="AK916" s="3">
        <v>0.02</v>
      </c>
      <c r="AL916" s="3">
        <v>0.02</v>
      </c>
      <c r="AM916" s="3">
        <v>0.02</v>
      </c>
      <c r="AN916" s="3">
        <v>0.02</v>
      </c>
      <c r="AO916" s="3">
        <v>0.02</v>
      </c>
      <c r="AP916" s="3">
        <v>0.02</v>
      </c>
    </row>
    <row r="917" spans="1:42" hidden="1" x14ac:dyDescent="0.3">
      <c r="A917" s="5" t="s">
        <v>1056</v>
      </c>
      <c r="B917" s="5" t="s">
        <v>31</v>
      </c>
      <c r="C917" s="22">
        <v>45141</v>
      </c>
      <c r="D917" s="22">
        <v>45142</v>
      </c>
      <c r="E917" s="3">
        <v>0</v>
      </c>
      <c r="F917" s="3">
        <v>0</v>
      </c>
      <c r="G917" s="3">
        <v>0</v>
      </c>
      <c r="H917" s="3">
        <v>0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>
        <v>0</v>
      </c>
      <c r="P917" s="3">
        <v>0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3">
        <v>0</v>
      </c>
      <c r="AA917" s="3">
        <v>0</v>
      </c>
      <c r="AB917" s="3">
        <v>0</v>
      </c>
      <c r="AC917" s="3">
        <v>0</v>
      </c>
      <c r="AD917" s="3">
        <v>0.02</v>
      </c>
      <c r="AE917" s="3">
        <v>0.02</v>
      </c>
      <c r="AF917" s="3">
        <v>0.02</v>
      </c>
      <c r="AG917" s="3">
        <v>0.02</v>
      </c>
      <c r="AH917" s="3">
        <v>0.02</v>
      </c>
      <c r="AI917" s="3">
        <v>0.02</v>
      </c>
      <c r="AJ917" s="3">
        <v>0.02</v>
      </c>
      <c r="AK917" s="3">
        <v>0.02</v>
      </c>
      <c r="AL917" s="3">
        <v>0.02</v>
      </c>
      <c r="AM917" s="3">
        <v>0.02</v>
      </c>
      <c r="AN917" s="3">
        <v>0.02</v>
      </c>
      <c r="AO917" s="3">
        <v>0.02</v>
      </c>
      <c r="AP917" s="3">
        <v>0.02</v>
      </c>
    </row>
    <row r="918" spans="1:42" hidden="1" x14ac:dyDescent="0.3">
      <c r="A918" s="5" t="s">
        <v>1057</v>
      </c>
      <c r="B918" s="5" t="s">
        <v>31</v>
      </c>
      <c r="C918" s="22">
        <v>45139</v>
      </c>
      <c r="D918" s="22">
        <v>45140</v>
      </c>
      <c r="E918" s="3">
        <v>0</v>
      </c>
      <c r="F918" s="3">
        <v>0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3">
        <v>0</v>
      </c>
      <c r="Y918" s="3">
        <v>0</v>
      </c>
      <c r="Z918" s="3">
        <v>0</v>
      </c>
      <c r="AA918" s="3">
        <v>0</v>
      </c>
      <c r="AB918" s="3">
        <v>0</v>
      </c>
      <c r="AC918" s="3">
        <v>0</v>
      </c>
      <c r="AD918" s="3">
        <v>0.02</v>
      </c>
      <c r="AE918" s="3">
        <v>0.02</v>
      </c>
      <c r="AF918" s="3">
        <v>0.02</v>
      </c>
      <c r="AG918" s="3">
        <v>0.02</v>
      </c>
      <c r="AH918" s="3">
        <v>0.02</v>
      </c>
      <c r="AI918" s="3">
        <v>0.02</v>
      </c>
      <c r="AJ918" s="3">
        <v>0.02</v>
      </c>
      <c r="AK918" s="3">
        <v>0.02</v>
      </c>
      <c r="AL918" s="3">
        <v>0.02</v>
      </c>
      <c r="AM918" s="3">
        <v>0.02</v>
      </c>
      <c r="AN918" s="3">
        <v>0.02</v>
      </c>
      <c r="AO918" s="3">
        <v>0.02</v>
      </c>
      <c r="AP918" s="3">
        <v>0.02</v>
      </c>
    </row>
    <row r="919" spans="1:42" hidden="1" x14ac:dyDescent="0.3">
      <c r="A919" s="5" t="s">
        <v>1058</v>
      </c>
      <c r="B919" s="5" t="s">
        <v>31</v>
      </c>
      <c r="C919" s="22">
        <v>45135</v>
      </c>
      <c r="D919" s="22">
        <v>45139</v>
      </c>
      <c r="E919" s="3">
        <v>0</v>
      </c>
      <c r="F919" s="3">
        <v>0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  <c r="Z919" s="3">
        <v>0</v>
      </c>
      <c r="AA919" s="3">
        <v>0</v>
      </c>
      <c r="AB919" s="3">
        <v>0</v>
      </c>
      <c r="AC919" s="3">
        <v>0.02</v>
      </c>
      <c r="AD919" s="3">
        <v>0.02</v>
      </c>
      <c r="AE919" s="3">
        <v>0.02</v>
      </c>
      <c r="AF919" s="3">
        <v>0.02</v>
      </c>
      <c r="AG919" s="3">
        <v>0.02</v>
      </c>
      <c r="AH919" s="3">
        <v>0.02</v>
      </c>
      <c r="AI919" s="3">
        <v>0.02</v>
      </c>
      <c r="AJ919" s="3">
        <v>0.02</v>
      </c>
      <c r="AK919" s="3">
        <v>0.02</v>
      </c>
      <c r="AL919" s="3">
        <v>0.02</v>
      </c>
      <c r="AM919" s="3">
        <v>0.02</v>
      </c>
      <c r="AN919" s="3">
        <v>0.02</v>
      </c>
      <c r="AO919" s="3">
        <v>0.02</v>
      </c>
      <c r="AP919" s="3">
        <v>0.02</v>
      </c>
    </row>
    <row r="920" spans="1:42" hidden="1" x14ac:dyDescent="0.3">
      <c r="A920" s="5" t="s">
        <v>1059</v>
      </c>
      <c r="B920" s="5" t="s">
        <v>31</v>
      </c>
      <c r="C920" s="22">
        <v>45133</v>
      </c>
      <c r="D920" s="22">
        <v>45135</v>
      </c>
      <c r="E920" s="3">
        <v>0</v>
      </c>
      <c r="F920" s="3">
        <v>0</v>
      </c>
      <c r="G920" s="3">
        <v>0</v>
      </c>
      <c r="H920" s="3">
        <v>0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  <c r="X920" s="3">
        <v>0</v>
      </c>
      <c r="Y920" s="3">
        <v>0</v>
      </c>
      <c r="Z920" s="3">
        <v>0</v>
      </c>
      <c r="AA920" s="3">
        <v>0</v>
      </c>
      <c r="AB920" s="3">
        <v>0</v>
      </c>
      <c r="AC920" s="3">
        <v>0.02</v>
      </c>
      <c r="AD920" s="3">
        <v>0.02</v>
      </c>
      <c r="AE920" s="3">
        <v>0.02</v>
      </c>
      <c r="AF920" s="3">
        <v>0.02</v>
      </c>
      <c r="AG920" s="3">
        <v>0.02</v>
      </c>
      <c r="AH920" s="3">
        <v>0.02</v>
      </c>
      <c r="AI920" s="3">
        <v>0.02</v>
      </c>
      <c r="AJ920" s="3">
        <v>0.02</v>
      </c>
      <c r="AK920" s="3">
        <v>0.02</v>
      </c>
      <c r="AL920" s="3">
        <v>0.02</v>
      </c>
      <c r="AM920" s="3">
        <v>0.02</v>
      </c>
      <c r="AN920" s="3">
        <v>0.02</v>
      </c>
      <c r="AO920" s="3">
        <v>0.02</v>
      </c>
      <c r="AP920" s="3">
        <v>0.02</v>
      </c>
    </row>
    <row r="921" spans="1:42" hidden="1" x14ac:dyDescent="0.3">
      <c r="A921" s="15" t="s">
        <v>1060</v>
      </c>
      <c r="B921" s="15" t="s">
        <v>121</v>
      </c>
      <c r="C921" s="20">
        <v>45155</v>
      </c>
      <c r="D921" s="20">
        <v>45191</v>
      </c>
      <c r="E921" s="8">
        <v>0</v>
      </c>
      <c r="F921" s="8">
        <v>0</v>
      </c>
      <c r="G921" s="8">
        <v>0</v>
      </c>
      <c r="H921" s="8">
        <v>0</v>
      </c>
      <c r="I921" s="8">
        <v>0</v>
      </c>
      <c r="J921" s="8">
        <v>0</v>
      </c>
      <c r="K921" s="8">
        <v>0</v>
      </c>
      <c r="L921" s="8">
        <v>0</v>
      </c>
      <c r="M921" s="8">
        <v>0</v>
      </c>
      <c r="N921" s="8">
        <v>0</v>
      </c>
      <c r="O921" s="8">
        <v>0</v>
      </c>
      <c r="P921" s="8">
        <v>0</v>
      </c>
      <c r="Q921" s="8">
        <v>0</v>
      </c>
      <c r="R921" s="8">
        <v>0</v>
      </c>
      <c r="S921" s="8">
        <v>0</v>
      </c>
      <c r="T921" s="8">
        <v>0</v>
      </c>
      <c r="U921" s="8">
        <v>0</v>
      </c>
      <c r="V921" s="8">
        <v>0</v>
      </c>
      <c r="W921" s="8">
        <v>0</v>
      </c>
      <c r="X921" s="8">
        <v>0</v>
      </c>
      <c r="Y921" s="8">
        <v>0</v>
      </c>
      <c r="Z921" s="8">
        <v>0</v>
      </c>
      <c r="AA921" s="8">
        <v>0</v>
      </c>
      <c r="AB921" s="8">
        <v>0</v>
      </c>
      <c r="AC921" s="8">
        <v>0</v>
      </c>
      <c r="AD921" s="8">
        <v>0.33</v>
      </c>
      <c r="AE921" s="8">
        <v>0.48</v>
      </c>
      <c r="AF921" s="8">
        <v>0.48</v>
      </c>
      <c r="AG921" s="8">
        <v>0.48</v>
      </c>
      <c r="AH921" s="8">
        <v>0.48</v>
      </c>
      <c r="AI921" s="8">
        <v>0.48</v>
      </c>
      <c r="AJ921" s="8">
        <v>0.48</v>
      </c>
      <c r="AK921" s="8">
        <v>0.48</v>
      </c>
      <c r="AL921" s="8">
        <v>0.48</v>
      </c>
      <c r="AM921" s="8">
        <v>0.48</v>
      </c>
      <c r="AN921" s="8">
        <v>0.48</v>
      </c>
      <c r="AO921" s="8">
        <v>0.48</v>
      </c>
      <c r="AP921" s="8">
        <v>0.48</v>
      </c>
    </row>
    <row r="922" spans="1:42" hidden="1" x14ac:dyDescent="0.3">
      <c r="A922" s="5" t="s">
        <v>1061</v>
      </c>
      <c r="B922" s="5" t="s">
        <v>12</v>
      </c>
      <c r="C922" s="22">
        <v>45155</v>
      </c>
      <c r="D922" s="22">
        <v>45160</v>
      </c>
      <c r="E922" s="3">
        <v>0</v>
      </c>
      <c r="F922" s="3">
        <v>0</v>
      </c>
      <c r="G922" s="3">
        <v>0</v>
      </c>
      <c r="H922" s="3">
        <v>0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  <c r="Y922" s="3">
        <v>0</v>
      </c>
      <c r="Z922" s="3">
        <v>0</v>
      </c>
      <c r="AA922" s="3">
        <v>0</v>
      </c>
      <c r="AB922" s="3">
        <v>0</v>
      </c>
      <c r="AC922" s="3">
        <v>0</v>
      </c>
      <c r="AD922" s="3">
        <v>0.25</v>
      </c>
      <c r="AE922" s="3">
        <v>0.25</v>
      </c>
      <c r="AF922" s="3">
        <v>0.25</v>
      </c>
      <c r="AG922" s="3">
        <v>0.25</v>
      </c>
      <c r="AH922" s="3">
        <v>0.25</v>
      </c>
      <c r="AI922" s="3">
        <v>0.25</v>
      </c>
      <c r="AJ922" s="3">
        <v>0.25</v>
      </c>
      <c r="AK922" s="3">
        <v>0.25</v>
      </c>
      <c r="AL922" s="3">
        <v>0.25</v>
      </c>
      <c r="AM922" s="3">
        <v>0.25</v>
      </c>
      <c r="AN922" s="3">
        <v>0.25</v>
      </c>
      <c r="AO922" s="3">
        <v>0.25</v>
      </c>
      <c r="AP922" s="3">
        <v>0.25</v>
      </c>
    </row>
    <row r="923" spans="1:42" hidden="1" x14ac:dyDescent="0.3">
      <c r="A923" s="5" t="s">
        <v>1062</v>
      </c>
      <c r="B923" s="5" t="s">
        <v>12</v>
      </c>
      <c r="C923" s="22">
        <v>45160</v>
      </c>
      <c r="D923" s="22">
        <v>45163</v>
      </c>
      <c r="E923" s="3">
        <v>0</v>
      </c>
      <c r="F923" s="3">
        <v>0</v>
      </c>
      <c r="G923" s="3">
        <v>0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3">
        <v>0</v>
      </c>
      <c r="P923" s="3">
        <v>0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3">
        <v>0</v>
      </c>
      <c r="AA923" s="3">
        <v>0</v>
      </c>
      <c r="AB923" s="3">
        <v>0</v>
      </c>
      <c r="AC923" s="3">
        <v>0</v>
      </c>
      <c r="AD923" s="3">
        <v>0.03</v>
      </c>
      <c r="AE923" s="3">
        <v>0.03</v>
      </c>
      <c r="AF923" s="3">
        <v>0.03</v>
      </c>
      <c r="AG923" s="3">
        <v>0.03</v>
      </c>
      <c r="AH923" s="3">
        <v>0.03</v>
      </c>
      <c r="AI923" s="3">
        <v>0.03</v>
      </c>
      <c r="AJ923" s="3">
        <v>0.03</v>
      </c>
      <c r="AK923" s="3">
        <v>0.03</v>
      </c>
      <c r="AL923" s="3">
        <v>0.03</v>
      </c>
      <c r="AM923" s="3">
        <v>0.03</v>
      </c>
      <c r="AN923" s="3">
        <v>0.03</v>
      </c>
      <c r="AO923" s="3">
        <v>0.03</v>
      </c>
      <c r="AP923" s="3">
        <v>0.03</v>
      </c>
    </row>
    <row r="924" spans="1:42" hidden="1" x14ac:dyDescent="0.3">
      <c r="A924" s="5" t="s">
        <v>1063</v>
      </c>
      <c r="B924" s="5" t="s">
        <v>12</v>
      </c>
      <c r="C924" s="22">
        <v>45163</v>
      </c>
      <c r="D924" s="22">
        <v>45168</v>
      </c>
      <c r="E924" s="3">
        <v>0</v>
      </c>
      <c r="F924" s="3">
        <v>0</v>
      </c>
      <c r="G924" s="3">
        <v>0</v>
      </c>
      <c r="H924" s="3">
        <v>0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s="3">
        <v>0</v>
      </c>
      <c r="O924" s="3">
        <v>0</v>
      </c>
      <c r="P924" s="3">
        <v>0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  <c r="X924" s="3">
        <v>0</v>
      </c>
      <c r="Y924" s="3">
        <v>0</v>
      </c>
      <c r="Z924" s="3">
        <v>0</v>
      </c>
      <c r="AA924" s="3">
        <v>0</v>
      </c>
      <c r="AB924" s="3">
        <v>0</v>
      </c>
      <c r="AC924" s="3">
        <v>0</v>
      </c>
      <c r="AD924" s="3">
        <v>0.03</v>
      </c>
      <c r="AE924" s="3">
        <v>0.03</v>
      </c>
      <c r="AF924" s="3">
        <v>0.03</v>
      </c>
      <c r="AG924" s="3">
        <v>0.03</v>
      </c>
      <c r="AH924" s="3">
        <v>0.03</v>
      </c>
      <c r="AI924" s="3">
        <v>0.03</v>
      </c>
      <c r="AJ924" s="3">
        <v>0.03</v>
      </c>
      <c r="AK924" s="3">
        <v>0.03</v>
      </c>
      <c r="AL924" s="3">
        <v>0.03</v>
      </c>
      <c r="AM924" s="3">
        <v>0.03</v>
      </c>
      <c r="AN924" s="3">
        <v>0.03</v>
      </c>
      <c r="AO924" s="3">
        <v>0.03</v>
      </c>
      <c r="AP924" s="3">
        <v>0.03</v>
      </c>
    </row>
    <row r="925" spans="1:42" hidden="1" x14ac:dyDescent="0.3">
      <c r="A925" s="5" t="s">
        <v>1064</v>
      </c>
      <c r="B925" s="5" t="s">
        <v>12</v>
      </c>
      <c r="C925" s="22">
        <v>45168</v>
      </c>
      <c r="D925" s="22">
        <v>45170</v>
      </c>
      <c r="E925" s="3">
        <v>0</v>
      </c>
      <c r="F925" s="3">
        <v>0</v>
      </c>
      <c r="G925" s="3">
        <v>0</v>
      </c>
      <c r="H925" s="3">
        <v>0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  <c r="O925" s="3">
        <v>0</v>
      </c>
      <c r="P925" s="3">
        <v>0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0</v>
      </c>
      <c r="X925" s="3">
        <v>0</v>
      </c>
      <c r="Y925" s="3">
        <v>0</v>
      </c>
      <c r="Z925" s="3">
        <v>0</v>
      </c>
      <c r="AA925" s="3">
        <v>0</v>
      </c>
      <c r="AB925" s="3">
        <v>0</v>
      </c>
      <c r="AC925" s="3">
        <v>0</v>
      </c>
      <c r="AD925" s="3">
        <v>0.02</v>
      </c>
      <c r="AE925" s="3">
        <v>0.03</v>
      </c>
      <c r="AF925" s="3">
        <v>0.03</v>
      </c>
      <c r="AG925" s="3">
        <v>0.03</v>
      </c>
      <c r="AH925" s="3">
        <v>0.03</v>
      </c>
      <c r="AI925" s="3">
        <v>0.03</v>
      </c>
      <c r="AJ925" s="3">
        <v>0.03</v>
      </c>
      <c r="AK925" s="3">
        <v>0.03</v>
      </c>
      <c r="AL925" s="3">
        <v>0.03</v>
      </c>
      <c r="AM925" s="3">
        <v>0.03</v>
      </c>
      <c r="AN925" s="3">
        <v>0.03</v>
      </c>
      <c r="AO925" s="3">
        <v>0.03</v>
      </c>
      <c r="AP925" s="3">
        <v>0.03</v>
      </c>
    </row>
    <row r="926" spans="1:42" hidden="1" x14ac:dyDescent="0.3">
      <c r="A926" s="5" t="s">
        <v>1065</v>
      </c>
      <c r="B926" s="5" t="s">
        <v>12</v>
      </c>
      <c r="C926" s="22">
        <v>45170</v>
      </c>
      <c r="D926" s="22">
        <v>45175</v>
      </c>
      <c r="E926" s="3">
        <v>0</v>
      </c>
      <c r="F926" s="3">
        <v>0</v>
      </c>
      <c r="G926" s="3">
        <v>0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>
        <v>0</v>
      </c>
      <c r="P926" s="3">
        <v>0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  <c r="AA926" s="3">
        <v>0</v>
      </c>
      <c r="AB926" s="3">
        <v>0</v>
      </c>
      <c r="AC926" s="3">
        <v>0</v>
      </c>
      <c r="AD926" s="3">
        <v>0</v>
      </c>
      <c r="AE926" s="3">
        <v>0.03</v>
      </c>
      <c r="AF926" s="3">
        <v>0.03</v>
      </c>
      <c r="AG926" s="3">
        <v>0.03</v>
      </c>
      <c r="AH926" s="3">
        <v>0.03</v>
      </c>
      <c r="AI926" s="3">
        <v>0.03</v>
      </c>
      <c r="AJ926" s="3">
        <v>0.03</v>
      </c>
      <c r="AK926" s="3">
        <v>0.03</v>
      </c>
      <c r="AL926" s="3">
        <v>0.03</v>
      </c>
      <c r="AM926" s="3">
        <v>0.03</v>
      </c>
      <c r="AN926" s="3">
        <v>0.03</v>
      </c>
      <c r="AO926" s="3">
        <v>0.03</v>
      </c>
      <c r="AP926" s="3">
        <v>0.03</v>
      </c>
    </row>
    <row r="927" spans="1:42" hidden="1" x14ac:dyDescent="0.3">
      <c r="A927" s="5" t="s">
        <v>1066</v>
      </c>
      <c r="B927" s="5" t="s">
        <v>12</v>
      </c>
      <c r="C927" s="22">
        <v>45175</v>
      </c>
      <c r="D927" s="22">
        <v>45181</v>
      </c>
      <c r="E927" s="3">
        <v>0</v>
      </c>
      <c r="F927" s="3">
        <v>0</v>
      </c>
      <c r="G927" s="3">
        <v>0</v>
      </c>
      <c r="H927" s="3">
        <v>0</v>
      </c>
      <c r="I927" s="3">
        <v>0</v>
      </c>
      <c r="J927" s="3">
        <v>0</v>
      </c>
      <c r="K927" s="3">
        <v>0</v>
      </c>
      <c r="L927" s="3">
        <v>0</v>
      </c>
      <c r="M927" s="3">
        <v>0</v>
      </c>
      <c r="N927" s="3">
        <v>0</v>
      </c>
      <c r="O927" s="3">
        <v>0</v>
      </c>
      <c r="P927" s="3">
        <v>0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0</v>
      </c>
      <c r="X927" s="3">
        <v>0</v>
      </c>
      <c r="Y927" s="3">
        <v>0</v>
      </c>
      <c r="Z927" s="3">
        <v>0</v>
      </c>
      <c r="AA927" s="3">
        <v>0</v>
      </c>
      <c r="AB927" s="3">
        <v>0</v>
      </c>
      <c r="AC927" s="3">
        <v>0</v>
      </c>
      <c r="AD927" s="3">
        <v>0</v>
      </c>
      <c r="AE927" s="3">
        <v>0.03</v>
      </c>
      <c r="AF927" s="3">
        <v>0.03</v>
      </c>
      <c r="AG927" s="3">
        <v>0.03</v>
      </c>
      <c r="AH927" s="3">
        <v>0.03</v>
      </c>
      <c r="AI927" s="3">
        <v>0.03</v>
      </c>
      <c r="AJ927" s="3">
        <v>0.03</v>
      </c>
      <c r="AK927" s="3">
        <v>0.03</v>
      </c>
      <c r="AL927" s="3">
        <v>0.03</v>
      </c>
      <c r="AM927" s="3">
        <v>0.03</v>
      </c>
      <c r="AN927" s="3">
        <v>0.03</v>
      </c>
      <c r="AO927" s="3">
        <v>0.03</v>
      </c>
      <c r="AP927" s="3">
        <v>0.03</v>
      </c>
    </row>
    <row r="928" spans="1:42" hidden="1" x14ac:dyDescent="0.3">
      <c r="A928" s="5" t="s">
        <v>1067</v>
      </c>
      <c r="B928" s="5" t="s">
        <v>12</v>
      </c>
      <c r="C928" s="22">
        <v>45181</v>
      </c>
      <c r="D928" s="22">
        <v>45183</v>
      </c>
      <c r="E928" s="3">
        <v>0</v>
      </c>
      <c r="F928" s="3">
        <v>0</v>
      </c>
      <c r="G928" s="3">
        <v>0</v>
      </c>
      <c r="H928" s="3">
        <v>0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  <c r="O928" s="3">
        <v>0</v>
      </c>
      <c r="P928" s="3">
        <v>0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3">
        <v>0</v>
      </c>
      <c r="AC928" s="3">
        <v>0</v>
      </c>
      <c r="AD928" s="3">
        <v>0</v>
      </c>
      <c r="AE928" s="3">
        <v>0.03</v>
      </c>
      <c r="AF928" s="3">
        <v>0.03</v>
      </c>
      <c r="AG928" s="3">
        <v>0.03</v>
      </c>
      <c r="AH928" s="3">
        <v>0.03</v>
      </c>
      <c r="AI928" s="3">
        <v>0.03</v>
      </c>
      <c r="AJ928" s="3">
        <v>0.03</v>
      </c>
      <c r="AK928" s="3">
        <v>0.03</v>
      </c>
      <c r="AL928" s="3">
        <v>0.03</v>
      </c>
      <c r="AM928" s="3">
        <v>0.03</v>
      </c>
      <c r="AN928" s="3">
        <v>0.03</v>
      </c>
      <c r="AO928" s="3">
        <v>0.03</v>
      </c>
      <c r="AP928" s="3">
        <v>0.03</v>
      </c>
    </row>
    <row r="929" spans="1:42" hidden="1" x14ac:dyDescent="0.3">
      <c r="A929" s="5" t="s">
        <v>1068</v>
      </c>
      <c r="B929" s="5" t="s">
        <v>12</v>
      </c>
      <c r="C929" s="22">
        <v>45184</v>
      </c>
      <c r="D929" s="22">
        <v>45188</v>
      </c>
      <c r="E929" s="3">
        <v>0</v>
      </c>
      <c r="F929" s="3">
        <v>0</v>
      </c>
      <c r="G929" s="3">
        <v>0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3">
        <v>0</v>
      </c>
      <c r="P929" s="3">
        <v>0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s="3">
        <v>0</v>
      </c>
      <c r="Y929" s="3">
        <v>0</v>
      </c>
      <c r="Z929" s="3">
        <v>0</v>
      </c>
      <c r="AA929" s="3">
        <v>0</v>
      </c>
      <c r="AB929" s="3">
        <v>0</v>
      </c>
      <c r="AC929" s="3">
        <v>0</v>
      </c>
      <c r="AD929" s="3">
        <v>0</v>
      </c>
      <c r="AE929" s="3">
        <v>0.03</v>
      </c>
      <c r="AF929" s="3">
        <v>0.03</v>
      </c>
      <c r="AG929" s="3">
        <v>0.03</v>
      </c>
      <c r="AH929" s="3">
        <v>0.03</v>
      </c>
      <c r="AI929" s="3">
        <v>0.03</v>
      </c>
      <c r="AJ929" s="3">
        <v>0.03</v>
      </c>
      <c r="AK929" s="3">
        <v>0.03</v>
      </c>
      <c r="AL929" s="3">
        <v>0.03</v>
      </c>
      <c r="AM929" s="3">
        <v>0.03</v>
      </c>
      <c r="AN929" s="3">
        <v>0.03</v>
      </c>
      <c r="AO929" s="3">
        <v>0.03</v>
      </c>
      <c r="AP929" s="3">
        <v>0.03</v>
      </c>
    </row>
    <row r="930" spans="1:42" hidden="1" x14ac:dyDescent="0.3">
      <c r="A930" s="5" t="s">
        <v>1069</v>
      </c>
      <c r="B930" s="5" t="s">
        <v>12</v>
      </c>
      <c r="C930" s="22">
        <v>45188</v>
      </c>
      <c r="D930" s="22">
        <v>45191</v>
      </c>
      <c r="E930" s="3">
        <v>0</v>
      </c>
      <c r="F930" s="3">
        <v>0</v>
      </c>
      <c r="G930" s="3">
        <v>0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  <c r="O930" s="3">
        <v>0</v>
      </c>
      <c r="P930" s="3">
        <v>0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3">
        <v>0</v>
      </c>
      <c r="AC930" s="3">
        <v>0</v>
      </c>
      <c r="AD930" s="3">
        <v>0</v>
      </c>
      <c r="AE930" s="3">
        <v>0.03</v>
      </c>
      <c r="AF930" s="3">
        <v>0.03</v>
      </c>
      <c r="AG930" s="3">
        <v>0.03</v>
      </c>
      <c r="AH930" s="3">
        <v>0.03</v>
      </c>
      <c r="AI930" s="3">
        <v>0.03</v>
      </c>
      <c r="AJ930" s="3">
        <v>0.03</v>
      </c>
      <c r="AK930" s="3">
        <v>0.03</v>
      </c>
      <c r="AL930" s="3">
        <v>0.03</v>
      </c>
      <c r="AM930" s="3">
        <v>0.03</v>
      </c>
      <c r="AN930" s="3">
        <v>0.03</v>
      </c>
      <c r="AO930" s="3">
        <v>0.03</v>
      </c>
      <c r="AP930" s="3">
        <v>0.03</v>
      </c>
    </row>
    <row r="931" spans="1:42" hidden="1" x14ac:dyDescent="0.3">
      <c r="A931" s="15" t="s">
        <v>1070</v>
      </c>
      <c r="B931" s="15" t="s">
        <v>125</v>
      </c>
      <c r="C931" s="20">
        <v>45035</v>
      </c>
      <c r="D931" s="20">
        <v>45177</v>
      </c>
      <c r="E931" s="8">
        <v>0</v>
      </c>
      <c r="F931" s="8">
        <v>0</v>
      </c>
      <c r="G931" s="8">
        <v>0</v>
      </c>
      <c r="H931" s="8">
        <v>0</v>
      </c>
      <c r="I931" s="8">
        <v>0</v>
      </c>
      <c r="J931" s="8">
        <v>0</v>
      </c>
      <c r="K931" s="8">
        <v>0</v>
      </c>
      <c r="L931" s="8">
        <v>0</v>
      </c>
      <c r="M931" s="8">
        <v>0</v>
      </c>
      <c r="N931" s="8">
        <v>0</v>
      </c>
      <c r="O931" s="8">
        <v>0</v>
      </c>
      <c r="P931" s="8">
        <v>0</v>
      </c>
      <c r="Q931" s="8">
        <v>0</v>
      </c>
      <c r="R931" s="8">
        <v>0</v>
      </c>
      <c r="S931" s="8">
        <v>0</v>
      </c>
      <c r="T931" s="8">
        <v>0</v>
      </c>
      <c r="U931" s="8">
        <v>0</v>
      </c>
      <c r="V931" s="8">
        <v>0</v>
      </c>
      <c r="W931" s="8">
        <v>0</v>
      </c>
      <c r="X931" s="8">
        <v>0</v>
      </c>
      <c r="Y931" s="8">
        <v>0</v>
      </c>
      <c r="Z931" s="8">
        <v>7.0000000000000007E-2</v>
      </c>
      <c r="AA931" s="8">
        <v>0.3</v>
      </c>
      <c r="AB931" s="8">
        <v>0.51</v>
      </c>
      <c r="AC931" s="8">
        <v>0.7</v>
      </c>
      <c r="AD931" s="8">
        <v>1.83</v>
      </c>
      <c r="AE931" s="8">
        <v>1.92</v>
      </c>
      <c r="AF931" s="8">
        <v>1.92</v>
      </c>
      <c r="AG931" s="8">
        <v>1.92</v>
      </c>
      <c r="AH931" s="8">
        <v>1.92</v>
      </c>
      <c r="AI931" s="8">
        <v>1.92</v>
      </c>
      <c r="AJ931" s="8">
        <v>1.92</v>
      </c>
      <c r="AK931" s="8">
        <v>1.92</v>
      </c>
      <c r="AL931" s="8">
        <v>1.92</v>
      </c>
      <c r="AM931" s="8">
        <v>1.92</v>
      </c>
      <c r="AN931" s="8">
        <v>1.92</v>
      </c>
      <c r="AO931" s="8">
        <v>1.92</v>
      </c>
      <c r="AP931" s="8">
        <v>1.92</v>
      </c>
    </row>
    <row r="932" spans="1:42" hidden="1" x14ac:dyDescent="0.3">
      <c r="A932" s="5" t="s">
        <v>1071</v>
      </c>
      <c r="B932" s="5" t="s">
        <v>14</v>
      </c>
      <c r="C932" s="22">
        <v>45154</v>
      </c>
      <c r="D932" s="22">
        <v>45167</v>
      </c>
      <c r="E932" s="3">
        <v>0</v>
      </c>
      <c r="F932" s="3">
        <v>0</v>
      </c>
      <c r="G932" s="3">
        <v>0</v>
      </c>
      <c r="H932" s="3">
        <v>0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  <c r="N932" s="3">
        <v>0</v>
      </c>
      <c r="O932" s="3">
        <v>0</v>
      </c>
      <c r="P932" s="3">
        <v>0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3">
        <v>0</v>
      </c>
      <c r="AA932" s="3">
        <v>0</v>
      </c>
      <c r="AB932" s="3">
        <v>0</v>
      </c>
      <c r="AC932" s="3">
        <v>0</v>
      </c>
      <c r="AD932" s="3">
        <v>1.01</v>
      </c>
      <c r="AE932" s="3">
        <v>1.01</v>
      </c>
      <c r="AF932" s="3">
        <v>1.01</v>
      </c>
      <c r="AG932" s="3">
        <v>1.01</v>
      </c>
      <c r="AH932" s="3">
        <v>1.01</v>
      </c>
      <c r="AI932" s="3">
        <v>1.01</v>
      </c>
      <c r="AJ932" s="3">
        <v>1.01</v>
      </c>
      <c r="AK932" s="3">
        <v>1.01</v>
      </c>
      <c r="AL932" s="3">
        <v>1.01</v>
      </c>
      <c r="AM932" s="3">
        <v>1.01</v>
      </c>
      <c r="AN932" s="3">
        <v>1.01</v>
      </c>
      <c r="AO932" s="3">
        <v>1.01</v>
      </c>
      <c r="AP932" s="3">
        <v>1.01</v>
      </c>
    </row>
    <row r="933" spans="1:42" hidden="1" x14ac:dyDescent="0.3">
      <c r="A933" s="5" t="s">
        <v>1072</v>
      </c>
      <c r="B933" s="5" t="s">
        <v>45</v>
      </c>
      <c r="C933" s="22">
        <v>45131</v>
      </c>
      <c r="D933" s="22">
        <v>45154</v>
      </c>
      <c r="E933" s="3">
        <v>0</v>
      </c>
      <c r="F933" s="3">
        <v>0</v>
      </c>
      <c r="G933" s="3">
        <v>0</v>
      </c>
      <c r="H933" s="3">
        <v>0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  <c r="N933" s="3">
        <v>0</v>
      </c>
      <c r="O933" s="3">
        <v>0</v>
      </c>
      <c r="P933" s="3">
        <v>0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3">
        <v>0</v>
      </c>
      <c r="AA933" s="3">
        <v>0</v>
      </c>
      <c r="AB933" s="3">
        <v>0</v>
      </c>
      <c r="AC933" s="3">
        <v>0.03</v>
      </c>
      <c r="AD933" s="3">
        <v>0.09</v>
      </c>
      <c r="AE933" s="3">
        <v>0.09</v>
      </c>
      <c r="AF933" s="3">
        <v>0.09</v>
      </c>
      <c r="AG933" s="3">
        <v>0.09</v>
      </c>
      <c r="AH933" s="3">
        <v>0.09</v>
      </c>
      <c r="AI933" s="3">
        <v>0.09</v>
      </c>
      <c r="AJ933" s="3">
        <v>0.09</v>
      </c>
      <c r="AK933" s="3">
        <v>0.09</v>
      </c>
      <c r="AL933" s="3">
        <v>0.09</v>
      </c>
      <c r="AM933" s="3">
        <v>0.09</v>
      </c>
      <c r="AN933" s="3">
        <v>0.09</v>
      </c>
      <c r="AO933" s="3">
        <v>0.09</v>
      </c>
      <c r="AP933" s="3">
        <v>0.09</v>
      </c>
    </row>
    <row r="934" spans="1:42" hidden="1" x14ac:dyDescent="0.3">
      <c r="A934" s="5" t="s">
        <v>1073</v>
      </c>
      <c r="B934" s="5" t="s">
        <v>45</v>
      </c>
      <c r="C934" s="22">
        <v>45107</v>
      </c>
      <c r="D934" s="22">
        <v>45131</v>
      </c>
      <c r="E934" s="3">
        <v>0</v>
      </c>
      <c r="F934" s="3">
        <v>0</v>
      </c>
      <c r="G934" s="3">
        <v>0</v>
      </c>
      <c r="H934" s="3">
        <v>0</v>
      </c>
      <c r="I934" s="3">
        <v>0</v>
      </c>
      <c r="J934" s="3">
        <v>0</v>
      </c>
      <c r="K934" s="3">
        <v>0</v>
      </c>
      <c r="L934" s="3">
        <v>0</v>
      </c>
      <c r="M934" s="3">
        <v>0</v>
      </c>
      <c r="N934" s="3">
        <v>0</v>
      </c>
      <c r="O934" s="3">
        <v>0</v>
      </c>
      <c r="P934" s="3">
        <v>0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0</v>
      </c>
      <c r="X934" s="3">
        <v>0</v>
      </c>
      <c r="Y934" s="3">
        <v>0</v>
      </c>
      <c r="Z934" s="3">
        <v>0</v>
      </c>
      <c r="AA934" s="3">
        <v>0</v>
      </c>
      <c r="AB934" s="3">
        <v>0.01</v>
      </c>
      <c r="AC934" s="3">
        <v>0.17</v>
      </c>
      <c r="AD934" s="3">
        <v>0.17</v>
      </c>
      <c r="AE934" s="3">
        <v>0.17</v>
      </c>
      <c r="AF934" s="3">
        <v>0.17</v>
      </c>
      <c r="AG934" s="3">
        <v>0.17</v>
      </c>
      <c r="AH934" s="3">
        <v>0.17</v>
      </c>
      <c r="AI934" s="3">
        <v>0.17</v>
      </c>
      <c r="AJ934" s="3">
        <v>0.17</v>
      </c>
      <c r="AK934" s="3">
        <v>0.17</v>
      </c>
      <c r="AL934" s="3">
        <v>0.17</v>
      </c>
      <c r="AM934" s="3">
        <v>0.17</v>
      </c>
      <c r="AN934" s="3">
        <v>0.17</v>
      </c>
      <c r="AO934" s="3">
        <v>0.17</v>
      </c>
      <c r="AP934" s="3">
        <v>0.17</v>
      </c>
    </row>
    <row r="935" spans="1:42" hidden="1" x14ac:dyDescent="0.3">
      <c r="A935" s="5" t="s">
        <v>1074</v>
      </c>
      <c r="B935" s="5" t="s">
        <v>45</v>
      </c>
      <c r="C935" s="22">
        <v>45084</v>
      </c>
      <c r="D935" s="22">
        <v>45107</v>
      </c>
      <c r="E935" s="3">
        <v>0</v>
      </c>
      <c r="F935" s="3">
        <v>0</v>
      </c>
      <c r="G935" s="3">
        <v>0</v>
      </c>
      <c r="H935" s="3">
        <v>0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  <c r="O935" s="3">
        <v>0</v>
      </c>
      <c r="P935" s="3">
        <v>0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3">
        <v>0.17</v>
      </c>
      <c r="AC935" s="3">
        <v>0.17</v>
      </c>
      <c r="AD935" s="3">
        <v>0.17</v>
      </c>
      <c r="AE935" s="3">
        <v>0.17</v>
      </c>
      <c r="AF935" s="3">
        <v>0.17</v>
      </c>
      <c r="AG935" s="3">
        <v>0.17</v>
      </c>
      <c r="AH935" s="3">
        <v>0.17</v>
      </c>
      <c r="AI935" s="3">
        <v>0.17</v>
      </c>
      <c r="AJ935" s="3">
        <v>0.17</v>
      </c>
      <c r="AK935" s="3">
        <v>0.17</v>
      </c>
      <c r="AL935" s="3">
        <v>0.17</v>
      </c>
      <c r="AM935" s="3">
        <v>0.17</v>
      </c>
      <c r="AN935" s="3">
        <v>0.17</v>
      </c>
      <c r="AO935" s="3">
        <v>0.17</v>
      </c>
      <c r="AP935" s="3">
        <v>0.17</v>
      </c>
    </row>
    <row r="936" spans="1:42" hidden="1" x14ac:dyDescent="0.3">
      <c r="A936" s="5" t="s">
        <v>1075</v>
      </c>
      <c r="B936" s="5" t="s">
        <v>45</v>
      </c>
      <c r="C936" s="22">
        <v>45061</v>
      </c>
      <c r="D936" s="22">
        <v>45083</v>
      </c>
      <c r="E936" s="3">
        <v>0</v>
      </c>
      <c r="F936" s="3">
        <v>0</v>
      </c>
      <c r="G936" s="3">
        <v>0</v>
      </c>
      <c r="H936" s="3">
        <v>0</v>
      </c>
      <c r="I936" s="3">
        <v>0</v>
      </c>
      <c r="J936" s="3">
        <v>0</v>
      </c>
      <c r="K936" s="3">
        <v>0</v>
      </c>
      <c r="L936" s="3">
        <v>0</v>
      </c>
      <c r="M936" s="3">
        <v>0</v>
      </c>
      <c r="N936" s="3">
        <v>0</v>
      </c>
      <c r="O936" s="3">
        <v>0</v>
      </c>
      <c r="P936" s="3">
        <v>0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0.13</v>
      </c>
      <c r="AB936" s="3">
        <v>0.17</v>
      </c>
      <c r="AC936" s="3">
        <v>0.17</v>
      </c>
      <c r="AD936" s="3">
        <v>0.17</v>
      </c>
      <c r="AE936" s="3">
        <v>0.17</v>
      </c>
      <c r="AF936" s="3">
        <v>0.17</v>
      </c>
      <c r="AG936" s="3">
        <v>0.17</v>
      </c>
      <c r="AH936" s="3">
        <v>0.17</v>
      </c>
      <c r="AI936" s="3">
        <v>0.17</v>
      </c>
      <c r="AJ936" s="3">
        <v>0.17</v>
      </c>
      <c r="AK936" s="3">
        <v>0.17</v>
      </c>
      <c r="AL936" s="3">
        <v>0.17</v>
      </c>
      <c r="AM936" s="3">
        <v>0.17</v>
      </c>
      <c r="AN936" s="3">
        <v>0.17</v>
      </c>
      <c r="AO936" s="3">
        <v>0.17</v>
      </c>
      <c r="AP936" s="3">
        <v>0.17</v>
      </c>
    </row>
    <row r="937" spans="1:42" hidden="1" x14ac:dyDescent="0.3">
      <c r="A937" s="5" t="s">
        <v>1076</v>
      </c>
      <c r="B937" s="5" t="s">
        <v>45</v>
      </c>
      <c r="C937" s="22">
        <v>45035</v>
      </c>
      <c r="D937" s="22">
        <v>45061</v>
      </c>
      <c r="E937" s="3">
        <v>0</v>
      </c>
      <c r="F937" s="3">
        <v>0</v>
      </c>
      <c r="G937" s="3">
        <v>0</v>
      </c>
      <c r="H937" s="3">
        <v>0</v>
      </c>
      <c r="I937" s="3">
        <v>0</v>
      </c>
      <c r="J937" s="3">
        <v>0</v>
      </c>
      <c r="K937" s="3">
        <v>0</v>
      </c>
      <c r="L937" s="3">
        <v>0</v>
      </c>
      <c r="M937" s="3">
        <v>0</v>
      </c>
      <c r="N937" s="3">
        <v>0</v>
      </c>
      <c r="O937" s="3">
        <v>0</v>
      </c>
      <c r="P937" s="3">
        <v>0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7.0000000000000007E-2</v>
      </c>
      <c r="AA937" s="3">
        <v>0.17</v>
      </c>
      <c r="AB937" s="3">
        <v>0.17</v>
      </c>
      <c r="AC937" s="3">
        <v>0.17</v>
      </c>
      <c r="AD937" s="3">
        <v>0.17</v>
      </c>
      <c r="AE937" s="3">
        <v>0.17</v>
      </c>
      <c r="AF937" s="3">
        <v>0.17</v>
      </c>
      <c r="AG937" s="3">
        <v>0.17</v>
      </c>
      <c r="AH937" s="3">
        <v>0.17</v>
      </c>
      <c r="AI937" s="3">
        <v>0.17</v>
      </c>
      <c r="AJ937" s="3">
        <v>0.17</v>
      </c>
      <c r="AK937" s="3">
        <v>0.17</v>
      </c>
      <c r="AL937" s="3">
        <v>0.17</v>
      </c>
      <c r="AM937" s="3">
        <v>0.17</v>
      </c>
      <c r="AN937" s="3">
        <v>0.17</v>
      </c>
      <c r="AO937" s="3">
        <v>0.17</v>
      </c>
      <c r="AP937" s="3">
        <v>0.17</v>
      </c>
    </row>
    <row r="938" spans="1:42" hidden="1" x14ac:dyDescent="0.3">
      <c r="A938" s="4" t="s">
        <v>1077</v>
      </c>
      <c r="B938" s="4" t="s">
        <v>33</v>
      </c>
      <c r="C938" s="21">
        <v>45167</v>
      </c>
      <c r="D938" s="21">
        <v>45177</v>
      </c>
      <c r="E938" s="2">
        <v>0</v>
      </c>
      <c r="F938" s="2">
        <v>0</v>
      </c>
      <c r="G938" s="2">
        <v>0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0.05</v>
      </c>
      <c r="AE938" s="2">
        <v>0.14000000000000001</v>
      </c>
      <c r="AF938" s="2">
        <v>0.14000000000000001</v>
      </c>
      <c r="AG938" s="2">
        <v>0.14000000000000001</v>
      </c>
      <c r="AH938" s="2">
        <v>0.14000000000000001</v>
      </c>
      <c r="AI938" s="2">
        <v>0.14000000000000001</v>
      </c>
      <c r="AJ938" s="2">
        <v>0.14000000000000001</v>
      </c>
      <c r="AK938" s="2">
        <v>0.14000000000000001</v>
      </c>
      <c r="AL938" s="2">
        <v>0.14000000000000001</v>
      </c>
      <c r="AM938" s="2">
        <v>0.14000000000000001</v>
      </c>
      <c r="AN938" s="2">
        <v>0.14000000000000001</v>
      </c>
      <c r="AO938" s="2">
        <v>0.14000000000000001</v>
      </c>
      <c r="AP938" s="2">
        <v>0.14000000000000001</v>
      </c>
    </row>
    <row r="939" spans="1:42" hidden="1" x14ac:dyDescent="0.3">
      <c r="A939" s="5" t="s">
        <v>1078</v>
      </c>
      <c r="B939" s="5" t="s">
        <v>12</v>
      </c>
      <c r="C939" s="22">
        <v>45173</v>
      </c>
      <c r="D939" s="22">
        <v>45177</v>
      </c>
      <c r="E939" s="3">
        <v>0</v>
      </c>
      <c r="F939" s="3">
        <v>0</v>
      </c>
      <c r="G939" s="3">
        <v>0</v>
      </c>
      <c r="H939" s="3">
        <v>0</v>
      </c>
      <c r="I939" s="3">
        <v>0</v>
      </c>
      <c r="J939" s="3">
        <v>0</v>
      </c>
      <c r="K939" s="3">
        <v>0</v>
      </c>
      <c r="L939" s="3">
        <v>0</v>
      </c>
      <c r="M939" s="3">
        <v>0</v>
      </c>
      <c r="N939" s="3">
        <v>0</v>
      </c>
      <c r="O939" s="3">
        <v>0</v>
      </c>
      <c r="P939" s="3">
        <v>0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  <c r="AB939" s="3">
        <v>0</v>
      </c>
      <c r="AC939" s="3">
        <v>0</v>
      </c>
      <c r="AD939" s="3">
        <v>0</v>
      </c>
      <c r="AE939" s="3">
        <v>7.0000000000000007E-2</v>
      </c>
      <c r="AF939" s="3">
        <v>7.0000000000000007E-2</v>
      </c>
      <c r="AG939" s="3">
        <v>7.0000000000000007E-2</v>
      </c>
      <c r="AH939" s="3">
        <v>7.0000000000000007E-2</v>
      </c>
      <c r="AI939" s="3">
        <v>7.0000000000000007E-2</v>
      </c>
      <c r="AJ939" s="3">
        <v>7.0000000000000007E-2</v>
      </c>
      <c r="AK939" s="3">
        <v>7.0000000000000007E-2</v>
      </c>
      <c r="AL939" s="3">
        <v>7.0000000000000007E-2</v>
      </c>
      <c r="AM939" s="3">
        <v>7.0000000000000007E-2</v>
      </c>
      <c r="AN939" s="3">
        <v>7.0000000000000007E-2</v>
      </c>
      <c r="AO939" s="3">
        <v>7.0000000000000007E-2</v>
      </c>
      <c r="AP939" s="3">
        <v>7.0000000000000007E-2</v>
      </c>
    </row>
    <row r="940" spans="1:42" hidden="1" x14ac:dyDescent="0.3">
      <c r="A940" s="5" t="s">
        <v>1079</v>
      </c>
      <c r="B940" s="5" t="s">
        <v>29</v>
      </c>
      <c r="C940" s="22">
        <v>45167</v>
      </c>
      <c r="D940" s="22">
        <v>45168</v>
      </c>
      <c r="E940" s="3">
        <v>0</v>
      </c>
      <c r="F940" s="3">
        <v>0</v>
      </c>
      <c r="G940" s="3">
        <v>0</v>
      </c>
      <c r="H940" s="3">
        <v>0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3">
        <v>0</v>
      </c>
      <c r="P940" s="3">
        <v>0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3">
        <v>0</v>
      </c>
      <c r="AC940" s="3">
        <v>0</v>
      </c>
      <c r="AD940" s="3">
        <v>0.03</v>
      </c>
      <c r="AE940" s="3">
        <v>0.03</v>
      </c>
      <c r="AF940" s="3">
        <v>0.03</v>
      </c>
      <c r="AG940" s="3">
        <v>0.03</v>
      </c>
      <c r="AH940" s="3">
        <v>0.03</v>
      </c>
      <c r="AI940" s="3">
        <v>0.03</v>
      </c>
      <c r="AJ940" s="3">
        <v>0.03</v>
      </c>
      <c r="AK940" s="3">
        <v>0.03</v>
      </c>
      <c r="AL940" s="3">
        <v>0.03</v>
      </c>
      <c r="AM940" s="3">
        <v>0.03</v>
      </c>
      <c r="AN940" s="3">
        <v>0.03</v>
      </c>
      <c r="AO940" s="3">
        <v>0.03</v>
      </c>
      <c r="AP940" s="3">
        <v>0.03</v>
      </c>
    </row>
    <row r="941" spans="1:42" hidden="1" x14ac:dyDescent="0.3">
      <c r="A941" s="5" t="s">
        <v>1080</v>
      </c>
      <c r="B941" s="5" t="s">
        <v>29</v>
      </c>
      <c r="C941" s="22">
        <v>45168</v>
      </c>
      <c r="D941" s="22">
        <v>45168</v>
      </c>
      <c r="E941" s="3">
        <v>0</v>
      </c>
      <c r="F941" s="3">
        <v>0</v>
      </c>
      <c r="G941" s="3">
        <v>0</v>
      </c>
      <c r="H941" s="3">
        <v>0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  <c r="O941" s="3">
        <v>0</v>
      </c>
      <c r="P941" s="3">
        <v>0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  <c r="AB941" s="3">
        <v>0</v>
      </c>
      <c r="AC941" s="3">
        <v>0</v>
      </c>
      <c r="AD941" s="3">
        <v>0.01</v>
      </c>
      <c r="AE941" s="3">
        <v>0.01</v>
      </c>
      <c r="AF941" s="3">
        <v>0.01</v>
      </c>
      <c r="AG941" s="3">
        <v>0.01</v>
      </c>
      <c r="AH941" s="3">
        <v>0.01</v>
      </c>
      <c r="AI941" s="3">
        <v>0.01</v>
      </c>
      <c r="AJ941" s="3">
        <v>0.01</v>
      </c>
      <c r="AK941" s="3">
        <v>0.01</v>
      </c>
      <c r="AL941" s="3">
        <v>0.01</v>
      </c>
      <c r="AM941" s="3">
        <v>0.01</v>
      </c>
      <c r="AN941" s="3">
        <v>0.01</v>
      </c>
      <c r="AO941" s="3">
        <v>0.01</v>
      </c>
      <c r="AP941" s="3">
        <v>0.01</v>
      </c>
    </row>
    <row r="942" spans="1:42" hidden="1" x14ac:dyDescent="0.3">
      <c r="A942" s="5" t="s">
        <v>1081</v>
      </c>
      <c r="B942" s="5" t="s">
        <v>29</v>
      </c>
      <c r="C942" s="22">
        <v>45169</v>
      </c>
      <c r="D942" s="22">
        <v>45169</v>
      </c>
      <c r="E942" s="3">
        <v>0</v>
      </c>
      <c r="F942" s="3">
        <v>0</v>
      </c>
      <c r="G942" s="3">
        <v>0</v>
      </c>
      <c r="H942" s="3">
        <v>0</v>
      </c>
      <c r="I942" s="3">
        <v>0</v>
      </c>
      <c r="J942" s="3">
        <v>0</v>
      </c>
      <c r="K942" s="3">
        <v>0</v>
      </c>
      <c r="L942" s="3">
        <v>0</v>
      </c>
      <c r="M942" s="3">
        <v>0</v>
      </c>
      <c r="N942" s="3">
        <v>0</v>
      </c>
      <c r="O942" s="3">
        <v>0</v>
      </c>
      <c r="P942" s="3">
        <v>0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0</v>
      </c>
      <c r="AA942" s="3">
        <v>0</v>
      </c>
      <c r="AB942" s="3">
        <v>0</v>
      </c>
      <c r="AC942" s="3">
        <v>0</v>
      </c>
      <c r="AD942" s="3">
        <v>0.01</v>
      </c>
      <c r="AE942" s="3">
        <v>0.01</v>
      </c>
      <c r="AF942" s="3">
        <v>0.01</v>
      </c>
      <c r="AG942" s="3">
        <v>0.01</v>
      </c>
      <c r="AH942" s="3">
        <v>0.01</v>
      </c>
      <c r="AI942" s="3">
        <v>0.01</v>
      </c>
      <c r="AJ942" s="3">
        <v>0.01</v>
      </c>
      <c r="AK942" s="3">
        <v>0.01</v>
      </c>
      <c r="AL942" s="3">
        <v>0.01</v>
      </c>
      <c r="AM942" s="3">
        <v>0.01</v>
      </c>
      <c r="AN942" s="3">
        <v>0.01</v>
      </c>
      <c r="AO942" s="3">
        <v>0.01</v>
      </c>
      <c r="AP942" s="3">
        <v>0.01</v>
      </c>
    </row>
    <row r="943" spans="1:42" hidden="1" x14ac:dyDescent="0.3">
      <c r="A943" s="5" t="s">
        <v>1082</v>
      </c>
      <c r="B943" s="5" t="s">
        <v>29</v>
      </c>
      <c r="C943" s="22">
        <v>45169</v>
      </c>
      <c r="D943" s="22">
        <v>45170</v>
      </c>
      <c r="E943" s="3">
        <v>0</v>
      </c>
      <c r="F943" s="3">
        <v>0</v>
      </c>
      <c r="G943" s="3">
        <v>0</v>
      </c>
      <c r="H943" s="3">
        <v>0</v>
      </c>
      <c r="I943" s="3">
        <v>0</v>
      </c>
      <c r="J943" s="3">
        <v>0</v>
      </c>
      <c r="K943" s="3">
        <v>0</v>
      </c>
      <c r="L943" s="3">
        <v>0</v>
      </c>
      <c r="M943" s="3">
        <v>0</v>
      </c>
      <c r="N943" s="3">
        <v>0</v>
      </c>
      <c r="O943" s="3">
        <v>0</v>
      </c>
      <c r="P943" s="3">
        <v>0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3">
        <v>0</v>
      </c>
      <c r="AC943" s="3">
        <v>0</v>
      </c>
      <c r="AD943" s="3">
        <v>0</v>
      </c>
      <c r="AE943" s="3">
        <v>0.01</v>
      </c>
      <c r="AF943" s="3">
        <v>0.01</v>
      </c>
      <c r="AG943" s="3">
        <v>0.01</v>
      </c>
      <c r="AH943" s="3">
        <v>0.01</v>
      </c>
      <c r="AI943" s="3">
        <v>0.01</v>
      </c>
      <c r="AJ943" s="3">
        <v>0.01</v>
      </c>
      <c r="AK943" s="3">
        <v>0.01</v>
      </c>
      <c r="AL943" s="3">
        <v>0.01</v>
      </c>
      <c r="AM943" s="3">
        <v>0.01</v>
      </c>
      <c r="AN943" s="3">
        <v>0.01</v>
      </c>
      <c r="AO943" s="3">
        <v>0.01</v>
      </c>
      <c r="AP943" s="3">
        <v>0.01</v>
      </c>
    </row>
    <row r="944" spans="1:42" hidden="1" x14ac:dyDescent="0.3">
      <c r="A944" s="5" t="s">
        <v>1083</v>
      </c>
      <c r="B944" s="5" t="s">
        <v>29</v>
      </c>
      <c r="C944" s="22">
        <v>45170</v>
      </c>
      <c r="D944" s="22">
        <v>45173</v>
      </c>
      <c r="E944" s="3">
        <v>0</v>
      </c>
      <c r="F944" s="3">
        <v>0</v>
      </c>
      <c r="G944" s="3">
        <v>0</v>
      </c>
      <c r="H944" s="3">
        <v>0</v>
      </c>
      <c r="I944" s="3">
        <v>0</v>
      </c>
      <c r="J944" s="3">
        <v>0</v>
      </c>
      <c r="K944" s="3">
        <v>0</v>
      </c>
      <c r="L944" s="3">
        <v>0</v>
      </c>
      <c r="M944" s="3">
        <v>0</v>
      </c>
      <c r="N944" s="3">
        <v>0</v>
      </c>
      <c r="O944" s="3">
        <v>0</v>
      </c>
      <c r="P944" s="3">
        <v>0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3">
        <v>0</v>
      </c>
      <c r="AC944" s="3">
        <v>0</v>
      </c>
      <c r="AD944" s="3">
        <v>0</v>
      </c>
      <c r="AE944" s="3">
        <v>0.01</v>
      </c>
      <c r="AF944" s="3">
        <v>0.01</v>
      </c>
      <c r="AG944" s="3">
        <v>0.01</v>
      </c>
      <c r="AH944" s="3">
        <v>0.01</v>
      </c>
      <c r="AI944" s="3">
        <v>0.01</v>
      </c>
      <c r="AJ944" s="3">
        <v>0.01</v>
      </c>
      <c r="AK944" s="3">
        <v>0.01</v>
      </c>
      <c r="AL944" s="3">
        <v>0.01</v>
      </c>
      <c r="AM944" s="3">
        <v>0.01</v>
      </c>
      <c r="AN944" s="3">
        <v>0.01</v>
      </c>
      <c r="AO944" s="3">
        <v>0.01</v>
      </c>
      <c r="AP944" s="3">
        <v>0.01</v>
      </c>
    </row>
    <row r="945" spans="1:42" hidden="1" x14ac:dyDescent="0.3">
      <c r="A945" s="15" t="s">
        <v>1084</v>
      </c>
      <c r="B945" s="15" t="s">
        <v>126</v>
      </c>
      <c r="C945" s="20">
        <v>45035</v>
      </c>
      <c r="D945" s="20">
        <v>45180</v>
      </c>
      <c r="E945" s="8">
        <v>0</v>
      </c>
      <c r="F945" s="8">
        <v>0</v>
      </c>
      <c r="G945" s="8">
        <v>0</v>
      </c>
      <c r="H945" s="8">
        <v>0</v>
      </c>
      <c r="I945" s="8">
        <v>0</v>
      </c>
      <c r="J945" s="8">
        <v>0</v>
      </c>
      <c r="K945" s="8">
        <v>0</v>
      </c>
      <c r="L945" s="8">
        <v>0</v>
      </c>
      <c r="M945" s="8">
        <v>0</v>
      </c>
      <c r="N945" s="8">
        <v>0</v>
      </c>
      <c r="O945" s="8">
        <v>0</v>
      </c>
      <c r="P945" s="8">
        <v>0</v>
      </c>
      <c r="Q945" s="8">
        <v>0</v>
      </c>
      <c r="R945" s="8">
        <v>0</v>
      </c>
      <c r="S945" s="8">
        <v>0</v>
      </c>
      <c r="T945" s="8">
        <v>0</v>
      </c>
      <c r="U945" s="8">
        <v>0</v>
      </c>
      <c r="V945" s="8">
        <v>0</v>
      </c>
      <c r="W945" s="8">
        <v>0</v>
      </c>
      <c r="X945" s="8">
        <v>0</v>
      </c>
      <c r="Y945" s="8">
        <v>0</v>
      </c>
      <c r="Z945" s="8">
        <v>7.0000000000000007E-2</v>
      </c>
      <c r="AA945" s="8">
        <v>0.3</v>
      </c>
      <c r="AB945" s="8">
        <v>0.51</v>
      </c>
      <c r="AC945" s="8">
        <v>0.7</v>
      </c>
      <c r="AD945" s="8">
        <v>1.81</v>
      </c>
      <c r="AE945" s="8">
        <v>1.91</v>
      </c>
      <c r="AF945" s="8">
        <v>1.91</v>
      </c>
      <c r="AG945" s="8">
        <v>1.91</v>
      </c>
      <c r="AH945" s="8">
        <v>1.91</v>
      </c>
      <c r="AI945" s="8">
        <v>1.91</v>
      </c>
      <c r="AJ945" s="8">
        <v>1.91</v>
      </c>
      <c r="AK945" s="8">
        <v>1.91</v>
      </c>
      <c r="AL945" s="8">
        <v>1.91</v>
      </c>
      <c r="AM945" s="8">
        <v>1.91</v>
      </c>
      <c r="AN945" s="8">
        <v>1.91</v>
      </c>
      <c r="AO945" s="8">
        <v>1.91</v>
      </c>
      <c r="AP945" s="8">
        <v>1.91</v>
      </c>
    </row>
    <row r="946" spans="1:42" hidden="1" x14ac:dyDescent="0.3">
      <c r="A946" s="5" t="s">
        <v>1085</v>
      </c>
      <c r="B946" s="5" t="s">
        <v>14</v>
      </c>
      <c r="C946" s="22">
        <v>45154</v>
      </c>
      <c r="D946" s="22">
        <v>45167</v>
      </c>
      <c r="E946" s="3">
        <v>0</v>
      </c>
      <c r="F946" s="3">
        <v>0</v>
      </c>
      <c r="G946" s="3">
        <v>0</v>
      </c>
      <c r="H946" s="3">
        <v>0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3">
        <v>0</v>
      </c>
      <c r="O946" s="3">
        <v>0</v>
      </c>
      <c r="P946" s="3">
        <v>0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  <c r="Z946" s="3">
        <v>0</v>
      </c>
      <c r="AA946" s="3">
        <v>0</v>
      </c>
      <c r="AB946" s="3">
        <v>0</v>
      </c>
      <c r="AC946" s="3">
        <v>0</v>
      </c>
      <c r="AD946" s="3">
        <v>1.02</v>
      </c>
      <c r="AE946" s="3">
        <v>1.02</v>
      </c>
      <c r="AF946" s="3">
        <v>1.02</v>
      </c>
      <c r="AG946" s="3">
        <v>1.02</v>
      </c>
      <c r="AH946" s="3">
        <v>1.02</v>
      </c>
      <c r="AI946" s="3">
        <v>1.02</v>
      </c>
      <c r="AJ946" s="3">
        <v>1.02</v>
      </c>
      <c r="AK946" s="3">
        <v>1.02</v>
      </c>
      <c r="AL946" s="3">
        <v>1.02</v>
      </c>
      <c r="AM946" s="3">
        <v>1.02</v>
      </c>
      <c r="AN946" s="3">
        <v>1.02</v>
      </c>
      <c r="AO946" s="3">
        <v>1.02</v>
      </c>
      <c r="AP946" s="3">
        <v>1.02</v>
      </c>
    </row>
    <row r="947" spans="1:42" hidden="1" x14ac:dyDescent="0.3">
      <c r="A947" s="5" t="s">
        <v>1086</v>
      </c>
      <c r="B947" s="5" t="s">
        <v>45</v>
      </c>
      <c r="C947" s="22">
        <v>45131</v>
      </c>
      <c r="D947" s="22">
        <v>45154</v>
      </c>
      <c r="E947" s="3">
        <v>0</v>
      </c>
      <c r="F947" s="3">
        <v>0</v>
      </c>
      <c r="G947" s="3">
        <v>0</v>
      </c>
      <c r="H947" s="3">
        <v>0</v>
      </c>
      <c r="I947" s="3">
        <v>0</v>
      </c>
      <c r="J947" s="3">
        <v>0</v>
      </c>
      <c r="K947" s="3">
        <v>0</v>
      </c>
      <c r="L947" s="3">
        <v>0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3">
        <v>0</v>
      </c>
      <c r="AA947" s="3">
        <v>0</v>
      </c>
      <c r="AB947" s="3">
        <v>0</v>
      </c>
      <c r="AC947" s="3">
        <v>0.03</v>
      </c>
      <c r="AD947" s="3">
        <v>0.09</v>
      </c>
      <c r="AE947" s="3">
        <v>0.09</v>
      </c>
      <c r="AF947" s="3">
        <v>0.09</v>
      </c>
      <c r="AG947" s="3">
        <v>0.09</v>
      </c>
      <c r="AH947" s="3">
        <v>0.09</v>
      </c>
      <c r="AI947" s="3">
        <v>0.09</v>
      </c>
      <c r="AJ947" s="3">
        <v>0.09</v>
      </c>
      <c r="AK947" s="3">
        <v>0.09</v>
      </c>
      <c r="AL947" s="3">
        <v>0.09</v>
      </c>
      <c r="AM947" s="3">
        <v>0.09</v>
      </c>
      <c r="AN947" s="3">
        <v>0.09</v>
      </c>
      <c r="AO947" s="3">
        <v>0.09</v>
      </c>
      <c r="AP947" s="3">
        <v>0.09</v>
      </c>
    </row>
    <row r="948" spans="1:42" hidden="1" x14ac:dyDescent="0.3">
      <c r="A948" s="5" t="s">
        <v>1087</v>
      </c>
      <c r="B948" s="5" t="s">
        <v>45</v>
      </c>
      <c r="C948" s="22">
        <v>45107</v>
      </c>
      <c r="D948" s="22">
        <v>45131</v>
      </c>
      <c r="E948" s="3">
        <v>0</v>
      </c>
      <c r="F948" s="3">
        <v>0</v>
      </c>
      <c r="G948" s="3">
        <v>0</v>
      </c>
      <c r="H948" s="3">
        <v>0</v>
      </c>
      <c r="I948" s="3">
        <v>0</v>
      </c>
      <c r="J948" s="3">
        <v>0</v>
      </c>
      <c r="K948" s="3">
        <v>0</v>
      </c>
      <c r="L948" s="3">
        <v>0</v>
      </c>
      <c r="M948" s="3">
        <v>0</v>
      </c>
      <c r="N948" s="3">
        <v>0</v>
      </c>
      <c r="O948" s="3">
        <v>0</v>
      </c>
      <c r="P948" s="3">
        <v>0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  <c r="AB948" s="3">
        <v>0.01</v>
      </c>
      <c r="AC948" s="3">
        <v>0.17</v>
      </c>
      <c r="AD948" s="3">
        <v>0.17</v>
      </c>
      <c r="AE948" s="3">
        <v>0.17</v>
      </c>
      <c r="AF948" s="3">
        <v>0.17</v>
      </c>
      <c r="AG948" s="3">
        <v>0.17</v>
      </c>
      <c r="AH948" s="3">
        <v>0.17</v>
      </c>
      <c r="AI948" s="3">
        <v>0.17</v>
      </c>
      <c r="AJ948" s="3">
        <v>0.17</v>
      </c>
      <c r="AK948" s="3">
        <v>0.17</v>
      </c>
      <c r="AL948" s="3">
        <v>0.17</v>
      </c>
      <c r="AM948" s="3">
        <v>0.17</v>
      </c>
      <c r="AN948" s="3">
        <v>0.17</v>
      </c>
      <c r="AO948" s="3">
        <v>0.17</v>
      </c>
      <c r="AP948" s="3">
        <v>0.17</v>
      </c>
    </row>
    <row r="949" spans="1:42" hidden="1" x14ac:dyDescent="0.3">
      <c r="A949" s="5" t="s">
        <v>1088</v>
      </c>
      <c r="B949" s="5" t="s">
        <v>45</v>
      </c>
      <c r="C949" s="22">
        <v>45084</v>
      </c>
      <c r="D949" s="22">
        <v>45107</v>
      </c>
      <c r="E949" s="3">
        <v>0</v>
      </c>
      <c r="F949" s="3">
        <v>0</v>
      </c>
      <c r="G949" s="3">
        <v>0</v>
      </c>
      <c r="H949" s="3">
        <v>0</v>
      </c>
      <c r="I949" s="3">
        <v>0</v>
      </c>
      <c r="J949" s="3">
        <v>0</v>
      </c>
      <c r="K949" s="3">
        <v>0</v>
      </c>
      <c r="L949" s="3">
        <v>0</v>
      </c>
      <c r="M949" s="3">
        <v>0</v>
      </c>
      <c r="N949" s="3">
        <v>0</v>
      </c>
      <c r="O949" s="3">
        <v>0</v>
      </c>
      <c r="P949" s="3">
        <v>0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3">
        <v>0.17</v>
      </c>
      <c r="AC949" s="3">
        <v>0.17</v>
      </c>
      <c r="AD949" s="3">
        <v>0.17</v>
      </c>
      <c r="AE949" s="3">
        <v>0.17</v>
      </c>
      <c r="AF949" s="3">
        <v>0.17</v>
      </c>
      <c r="AG949" s="3">
        <v>0.17</v>
      </c>
      <c r="AH949" s="3">
        <v>0.17</v>
      </c>
      <c r="AI949" s="3">
        <v>0.17</v>
      </c>
      <c r="AJ949" s="3">
        <v>0.17</v>
      </c>
      <c r="AK949" s="3">
        <v>0.17</v>
      </c>
      <c r="AL949" s="3">
        <v>0.17</v>
      </c>
      <c r="AM949" s="3">
        <v>0.17</v>
      </c>
      <c r="AN949" s="3">
        <v>0.17</v>
      </c>
      <c r="AO949" s="3">
        <v>0.17</v>
      </c>
      <c r="AP949" s="3">
        <v>0.17</v>
      </c>
    </row>
    <row r="950" spans="1:42" hidden="1" x14ac:dyDescent="0.3">
      <c r="A950" s="5" t="s">
        <v>1089</v>
      </c>
      <c r="B950" s="5" t="s">
        <v>45</v>
      </c>
      <c r="C950" s="22">
        <v>45061</v>
      </c>
      <c r="D950" s="22">
        <v>45083</v>
      </c>
      <c r="E950" s="3">
        <v>0</v>
      </c>
      <c r="F950" s="3">
        <v>0</v>
      </c>
      <c r="G950" s="3">
        <v>0</v>
      </c>
      <c r="H950" s="3">
        <v>0</v>
      </c>
      <c r="I950" s="3">
        <v>0</v>
      </c>
      <c r="J950" s="3">
        <v>0</v>
      </c>
      <c r="K950" s="3">
        <v>0</v>
      </c>
      <c r="L950" s="3">
        <v>0</v>
      </c>
      <c r="M950" s="3">
        <v>0</v>
      </c>
      <c r="N950" s="3">
        <v>0</v>
      </c>
      <c r="O950" s="3">
        <v>0</v>
      </c>
      <c r="P950" s="3">
        <v>0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0.13</v>
      </c>
      <c r="AB950" s="3">
        <v>0.17</v>
      </c>
      <c r="AC950" s="3">
        <v>0.17</v>
      </c>
      <c r="AD950" s="3">
        <v>0.17</v>
      </c>
      <c r="AE950" s="3">
        <v>0.17</v>
      </c>
      <c r="AF950" s="3">
        <v>0.17</v>
      </c>
      <c r="AG950" s="3">
        <v>0.17</v>
      </c>
      <c r="AH950" s="3">
        <v>0.17</v>
      </c>
      <c r="AI950" s="3">
        <v>0.17</v>
      </c>
      <c r="AJ950" s="3">
        <v>0.17</v>
      </c>
      <c r="AK950" s="3">
        <v>0.17</v>
      </c>
      <c r="AL950" s="3">
        <v>0.17</v>
      </c>
      <c r="AM950" s="3">
        <v>0.17</v>
      </c>
      <c r="AN950" s="3">
        <v>0.17</v>
      </c>
      <c r="AO950" s="3">
        <v>0.17</v>
      </c>
      <c r="AP950" s="3">
        <v>0.17</v>
      </c>
    </row>
    <row r="951" spans="1:42" hidden="1" x14ac:dyDescent="0.3">
      <c r="A951" s="5" t="s">
        <v>1090</v>
      </c>
      <c r="B951" s="5" t="s">
        <v>45</v>
      </c>
      <c r="C951" s="22">
        <v>45035</v>
      </c>
      <c r="D951" s="22">
        <v>45061</v>
      </c>
      <c r="E951" s="3">
        <v>0</v>
      </c>
      <c r="F951" s="3">
        <v>0</v>
      </c>
      <c r="G951" s="3">
        <v>0</v>
      </c>
      <c r="H951" s="3">
        <v>0</v>
      </c>
      <c r="I951" s="3">
        <v>0</v>
      </c>
      <c r="J951" s="3">
        <v>0</v>
      </c>
      <c r="K951" s="3">
        <v>0</v>
      </c>
      <c r="L951" s="3">
        <v>0</v>
      </c>
      <c r="M951" s="3">
        <v>0</v>
      </c>
      <c r="N951" s="3">
        <v>0</v>
      </c>
      <c r="O951" s="3">
        <v>0</v>
      </c>
      <c r="P951" s="3">
        <v>0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3">
        <v>7.0000000000000007E-2</v>
      </c>
      <c r="AA951" s="3">
        <v>0.17</v>
      </c>
      <c r="AB951" s="3">
        <v>0.17</v>
      </c>
      <c r="AC951" s="3">
        <v>0.17</v>
      </c>
      <c r="AD951" s="3">
        <v>0.17</v>
      </c>
      <c r="AE951" s="3">
        <v>0.17</v>
      </c>
      <c r="AF951" s="3">
        <v>0.17</v>
      </c>
      <c r="AG951" s="3">
        <v>0.17</v>
      </c>
      <c r="AH951" s="3">
        <v>0.17</v>
      </c>
      <c r="AI951" s="3">
        <v>0.17</v>
      </c>
      <c r="AJ951" s="3">
        <v>0.17</v>
      </c>
      <c r="AK951" s="3">
        <v>0.17</v>
      </c>
      <c r="AL951" s="3">
        <v>0.17</v>
      </c>
      <c r="AM951" s="3">
        <v>0.17</v>
      </c>
      <c r="AN951" s="3">
        <v>0.17</v>
      </c>
      <c r="AO951" s="3">
        <v>0.17</v>
      </c>
      <c r="AP951" s="3">
        <v>0.17</v>
      </c>
    </row>
    <row r="952" spans="1:42" hidden="1" x14ac:dyDescent="0.3">
      <c r="A952" s="4" t="s">
        <v>1091</v>
      </c>
      <c r="B952" s="4" t="s">
        <v>33</v>
      </c>
      <c r="C952" s="21">
        <v>45168</v>
      </c>
      <c r="D952" s="21">
        <v>45180</v>
      </c>
      <c r="E952" s="2">
        <v>0</v>
      </c>
      <c r="F952" s="2">
        <v>0</v>
      </c>
      <c r="G952" s="2">
        <v>0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2">
        <v>0.02</v>
      </c>
      <c r="AE952" s="2">
        <v>0.12</v>
      </c>
      <c r="AF952" s="2">
        <v>0.12</v>
      </c>
      <c r="AG952" s="2">
        <v>0.12</v>
      </c>
      <c r="AH952" s="2">
        <v>0.12</v>
      </c>
      <c r="AI952" s="2">
        <v>0.12</v>
      </c>
      <c r="AJ952" s="2">
        <v>0.12</v>
      </c>
      <c r="AK952" s="2">
        <v>0.12</v>
      </c>
      <c r="AL952" s="2">
        <v>0.12</v>
      </c>
      <c r="AM952" s="2">
        <v>0.12</v>
      </c>
      <c r="AN952" s="2">
        <v>0.12</v>
      </c>
      <c r="AO952" s="2">
        <v>0.12</v>
      </c>
      <c r="AP952" s="2">
        <v>0.12</v>
      </c>
    </row>
    <row r="953" spans="1:42" hidden="1" x14ac:dyDescent="0.3">
      <c r="A953" s="5" t="s">
        <v>1092</v>
      </c>
      <c r="B953" s="5" t="s">
        <v>29</v>
      </c>
      <c r="C953" s="22">
        <v>45177</v>
      </c>
      <c r="D953" s="22">
        <v>45180</v>
      </c>
      <c r="E953" s="3">
        <v>0</v>
      </c>
      <c r="F953" s="3">
        <v>0</v>
      </c>
      <c r="G953" s="3">
        <v>0</v>
      </c>
      <c r="H953" s="3">
        <v>0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  <c r="O953" s="3">
        <v>0</v>
      </c>
      <c r="P953" s="3">
        <v>0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3">
        <v>0</v>
      </c>
      <c r="AC953" s="3">
        <v>0</v>
      </c>
      <c r="AD953" s="3">
        <v>0</v>
      </c>
      <c r="AE953" s="3">
        <v>7.0000000000000007E-2</v>
      </c>
      <c r="AF953" s="3">
        <v>7.0000000000000007E-2</v>
      </c>
      <c r="AG953" s="3">
        <v>7.0000000000000007E-2</v>
      </c>
      <c r="AH953" s="3">
        <v>7.0000000000000007E-2</v>
      </c>
      <c r="AI953" s="3">
        <v>7.0000000000000007E-2</v>
      </c>
      <c r="AJ953" s="3">
        <v>7.0000000000000007E-2</v>
      </c>
      <c r="AK953" s="3">
        <v>7.0000000000000007E-2</v>
      </c>
      <c r="AL953" s="3">
        <v>7.0000000000000007E-2</v>
      </c>
      <c r="AM953" s="3">
        <v>7.0000000000000007E-2</v>
      </c>
      <c r="AN953" s="3">
        <v>7.0000000000000007E-2</v>
      </c>
      <c r="AO953" s="3">
        <v>7.0000000000000007E-2</v>
      </c>
      <c r="AP953" s="3">
        <v>7.0000000000000007E-2</v>
      </c>
    </row>
    <row r="954" spans="1:42" hidden="1" x14ac:dyDescent="0.3">
      <c r="A954" s="5" t="s">
        <v>1093</v>
      </c>
      <c r="B954" s="5" t="s">
        <v>29</v>
      </c>
      <c r="C954" s="22">
        <v>45168</v>
      </c>
      <c r="D954" s="22">
        <v>45168</v>
      </c>
      <c r="E954" s="3">
        <v>0</v>
      </c>
      <c r="F954" s="3">
        <v>0</v>
      </c>
      <c r="G954" s="3">
        <v>0</v>
      </c>
      <c r="H954" s="3">
        <v>0</v>
      </c>
      <c r="I954" s="3">
        <v>0</v>
      </c>
      <c r="J954" s="3">
        <v>0</v>
      </c>
      <c r="K954" s="3">
        <v>0</v>
      </c>
      <c r="L954" s="3">
        <v>0</v>
      </c>
      <c r="M954" s="3">
        <v>0</v>
      </c>
      <c r="N954" s="3">
        <v>0</v>
      </c>
      <c r="O954" s="3">
        <v>0</v>
      </c>
      <c r="P954" s="3">
        <v>0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3">
        <v>0</v>
      </c>
      <c r="AC954" s="3">
        <v>0</v>
      </c>
      <c r="AD954" s="3">
        <v>0.01</v>
      </c>
      <c r="AE954" s="3">
        <v>0.01</v>
      </c>
      <c r="AF954" s="3">
        <v>0.01</v>
      </c>
      <c r="AG954" s="3">
        <v>0.01</v>
      </c>
      <c r="AH954" s="3">
        <v>0.01</v>
      </c>
      <c r="AI954" s="3">
        <v>0.01</v>
      </c>
      <c r="AJ954" s="3">
        <v>0.01</v>
      </c>
      <c r="AK954" s="3">
        <v>0.01</v>
      </c>
      <c r="AL954" s="3">
        <v>0.01</v>
      </c>
      <c r="AM954" s="3">
        <v>0.01</v>
      </c>
      <c r="AN954" s="3">
        <v>0.01</v>
      </c>
      <c r="AO954" s="3">
        <v>0.01</v>
      </c>
      <c r="AP954" s="3">
        <v>0.01</v>
      </c>
    </row>
    <row r="955" spans="1:42" hidden="1" x14ac:dyDescent="0.3">
      <c r="A955" s="5" t="s">
        <v>1094</v>
      </c>
      <c r="B955" s="5" t="s">
        <v>29</v>
      </c>
      <c r="C955" s="22">
        <v>45169</v>
      </c>
      <c r="D955" s="22">
        <v>45169</v>
      </c>
      <c r="E955" s="3">
        <v>0</v>
      </c>
      <c r="F955" s="3">
        <v>0</v>
      </c>
      <c r="G955" s="3">
        <v>0</v>
      </c>
      <c r="H955" s="3">
        <v>0</v>
      </c>
      <c r="I955" s="3">
        <v>0</v>
      </c>
      <c r="J955" s="3">
        <v>0</v>
      </c>
      <c r="K955" s="3">
        <v>0</v>
      </c>
      <c r="L955" s="3">
        <v>0</v>
      </c>
      <c r="M955" s="3">
        <v>0</v>
      </c>
      <c r="N955" s="3">
        <v>0</v>
      </c>
      <c r="O955" s="3">
        <v>0</v>
      </c>
      <c r="P955" s="3">
        <v>0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  <c r="AA955" s="3">
        <v>0</v>
      </c>
      <c r="AB955" s="3">
        <v>0</v>
      </c>
      <c r="AC955" s="3">
        <v>0</v>
      </c>
      <c r="AD955" s="3">
        <v>0.01</v>
      </c>
      <c r="AE955" s="3">
        <v>0.01</v>
      </c>
      <c r="AF955" s="3">
        <v>0.01</v>
      </c>
      <c r="AG955" s="3">
        <v>0.01</v>
      </c>
      <c r="AH955" s="3">
        <v>0.01</v>
      </c>
      <c r="AI955" s="3">
        <v>0.01</v>
      </c>
      <c r="AJ955" s="3">
        <v>0.01</v>
      </c>
      <c r="AK955" s="3">
        <v>0.01</v>
      </c>
      <c r="AL955" s="3">
        <v>0.01</v>
      </c>
      <c r="AM955" s="3">
        <v>0.01</v>
      </c>
      <c r="AN955" s="3">
        <v>0.01</v>
      </c>
      <c r="AO955" s="3">
        <v>0.01</v>
      </c>
      <c r="AP955" s="3">
        <v>0.01</v>
      </c>
    </row>
    <row r="956" spans="1:42" hidden="1" x14ac:dyDescent="0.3">
      <c r="A956" s="5" t="s">
        <v>1095</v>
      </c>
      <c r="B956" s="5" t="s">
        <v>29</v>
      </c>
      <c r="C956" s="22">
        <v>45169</v>
      </c>
      <c r="D956" s="22">
        <v>45170</v>
      </c>
      <c r="E956" s="3">
        <v>0</v>
      </c>
      <c r="F956" s="3">
        <v>0</v>
      </c>
      <c r="G956" s="3">
        <v>0</v>
      </c>
      <c r="H956" s="3">
        <v>0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>
        <v>0</v>
      </c>
      <c r="P956" s="3">
        <v>0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  <c r="AA956" s="3">
        <v>0</v>
      </c>
      <c r="AB956" s="3">
        <v>0</v>
      </c>
      <c r="AC956" s="3">
        <v>0</v>
      </c>
      <c r="AD956" s="3">
        <v>0</v>
      </c>
      <c r="AE956" s="3">
        <v>0.01</v>
      </c>
      <c r="AF956" s="3">
        <v>0.01</v>
      </c>
      <c r="AG956" s="3">
        <v>0.01</v>
      </c>
      <c r="AH956" s="3">
        <v>0.01</v>
      </c>
      <c r="AI956" s="3">
        <v>0.01</v>
      </c>
      <c r="AJ956" s="3">
        <v>0.01</v>
      </c>
      <c r="AK956" s="3">
        <v>0.01</v>
      </c>
      <c r="AL956" s="3">
        <v>0.01</v>
      </c>
      <c r="AM956" s="3">
        <v>0.01</v>
      </c>
      <c r="AN956" s="3">
        <v>0.01</v>
      </c>
      <c r="AO956" s="3">
        <v>0.01</v>
      </c>
      <c r="AP956" s="3">
        <v>0.01</v>
      </c>
    </row>
    <row r="957" spans="1:42" hidden="1" x14ac:dyDescent="0.3">
      <c r="A957" s="5" t="s">
        <v>1096</v>
      </c>
      <c r="B957" s="5" t="s">
        <v>29</v>
      </c>
      <c r="C957" s="22">
        <v>45170</v>
      </c>
      <c r="D957" s="22">
        <v>45173</v>
      </c>
      <c r="E957" s="3">
        <v>0</v>
      </c>
      <c r="F957" s="3">
        <v>0</v>
      </c>
      <c r="G957" s="3">
        <v>0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0</v>
      </c>
      <c r="N957" s="3">
        <v>0</v>
      </c>
      <c r="O957" s="3">
        <v>0</v>
      </c>
      <c r="P957" s="3">
        <v>0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  <c r="AB957" s="3">
        <v>0</v>
      </c>
      <c r="AC957" s="3">
        <v>0</v>
      </c>
      <c r="AD957" s="3">
        <v>0</v>
      </c>
      <c r="AE957" s="3">
        <v>0.01</v>
      </c>
      <c r="AF957" s="3">
        <v>0.01</v>
      </c>
      <c r="AG957" s="3">
        <v>0.01</v>
      </c>
      <c r="AH957" s="3">
        <v>0.01</v>
      </c>
      <c r="AI957" s="3">
        <v>0.01</v>
      </c>
      <c r="AJ957" s="3">
        <v>0.01</v>
      </c>
      <c r="AK957" s="3">
        <v>0.01</v>
      </c>
      <c r="AL957" s="3">
        <v>0.01</v>
      </c>
      <c r="AM957" s="3">
        <v>0.01</v>
      </c>
      <c r="AN957" s="3">
        <v>0.01</v>
      </c>
      <c r="AO957" s="3">
        <v>0.01</v>
      </c>
      <c r="AP957" s="3">
        <v>0.01</v>
      </c>
    </row>
    <row r="958" spans="1:42" hidden="1" x14ac:dyDescent="0.3">
      <c r="A958" s="5" t="s">
        <v>1097</v>
      </c>
      <c r="B958" s="5" t="s">
        <v>29</v>
      </c>
      <c r="C958" s="22">
        <v>45173</v>
      </c>
      <c r="D958" s="22">
        <v>45174</v>
      </c>
      <c r="E958" s="3">
        <v>0</v>
      </c>
      <c r="F958" s="3">
        <v>0</v>
      </c>
      <c r="G958" s="3">
        <v>0</v>
      </c>
      <c r="H958" s="3">
        <v>0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v>0</v>
      </c>
      <c r="O958" s="3">
        <v>0</v>
      </c>
      <c r="P958" s="3">
        <v>0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0</v>
      </c>
      <c r="AB958" s="3">
        <v>0</v>
      </c>
      <c r="AC958" s="3">
        <v>0</v>
      </c>
      <c r="AD958" s="3">
        <v>0</v>
      </c>
      <c r="AE958" s="3">
        <v>0.01</v>
      </c>
      <c r="AF958" s="3">
        <v>0.01</v>
      </c>
      <c r="AG958" s="3">
        <v>0.01</v>
      </c>
      <c r="AH958" s="3">
        <v>0.01</v>
      </c>
      <c r="AI958" s="3">
        <v>0.01</v>
      </c>
      <c r="AJ958" s="3">
        <v>0.01</v>
      </c>
      <c r="AK958" s="3">
        <v>0.01</v>
      </c>
      <c r="AL958" s="3">
        <v>0.01</v>
      </c>
      <c r="AM958" s="3">
        <v>0.01</v>
      </c>
      <c r="AN958" s="3">
        <v>0.01</v>
      </c>
      <c r="AO958" s="3">
        <v>0.01</v>
      </c>
      <c r="AP958" s="3">
        <v>0.01</v>
      </c>
    </row>
    <row r="959" spans="1:42" hidden="1" x14ac:dyDescent="0.3">
      <c r="A959" s="15" t="s">
        <v>1098</v>
      </c>
      <c r="B959" s="15" t="s">
        <v>65</v>
      </c>
      <c r="C959" s="20">
        <v>45225</v>
      </c>
      <c r="D959" s="20">
        <v>45273</v>
      </c>
      <c r="E959" s="8">
        <v>0</v>
      </c>
      <c r="F959" s="8">
        <v>0</v>
      </c>
      <c r="G959" s="8">
        <v>0</v>
      </c>
      <c r="H959" s="8">
        <v>0</v>
      </c>
      <c r="I959" s="8">
        <v>0</v>
      </c>
      <c r="J959" s="8">
        <v>0</v>
      </c>
      <c r="K959" s="8">
        <v>0</v>
      </c>
      <c r="L959" s="8">
        <v>0</v>
      </c>
      <c r="M959" s="8">
        <v>0</v>
      </c>
      <c r="N959" s="8">
        <v>0</v>
      </c>
      <c r="O959" s="8">
        <v>0</v>
      </c>
      <c r="P959" s="8">
        <v>0</v>
      </c>
      <c r="Q959" s="8">
        <v>0</v>
      </c>
      <c r="R959" s="8">
        <v>0</v>
      </c>
      <c r="S959" s="8">
        <v>0</v>
      </c>
      <c r="T959" s="8">
        <v>0</v>
      </c>
      <c r="U959" s="8">
        <v>0</v>
      </c>
      <c r="V959" s="8">
        <v>0</v>
      </c>
      <c r="W959" s="8">
        <v>0</v>
      </c>
      <c r="X959" s="8">
        <v>0</v>
      </c>
      <c r="Y959" s="8">
        <v>0</v>
      </c>
      <c r="Z959" s="8">
        <v>0</v>
      </c>
      <c r="AA959" s="8">
        <v>0</v>
      </c>
      <c r="AB959" s="8">
        <v>0</v>
      </c>
      <c r="AC959" s="8">
        <v>0</v>
      </c>
      <c r="AD959" s="8">
        <v>0</v>
      </c>
      <c r="AE959" s="8">
        <v>0</v>
      </c>
      <c r="AF959" s="8">
        <v>0.03</v>
      </c>
      <c r="AG959" s="8">
        <v>0.28000000000000003</v>
      </c>
      <c r="AH959" s="8">
        <v>0.89</v>
      </c>
      <c r="AI959" s="8">
        <v>0.89</v>
      </c>
      <c r="AJ959" s="8">
        <v>0.89</v>
      </c>
      <c r="AK959" s="8">
        <v>0.89</v>
      </c>
      <c r="AL959" s="8">
        <v>0.89</v>
      </c>
      <c r="AM959" s="8">
        <v>0.89</v>
      </c>
      <c r="AN959" s="8">
        <v>0.89</v>
      </c>
      <c r="AO959" s="8">
        <v>0.89</v>
      </c>
      <c r="AP959" s="8">
        <v>0.89</v>
      </c>
    </row>
    <row r="960" spans="1:42" hidden="1" x14ac:dyDescent="0.3">
      <c r="A960" s="5" t="s">
        <v>1099</v>
      </c>
      <c r="B960" s="5" t="s">
        <v>9</v>
      </c>
      <c r="C960" s="22">
        <v>45260</v>
      </c>
      <c r="D960" s="22">
        <v>45267</v>
      </c>
      <c r="E960" s="3">
        <v>0</v>
      </c>
      <c r="F960" s="3">
        <v>0</v>
      </c>
      <c r="G960" s="3">
        <v>0</v>
      </c>
      <c r="H960" s="3">
        <v>0</v>
      </c>
      <c r="I960" s="3">
        <v>0</v>
      </c>
      <c r="J960" s="3">
        <v>0</v>
      </c>
      <c r="K960" s="3">
        <v>0</v>
      </c>
      <c r="L960" s="3">
        <v>0</v>
      </c>
      <c r="M960" s="3">
        <v>0</v>
      </c>
      <c r="N960" s="3">
        <v>0</v>
      </c>
      <c r="O960" s="3">
        <v>0</v>
      </c>
      <c r="P960" s="3">
        <v>0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  <c r="Z960" s="3">
        <v>0</v>
      </c>
      <c r="AA960" s="3">
        <v>0</v>
      </c>
      <c r="AB960" s="3">
        <v>0</v>
      </c>
      <c r="AC960" s="3">
        <v>0</v>
      </c>
      <c r="AD960" s="3">
        <v>0</v>
      </c>
      <c r="AE960" s="3">
        <v>0</v>
      </c>
      <c r="AF960" s="3">
        <v>0</v>
      </c>
      <c r="AG960" s="3">
        <v>0.05</v>
      </c>
      <c r="AH960" s="3">
        <v>0.61</v>
      </c>
      <c r="AI960" s="3">
        <v>0.61</v>
      </c>
      <c r="AJ960" s="3">
        <v>0.61</v>
      </c>
      <c r="AK960" s="3">
        <v>0.61</v>
      </c>
      <c r="AL960" s="3">
        <v>0.61</v>
      </c>
      <c r="AM960" s="3">
        <v>0.61</v>
      </c>
      <c r="AN960" s="3">
        <v>0.61</v>
      </c>
      <c r="AO960" s="3">
        <v>0.61</v>
      </c>
      <c r="AP960" s="3">
        <v>0.61</v>
      </c>
    </row>
    <row r="961" spans="1:42" hidden="1" x14ac:dyDescent="0.3">
      <c r="A961" s="5" t="s">
        <v>1100</v>
      </c>
      <c r="B961" s="5" t="s">
        <v>9</v>
      </c>
      <c r="C961" s="22">
        <v>45254</v>
      </c>
      <c r="D961" s="22">
        <v>45260</v>
      </c>
      <c r="E961" s="3">
        <v>0</v>
      </c>
      <c r="F961" s="3">
        <v>0</v>
      </c>
      <c r="G961" s="3">
        <v>0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  <c r="Z961" s="3">
        <v>0</v>
      </c>
      <c r="AA961" s="3">
        <v>0</v>
      </c>
      <c r="AB961" s="3">
        <v>0</v>
      </c>
      <c r="AC961" s="3">
        <v>0</v>
      </c>
      <c r="AD961" s="3">
        <v>0</v>
      </c>
      <c r="AE961" s="3">
        <v>0</v>
      </c>
      <c r="AF961" s="3">
        <v>0</v>
      </c>
      <c r="AG961" s="3">
        <v>0.05</v>
      </c>
      <c r="AH961" s="3">
        <v>0.05</v>
      </c>
      <c r="AI961" s="3">
        <v>0.05</v>
      </c>
      <c r="AJ961" s="3">
        <v>0.05</v>
      </c>
      <c r="AK961" s="3">
        <v>0.05</v>
      </c>
      <c r="AL961" s="3">
        <v>0.05</v>
      </c>
      <c r="AM961" s="3">
        <v>0.05</v>
      </c>
      <c r="AN961" s="3">
        <v>0.05</v>
      </c>
      <c r="AO961" s="3">
        <v>0.05</v>
      </c>
      <c r="AP961" s="3">
        <v>0.05</v>
      </c>
    </row>
    <row r="962" spans="1:42" hidden="1" x14ac:dyDescent="0.3">
      <c r="A962" s="5" t="s">
        <v>1101</v>
      </c>
      <c r="B962" s="5" t="s">
        <v>9</v>
      </c>
      <c r="C962" s="22">
        <v>45247</v>
      </c>
      <c r="D962" s="22">
        <v>45254</v>
      </c>
      <c r="E962" s="3">
        <v>0</v>
      </c>
      <c r="F962" s="3">
        <v>0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3">
        <v>0</v>
      </c>
      <c r="M962" s="3">
        <v>0</v>
      </c>
      <c r="N962" s="3">
        <v>0</v>
      </c>
      <c r="O962" s="3">
        <v>0</v>
      </c>
      <c r="P962" s="3">
        <v>0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  <c r="Z962" s="3">
        <v>0</v>
      </c>
      <c r="AA962" s="3">
        <v>0</v>
      </c>
      <c r="AB962" s="3">
        <v>0</v>
      </c>
      <c r="AC962" s="3">
        <v>0</v>
      </c>
      <c r="AD962" s="3">
        <v>0</v>
      </c>
      <c r="AE962" s="3">
        <v>0</v>
      </c>
      <c r="AF962" s="3">
        <v>0</v>
      </c>
      <c r="AG962" s="3">
        <v>0.05</v>
      </c>
      <c r="AH962" s="3">
        <v>0.05</v>
      </c>
      <c r="AI962" s="3">
        <v>0.05</v>
      </c>
      <c r="AJ962" s="3">
        <v>0.05</v>
      </c>
      <c r="AK962" s="3">
        <v>0.05</v>
      </c>
      <c r="AL962" s="3">
        <v>0.05</v>
      </c>
      <c r="AM962" s="3">
        <v>0.05</v>
      </c>
      <c r="AN962" s="3">
        <v>0.05</v>
      </c>
      <c r="AO962" s="3">
        <v>0.05</v>
      </c>
      <c r="AP962" s="3">
        <v>0.05</v>
      </c>
    </row>
    <row r="963" spans="1:42" hidden="1" x14ac:dyDescent="0.3">
      <c r="A963" s="5" t="s">
        <v>1102</v>
      </c>
      <c r="B963" s="5" t="s">
        <v>9</v>
      </c>
      <c r="C963" s="22">
        <v>45240</v>
      </c>
      <c r="D963" s="22">
        <v>45247</v>
      </c>
      <c r="E963" s="3">
        <v>0</v>
      </c>
      <c r="F963" s="3">
        <v>0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3">
        <v>0</v>
      </c>
      <c r="M963" s="3">
        <v>0</v>
      </c>
      <c r="N963" s="3">
        <v>0</v>
      </c>
      <c r="O963" s="3">
        <v>0</v>
      </c>
      <c r="P963" s="3">
        <v>0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0</v>
      </c>
      <c r="X963" s="3">
        <v>0</v>
      </c>
      <c r="Y963" s="3">
        <v>0</v>
      </c>
      <c r="Z963" s="3">
        <v>0</v>
      </c>
      <c r="AA963" s="3">
        <v>0</v>
      </c>
      <c r="AB963" s="3">
        <v>0</v>
      </c>
      <c r="AC963" s="3">
        <v>0</v>
      </c>
      <c r="AD963" s="3">
        <v>0</v>
      </c>
      <c r="AE963" s="3">
        <v>0</v>
      </c>
      <c r="AF963" s="3">
        <v>0</v>
      </c>
      <c r="AG963" s="3">
        <v>0.05</v>
      </c>
      <c r="AH963" s="3">
        <v>0.05</v>
      </c>
      <c r="AI963" s="3">
        <v>0.05</v>
      </c>
      <c r="AJ963" s="3">
        <v>0.05</v>
      </c>
      <c r="AK963" s="3">
        <v>0.05</v>
      </c>
      <c r="AL963" s="3">
        <v>0.05</v>
      </c>
      <c r="AM963" s="3">
        <v>0.05</v>
      </c>
      <c r="AN963" s="3">
        <v>0.05</v>
      </c>
      <c r="AO963" s="3">
        <v>0.05</v>
      </c>
      <c r="AP963" s="3">
        <v>0.05</v>
      </c>
    </row>
    <row r="964" spans="1:42" hidden="1" x14ac:dyDescent="0.3">
      <c r="A964" s="5" t="s">
        <v>1103</v>
      </c>
      <c r="B964" s="5" t="s">
        <v>9</v>
      </c>
      <c r="C964" s="22">
        <v>45233</v>
      </c>
      <c r="D964" s="22">
        <v>45239</v>
      </c>
      <c r="E964" s="3">
        <v>0</v>
      </c>
      <c r="F964" s="3">
        <v>0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0</v>
      </c>
      <c r="O964" s="3">
        <v>0</v>
      </c>
      <c r="P964" s="3">
        <v>0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  <c r="Z964" s="3">
        <v>0</v>
      </c>
      <c r="AA964" s="3">
        <v>0</v>
      </c>
      <c r="AB964" s="3">
        <v>0</v>
      </c>
      <c r="AC964" s="3">
        <v>0</v>
      </c>
      <c r="AD964" s="3">
        <v>0</v>
      </c>
      <c r="AE964" s="3">
        <v>0</v>
      </c>
      <c r="AF964" s="3">
        <v>0</v>
      </c>
      <c r="AG964" s="3">
        <v>0.05</v>
      </c>
      <c r="AH964" s="3">
        <v>0.05</v>
      </c>
      <c r="AI964" s="3">
        <v>0.05</v>
      </c>
      <c r="AJ964" s="3">
        <v>0.05</v>
      </c>
      <c r="AK964" s="3">
        <v>0.05</v>
      </c>
      <c r="AL964" s="3">
        <v>0.05</v>
      </c>
      <c r="AM964" s="3">
        <v>0.05</v>
      </c>
      <c r="AN964" s="3">
        <v>0.05</v>
      </c>
      <c r="AO964" s="3">
        <v>0.05</v>
      </c>
      <c r="AP964" s="3">
        <v>0.05</v>
      </c>
    </row>
    <row r="965" spans="1:42" hidden="1" x14ac:dyDescent="0.3">
      <c r="A965" s="5" t="s">
        <v>1104</v>
      </c>
      <c r="B965" s="5" t="s">
        <v>9</v>
      </c>
      <c r="C965" s="22">
        <v>45225</v>
      </c>
      <c r="D965" s="22">
        <v>45233</v>
      </c>
      <c r="E965" s="3">
        <v>0</v>
      </c>
      <c r="F965" s="3">
        <v>0</v>
      </c>
      <c r="G965" s="3">
        <v>0</v>
      </c>
      <c r="H965" s="3">
        <v>0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>
        <v>0</v>
      </c>
      <c r="O965" s="3">
        <v>0</v>
      </c>
      <c r="P965" s="3">
        <v>0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  <c r="Z965" s="3">
        <v>0</v>
      </c>
      <c r="AA965" s="3">
        <v>0</v>
      </c>
      <c r="AB965" s="3">
        <v>0</v>
      </c>
      <c r="AC965" s="3">
        <v>0</v>
      </c>
      <c r="AD965" s="3">
        <v>0</v>
      </c>
      <c r="AE965" s="3">
        <v>0</v>
      </c>
      <c r="AF965" s="3">
        <v>0.03</v>
      </c>
      <c r="AG965" s="3">
        <v>0.05</v>
      </c>
      <c r="AH965" s="3">
        <v>0.05</v>
      </c>
      <c r="AI965" s="3">
        <v>0.05</v>
      </c>
      <c r="AJ965" s="3">
        <v>0.05</v>
      </c>
      <c r="AK965" s="3">
        <v>0.05</v>
      </c>
      <c r="AL965" s="3">
        <v>0.05</v>
      </c>
      <c r="AM965" s="3">
        <v>0.05</v>
      </c>
      <c r="AN965" s="3">
        <v>0.05</v>
      </c>
      <c r="AO965" s="3">
        <v>0.05</v>
      </c>
      <c r="AP965" s="3">
        <v>0.05</v>
      </c>
    </row>
    <row r="966" spans="1:42" hidden="1" x14ac:dyDescent="0.3">
      <c r="A966" s="5" t="s">
        <v>1105</v>
      </c>
      <c r="B966" s="5" t="s">
        <v>9</v>
      </c>
      <c r="C966" s="22">
        <v>45267</v>
      </c>
      <c r="D966" s="22">
        <v>45273</v>
      </c>
      <c r="E966" s="3">
        <v>0</v>
      </c>
      <c r="F966" s="3">
        <v>0</v>
      </c>
      <c r="G966" s="3">
        <v>0</v>
      </c>
      <c r="H966" s="3">
        <v>0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  <c r="O966" s="3">
        <v>0</v>
      </c>
      <c r="P966" s="3">
        <v>0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  <c r="Z966" s="3">
        <v>0</v>
      </c>
      <c r="AA966" s="3">
        <v>0</v>
      </c>
      <c r="AB966" s="3">
        <v>0</v>
      </c>
      <c r="AC966" s="3">
        <v>0</v>
      </c>
      <c r="AD966" s="3">
        <v>0</v>
      </c>
      <c r="AE966" s="3">
        <v>0</v>
      </c>
      <c r="AF966" s="3">
        <v>0</v>
      </c>
      <c r="AG966" s="3">
        <v>0</v>
      </c>
      <c r="AH966" s="3">
        <v>0.05</v>
      </c>
      <c r="AI966" s="3">
        <v>0.05</v>
      </c>
      <c r="AJ966" s="3">
        <v>0.05</v>
      </c>
      <c r="AK966" s="3">
        <v>0.05</v>
      </c>
      <c r="AL966" s="3">
        <v>0.05</v>
      </c>
      <c r="AM966" s="3">
        <v>0.05</v>
      </c>
      <c r="AN966" s="3">
        <v>0.05</v>
      </c>
      <c r="AO966" s="3">
        <v>0.05</v>
      </c>
      <c r="AP966" s="3">
        <v>0.05</v>
      </c>
    </row>
    <row r="967" spans="1:42" hidden="1" x14ac:dyDescent="0.3">
      <c r="A967" s="14" t="s">
        <v>1106</v>
      </c>
      <c r="B967" s="14" t="s">
        <v>127</v>
      </c>
      <c r="C967" s="19">
        <v>44831</v>
      </c>
      <c r="D967" s="19">
        <v>45225</v>
      </c>
      <c r="E967" s="7">
        <v>0</v>
      </c>
      <c r="F967" s="7">
        <v>0</v>
      </c>
      <c r="G967" s="7">
        <v>0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0.4</v>
      </c>
      <c r="T967" s="7">
        <v>0.93</v>
      </c>
      <c r="U967" s="7">
        <v>1.17</v>
      </c>
      <c r="V967" s="7">
        <v>1.86</v>
      </c>
      <c r="W967" s="7">
        <v>2.11</v>
      </c>
      <c r="X967" s="7">
        <v>2.2999999999999998</v>
      </c>
      <c r="Y967" s="7">
        <v>2.48</v>
      </c>
      <c r="Z967" s="7">
        <v>2.48</v>
      </c>
      <c r="AA967" s="7">
        <v>2.48</v>
      </c>
      <c r="AB967" s="7">
        <v>2.48</v>
      </c>
      <c r="AC967" s="7">
        <v>2.98</v>
      </c>
      <c r="AD967" s="7">
        <v>3.2</v>
      </c>
      <c r="AE967" s="7">
        <v>3.6</v>
      </c>
      <c r="AF967" s="7">
        <v>3.78</v>
      </c>
      <c r="AG967" s="7">
        <v>3.78</v>
      </c>
      <c r="AH967" s="7">
        <v>3.78</v>
      </c>
      <c r="AI967" s="7">
        <v>3.78</v>
      </c>
      <c r="AJ967" s="7">
        <v>3.78</v>
      </c>
      <c r="AK967" s="7">
        <v>3.78</v>
      </c>
      <c r="AL967" s="7">
        <v>3.78</v>
      </c>
      <c r="AM967" s="7">
        <v>3.78</v>
      </c>
      <c r="AN967" s="7">
        <v>3.78</v>
      </c>
      <c r="AO967" s="7">
        <v>3.78</v>
      </c>
      <c r="AP967" s="7">
        <v>3.78</v>
      </c>
    </row>
    <row r="968" spans="1:42" hidden="1" x14ac:dyDescent="0.3">
      <c r="A968" s="15" t="s">
        <v>129</v>
      </c>
      <c r="B968" s="15" t="s">
        <v>128</v>
      </c>
      <c r="C968" s="20">
        <v>44831</v>
      </c>
      <c r="D968" s="20">
        <v>44883</v>
      </c>
      <c r="E968" s="8">
        <v>0</v>
      </c>
      <c r="F968" s="8">
        <v>0</v>
      </c>
      <c r="G968" s="8">
        <v>0</v>
      </c>
      <c r="H968" s="8">
        <v>0</v>
      </c>
      <c r="I968" s="8">
        <v>0</v>
      </c>
      <c r="J968" s="8">
        <v>0</v>
      </c>
      <c r="K968" s="8">
        <v>0</v>
      </c>
      <c r="L968" s="8">
        <v>0</v>
      </c>
      <c r="M968" s="8">
        <v>0</v>
      </c>
      <c r="N968" s="8">
        <v>0</v>
      </c>
      <c r="O968" s="8">
        <v>0</v>
      </c>
      <c r="P968" s="8">
        <v>0</v>
      </c>
      <c r="Q968" s="8">
        <v>0</v>
      </c>
      <c r="R968" s="8">
        <v>0</v>
      </c>
      <c r="S968" s="8">
        <v>0.36</v>
      </c>
      <c r="T968" s="8">
        <v>0.4</v>
      </c>
      <c r="U968" s="8">
        <v>0.44</v>
      </c>
      <c r="V968" s="8">
        <v>0.44</v>
      </c>
      <c r="W968" s="8">
        <v>0.44</v>
      </c>
      <c r="X968" s="8">
        <v>0.44</v>
      </c>
      <c r="Y968" s="8">
        <v>0.44</v>
      </c>
      <c r="Z968" s="8">
        <v>0.44</v>
      </c>
      <c r="AA968" s="8">
        <v>0.44</v>
      </c>
      <c r="AB968" s="8">
        <v>0.44</v>
      </c>
      <c r="AC968" s="8">
        <v>0.44</v>
      </c>
      <c r="AD968" s="8">
        <v>0.44</v>
      </c>
      <c r="AE968" s="8">
        <v>0.44</v>
      </c>
      <c r="AF968" s="8">
        <v>0.44</v>
      </c>
      <c r="AG968" s="8">
        <v>0.44</v>
      </c>
      <c r="AH968" s="8">
        <v>0.44</v>
      </c>
      <c r="AI968" s="8">
        <v>0.44</v>
      </c>
      <c r="AJ968" s="8">
        <v>0.44</v>
      </c>
      <c r="AK968" s="8">
        <v>0.44</v>
      </c>
      <c r="AL968" s="8">
        <v>0.44</v>
      </c>
      <c r="AM968" s="8">
        <v>0.44</v>
      </c>
      <c r="AN968" s="8">
        <v>0.44</v>
      </c>
      <c r="AO968" s="8">
        <v>0.44</v>
      </c>
      <c r="AP968" s="8">
        <v>0.44</v>
      </c>
    </row>
    <row r="969" spans="1:42" hidden="1" x14ac:dyDescent="0.3">
      <c r="A969" s="4" t="s">
        <v>1107</v>
      </c>
      <c r="B969" s="4" t="s">
        <v>128</v>
      </c>
      <c r="C969" s="21">
        <v>44831</v>
      </c>
      <c r="D969" s="21">
        <v>44883</v>
      </c>
      <c r="E969" s="2">
        <v>0</v>
      </c>
      <c r="F969" s="2">
        <v>0</v>
      </c>
      <c r="G969" s="2">
        <v>0</v>
      </c>
      <c r="H969" s="2">
        <v>0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0.36</v>
      </c>
      <c r="T969" s="2">
        <v>0.4</v>
      </c>
      <c r="U969" s="2">
        <v>0.44</v>
      </c>
      <c r="V969" s="2">
        <v>0.44</v>
      </c>
      <c r="W969" s="2">
        <v>0.44</v>
      </c>
      <c r="X969" s="2">
        <v>0.44</v>
      </c>
      <c r="Y969" s="2">
        <v>0.44</v>
      </c>
      <c r="Z969" s="2">
        <v>0.44</v>
      </c>
      <c r="AA969" s="2">
        <v>0.44</v>
      </c>
      <c r="AB969" s="2">
        <v>0.44</v>
      </c>
      <c r="AC969" s="2">
        <v>0.44</v>
      </c>
      <c r="AD969" s="2">
        <v>0.44</v>
      </c>
      <c r="AE969" s="2">
        <v>0.44</v>
      </c>
      <c r="AF969" s="2">
        <v>0.44</v>
      </c>
      <c r="AG969" s="2">
        <v>0.44</v>
      </c>
      <c r="AH969" s="2">
        <v>0.44</v>
      </c>
      <c r="AI969" s="2">
        <v>0.44</v>
      </c>
      <c r="AJ969" s="2">
        <v>0.44</v>
      </c>
      <c r="AK969" s="2">
        <v>0.44</v>
      </c>
      <c r="AL969" s="2">
        <v>0.44</v>
      </c>
      <c r="AM969" s="2">
        <v>0.44</v>
      </c>
      <c r="AN969" s="2">
        <v>0.44</v>
      </c>
      <c r="AO969" s="2">
        <v>0.44</v>
      </c>
      <c r="AP969" s="2">
        <v>0.44</v>
      </c>
    </row>
    <row r="970" spans="1:42" hidden="1" x14ac:dyDescent="0.3">
      <c r="A970" s="5" t="s">
        <v>1108</v>
      </c>
      <c r="B970" s="5" t="s">
        <v>12</v>
      </c>
      <c r="C970" s="22">
        <v>44831</v>
      </c>
      <c r="D970" s="22">
        <v>44833</v>
      </c>
      <c r="E970" s="3">
        <v>0</v>
      </c>
      <c r="F970" s="3">
        <v>0</v>
      </c>
      <c r="G970" s="3">
        <v>0</v>
      </c>
      <c r="H970" s="3">
        <v>0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>
        <v>0</v>
      </c>
      <c r="O970" s="3">
        <v>0</v>
      </c>
      <c r="P970" s="3">
        <v>0</v>
      </c>
      <c r="Q970" s="3">
        <v>0</v>
      </c>
      <c r="R970" s="3">
        <v>0</v>
      </c>
      <c r="S970" s="3">
        <v>0.36</v>
      </c>
      <c r="T970" s="3">
        <v>0.36</v>
      </c>
      <c r="U970" s="3">
        <v>0.36</v>
      </c>
      <c r="V970" s="3">
        <v>0.36</v>
      </c>
      <c r="W970" s="3">
        <v>0.36</v>
      </c>
      <c r="X970" s="3">
        <v>0.36</v>
      </c>
      <c r="Y970" s="3">
        <v>0.36</v>
      </c>
      <c r="Z970" s="3">
        <v>0.36</v>
      </c>
      <c r="AA970" s="3">
        <v>0.36</v>
      </c>
      <c r="AB970" s="3">
        <v>0.36</v>
      </c>
      <c r="AC970" s="3">
        <v>0.36</v>
      </c>
      <c r="AD970" s="3">
        <v>0.36</v>
      </c>
      <c r="AE970" s="3">
        <v>0.36</v>
      </c>
      <c r="AF970" s="3">
        <v>0.36</v>
      </c>
      <c r="AG970" s="3">
        <v>0.36</v>
      </c>
      <c r="AH970" s="3">
        <v>0.36</v>
      </c>
      <c r="AI970" s="3">
        <v>0.36</v>
      </c>
      <c r="AJ970" s="3">
        <v>0.36</v>
      </c>
      <c r="AK970" s="3">
        <v>0.36</v>
      </c>
      <c r="AL970" s="3">
        <v>0.36</v>
      </c>
      <c r="AM970" s="3">
        <v>0.36</v>
      </c>
      <c r="AN970" s="3">
        <v>0.36</v>
      </c>
      <c r="AO970" s="3">
        <v>0.36</v>
      </c>
      <c r="AP970" s="3">
        <v>0.36</v>
      </c>
    </row>
    <row r="971" spans="1:42" hidden="1" x14ac:dyDescent="0.3">
      <c r="A971" s="5" t="s">
        <v>1109</v>
      </c>
      <c r="B971" s="5" t="s">
        <v>12</v>
      </c>
      <c r="C971" s="22">
        <v>44847</v>
      </c>
      <c r="D971" s="22">
        <v>44851</v>
      </c>
      <c r="E971" s="3">
        <v>0</v>
      </c>
      <c r="F971" s="3">
        <v>0</v>
      </c>
      <c r="G971" s="3">
        <v>0</v>
      </c>
      <c r="H971" s="3">
        <v>0</v>
      </c>
      <c r="I971" s="3">
        <v>0</v>
      </c>
      <c r="J971" s="3">
        <v>0</v>
      </c>
      <c r="K971" s="3">
        <v>0</v>
      </c>
      <c r="L971" s="3">
        <v>0</v>
      </c>
      <c r="M971" s="3">
        <v>0</v>
      </c>
      <c r="N971" s="3">
        <v>0</v>
      </c>
      <c r="O971" s="3">
        <v>0</v>
      </c>
      <c r="P971" s="3">
        <v>0</v>
      </c>
      <c r="Q971" s="3">
        <v>0</v>
      </c>
      <c r="R971" s="3">
        <v>0</v>
      </c>
      <c r="S971" s="3">
        <v>0</v>
      </c>
      <c r="T971" s="3">
        <v>0.03</v>
      </c>
      <c r="U971" s="3">
        <v>0.03</v>
      </c>
      <c r="V971" s="3">
        <v>0.03</v>
      </c>
      <c r="W971" s="3">
        <v>0.03</v>
      </c>
      <c r="X971" s="3">
        <v>0.03</v>
      </c>
      <c r="Y971" s="3">
        <v>0.03</v>
      </c>
      <c r="Z971" s="3">
        <v>0.03</v>
      </c>
      <c r="AA971" s="3">
        <v>0.03</v>
      </c>
      <c r="AB971" s="3">
        <v>0.03</v>
      </c>
      <c r="AC971" s="3">
        <v>0.03</v>
      </c>
      <c r="AD971" s="3">
        <v>0.03</v>
      </c>
      <c r="AE971" s="3">
        <v>0.03</v>
      </c>
      <c r="AF971" s="3">
        <v>0.03</v>
      </c>
      <c r="AG971" s="3">
        <v>0.03</v>
      </c>
      <c r="AH971" s="3">
        <v>0.03</v>
      </c>
      <c r="AI971" s="3">
        <v>0.03</v>
      </c>
      <c r="AJ971" s="3">
        <v>0.03</v>
      </c>
      <c r="AK971" s="3">
        <v>0.03</v>
      </c>
      <c r="AL971" s="3">
        <v>0.03</v>
      </c>
      <c r="AM971" s="3">
        <v>0.03</v>
      </c>
      <c r="AN971" s="3">
        <v>0.03</v>
      </c>
      <c r="AO971" s="3">
        <v>0.03</v>
      </c>
      <c r="AP971" s="3">
        <v>0.03</v>
      </c>
    </row>
    <row r="972" spans="1:42" hidden="1" x14ac:dyDescent="0.3">
      <c r="A972" s="5" t="s">
        <v>1110</v>
      </c>
      <c r="B972" s="5" t="s">
        <v>12</v>
      </c>
      <c r="C972" s="22">
        <v>44862</v>
      </c>
      <c r="D972" s="22">
        <v>44866</v>
      </c>
      <c r="E972" s="3">
        <v>0</v>
      </c>
      <c r="F972" s="3">
        <v>0</v>
      </c>
      <c r="G972" s="3">
        <v>0</v>
      </c>
      <c r="H972" s="3">
        <v>0</v>
      </c>
      <c r="I972" s="3">
        <v>0</v>
      </c>
      <c r="J972" s="3">
        <v>0</v>
      </c>
      <c r="K972" s="3">
        <v>0</v>
      </c>
      <c r="L972" s="3">
        <v>0</v>
      </c>
      <c r="M972" s="3">
        <v>0</v>
      </c>
      <c r="N972" s="3">
        <v>0</v>
      </c>
      <c r="O972" s="3">
        <v>0</v>
      </c>
      <c r="P972" s="3">
        <v>0</v>
      </c>
      <c r="Q972" s="3">
        <v>0</v>
      </c>
      <c r="R972" s="3">
        <v>0</v>
      </c>
      <c r="S972" s="3">
        <v>0</v>
      </c>
      <c r="T972" s="3">
        <v>0.02</v>
      </c>
      <c r="U972" s="3">
        <v>0.03</v>
      </c>
      <c r="V972" s="3">
        <v>0.03</v>
      </c>
      <c r="W972" s="3">
        <v>0.03</v>
      </c>
      <c r="X972" s="3">
        <v>0.03</v>
      </c>
      <c r="Y972" s="3">
        <v>0.03</v>
      </c>
      <c r="Z972" s="3">
        <v>0.03</v>
      </c>
      <c r="AA972" s="3">
        <v>0.03</v>
      </c>
      <c r="AB972" s="3">
        <v>0.03</v>
      </c>
      <c r="AC972" s="3">
        <v>0.03</v>
      </c>
      <c r="AD972" s="3">
        <v>0.03</v>
      </c>
      <c r="AE972" s="3">
        <v>0.03</v>
      </c>
      <c r="AF972" s="3">
        <v>0.03</v>
      </c>
      <c r="AG972" s="3">
        <v>0.03</v>
      </c>
      <c r="AH972" s="3">
        <v>0.03</v>
      </c>
      <c r="AI972" s="3">
        <v>0.03</v>
      </c>
      <c r="AJ972" s="3">
        <v>0.03</v>
      </c>
      <c r="AK972" s="3">
        <v>0.03</v>
      </c>
      <c r="AL972" s="3">
        <v>0.03</v>
      </c>
      <c r="AM972" s="3">
        <v>0.03</v>
      </c>
      <c r="AN972" s="3">
        <v>0.03</v>
      </c>
      <c r="AO972" s="3">
        <v>0.03</v>
      </c>
      <c r="AP972" s="3">
        <v>0.03</v>
      </c>
    </row>
    <row r="973" spans="1:42" hidden="1" x14ac:dyDescent="0.3">
      <c r="A973" s="5" t="s">
        <v>1111</v>
      </c>
      <c r="B973" s="5" t="s">
        <v>12</v>
      </c>
      <c r="C973" s="22">
        <v>44881</v>
      </c>
      <c r="D973" s="22">
        <v>44883</v>
      </c>
      <c r="E973" s="3">
        <v>0</v>
      </c>
      <c r="F973" s="3">
        <v>0</v>
      </c>
      <c r="G973" s="3">
        <v>0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0</v>
      </c>
      <c r="O973" s="3">
        <v>0</v>
      </c>
      <c r="P973" s="3">
        <v>0</v>
      </c>
      <c r="Q973" s="3">
        <v>0</v>
      </c>
      <c r="R973" s="3">
        <v>0</v>
      </c>
      <c r="S973" s="3">
        <v>0</v>
      </c>
      <c r="T973" s="3">
        <v>0</v>
      </c>
      <c r="U973" s="3">
        <v>0.03</v>
      </c>
      <c r="V973" s="3">
        <v>0.03</v>
      </c>
      <c r="W973" s="3">
        <v>0.03</v>
      </c>
      <c r="X973" s="3">
        <v>0.03</v>
      </c>
      <c r="Y973" s="3">
        <v>0.03</v>
      </c>
      <c r="Z973" s="3">
        <v>0.03</v>
      </c>
      <c r="AA973" s="3">
        <v>0.03</v>
      </c>
      <c r="AB973" s="3">
        <v>0.03</v>
      </c>
      <c r="AC973" s="3">
        <v>0.03</v>
      </c>
      <c r="AD973" s="3">
        <v>0.03</v>
      </c>
      <c r="AE973" s="3">
        <v>0.03</v>
      </c>
      <c r="AF973" s="3">
        <v>0.03</v>
      </c>
      <c r="AG973" s="3">
        <v>0.03</v>
      </c>
      <c r="AH973" s="3">
        <v>0.03</v>
      </c>
      <c r="AI973" s="3">
        <v>0.03</v>
      </c>
      <c r="AJ973" s="3">
        <v>0.03</v>
      </c>
      <c r="AK973" s="3">
        <v>0.03</v>
      </c>
      <c r="AL973" s="3">
        <v>0.03</v>
      </c>
      <c r="AM973" s="3">
        <v>0.03</v>
      </c>
      <c r="AN973" s="3">
        <v>0.03</v>
      </c>
      <c r="AO973" s="3">
        <v>0.03</v>
      </c>
      <c r="AP973" s="3">
        <v>0.03</v>
      </c>
    </row>
    <row r="974" spans="1:42" hidden="1" x14ac:dyDescent="0.3">
      <c r="A974" s="15" t="s">
        <v>131</v>
      </c>
      <c r="B974" s="15" t="s">
        <v>130</v>
      </c>
      <c r="C974" s="20">
        <v>44833</v>
      </c>
      <c r="D974" s="20">
        <v>44901</v>
      </c>
      <c r="E974" s="8">
        <v>0</v>
      </c>
      <c r="F974" s="8">
        <v>0</v>
      </c>
      <c r="G974" s="8">
        <v>0</v>
      </c>
      <c r="H974" s="8">
        <v>0</v>
      </c>
      <c r="I974" s="8">
        <v>0</v>
      </c>
      <c r="J974" s="8">
        <v>0</v>
      </c>
      <c r="K974" s="8">
        <v>0</v>
      </c>
      <c r="L974" s="8">
        <v>0</v>
      </c>
      <c r="M974" s="8">
        <v>0</v>
      </c>
      <c r="N974" s="8">
        <v>0</v>
      </c>
      <c r="O974" s="8">
        <v>0</v>
      </c>
      <c r="P974" s="8">
        <v>0</v>
      </c>
      <c r="Q974" s="8">
        <v>0</v>
      </c>
      <c r="R974" s="8">
        <v>0</v>
      </c>
      <c r="S974" s="8">
        <v>0.04</v>
      </c>
      <c r="T974" s="8">
        <v>0.53</v>
      </c>
      <c r="U974" s="8">
        <v>0.73</v>
      </c>
      <c r="V974" s="8">
        <v>0.77</v>
      </c>
      <c r="W974" s="8">
        <v>0.77</v>
      </c>
      <c r="X974" s="8">
        <v>0.77</v>
      </c>
      <c r="Y974" s="8">
        <v>0.77</v>
      </c>
      <c r="Z974" s="8">
        <v>0.77</v>
      </c>
      <c r="AA974" s="8">
        <v>0.77</v>
      </c>
      <c r="AB974" s="8">
        <v>0.77</v>
      </c>
      <c r="AC974" s="8">
        <v>0.77</v>
      </c>
      <c r="AD974" s="8">
        <v>0.77</v>
      </c>
      <c r="AE974" s="8">
        <v>0.77</v>
      </c>
      <c r="AF974" s="8">
        <v>0.77</v>
      </c>
      <c r="AG974" s="8">
        <v>0.77</v>
      </c>
      <c r="AH974" s="8">
        <v>0.77</v>
      </c>
      <c r="AI974" s="8">
        <v>0.77</v>
      </c>
      <c r="AJ974" s="8">
        <v>0.77</v>
      </c>
      <c r="AK974" s="8">
        <v>0.77</v>
      </c>
      <c r="AL974" s="8">
        <v>0.77</v>
      </c>
      <c r="AM974" s="8">
        <v>0.77</v>
      </c>
      <c r="AN974" s="8">
        <v>0.77</v>
      </c>
      <c r="AO974" s="8">
        <v>0.77</v>
      </c>
      <c r="AP974" s="8">
        <v>0.77</v>
      </c>
    </row>
    <row r="975" spans="1:42" hidden="1" x14ac:dyDescent="0.3">
      <c r="A975" s="4" t="s">
        <v>1112</v>
      </c>
      <c r="B975" s="4" t="s">
        <v>130</v>
      </c>
      <c r="C975" s="21">
        <v>44833</v>
      </c>
      <c r="D975" s="21">
        <v>44901</v>
      </c>
      <c r="E975" s="2">
        <v>0</v>
      </c>
      <c r="F975" s="2">
        <v>0</v>
      </c>
      <c r="G975" s="2">
        <v>0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0.04</v>
      </c>
      <c r="T975" s="2">
        <v>0.53</v>
      </c>
      <c r="U975" s="2">
        <v>0.73</v>
      </c>
      <c r="V975" s="2">
        <v>0.77</v>
      </c>
      <c r="W975" s="2">
        <v>0.77</v>
      </c>
      <c r="X975" s="2">
        <v>0.77</v>
      </c>
      <c r="Y975" s="2">
        <v>0.77</v>
      </c>
      <c r="Z975" s="2">
        <v>0.77</v>
      </c>
      <c r="AA975" s="2">
        <v>0.77</v>
      </c>
      <c r="AB975" s="2">
        <v>0.77</v>
      </c>
      <c r="AC975" s="2">
        <v>0.77</v>
      </c>
      <c r="AD975" s="2">
        <v>0.77</v>
      </c>
      <c r="AE975" s="2">
        <v>0.77</v>
      </c>
      <c r="AF975" s="2">
        <v>0.77</v>
      </c>
      <c r="AG975" s="2">
        <v>0.77</v>
      </c>
      <c r="AH975" s="2">
        <v>0.77</v>
      </c>
      <c r="AI975" s="2">
        <v>0.77</v>
      </c>
      <c r="AJ975" s="2">
        <v>0.77</v>
      </c>
      <c r="AK975" s="2">
        <v>0.77</v>
      </c>
      <c r="AL975" s="2">
        <v>0.77</v>
      </c>
      <c r="AM975" s="2">
        <v>0.77</v>
      </c>
      <c r="AN975" s="2">
        <v>0.77</v>
      </c>
      <c r="AO975" s="2">
        <v>0.77</v>
      </c>
      <c r="AP975" s="2">
        <v>0.77</v>
      </c>
    </row>
    <row r="976" spans="1:42" hidden="1" x14ac:dyDescent="0.3">
      <c r="A976" s="5" t="s">
        <v>1113</v>
      </c>
      <c r="B976" s="5" t="s">
        <v>10</v>
      </c>
      <c r="C976" s="22">
        <v>44833</v>
      </c>
      <c r="D976" s="22">
        <v>44851</v>
      </c>
      <c r="E976" s="3">
        <v>0</v>
      </c>
      <c r="F976" s="3">
        <v>0</v>
      </c>
      <c r="G976" s="3">
        <v>0</v>
      </c>
      <c r="H976" s="3">
        <v>0</v>
      </c>
      <c r="I976" s="3">
        <v>0</v>
      </c>
      <c r="J976" s="3">
        <v>0</v>
      </c>
      <c r="K976" s="3">
        <v>0</v>
      </c>
      <c r="L976" s="3">
        <v>0</v>
      </c>
      <c r="M976" s="3">
        <v>0</v>
      </c>
      <c r="N976" s="3">
        <v>0</v>
      </c>
      <c r="O976" s="3">
        <v>0</v>
      </c>
      <c r="P976" s="3">
        <v>0</v>
      </c>
      <c r="Q976" s="3">
        <v>0</v>
      </c>
      <c r="R976" s="3">
        <v>0</v>
      </c>
      <c r="S976" s="3">
        <v>0.04</v>
      </c>
      <c r="T976" s="3">
        <v>0.43</v>
      </c>
      <c r="U976" s="3">
        <v>0.43</v>
      </c>
      <c r="V976" s="3">
        <v>0.43</v>
      </c>
      <c r="W976" s="3">
        <v>0.43</v>
      </c>
      <c r="X976" s="3">
        <v>0.43</v>
      </c>
      <c r="Y976" s="3">
        <v>0.43</v>
      </c>
      <c r="Z976" s="3">
        <v>0.43</v>
      </c>
      <c r="AA976" s="3">
        <v>0.43</v>
      </c>
      <c r="AB976" s="3">
        <v>0.43</v>
      </c>
      <c r="AC976" s="3">
        <v>0.43</v>
      </c>
      <c r="AD976" s="3">
        <v>0.43</v>
      </c>
      <c r="AE976" s="3">
        <v>0.43</v>
      </c>
      <c r="AF976" s="3">
        <v>0.43</v>
      </c>
      <c r="AG976" s="3">
        <v>0.43</v>
      </c>
      <c r="AH976" s="3">
        <v>0.43</v>
      </c>
      <c r="AI976" s="3">
        <v>0.43</v>
      </c>
      <c r="AJ976" s="3">
        <v>0.43</v>
      </c>
      <c r="AK976" s="3">
        <v>0.43</v>
      </c>
      <c r="AL976" s="3">
        <v>0.43</v>
      </c>
      <c r="AM976" s="3">
        <v>0.43</v>
      </c>
      <c r="AN976" s="3">
        <v>0.43</v>
      </c>
      <c r="AO976" s="3">
        <v>0.43</v>
      </c>
      <c r="AP976" s="3">
        <v>0.43</v>
      </c>
    </row>
    <row r="977" spans="1:42" hidden="1" x14ac:dyDescent="0.3">
      <c r="A977" s="5" t="s">
        <v>1114</v>
      </c>
      <c r="B977" s="5" t="s">
        <v>10</v>
      </c>
      <c r="C977" s="22">
        <v>44851</v>
      </c>
      <c r="D977" s="22">
        <v>44867</v>
      </c>
      <c r="E977" s="3">
        <v>0</v>
      </c>
      <c r="F977" s="3">
        <v>0</v>
      </c>
      <c r="G977" s="3">
        <v>0</v>
      </c>
      <c r="H977" s="3">
        <v>0</v>
      </c>
      <c r="I977" s="3">
        <v>0</v>
      </c>
      <c r="J977" s="3">
        <v>0</v>
      </c>
      <c r="K977" s="3">
        <v>0</v>
      </c>
      <c r="L977" s="3">
        <v>0</v>
      </c>
      <c r="M977" s="3">
        <v>0</v>
      </c>
      <c r="N977" s="3">
        <v>0</v>
      </c>
      <c r="O977" s="3">
        <v>0</v>
      </c>
      <c r="P977" s="3">
        <v>0</v>
      </c>
      <c r="Q977" s="3">
        <v>0</v>
      </c>
      <c r="R977" s="3">
        <v>0</v>
      </c>
      <c r="S977" s="3">
        <v>0</v>
      </c>
      <c r="T977" s="3">
        <v>0.1</v>
      </c>
      <c r="U977" s="3">
        <v>0.11</v>
      </c>
      <c r="V977" s="3">
        <v>0.11</v>
      </c>
      <c r="W977" s="3">
        <v>0.11</v>
      </c>
      <c r="X977" s="3">
        <v>0.11</v>
      </c>
      <c r="Y977" s="3">
        <v>0.11</v>
      </c>
      <c r="Z977" s="3">
        <v>0.11</v>
      </c>
      <c r="AA977" s="3">
        <v>0.11</v>
      </c>
      <c r="AB977" s="3">
        <v>0.11</v>
      </c>
      <c r="AC977" s="3">
        <v>0.11</v>
      </c>
      <c r="AD977" s="3">
        <v>0.11</v>
      </c>
      <c r="AE977" s="3">
        <v>0.11</v>
      </c>
      <c r="AF977" s="3">
        <v>0.11</v>
      </c>
      <c r="AG977" s="3">
        <v>0.11</v>
      </c>
      <c r="AH977" s="3">
        <v>0.11</v>
      </c>
      <c r="AI977" s="3">
        <v>0.11</v>
      </c>
      <c r="AJ977" s="3">
        <v>0.11</v>
      </c>
      <c r="AK977" s="3">
        <v>0.11</v>
      </c>
      <c r="AL977" s="3">
        <v>0.11</v>
      </c>
      <c r="AM977" s="3">
        <v>0.11</v>
      </c>
      <c r="AN977" s="3">
        <v>0.11</v>
      </c>
      <c r="AO977" s="3">
        <v>0.11</v>
      </c>
      <c r="AP977" s="3">
        <v>0.11</v>
      </c>
    </row>
    <row r="978" spans="1:42" hidden="1" x14ac:dyDescent="0.3">
      <c r="A978" s="5" t="s">
        <v>1115</v>
      </c>
      <c r="B978" s="5" t="s">
        <v>10</v>
      </c>
      <c r="C978" s="22">
        <v>44867</v>
      </c>
      <c r="D978" s="22">
        <v>44883</v>
      </c>
      <c r="E978" s="3">
        <v>0</v>
      </c>
      <c r="F978" s="3">
        <v>0</v>
      </c>
      <c r="G978" s="3">
        <v>0</v>
      </c>
      <c r="H978" s="3">
        <v>0</v>
      </c>
      <c r="I978" s="3">
        <v>0</v>
      </c>
      <c r="J978" s="3">
        <v>0</v>
      </c>
      <c r="K978" s="3">
        <v>0</v>
      </c>
      <c r="L978" s="3">
        <v>0</v>
      </c>
      <c r="M978" s="3">
        <v>0</v>
      </c>
      <c r="N978" s="3">
        <v>0</v>
      </c>
      <c r="O978" s="3">
        <v>0</v>
      </c>
      <c r="P978" s="3">
        <v>0</v>
      </c>
      <c r="Q978" s="3">
        <v>0</v>
      </c>
      <c r="R978" s="3">
        <v>0</v>
      </c>
      <c r="S978" s="3">
        <v>0</v>
      </c>
      <c r="T978" s="3">
        <v>0</v>
      </c>
      <c r="U978" s="3">
        <v>0.11</v>
      </c>
      <c r="V978" s="3">
        <v>0.11</v>
      </c>
      <c r="W978" s="3">
        <v>0.11</v>
      </c>
      <c r="X978" s="3">
        <v>0.11</v>
      </c>
      <c r="Y978" s="3">
        <v>0.11</v>
      </c>
      <c r="Z978" s="3">
        <v>0.11</v>
      </c>
      <c r="AA978" s="3">
        <v>0.11</v>
      </c>
      <c r="AB978" s="3">
        <v>0.11</v>
      </c>
      <c r="AC978" s="3">
        <v>0.11</v>
      </c>
      <c r="AD978" s="3">
        <v>0.11</v>
      </c>
      <c r="AE978" s="3">
        <v>0.11</v>
      </c>
      <c r="AF978" s="3">
        <v>0.11</v>
      </c>
      <c r="AG978" s="3">
        <v>0.11</v>
      </c>
      <c r="AH978" s="3">
        <v>0.11</v>
      </c>
      <c r="AI978" s="3">
        <v>0.11</v>
      </c>
      <c r="AJ978" s="3">
        <v>0.11</v>
      </c>
      <c r="AK978" s="3">
        <v>0.11</v>
      </c>
      <c r="AL978" s="3">
        <v>0.11</v>
      </c>
      <c r="AM978" s="3">
        <v>0.11</v>
      </c>
      <c r="AN978" s="3">
        <v>0.11</v>
      </c>
      <c r="AO978" s="3">
        <v>0.11</v>
      </c>
      <c r="AP978" s="3">
        <v>0.11</v>
      </c>
    </row>
    <row r="979" spans="1:42" hidden="1" x14ac:dyDescent="0.3">
      <c r="A979" s="5" t="s">
        <v>1116</v>
      </c>
      <c r="B979" s="5" t="s">
        <v>10</v>
      </c>
      <c r="C979" s="22">
        <v>44883</v>
      </c>
      <c r="D979" s="22">
        <v>44901</v>
      </c>
      <c r="E979" s="3">
        <v>0</v>
      </c>
      <c r="F979" s="3">
        <v>0</v>
      </c>
      <c r="G979" s="3">
        <v>0</v>
      </c>
      <c r="H979" s="3">
        <v>0</v>
      </c>
      <c r="I979" s="3">
        <v>0</v>
      </c>
      <c r="J979" s="3">
        <v>0</v>
      </c>
      <c r="K979" s="3">
        <v>0</v>
      </c>
      <c r="L979" s="3">
        <v>0</v>
      </c>
      <c r="M979" s="3">
        <v>0</v>
      </c>
      <c r="N979" s="3">
        <v>0</v>
      </c>
      <c r="O979" s="3">
        <v>0</v>
      </c>
      <c r="P979" s="3">
        <v>0</v>
      </c>
      <c r="Q979" s="3">
        <v>0</v>
      </c>
      <c r="R979" s="3">
        <v>0</v>
      </c>
      <c r="S979" s="3">
        <v>0</v>
      </c>
      <c r="T979" s="3">
        <v>0</v>
      </c>
      <c r="U979" s="3">
        <v>0.08</v>
      </c>
      <c r="V979" s="3">
        <v>0.11</v>
      </c>
      <c r="W979" s="3">
        <v>0.11</v>
      </c>
      <c r="X979" s="3">
        <v>0.11</v>
      </c>
      <c r="Y979" s="3">
        <v>0.11</v>
      </c>
      <c r="Z979" s="3">
        <v>0.11</v>
      </c>
      <c r="AA979" s="3">
        <v>0.11</v>
      </c>
      <c r="AB979" s="3">
        <v>0.11</v>
      </c>
      <c r="AC979" s="3">
        <v>0.11</v>
      </c>
      <c r="AD979" s="3">
        <v>0.11</v>
      </c>
      <c r="AE979" s="3">
        <v>0.11</v>
      </c>
      <c r="AF979" s="3">
        <v>0.11</v>
      </c>
      <c r="AG979" s="3">
        <v>0.11</v>
      </c>
      <c r="AH979" s="3">
        <v>0.11</v>
      </c>
      <c r="AI979" s="3">
        <v>0.11</v>
      </c>
      <c r="AJ979" s="3">
        <v>0.11</v>
      </c>
      <c r="AK979" s="3">
        <v>0.11</v>
      </c>
      <c r="AL979" s="3">
        <v>0.11</v>
      </c>
      <c r="AM979" s="3">
        <v>0.11</v>
      </c>
      <c r="AN979" s="3">
        <v>0.11</v>
      </c>
      <c r="AO979" s="3">
        <v>0.11</v>
      </c>
      <c r="AP979" s="3">
        <v>0.11</v>
      </c>
    </row>
    <row r="980" spans="1:42" hidden="1" x14ac:dyDescent="0.3">
      <c r="A980" s="15" t="s">
        <v>133</v>
      </c>
      <c r="B980" s="15" t="s">
        <v>132</v>
      </c>
      <c r="C980" s="20">
        <v>44901</v>
      </c>
      <c r="D980" s="20">
        <v>45013</v>
      </c>
      <c r="E980" s="8">
        <v>0</v>
      </c>
      <c r="F980" s="8">
        <v>0</v>
      </c>
      <c r="G980" s="8">
        <v>0</v>
      </c>
      <c r="H980" s="8">
        <v>0</v>
      </c>
      <c r="I980" s="8">
        <v>0</v>
      </c>
      <c r="J980" s="8">
        <v>0</v>
      </c>
      <c r="K980" s="8">
        <v>0</v>
      </c>
      <c r="L980" s="8">
        <v>0</v>
      </c>
      <c r="M980" s="8">
        <v>0</v>
      </c>
      <c r="N980" s="8">
        <v>0</v>
      </c>
      <c r="O980" s="8">
        <v>0</v>
      </c>
      <c r="P980" s="8">
        <v>0</v>
      </c>
      <c r="Q980" s="8">
        <v>0</v>
      </c>
      <c r="R980" s="8">
        <v>0</v>
      </c>
      <c r="S980" s="8">
        <v>0</v>
      </c>
      <c r="T980" s="8">
        <v>0</v>
      </c>
      <c r="U980" s="8">
        <v>0</v>
      </c>
      <c r="V980" s="8">
        <v>0.65</v>
      </c>
      <c r="W980" s="8">
        <v>0.9</v>
      </c>
      <c r="X980" s="8">
        <v>1.0900000000000001</v>
      </c>
      <c r="Y980" s="8">
        <v>1.27</v>
      </c>
      <c r="Z980" s="8">
        <v>1.27</v>
      </c>
      <c r="AA980" s="8">
        <v>1.27</v>
      </c>
      <c r="AB980" s="8">
        <v>1.27</v>
      </c>
      <c r="AC980" s="8">
        <v>1.27</v>
      </c>
      <c r="AD980" s="8">
        <v>1.27</v>
      </c>
      <c r="AE980" s="8">
        <v>1.27</v>
      </c>
      <c r="AF980" s="8">
        <v>1.27</v>
      </c>
      <c r="AG980" s="8">
        <v>1.27</v>
      </c>
      <c r="AH980" s="8">
        <v>1.27</v>
      </c>
      <c r="AI980" s="8">
        <v>1.27</v>
      </c>
      <c r="AJ980" s="8">
        <v>1.27</v>
      </c>
      <c r="AK980" s="8">
        <v>1.27</v>
      </c>
      <c r="AL980" s="8">
        <v>1.27</v>
      </c>
      <c r="AM980" s="8">
        <v>1.27</v>
      </c>
      <c r="AN980" s="8">
        <v>1.27</v>
      </c>
      <c r="AO980" s="8">
        <v>1.27</v>
      </c>
      <c r="AP980" s="8">
        <v>1.27</v>
      </c>
    </row>
    <row r="981" spans="1:42" hidden="1" x14ac:dyDescent="0.3">
      <c r="A981" s="4" t="s">
        <v>1117</v>
      </c>
      <c r="B981" s="4" t="s">
        <v>132</v>
      </c>
      <c r="C981" s="21">
        <v>44901</v>
      </c>
      <c r="D981" s="21">
        <v>45013</v>
      </c>
      <c r="E981" s="2">
        <v>0</v>
      </c>
      <c r="F981" s="2">
        <v>0</v>
      </c>
      <c r="G981" s="2">
        <v>0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0.65</v>
      </c>
      <c r="W981" s="2">
        <v>0.9</v>
      </c>
      <c r="X981" s="2">
        <v>1.0900000000000001</v>
      </c>
      <c r="Y981" s="2">
        <v>1.27</v>
      </c>
      <c r="Z981" s="2">
        <v>1.27</v>
      </c>
      <c r="AA981" s="2">
        <v>1.27</v>
      </c>
      <c r="AB981" s="2">
        <v>1.27</v>
      </c>
      <c r="AC981" s="2">
        <v>1.27</v>
      </c>
      <c r="AD981" s="2">
        <v>1.27</v>
      </c>
      <c r="AE981" s="2">
        <v>1.27</v>
      </c>
      <c r="AF981" s="2">
        <v>1.27</v>
      </c>
      <c r="AG981" s="2">
        <v>1.27</v>
      </c>
      <c r="AH981" s="2">
        <v>1.27</v>
      </c>
      <c r="AI981" s="2">
        <v>1.27</v>
      </c>
      <c r="AJ981" s="2">
        <v>1.27</v>
      </c>
      <c r="AK981" s="2">
        <v>1.27</v>
      </c>
      <c r="AL981" s="2">
        <v>1.27</v>
      </c>
      <c r="AM981" s="2">
        <v>1.27</v>
      </c>
      <c r="AN981" s="2">
        <v>1.27</v>
      </c>
      <c r="AO981" s="2">
        <v>1.27</v>
      </c>
      <c r="AP981" s="2">
        <v>1.27</v>
      </c>
    </row>
    <row r="982" spans="1:42" hidden="1" x14ac:dyDescent="0.3">
      <c r="A982" s="5" t="s">
        <v>1118</v>
      </c>
      <c r="B982" s="5" t="s">
        <v>11</v>
      </c>
      <c r="C982" s="22">
        <v>44901</v>
      </c>
      <c r="D982" s="22">
        <v>44929</v>
      </c>
      <c r="E982" s="3">
        <v>0</v>
      </c>
      <c r="F982" s="3">
        <v>0</v>
      </c>
      <c r="G982" s="3">
        <v>0</v>
      </c>
      <c r="H982" s="3">
        <v>0</v>
      </c>
      <c r="I982" s="3">
        <v>0</v>
      </c>
      <c r="J982" s="3">
        <v>0</v>
      </c>
      <c r="K982" s="3">
        <v>0</v>
      </c>
      <c r="L982" s="3">
        <v>0</v>
      </c>
      <c r="M982" s="3">
        <v>0</v>
      </c>
      <c r="N982" s="3">
        <v>0</v>
      </c>
      <c r="O982" s="3">
        <v>0</v>
      </c>
      <c r="P982" s="3">
        <v>0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0.65</v>
      </c>
      <c r="W982" s="3">
        <v>0.71</v>
      </c>
      <c r="X982" s="3">
        <v>0.71</v>
      </c>
      <c r="Y982" s="3">
        <v>0.71</v>
      </c>
      <c r="Z982" s="3">
        <v>0.71</v>
      </c>
      <c r="AA982" s="3">
        <v>0.71</v>
      </c>
      <c r="AB982" s="3">
        <v>0.71</v>
      </c>
      <c r="AC982" s="3">
        <v>0.71</v>
      </c>
      <c r="AD982" s="3">
        <v>0.71</v>
      </c>
      <c r="AE982" s="3">
        <v>0.71</v>
      </c>
      <c r="AF982" s="3">
        <v>0.71</v>
      </c>
      <c r="AG982" s="3">
        <v>0.71</v>
      </c>
      <c r="AH982" s="3">
        <v>0.71</v>
      </c>
      <c r="AI982" s="3">
        <v>0.71</v>
      </c>
      <c r="AJ982" s="3">
        <v>0.71</v>
      </c>
      <c r="AK982" s="3">
        <v>0.71</v>
      </c>
      <c r="AL982" s="3">
        <v>0.71</v>
      </c>
      <c r="AM982" s="3">
        <v>0.71</v>
      </c>
      <c r="AN982" s="3">
        <v>0.71</v>
      </c>
      <c r="AO982" s="3">
        <v>0.71</v>
      </c>
      <c r="AP982" s="3">
        <v>0.71</v>
      </c>
    </row>
    <row r="983" spans="1:42" hidden="1" x14ac:dyDescent="0.3">
      <c r="A983" s="5" t="s">
        <v>1119</v>
      </c>
      <c r="B983" s="5" t="s">
        <v>11</v>
      </c>
      <c r="C983" s="22">
        <v>44929</v>
      </c>
      <c r="D983" s="22">
        <v>44957</v>
      </c>
      <c r="E983" s="3">
        <v>0</v>
      </c>
      <c r="F983" s="3">
        <v>0</v>
      </c>
      <c r="G983" s="3">
        <v>0</v>
      </c>
      <c r="H983" s="3">
        <v>0</v>
      </c>
      <c r="I983" s="3">
        <v>0</v>
      </c>
      <c r="J983" s="3">
        <v>0</v>
      </c>
      <c r="K983" s="3">
        <v>0</v>
      </c>
      <c r="L983" s="3">
        <v>0</v>
      </c>
      <c r="M983" s="3">
        <v>0</v>
      </c>
      <c r="N983" s="3">
        <v>0</v>
      </c>
      <c r="O983" s="3">
        <v>0</v>
      </c>
      <c r="P983" s="3">
        <v>0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0.19</v>
      </c>
      <c r="X983" s="3">
        <v>0.19</v>
      </c>
      <c r="Y983" s="3">
        <v>0.19</v>
      </c>
      <c r="Z983" s="3">
        <v>0.19</v>
      </c>
      <c r="AA983" s="3">
        <v>0.19</v>
      </c>
      <c r="AB983" s="3">
        <v>0.19</v>
      </c>
      <c r="AC983" s="3">
        <v>0.19</v>
      </c>
      <c r="AD983" s="3">
        <v>0.19</v>
      </c>
      <c r="AE983" s="3">
        <v>0.19</v>
      </c>
      <c r="AF983" s="3">
        <v>0.19</v>
      </c>
      <c r="AG983" s="3">
        <v>0.19</v>
      </c>
      <c r="AH983" s="3">
        <v>0.19</v>
      </c>
      <c r="AI983" s="3">
        <v>0.19</v>
      </c>
      <c r="AJ983" s="3">
        <v>0.19</v>
      </c>
      <c r="AK983" s="3">
        <v>0.19</v>
      </c>
      <c r="AL983" s="3">
        <v>0.19</v>
      </c>
      <c r="AM983" s="3">
        <v>0.19</v>
      </c>
      <c r="AN983" s="3">
        <v>0.19</v>
      </c>
      <c r="AO983" s="3">
        <v>0.19</v>
      </c>
      <c r="AP983" s="3">
        <v>0.19</v>
      </c>
    </row>
    <row r="984" spans="1:42" hidden="1" x14ac:dyDescent="0.3">
      <c r="A984" s="5" t="s">
        <v>1120</v>
      </c>
      <c r="B984" s="5" t="s">
        <v>11</v>
      </c>
      <c r="C984" s="22">
        <v>44957</v>
      </c>
      <c r="D984" s="22">
        <v>44985</v>
      </c>
      <c r="E984" s="3">
        <v>0</v>
      </c>
      <c r="F984" s="3">
        <v>0</v>
      </c>
      <c r="G984" s="3">
        <v>0</v>
      </c>
      <c r="H984" s="3">
        <v>0</v>
      </c>
      <c r="I984" s="3">
        <v>0</v>
      </c>
      <c r="J984" s="3">
        <v>0</v>
      </c>
      <c r="K984" s="3">
        <v>0</v>
      </c>
      <c r="L984" s="3">
        <v>0</v>
      </c>
      <c r="M984" s="3">
        <v>0</v>
      </c>
      <c r="N984" s="3">
        <v>0</v>
      </c>
      <c r="O984" s="3">
        <v>0</v>
      </c>
      <c r="P984" s="3">
        <v>0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0.19</v>
      </c>
      <c r="Y984" s="3">
        <v>0.19</v>
      </c>
      <c r="Z984" s="3">
        <v>0.19</v>
      </c>
      <c r="AA984" s="3">
        <v>0.19</v>
      </c>
      <c r="AB984" s="3">
        <v>0.19</v>
      </c>
      <c r="AC984" s="3">
        <v>0.19</v>
      </c>
      <c r="AD984" s="3">
        <v>0.19</v>
      </c>
      <c r="AE984" s="3">
        <v>0.19</v>
      </c>
      <c r="AF984" s="3">
        <v>0.19</v>
      </c>
      <c r="AG984" s="3">
        <v>0.19</v>
      </c>
      <c r="AH984" s="3">
        <v>0.19</v>
      </c>
      <c r="AI984" s="3">
        <v>0.19</v>
      </c>
      <c r="AJ984" s="3">
        <v>0.19</v>
      </c>
      <c r="AK984" s="3">
        <v>0.19</v>
      </c>
      <c r="AL984" s="3">
        <v>0.19</v>
      </c>
      <c r="AM984" s="3">
        <v>0.19</v>
      </c>
      <c r="AN984" s="3">
        <v>0.19</v>
      </c>
      <c r="AO984" s="3">
        <v>0.19</v>
      </c>
      <c r="AP984" s="3">
        <v>0.19</v>
      </c>
    </row>
    <row r="985" spans="1:42" hidden="1" x14ac:dyDescent="0.3">
      <c r="A985" s="5" t="s">
        <v>1121</v>
      </c>
      <c r="B985" s="5" t="s">
        <v>11</v>
      </c>
      <c r="C985" s="22">
        <v>44985</v>
      </c>
      <c r="D985" s="22">
        <v>45013</v>
      </c>
      <c r="E985" s="3">
        <v>0</v>
      </c>
      <c r="F985" s="3">
        <v>0</v>
      </c>
      <c r="G985" s="3">
        <v>0</v>
      </c>
      <c r="H985" s="3">
        <v>0</v>
      </c>
      <c r="I985" s="3">
        <v>0</v>
      </c>
      <c r="J985" s="3">
        <v>0</v>
      </c>
      <c r="K985" s="3">
        <v>0</v>
      </c>
      <c r="L985" s="3">
        <v>0</v>
      </c>
      <c r="M985" s="3">
        <v>0</v>
      </c>
      <c r="N985" s="3">
        <v>0</v>
      </c>
      <c r="O985" s="3">
        <v>0</v>
      </c>
      <c r="P985" s="3">
        <v>0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0.19</v>
      </c>
      <c r="Z985" s="3">
        <v>0.19</v>
      </c>
      <c r="AA985" s="3">
        <v>0.19</v>
      </c>
      <c r="AB985" s="3">
        <v>0.19</v>
      </c>
      <c r="AC985" s="3">
        <v>0.19</v>
      </c>
      <c r="AD985" s="3">
        <v>0.19</v>
      </c>
      <c r="AE985" s="3">
        <v>0.19</v>
      </c>
      <c r="AF985" s="3">
        <v>0.19</v>
      </c>
      <c r="AG985" s="3">
        <v>0.19</v>
      </c>
      <c r="AH985" s="3">
        <v>0.19</v>
      </c>
      <c r="AI985" s="3">
        <v>0.19</v>
      </c>
      <c r="AJ985" s="3">
        <v>0.19</v>
      </c>
      <c r="AK985" s="3">
        <v>0.19</v>
      </c>
      <c r="AL985" s="3">
        <v>0.19</v>
      </c>
      <c r="AM985" s="3">
        <v>0.19</v>
      </c>
      <c r="AN985" s="3">
        <v>0.19</v>
      </c>
      <c r="AO985" s="3">
        <v>0.19</v>
      </c>
      <c r="AP985" s="3">
        <v>0.19</v>
      </c>
    </row>
    <row r="986" spans="1:42" hidden="1" x14ac:dyDescent="0.3">
      <c r="A986" s="15" t="s">
        <v>135</v>
      </c>
      <c r="B986" s="15" t="s">
        <v>134</v>
      </c>
      <c r="C986" s="20">
        <v>45113</v>
      </c>
      <c r="D986" s="20">
        <v>45181</v>
      </c>
      <c r="E986" s="8">
        <v>0</v>
      </c>
      <c r="F986" s="8">
        <v>0</v>
      </c>
      <c r="G986" s="8">
        <v>0</v>
      </c>
      <c r="H986" s="8">
        <v>0</v>
      </c>
      <c r="I986" s="8">
        <v>0</v>
      </c>
      <c r="J986" s="8">
        <v>0</v>
      </c>
      <c r="K986" s="8">
        <v>0</v>
      </c>
      <c r="L986" s="8">
        <v>0</v>
      </c>
      <c r="M986" s="8">
        <v>0</v>
      </c>
      <c r="N986" s="8">
        <v>0</v>
      </c>
      <c r="O986" s="8">
        <v>0</v>
      </c>
      <c r="P986" s="8">
        <v>0</v>
      </c>
      <c r="Q986" s="8">
        <v>0</v>
      </c>
      <c r="R986" s="8">
        <v>0</v>
      </c>
      <c r="S986" s="8">
        <v>0</v>
      </c>
      <c r="T986" s="8">
        <v>0</v>
      </c>
      <c r="U986" s="8">
        <v>0</v>
      </c>
      <c r="V986" s="8">
        <v>0</v>
      </c>
      <c r="W986" s="8">
        <v>0</v>
      </c>
      <c r="X986" s="8">
        <v>0</v>
      </c>
      <c r="Y986" s="8">
        <v>0</v>
      </c>
      <c r="Z986" s="8">
        <v>0</v>
      </c>
      <c r="AA986" s="8">
        <v>0</v>
      </c>
      <c r="AB986" s="8">
        <v>0</v>
      </c>
      <c r="AC986" s="8">
        <v>0.5</v>
      </c>
      <c r="AD986" s="8">
        <v>0.71</v>
      </c>
      <c r="AE986" s="8">
        <v>0.79</v>
      </c>
      <c r="AF986" s="8">
        <v>0.79</v>
      </c>
      <c r="AG986" s="8">
        <v>0.79</v>
      </c>
      <c r="AH986" s="8">
        <v>0.79</v>
      </c>
      <c r="AI986" s="8">
        <v>0.79</v>
      </c>
      <c r="AJ986" s="8">
        <v>0.79</v>
      </c>
      <c r="AK986" s="8">
        <v>0.79</v>
      </c>
      <c r="AL986" s="8">
        <v>0.79</v>
      </c>
      <c r="AM986" s="8">
        <v>0.79</v>
      </c>
      <c r="AN986" s="8">
        <v>0.79</v>
      </c>
      <c r="AO986" s="8">
        <v>0.79</v>
      </c>
      <c r="AP986" s="8">
        <v>0.79</v>
      </c>
    </row>
    <row r="987" spans="1:42" hidden="1" x14ac:dyDescent="0.3">
      <c r="A987" s="4" t="s">
        <v>1122</v>
      </c>
      <c r="B987" s="4" t="s">
        <v>134</v>
      </c>
      <c r="C987" s="21">
        <v>45113</v>
      </c>
      <c r="D987" s="21">
        <v>45181</v>
      </c>
      <c r="E987" s="2">
        <v>0</v>
      </c>
      <c r="F987" s="2">
        <v>0</v>
      </c>
      <c r="G987" s="2">
        <v>0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0.5</v>
      </c>
      <c r="AD987" s="2">
        <v>0.71</v>
      </c>
      <c r="AE987" s="2">
        <v>0.79</v>
      </c>
      <c r="AF987" s="2">
        <v>0.79</v>
      </c>
      <c r="AG987" s="2">
        <v>0.79</v>
      </c>
      <c r="AH987" s="2">
        <v>0.79</v>
      </c>
      <c r="AI987" s="2">
        <v>0.79</v>
      </c>
      <c r="AJ987" s="2">
        <v>0.79</v>
      </c>
      <c r="AK987" s="2">
        <v>0.79</v>
      </c>
      <c r="AL987" s="2">
        <v>0.79</v>
      </c>
      <c r="AM987" s="2">
        <v>0.79</v>
      </c>
      <c r="AN987" s="2">
        <v>0.79</v>
      </c>
      <c r="AO987" s="2">
        <v>0.79</v>
      </c>
      <c r="AP987" s="2">
        <v>0.79</v>
      </c>
    </row>
    <row r="988" spans="1:42" hidden="1" x14ac:dyDescent="0.3">
      <c r="A988" s="5" t="s">
        <v>1123</v>
      </c>
      <c r="B988" s="5" t="s">
        <v>10</v>
      </c>
      <c r="C988" s="22">
        <v>45113</v>
      </c>
      <c r="D988" s="22">
        <v>45131</v>
      </c>
      <c r="E988" s="3">
        <v>0</v>
      </c>
      <c r="F988" s="3">
        <v>0</v>
      </c>
      <c r="G988" s="3">
        <v>0</v>
      </c>
      <c r="H988" s="3">
        <v>0</v>
      </c>
      <c r="I988" s="3">
        <v>0</v>
      </c>
      <c r="J988" s="3">
        <v>0</v>
      </c>
      <c r="K988" s="3">
        <v>0</v>
      </c>
      <c r="L988" s="3">
        <v>0</v>
      </c>
      <c r="M988" s="3">
        <v>0</v>
      </c>
      <c r="N988" s="3">
        <v>0</v>
      </c>
      <c r="O988" s="3">
        <v>0</v>
      </c>
      <c r="P988" s="3">
        <v>0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3">
        <v>0</v>
      </c>
      <c r="AC988" s="3">
        <v>0.45</v>
      </c>
      <c r="AD988" s="3">
        <v>0.45</v>
      </c>
      <c r="AE988" s="3">
        <v>0.45</v>
      </c>
      <c r="AF988" s="3">
        <v>0.45</v>
      </c>
      <c r="AG988" s="3">
        <v>0.45</v>
      </c>
      <c r="AH988" s="3">
        <v>0.45</v>
      </c>
      <c r="AI988" s="3">
        <v>0.45</v>
      </c>
      <c r="AJ988" s="3">
        <v>0.45</v>
      </c>
      <c r="AK988" s="3">
        <v>0.45</v>
      </c>
      <c r="AL988" s="3">
        <v>0.45</v>
      </c>
      <c r="AM988" s="3">
        <v>0.45</v>
      </c>
      <c r="AN988" s="3">
        <v>0.45</v>
      </c>
      <c r="AO988" s="3">
        <v>0.45</v>
      </c>
      <c r="AP988" s="3">
        <v>0.45</v>
      </c>
    </row>
    <row r="989" spans="1:42" hidden="1" x14ac:dyDescent="0.3">
      <c r="A989" s="5" t="s">
        <v>1124</v>
      </c>
      <c r="B989" s="5" t="s">
        <v>10</v>
      </c>
      <c r="C989" s="22">
        <v>45131</v>
      </c>
      <c r="D989" s="22">
        <v>45147</v>
      </c>
      <c r="E989" s="3">
        <v>0</v>
      </c>
      <c r="F989" s="3">
        <v>0</v>
      </c>
      <c r="G989" s="3">
        <v>0</v>
      </c>
      <c r="H989" s="3">
        <v>0</v>
      </c>
      <c r="I989" s="3">
        <v>0</v>
      </c>
      <c r="J989" s="3">
        <v>0</v>
      </c>
      <c r="K989" s="3">
        <v>0</v>
      </c>
      <c r="L989" s="3">
        <v>0</v>
      </c>
      <c r="M989" s="3">
        <v>0</v>
      </c>
      <c r="N989" s="3">
        <v>0</v>
      </c>
      <c r="O989" s="3">
        <v>0</v>
      </c>
      <c r="P989" s="3">
        <v>0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3">
        <v>0</v>
      </c>
      <c r="AC989" s="3">
        <v>0.05</v>
      </c>
      <c r="AD989" s="3">
        <v>0.11</v>
      </c>
      <c r="AE989" s="3">
        <v>0.11</v>
      </c>
      <c r="AF989" s="3">
        <v>0.11</v>
      </c>
      <c r="AG989" s="3">
        <v>0.11</v>
      </c>
      <c r="AH989" s="3">
        <v>0.11</v>
      </c>
      <c r="AI989" s="3">
        <v>0.11</v>
      </c>
      <c r="AJ989" s="3">
        <v>0.11</v>
      </c>
      <c r="AK989" s="3">
        <v>0.11</v>
      </c>
      <c r="AL989" s="3">
        <v>0.11</v>
      </c>
      <c r="AM989" s="3">
        <v>0.11</v>
      </c>
      <c r="AN989" s="3">
        <v>0.11</v>
      </c>
      <c r="AO989" s="3">
        <v>0.11</v>
      </c>
      <c r="AP989" s="3">
        <v>0.11</v>
      </c>
    </row>
    <row r="990" spans="1:42" hidden="1" x14ac:dyDescent="0.3">
      <c r="A990" s="5" t="s">
        <v>1125</v>
      </c>
      <c r="B990" s="5" t="s">
        <v>10</v>
      </c>
      <c r="C990" s="22">
        <v>45147</v>
      </c>
      <c r="D990" s="22">
        <v>45163</v>
      </c>
      <c r="E990" s="3">
        <v>0</v>
      </c>
      <c r="F990" s="3">
        <v>0</v>
      </c>
      <c r="G990" s="3">
        <v>0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0</v>
      </c>
      <c r="O990" s="3">
        <v>0</v>
      </c>
      <c r="P990" s="3">
        <v>0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3">
        <v>0</v>
      </c>
      <c r="AC990" s="3">
        <v>0</v>
      </c>
      <c r="AD990" s="3">
        <v>0.11</v>
      </c>
      <c r="AE990" s="3">
        <v>0.11</v>
      </c>
      <c r="AF990" s="3">
        <v>0.11</v>
      </c>
      <c r="AG990" s="3">
        <v>0.11</v>
      </c>
      <c r="AH990" s="3">
        <v>0.11</v>
      </c>
      <c r="AI990" s="3">
        <v>0.11</v>
      </c>
      <c r="AJ990" s="3">
        <v>0.11</v>
      </c>
      <c r="AK990" s="3">
        <v>0.11</v>
      </c>
      <c r="AL990" s="3">
        <v>0.11</v>
      </c>
      <c r="AM990" s="3">
        <v>0.11</v>
      </c>
      <c r="AN990" s="3">
        <v>0.11</v>
      </c>
      <c r="AO990" s="3">
        <v>0.11</v>
      </c>
      <c r="AP990" s="3">
        <v>0.11</v>
      </c>
    </row>
    <row r="991" spans="1:42" hidden="1" x14ac:dyDescent="0.3">
      <c r="A991" s="5" t="s">
        <v>1126</v>
      </c>
      <c r="B991" s="5" t="s">
        <v>10</v>
      </c>
      <c r="C991" s="22">
        <v>45163</v>
      </c>
      <c r="D991" s="22">
        <v>45181</v>
      </c>
      <c r="E991" s="3">
        <v>0</v>
      </c>
      <c r="F991" s="3">
        <v>0</v>
      </c>
      <c r="G991" s="3">
        <v>0</v>
      </c>
      <c r="H991" s="3">
        <v>0</v>
      </c>
      <c r="I991" s="3">
        <v>0</v>
      </c>
      <c r="J991" s="3">
        <v>0</v>
      </c>
      <c r="K991" s="3">
        <v>0</v>
      </c>
      <c r="L991" s="3">
        <v>0</v>
      </c>
      <c r="M991" s="3">
        <v>0</v>
      </c>
      <c r="N991" s="3">
        <v>0</v>
      </c>
      <c r="O991" s="3">
        <v>0</v>
      </c>
      <c r="P991" s="3">
        <v>0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3">
        <v>0</v>
      </c>
      <c r="AC991" s="3">
        <v>0</v>
      </c>
      <c r="AD991" s="3">
        <v>0.04</v>
      </c>
      <c r="AE991" s="3">
        <v>0.11</v>
      </c>
      <c r="AF991" s="3">
        <v>0.11</v>
      </c>
      <c r="AG991" s="3">
        <v>0.11</v>
      </c>
      <c r="AH991" s="3">
        <v>0.11</v>
      </c>
      <c r="AI991" s="3">
        <v>0.11</v>
      </c>
      <c r="AJ991" s="3">
        <v>0.11</v>
      </c>
      <c r="AK991" s="3">
        <v>0.11</v>
      </c>
      <c r="AL991" s="3">
        <v>0.11</v>
      </c>
      <c r="AM991" s="3">
        <v>0.11</v>
      </c>
      <c r="AN991" s="3">
        <v>0.11</v>
      </c>
      <c r="AO991" s="3">
        <v>0.11</v>
      </c>
      <c r="AP991" s="3">
        <v>0.11</v>
      </c>
    </row>
    <row r="992" spans="1:42" hidden="1" x14ac:dyDescent="0.3">
      <c r="A992" s="15" t="s">
        <v>137</v>
      </c>
      <c r="B992" s="15" t="s">
        <v>136</v>
      </c>
      <c r="C992" s="20">
        <v>45181</v>
      </c>
      <c r="D992" s="20">
        <v>45225</v>
      </c>
      <c r="E992" s="8">
        <v>0</v>
      </c>
      <c r="F992" s="8">
        <v>0</v>
      </c>
      <c r="G992" s="8">
        <v>0</v>
      </c>
      <c r="H992" s="8">
        <v>0</v>
      </c>
      <c r="I992" s="8">
        <v>0</v>
      </c>
      <c r="J992" s="8">
        <v>0</v>
      </c>
      <c r="K992" s="8">
        <v>0</v>
      </c>
      <c r="L992" s="8">
        <v>0</v>
      </c>
      <c r="M992" s="8">
        <v>0</v>
      </c>
      <c r="N992" s="8">
        <v>0</v>
      </c>
      <c r="O992" s="8">
        <v>0</v>
      </c>
      <c r="P992" s="8">
        <v>0</v>
      </c>
      <c r="Q992" s="8">
        <v>0</v>
      </c>
      <c r="R992" s="8">
        <v>0</v>
      </c>
      <c r="S992" s="8">
        <v>0</v>
      </c>
      <c r="T992" s="8">
        <v>0</v>
      </c>
      <c r="U992" s="8">
        <v>0</v>
      </c>
      <c r="V992" s="8">
        <v>0</v>
      </c>
      <c r="W992" s="8">
        <v>0</v>
      </c>
      <c r="X992" s="8">
        <v>0</v>
      </c>
      <c r="Y992" s="8">
        <v>0</v>
      </c>
      <c r="Z992" s="8">
        <v>0</v>
      </c>
      <c r="AA992" s="8">
        <v>0</v>
      </c>
      <c r="AB992" s="8">
        <v>0</v>
      </c>
      <c r="AC992" s="8">
        <v>0</v>
      </c>
      <c r="AD992" s="8">
        <v>0</v>
      </c>
      <c r="AE992" s="8">
        <v>0.33</v>
      </c>
      <c r="AF992" s="8">
        <v>0.51</v>
      </c>
      <c r="AG992" s="8">
        <v>0.51</v>
      </c>
      <c r="AH992" s="8">
        <v>0.51</v>
      </c>
      <c r="AI992" s="8">
        <v>0.51</v>
      </c>
      <c r="AJ992" s="8">
        <v>0.51</v>
      </c>
      <c r="AK992" s="8">
        <v>0.51</v>
      </c>
      <c r="AL992" s="8">
        <v>0.51</v>
      </c>
      <c r="AM992" s="8">
        <v>0.51</v>
      </c>
      <c r="AN992" s="8">
        <v>0.51</v>
      </c>
      <c r="AO992" s="8">
        <v>0.51</v>
      </c>
      <c r="AP992" s="8">
        <v>0.51</v>
      </c>
    </row>
    <row r="993" spans="1:42" hidden="1" x14ac:dyDescent="0.3">
      <c r="A993" s="4" t="s">
        <v>1127</v>
      </c>
      <c r="B993" s="4" t="s">
        <v>136</v>
      </c>
      <c r="C993" s="21">
        <v>45181</v>
      </c>
      <c r="D993" s="21">
        <v>45225</v>
      </c>
      <c r="E993" s="2">
        <v>0</v>
      </c>
      <c r="F993" s="2">
        <v>0</v>
      </c>
      <c r="G993" s="2">
        <v>0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0.33</v>
      </c>
      <c r="AF993" s="2">
        <v>0.51</v>
      </c>
      <c r="AG993" s="2">
        <v>0.51</v>
      </c>
      <c r="AH993" s="2">
        <v>0.51</v>
      </c>
      <c r="AI993" s="2">
        <v>0.51</v>
      </c>
      <c r="AJ993" s="2">
        <v>0.51</v>
      </c>
      <c r="AK993" s="2">
        <v>0.51</v>
      </c>
      <c r="AL993" s="2">
        <v>0.51</v>
      </c>
      <c r="AM993" s="2">
        <v>0.51</v>
      </c>
      <c r="AN993" s="2">
        <v>0.51</v>
      </c>
      <c r="AO993" s="2">
        <v>0.51</v>
      </c>
      <c r="AP993" s="2">
        <v>0.51</v>
      </c>
    </row>
    <row r="994" spans="1:42" hidden="1" x14ac:dyDescent="0.3">
      <c r="A994" s="5" t="s">
        <v>1128</v>
      </c>
      <c r="B994" s="5" t="s">
        <v>33</v>
      </c>
      <c r="C994" s="22">
        <v>45181</v>
      </c>
      <c r="D994" s="22">
        <v>45191</v>
      </c>
      <c r="E994" s="3">
        <v>0</v>
      </c>
      <c r="F994" s="3">
        <v>0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0</v>
      </c>
      <c r="O994" s="3">
        <v>0</v>
      </c>
      <c r="P994" s="3">
        <v>0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3">
        <v>0</v>
      </c>
      <c r="AC994" s="3">
        <v>0</v>
      </c>
      <c r="AD994" s="3">
        <v>0</v>
      </c>
      <c r="AE994" s="3">
        <v>0.28000000000000003</v>
      </c>
      <c r="AF994" s="3">
        <v>0.28000000000000003</v>
      </c>
      <c r="AG994" s="3">
        <v>0.28000000000000003</v>
      </c>
      <c r="AH994" s="3">
        <v>0.28000000000000003</v>
      </c>
      <c r="AI994" s="3">
        <v>0.28000000000000003</v>
      </c>
      <c r="AJ994" s="3">
        <v>0.28000000000000003</v>
      </c>
      <c r="AK994" s="3">
        <v>0.28000000000000003</v>
      </c>
      <c r="AL994" s="3">
        <v>0.28000000000000003</v>
      </c>
      <c r="AM994" s="3">
        <v>0.28000000000000003</v>
      </c>
      <c r="AN994" s="3">
        <v>0.28000000000000003</v>
      </c>
      <c r="AO994" s="3">
        <v>0.28000000000000003</v>
      </c>
      <c r="AP994" s="3">
        <v>0.28000000000000003</v>
      </c>
    </row>
    <row r="995" spans="1:42" hidden="1" x14ac:dyDescent="0.3">
      <c r="A995" s="5" t="s">
        <v>1129</v>
      </c>
      <c r="B995" s="5" t="s">
        <v>33</v>
      </c>
      <c r="C995" s="22">
        <v>45191</v>
      </c>
      <c r="D995" s="22">
        <v>45203</v>
      </c>
      <c r="E995" s="3">
        <v>0</v>
      </c>
      <c r="F995" s="3">
        <v>0</v>
      </c>
      <c r="G995" s="3">
        <v>0</v>
      </c>
      <c r="H995" s="3">
        <v>0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  <c r="N995" s="3">
        <v>0</v>
      </c>
      <c r="O995" s="3">
        <v>0</v>
      </c>
      <c r="P995" s="3">
        <v>0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3">
        <v>0</v>
      </c>
      <c r="AC995" s="3">
        <v>0</v>
      </c>
      <c r="AD995" s="3">
        <v>0</v>
      </c>
      <c r="AE995" s="3">
        <v>0.05</v>
      </c>
      <c r="AF995" s="3">
        <v>7.0000000000000007E-2</v>
      </c>
      <c r="AG995" s="3">
        <v>7.0000000000000007E-2</v>
      </c>
      <c r="AH995" s="3">
        <v>7.0000000000000007E-2</v>
      </c>
      <c r="AI995" s="3">
        <v>7.0000000000000007E-2</v>
      </c>
      <c r="AJ995" s="3">
        <v>7.0000000000000007E-2</v>
      </c>
      <c r="AK995" s="3">
        <v>7.0000000000000007E-2</v>
      </c>
      <c r="AL995" s="3">
        <v>7.0000000000000007E-2</v>
      </c>
      <c r="AM995" s="3">
        <v>7.0000000000000007E-2</v>
      </c>
      <c r="AN995" s="3">
        <v>7.0000000000000007E-2</v>
      </c>
      <c r="AO995" s="3">
        <v>7.0000000000000007E-2</v>
      </c>
      <c r="AP995" s="3">
        <v>7.0000000000000007E-2</v>
      </c>
    </row>
    <row r="996" spans="1:42" hidden="1" x14ac:dyDescent="0.3">
      <c r="A996" s="5" t="s">
        <v>1130</v>
      </c>
      <c r="B996" s="5" t="s">
        <v>33</v>
      </c>
      <c r="C996" s="22">
        <v>45203</v>
      </c>
      <c r="D996" s="22">
        <v>45215</v>
      </c>
      <c r="E996" s="3">
        <v>0</v>
      </c>
      <c r="F996" s="3">
        <v>0</v>
      </c>
      <c r="G996" s="3">
        <v>0</v>
      </c>
      <c r="H996" s="3">
        <v>0</v>
      </c>
      <c r="I996" s="3">
        <v>0</v>
      </c>
      <c r="J996" s="3">
        <v>0</v>
      </c>
      <c r="K996" s="3">
        <v>0</v>
      </c>
      <c r="L996" s="3">
        <v>0</v>
      </c>
      <c r="M996" s="3">
        <v>0</v>
      </c>
      <c r="N996" s="3">
        <v>0</v>
      </c>
      <c r="O996" s="3">
        <v>0</v>
      </c>
      <c r="P996" s="3">
        <v>0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3">
        <v>0</v>
      </c>
      <c r="AC996" s="3">
        <v>0</v>
      </c>
      <c r="AD996" s="3">
        <v>0</v>
      </c>
      <c r="AE996" s="3">
        <v>0</v>
      </c>
      <c r="AF996" s="3">
        <v>7.0000000000000007E-2</v>
      </c>
      <c r="AG996" s="3">
        <v>7.0000000000000007E-2</v>
      </c>
      <c r="AH996" s="3">
        <v>7.0000000000000007E-2</v>
      </c>
      <c r="AI996" s="3">
        <v>7.0000000000000007E-2</v>
      </c>
      <c r="AJ996" s="3">
        <v>7.0000000000000007E-2</v>
      </c>
      <c r="AK996" s="3">
        <v>7.0000000000000007E-2</v>
      </c>
      <c r="AL996" s="3">
        <v>7.0000000000000007E-2</v>
      </c>
      <c r="AM996" s="3">
        <v>7.0000000000000007E-2</v>
      </c>
      <c r="AN996" s="3">
        <v>7.0000000000000007E-2</v>
      </c>
      <c r="AO996" s="3">
        <v>7.0000000000000007E-2</v>
      </c>
      <c r="AP996" s="3">
        <v>7.0000000000000007E-2</v>
      </c>
    </row>
    <row r="997" spans="1:42" hidden="1" x14ac:dyDescent="0.3">
      <c r="A997" s="5" t="s">
        <v>1131</v>
      </c>
      <c r="B997" s="5" t="s">
        <v>33</v>
      </c>
      <c r="C997" s="22">
        <v>45215</v>
      </c>
      <c r="D997" s="22">
        <v>45225</v>
      </c>
      <c r="E997" s="3">
        <v>0</v>
      </c>
      <c r="F997" s="3">
        <v>0</v>
      </c>
      <c r="G997" s="3">
        <v>0</v>
      </c>
      <c r="H997" s="3">
        <v>0</v>
      </c>
      <c r="I997" s="3">
        <v>0</v>
      </c>
      <c r="J997" s="3">
        <v>0</v>
      </c>
      <c r="K997" s="3">
        <v>0</v>
      </c>
      <c r="L997" s="3">
        <v>0</v>
      </c>
      <c r="M997" s="3">
        <v>0</v>
      </c>
      <c r="N997" s="3">
        <v>0</v>
      </c>
      <c r="O997" s="3">
        <v>0</v>
      </c>
      <c r="P997" s="3">
        <v>0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3">
        <v>0</v>
      </c>
      <c r="AC997" s="3">
        <v>0</v>
      </c>
      <c r="AD997" s="3">
        <v>0</v>
      </c>
      <c r="AE997" s="3">
        <v>0</v>
      </c>
      <c r="AF997" s="3">
        <v>7.0000000000000007E-2</v>
      </c>
      <c r="AG997" s="3">
        <v>7.0000000000000007E-2</v>
      </c>
      <c r="AH997" s="3">
        <v>7.0000000000000007E-2</v>
      </c>
      <c r="AI997" s="3">
        <v>7.0000000000000007E-2</v>
      </c>
      <c r="AJ997" s="3">
        <v>7.0000000000000007E-2</v>
      </c>
      <c r="AK997" s="3">
        <v>7.0000000000000007E-2</v>
      </c>
      <c r="AL997" s="3">
        <v>7.0000000000000007E-2</v>
      </c>
      <c r="AM997" s="3">
        <v>7.0000000000000007E-2</v>
      </c>
      <c r="AN997" s="3">
        <v>7.0000000000000007E-2</v>
      </c>
      <c r="AO997" s="3">
        <v>7.0000000000000007E-2</v>
      </c>
      <c r="AP997" s="3">
        <v>7.0000000000000007E-2</v>
      </c>
    </row>
    <row r="998" spans="1:42" hidden="1" x14ac:dyDescent="0.3">
      <c r="A998" s="15" t="s">
        <v>138</v>
      </c>
      <c r="B998" s="15" t="s">
        <v>17</v>
      </c>
      <c r="C998" s="20">
        <v>45194</v>
      </c>
      <c r="D998" s="20">
        <v>45212</v>
      </c>
      <c r="E998" s="2">
        <v>0</v>
      </c>
      <c r="F998" s="2">
        <v>0</v>
      </c>
      <c r="G998" s="2">
        <v>0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>
        <v>0</v>
      </c>
      <c r="AK998" s="2">
        <v>0</v>
      </c>
      <c r="AL998" s="2">
        <v>0</v>
      </c>
      <c r="AM998" s="2">
        <v>0</v>
      </c>
      <c r="AN998" s="2">
        <v>0</v>
      </c>
      <c r="AO998" s="2">
        <v>0</v>
      </c>
      <c r="AP998" s="2">
        <v>0</v>
      </c>
    </row>
    <row r="999" spans="1:42" hidden="1" x14ac:dyDescent="0.3">
      <c r="A999" s="4" t="s">
        <v>1132</v>
      </c>
      <c r="B999" s="4" t="s">
        <v>17</v>
      </c>
      <c r="C999" s="21">
        <v>45194</v>
      </c>
      <c r="D999" s="21">
        <v>45212</v>
      </c>
      <c r="E999" s="2">
        <v>0</v>
      </c>
      <c r="F999" s="2">
        <v>0</v>
      </c>
      <c r="G999" s="2">
        <v>0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>
        <v>0</v>
      </c>
      <c r="AK999" s="2">
        <v>0</v>
      </c>
      <c r="AL999" s="2">
        <v>0</v>
      </c>
      <c r="AM999" s="2">
        <v>0</v>
      </c>
      <c r="AN999" s="2">
        <v>0</v>
      </c>
      <c r="AO999" s="2">
        <v>0</v>
      </c>
      <c r="AP999" s="2">
        <v>0</v>
      </c>
    </row>
    <row r="1000" spans="1:42" hidden="1" x14ac:dyDescent="0.3">
      <c r="A1000" s="5" t="s">
        <v>1133</v>
      </c>
      <c r="B1000" s="5" t="s">
        <v>17</v>
      </c>
      <c r="C1000" s="22">
        <v>45194</v>
      </c>
      <c r="D1000" s="22">
        <v>45212</v>
      </c>
      <c r="E1000" s="3">
        <v>0</v>
      </c>
      <c r="F1000" s="3">
        <v>0</v>
      </c>
      <c r="G1000" s="3">
        <v>0</v>
      </c>
      <c r="H1000" s="3">
        <v>0</v>
      </c>
      <c r="I1000" s="3">
        <v>0</v>
      </c>
      <c r="J1000" s="3">
        <v>0</v>
      </c>
      <c r="K1000" s="3">
        <v>0</v>
      </c>
      <c r="L1000" s="3">
        <v>0</v>
      </c>
      <c r="M1000" s="3">
        <v>0</v>
      </c>
      <c r="N1000" s="3">
        <v>0</v>
      </c>
      <c r="O1000" s="3">
        <v>0</v>
      </c>
      <c r="P1000" s="3">
        <v>0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3">
        <v>0</v>
      </c>
      <c r="AC1000" s="3">
        <v>0</v>
      </c>
      <c r="AD1000" s="3">
        <v>0</v>
      </c>
      <c r="AE1000" s="3">
        <v>0</v>
      </c>
      <c r="AF1000" s="3">
        <v>0</v>
      </c>
      <c r="AG1000" s="3">
        <v>0</v>
      </c>
      <c r="AH1000" s="3">
        <v>0</v>
      </c>
      <c r="AI1000" s="3">
        <v>0</v>
      </c>
      <c r="AJ1000" s="3">
        <v>0</v>
      </c>
      <c r="AK1000" s="3">
        <v>0</v>
      </c>
      <c r="AL1000" s="3">
        <v>0</v>
      </c>
      <c r="AM1000" s="3">
        <v>0</v>
      </c>
      <c r="AN1000" s="3">
        <v>0</v>
      </c>
      <c r="AO1000" s="3">
        <v>0</v>
      </c>
      <c r="AP1000" s="3">
        <v>0</v>
      </c>
    </row>
    <row r="1001" spans="1:42" hidden="1" x14ac:dyDescent="0.3">
      <c r="A1001" s="14" t="s">
        <v>1134</v>
      </c>
      <c r="B1001" s="14" t="s">
        <v>139</v>
      </c>
      <c r="C1001" s="19">
        <v>45240</v>
      </c>
      <c r="D1001" s="19">
        <v>45410</v>
      </c>
      <c r="E1001" s="7">
        <v>0</v>
      </c>
      <c r="F1001" s="7">
        <v>0</v>
      </c>
      <c r="G1001" s="7">
        <v>0</v>
      </c>
      <c r="H1001" s="7">
        <v>0</v>
      </c>
      <c r="I1001" s="7">
        <v>0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7">
        <v>0</v>
      </c>
      <c r="U1001" s="7">
        <v>0</v>
      </c>
      <c r="V1001" s="7">
        <v>0</v>
      </c>
      <c r="W1001" s="7">
        <v>0</v>
      </c>
      <c r="X1001" s="7">
        <v>0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0.16</v>
      </c>
      <c r="AH1001" s="7">
        <v>0.43</v>
      </c>
      <c r="AI1001" s="7">
        <v>2.17</v>
      </c>
      <c r="AJ1001" s="7">
        <v>3.73</v>
      </c>
      <c r="AK1001" s="7">
        <v>3.73</v>
      </c>
      <c r="AL1001" s="7">
        <v>3.73</v>
      </c>
      <c r="AM1001" s="7">
        <v>3.73</v>
      </c>
      <c r="AN1001" s="7">
        <v>3.73</v>
      </c>
      <c r="AO1001" s="7">
        <v>3.73</v>
      </c>
      <c r="AP1001" s="7">
        <v>3.73</v>
      </c>
    </row>
    <row r="1002" spans="1:42" hidden="1" x14ac:dyDescent="0.3">
      <c r="A1002" s="15" t="s">
        <v>1135</v>
      </c>
      <c r="B1002" s="15" t="s">
        <v>140</v>
      </c>
      <c r="C1002" s="20">
        <v>45242</v>
      </c>
      <c r="D1002" s="20">
        <v>45410</v>
      </c>
      <c r="E1002" s="8">
        <v>0</v>
      </c>
      <c r="F1002" s="8">
        <v>0</v>
      </c>
      <c r="G1002" s="8">
        <v>0</v>
      </c>
      <c r="H1002" s="8">
        <v>0</v>
      </c>
      <c r="I1002" s="8">
        <v>0</v>
      </c>
      <c r="J1002" s="8">
        <v>0</v>
      </c>
      <c r="K1002" s="8">
        <v>0</v>
      </c>
      <c r="L1002" s="8">
        <v>0</v>
      </c>
      <c r="M1002" s="8">
        <v>0</v>
      </c>
      <c r="N1002" s="8">
        <v>0</v>
      </c>
      <c r="O1002" s="8">
        <v>0</v>
      </c>
      <c r="P1002" s="8">
        <v>0</v>
      </c>
      <c r="Q1002" s="8">
        <v>0</v>
      </c>
      <c r="R1002" s="8">
        <v>0</v>
      </c>
      <c r="S1002" s="8">
        <v>0</v>
      </c>
      <c r="T1002" s="8">
        <v>0</v>
      </c>
      <c r="U1002" s="8">
        <v>0</v>
      </c>
      <c r="V1002" s="8">
        <v>0</v>
      </c>
      <c r="W1002" s="8">
        <v>0</v>
      </c>
      <c r="X1002" s="8">
        <v>0</v>
      </c>
      <c r="Y1002" s="8">
        <v>0</v>
      </c>
      <c r="Z1002" s="8">
        <v>0</v>
      </c>
      <c r="AA1002" s="8">
        <v>0</v>
      </c>
      <c r="AB1002" s="8">
        <v>0</v>
      </c>
      <c r="AC1002" s="8">
        <v>0</v>
      </c>
      <c r="AD1002" s="8">
        <v>0</v>
      </c>
      <c r="AE1002" s="8">
        <v>0</v>
      </c>
      <c r="AF1002" s="8">
        <v>0</v>
      </c>
      <c r="AG1002" s="8">
        <v>0.02</v>
      </c>
      <c r="AH1002" s="8">
        <v>0.12</v>
      </c>
      <c r="AI1002" s="8">
        <v>1.1200000000000001</v>
      </c>
      <c r="AJ1002" s="8">
        <v>1.22</v>
      </c>
      <c r="AK1002" s="8">
        <v>1.22</v>
      </c>
      <c r="AL1002" s="8">
        <v>1.22</v>
      </c>
      <c r="AM1002" s="8">
        <v>1.22</v>
      </c>
      <c r="AN1002" s="8">
        <v>1.22</v>
      </c>
      <c r="AO1002" s="8">
        <v>1.22</v>
      </c>
      <c r="AP1002" s="8">
        <v>1.22</v>
      </c>
    </row>
    <row r="1003" spans="1:42" hidden="1" x14ac:dyDescent="0.3">
      <c r="A1003" s="16" t="s">
        <v>1136</v>
      </c>
      <c r="B1003" s="16" t="s">
        <v>20</v>
      </c>
      <c r="C1003" s="23">
        <v>45320</v>
      </c>
      <c r="D1003" s="23">
        <v>45320</v>
      </c>
      <c r="E1003" s="9">
        <v>0</v>
      </c>
      <c r="F1003" s="9">
        <v>0</v>
      </c>
      <c r="G1003" s="9">
        <v>0</v>
      </c>
      <c r="H1003" s="9">
        <v>0</v>
      </c>
      <c r="I1003" s="9">
        <v>0</v>
      </c>
      <c r="J1003" s="9">
        <v>0</v>
      </c>
      <c r="K1003" s="9">
        <v>0</v>
      </c>
      <c r="L1003" s="9">
        <v>0</v>
      </c>
      <c r="M1003" s="9">
        <v>0</v>
      </c>
      <c r="N1003" s="9">
        <v>0</v>
      </c>
      <c r="O1003" s="9">
        <v>0</v>
      </c>
      <c r="P1003" s="9">
        <v>0</v>
      </c>
      <c r="Q1003" s="9">
        <v>0</v>
      </c>
      <c r="R1003" s="9">
        <v>0</v>
      </c>
      <c r="S1003" s="9">
        <v>0</v>
      </c>
      <c r="T1003" s="9">
        <v>0</v>
      </c>
      <c r="U1003" s="9">
        <v>0</v>
      </c>
      <c r="V1003" s="9">
        <v>0</v>
      </c>
      <c r="W1003" s="9">
        <v>0</v>
      </c>
      <c r="X1003" s="9">
        <v>0</v>
      </c>
      <c r="Y1003" s="9">
        <v>0</v>
      </c>
      <c r="Z1003" s="9">
        <v>0</v>
      </c>
      <c r="AA1003" s="9">
        <v>0</v>
      </c>
      <c r="AB1003" s="9">
        <v>0</v>
      </c>
      <c r="AC1003" s="9">
        <v>0</v>
      </c>
      <c r="AD1003" s="9">
        <v>0</v>
      </c>
      <c r="AE1003" s="9">
        <v>0</v>
      </c>
      <c r="AF1003" s="9">
        <v>0</v>
      </c>
      <c r="AG1003" s="9">
        <v>0</v>
      </c>
      <c r="AH1003" s="9">
        <v>0</v>
      </c>
      <c r="AI1003" s="9">
        <v>0.9</v>
      </c>
      <c r="AJ1003" s="9">
        <v>0.9</v>
      </c>
      <c r="AK1003" s="9">
        <v>0.9</v>
      </c>
      <c r="AL1003" s="9">
        <v>0.9</v>
      </c>
      <c r="AM1003" s="9">
        <v>0.9</v>
      </c>
      <c r="AN1003" s="9">
        <v>0.9</v>
      </c>
      <c r="AO1003" s="9">
        <v>0.9</v>
      </c>
      <c r="AP1003" s="9">
        <v>0.9</v>
      </c>
    </row>
    <row r="1004" spans="1:42" hidden="1" x14ac:dyDescent="0.3">
      <c r="A1004" s="16" t="s">
        <v>1137</v>
      </c>
      <c r="B1004" s="16" t="s">
        <v>20</v>
      </c>
      <c r="C1004" s="23">
        <v>45350</v>
      </c>
      <c r="D1004" s="23">
        <v>45350</v>
      </c>
      <c r="E1004" s="9">
        <v>0</v>
      </c>
      <c r="F1004" s="9">
        <v>0</v>
      </c>
      <c r="G1004" s="9">
        <v>0</v>
      </c>
      <c r="H1004" s="9">
        <v>0</v>
      </c>
      <c r="I1004" s="9">
        <v>0</v>
      </c>
      <c r="J1004" s="9">
        <v>0</v>
      </c>
      <c r="K1004" s="9">
        <v>0</v>
      </c>
      <c r="L1004" s="9">
        <v>0</v>
      </c>
      <c r="M1004" s="9">
        <v>0</v>
      </c>
      <c r="N1004" s="9">
        <v>0</v>
      </c>
      <c r="O1004" s="9">
        <v>0</v>
      </c>
      <c r="P1004" s="9">
        <v>0</v>
      </c>
      <c r="Q1004" s="9">
        <v>0</v>
      </c>
      <c r="R1004" s="9">
        <v>0</v>
      </c>
      <c r="S1004" s="9">
        <v>0</v>
      </c>
      <c r="T1004" s="9">
        <v>0</v>
      </c>
      <c r="U1004" s="9">
        <v>0</v>
      </c>
      <c r="V1004" s="9">
        <v>0</v>
      </c>
      <c r="W1004" s="9">
        <v>0</v>
      </c>
      <c r="X1004" s="9">
        <v>0</v>
      </c>
      <c r="Y1004" s="9">
        <v>0</v>
      </c>
      <c r="Z1004" s="9">
        <v>0</v>
      </c>
      <c r="AA1004" s="9">
        <v>0</v>
      </c>
      <c r="AB1004" s="9">
        <v>0</v>
      </c>
      <c r="AC1004" s="9">
        <v>0</v>
      </c>
      <c r="AD1004" s="9">
        <v>0</v>
      </c>
      <c r="AE1004" s="9">
        <v>0</v>
      </c>
      <c r="AF1004" s="9">
        <v>0</v>
      </c>
      <c r="AG1004" s="9">
        <v>0</v>
      </c>
      <c r="AH1004" s="9">
        <v>0</v>
      </c>
      <c r="AI1004" s="9">
        <v>0</v>
      </c>
      <c r="AJ1004" s="9">
        <v>0.01</v>
      </c>
      <c r="AK1004" s="9">
        <v>0.01</v>
      </c>
      <c r="AL1004" s="9">
        <v>0.01</v>
      </c>
      <c r="AM1004" s="9">
        <v>0.01</v>
      </c>
      <c r="AN1004" s="9">
        <v>0.01</v>
      </c>
      <c r="AO1004" s="9">
        <v>0.01</v>
      </c>
      <c r="AP1004" s="9">
        <v>0.01</v>
      </c>
    </row>
    <row r="1005" spans="1:42" hidden="1" x14ac:dyDescent="0.3">
      <c r="A1005" s="16" t="s">
        <v>1138</v>
      </c>
      <c r="B1005" s="16" t="s">
        <v>20</v>
      </c>
      <c r="C1005" s="23">
        <v>45410</v>
      </c>
      <c r="D1005" s="23">
        <v>45410</v>
      </c>
      <c r="E1005" s="3">
        <v>0</v>
      </c>
      <c r="F1005" s="3">
        <v>0</v>
      </c>
      <c r="G1005" s="3">
        <v>0</v>
      </c>
      <c r="H1005" s="3">
        <v>0</v>
      </c>
      <c r="I1005" s="3">
        <v>0</v>
      </c>
      <c r="J1005" s="3">
        <v>0</v>
      </c>
      <c r="K1005" s="3">
        <v>0</v>
      </c>
      <c r="L1005" s="3">
        <v>0</v>
      </c>
      <c r="M1005" s="3">
        <v>0</v>
      </c>
      <c r="N1005" s="3">
        <v>0</v>
      </c>
      <c r="O1005" s="3">
        <v>0</v>
      </c>
      <c r="P1005" s="3">
        <v>0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3">
        <v>0</v>
      </c>
      <c r="AC1005" s="3">
        <v>0</v>
      </c>
      <c r="AD1005" s="3">
        <v>0</v>
      </c>
      <c r="AE1005" s="3">
        <v>0</v>
      </c>
      <c r="AF1005" s="3">
        <v>0</v>
      </c>
      <c r="AG1005" s="3">
        <v>0</v>
      </c>
      <c r="AH1005" s="3">
        <v>0</v>
      </c>
      <c r="AI1005" s="3">
        <v>0</v>
      </c>
      <c r="AJ1005" s="3">
        <v>0</v>
      </c>
      <c r="AK1005" s="3">
        <v>0</v>
      </c>
      <c r="AL1005" s="3">
        <v>0</v>
      </c>
      <c r="AM1005" s="3">
        <v>0</v>
      </c>
      <c r="AN1005" s="3">
        <v>0</v>
      </c>
      <c r="AO1005" s="3">
        <v>0</v>
      </c>
      <c r="AP1005" s="3">
        <v>0</v>
      </c>
    </row>
    <row r="1006" spans="1:42" hidden="1" x14ac:dyDescent="0.3">
      <c r="A1006" s="16" t="s">
        <v>1139</v>
      </c>
      <c r="B1006" s="16" t="s">
        <v>20</v>
      </c>
      <c r="C1006" s="23">
        <v>45265</v>
      </c>
      <c r="D1006" s="23">
        <v>45265</v>
      </c>
      <c r="E1006" s="3">
        <v>0</v>
      </c>
      <c r="F1006" s="3">
        <v>0</v>
      </c>
      <c r="G1006" s="3">
        <v>0</v>
      </c>
      <c r="H1006" s="3">
        <v>0</v>
      </c>
      <c r="I1006" s="3">
        <v>0</v>
      </c>
      <c r="J1006" s="3">
        <v>0</v>
      </c>
      <c r="K1006" s="3">
        <v>0</v>
      </c>
      <c r="L1006" s="3">
        <v>0</v>
      </c>
      <c r="M1006" s="3">
        <v>0</v>
      </c>
      <c r="N1006" s="3">
        <v>0</v>
      </c>
      <c r="O1006" s="3">
        <v>0</v>
      </c>
      <c r="P1006" s="3">
        <v>0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3">
        <v>0</v>
      </c>
      <c r="AC1006" s="3">
        <v>0</v>
      </c>
      <c r="AD1006" s="3">
        <v>0</v>
      </c>
      <c r="AE1006" s="3">
        <v>0</v>
      </c>
      <c r="AF1006" s="3">
        <v>0</v>
      </c>
      <c r="AG1006" s="3">
        <v>0</v>
      </c>
      <c r="AH1006" s="3">
        <v>0</v>
      </c>
      <c r="AI1006" s="3">
        <v>0</v>
      </c>
      <c r="AJ1006" s="3">
        <v>0</v>
      </c>
      <c r="AK1006" s="3">
        <v>0</v>
      </c>
      <c r="AL1006" s="3">
        <v>0</v>
      </c>
      <c r="AM1006" s="3">
        <v>0</v>
      </c>
      <c r="AN1006" s="3">
        <v>0</v>
      </c>
      <c r="AO1006" s="3">
        <v>0</v>
      </c>
      <c r="AP1006" s="3">
        <v>0</v>
      </c>
    </row>
    <row r="1007" spans="1:42" hidden="1" x14ac:dyDescent="0.3">
      <c r="A1007" s="16" t="s">
        <v>1140</v>
      </c>
      <c r="B1007" s="16" t="s">
        <v>20</v>
      </c>
      <c r="C1007" s="23">
        <v>45295</v>
      </c>
      <c r="D1007" s="23">
        <v>45295</v>
      </c>
      <c r="E1007" s="3">
        <v>0</v>
      </c>
      <c r="F1007" s="3">
        <v>0</v>
      </c>
      <c r="G1007" s="3">
        <v>0</v>
      </c>
      <c r="H1007" s="3">
        <v>0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>
        <v>0</v>
      </c>
      <c r="O1007" s="3">
        <v>0</v>
      </c>
      <c r="P1007" s="3">
        <v>0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3">
        <v>0</v>
      </c>
      <c r="AC1007" s="3">
        <v>0</v>
      </c>
      <c r="AD1007" s="3">
        <v>0</v>
      </c>
      <c r="AE1007" s="3">
        <v>0</v>
      </c>
      <c r="AF1007" s="3">
        <v>0</v>
      </c>
      <c r="AG1007" s="3">
        <v>0</v>
      </c>
      <c r="AH1007" s="3">
        <v>0</v>
      </c>
      <c r="AI1007" s="3">
        <v>0</v>
      </c>
      <c r="AJ1007" s="3">
        <v>0</v>
      </c>
      <c r="AK1007" s="3">
        <v>0</v>
      </c>
      <c r="AL1007" s="3">
        <v>0</v>
      </c>
      <c r="AM1007" s="3">
        <v>0</v>
      </c>
      <c r="AN1007" s="3">
        <v>0</v>
      </c>
      <c r="AO1007" s="3">
        <v>0</v>
      </c>
      <c r="AP1007" s="3">
        <v>0</v>
      </c>
    </row>
    <row r="1008" spans="1:42" hidden="1" x14ac:dyDescent="0.3">
      <c r="A1008" s="16" t="s">
        <v>1141</v>
      </c>
      <c r="B1008" s="16" t="s">
        <v>20</v>
      </c>
      <c r="C1008" s="23">
        <v>45325</v>
      </c>
      <c r="D1008" s="23">
        <v>45325</v>
      </c>
      <c r="E1008" s="3">
        <v>0</v>
      </c>
      <c r="F1008" s="3">
        <v>0</v>
      </c>
      <c r="G1008" s="3">
        <v>0</v>
      </c>
      <c r="H1008" s="3">
        <v>0</v>
      </c>
      <c r="I1008" s="3">
        <v>0</v>
      </c>
      <c r="J1008" s="3">
        <v>0</v>
      </c>
      <c r="K1008" s="3">
        <v>0</v>
      </c>
      <c r="L1008" s="3">
        <v>0</v>
      </c>
      <c r="M1008" s="3">
        <v>0</v>
      </c>
      <c r="N1008" s="3">
        <v>0</v>
      </c>
      <c r="O1008" s="3">
        <v>0</v>
      </c>
      <c r="P1008" s="3">
        <v>0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3">
        <v>0</v>
      </c>
      <c r="AC1008" s="3">
        <v>0</v>
      </c>
      <c r="AD1008" s="3">
        <v>0</v>
      </c>
      <c r="AE1008" s="3">
        <v>0</v>
      </c>
      <c r="AF1008" s="3">
        <v>0</v>
      </c>
      <c r="AG1008" s="3">
        <v>0</v>
      </c>
      <c r="AH1008" s="3">
        <v>0</v>
      </c>
      <c r="AI1008" s="3">
        <v>0</v>
      </c>
      <c r="AJ1008" s="3">
        <v>0</v>
      </c>
      <c r="AK1008" s="3">
        <v>0</v>
      </c>
      <c r="AL1008" s="3">
        <v>0</v>
      </c>
      <c r="AM1008" s="3">
        <v>0</v>
      </c>
      <c r="AN1008" s="3">
        <v>0</v>
      </c>
      <c r="AO1008" s="3">
        <v>0</v>
      </c>
      <c r="AP1008" s="3">
        <v>0</v>
      </c>
    </row>
    <row r="1009" spans="1:42" hidden="1" x14ac:dyDescent="0.3">
      <c r="A1009" s="16" t="s">
        <v>1142</v>
      </c>
      <c r="B1009" s="16" t="s">
        <v>20</v>
      </c>
      <c r="C1009" s="23">
        <v>45242</v>
      </c>
      <c r="D1009" s="23">
        <v>45242</v>
      </c>
      <c r="E1009" s="3">
        <v>0</v>
      </c>
      <c r="F1009" s="3">
        <v>0</v>
      </c>
      <c r="G1009" s="3">
        <v>0</v>
      </c>
      <c r="H1009" s="3">
        <v>0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  <c r="N1009" s="3">
        <v>0</v>
      </c>
      <c r="O1009" s="3">
        <v>0</v>
      </c>
      <c r="P1009" s="3">
        <v>0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3">
        <v>0</v>
      </c>
      <c r="AC1009" s="3">
        <v>0</v>
      </c>
      <c r="AD1009" s="3">
        <v>0</v>
      </c>
      <c r="AE1009" s="3">
        <v>0</v>
      </c>
      <c r="AF1009" s="3">
        <v>0</v>
      </c>
      <c r="AG1009" s="3">
        <v>0</v>
      </c>
      <c r="AH1009" s="3">
        <v>0</v>
      </c>
      <c r="AI1009" s="3">
        <v>0</v>
      </c>
      <c r="AJ1009" s="3">
        <v>0</v>
      </c>
      <c r="AK1009" s="3">
        <v>0</v>
      </c>
      <c r="AL1009" s="3">
        <v>0</v>
      </c>
      <c r="AM1009" s="3">
        <v>0</v>
      </c>
      <c r="AN1009" s="3">
        <v>0</v>
      </c>
      <c r="AO1009" s="3">
        <v>0</v>
      </c>
      <c r="AP1009" s="3">
        <v>0</v>
      </c>
    </row>
    <row r="1010" spans="1:42" hidden="1" x14ac:dyDescent="0.3">
      <c r="A1010" s="16" t="s">
        <v>1143</v>
      </c>
      <c r="B1010" s="16" t="s">
        <v>20</v>
      </c>
      <c r="C1010" s="23">
        <v>45272</v>
      </c>
      <c r="D1010" s="23">
        <v>45272</v>
      </c>
      <c r="E1010" s="3">
        <v>0</v>
      </c>
      <c r="F1010" s="3">
        <v>0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>
        <v>0</v>
      </c>
      <c r="O1010" s="3">
        <v>0</v>
      </c>
      <c r="P1010" s="3">
        <v>0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3">
        <v>0</v>
      </c>
      <c r="AC1010" s="3">
        <v>0</v>
      </c>
      <c r="AD1010" s="3">
        <v>0</v>
      </c>
      <c r="AE1010" s="3">
        <v>0</v>
      </c>
      <c r="AF1010" s="3">
        <v>0</v>
      </c>
      <c r="AG1010" s="3">
        <v>0</v>
      </c>
      <c r="AH1010" s="3">
        <v>0</v>
      </c>
      <c r="AI1010" s="3">
        <v>0</v>
      </c>
      <c r="AJ1010" s="3">
        <v>0</v>
      </c>
      <c r="AK1010" s="3">
        <v>0</v>
      </c>
      <c r="AL1010" s="3">
        <v>0</v>
      </c>
      <c r="AM1010" s="3">
        <v>0</v>
      </c>
      <c r="AN1010" s="3">
        <v>0</v>
      </c>
      <c r="AO1010" s="3">
        <v>0</v>
      </c>
      <c r="AP1010" s="3">
        <v>0</v>
      </c>
    </row>
    <row r="1011" spans="1:42" hidden="1" x14ac:dyDescent="0.3">
      <c r="A1011" s="16" t="s">
        <v>1144</v>
      </c>
      <c r="B1011" s="16" t="s">
        <v>20</v>
      </c>
      <c r="C1011" s="23">
        <v>45302</v>
      </c>
      <c r="D1011" s="23">
        <v>45302</v>
      </c>
      <c r="E1011" s="3">
        <v>0</v>
      </c>
      <c r="F1011" s="3">
        <v>0</v>
      </c>
      <c r="G1011" s="3">
        <v>0</v>
      </c>
      <c r="H1011" s="3">
        <v>0</v>
      </c>
      <c r="I1011" s="3">
        <v>0</v>
      </c>
      <c r="J1011" s="3">
        <v>0</v>
      </c>
      <c r="K1011" s="3">
        <v>0</v>
      </c>
      <c r="L1011" s="3">
        <v>0</v>
      </c>
      <c r="M1011" s="3">
        <v>0</v>
      </c>
      <c r="N1011" s="3">
        <v>0</v>
      </c>
      <c r="O1011" s="3">
        <v>0</v>
      </c>
      <c r="P1011" s="3">
        <v>0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3">
        <v>0</v>
      </c>
      <c r="AC1011" s="3">
        <v>0</v>
      </c>
      <c r="AD1011" s="3">
        <v>0</v>
      </c>
      <c r="AE1011" s="3">
        <v>0</v>
      </c>
      <c r="AF1011" s="3">
        <v>0</v>
      </c>
      <c r="AG1011" s="3">
        <v>0</v>
      </c>
      <c r="AH1011" s="3">
        <v>0</v>
      </c>
      <c r="AI1011" s="3">
        <v>0</v>
      </c>
      <c r="AJ1011" s="3">
        <v>0</v>
      </c>
      <c r="AK1011" s="3">
        <v>0</v>
      </c>
      <c r="AL1011" s="3">
        <v>0</v>
      </c>
      <c r="AM1011" s="3">
        <v>0</v>
      </c>
      <c r="AN1011" s="3">
        <v>0</v>
      </c>
      <c r="AO1011" s="3">
        <v>0</v>
      </c>
      <c r="AP1011" s="3">
        <v>0</v>
      </c>
    </row>
    <row r="1012" spans="1:42" hidden="1" x14ac:dyDescent="0.3">
      <c r="A1012" s="5" t="s">
        <v>1145</v>
      </c>
      <c r="B1012" s="5" t="s">
        <v>31</v>
      </c>
      <c r="C1012" s="22">
        <v>45348</v>
      </c>
      <c r="D1012" s="22">
        <v>45350</v>
      </c>
      <c r="E1012" s="3">
        <v>0</v>
      </c>
      <c r="F1012" s="3">
        <v>0</v>
      </c>
      <c r="G1012" s="3">
        <v>0</v>
      </c>
      <c r="H1012" s="3">
        <v>0</v>
      </c>
      <c r="I1012" s="3">
        <v>0</v>
      </c>
      <c r="J1012" s="3">
        <v>0</v>
      </c>
      <c r="K1012" s="3">
        <v>0</v>
      </c>
      <c r="L1012" s="3">
        <v>0</v>
      </c>
      <c r="M1012" s="3">
        <v>0</v>
      </c>
      <c r="N1012" s="3">
        <v>0</v>
      </c>
      <c r="O1012" s="3">
        <v>0</v>
      </c>
      <c r="P1012" s="3">
        <v>0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3">
        <v>0</v>
      </c>
      <c r="AC1012" s="3">
        <v>0</v>
      </c>
      <c r="AD1012" s="3">
        <v>0</v>
      </c>
      <c r="AE1012" s="3">
        <v>0</v>
      </c>
      <c r="AF1012" s="3">
        <v>0</v>
      </c>
      <c r="AG1012" s="3">
        <v>0</v>
      </c>
      <c r="AH1012" s="3">
        <v>0</v>
      </c>
      <c r="AI1012" s="3">
        <v>0</v>
      </c>
      <c r="AJ1012" s="3">
        <v>0.01</v>
      </c>
      <c r="AK1012" s="3">
        <v>0.01</v>
      </c>
      <c r="AL1012" s="3">
        <v>0.01</v>
      </c>
      <c r="AM1012" s="3">
        <v>0.01</v>
      </c>
      <c r="AN1012" s="3">
        <v>0.01</v>
      </c>
      <c r="AO1012" s="3">
        <v>0.01</v>
      </c>
      <c r="AP1012" s="3">
        <v>0.01</v>
      </c>
    </row>
    <row r="1013" spans="1:42" hidden="1" x14ac:dyDescent="0.3">
      <c r="A1013" s="5" t="s">
        <v>1146</v>
      </c>
      <c r="B1013" s="5" t="s">
        <v>31</v>
      </c>
      <c r="C1013" s="22">
        <v>45344</v>
      </c>
      <c r="D1013" s="22">
        <v>45348</v>
      </c>
      <c r="E1013" s="3">
        <v>0</v>
      </c>
      <c r="F1013" s="3">
        <v>0</v>
      </c>
      <c r="G1013" s="3">
        <v>0</v>
      </c>
      <c r="H1013" s="3">
        <v>0</v>
      </c>
      <c r="I1013" s="3">
        <v>0</v>
      </c>
      <c r="J1013" s="3">
        <v>0</v>
      </c>
      <c r="K1013" s="3">
        <v>0</v>
      </c>
      <c r="L1013" s="3">
        <v>0</v>
      </c>
      <c r="M1013" s="3">
        <v>0</v>
      </c>
      <c r="N1013" s="3">
        <v>0</v>
      </c>
      <c r="O1013" s="3">
        <v>0</v>
      </c>
      <c r="P1013" s="3">
        <v>0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3">
        <v>0</v>
      </c>
      <c r="AC1013" s="3">
        <v>0</v>
      </c>
      <c r="AD1013" s="3">
        <v>0</v>
      </c>
      <c r="AE1013" s="3">
        <v>0</v>
      </c>
      <c r="AF1013" s="3">
        <v>0</v>
      </c>
      <c r="AG1013" s="3">
        <v>0</v>
      </c>
      <c r="AH1013" s="3">
        <v>0</v>
      </c>
      <c r="AI1013" s="3">
        <v>0</v>
      </c>
      <c r="AJ1013" s="3">
        <v>0.02</v>
      </c>
      <c r="AK1013" s="3">
        <v>0.02</v>
      </c>
      <c r="AL1013" s="3">
        <v>0.02</v>
      </c>
      <c r="AM1013" s="3">
        <v>0.02</v>
      </c>
      <c r="AN1013" s="3">
        <v>0.02</v>
      </c>
      <c r="AO1013" s="3">
        <v>0.02</v>
      </c>
      <c r="AP1013" s="3">
        <v>0.02</v>
      </c>
    </row>
    <row r="1014" spans="1:42" hidden="1" x14ac:dyDescent="0.3">
      <c r="A1014" s="5" t="s">
        <v>1147</v>
      </c>
      <c r="B1014" s="5" t="s">
        <v>31</v>
      </c>
      <c r="C1014" s="22">
        <v>45343</v>
      </c>
      <c r="D1014" s="22">
        <v>45344</v>
      </c>
      <c r="E1014" s="3">
        <v>0</v>
      </c>
      <c r="F1014" s="3">
        <v>0</v>
      </c>
      <c r="G1014" s="3">
        <v>0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>
        <v>0</v>
      </c>
      <c r="N1014" s="3">
        <v>0</v>
      </c>
      <c r="O1014" s="3">
        <v>0</v>
      </c>
      <c r="P1014" s="3">
        <v>0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3">
        <v>0</v>
      </c>
      <c r="AC1014" s="3">
        <v>0</v>
      </c>
      <c r="AD1014" s="3">
        <v>0</v>
      </c>
      <c r="AE1014" s="3">
        <v>0</v>
      </c>
      <c r="AF1014" s="3">
        <v>0</v>
      </c>
      <c r="AG1014" s="3">
        <v>0</v>
      </c>
      <c r="AH1014" s="3">
        <v>0</v>
      </c>
      <c r="AI1014" s="3">
        <v>0</v>
      </c>
      <c r="AJ1014" s="3">
        <v>0.02</v>
      </c>
      <c r="AK1014" s="3">
        <v>0.02</v>
      </c>
      <c r="AL1014" s="3">
        <v>0.02</v>
      </c>
      <c r="AM1014" s="3">
        <v>0.02</v>
      </c>
      <c r="AN1014" s="3">
        <v>0.02</v>
      </c>
      <c r="AO1014" s="3">
        <v>0.02</v>
      </c>
      <c r="AP1014" s="3">
        <v>0.02</v>
      </c>
    </row>
    <row r="1015" spans="1:42" hidden="1" x14ac:dyDescent="0.3">
      <c r="A1015" s="5" t="s">
        <v>1148</v>
      </c>
      <c r="B1015" s="5" t="s">
        <v>31</v>
      </c>
      <c r="C1015" s="22">
        <v>45338</v>
      </c>
      <c r="D1015" s="22">
        <v>45342</v>
      </c>
      <c r="E1015" s="3">
        <v>0</v>
      </c>
      <c r="F1015" s="3">
        <v>0</v>
      </c>
      <c r="G1015" s="3">
        <v>0</v>
      </c>
      <c r="H1015" s="3">
        <v>0</v>
      </c>
      <c r="I1015" s="3">
        <v>0</v>
      </c>
      <c r="J1015" s="3">
        <v>0</v>
      </c>
      <c r="K1015" s="3">
        <v>0</v>
      </c>
      <c r="L1015" s="3">
        <v>0</v>
      </c>
      <c r="M1015" s="3">
        <v>0</v>
      </c>
      <c r="N1015" s="3">
        <v>0</v>
      </c>
      <c r="O1015" s="3">
        <v>0</v>
      </c>
      <c r="P1015" s="3">
        <v>0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3">
        <v>0</v>
      </c>
      <c r="AC1015" s="3">
        <v>0</v>
      </c>
      <c r="AD1015" s="3">
        <v>0</v>
      </c>
      <c r="AE1015" s="3">
        <v>0</v>
      </c>
      <c r="AF1015" s="3">
        <v>0</v>
      </c>
      <c r="AG1015" s="3">
        <v>0</v>
      </c>
      <c r="AH1015" s="3">
        <v>0</v>
      </c>
      <c r="AI1015" s="3">
        <v>0</v>
      </c>
      <c r="AJ1015" s="3">
        <v>0.02</v>
      </c>
      <c r="AK1015" s="3">
        <v>0.02</v>
      </c>
      <c r="AL1015" s="3">
        <v>0.02</v>
      </c>
      <c r="AM1015" s="3">
        <v>0.02</v>
      </c>
      <c r="AN1015" s="3">
        <v>0.02</v>
      </c>
      <c r="AO1015" s="3">
        <v>0.02</v>
      </c>
      <c r="AP1015" s="3">
        <v>0.02</v>
      </c>
    </row>
    <row r="1016" spans="1:42" hidden="1" x14ac:dyDescent="0.3">
      <c r="A1016" s="5" t="s">
        <v>1149</v>
      </c>
      <c r="B1016" s="5" t="s">
        <v>31</v>
      </c>
      <c r="C1016" s="22">
        <v>45322</v>
      </c>
      <c r="D1016" s="22">
        <v>45324</v>
      </c>
      <c r="E1016" s="3">
        <v>0</v>
      </c>
      <c r="F1016" s="3">
        <v>0</v>
      </c>
      <c r="G1016" s="3">
        <v>0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  <c r="O1016" s="3">
        <v>0</v>
      </c>
      <c r="P1016" s="3">
        <v>0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3">
        <v>0</v>
      </c>
      <c r="AC1016" s="3">
        <v>0</v>
      </c>
      <c r="AD1016" s="3">
        <v>0</v>
      </c>
      <c r="AE1016" s="3">
        <v>0</v>
      </c>
      <c r="AF1016" s="3">
        <v>0</v>
      </c>
      <c r="AG1016" s="3">
        <v>0</v>
      </c>
      <c r="AH1016" s="3">
        <v>0</v>
      </c>
      <c r="AI1016" s="3">
        <v>0.01</v>
      </c>
      <c r="AJ1016" s="3">
        <v>0.02</v>
      </c>
      <c r="AK1016" s="3">
        <v>0.02</v>
      </c>
      <c r="AL1016" s="3">
        <v>0.02</v>
      </c>
      <c r="AM1016" s="3">
        <v>0.02</v>
      </c>
      <c r="AN1016" s="3">
        <v>0.02</v>
      </c>
      <c r="AO1016" s="3">
        <v>0.02</v>
      </c>
      <c r="AP1016" s="3">
        <v>0.02</v>
      </c>
    </row>
    <row r="1017" spans="1:42" hidden="1" x14ac:dyDescent="0.3">
      <c r="A1017" s="5" t="s">
        <v>1150</v>
      </c>
      <c r="B1017" s="5" t="s">
        <v>31</v>
      </c>
      <c r="C1017" s="22">
        <v>45307</v>
      </c>
      <c r="D1017" s="22">
        <v>45309</v>
      </c>
      <c r="E1017" s="3">
        <v>0</v>
      </c>
      <c r="F1017" s="3">
        <v>0</v>
      </c>
      <c r="G1017" s="3">
        <v>0</v>
      </c>
      <c r="H1017" s="3">
        <v>0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  <c r="N1017" s="3">
        <v>0</v>
      </c>
      <c r="O1017" s="3">
        <v>0</v>
      </c>
      <c r="P1017" s="3">
        <v>0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3">
        <v>0</v>
      </c>
      <c r="AC1017" s="3">
        <v>0</v>
      </c>
      <c r="AD1017" s="3">
        <v>0</v>
      </c>
      <c r="AE1017" s="3">
        <v>0</v>
      </c>
      <c r="AF1017" s="3">
        <v>0</v>
      </c>
      <c r="AG1017" s="3">
        <v>0</v>
      </c>
      <c r="AH1017" s="3">
        <v>0</v>
      </c>
      <c r="AI1017" s="3">
        <v>0.02</v>
      </c>
      <c r="AJ1017" s="3">
        <v>0.02</v>
      </c>
      <c r="AK1017" s="3">
        <v>0.02</v>
      </c>
      <c r="AL1017" s="3">
        <v>0.02</v>
      </c>
      <c r="AM1017" s="3">
        <v>0.02</v>
      </c>
      <c r="AN1017" s="3">
        <v>0.02</v>
      </c>
      <c r="AO1017" s="3">
        <v>0.02</v>
      </c>
      <c r="AP1017" s="3">
        <v>0.02</v>
      </c>
    </row>
    <row r="1018" spans="1:42" hidden="1" x14ac:dyDescent="0.3">
      <c r="A1018" s="5" t="s">
        <v>1151</v>
      </c>
      <c r="B1018" s="5" t="s">
        <v>31</v>
      </c>
      <c r="C1018" s="22">
        <v>45273</v>
      </c>
      <c r="D1018" s="22">
        <v>45275</v>
      </c>
      <c r="E1018" s="3">
        <v>0</v>
      </c>
      <c r="F1018" s="3">
        <v>0</v>
      </c>
      <c r="G1018" s="3">
        <v>0</v>
      </c>
      <c r="H1018" s="3">
        <v>0</v>
      </c>
      <c r="I1018" s="3">
        <v>0</v>
      </c>
      <c r="J1018" s="3">
        <v>0</v>
      </c>
      <c r="K1018" s="3">
        <v>0</v>
      </c>
      <c r="L1018" s="3">
        <v>0</v>
      </c>
      <c r="M1018" s="3">
        <v>0</v>
      </c>
      <c r="N1018" s="3">
        <v>0</v>
      </c>
      <c r="O1018" s="3">
        <v>0</v>
      </c>
      <c r="P1018" s="3">
        <v>0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3">
        <v>0</v>
      </c>
      <c r="AC1018" s="3">
        <v>0</v>
      </c>
      <c r="AD1018" s="3">
        <v>0</v>
      </c>
      <c r="AE1018" s="3">
        <v>0</v>
      </c>
      <c r="AF1018" s="3">
        <v>0</v>
      </c>
      <c r="AG1018" s="3">
        <v>0</v>
      </c>
      <c r="AH1018" s="3">
        <v>0.02</v>
      </c>
      <c r="AI1018" s="3">
        <v>0.02</v>
      </c>
      <c r="AJ1018" s="3">
        <v>0.02</v>
      </c>
      <c r="AK1018" s="3">
        <v>0.02</v>
      </c>
      <c r="AL1018" s="3">
        <v>0.02</v>
      </c>
      <c r="AM1018" s="3">
        <v>0.02</v>
      </c>
      <c r="AN1018" s="3">
        <v>0.02</v>
      </c>
      <c r="AO1018" s="3">
        <v>0.02</v>
      </c>
      <c r="AP1018" s="3">
        <v>0.02</v>
      </c>
    </row>
    <row r="1019" spans="1:42" hidden="1" x14ac:dyDescent="0.3">
      <c r="A1019" s="5" t="s">
        <v>1152</v>
      </c>
      <c r="B1019" s="5" t="s">
        <v>31</v>
      </c>
      <c r="C1019" s="22">
        <v>45258</v>
      </c>
      <c r="D1019" s="22">
        <v>45260</v>
      </c>
      <c r="E1019" s="3">
        <v>0</v>
      </c>
      <c r="F1019" s="3">
        <v>0</v>
      </c>
      <c r="G1019" s="3">
        <v>0</v>
      </c>
      <c r="H1019" s="3">
        <v>0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s="3">
        <v>0</v>
      </c>
      <c r="O1019" s="3">
        <v>0</v>
      </c>
      <c r="P1019" s="3">
        <v>0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3">
        <v>0</v>
      </c>
      <c r="AC1019" s="3">
        <v>0</v>
      </c>
      <c r="AD1019" s="3">
        <v>0</v>
      </c>
      <c r="AE1019" s="3">
        <v>0</v>
      </c>
      <c r="AF1019" s="3">
        <v>0</v>
      </c>
      <c r="AG1019" s="3">
        <v>0.02</v>
      </c>
      <c r="AH1019" s="3">
        <v>0.02</v>
      </c>
      <c r="AI1019" s="3">
        <v>0.02</v>
      </c>
      <c r="AJ1019" s="3">
        <v>0.02</v>
      </c>
      <c r="AK1019" s="3">
        <v>0.02</v>
      </c>
      <c r="AL1019" s="3">
        <v>0.02</v>
      </c>
      <c r="AM1019" s="3">
        <v>0.02</v>
      </c>
      <c r="AN1019" s="3">
        <v>0.02</v>
      </c>
      <c r="AO1019" s="3">
        <v>0.02</v>
      </c>
      <c r="AP1019" s="3">
        <v>0.02</v>
      </c>
    </row>
    <row r="1020" spans="1:42" hidden="1" x14ac:dyDescent="0.3">
      <c r="A1020" s="4" t="s">
        <v>1153</v>
      </c>
      <c r="B1020" s="4" t="s">
        <v>69</v>
      </c>
      <c r="C1020" s="21">
        <v>45274</v>
      </c>
      <c r="D1020" s="21">
        <v>45301</v>
      </c>
      <c r="E1020" s="2">
        <v>0</v>
      </c>
      <c r="F1020" s="2">
        <v>0</v>
      </c>
      <c r="G1020" s="2">
        <v>0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0</v>
      </c>
      <c r="AG1020" s="2">
        <v>0</v>
      </c>
      <c r="AH1020" s="2">
        <v>0.08</v>
      </c>
      <c r="AI1020" s="2">
        <v>0.16</v>
      </c>
      <c r="AJ1020" s="2">
        <v>0.16</v>
      </c>
      <c r="AK1020" s="2">
        <v>0.16</v>
      </c>
      <c r="AL1020" s="2">
        <v>0.16</v>
      </c>
      <c r="AM1020" s="2">
        <v>0.16</v>
      </c>
      <c r="AN1020" s="2">
        <v>0.16</v>
      </c>
      <c r="AO1020" s="2">
        <v>0.16</v>
      </c>
      <c r="AP1020" s="2">
        <v>0.16</v>
      </c>
    </row>
    <row r="1021" spans="1:42" hidden="1" x14ac:dyDescent="0.3">
      <c r="A1021" s="5" t="s">
        <v>1154</v>
      </c>
      <c r="B1021" s="5" t="s">
        <v>31</v>
      </c>
      <c r="C1021" s="22">
        <v>45274</v>
      </c>
      <c r="D1021" s="22">
        <v>45293</v>
      </c>
      <c r="E1021" s="3">
        <v>0</v>
      </c>
      <c r="F1021" s="3">
        <v>0</v>
      </c>
      <c r="G1021" s="3">
        <v>0</v>
      </c>
      <c r="H1021" s="3">
        <v>0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v>0</v>
      </c>
      <c r="O1021" s="3">
        <v>0</v>
      </c>
      <c r="P1021" s="3">
        <v>0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3">
        <v>0</v>
      </c>
      <c r="AC1021" s="3">
        <v>0</v>
      </c>
      <c r="AD1021" s="3">
        <v>0</v>
      </c>
      <c r="AE1021" s="3">
        <v>0</v>
      </c>
      <c r="AF1021" s="3">
        <v>0</v>
      </c>
      <c r="AG1021" s="3">
        <v>0</v>
      </c>
      <c r="AH1021" s="3">
        <v>0.08</v>
      </c>
      <c r="AI1021" s="3">
        <v>0.08</v>
      </c>
      <c r="AJ1021" s="3">
        <v>0.08</v>
      </c>
      <c r="AK1021" s="3">
        <v>0.08</v>
      </c>
      <c r="AL1021" s="3">
        <v>0.08</v>
      </c>
      <c r="AM1021" s="3">
        <v>0.08</v>
      </c>
      <c r="AN1021" s="3">
        <v>0.08</v>
      </c>
      <c r="AO1021" s="3">
        <v>0.08</v>
      </c>
      <c r="AP1021" s="3">
        <v>0.08</v>
      </c>
    </row>
    <row r="1022" spans="1:42" hidden="1" x14ac:dyDescent="0.3">
      <c r="A1022" s="5" t="s">
        <v>1155</v>
      </c>
      <c r="B1022" s="5" t="s">
        <v>31</v>
      </c>
      <c r="C1022" s="22">
        <v>45299</v>
      </c>
      <c r="D1022" s="22">
        <v>45301</v>
      </c>
      <c r="E1022" s="3">
        <v>0</v>
      </c>
      <c r="F1022" s="3">
        <v>0</v>
      </c>
      <c r="G1022" s="3">
        <v>0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>
        <v>0</v>
      </c>
      <c r="P1022" s="3">
        <v>0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3">
        <v>0</v>
      </c>
      <c r="AC1022" s="3">
        <v>0</v>
      </c>
      <c r="AD1022" s="3">
        <v>0</v>
      </c>
      <c r="AE1022" s="3">
        <v>0</v>
      </c>
      <c r="AF1022" s="3">
        <v>0</v>
      </c>
      <c r="AG1022" s="3">
        <v>0</v>
      </c>
      <c r="AH1022" s="3">
        <v>0</v>
      </c>
      <c r="AI1022" s="3">
        <v>0.02</v>
      </c>
      <c r="AJ1022" s="3">
        <v>0.02</v>
      </c>
      <c r="AK1022" s="3">
        <v>0.02</v>
      </c>
      <c r="AL1022" s="3">
        <v>0.02</v>
      </c>
      <c r="AM1022" s="3">
        <v>0.02</v>
      </c>
      <c r="AN1022" s="3">
        <v>0.02</v>
      </c>
      <c r="AO1022" s="3">
        <v>0.02</v>
      </c>
      <c r="AP1022" s="3">
        <v>0.02</v>
      </c>
    </row>
    <row r="1023" spans="1:42" hidden="1" x14ac:dyDescent="0.3">
      <c r="A1023" s="5" t="s">
        <v>1156</v>
      </c>
      <c r="B1023" s="5" t="s">
        <v>29</v>
      </c>
      <c r="C1023" s="22">
        <v>45293</v>
      </c>
      <c r="D1023" s="22">
        <v>45293</v>
      </c>
      <c r="E1023" s="3">
        <v>0</v>
      </c>
      <c r="F1023" s="3">
        <v>0</v>
      </c>
      <c r="G1023" s="3">
        <v>0</v>
      </c>
      <c r="H1023" s="3">
        <v>0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v>0</v>
      </c>
      <c r="O1023" s="3">
        <v>0</v>
      </c>
      <c r="P1023" s="3">
        <v>0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3">
        <v>0</v>
      </c>
      <c r="AC1023" s="3">
        <v>0</v>
      </c>
      <c r="AD1023" s="3">
        <v>0</v>
      </c>
      <c r="AE1023" s="3">
        <v>0</v>
      </c>
      <c r="AF1023" s="3">
        <v>0</v>
      </c>
      <c r="AG1023" s="3">
        <v>0</v>
      </c>
      <c r="AH1023" s="3">
        <v>0</v>
      </c>
      <c r="AI1023" s="3">
        <v>0.02</v>
      </c>
      <c r="AJ1023" s="3">
        <v>0.02</v>
      </c>
      <c r="AK1023" s="3">
        <v>0.02</v>
      </c>
      <c r="AL1023" s="3">
        <v>0.02</v>
      </c>
      <c r="AM1023" s="3">
        <v>0.02</v>
      </c>
      <c r="AN1023" s="3">
        <v>0.02</v>
      </c>
      <c r="AO1023" s="3">
        <v>0.02</v>
      </c>
      <c r="AP1023" s="3">
        <v>0.02</v>
      </c>
    </row>
    <row r="1024" spans="1:42" hidden="1" x14ac:dyDescent="0.3">
      <c r="A1024" s="5" t="s">
        <v>1157</v>
      </c>
      <c r="B1024" s="5" t="s">
        <v>29</v>
      </c>
      <c r="C1024" s="22">
        <v>45294</v>
      </c>
      <c r="D1024" s="22">
        <v>45294</v>
      </c>
      <c r="E1024" s="3">
        <v>0</v>
      </c>
      <c r="F1024" s="3">
        <v>0</v>
      </c>
      <c r="G1024" s="3">
        <v>0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  <c r="N1024" s="3">
        <v>0</v>
      </c>
      <c r="O1024" s="3">
        <v>0</v>
      </c>
      <c r="P1024" s="3">
        <v>0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3">
        <v>0</v>
      </c>
      <c r="AC1024" s="3">
        <v>0</v>
      </c>
      <c r="AD1024" s="3">
        <v>0</v>
      </c>
      <c r="AE1024" s="3">
        <v>0</v>
      </c>
      <c r="AF1024" s="3">
        <v>0</v>
      </c>
      <c r="AG1024" s="3">
        <v>0</v>
      </c>
      <c r="AH1024" s="3">
        <v>0</v>
      </c>
      <c r="AI1024" s="3">
        <v>0.01</v>
      </c>
      <c r="AJ1024" s="3">
        <v>0.01</v>
      </c>
      <c r="AK1024" s="3">
        <v>0.01</v>
      </c>
      <c r="AL1024" s="3">
        <v>0.01</v>
      </c>
      <c r="AM1024" s="3">
        <v>0.01</v>
      </c>
      <c r="AN1024" s="3">
        <v>0.01</v>
      </c>
      <c r="AO1024" s="3">
        <v>0.01</v>
      </c>
      <c r="AP1024" s="3">
        <v>0.01</v>
      </c>
    </row>
    <row r="1025" spans="1:42" hidden="1" x14ac:dyDescent="0.3">
      <c r="A1025" s="5" t="s">
        <v>1158</v>
      </c>
      <c r="B1025" s="5" t="s">
        <v>29</v>
      </c>
      <c r="C1025" s="22">
        <v>45294</v>
      </c>
      <c r="D1025" s="22">
        <v>45295</v>
      </c>
      <c r="E1025" s="3">
        <v>0</v>
      </c>
      <c r="F1025" s="3">
        <v>0</v>
      </c>
      <c r="G1025" s="3">
        <v>0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v>0</v>
      </c>
      <c r="O1025" s="3">
        <v>0</v>
      </c>
      <c r="P1025" s="3">
        <v>0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3">
        <v>0</v>
      </c>
      <c r="AC1025" s="3">
        <v>0</v>
      </c>
      <c r="AD1025" s="3">
        <v>0</v>
      </c>
      <c r="AE1025" s="3">
        <v>0</v>
      </c>
      <c r="AF1025" s="3">
        <v>0</v>
      </c>
      <c r="AG1025" s="3">
        <v>0</v>
      </c>
      <c r="AH1025" s="3">
        <v>0</v>
      </c>
      <c r="AI1025" s="3">
        <v>0.01</v>
      </c>
      <c r="AJ1025" s="3">
        <v>0.01</v>
      </c>
      <c r="AK1025" s="3">
        <v>0.01</v>
      </c>
      <c r="AL1025" s="3">
        <v>0.01</v>
      </c>
      <c r="AM1025" s="3">
        <v>0.01</v>
      </c>
      <c r="AN1025" s="3">
        <v>0.01</v>
      </c>
      <c r="AO1025" s="3">
        <v>0.01</v>
      </c>
      <c r="AP1025" s="3">
        <v>0.01</v>
      </c>
    </row>
    <row r="1026" spans="1:42" hidden="1" x14ac:dyDescent="0.3">
      <c r="A1026" s="5" t="s">
        <v>1159</v>
      </c>
      <c r="B1026" s="5" t="s">
        <v>29</v>
      </c>
      <c r="C1026" s="22">
        <v>45295</v>
      </c>
      <c r="D1026" s="22">
        <v>45296</v>
      </c>
      <c r="E1026" s="3">
        <v>0</v>
      </c>
      <c r="F1026" s="3">
        <v>0</v>
      </c>
      <c r="G1026" s="3">
        <v>0</v>
      </c>
      <c r="H1026" s="3">
        <v>0</v>
      </c>
      <c r="I1026" s="3">
        <v>0</v>
      </c>
      <c r="J1026" s="3">
        <v>0</v>
      </c>
      <c r="K1026" s="3">
        <v>0</v>
      </c>
      <c r="L1026" s="3">
        <v>0</v>
      </c>
      <c r="M1026" s="3">
        <v>0</v>
      </c>
      <c r="N1026" s="3">
        <v>0</v>
      </c>
      <c r="O1026" s="3">
        <v>0</v>
      </c>
      <c r="P1026" s="3">
        <v>0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3">
        <v>0</v>
      </c>
      <c r="AC1026" s="3">
        <v>0</v>
      </c>
      <c r="AD1026" s="3">
        <v>0</v>
      </c>
      <c r="AE1026" s="3">
        <v>0</v>
      </c>
      <c r="AF1026" s="3">
        <v>0</v>
      </c>
      <c r="AG1026" s="3">
        <v>0</v>
      </c>
      <c r="AH1026" s="3">
        <v>0</v>
      </c>
      <c r="AI1026" s="3">
        <v>0.01</v>
      </c>
      <c r="AJ1026" s="3">
        <v>0.01</v>
      </c>
      <c r="AK1026" s="3">
        <v>0.01</v>
      </c>
      <c r="AL1026" s="3">
        <v>0.01</v>
      </c>
      <c r="AM1026" s="3">
        <v>0.01</v>
      </c>
      <c r="AN1026" s="3">
        <v>0.01</v>
      </c>
      <c r="AO1026" s="3">
        <v>0.01</v>
      </c>
      <c r="AP1026" s="3">
        <v>0.01</v>
      </c>
    </row>
    <row r="1027" spans="1:42" hidden="1" x14ac:dyDescent="0.3">
      <c r="A1027" s="5" t="s">
        <v>1160</v>
      </c>
      <c r="B1027" s="5" t="s">
        <v>29</v>
      </c>
      <c r="C1027" s="22">
        <v>45296</v>
      </c>
      <c r="D1027" s="22">
        <v>45299</v>
      </c>
      <c r="E1027" s="3">
        <v>0</v>
      </c>
      <c r="F1027" s="3">
        <v>0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  <c r="O1027" s="3">
        <v>0</v>
      </c>
      <c r="P1027" s="3">
        <v>0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3">
        <v>0</v>
      </c>
      <c r="AC1027" s="3">
        <v>0</v>
      </c>
      <c r="AD1027" s="3">
        <v>0</v>
      </c>
      <c r="AE1027" s="3">
        <v>0</v>
      </c>
      <c r="AF1027" s="3">
        <v>0</v>
      </c>
      <c r="AG1027" s="3">
        <v>0</v>
      </c>
      <c r="AH1027" s="3">
        <v>0</v>
      </c>
      <c r="AI1027" s="3">
        <v>0.01</v>
      </c>
      <c r="AJ1027" s="3">
        <v>0.01</v>
      </c>
      <c r="AK1027" s="3">
        <v>0.01</v>
      </c>
      <c r="AL1027" s="3">
        <v>0.01</v>
      </c>
      <c r="AM1027" s="3">
        <v>0.01</v>
      </c>
      <c r="AN1027" s="3">
        <v>0.01</v>
      </c>
      <c r="AO1027" s="3">
        <v>0.01</v>
      </c>
      <c r="AP1027" s="3">
        <v>0.01</v>
      </c>
    </row>
    <row r="1028" spans="1:42" hidden="1" x14ac:dyDescent="0.3">
      <c r="A1028" s="5" t="s">
        <v>1161</v>
      </c>
      <c r="B1028" s="5" t="s">
        <v>31</v>
      </c>
      <c r="C1028" s="22">
        <v>45322</v>
      </c>
      <c r="D1028" s="22">
        <v>45324</v>
      </c>
      <c r="E1028" s="3">
        <v>0</v>
      </c>
      <c r="F1028" s="3">
        <v>0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3">
        <v>0</v>
      </c>
      <c r="AC1028" s="3">
        <v>0</v>
      </c>
      <c r="AD1028" s="3">
        <v>0</v>
      </c>
      <c r="AE1028" s="3">
        <v>0</v>
      </c>
      <c r="AF1028" s="3">
        <v>0</v>
      </c>
      <c r="AG1028" s="3">
        <v>0</v>
      </c>
      <c r="AH1028" s="3">
        <v>0</v>
      </c>
      <c r="AI1028" s="3">
        <v>0</v>
      </c>
      <c r="AJ1028" s="3">
        <v>0.01</v>
      </c>
      <c r="AK1028" s="3">
        <v>0.01</v>
      </c>
      <c r="AL1028" s="3">
        <v>0.01</v>
      </c>
      <c r="AM1028" s="3">
        <v>0.01</v>
      </c>
      <c r="AN1028" s="3">
        <v>0.01</v>
      </c>
      <c r="AO1028" s="3">
        <v>0.01</v>
      </c>
      <c r="AP1028" s="3">
        <v>0.01</v>
      </c>
    </row>
    <row r="1029" spans="1:42" hidden="1" x14ac:dyDescent="0.3">
      <c r="A1029" s="15" t="s">
        <v>1162</v>
      </c>
      <c r="B1029" s="15" t="s">
        <v>141</v>
      </c>
      <c r="C1029" s="20">
        <v>45240</v>
      </c>
      <c r="D1029" s="20">
        <v>45348</v>
      </c>
      <c r="E1029" s="8">
        <v>0</v>
      </c>
      <c r="F1029" s="8">
        <v>0</v>
      </c>
      <c r="G1029" s="8">
        <v>0</v>
      </c>
      <c r="H1029" s="8">
        <v>0</v>
      </c>
      <c r="I1029" s="8">
        <v>0</v>
      </c>
      <c r="J1029" s="8">
        <v>0</v>
      </c>
      <c r="K1029" s="8">
        <v>0</v>
      </c>
      <c r="L1029" s="8">
        <v>0</v>
      </c>
      <c r="M1029" s="8">
        <v>0</v>
      </c>
      <c r="N1029" s="8">
        <v>0</v>
      </c>
      <c r="O1029" s="8">
        <v>0</v>
      </c>
      <c r="P1029" s="8">
        <v>0</v>
      </c>
      <c r="Q1029" s="8">
        <v>0</v>
      </c>
      <c r="R1029" s="8">
        <v>0</v>
      </c>
      <c r="S1029" s="8">
        <v>0</v>
      </c>
      <c r="T1029" s="8">
        <v>0</v>
      </c>
      <c r="U1029" s="8">
        <v>0</v>
      </c>
      <c r="V1029" s="8">
        <v>0</v>
      </c>
      <c r="W1029" s="8">
        <v>0</v>
      </c>
      <c r="X1029" s="8">
        <v>0</v>
      </c>
      <c r="Y1029" s="8">
        <v>0</v>
      </c>
      <c r="Z1029" s="8">
        <v>0</v>
      </c>
      <c r="AA1029" s="8">
        <v>0</v>
      </c>
      <c r="AB1029" s="8">
        <v>0</v>
      </c>
      <c r="AC1029" s="8">
        <v>0</v>
      </c>
      <c r="AD1029" s="8">
        <v>0</v>
      </c>
      <c r="AE1029" s="8">
        <v>0</v>
      </c>
      <c r="AF1029" s="8">
        <v>0</v>
      </c>
      <c r="AG1029" s="8">
        <v>0.14000000000000001</v>
      </c>
      <c r="AH1029" s="8">
        <v>0.31</v>
      </c>
      <c r="AI1029" s="8">
        <v>0.6</v>
      </c>
      <c r="AJ1029" s="8">
        <v>1.43</v>
      </c>
      <c r="AK1029" s="8">
        <v>1.43</v>
      </c>
      <c r="AL1029" s="8">
        <v>1.43</v>
      </c>
      <c r="AM1029" s="8">
        <v>1.43</v>
      </c>
      <c r="AN1029" s="8">
        <v>1.43</v>
      </c>
      <c r="AO1029" s="8">
        <v>1.43</v>
      </c>
      <c r="AP1029" s="8">
        <v>1.43</v>
      </c>
    </row>
    <row r="1030" spans="1:42" hidden="1" x14ac:dyDescent="0.3">
      <c r="A1030" s="5" t="s">
        <v>1163</v>
      </c>
      <c r="B1030" s="5" t="s">
        <v>31</v>
      </c>
      <c r="C1030" s="22">
        <v>45344</v>
      </c>
      <c r="D1030" s="22">
        <v>45348</v>
      </c>
      <c r="E1030" s="3">
        <v>0</v>
      </c>
      <c r="F1030" s="3">
        <v>0</v>
      </c>
      <c r="G1030" s="3">
        <v>0</v>
      </c>
      <c r="H1030" s="3">
        <v>0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3">
        <v>0</v>
      </c>
      <c r="AC1030" s="3">
        <v>0</v>
      </c>
      <c r="AD1030" s="3">
        <v>0</v>
      </c>
      <c r="AE1030" s="3">
        <v>0</v>
      </c>
      <c r="AF1030" s="3">
        <v>0</v>
      </c>
      <c r="AG1030" s="3">
        <v>0</v>
      </c>
      <c r="AH1030" s="3">
        <v>0</v>
      </c>
      <c r="AI1030" s="3">
        <v>0</v>
      </c>
      <c r="AJ1030" s="3">
        <v>0.75</v>
      </c>
      <c r="AK1030" s="3">
        <v>0.75</v>
      </c>
      <c r="AL1030" s="3">
        <v>0.75</v>
      </c>
      <c r="AM1030" s="3">
        <v>0.75</v>
      </c>
      <c r="AN1030" s="3">
        <v>0.75</v>
      </c>
      <c r="AO1030" s="3">
        <v>0.75</v>
      </c>
      <c r="AP1030" s="3">
        <v>0.75</v>
      </c>
    </row>
    <row r="1031" spans="1:42" hidden="1" x14ac:dyDescent="0.3">
      <c r="A1031" s="5" t="s">
        <v>1164</v>
      </c>
      <c r="B1031" s="5" t="s">
        <v>31</v>
      </c>
      <c r="C1031" s="22">
        <v>45343</v>
      </c>
      <c r="D1031" s="22">
        <v>45344</v>
      </c>
      <c r="E1031" s="3">
        <v>0</v>
      </c>
      <c r="F1031" s="3">
        <v>0</v>
      </c>
      <c r="G1031" s="3">
        <v>0</v>
      </c>
      <c r="H1031" s="3">
        <v>0</v>
      </c>
      <c r="I1031" s="3">
        <v>0</v>
      </c>
      <c r="J1031" s="3">
        <v>0</v>
      </c>
      <c r="K1031" s="3">
        <v>0</v>
      </c>
      <c r="L1031" s="3">
        <v>0</v>
      </c>
      <c r="M1031" s="3">
        <v>0</v>
      </c>
      <c r="N1031" s="3">
        <v>0</v>
      </c>
      <c r="O1031" s="3">
        <v>0</v>
      </c>
      <c r="P1031" s="3">
        <v>0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3">
        <v>0</v>
      </c>
      <c r="AC1031" s="3">
        <v>0</v>
      </c>
      <c r="AD1031" s="3">
        <v>0</v>
      </c>
      <c r="AE1031" s="3">
        <v>0</v>
      </c>
      <c r="AF1031" s="3">
        <v>0</v>
      </c>
      <c r="AG1031" s="3">
        <v>0</v>
      </c>
      <c r="AH1031" s="3">
        <v>0</v>
      </c>
      <c r="AI1031" s="3">
        <v>0</v>
      </c>
      <c r="AJ1031" s="3">
        <v>0.02</v>
      </c>
      <c r="AK1031" s="3">
        <v>0.02</v>
      </c>
      <c r="AL1031" s="3">
        <v>0.02</v>
      </c>
      <c r="AM1031" s="3">
        <v>0.02</v>
      </c>
      <c r="AN1031" s="3">
        <v>0.02</v>
      </c>
      <c r="AO1031" s="3">
        <v>0.02</v>
      </c>
      <c r="AP1031" s="3">
        <v>0.02</v>
      </c>
    </row>
    <row r="1032" spans="1:42" hidden="1" x14ac:dyDescent="0.3">
      <c r="A1032" s="5" t="s">
        <v>1165</v>
      </c>
      <c r="B1032" s="5" t="s">
        <v>12</v>
      </c>
      <c r="C1032" s="22">
        <v>45338</v>
      </c>
      <c r="D1032" s="22">
        <v>45343</v>
      </c>
      <c r="E1032" s="3">
        <v>0</v>
      </c>
      <c r="F1032" s="3">
        <v>0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  <c r="O1032" s="3">
        <v>0</v>
      </c>
      <c r="P1032" s="3">
        <v>0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3">
        <v>0</v>
      </c>
      <c r="AC1032" s="3">
        <v>0</v>
      </c>
      <c r="AD1032" s="3">
        <v>0</v>
      </c>
      <c r="AE1032" s="3">
        <v>0</v>
      </c>
      <c r="AF1032" s="3">
        <v>0</v>
      </c>
      <c r="AG1032" s="3">
        <v>0</v>
      </c>
      <c r="AH1032" s="3">
        <v>0</v>
      </c>
      <c r="AI1032" s="3">
        <v>0</v>
      </c>
      <c r="AJ1032" s="3">
        <v>0.02</v>
      </c>
      <c r="AK1032" s="3">
        <v>0.02</v>
      </c>
      <c r="AL1032" s="3">
        <v>0.02</v>
      </c>
      <c r="AM1032" s="3">
        <v>0.02</v>
      </c>
      <c r="AN1032" s="3">
        <v>0.02</v>
      </c>
      <c r="AO1032" s="3">
        <v>0.02</v>
      </c>
      <c r="AP1032" s="3">
        <v>0.02</v>
      </c>
    </row>
    <row r="1033" spans="1:42" hidden="1" x14ac:dyDescent="0.3">
      <c r="A1033" s="5" t="s">
        <v>1166</v>
      </c>
      <c r="B1033" s="5" t="s">
        <v>10</v>
      </c>
      <c r="C1033" s="22">
        <v>45322</v>
      </c>
      <c r="D1033" s="22">
        <v>45338</v>
      </c>
      <c r="E1033" s="3">
        <v>0</v>
      </c>
      <c r="F1033" s="3">
        <v>0</v>
      </c>
      <c r="G1033" s="3">
        <v>0</v>
      </c>
      <c r="H1033" s="3">
        <v>0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s="3">
        <v>0</v>
      </c>
      <c r="O1033" s="3">
        <v>0</v>
      </c>
      <c r="P1033" s="3">
        <v>0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3">
        <v>0</v>
      </c>
      <c r="AC1033" s="3">
        <v>0</v>
      </c>
      <c r="AD1033" s="3">
        <v>0</v>
      </c>
      <c r="AE1033" s="3">
        <v>0</v>
      </c>
      <c r="AF1033" s="3">
        <v>0</v>
      </c>
      <c r="AG1033" s="3">
        <v>0</v>
      </c>
      <c r="AH1033" s="3">
        <v>0</v>
      </c>
      <c r="AI1033" s="3">
        <v>0</v>
      </c>
      <c r="AJ1033" s="3">
        <v>0.05</v>
      </c>
      <c r="AK1033" s="3">
        <v>0.05</v>
      </c>
      <c r="AL1033" s="3">
        <v>0.05</v>
      </c>
      <c r="AM1033" s="3">
        <v>0.05</v>
      </c>
      <c r="AN1033" s="3">
        <v>0.05</v>
      </c>
      <c r="AO1033" s="3">
        <v>0.05</v>
      </c>
      <c r="AP1033" s="3">
        <v>0.05</v>
      </c>
    </row>
    <row r="1034" spans="1:42" hidden="1" x14ac:dyDescent="0.3">
      <c r="A1034" s="5" t="s">
        <v>1167</v>
      </c>
      <c r="B1034" s="5" t="s">
        <v>10</v>
      </c>
      <c r="C1034" s="22">
        <v>45307</v>
      </c>
      <c r="D1034" s="22">
        <v>45322</v>
      </c>
      <c r="E1034" s="3">
        <v>0</v>
      </c>
      <c r="F1034" s="3">
        <v>0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0</v>
      </c>
      <c r="O1034" s="3">
        <v>0</v>
      </c>
      <c r="P1034" s="3">
        <v>0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3">
        <v>0</v>
      </c>
      <c r="AC1034" s="3">
        <v>0</v>
      </c>
      <c r="AD1034" s="3">
        <v>0</v>
      </c>
      <c r="AE1034" s="3">
        <v>0</v>
      </c>
      <c r="AF1034" s="3">
        <v>0</v>
      </c>
      <c r="AG1034" s="3">
        <v>0</v>
      </c>
      <c r="AH1034" s="3">
        <v>0</v>
      </c>
      <c r="AI1034" s="3">
        <v>0.11</v>
      </c>
      <c r="AJ1034" s="3">
        <v>0.11</v>
      </c>
      <c r="AK1034" s="3">
        <v>0.11</v>
      </c>
      <c r="AL1034" s="3">
        <v>0.11</v>
      </c>
      <c r="AM1034" s="3">
        <v>0.11</v>
      </c>
      <c r="AN1034" s="3">
        <v>0.11</v>
      </c>
      <c r="AO1034" s="3">
        <v>0.11</v>
      </c>
      <c r="AP1034" s="3">
        <v>0.11</v>
      </c>
    </row>
    <row r="1035" spans="1:42" hidden="1" x14ac:dyDescent="0.3">
      <c r="A1035" s="5" t="s">
        <v>1168</v>
      </c>
      <c r="B1035" s="5" t="s">
        <v>10</v>
      </c>
      <c r="C1035" s="22">
        <v>45275</v>
      </c>
      <c r="D1035" s="22">
        <v>45307</v>
      </c>
      <c r="E1035" s="3">
        <v>0</v>
      </c>
      <c r="F1035" s="3">
        <v>0</v>
      </c>
      <c r="G1035" s="3">
        <v>0</v>
      </c>
      <c r="H1035" s="3">
        <v>0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s="3">
        <v>0</v>
      </c>
      <c r="O1035" s="3">
        <v>0</v>
      </c>
      <c r="P1035" s="3">
        <v>0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3">
        <v>0</v>
      </c>
      <c r="AC1035" s="3">
        <v>0</v>
      </c>
      <c r="AD1035" s="3">
        <v>0</v>
      </c>
      <c r="AE1035" s="3">
        <v>0</v>
      </c>
      <c r="AF1035" s="3">
        <v>0</v>
      </c>
      <c r="AG1035" s="3">
        <v>0</v>
      </c>
      <c r="AH1035" s="3">
        <v>0</v>
      </c>
      <c r="AI1035" s="3">
        <v>0.11</v>
      </c>
      <c r="AJ1035" s="3">
        <v>0.11</v>
      </c>
      <c r="AK1035" s="3">
        <v>0.11</v>
      </c>
      <c r="AL1035" s="3">
        <v>0.11</v>
      </c>
      <c r="AM1035" s="3">
        <v>0.11</v>
      </c>
      <c r="AN1035" s="3">
        <v>0.11</v>
      </c>
      <c r="AO1035" s="3">
        <v>0.11</v>
      </c>
      <c r="AP1035" s="3">
        <v>0.11</v>
      </c>
    </row>
    <row r="1036" spans="1:42" hidden="1" x14ac:dyDescent="0.3">
      <c r="A1036" s="5" t="s">
        <v>1169</v>
      </c>
      <c r="B1036" s="5" t="s">
        <v>10</v>
      </c>
      <c r="C1036" s="22">
        <v>45258</v>
      </c>
      <c r="D1036" s="22">
        <v>45273</v>
      </c>
      <c r="E1036" s="3">
        <v>0</v>
      </c>
      <c r="F1036" s="3">
        <v>0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  <c r="O1036" s="3">
        <v>0</v>
      </c>
      <c r="P1036" s="3">
        <v>0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3">
        <v>0</v>
      </c>
      <c r="AC1036" s="3">
        <v>0</v>
      </c>
      <c r="AD1036" s="3">
        <v>0</v>
      </c>
      <c r="AE1036" s="3">
        <v>0</v>
      </c>
      <c r="AF1036" s="3">
        <v>0</v>
      </c>
      <c r="AG1036" s="3">
        <v>0.03</v>
      </c>
      <c r="AH1036" s="3">
        <v>0.11</v>
      </c>
      <c r="AI1036" s="3">
        <v>0.11</v>
      </c>
      <c r="AJ1036" s="3">
        <v>0.11</v>
      </c>
      <c r="AK1036" s="3">
        <v>0.11</v>
      </c>
      <c r="AL1036" s="3">
        <v>0.11</v>
      </c>
      <c r="AM1036" s="3">
        <v>0.11</v>
      </c>
      <c r="AN1036" s="3">
        <v>0.11</v>
      </c>
      <c r="AO1036" s="3">
        <v>0.11</v>
      </c>
      <c r="AP1036" s="3">
        <v>0.11</v>
      </c>
    </row>
    <row r="1037" spans="1:42" hidden="1" x14ac:dyDescent="0.3">
      <c r="A1037" s="5" t="s">
        <v>1170</v>
      </c>
      <c r="B1037" s="5" t="s">
        <v>10</v>
      </c>
      <c r="C1037" s="22">
        <v>45240</v>
      </c>
      <c r="D1037" s="22">
        <v>45258</v>
      </c>
      <c r="E1037" s="3">
        <v>0</v>
      </c>
      <c r="F1037" s="3">
        <v>0</v>
      </c>
      <c r="G1037" s="3">
        <v>0</v>
      </c>
      <c r="H1037" s="3">
        <v>0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3">
        <v>0</v>
      </c>
      <c r="O1037" s="3">
        <v>0</v>
      </c>
      <c r="P1037" s="3">
        <v>0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3">
        <v>0</v>
      </c>
      <c r="AC1037" s="3">
        <v>0</v>
      </c>
      <c r="AD1037" s="3">
        <v>0</v>
      </c>
      <c r="AE1037" s="3">
        <v>0</v>
      </c>
      <c r="AF1037" s="3">
        <v>0</v>
      </c>
      <c r="AG1037" s="3">
        <v>0.11</v>
      </c>
      <c r="AH1037" s="3">
        <v>0.11</v>
      </c>
      <c r="AI1037" s="3">
        <v>0.11</v>
      </c>
      <c r="AJ1037" s="3">
        <v>0.11</v>
      </c>
      <c r="AK1037" s="3">
        <v>0.11</v>
      </c>
      <c r="AL1037" s="3">
        <v>0.11</v>
      </c>
      <c r="AM1037" s="3">
        <v>0.11</v>
      </c>
      <c r="AN1037" s="3">
        <v>0.11</v>
      </c>
      <c r="AO1037" s="3">
        <v>0.11</v>
      </c>
      <c r="AP1037" s="3">
        <v>0.11</v>
      </c>
    </row>
    <row r="1038" spans="1:42" hidden="1" x14ac:dyDescent="0.3">
      <c r="A1038" s="4" t="s">
        <v>1171</v>
      </c>
      <c r="B1038" s="4" t="s">
        <v>142</v>
      </c>
      <c r="C1038" s="21">
        <v>45272</v>
      </c>
      <c r="D1038" s="21">
        <v>45299</v>
      </c>
      <c r="E1038" s="2">
        <v>0</v>
      </c>
      <c r="F1038" s="2">
        <v>0</v>
      </c>
      <c r="G1038" s="2">
        <v>0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0</v>
      </c>
      <c r="AG1038" s="2">
        <v>0</v>
      </c>
      <c r="AH1038" s="2">
        <v>0.08</v>
      </c>
      <c r="AI1038" s="2">
        <v>0.14000000000000001</v>
      </c>
      <c r="AJ1038" s="2">
        <v>0.14000000000000001</v>
      </c>
      <c r="AK1038" s="2">
        <v>0.14000000000000001</v>
      </c>
      <c r="AL1038" s="2">
        <v>0.14000000000000001</v>
      </c>
      <c r="AM1038" s="2">
        <v>0.14000000000000001</v>
      </c>
      <c r="AN1038" s="2">
        <v>0.14000000000000001</v>
      </c>
      <c r="AO1038" s="2">
        <v>0.14000000000000001</v>
      </c>
      <c r="AP1038" s="2">
        <v>0.14000000000000001</v>
      </c>
    </row>
    <row r="1039" spans="1:42" hidden="1" x14ac:dyDescent="0.3">
      <c r="A1039" s="5" t="s">
        <v>1172</v>
      </c>
      <c r="B1039" s="5" t="s">
        <v>31</v>
      </c>
      <c r="C1039" s="22">
        <v>45272</v>
      </c>
      <c r="D1039" s="22">
        <v>45274</v>
      </c>
      <c r="E1039" s="3">
        <v>0</v>
      </c>
      <c r="F1039" s="3">
        <v>0</v>
      </c>
      <c r="G1039" s="3">
        <v>0</v>
      </c>
      <c r="H1039" s="3">
        <v>0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  <c r="N1039" s="3">
        <v>0</v>
      </c>
      <c r="O1039" s="3">
        <v>0</v>
      </c>
      <c r="P1039" s="3">
        <v>0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3">
        <v>0</v>
      </c>
      <c r="AC1039" s="3">
        <v>0</v>
      </c>
      <c r="AD1039" s="3">
        <v>0</v>
      </c>
      <c r="AE1039" s="3">
        <v>0</v>
      </c>
      <c r="AF1039" s="3">
        <v>0</v>
      </c>
      <c r="AG1039" s="3">
        <v>0</v>
      </c>
      <c r="AH1039" s="3">
        <v>7.0000000000000007E-2</v>
      </c>
      <c r="AI1039" s="3">
        <v>7.0000000000000007E-2</v>
      </c>
      <c r="AJ1039" s="3">
        <v>7.0000000000000007E-2</v>
      </c>
      <c r="AK1039" s="3">
        <v>7.0000000000000007E-2</v>
      </c>
      <c r="AL1039" s="3">
        <v>7.0000000000000007E-2</v>
      </c>
      <c r="AM1039" s="3">
        <v>7.0000000000000007E-2</v>
      </c>
      <c r="AN1039" s="3">
        <v>7.0000000000000007E-2</v>
      </c>
      <c r="AO1039" s="3">
        <v>7.0000000000000007E-2</v>
      </c>
      <c r="AP1039" s="3">
        <v>7.0000000000000007E-2</v>
      </c>
    </row>
    <row r="1040" spans="1:42" hidden="1" x14ac:dyDescent="0.3">
      <c r="A1040" s="5" t="s">
        <v>1173</v>
      </c>
      <c r="B1040" s="5" t="s">
        <v>29</v>
      </c>
      <c r="C1040" s="22">
        <v>45296</v>
      </c>
      <c r="D1040" s="22">
        <v>45299</v>
      </c>
      <c r="E1040" s="3">
        <v>0</v>
      </c>
      <c r="F1040" s="3">
        <v>0</v>
      </c>
      <c r="G1040" s="3">
        <v>0</v>
      </c>
      <c r="H1040" s="3">
        <v>0</v>
      </c>
      <c r="I1040" s="3">
        <v>0</v>
      </c>
      <c r="J1040" s="3">
        <v>0</v>
      </c>
      <c r="K1040" s="3">
        <v>0</v>
      </c>
      <c r="L1040" s="3">
        <v>0</v>
      </c>
      <c r="M1040" s="3">
        <v>0</v>
      </c>
      <c r="N1040" s="3">
        <v>0</v>
      </c>
      <c r="O1040" s="3">
        <v>0</v>
      </c>
      <c r="P1040" s="3">
        <v>0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3">
        <v>0</v>
      </c>
      <c r="AC1040" s="3">
        <v>0</v>
      </c>
      <c r="AD1040" s="3">
        <v>0</v>
      </c>
      <c r="AE1040" s="3">
        <v>0</v>
      </c>
      <c r="AF1040" s="3">
        <v>0</v>
      </c>
      <c r="AG1040" s="3">
        <v>0</v>
      </c>
      <c r="AH1040" s="3">
        <v>0</v>
      </c>
      <c r="AI1040" s="3">
        <v>0.02</v>
      </c>
      <c r="AJ1040" s="3">
        <v>0.02</v>
      </c>
      <c r="AK1040" s="3">
        <v>0.02</v>
      </c>
      <c r="AL1040" s="3">
        <v>0.02</v>
      </c>
      <c r="AM1040" s="3">
        <v>0.02</v>
      </c>
      <c r="AN1040" s="3">
        <v>0.02</v>
      </c>
      <c r="AO1040" s="3">
        <v>0.02</v>
      </c>
      <c r="AP1040" s="3">
        <v>0.02</v>
      </c>
    </row>
    <row r="1041" spans="1:42" hidden="1" x14ac:dyDescent="0.3">
      <c r="A1041" s="5" t="s">
        <v>1174</v>
      </c>
      <c r="B1041" s="5" t="s">
        <v>29</v>
      </c>
      <c r="C1041" s="22">
        <v>45274</v>
      </c>
      <c r="D1041" s="22">
        <v>45275</v>
      </c>
      <c r="E1041" s="3">
        <v>0</v>
      </c>
      <c r="F1041" s="3">
        <v>0</v>
      </c>
      <c r="G1041" s="3">
        <v>0</v>
      </c>
      <c r="H1041" s="3">
        <v>0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s="3">
        <v>0</v>
      </c>
      <c r="O1041" s="3">
        <v>0</v>
      </c>
      <c r="P1041" s="3">
        <v>0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3">
        <v>0</v>
      </c>
      <c r="AC1041" s="3">
        <v>0</v>
      </c>
      <c r="AD1041" s="3">
        <v>0</v>
      </c>
      <c r="AE1041" s="3">
        <v>0</v>
      </c>
      <c r="AF1041" s="3">
        <v>0</v>
      </c>
      <c r="AG1041" s="3">
        <v>0</v>
      </c>
      <c r="AH1041" s="3">
        <v>0.01</v>
      </c>
      <c r="AI1041" s="3">
        <v>0.01</v>
      </c>
      <c r="AJ1041" s="3">
        <v>0.01</v>
      </c>
      <c r="AK1041" s="3">
        <v>0.01</v>
      </c>
      <c r="AL1041" s="3">
        <v>0.01</v>
      </c>
      <c r="AM1041" s="3">
        <v>0.01</v>
      </c>
      <c r="AN1041" s="3">
        <v>0.01</v>
      </c>
      <c r="AO1041" s="3">
        <v>0.01</v>
      </c>
      <c r="AP1041" s="3">
        <v>0.01</v>
      </c>
    </row>
    <row r="1042" spans="1:42" hidden="1" x14ac:dyDescent="0.3">
      <c r="A1042" s="5" t="s">
        <v>1175</v>
      </c>
      <c r="B1042" s="5" t="s">
        <v>29</v>
      </c>
      <c r="C1042" s="22">
        <v>45293</v>
      </c>
      <c r="D1042" s="22">
        <v>45293</v>
      </c>
      <c r="E1042" s="3">
        <v>0</v>
      </c>
      <c r="F1042" s="3">
        <v>0</v>
      </c>
      <c r="G1042" s="3">
        <v>0</v>
      </c>
      <c r="H1042" s="3">
        <v>0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  <c r="N1042" s="3">
        <v>0</v>
      </c>
      <c r="O1042" s="3">
        <v>0</v>
      </c>
      <c r="P1042" s="3">
        <v>0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3">
        <v>0</v>
      </c>
      <c r="AC1042" s="3">
        <v>0</v>
      </c>
      <c r="AD1042" s="3">
        <v>0</v>
      </c>
      <c r="AE1042" s="3">
        <v>0</v>
      </c>
      <c r="AF1042" s="3">
        <v>0</v>
      </c>
      <c r="AG1042" s="3">
        <v>0</v>
      </c>
      <c r="AH1042" s="3">
        <v>0</v>
      </c>
      <c r="AI1042" s="3">
        <v>0.01</v>
      </c>
      <c r="AJ1042" s="3">
        <v>0.01</v>
      </c>
      <c r="AK1042" s="3">
        <v>0.01</v>
      </c>
      <c r="AL1042" s="3">
        <v>0.01</v>
      </c>
      <c r="AM1042" s="3">
        <v>0.01</v>
      </c>
      <c r="AN1042" s="3">
        <v>0.01</v>
      </c>
      <c r="AO1042" s="3">
        <v>0.01</v>
      </c>
      <c r="AP1042" s="3">
        <v>0.01</v>
      </c>
    </row>
    <row r="1043" spans="1:42" hidden="1" x14ac:dyDescent="0.3">
      <c r="A1043" s="5" t="s">
        <v>1176</v>
      </c>
      <c r="B1043" s="5" t="s">
        <v>29</v>
      </c>
      <c r="C1043" s="22">
        <v>45293</v>
      </c>
      <c r="D1043" s="22">
        <v>45294</v>
      </c>
      <c r="E1043" s="3">
        <v>0</v>
      </c>
      <c r="F1043" s="3">
        <v>0</v>
      </c>
      <c r="G1043" s="3">
        <v>0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>
        <v>0</v>
      </c>
      <c r="N1043" s="3">
        <v>0</v>
      </c>
      <c r="O1043" s="3">
        <v>0</v>
      </c>
      <c r="P1043" s="3">
        <v>0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0</v>
      </c>
      <c r="AB1043" s="3">
        <v>0</v>
      </c>
      <c r="AC1043" s="3">
        <v>0</v>
      </c>
      <c r="AD1043" s="3">
        <v>0</v>
      </c>
      <c r="AE1043" s="3">
        <v>0</v>
      </c>
      <c r="AF1043" s="3">
        <v>0</v>
      </c>
      <c r="AG1043" s="3">
        <v>0</v>
      </c>
      <c r="AH1043" s="3">
        <v>0</v>
      </c>
      <c r="AI1043" s="3">
        <v>0.01</v>
      </c>
      <c r="AJ1043" s="3">
        <v>0.01</v>
      </c>
      <c r="AK1043" s="3">
        <v>0.01</v>
      </c>
      <c r="AL1043" s="3">
        <v>0.01</v>
      </c>
      <c r="AM1043" s="3">
        <v>0.01</v>
      </c>
      <c r="AN1043" s="3">
        <v>0.01</v>
      </c>
      <c r="AO1043" s="3">
        <v>0.01</v>
      </c>
      <c r="AP1043" s="3">
        <v>0.01</v>
      </c>
    </row>
    <row r="1044" spans="1:42" hidden="1" x14ac:dyDescent="0.3">
      <c r="A1044" s="5" t="s">
        <v>1177</v>
      </c>
      <c r="B1044" s="5" t="s">
        <v>29</v>
      </c>
      <c r="C1044" s="22">
        <v>45294</v>
      </c>
      <c r="D1044" s="22">
        <v>45295</v>
      </c>
      <c r="E1044" s="3">
        <v>0</v>
      </c>
      <c r="F1044" s="3">
        <v>0</v>
      </c>
      <c r="G1044" s="3">
        <v>0</v>
      </c>
      <c r="H1044" s="3">
        <v>0</v>
      </c>
      <c r="I1044" s="3">
        <v>0</v>
      </c>
      <c r="J1044" s="3">
        <v>0</v>
      </c>
      <c r="K1044" s="3">
        <v>0</v>
      </c>
      <c r="L1044" s="3">
        <v>0</v>
      </c>
      <c r="M1044" s="3">
        <v>0</v>
      </c>
      <c r="N1044" s="3">
        <v>0</v>
      </c>
      <c r="O1044" s="3">
        <v>0</v>
      </c>
      <c r="P1044" s="3">
        <v>0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0</v>
      </c>
      <c r="AB1044" s="3">
        <v>0</v>
      </c>
      <c r="AC1044" s="3">
        <v>0</v>
      </c>
      <c r="AD1044" s="3">
        <v>0</v>
      </c>
      <c r="AE1044" s="3">
        <v>0</v>
      </c>
      <c r="AF1044" s="3">
        <v>0</v>
      </c>
      <c r="AG1044" s="3">
        <v>0</v>
      </c>
      <c r="AH1044" s="3">
        <v>0</v>
      </c>
      <c r="AI1044" s="3">
        <v>0.01</v>
      </c>
      <c r="AJ1044" s="3">
        <v>0.01</v>
      </c>
      <c r="AK1044" s="3">
        <v>0.01</v>
      </c>
      <c r="AL1044" s="3">
        <v>0.01</v>
      </c>
      <c r="AM1044" s="3">
        <v>0.01</v>
      </c>
      <c r="AN1044" s="3">
        <v>0.01</v>
      </c>
      <c r="AO1044" s="3">
        <v>0.01</v>
      </c>
      <c r="AP1044" s="3">
        <v>0.01</v>
      </c>
    </row>
    <row r="1045" spans="1:42" hidden="1" x14ac:dyDescent="0.3">
      <c r="A1045" s="5" t="s">
        <v>1178</v>
      </c>
      <c r="B1045" s="5" t="s">
        <v>29</v>
      </c>
      <c r="C1045" s="22">
        <v>45295</v>
      </c>
      <c r="D1045" s="22">
        <v>45296</v>
      </c>
      <c r="E1045" s="3">
        <v>0</v>
      </c>
      <c r="F1045" s="3">
        <v>0</v>
      </c>
      <c r="G1045" s="3">
        <v>0</v>
      </c>
      <c r="H1045" s="3">
        <v>0</v>
      </c>
      <c r="I1045" s="3">
        <v>0</v>
      </c>
      <c r="J1045" s="3">
        <v>0</v>
      </c>
      <c r="K1045" s="3">
        <v>0</v>
      </c>
      <c r="L1045" s="3">
        <v>0</v>
      </c>
      <c r="M1045" s="3">
        <v>0</v>
      </c>
      <c r="N1045" s="3">
        <v>0</v>
      </c>
      <c r="O1045" s="3">
        <v>0</v>
      </c>
      <c r="P1045" s="3">
        <v>0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3">
        <v>0</v>
      </c>
      <c r="AC1045" s="3">
        <v>0</v>
      </c>
      <c r="AD1045" s="3">
        <v>0</v>
      </c>
      <c r="AE1045" s="3">
        <v>0</v>
      </c>
      <c r="AF1045" s="3">
        <v>0</v>
      </c>
      <c r="AG1045" s="3">
        <v>0</v>
      </c>
      <c r="AH1045" s="3">
        <v>0</v>
      </c>
      <c r="AI1045" s="3">
        <v>0.01</v>
      </c>
      <c r="AJ1045" s="3">
        <v>0.01</v>
      </c>
      <c r="AK1045" s="3">
        <v>0.01</v>
      </c>
      <c r="AL1045" s="3">
        <v>0.01</v>
      </c>
      <c r="AM1045" s="3">
        <v>0.01</v>
      </c>
      <c r="AN1045" s="3">
        <v>0.01</v>
      </c>
      <c r="AO1045" s="3">
        <v>0.01</v>
      </c>
      <c r="AP1045" s="3">
        <v>0.01</v>
      </c>
    </row>
    <row r="1046" spans="1:42" hidden="1" x14ac:dyDescent="0.3">
      <c r="A1046" s="5" t="s">
        <v>1179</v>
      </c>
      <c r="B1046" s="5" t="s">
        <v>31</v>
      </c>
      <c r="C1046" s="22">
        <v>45321</v>
      </c>
      <c r="D1046" s="22">
        <v>45322</v>
      </c>
      <c r="E1046" s="3">
        <v>0</v>
      </c>
      <c r="F1046" s="3">
        <v>0</v>
      </c>
      <c r="G1046" s="3">
        <v>0</v>
      </c>
      <c r="H1046" s="3">
        <v>0</v>
      </c>
      <c r="I1046" s="3">
        <v>0</v>
      </c>
      <c r="J1046" s="3">
        <v>0</v>
      </c>
      <c r="K1046" s="3">
        <v>0</v>
      </c>
      <c r="L1046" s="3">
        <v>0</v>
      </c>
      <c r="M1046" s="3">
        <v>0</v>
      </c>
      <c r="N1046" s="3">
        <v>0</v>
      </c>
      <c r="O1046" s="3">
        <v>0</v>
      </c>
      <c r="P1046" s="3">
        <v>0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3">
        <v>0</v>
      </c>
      <c r="AC1046" s="3">
        <v>0</v>
      </c>
      <c r="AD1046" s="3">
        <v>0</v>
      </c>
      <c r="AE1046" s="3">
        <v>0</v>
      </c>
      <c r="AF1046" s="3">
        <v>0</v>
      </c>
      <c r="AG1046" s="3">
        <v>0</v>
      </c>
      <c r="AH1046" s="3">
        <v>0</v>
      </c>
      <c r="AI1046" s="3">
        <v>0.01</v>
      </c>
      <c r="AJ1046" s="3">
        <v>0.01</v>
      </c>
      <c r="AK1046" s="3">
        <v>0.01</v>
      </c>
      <c r="AL1046" s="3">
        <v>0.01</v>
      </c>
      <c r="AM1046" s="3">
        <v>0.01</v>
      </c>
      <c r="AN1046" s="3">
        <v>0.01</v>
      </c>
      <c r="AO1046" s="3">
        <v>0.01</v>
      </c>
      <c r="AP1046" s="3">
        <v>0.01</v>
      </c>
    </row>
    <row r="1047" spans="1:42" hidden="1" x14ac:dyDescent="0.3">
      <c r="A1047" s="15" t="s">
        <v>1180</v>
      </c>
      <c r="B1047" s="15" t="s">
        <v>27</v>
      </c>
      <c r="C1047" s="20">
        <v>45313</v>
      </c>
      <c r="D1047" s="20">
        <v>45351</v>
      </c>
      <c r="E1047" s="8">
        <v>0</v>
      </c>
      <c r="F1047" s="8">
        <v>0</v>
      </c>
      <c r="G1047" s="8">
        <v>0</v>
      </c>
      <c r="H1047" s="8">
        <v>0</v>
      </c>
      <c r="I1047" s="8">
        <v>0</v>
      </c>
      <c r="J1047" s="8">
        <v>0</v>
      </c>
      <c r="K1047" s="8">
        <v>0</v>
      </c>
      <c r="L1047" s="8">
        <v>0</v>
      </c>
      <c r="M1047" s="8">
        <v>0</v>
      </c>
      <c r="N1047" s="8">
        <v>0</v>
      </c>
      <c r="O1047" s="8">
        <v>0</v>
      </c>
      <c r="P1047" s="8">
        <v>0</v>
      </c>
      <c r="Q1047" s="8">
        <v>0</v>
      </c>
      <c r="R1047" s="8">
        <v>0</v>
      </c>
      <c r="S1047" s="8">
        <v>0</v>
      </c>
      <c r="T1047" s="8">
        <v>0</v>
      </c>
      <c r="U1047" s="8">
        <v>0</v>
      </c>
      <c r="V1047" s="8">
        <v>0</v>
      </c>
      <c r="W1047" s="8">
        <v>0</v>
      </c>
      <c r="X1047" s="8">
        <v>0</v>
      </c>
      <c r="Y1047" s="8">
        <v>0</v>
      </c>
      <c r="Z1047" s="8">
        <v>0</v>
      </c>
      <c r="AA1047" s="8">
        <v>0</v>
      </c>
      <c r="AB1047" s="8">
        <v>0</v>
      </c>
      <c r="AC1047" s="8">
        <v>0</v>
      </c>
      <c r="AD1047" s="8">
        <v>0</v>
      </c>
      <c r="AE1047" s="8">
        <v>0</v>
      </c>
      <c r="AF1047" s="8">
        <v>0</v>
      </c>
      <c r="AG1047" s="8">
        <v>0</v>
      </c>
      <c r="AH1047" s="8">
        <v>0</v>
      </c>
      <c r="AI1047" s="8">
        <v>0.24</v>
      </c>
      <c r="AJ1047" s="8">
        <v>0.56000000000000005</v>
      </c>
      <c r="AK1047" s="8">
        <v>0.56000000000000005</v>
      </c>
      <c r="AL1047" s="8">
        <v>0.56000000000000005</v>
      </c>
      <c r="AM1047" s="8">
        <v>0.56000000000000005</v>
      </c>
      <c r="AN1047" s="8">
        <v>0.56000000000000005</v>
      </c>
      <c r="AO1047" s="8">
        <v>0.56000000000000005</v>
      </c>
      <c r="AP1047" s="8">
        <v>0.56000000000000005</v>
      </c>
    </row>
    <row r="1048" spans="1:42" hidden="1" x14ac:dyDescent="0.3">
      <c r="A1048" s="5" t="s">
        <v>1181</v>
      </c>
      <c r="B1048" s="5" t="s">
        <v>27</v>
      </c>
      <c r="C1048" s="22">
        <v>45313</v>
      </c>
      <c r="D1048" s="22">
        <v>45351</v>
      </c>
      <c r="E1048" s="3">
        <v>0</v>
      </c>
      <c r="F1048" s="3">
        <v>0</v>
      </c>
      <c r="G1048" s="3">
        <v>0</v>
      </c>
      <c r="H1048" s="3">
        <v>0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  <c r="N1048" s="3">
        <v>0</v>
      </c>
      <c r="O1048" s="3">
        <v>0</v>
      </c>
      <c r="P1048" s="3">
        <v>0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  <c r="AB1048" s="3">
        <v>0</v>
      </c>
      <c r="AC1048" s="3">
        <v>0</v>
      </c>
      <c r="AD1048" s="3">
        <v>0</v>
      </c>
      <c r="AE1048" s="3">
        <v>0</v>
      </c>
      <c r="AF1048" s="3">
        <v>0</v>
      </c>
      <c r="AG1048" s="3">
        <v>0</v>
      </c>
      <c r="AH1048" s="3">
        <v>0</v>
      </c>
      <c r="AI1048" s="3">
        <v>0.08</v>
      </c>
      <c r="AJ1048" s="3">
        <v>0.28000000000000003</v>
      </c>
      <c r="AK1048" s="3">
        <v>0.28000000000000003</v>
      </c>
      <c r="AL1048" s="3">
        <v>0.28000000000000003</v>
      </c>
      <c r="AM1048" s="3">
        <v>0.28000000000000003</v>
      </c>
      <c r="AN1048" s="3">
        <v>0.28000000000000003</v>
      </c>
      <c r="AO1048" s="3">
        <v>0.28000000000000003</v>
      </c>
      <c r="AP1048" s="3">
        <v>0.28000000000000003</v>
      </c>
    </row>
    <row r="1049" spans="1:42" hidden="1" x14ac:dyDescent="0.3">
      <c r="A1049" s="4" t="s">
        <v>1182</v>
      </c>
      <c r="B1049" s="4" t="s">
        <v>17</v>
      </c>
      <c r="C1049" s="21">
        <v>45313</v>
      </c>
      <c r="D1049" s="21">
        <v>45330</v>
      </c>
      <c r="E1049" s="2">
        <v>0</v>
      </c>
      <c r="F1049" s="2">
        <v>0</v>
      </c>
      <c r="G1049" s="2">
        <v>0</v>
      </c>
      <c r="H1049" s="2">
        <v>0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0.16</v>
      </c>
      <c r="AJ1049" s="2">
        <v>0.28000000000000003</v>
      </c>
      <c r="AK1049" s="2">
        <v>0.28000000000000003</v>
      </c>
      <c r="AL1049" s="2">
        <v>0.28000000000000003</v>
      </c>
      <c r="AM1049" s="2">
        <v>0.28000000000000003</v>
      </c>
      <c r="AN1049" s="2">
        <v>0.28000000000000003</v>
      </c>
      <c r="AO1049" s="2">
        <v>0.28000000000000003</v>
      </c>
      <c r="AP1049" s="2">
        <v>0.28000000000000003</v>
      </c>
    </row>
    <row r="1050" spans="1:42" hidden="1" x14ac:dyDescent="0.3">
      <c r="A1050" s="5" t="s">
        <v>1183</v>
      </c>
      <c r="B1050" s="5" t="s">
        <v>17</v>
      </c>
      <c r="C1050" s="22">
        <v>45313</v>
      </c>
      <c r="D1050" s="22">
        <v>45330</v>
      </c>
      <c r="E1050" s="3">
        <v>0</v>
      </c>
      <c r="F1050" s="3">
        <v>0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3">
        <v>0</v>
      </c>
      <c r="AC1050" s="3">
        <v>0</v>
      </c>
      <c r="AD1050" s="3">
        <v>0</v>
      </c>
      <c r="AE1050" s="3">
        <v>0</v>
      </c>
      <c r="AF1050" s="3">
        <v>0</v>
      </c>
      <c r="AG1050" s="3">
        <v>0</v>
      </c>
      <c r="AH1050" s="3">
        <v>0</v>
      </c>
      <c r="AI1050" s="3">
        <v>0.16</v>
      </c>
      <c r="AJ1050" s="3">
        <v>0.28000000000000003</v>
      </c>
      <c r="AK1050" s="3">
        <v>0.28000000000000003</v>
      </c>
      <c r="AL1050" s="3">
        <v>0.28000000000000003</v>
      </c>
      <c r="AM1050" s="3">
        <v>0.28000000000000003</v>
      </c>
      <c r="AN1050" s="3">
        <v>0.28000000000000003</v>
      </c>
      <c r="AO1050" s="3">
        <v>0.28000000000000003</v>
      </c>
      <c r="AP1050" s="3">
        <v>0.28000000000000003</v>
      </c>
    </row>
    <row r="1051" spans="1:42" hidden="1" x14ac:dyDescent="0.3">
      <c r="A1051" s="15" t="s">
        <v>1184</v>
      </c>
      <c r="B1051" s="15" t="s">
        <v>75</v>
      </c>
      <c r="C1051" s="20">
        <v>45313</v>
      </c>
      <c r="D1051" s="20">
        <v>45345</v>
      </c>
      <c r="E1051" s="8">
        <v>0</v>
      </c>
      <c r="F1051" s="8">
        <v>0</v>
      </c>
      <c r="G1051" s="8">
        <v>0</v>
      </c>
      <c r="H1051" s="8">
        <v>0</v>
      </c>
      <c r="I1051" s="8">
        <v>0</v>
      </c>
      <c r="J1051" s="8">
        <v>0</v>
      </c>
      <c r="K1051" s="8">
        <v>0</v>
      </c>
      <c r="L1051" s="8">
        <v>0</v>
      </c>
      <c r="M1051" s="8">
        <v>0</v>
      </c>
      <c r="N1051" s="8">
        <v>0</v>
      </c>
      <c r="O1051" s="8">
        <v>0</v>
      </c>
      <c r="P1051" s="8">
        <v>0</v>
      </c>
      <c r="Q1051" s="8">
        <v>0</v>
      </c>
      <c r="R1051" s="8">
        <v>0</v>
      </c>
      <c r="S1051" s="8">
        <v>0</v>
      </c>
      <c r="T1051" s="8">
        <v>0</v>
      </c>
      <c r="U1051" s="8">
        <v>0</v>
      </c>
      <c r="V1051" s="8">
        <v>0</v>
      </c>
      <c r="W1051" s="8">
        <v>0</v>
      </c>
      <c r="X1051" s="8">
        <v>0</v>
      </c>
      <c r="Y1051" s="8">
        <v>0</v>
      </c>
      <c r="Z1051" s="8">
        <v>0</v>
      </c>
      <c r="AA1051" s="8">
        <v>0</v>
      </c>
      <c r="AB1051" s="8">
        <v>0</v>
      </c>
      <c r="AC1051" s="8">
        <v>0</v>
      </c>
      <c r="AD1051" s="8">
        <v>0</v>
      </c>
      <c r="AE1051" s="8">
        <v>0</v>
      </c>
      <c r="AF1051" s="8">
        <v>0</v>
      </c>
      <c r="AG1051" s="8">
        <v>0</v>
      </c>
      <c r="AH1051" s="8">
        <v>0</v>
      </c>
      <c r="AI1051" s="8">
        <v>0.21</v>
      </c>
      <c r="AJ1051" s="8">
        <v>0.52</v>
      </c>
      <c r="AK1051" s="8">
        <v>0.52</v>
      </c>
      <c r="AL1051" s="8">
        <v>0.52</v>
      </c>
      <c r="AM1051" s="8">
        <v>0.52</v>
      </c>
      <c r="AN1051" s="8">
        <v>0.52</v>
      </c>
      <c r="AO1051" s="8">
        <v>0.52</v>
      </c>
      <c r="AP1051" s="8">
        <v>0.52</v>
      </c>
    </row>
    <row r="1052" spans="1:42" hidden="1" x14ac:dyDescent="0.3">
      <c r="A1052" s="5" t="s">
        <v>1185</v>
      </c>
      <c r="B1052" s="5" t="s">
        <v>75</v>
      </c>
      <c r="C1052" s="22">
        <v>45313</v>
      </c>
      <c r="D1052" s="22">
        <v>45345</v>
      </c>
      <c r="E1052" s="3">
        <v>0</v>
      </c>
      <c r="F1052" s="3">
        <v>0</v>
      </c>
      <c r="G1052" s="3">
        <v>0</v>
      </c>
      <c r="H1052" s="3">
        <v>0</v>
      </c>
      <c r="I1052" s="3">
        <v>0</v>
      </c>
      <c r="J1052" s="3">
        <v>0</v>
      </c>
      <c r="K1052" s="3">
        <v>0</v>
      </c>
      <c r="L1052" s="3">
        <v>0</v>
      </c>
      <c r="M1052" s="3">
        <v>0</v>
      </c>
      <c r="N1052" s="3">
        <v>0</v>
      </c>
      <c r="O1052" s="3">
        <v>0</v>
      </c>
      <c r="P1052" s="3">
        <v>0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3">
        <v>0</v>
      </c>
      <c r="AC1052" s="3">
        <v>0</v>
      </c>
      <c r="AD1052" s="3">
        <v>0</v>
      </c>
      <c r="AE1052" s="3">
        <v>0</v>
      </c>
      <c r="AF1052" s="3">
        <v>0</v>
      </c>
      <c r="AG1052" s="3">
        <v>0</v>
      </c>
      <c r="AH1052" s="3">
        <v>0</v>
      </c>
      <c r="AI1052" s="3">
        <v>0.13</v>
      </c>
      <c r="AJ1052" s="3">
        <v>0.37</v>
      </c>
      <c r="AK1052" s="3">
        <v>0.37</v>
      </c>
      <c r="AL1052" s="3">
        <v>0.37</v>
      </c>
      <c r="AM1052" s="3">
        <v>0.37</v>
      </c>
      <c r="AN1052" s="3">
        <v>0.37</v>
      </c>
      <c r="AO1052" s="3">
        <v>0.37</v>
      </c>
      <c r="AP1052" s="3">
        <v>0.37</v>
      </c>
    </row>
    <row r="1053" spans="1:42" hidden="1" x14ac:dyDescent="0.3">
      <c r="A1053" s="4" t="s">
        <v>1186</v>
      </c>
      <c r="B1053" s="4" t="s">
        <v>17</v>
      </c>
      <c r="C1053" s="21">
        <v>45313</v>
      </c>
      <c r="D1053" s="21">
        <v>45330</v>
      </c>
      <c r="E1053" s="2">
        <v>0</v>
      </c>
      <c r="F1053" s="2">
        <v>0</v>
      </c>
      <c r="G1053" s="2">
        <v>0</v>
      </c>
      <c r="H1053" s="2">
        <v>0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0.08</v>
      </c>
      <c r="AJ1053" s="2">
        <v>0.14000000000000001</v>
      </c>
      <c r="AK1053" s="2">
        <v>0.14000000000000001</v>
      </c>
      <c r="AL1053" s="2">
        <v>0.14000000000000001</v>
      </c>
      <c r="AM1053" s="2">
        <v>0.14000000000000001</v>
      </c>
      <c r="AN1053" s="2">
        <v>0.14000000000000001</v>
      </c>
      <c r="AO1053" s="2">
        <v>0.14000000000000001</v>
      </c>
      <c r="AP1053" s="2">
        <v>0.14000000000000001</v>
      </c>
    </row>
    <row r="1054" spans="1:42" hidden="1" x14ac:dyDescent="0.3">
      <c r="A1054" s="5" t="s">
        <v>1187</v>
      </c>
      <c r="B1054" s="5" t="s">
        <v>17</v>
      </c>
      <c r="C1054" s="22">
        <v>45313</v>
      </c>
      <c r="D1054" s="22">
        <v>45330</v>
      </c>
      <c r="E1054" s="3">
        <v>0</v>
      </c>
      <c r="F1054" s="3">
        <v>0</v>
      </c>
      <c r="G1054" s="3">
        <v>0</v>
      </c>
      <c r="H1054" s="3">
        <v>0</v>
      </c>
      <c r="I1054" s="3">
        <v>0</v>
      </c>
      <c r="J1054" s="3">
        <v>0</v>
      </c>
      <c r="K1054" s="3">
        <v>0</v>
      </c>
      <c r="L1054" s="3">
        <v>0</v>
      </c>
      <c r="M1054" s="3">
        <v>0</v>
      </c>
      <c r="N1054" s="3">
        <v>0</v>
      </c>
      <c r="O1054" s="3">
        <v>0</v>
      </c>
      <c r="P1054" s="3">
        <v>0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3">
        <v>0</v>
      </c>
      <c r="AC1054" s="3">
        <v>0</v>
      </c>
      <c r="AD1054" s="3">
        <v>0</v>
      </c>
      <c r="AE1054" s="3">
        <v>0</v>
      </c>
      <c r="AF1054" s="3">
        <v>0</v>
      </c>
      <c r="AG1054" s="3">
        <v>0</v>
      </c>
      <c r="AH1054" s="3">
        <v>0</v>
      </c>
      <c r="AI1054" s="3">
        <v>0.08</v>
      </c>
      <c r="AJ1054" s="3">
        <v>0.14000000000000001</v>
      </c>
      <c r="AK1054" s="3">
        <v>0.14000000000000001</v>
      </c>
      <c r="AL1054" s="3">
        <v>0.14000000000000001</v>
      </c>
      <c r="AM1054" s="3">
        <v>0.14000000000000001</v>
      </c>
      <c r="AN1054" s="3">
        <v>0.14000000000000001</v>
      </c>
      <c r="AO1054" s="3">
        <v>0.14000000000000001</v>
      </c>
      <c r="AP1054" s="3">
        <v>0.14000000000000001</v>
      </c>
    </row>
    <row r="1055" spans="1:42" hidden="1" x14ac:dyDescent="0.3">
      <c r="A1055" s="15" t="s">
        <v>1188</v>
      </c>
      <c r="B1055" s="15" t="s">
        <v>29</v>
      </c>
      <c r="C1055" s="20">
        <v>45331</v>
      </c>
      <c r="D1055" s="20">
        <v>45331</v>
      </c>
      <c r="E1055" s="2">
        <v>0</v>
      </c>
      <c r="F1055" s="2">
        <v>0</v>
      </c>
      <c r="G1055" s="2">
        <v>0</v>
      </c>
      <c r="H1055" s="2">
        <v>0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>
        <v>0</v>
      </c>
      <c r="AK1055" s="2">
        <v>0</v>
      </c>
      <c r="AL1055" s="2">
        <v>0</v>
      </c>
      <c r="AM1055" s="2">
        <v>0</v>
      </c>
      <c r="AN1055" s="2">
        <v>0</v>
      </c>
      <c r="AO1055" s="2">
        <v>0</v>
      </c>
      <c r="AP1055" s="2">
        <v>0</v>
      </c>
    </row>
    <row r="1056" spans="1:42" hidden="1" x14ac:dyDescent="0.3">
      <c r="A1056" s="5" t="s">
        <v>1189</v>
      </c>
      <c r="B1056" s="5" t="s">
        <v>29</v>
      </c>
      <c r="C1056" s="22">
        <v>45331</v>
      </c>
      <c r="D1056" s="22">
        <v>45331</v>
      </c>
      <c r="E1056" s="3">
        <v>0</v>
      </c>
      <c r="F1056" s="3">
        <v>0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3">
        <v>0</v>
      </c>
      <c r="AC1056" s="3">
        <v>0</v>
      </c>
      <c r="AD1056" s="3">
        <v>0</v>
      </c>
      <c r="AE1056" s="3">
        <v>0</v>
      </c>
      <c r="AF1056" s="3">
        <v>0</v>
      </c>
      <c r="AG1056" s="3">
        <v>0</v>
      </c>
      <c r="AH1056" s="3">
        <v>0</v>
      </c>
      <c r="AI1056" s="3">
        <v>0</v>
      </c>
      <c r="AJ1056" s="3">
        <v>0</v>
      </c>
      <c r="AK1056" s="3">
        <v>0</v>
      </c>
      <c r="AL1056" s="3">
        <v>0</v>
      </c>
      <c r="AM1056" s="3">
        <v>0</v>
      </c>
      <c r="AN1056" s="3">
        <v>0</v>
      </c>
      <c r="AO1056" s="3">
        <v>0</v>
      </c>
      <c r="AP1056" s="3">
        <v>0</v>
      </c>
    </row>
    <row r="1057" spans="1:42" hidden="1" x14ac:dyDescent="0.3">
      <c r="A1057" s="14" t="s">
        <v>1190</v>
      </c>
      <c r="B1057" s="14" t="s">
        <v>143</v>
      </c>
      <c r="C1057" s="19">
        <v>45411</v>
      </c>
      <c r="D1057" s="19">
        <v>45504</v>
      </c>
      <c r="E1057" s="7">
        <v>0</v>
      </c>
      <c r="F1057" s="7">
        <v>0</v>
      </c>
      <c r="G1057" s="7">
        <v>0</v>
      </c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7">
        <v>0</v>
      </c>
      <c r="U1057" s="7">
        <v>0</v>
      </c>
      <c r="V1057" s="7">
        <v>0</v>
      </c>
      <c r="W1057" s="7">
        <v>0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7">
        <v>0</v>
      </c>
      <c r="AK1057" s="7">
        <v>0</v>
      </c>
      <c r="AL1057" s="7">
        <v>0.04</v>
      </c>
      <c r="AM1057" s="7">
        <v>0.61</v>
      </c>
      <c r="AN1057" s="7">
        <v>1.1599999999999999</v>
      </c>
      <c r="AO1057" s="7">
        <v>1.42</v>
      </c>
      <c r="AP1057" s="7">
        <v>1.42</v>
      </c>
    </row>
    <row r="1058" spans="1:42" hidden="1" x14ac:dyDescent="0.3">
      <c r="A1058" s="15" t="s">
        <v>1191</v>
      </c>
      <c r="B1058" s="15" t="s">
        <v>11</v>
      </c>
      <c r="C1058" s="20">
        <v>45411</v>
      </c>
      <c r="D1058" s="20">
        <v>45436</v>
      </c>
      <c r="E1058" s="8">
        <v>0</v>
      </c>
      <c r="F1058" s="8">
        <v>0</v>
      </c>
      <c r="G1058" s="8">
        <v>0</v>
      </c>
      <c r="H1058" s="8">
        <v>0</v>
      </c>
      <c r="I1058" s="8">
        <v>0</v>
      </c>
      <c r="J1058" s="8">
        <v>0</v>
      </c>
      <c r="K1058" s="8">
        <v>0</v>
      </c>
      <c r="L1058" s="8">
        <v>0</v>
      </c>
      <c r="M1058" s="8">
        <v>0</v>
      </c>
      <c r="N1058" s="8">
        <v>0</v>
      </c>
      <c r="O1058" s="8">
        <v>0</v>
      </c>
      <c r="P1058" s="8">
        <v>0</v>
      </c>
      <c r="Q1058" s="8">
        <v>0</v>
      </c>
      <c r="R1058" s="8">
        <v>0</v>
      </c>
      <c r="S1058" s="8">
        <v>0</v>
      </c>
      <c r="T1058" s="8">
        <v>0</v>
      </c>
      <c r="U1058" s="8">
        <v>0</v>
      </c>
      <c r="V1058" s="8">
        <v>0</v>
      </c>
      <c r="W1058" s="8">
        <v>0</v>
      </c>
      <c r="X1058" s="8">
        <v>0</v>
      </c>
      <c r="Y1058" s="8">
        <v>0</v>
      </c>
      <c r="Z1058" s="8">
        <v>0</v>
      </c>
      <c r="AA1058" s="8">
        <v>0</v>
      </c>
      <c r="AB1058" s="8">
        <v>0</v>
      </c>
      <c r="AC1058" s="8">
        <v>0</v>
      </c>
      <c r="AD1058" s="8">
        <v>0</v>
      </c>
      <c r="AE1058" s="8">
        <v>0</v>
      </c>
      <c r="AF1058" s="8">
        <v>0</v>
      </c>
      <c r="AG1058" s="8">
        <v>0</v>
      </c>
      <c r="AH1058" s="8">
        <v>0</v>
      </c>
      <c r="AI1058" s="8">
        <v>0</v>
      </c>
      <c r="AJ1058" s="8">
        <v>0</v>
      </c>
      <c r="AK1058" s="8">
        <v>0</v>
      </c>
      <c r="AL1058" s="8">
        <v>0.04</v>
      </c>
      <c r="AM1058" s="8">
        <v>0.3</v>
      </c>
      <c r="AN1058" s="8">
        <v>0.3</v>
      </c>
      <c r="AO1058" s="8">
        <v>0.3</v>
      </c>
      <c r="AP1058" s="8">
        <v>0.3</v>
      </c>
    </row>
    <row r="1059" spans="1:42" hidden="1" x14ac:dyDescent="0.3">
      <c r="A1059" s="5" t="s">
        <v>1192</v>
      </c>
      <c r="B1059" s="5" t="s">
        <v>10</v>
      </c>
      <c r="C1059" s="22">
        <v>45411</v>
      </c>
      <c r="D1059" s="22">
        <v>45426</v>
      </c>
      <c r="E1059" s="3">
        <v>0</v>
      </c>
      <c r="F1059" s="3">
        <v>0</v>
      </c>
      <c r="G1059" s="3">
        <v>0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s="3">
        <v>0</v>
      </c>
      <c r="O1059" s="3">
        <v>0</v>
      </c>
      <c r="P1059" s="3">
        <v>0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3">
        <v>0</v>
      </c>
      <c r="AC1059" s="3">
        <v>0</v>
      </c>
      <c r="AD1059" s="3">
        <v>0</v>
      </c>
      <c r="AE1059" s="3">
        <v>0</v>
      </c>
      <c r="AF1059" s="3">
        <v>0</v>
      </c>
      <c r="AG1059" s="3">
        <v>0</v>
      </c>
      <c r="AH1059" s="3">
        <v>0</v>
      </c>
      <c r="AI1059" s="3">
        <v>0</v>
      </c>
      <c r="AJ1059" s="3">
        <v>0</v>
      </c>
      <c r="AK1059" s="3">
        <v>0</v>
      </c>
      <c r="AL1059" s="3">
        <v>0.04</v>
      </c>
      <c r="AM1059" s="3">
        <v>0.19</v>
      </c>
      <c r="AN1059" s="3">
        <v>0.19</v>
      </c>
      <c r="AO1059" s="3">
        <v>0.19</v>
      </c>
      <c r="AP1059" s="3">
        <v>0.19</v>
      </c>
    </row>
    <row r="1060" spans="1:42" hidden="1" x14ac:dyDescent="0.3">
      <c r="A1060" s="5" t="s">
        <v>1193</v>
      </c>
      <c r="B1060" s="5" t="s">
        <v>33</v>
      </c>
      <c r="C1060" s="22">
        <v>45426</v>
      </c>
      <c r="D1060" s="22">
        <v>45436</v>
      </c>
      <c r="E1060" s="3">
        <v>0</v>
      </c>
      <c r="F1060" s="3">
        <v>0</v>
      </c>
      <c r="G1060" s="3">
        <v>0</v>
      </c>
      <c r="H1060" s="3">
        <v>0</v>
      </c>
      <c r="I1060" s="3">
        <v>0</v>
      </c>
      <c r="J1060" s="3">
        <v>0</v>
      </c>
      <c r="K1060" s="3">
        <v>0</v>
      </c>
      <c r="L1060" s="3">
        <v>0</v>
      </c>
      <c r="M1060" s="3">
        <v>0</v>
      </c>
      <c r="N1060" s="3">
        <v>0</v>
      </c>
      <c r="O1060" s="3">
        <v>0</v>
      </c>
      <c r="P1060" s="3">
        <v>0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3">
        <v>0</v>
      </c>
      <c r="AC1060" s="3">
        <v>0</v>
      </c>
      <c r="AD1060" s="3">
        <v>0</v>
      </c>
      <c r="AE1060" s="3">
        <v>0</v>
      </c>
      <c r="AF1060" s="3">
        <v>0</v>
      </c>
      <c r="AG1060" s="3">
        <v>0</v>
      </c>
      <c r="AH1060" s="3">
        <v>0</v>
      </c>
      <c r="AI1060" s="3">
        <v>0</v>
      </c>
      <c r="AJ1060" s="3">
        <v>0</v>
      </c>
      <c r="AK1060" s="3">
        <v>0</v>
      </c>
      <c r="AL1060" s="3">
        <v>0</v>
      </c>
      <c r="AM1060" s="3">
        <v>0.11</v>
      </c>
      <c r="AN1060" s="3">
        <v>0.11</v>
      </c>
      <c r="AO1060" s="3">
        <v>0.11</v>
      </c>
      <c r="AP1060" s="3">
        <v>0.11</v>
      </c>
    </row>
    <row r="1061" spans="1:42" hidden="1" x14ac:dyDescent="0.3">
      <c r="A1061" s="15" t="s">
        <v>1194</v>
      </c>
      <c r="B1061" s="15" t="s">
        <v>115</v>
      </c>
      <c r="C1061" s="20">
        <v>45436</v>
      </c>
      <c r="D1061" s="20">
        <v>45463</v>
      </c>
      <c r="E1061" s="8">
        <v>0</v>
      </c>
      <c r="F1061" s="8">
        <v>0</v>
      </c>
      <c r="G1061" s="8">
        <v>0</v>
      </c>
      <c r="H1061" s="8">
        <v>0</v>
      </c>
      <c r="I1061" s="8">
        <v>0</v>
      </c>
      <c r="J1061" s="8">
        <v>0</v>
      </c>
      <c r="K1061" s="8">
        <v>0</v>
      </c>
      <c r="L1061" s="8">
        <v>0</v>
      </c>
      <c r="M1061" s="8">
        <v>0</v>
      </c>
      <c r="N1061" s="8">
        <v>0</v>
      </c>
      <c r="O1061" s="8">
        <v>0</v>
      </c>
      <c r="P1061" s="8">
        <v>0</v>
      </c>
      <c r="Q1061" s="8">
        <v>0</v>
      </c>
      <c r="R1061" s="8">
        <v>0</v>
      </c>
      <c r="S1061" s="8">
        <v>0</v>
      </c>
      <c r="T1061" s="8">
        <v>0</v>
      </c>
      <c r="U1061" s="8">
        <v>0</v>
      </c>
      <c r="V1061" s="8">
        <v>0</v>
      </c>
      <c r="W1061" s="8">
        <v>0</v>
      </c>
      <c r="X1061" s="8">
        <v>0</v>
      </c>
      <c r="Y1061" s="8">
        <v>0</v>
      </c>
      <c r="Z1061" s="8">
        <v>0</v>
      </c>
      <c r="AA1061" s="8">
        <v>0</v>
      </c>
      <c r="AB1061" s="8">
        <v>0</v>
      </c>
      <c r="AC1061" s="8">
        <v>0</v>
      </c>
      <c r="AD1061" s="8">
        <v>0</v>
      </c>
      <c r="AE1061" s="8">
        <v>0</v>
      </c>
      <c r="AF1061" s="8">
        <v>0</v>
      </c>
      <c r="AG1061" s="8">
        <v>0</v>
      </c>
      <c r="AH1061" s="8">
        <v>0</v>
      </c>
      <c r="AI1061" s="8">
        <v>0</v>
      </c>
      <c r="AJ1061" s="8">
        <v>0</v>
      </c>
      <c r="AK1061" s="8">
        <v>0</v>
      </c>
      <c r="AL1061" s="8">
        <v>0</v>
      </c>
      <c r="AM1061" s="8">
        <v>0.31</v>
      </c>
      <c r="AN1061" s="8">
        <v>0.51</v>
      </c>
      <c r="AO1061" s="8">
        <v>0.51</v>
      </c>
      <c r="AP1061" s="8">
        <v>0.51</v>
      </c>
    </row>
    <row r="1062" spans="1:42" hidden="1" x14ac:dyDescent="0.3">
      <c r="A1062" s="5" t="s">
        <v>1195</v>
      </c>
      <c r="B1062" s="5" t="s">
        <v>16</v>
      </c>
      <c r="C1062" s="22">
        <v>45436</v>
      </c>
      <c r="D1062" s="22">
        <v>45441</v>
      </c>
      <c r="E1062" s="3">
        <v>0</v>
      </c>
      <c r="F1062" s="3">
        <v>0</v>
      </c>
      <c r="G1062" s="3">
        <v>0</v>
      </c>
      <c r="H1062" s="3">
        <v>0</v>
      </c>
      <c r="I1062" s="3">
        <v>0</v>
      </c>
      <c r="J1062" s="3">
        <v>0</v>
      </c>
      <c r="K1062" s="3">
        <v>0</v>
      </c>
      <c r="L1062" s="3">
        <v>0</v>
      </c>
      <c r="M1062" s="3">
        <v>0</v>
      </c>
      <c r="N1062" s="3">
        <v>0</v>
      </c>
      <c r="O1062" s="3">
        <v>0</v>
      </c>
      <c r="P1062" s="3">
        <v>0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3">
        <v>0</v>
      </c>
      <c r="AC1062" s="3">
        <v>0</v>
      </c>
      <c r="AD1062" s="3">
        <v>0</v>
      </c>
      <c r="AE1062" s="3">
        <v>0</v>
      </c>
      <c r="AF1062" s="3">
        <v>0</v>
      </c>
      <c r="AG1062" s="3">
        <v>0</v>
      </c>
      <c r="AH1062" s="3">
        <v>0</v>
      </c>
      <c r="AI1062" s="3">
        <v>0</v>
      </c>
      <c r="AJ1062" s="3">
        <v>0</v>
      </c>
      <c r="AK1062" s="3">
        <v>0</v>
      </c>
      <c r="AL1062" s="3">
        <v>0</v>
      </c>
      <c r="AM1062" s="3">
        <v>0.25</v>
      </c>
      <c r="AN1062" s="3">
        <v>0.25</v>
      </c>
      <c r="AO1062" s="3">
        <v>0.25</v>
      </c>
      <c r="AP1062" s="3">
        <v>0.25</v>
      </c>
    </row>
    <row r="1063" spans="1:42" hidden="1" x14ac:dyDescent="0.3">
      <c r="A1063" s="5" t="s">
        <v>1196</v>
      </c>
      <c r="B1063" s="5" t="s">
        <v>29</v>
      </c>
      <c r="C1063" s="22">
        <v>45442</v>
      </c>
      <c r="D1063" s="22">
        <v>45442</v>
      </c>
      <c r="E1063" s="3">
        <v>0</v>
      </c>
      <c r="F1063" s="3">
        <v>0</v>
      </c>
      <c r="G1063" s="3">
        <v>0</v>
      </c>
      <c r="H1063" s="3">
        <v>0</v>
      </c>
      <c r="I1063" s="3">
        <v>0</v>
      </c>
      <c r="J1063" s="3">
        <v>0</v>
      </c>
      <c r="K1063" s="3">
        <v>0</v>
      </c>
      <c r="L1063" s="3">
        <v>0</v>
      </c>
      <c r="M1063" s="3">
        <v>0</v>
      </c>
      <c r="N1063" s="3">
        <v>0</v>
      </c>
      <c r="O1063" s="3">
        <v>0</v>
      </c>
      <c r="P1063" s="3">
        <v>0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3">
        <v>0</v>
      </c>
      <c r="AC1063" s="3">
        <v>0</v>
      </c>
      <c r="AD1063" s="3">
        <v>0</v>
      </c>
      <c r="AE1063" s="3">
        <v>0</v>
      </c>
      <c r="AF1063" s="3">
        <v>0</v>
      </c>
      <c r="AG1063" s="3">
        <v>0</v>
      </c>
      <c r="AH1063" s="3">
        <v>0</v>
      </c>
      <c r="AI1063" s="3">
        <v>0</v>
      </c>
      <c r="AJ1063" s="3">
        <v>0</v>
      </c>
      <c r="AK1063" s="3">
        <v>0</v>
      </c>
      <c r="AL1063" s="3">
        <v>0</v>
      </c>
      <c r="AM1063" s="3">
        <v>0.06</v>
      </c>
      <c r="AN1063" s="3">
        <v>0.06</v>
      </c>
      <c r="AO1063" s="3">
        <v>0.06</v>
      </c>
      <c r="AP1063" s="3">
        <v>0.06</v>
      </c>
    </row>
    <row r="1064" spans="1:42" hidden="1" x14ac:dyDescent="0.3">
      <c r="A1064" s="5" t="s">
        <v>1197</v>
      </c>
      <c r="B1064" s="5" t="s">
        <v>16</v>
      </c>
      <c r="C1064" s="22">
        <v>45443</v>
      </c>
      <c r="D1064" s="22">
        <v>45448</v>
      </c>
      <c r="E1064" s="3">
        <v>0</v>
      </c>
      <c r="F1064" s="3">
        <v>0</v>
      </c>
      <c r="G1064" s="3">
        <v>0</v>
      </c>
      <c r="H1064" s="3">
        <v>0</v>
      </c>
      <c r="I1064" s="3">
        <v>0</v>
      </c>
      <c r="J1064" s="3">
        <v>0</v>
      </c>
      <c r="K1064" s="3">
        <v>0</v>
      </c>
      <c r="L1064" s="3">
        <v>0</v>
      </c>
      <c r="M1064" s="3">
        <v>0</v>
      </c>
      <c r="N1064" s="3">
        <v>0</v>
      </c>
      <c r="O1064" s="3">
        <v>0</v>
      </c>
      <c r="P1064" s="3">
        <v>0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3">
        <v>0</v>
      </c>
      <c r="AC1064" s="3">
        <v>0</v>
      </c>
      <c r="AD1064" s="3">
        <v>0</v>
      </c>
      <c r="AE1064" s="3">
        <v>0</v>
      </c>
      <c r="AF1064" s="3">
        <v>0</v>
      </c>
      <c r="AG1064" s="3">
        <v>0</v>
      </c>
      <c r="AH1064" s="3">
        <v>0</v>
      </c>
      <c r="AI1064" s="3">
        <v>0</v>
      </c>
      <c r="AJ1064" s="3">
        <v>0</v>
      </c>
      <c r="AK1064" s="3">
        <v>0</v>
      </c>
      <c r="AL1064" s="3">
        <v>0</v>
      </c>
      <c r="AM1064" s="3">
        <v>0</v>
      </c>
      <c r="AN1064" s="3">
        <v>0.01</v>
      </c>
      <c r="AO1064" s="3">
        <v>0.01</v>
      </c>
      <c r="AP1064" s="3">
        <v>0.01</v>
      </c>
    </row>
    <row r="1065" spans="1:42" hidden="1" x14ac:dyDescent="0.3">
      <c r="A1065" s="5" t="s">
        <v>1198</v>
      </c>
      <c r="B1065" s="5" t="s">
        <v>16</v>
      </c>
      <c r="C1065" s="22">
        <v>45446</v>
      </c>
      <c r="D1065" s="22">
        <v>45450</v>
      </c>
      <c r="E1065" s="3">
        <v>0</v>
      </c>
      <c r="F1065" s="3">
        <v>0</v>
      </c>
      <c r="G1065" s="3">
        <v>0</v>
      </c>
      <c r="H1065" s="3">
        <v>0</v>
      </c>
      <c r="I1065" s="3">
        <v>0</v>
      </c>
      <c r="J1065" s="3">
        <v>0</v>
      </c>
      <c r="K1065" s="3">
        <v>0</v>
      </c>
      <c r="L1065" s="3">
        <v>0</v>
      </c>
      <c r="M1065" s="3">
        <v>0</v>
      </c>
      <c r="N1065" s="3">
        <v>0</v>
      </c>
      <c r="O1065" s="3">
        <v>0</v>
      </c>
      <c r="P1065" s="3">
        <v>0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3">
        <v>0</v>
      </c>
      <c r="AC1065" s="3">
        <v>0</v>
      </c>
      <c r="AD1065" s="3">
        <v>0</v>
      </c>
      <c r="AE1065" s="3">
        <v>0</v>
      </c>
      <c r="AF1065" s="3">
        <v>0</v>
      </c>
      <c r="AG1065" s="3">
        <v>0</v>
      </c>
      <c r="AH1065" s="3">
        <v>0</v>
      </c>
      <c r="AI1065" s="3">
        <v>0</v>
      </c>
      <c r="AJ1065" s="3">
        <v>0</v>
      </c>
      <c r="AK1065" s="3">
        <v>0</v>
      </c>
      <c r="AL1065" s="3">
        <v>0</v>
      </c>
      <c r="AM1065" s="3">
        <v>0</v>
      </c>
      <c r="AN1065" s="3">
        <v>0.04</v>
      </c>
      <c r="AO1065" s="3">
        <v>0.04</v>
      </c>
      <c r="AP1065" s="3">
        <v>0.04</v>
      </c>
    </row>
    <row r="1066" spans="1:42" hidden="1" x14ac:dyDescent="0.3">
      <c r="A1066" s="5" t="s">
        <v>1199</v>
      </c>
      <c r="B1066" s="5" t="s">
        <v>16</v>
      </c>
      <c r="C1066" s="22">
        <v>45446</v>
      </c>
      <c r="D1066" s="22">
        <v>45450</v>
      </c>
      <c r="E1066" s="3">
        <v>0</v>
      </c>
      <c r="F1066" s="3">
        <v>0</v>
      </c>
      <c r="G1066" s="3">
        <v>0</v>
      </c>
      <c r="H1066" s="3">
        <v>0</v>
      </c>
      <c r="I1066" s="3">
        <v>0</v>
      </c>
      <c r="J1066" s="3">
        <v>0</v>
      </c>
      <c r="K1066" s="3">
        <v>0</v>
      </c>
      <c r="L1066" s="3">
        <v>0</v>
      </c>
      <c r="M1066" s="3">
        <v>0</v>
      </c>
      <c r="N1066" s="3">
        <v>0</v>
      </c>
      <c r="O1066" s="3">
        <v>0</v>
      </c>
      <c r="P1066" s="3">
        <v>0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3">
        <v>0</v>
      </c>
      <c r="AC1066" s="3">
        <v>0</v>
      </c>
      <c r="AD1066" s="3">
        <v>0</v>
      </c>
      <c r="AE1066" s="3">
        <v>0</v>
      </c>
      <c r="AF1066" s="3">
        <v>0</v>
      </c>
      <c r="AG1066" s="3">
        <v>0</v>
      </c>
      <c r="AH1066" s="3">
        <v>0</v>
      </c>
      <c r="AI1066" s="3">
        <v>0</v>
      </c>
      <c r="AJ1066" s="3">
        <v>0</v>
      </c>
      <c r="AK1066" s="3">
        <v>0</v>
      </c>
      <c r="AL1066" s="3">
        <v>0</v>
      </c>
      <c r="AM1066" s="3">
        <v>0</v>
      </c>
      <c r="AN1066" s="3">
        <v>0.04</v>
      </c>
      <c r="AO1066" s="3">
        <v>0.04</v>
      </c>
      <c r="AP1066" s="3">
        <v>0.04</v>
      </c>
    </row>
    <row r="1067" spans="1:42" hidden="1" x14ac:dyDescent="0.3">
      <c r="A1067" s="5" t="s">
        <v>1200</v>
      </c>
      <c r="B1067" s="5" t="s">
        <v>42</v>
      </c>
      <c r="C1067" s="22">
        <v>45450</v>
      </c>
      <c r="D1067" s="22">
        <v>45460</v>
      </c>
      <c r="E1067" s="3">
        <v>0</v>
      </c>
      <c r="F1067" s="3">
        <v>0</v>
      </c>
      <c r="G1067" s="3">
        <v>0</v>
      </c>
      <c r="H1067" s="3">
        <v>0</v>
      </c>
      <c r="I1067" s="3">
        <v>0</v>
      </c>
      <c r="J1067" s="3">
        <v>0</v>
      </c>
      <c r="K1067" s="3">
        <v>0</v>
      </c>
      <c r="L1067" s="3">
        <v>0</v>
      </c>
      <c r="M1067" s="3">
        <v>0</v>
      </c>
      <c r="N1067" s="3">
        <v>0</v>
      </c>
      <c r="O1067" s="3">
        <v>0</v>
      </c>
      <c r="P1067" s="3">
        <v>0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3">
        <v>0</v>
      </c>
      <c r="AC1067" s="3">
        <v>0</v>
      </c>
      <c r="AD1067" s="3">
        <v>0</v>
      </c>
      <c r="AE1067" s="3">
        <v>0</v>
      </c>
      <c r="AF1067" s="3">
        <v>0</v>
      </c>
      <c r="AG1067" s="3">
        <v>0</v>
      </c>
      <c r="AH1067" s="3">
        <v>0</v>
      </c>
      <c r="AI1067" s="3">
        <v>0</v>
      </c>
      <c r="AJ1067" s="3">
        <v>0</v>
      </c>
      <c r="AK1067" s="3">
        <v>0</v>
      </c>
      <c r="AL1067" s="3">
        <v>0</v>
      </c>
      <c r="AM1067" s="3">
        <v>0</v>
      </c>
      <c r="AN1067" s="3">
        <v>0.04</v>
      </c>
      <c r="AO1067" s="3">
        <v>0.04</v>
      </c>
      <c r="AP1067" s="3">
        <v>0.04</v>
      </c>
    </row>
    <row r="1068" spans="1:42" hidden="1" x14ac:dyDescent="0.3">
      <c r="A1068" s="5" t="s">
        <v>1201</v>
      </c>
      <c r="B1068" s="5" t="s">
        <v>16</v>
      </c>
      <c r="C1068" s="22">
        <v>45460</v>
      </c>
      <c r="D1068" s="22">
        <v>45463</v>
      </c>
      <c r="E1068" s="3">
        <v>0</v>
      </c>
      <c r="F1068" s="3">
        <v>0</v>
      </c>
      <c r="G1068" s="3">
        <v>0</v>
      </c>
      <c r="H1068" s="3">
        <v>0</v>
      </c>
      <c r="I1068" s="3">
        <v>0</v>
      </c>
      <c r="J1068" s="3">
        <v>0</v>
      </c>
      <c r="K1068" s="3">
        <v>0</v>
      </c>
      <c r="L1068" s="3">
        <v>0</v>
      </c>
      <c r="M1068" s="3">
        <v>0</v>
      </c>
      <c r="N1068" s="3">
        <v>0</v>
      </c>
      <c r="O1068" s="3">
        <v>0</v>
      </c>
      <c r="P1068" s="3">
        <v>0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3">
        <v>0</v>
      </c>
      <c r="AC1068" s="3">
        <v>0</v>
      </c>
      <c r="AD1068" s="3">
        <v>0</v>
      </c>
      <c r="AE1068" s="3">
        <v>0</v>
      </c>
      <c r="AF1068" s="3">
        <v>0</v>
      </c>
      <c r="AG1068" s="3">
        <v>0</v>
      </c>
      <c r="AH1068" s="3">
        <v>0</v>
      </c>
      <c r="AI1068" s="3">
        <v>0</v>
      </c>
      <c r="AJ1068" s="3">
        <v>0</v>
      </c>
      <c r="AK1068" s="3">
        <v>0</v>
      </c>
      <c r="AL1068" s="3">
        <v>0</v>
      </c>
      <c r="AM1068" s="3">
        <v>0</v>
      </c>
      <c r="AN1068" s="3">
        <v>7.0000000000000007E-2</v>
      </c>
      <c r="AO1068" s="3">
        <v>7.0000000000000007E-2</v>
      </c>
      <c r="AP1068" s="3">
        <v>7.0000000000000007E-2</v>
      </c>
    </row>
    <row r="1069" spans="1:42" hidden="1" x14ac:dyDescent="0.3">
      <c r="A1069" s="15" t="s">
        <v>1202</v>
      </c>
      <c r="B1069" s="15" t="s">
        <v>144</v>
      </c>
      <c r="C1069" s="20">
        <v>45463</v>
      </c>
      <c r="D1069" s="20">
        <v>45504</v>
      </c>
      <c r="E1069" s="8">
        <v>0</v>
      </c>
      <c r="F1069" s="8">
        <v>0</v>
      </c>
      <c r="G1069" s="8">
        <v>0</v>
      </c>
      <c r="H1069" s="8">
        <v>0</v>
      </c>
      <c r="I1069" s="8">
        <v>0</v>
      </c>
      <c r="J1069" s="8">
        <v>0</v>
      </c>
      <c r="K1069" s="8">
        <v>0</v>
      </c>
      <c r="L1069" s="8">
        <v>0</v>
      </c>
      <c r="M1069" s="8">
        <v>0</v>
      </c>
      <c r="N1069" s="8">
        <v>0</v>
      </c>
      <c r="O1069" s="8">
        <v>0</v>
      </c>
      <c r="P1069" s="8">
        <v>0</v>
      </c>
      <c r="Q1069" s="8">
        <v>0</v>
      </c>
      <c r="R1069" s="8">
        <v>0</v>
      </c>
      <c r="S1069" s="8">
        <v>0</v>
      </c>
      <c r="T1069" s="8">
        <v>0</v>
      </c>
      <c r="U1069" s="8">
        <v>0</v>
      </c>
      <c r="V1069" s="8">
        <v>0</v>
      </c>
      <c r="W1069" s="8">
        <v>0</v>
      </c>
      <c r="X1069" s="8">
        <v>0</v>
      </c>
      <c r="Y1069" s="8">
        <v>0</v>
      </c>
      <c r="Z1069" s="8">
        <v>0</v>
      </c>
      <c r="AA1069" s="8">
        <v>0</v>
      </c>
      <c r="AB1069" s="8">
        <v>0</v>
      </c>
      <c r="AC1069" s="8">
        <v>0</v>
      </c>
      <c r="AD1069" s="8">
        <v>0</v>
      </c>
      <c r="AE1069" s="8">
        <v>0</v>
      </c>
      <c r="AF1069" s="8">
        <v>0</v>
      </c>
      <c r="AG1069" s="8">
        <v>0</v>
      </c>
      <c r="AH1069" s="8">
        <v>0</v>
      </c>
      <c r="AI1069" s="8">
        <v>0</v>
      </c>
      <c r="AJ1069" s="8">
        <v>0</v>
      </c>
      <c r="AK1069" s="8">
        <v>0</v>
      </c>
      <c r="AL1069" s="8">
        <v>0</v>
      </c>
      <c r="AM1069" s="8">
        <v>0</v>
      </c>
      <c r="AN1069" s="8">
        <v>0.36</v>
      </c>
      <c r="AO1069" s="8">
        <v>0.62</v>
      </c>
      <c r="AP1069" s="8">
        <v>0.62</v>
      </c>
    </row>
    <row r="1070" spans="1:42" hidden="1" x14ac:dyDescent="0.3">
      <c r="A1070" s="5" t="s">
        <v>1203</v>
      </c>
      <c r="B1070" s="5" t="s">
        <v>16</v>
      </c>
      <c r="C1070" s="22">
        <v>45463</v>
      </c>
      <c r="D1070" s="22">
        <v>45469</v>
      </c>
      <c r="E1070" s="3">
        <v>0</v>
      </c>
      <c r="F1070" s="3">
        <v>0</v>
      </c>
      <c r="G1070" s="3">
        <v>0</v>
      </c>
      <c r="H1070" s="3">
        <v>0</v>
      </c>
      <c r="I1070" s="3">
        <v>0</v>
      </c>
      <c r="J1070" s="3">
        <v>0</v>
      </c>
      <c r="K1070" s="3">
        <v>0</v>
      </c>
      <c r="L1070" s="3">
        <v>0</v>
      </c>
      <c r="M1070" s="3">
        <v>0</v>
      </c>
      <c r="N1070" s="3">
        <v>0</v>
      </c>
      <c r="O1070" s="3">
        <v>0</v>
      </c>
      <c r="P1070" s="3">
        <v>0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3">
        <v>0</v>
      </c>
      <c r="AC1070" s="3">
        <v>0</v>
      </c>
      <c r="AD1070" s="3">
        <v>0</v>
      </c>
      <c r="AE1070" s="3">
        <v>0</v>
      </c>
      <c r="AF1070" s="3">
        <v>0</v>
      </c>
      <c r="AG1070" s="3">
        <v>0</v>
      </c>
      <c r="AH1070" s="3">
        <v>0</v>
      </c>
      <c r="AI1070" s="3">
        <v>0</v>
      </c>
      <c r="AJ1070" s="3">
        <v>0</v>
      </c>
      <c r="AK1070" s="3">
        <v>0</v>
      </c>
      <c r="AL1070" s="3">
        <v>0</v>
      </c>
      <c r="AM1070" s="3">
        <v>0</v>
      </c>
      <c r="AN1070" s="3">
        <v>0.32</v>
      </c>
      <c r="AO1070" s="3">
        <v>0.32</v>
      </c>
      <c r="AP1070" s="3">
        <v>0.32</v>
      </c>
    </row>
    <row r="1071" spans="1:42" hidden="1" x14ac:dyDescent="0.3">
      <c r="A1071" s="5" t="s">
        <v>1204</v>
      </c>
      <c r="B1071" s="5" t="s">
        <v>16</v>
      </c>
      <c r="C1071" s="22">
        <v>45469</v>
      </c>
      <c r="D1071" s="22">
        <v>45475</v>
      </c>
      <c r="E1071" s="3">
        <v>0</v>
      </c>
      <c r="F1071" s="3">
        <v>0</v>
      </c>
      <c r="G1071" s="3">
        <v>0</v>
      </c>
      <c r="H1071" s="3">
        <v>0</v>
      </c>
      <c r="I1071" s="3">
        <v>0</v>
      </c>
      <c r="J1071" s="3">
        <v>0</v>
      </c>
      <c r="K1071" s="3">
        <v>0</v>
      </c>
      <c r="L1071" s="3">
        <v>0</v>
      </c>
      <c r="M1071" s="3">
        <v>0</v>
      </c>
      <c r="N1071" s="3">
        <v>0</v>
      </c>
      <c r="O1071" s="3">
        <v>0</v>
      </c>
      <c r="P1071" s="3">
        <v>0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3">
        <v>0</v>
      </c>
      <c r="AC1071" s="3">
        <v>0</v>
      </c>
      <c r="AD1071" s="3">
        <v>0</v>
      </c>
      <c r="AE1071" s="3">
        <v>0</v>
      </c>
      <c r="AF1071" s="3">
        <v>0</v>
      </c>
      <c r="AG1071" s="3">
        <v>0</v>
      </c>
      <c r="AH1071" s="3">
        <v>0</v>
      </c>
      <c r="AI1071" s="3">
        <v>0</v>
      </c>
      <c r="AJ1071" s="3">
        <v>0</v>
      </c>
      <c r="AK1071" s="3">
        <v>0</v>
      </c>
      <c r="AL1071" s="3">
        <v>0</v>
      </c>
      <c r="AM1071" s="3">
        <v>0</v>
      </c>
      <c r="AN1071" s="3">
        <v>0.04</v>
      </c>
      <c r="AO1071" s="3">
        <v>7.0000000000000007E-2</v>
      </c>
      <c r="AP1071" s="3">
        <v>7.0000000000000007E-2</v>
      </c>
    </row>
    <row r="1072" spans="1:42" hidden="1" x14ac:dyDescent="0.3">
      <c r="A1072" s="5" t="s">
        <v>1205</v>
      </c>
      <c r="B1072" s="5" t="s">
        <v>31</v>
      </c>
      <c r="C1072" s="22">
        <v>45476</v>
      </c>
      <c r="D1072" s="22">
        <v>45477</v>
      </c>
      <c r="E1072" s="3">
        <v>0</v>
      </c>
      <c r="F1072" s="3">
        <v>0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3">
        <v>0</v>
      </c>
      <c r="M1072" s="3">
        <v>0</v>
      </c>
      <c r="N1072" s="3">
        <v>0</v>
      </c>
      <c r="O1072" s="3">
        <v>0</v>
      </c>
      <c r="P1072" s="3">
        <v>0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3">
        <v>0</v>
      </c>
      <c r="AC1072" s="3">
        <v>0</v>
      </c>
      <c r="AD1072" s="3">
        <v>0</v>
      </c>
      <c r="AE1072" s="3">
        <v>0</v>
      </c>
      <c r="AF1072" s="3">
        <v>0</v>
      </c>
      <c r="AG1072" s="3">
        <v>0</v>
      </c>
      <c r="AH1072" s="3">
        <v>0</v>
      </c>
      <c r="AI1072" s="3">
        <v>0</v>
      </c>
      <c r="AJ1072" s="3">
        <v>0</v>
      </c>
      <c r="AK1072" s="3">
        <v>0</v>
      </c>
      <c r="AL1072" s="3">
        <v>0</v>
      </c>
      <c r="AM1072" s="3">
        <v>0</v>
      </c>
      <c r="AN1072" s="3">
        <v>0</v>
      </c>
      <c r="AO1072" s="3">
        <v>0.06</v>
      </c>
      <c r="AP1072" s="3">
        <v>0.06</v>
      </c>
    </row>
    <row r="1073" spans="1:42" hidden="1" x14ac:dyDescent="0.3">
      <c r="A1073" s="5" t="s">
        <v>1206</v>
      </c>
      <c r="B1073" s="5" t="s">
        <v>33</v>
      </c>
      <c r="C1073" s="22">
        <v>45477</v>
      </c>
      <c r="D1073" s="22">
        <v>45489</v>
      </c>
      <c r="E1073" s="3">
        <v>0</v>
      </c>
      <c r="F1073" s="3">
        <v>0</v>
      </c>
      <c r="G1073" s="3">
        <v>0</v>
      </c>
      <c r="H1073" s="3">
        <v>0</v>
      </c>
      <c r="I1073" s="3">
        <v>0</v>
      </c>
      <c r="J1073" s="3">
        <v>0</v>
      </c>
      <c r="K1073" s="3">
        <v>0</v>
      </c>
      <c r="L1073" s="3">
        <v>0</v>
      </c>
      <c r="M1073" s="3">
        <v>0</v>
      </c>
      <c r="N1073" s="3">
        <v>0</v>
      </c>
      <c r="O1073" s="3">
        <v>0</v>
      </c>
      <c r="P1073" s="3">
        <v>0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3">
        <v>0</v>
      </c>
      <c r="AC1073" s="3">
        <v>0</v>
      </c>
      <c r="AD1073" s="3">
        <v>0</v>
      </c>
      <c r="AE1073" s="3">
        <v>0</v>
      </c>
      <c r="AF1073" s="3">
        <v>0</v>
      </c>
      <c r="AG1073" s="3">
        <v>0</v>
      </c>
      <c r="AH1073" s="3">
        <v>0</v>
      </c>
      <c r="AI1073" s="3">
        <v>0</v>
      </c>
      <c r="AJ1073" s="3">
        <v>0</v>
      </c>
      <c r="AK1073" s="3">
        <v>0</v>
      </c>
      <c r="AL1073" s="3">
        <v>0</v>
      </c>
      <c r="AM1073" s="3">
        <v>0</v>
      </c>
      <c r="AN1073" s="3">
        <v>0</v>
      </c>
      <c r="AO1073" s="3">
        <v>0.02</v>
      </c>
      <c r="AP1073" s="3">
        <v>0.02</v>
      </c>
    </row>
    <row r="1074" spans="1:42" hidden="1" x14ac:dyDescent="0.3">
      <c r="A1074" s="5" t="s">
        <v>1207</v>
      </c>
      <c r="B1074" s="5" t="s">
        <v>31</v>
      </c>
      <c r="C1074" s="22">
        <v>45489</v>
      </c>
      <c r="D1074" s="22">
        <v>45491</v>
      </c>
      <c r="E1074" s="3">
        <v>0</v>
      </c>
      <c r="F1074" s="3">
        <v>0</v>
      </c>
      <c r="G1074" s="3">
        <v>0</v>
      </c>
      <c r="H1074" s="3">
        <v>0</v>
      </c>
      <c r="I1074" s="3">
        <v>0</v>
      </c>
      <c r="J1074" s="3">
        <v>0</v>
      </c>
      <c r="K1074" s="3">
        <v>0</v>
      </c>
      <c r="L1074" s="3">
        <v>0</v>
      </c>
      <c r="M1074" s="3">
        <v>0</v>
      </c>
      <c r="N1074" s="3">
        <v>0</v>
      </c>
      <c r="O1074" s="3">
        <v>0</v>
      </c>
      <c r="P1074" s="3">
        <v>0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3">
        <v>0</v>
      </c>
      <c r="AC1074" s="3">
        <v>0</v>
      </c>
      <c r="AD1074" s="3">
        <v>0</v>
      </c>
      <c r="AE1074" s="3">
        <v>0</v>
      </c>
      <c r="AF1074" s="3">
        <v>0</v>
      </c>
      <c r="AG1074" s="3">
        <v>0</v>
      </c>
      <c r="AH1074" s="3">
        <v>0</v>
      </c>
      <c r="AI1074" s="3">
        <v>0</v>
      </c>
      <c r="AJ1074" s="3">
        <v>0</v>
      </c>
      <c r="AK1074" s="3">
        <v>0</v>
      </c>
      <c r="AL1074" s="3">
        <v>0</v>
      </c>
      <c r="AM1074" s="3">
        <v>0</v>
      </c>
      <c r="AN1074" s="3">
        <v>0</v>
      </c>
      <c r="AO1074" s="3">
        <v>7.0000000000000007E-2</v>
      </c>
      <c r="AP1074" s="3">
        <v>7.0000000000000007E-2</v>
      </c>
    </row>
    <row r="1075" spans="1:42" hidden="1" x14ac:dyDescent="0.3">
      <c r="A1075" s="5" t="s">
        <v>1208</v>
      </c>
      <c r="B1075" s="5" t="s">
        <v>42</v>
      </c>
      <c r="C1075" s="22">
        <v>45491</v>
      </c>
      <c r="D1075" s="22">
        <v>45499</v>
      </c>
      <c r="E1075" s="3">
        <v>0</v>
      </c>
      <c r="F1075" s="3">
        <v>0</v>
      </c>
      <c r="G1075" s="3">
        <v>0</v>
      </c>
      <c r="H1075" s="3">
        <v>0</v>
      </c>
      <c r="I1075" s="3">
        <v>0</v>
      </c>
      <c r="J1075" s="3">
        <v>0</v>
      </c>
      <c r="K1075" s="3">
        <v>0</v>
      </c>
      <c r="L1075" s="3">
        <v>0</v>
      </c>
      <c r="M1075" s="3">
        <v>0</v>
      </c>
      <c r="N1075" s="3">
        <v>0</v>
      </c>
      <c r="O1075" s="3">
        <v>0</v>
      </c>
      <c r="P1075" s="3">
        <v>0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3">
        <v>0</v>
      </c>
      <c r="AC1075" s="3">
        <v>0</v>
      </c>
      <c r="AD1075" s="3">
        <v>0</v>
      </c>
      <c r="AE1075" s="3">
        <v>0</v>
      </c>
      <c r="AF1075" s="3">
        <v>0</v>
      </c>
      <c r="AG1075" s="3">
        <v>0</v>
      </c>
      <c r="AH1075" s="3">
        <v>0</v>
      </c>
      <c r="AI1075" s="3">
        <v>0</v>
      </c>
      <c r="AJ1075" s="3">
        <v>0</v>
      </c>
      <c r="AK1075" s="3">
        <v>0</v>
      </c>
      <c r="AL1075" s="3">
        <v>0</v>
      </c>
      <c r="AM1075" s="3">
        <v>0</v>
      </c>
      <c r="AN1075" s="3">
        <v>0</v>
      </c>
      <c r="AO1075" s="3">
        <v>0.02</v>
      </c>
      <c r="AP1075" s="3">
        <v>0.02</v>
      </c>
    </row>
    <row r="1076" spans="1:42" hidden="1" x14ac:dyDescent="0.3">
      <c r="A1076" s="5" t="s">
        <v>1209</v>
      </c>
      <c r="B1076" s="5" t="s">
        <v>12</v>
      </c>
      <c r="C1076" s="22">
        <v>45499</v>
      </c>
      <c r="D1076" s="22">
        <v>45504</v>
      </c>
      <c r="E1076" s="3">
        <v>0</v>
      </c>
      <c r="F1076" s="3">
        <v>0</v>
      </c>
      <c r="G1076" s="3">
        <v>0</v>
      </c>
      <c r="H1076" s="3">
        <v>0</v>
      </c>
      <c r="I1076" s="3">
        <v>0</v>
      </c>
      <c r="J1076" s="3">
        <v>0</v>
      </c>
      <c r="K1076" s="3">
        <v>0</v>
      </c>
      <c r="L1076" s="3">
        <v>0</v>
      </c>
      <c r="M1076" s="3">
        <v>0</v>
      </c>
      <c r="N1076" s="3">
        <v>0</v>
      </c>
      <c r="O1076" s="3">
        <v>0</v>
      </c>
      <c r="P1076" s="3">
        <v>0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3">
        <v>0</v>
      </c>
      <c r="AC1076" s="3">
        <v>0</v>
      </c>
      <c r="AD1076" s="3">
        <v>0</v>
      </c>
      <c r="AE1076" s="3">
        <v>0</v>
      </c>
      <c r="AF1076" s="3">
        <v>0</v>
      </c>
      <c r="AG1076" s="3">
        <v>0</v>
      </c>
      <c r="AH1076" s="3">
        <v>0</v>
      </c>
      <c r="AI1076" s="3">
        <v>0</v>
      </c>
      <c r="AJ1076" s="3">
        <v>0</v>
      </c>
      <c r="AK1076" s="3">
        <v>0</v>
      </c>
      <c r="AL1076" s="3">
        <v>0</v>
      </c>
      <c r="AM1076" s="3">
        <v>0</v>
      </c>
      <c r="AN1076" s="3">
        <v>0</v>
      </c>
      <c r="AO1076" s="3">
        <v>0.06</v>
      </c>
      <c r="AP1076" s="3">
        <v>0.06</v>
      </c>
    </row>
    <row r="1077" spans="1:42" hidden="1" x14ac:dyDescent="0.3">
      <c r="A1077" s="14" t="s">
        <v>1210</v>
      </c>
      <c r="B1077" s="14" t="s">
        <v>145</v>
      </c>
      <c r="C1077" s="19">
        <v>44407</v>
      </c>
      <c r="D1077" s="19">
        <v>45488</v>
      </c>
      <c r="E1077" s="2">
        <v>0</v>
      </c>
      <c r="F1077" s="2">
        <v>0</v>
      </c>
      <c r="G1077" s="2">
        <v>0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>
        <v>0</v>
      </c>
      <c r="AK1077" s="2">
        <v>0</v>
      </c>
      <c r="AL1077" s="2">
        <v>0</v>
      </c>
      <c r="AM1077" s="2">
        <v>0</v>
      </c>
      <c r="AN1077" s="2">
        <v>0</v>
      </c>
      <c r="AO1077" s="2">
        <v>0</v>
      </c>
      <c r="AP1077" s="2">
        <v>0</v>
      </c>
    </row>
    <row r="1078" spans="1:42" hidden="1" x14ac:dyDescent="0.3">
      <c r="A1078" s="5" t="s">
        <v>1211</v>
      </c>
      <c r="B1078" s="5" t="s">
        <v>20</v>
      </c>
      <c r="C1078" s="22">
        <v>44407</v>
      </c>
      <c r="D1078" s="22">
        <v>44407</v>
      </c>
      <c r="E1078" s="3">
        <v>0</v>
      </c>
      <c r="F1078" s="3">
        <v>0</v>
      </c>
      <c r="G1078" s="3">
        <v>0</v>
      </c>
      <c r="H1078" s="3">
        <v>0</v>
      </c>
      <c r="I1078" s="3">
        <v>0</v>
      </c>
      <c r="J1078" s="3">
        <v>0</v>
      </c>
      <c r="K1078" s="3">
        <v>0</v>
      </c>
      <c r="L1078" s="3">
        <v>0</v>
      </c>
      <c r="M1078" s="3">
        <v>0</v>
      </c>
      <c r="N1078" s="3">
        <v>0</v>
      </c>
      <c r="O1078" s="3">
        <v>0</v>
      </c>
      <c r="P1078" s="3">
        <v>0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  <c r="AB1078" s="3">
        <v>0</v>
      </c>
      <c r="AC1078" s="3">
        <v>0</v>
      </c>
      <c r="AD1078" s="3">
        <v>0</v>
      </c>
      <c r="AE1078" s="3">
        <v>0</v>
      </c>
      <c r="AF1078" s="3">
        <v>0</v>
      </c>
      <c r="AG1078" s="3">
        <v>0</v>
      </c>
      <c r="AH1078" s="3">
        <v>0</v>
      </c>
      <c r="AI1078" s="3">
        <v>0</v>
      </c>
      <c r="AJ1078" s="3">
        <v>0</v>
      </c>
      <c r="AK1078" s="3">
        <v>0</v>
      </c>
      <c r="AL1078" s="3">
        <v>0</v>
      </c>
      <c r="AM1078" s="3">
        <v>0</v>
      </c>
      <c r="AN1078" s="3">
        <v>0</v>
      </c>
      <c r="AO1078" s="3">
        <v>0</v>
      </c>
      <c r="AP1078" s="3">
        <v>0</v>
      </c>
    </row>
    <row r="1079" spans="1:42" hidden="1" x14ac:dyDescent="0.3">
      <c r="A1079" s="5" t="s">
        <v>1212</v>
      </c>
      <c r="B1079" s="5" t="s">
        <v>20</v>
      </c>
      <c r="C1079" s="22">
        <v>44438</v>
      </c>
      <c r="D1079" s="22">
        <v>44438</v>
      </c>
      <c r="E1079" s="3">
        <v>0</v>
      </c>
      <c r="F1079" s="3">
        <v>0</v>
      </c>
      <c r="G1079" s="3">
        <v>0</v>
      </c>
      <c r="H1079" s="3">
        <v>0</v>
      </c>
      <c r="I1079" s="3">
        <v>0</v>
      </c>
      <c r="J1079" s="3">
        <v>0</v>
      </c>
      <c r="K1079" s="3">
        <v>0</v>
      </c>
      <c r="L1079" s="3">
        <v>0</v>
      </c>
      <c r="M1079" s="3">
        <v>0</v>
      </c>
      <c r="N1079" s="3">
        <v>0</v>
      </c>
      <c r="O1079" s="3">
        <v>0</v>
      </c>
      <c r="P1079" s="3">
        <v>0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0</v>
      </c>
      <c r="AB1079" s="3">
        <v>0</v>
      </c>
      <c r="AC1079" s="3">
        <v>0</v>
      </c>
      <c r="AD1079" s="3">
        <v>0</v>
      </c>
      <c r="AE1079" s="3">
        <v>0</v>
      </c>
      <c r="AF1079" s="3">
        <v>0</v>
      </c>
      <c r="AG1079" s="3">
        <v>0</v>
      </c>
      <c r="AH1079" s="3">
        <v>0</v>
      </c>
      <c r="AI1079" s="3">
        <v>0</v>
      </c>
      <c r="AJ1079" s="3">
        <v>0</v>
      </c>
      <c r="AK1079" s="3">
        <v>0</v>
      </c>
      <c r="AL1079" s="3">
        <v>0</v>
      </c>
      <c r="AM1079" s="3">
        <v>0</v>
      </c>
      <c r="AN1079" s="3">
        <v>0</v>
      </c>
      <c r="AO1079" s="3">
        <v>0</v>
      </c>
      <c r="AP1079" s="3">
        <v>0</v>
      </c>
    </row>
    <row r="1080" spans="1:42" hidden="1" x14ac:dyDescent="0.3">
      <c r="A1080" s="5" t="s">
        <v>1213</v>
      </c>
      <c r="B1080" s="5" t="s">
        <v>20</v>
      </c>
      <c r="C1080" s="22">
        <v>44468</v>
      </c>
      <c r="D1080" s="22">
        <v>44468</v>
      </c>
      <c r="E1080" s="3">
        <v>0</v>
      </c>
      <c r="F1080" s="3">
        <v>0</v>
      </c>
      <c r="G1080" s="3">
        <v>0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  <c r="M1080" s="3">
        <v>0</v>
      </c>
      <c r="N1080" s="3">
        <v>0</v>
      </c>
      <c r="O1080" s="3">
        <v>0</v>
      </c>
      <c r="P1080" s="3">
        <v>0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  <c r="AB1080" s="3">
        <v>0</v>
      </c>
      <c r="AC1080" s="3">
        <v>0</v>
      </c>
      <c r="AD1080" s="3">
        <v>0</v>
      </c>
      <c r="AE1080" s="3">
        <v>0</v>
      </c>
      <c r="AF1080" s="3">
        <v>0</v>
      </c>
      <c r="AG1080" s="3">
        <v>0</v>
      </c>
      <c r="AH1080" s="3">
        <v>0</v>
      </c>
      <c r="AI1080" s="3">
        <v>0</v>
      </c>
      <c r="AJ1080" s="3">
        <v>0</v>
      </c>
      <c r="AK1080" s="3">
        <v>0</v>
      </c>
      <c r="AL1080" s="3">
        <v>0</v>
      </c>
      <c r="AM1080" s="3">
        <v>0</v>
      </c>
      <c r="AN1080" s="3">
        <v>0</v>
      </c>
      <c r="AO1080" s="3">
        <v>0</v>
      </c>
      <c r="AP1080" s="3">
        <v>0</v>
      </c>
    </row>
    <row r="1081" spans="1:42" hidden="1" x14ac:dyDescent="0.3">
      <c r="A1081" s="5" t="s">
        <v>1214</v>
      </c>
      <c r="B1081" s="5" t="s">
        <v>20</v>
      </c>
      <c r="C1081" s="22">
        <v>44498</v>
      </c>
      <c r="D1081" s="22">
        <v>44498</v>
      </c>
      <c r="E1081" s="3">
        <v>0</v>
      </c>
      <c r="F1081" s="3">
        <v>0</v>
      </c>
      <c r="G1081" s="3">
        <v>0</v>
      </c>
      <c r="H1081" s="3">
        <v>0</v>
      </c>
      <c r="I1081" s="3">
        <v>0</v>
      </c>
      <c r="J1081" s="3">
        <v>0</v>
      </c>
      <c r="K1081" s="3">
        <v>0</v>
      </c>
      <c r="L1081" s="3">
        <v>0</v>
      </c>
      <c r="M1081" s="3">
        <v>0</v>
      </c>
      <c r="N1081" s="3">
        <v>0</v>
      </c>
      <c r="O1081" s="3">
        <v>0</v>
      </c>
      <c r="P1081" s="3">
        <v>0</v>
      </c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  <c r="AB1081" s="3">
        <v>0</v>
      </c>
      <c r="AC1081" s="3">
        <v>0</v>
      </c>
      <c r="AD1081" s="3">
        <v>0</v>
      </c>
      <c r="AE1081" s="3">
        <v>0</v>
      </c>
      <c r="AF1081" s="3">
        <v>0</v>
      </c>
      <c r="AG1081" s="3">
        <v>0</v>
      </c>
      <c r="AH1081" s="3">
        <v>0</v>
      </c>
      <c r="AI1081" s="3">
        <v>0</v>
      </c>
      <c r="AJ1081" s="3">
        <v>0</v>
      </c>
      <c r="AK1081" s="3">
        <v>0</v>
      </c>
      <c r="AL1081" s="3">
        <v>0</v>
      </c>
      <c r="AM1081" s="3">
        <v>0</v>
      </c>
      <c r="AN1081" s="3">
        <v>0</v>
      </c>
      <c r="AO1081" s="3">
        <v>0</v>
      </c>
      <c r="AP1081" s="3">
        <v>0</v>
      </c>
    </row>
    <row r="1082" spans="1:42" hidden="1" x14ac:dyDescent="0.3">
      <c r="A1082" s="5" t="s">
        <v>1215</v>
      </c>
      <c r="B1082" s="5" t="s">
        <v>20</v>
      </c>
      <c r="C1082" s="22">
        <v>44529</v>
      </c>
      <c r="D1082" s="22">
        <v>44529</v>
      </c>
      <c r="E1082" s="3">
        <v>0</v>
      </c>
      <c r="F1082" s="3">
        <v>0</v>
      </c>
      <c r="G1082" s="3">
        <v>0</v>
      </c>
      <c r="H1082" s="3">
        <v>0</v>
      </c>
      <c r="I1082" s="3">
        <v>0</v>
      </c>
      <c r="J1082" s="3">
        <v>0</v>
      </c>
      <c r="K1082" s="3">
        <v>0</v>
      </c>
      <c r="L1082" s="3">
        <v>0</v>
      </c>
      <c r="M1082" s="3">
        <v>0</v>
      </c>
      <c r="N1082" s="3">
        <v>0</v>
      </c>
      <c r="O1082" s="3">
        <v>0</v>
      </c>
      <c r="P1082" s="3">
        <v>0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3">
        <v>0</v>
      </c>
      <c r="AA1082" s="3">
        <v>0</v>
      </c>
      <c r="AB1082" s="3">
        <v>0</v>
      </c>
      <c r="AC1082" s="3">
        <v>0</v>
      </c>
      <c r="AD1082" s="3">
        <v>0</v>
      </c>
      <c r="AE1082" s="3">
        <v>0</v>
      </c>
      <c r="AF1082" s="3">
        <v>0</v>
      </c>
      <c r="AG1082" s="3">
        <v>0</v>
      </c>
      <c r="AH1082" s="3">
        <v>0</v>
      </c>
      <c r="AI1082" s="3">
        <v>0</v>
      </c>
      <c r="AJ1082" s="3">
        <v>0</v>
      </c>
      <c r="AK1082" s="3">
        <v>0</v>
      </c>
      <c r="AL1082" s="3">
        <v>0</v>
      </c>
      <c r="AM1082" s="3">
        <v>0</v>
      </c>
      <c r="AN1082" s="3">
        <v>0</v>
      </c>
      <c r="AO1082" s="3">
        <v>0</v>
      </c>
      <c r="AP1082" s="3">
        <v>0</v>
      </c>
    </row>
    <row r="1083" spans="1:42" hidden="1" x14ac:dyDescent="0.3">
      <c r="A1083" s="5" t="s">
        <v>1216</v>
      </c>
      <c r="B1083" s="5" t="s">
        <v>20</v>
      </c>
      <c r="C1083" s="22">
        <v>44561</v>
      </c>
      <c r="D1083" s="22">
        <v>44561</v>
      </c>
      <c r="E1083" s="3">
        <v>0</v>
      </c>
      <c r="F1083" s="3">
        <v>0</v>
      </c>
      <c r="G1083" s="3">
        <v>0</v>
      </c>
      <c r="H1083" s="3">
        <v>0</v>
      </c>
      <c r="I1083" s="3">
        <v>0</v>
      </c>
      <c r="J1083" s="3">
        <v>0</v>
      </c>
      <c r="K1083" s="3">
        <v>0</v>
      </c>
      <c r="L1083" s="3">
        <v>0</v>
      </c>
      <c r="M1083" s="3">
        <v>0</v>
      </c>
      <c r="N1083" s="3">
        <v>0</v>
      </c>
      <c r="O1083" s="3">
        <v>0</v>
      </c>
      <c r="P1083" s="3">
        <v>0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  <c r="Y1083" s="3">
        <v>0</v>
      </c>
      <c r="Z1083" s="3">
        <v>0</v>
      </c>
      <c r="AA1083" s="3">
        <v>0</v>
      </c>
      <c r="AB1083" s="3">
        <v>0</v>
      </c>
      <c r="AC1083" s="3">
        <v>0</v>
      </c>
      <c r="AD1083" s="3">
        <v>0</v>
      </c>
      <c r="AE1083" s="3">
        <v>0</v>
      </c>
      <c r="AF1083" s="3">
        <v>0</v>
      </c>
      <c r="AG1083" s="3">
        <v>0</v>
      </c>
      <c r="AH1083" s="3">
        <v>0</v>
      </c>
      <c r="AI1083" s="3">
        <v>0</v>
      </c>
      <c r="AJ1083" s="3">
        <v>0</v>
      </c>
      <c r="AK1083" s="3">
        <v>0</v>
      </c>
      <c r="AL1083" s="3">
        <v>0</v>
      </c>
      <c r="AM1083" s="3">
        <v>0</v>
      </c>
      <c r="AN1083" s="3">
        <v>0</v>
      </c>
      <c r="AO1083" s="3">
        <v>0</v>
      </c>
      <c r="AP1083" s="3">
        <v>0</v>
      </c>
    </row>
    <row r="1084" spans="1:42" hidden="1" x14ac:dyDescent="0.3">
      <c r="A1084" s="5" t="s">
        <v>1217</v>
      </c>
      <c r="B1084" s="5" t="s">
        <v>20</v>
      </c>
      <c r="C1084" s="22">
        <v>44588</v>
      </c>
      <c r="D1084" s="22">
        <v>44588</v>
      </c>
      <c r="E1084" s="3">
        <v>0</v>
      </c>
      <c r="F1084" s="3">
        <v>0</v>
      </c>
      <c r="G1084" s="3">
        <v>0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0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3">
        <v>0</v>
      </c>
      <c r="X1084" s="3">
        <v>0</v>
      </c>
      <c r="Y1084" s="3">
        <v>0</v>
      </c>
      <c r="Z1084" s="3">
        <v>0</v>
      </c>
      <c r="AA1084" s="3">
        <v>0</v>
      </c>
      <c r="AB1084" s="3">
        <v>0</v>
      </c>
      <c r="AC1084" s="3">
        <v>0</v>
      </c>
      <c r="AD1084" s="3">
        <v>0</v>
      </c>
      <c r="AE1084" s="3">
        <v>0</v>
      </c>
      <c r="AF1084" s="3">
        <v>0</v>
      </c>
      <c r="AG1084" s="3">
        <v>0</v>
      </c>
      <c r="AH1084" s="3">
        <v>0</v>
      </c>
      <c r="AI1084" s="3">
        <v>0</v>
      </c>
      <c r="AJ1084" s="3">
        <v>0</v>
      </c>
      <c r="AK1084" s="3">
        <v>0</v>
      </c>
      <c r="AL1084" s="3">
        <v>0</v>
      </c>
      <c r="AM1084" s="3">
        <v>0</v>
      </c>
      <c r="AN1084" s="3">
        <v>0</v>
      </c>
      <c r="AO1084" s="3">
        <v>0</v>
      </c>
      <c r="AP1084" s="3">
        <v>0</v>
      </c>
    </row>
    <row r="1085" spans="1:42" hidden="1" x14ac:dyDescent="0.3">
      <c r="A1085" s="5" t="s">
        <v>1218</v>
      </c>
      <c r="B1085" s="5" t="s">
        <v>20</v>
      </c>
      <c r="C1085" s="22">
        <v>44620</v>
      </c>
      <c r="D1085" s="22">
        <v>44620</v>
      </c>
      <c r="E1085" s="3">
        <v>0</v>
      </c>
      <c r="F1085" s="3">
        <v>0</v>
      </c>
      <c r="G1085" s="3">
        <v>0</v>
      </c>
      <c r="H1085" s="3">
        <v>0</v>
      </c>
      <c r="I1085" s="3">
        <v>0</v>
      </c>
      <c r="J1085" s="3">
        <v>0</v>
      </c>
      <c r="K1085" s="3">
        <v>0</v>
      </c>
      <c r="L1085" s="3">
        <v>0</v>
      </c>
      <c r="M1085" s="3">
        <v>0</v>
      </c>
      <c r="N1085" s="3">
        <v>0</v>
      </c>
      <c r="O1085" s="3">
        <v>0</v>
      </c>
      <c r="P1085" s="3">
        <v>0</v>
      </c>
      <c r="Q1085" s="3">
        <v>0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  <c r="W1085" s="3">
        <v>0</v>
      </c>
      <c r="X1085" s="3">
        <v>0</v>
      </c>
      <c r="Y1085" s="3">
        <v>0</v>
      </c>
      <c r="Z1085" s="3">
        <v>0</v>
      </c>
      <c r="AA1085" s="3">
        <v>0</v>
      </c>
      <c r="AB1085" s="3">
        <v>0</v>
      </c>
      <c r="AC1085" s="3">
        <v>0</v>
      </c>
      <c r="AD1085" s="3">
        <v>0</v>
      </c>
      <c r="AE1085" s="3">
        <v>0</v>
      </c>
      <c r="AF1085" s="3">
        <v>0</v>
      </c>
      <c r="AG1085" s="3">
        <v>0</v>
      </c>
      <c r="AH1085" s="3">
        <v>0</v>
      </c>
      <c r="AI1085" s="3">
        <v>0</v>
      </c>
      <c r="AJ1085" s="3">
        <v>0</v>
      </c>
      <c r="AK1085" s="3">
        <v>0</v>
      </c>
      <c r="AL1085" s="3">
        <v>0</v>
      </c>
      <c r="AM1085" s="3">
        <v>0</v>
      </c>
      <c r="AN1085" s="3">
        <v>0</v>
      </c>
      <c r="AO1085" s="3">
        <v>0</v>
      </c>
      <c r="AP1085" s="3">
        <v>0</v>
      </c>
    </row>
    <row r="1086" spans="1:42" hidden="1" x14ac:dyDescent="0.3">
      <c r="A1086" s="5" t="s">
        <v>1219</v>
      </c>
      <c r="B1086" s="5" t="s">
        <v>20</v>
      </c>
      <c r="C1086" s="22">
        <v>44648</v>
      </c>
      <c r="D1086" s="22">
        <v>44648</v>
      </c>
      <c r="E1086" s="3">
        <v>0</v>
      </c>
      <c r="F1086" s="3">
        <v>0</v>
      </c>
      <c r="G1086" s="3">
        <v>0</v>
      </c>
      <c r="H1086" s="3">
        <v>0</v>
      </c>
      <c r="I1086" s="3">
        <v>0</v>
      </c>
      <c r="J1086" s="3">
        <v>0</v>
      </c>
      <c r="K1086" s="3">
        <v>0</v>
      </c>
      <c r="L1086" s="3">
        <v>0</v>
      </c>
      <c r="M1086" s="3">
        <v>0</v>
      </c>
      <c r="N1086" s="3">
        <v>0</v>
      </c>
      <c r="O1086" s="3">
        <v>0</v>
      </c>
      <c r="P1086" s="3">
        <v>0</v>
      </c>
      <c r="Q1086" s="3">
        <v>0</v>
      </c>
      <c r="R1086" s="3">
        <v>0</v>
      </c>
      <c r="S1086" s="3">
        <v>0</v>
      </c>
      <c r="T1086" s="3">
        <v>0</v>
      </c>
      <c r="U1086" s="3">
        <v>0</v>
      </c>
      <c r="V1086" s="3">
        <v>0</v>
      </c>
      <c r="W1086" s="3">
        <v>0</v>
      </c>
      <c r="X1086" s="3">
        <v>0</v>
      </c>
      <c r="Y1086" s="3">
        <v>0</v>
      </c>
      <c r="Z1086" s="3">
        <v>0</v>
      </c>
      <c r="AA1086" s="3">
        <v>0</v>
      </c>
      <c r="AB1086" s="3">
        <v>0</v>
      </c>
      <c r="AC1086" s="3">
        <v>0</v>
      </c>
      <c r="AD1086" s="3">
        <v>0</v>
      </c>
      <c r="AE1086" s="3">
        <v>0</v>
      </c>
      <c r="AF1086" s="3">
        <v>0</v>
      </c>
      <c r="AG1086" s="3">
        <v>0</v>
      </c>
      <c r="AH1086" s="3">
        <v>0</v>
      </c>
      <c r="AI1086" s="3">
        <v>0</v>
      </c>
      <c r="AJ1086" s="3">
        <v>0</v>
      </c>
      <c r="AK1086" s="3">
        <v>0</v>
      </c>
      <c r="AL1086" s="3">
        <v>0</v>
      </c>
      <c r="AM1086" s="3">
        <v>0</v>
      </c>
      <c r="AN1086" s="3">
        <v>0</v>
      </c>
      <c r="AO1086" s="3">
        <v>0</v>
      </c>
      <c r="AP1086" s="3">
        <v>0</v>
      </c>
    </row>
    <row r="1087" spans="1:42" hidden="1" x14ac:dyDescent="0.3">
      <c r="A1087" s="5" t="s">
        <v>1220</v>
      </c>
      <c r="B1087" s="5" t="s">
        <v>20</v>
      </c>
      <c r="C1087" s="22">
        <v>44678</v>
      </c>
      <c r="D1087" s="22">
        <v>44678</v>
      </c>
      <c r="E1087" s="3">
        <v>0</v>
      </c>
      <c r="F1087" s="3">
        <v>0</v>
      </c>
      <c r="G1087" s="3">
        <v>0</v>
      </c>
      <c r="H1087" s="3">
        <v>0</v>
      </c>
      <c r="I1087" s="3">
        <v>0</v>
      </c>
      <c r="J1087" s="3">
        <v>0</v>
      </c>
      <c r="K1087" s="3">
        <v>0</v>
      </c>
      <c r="L1087" s="3">
        <v>0</v>
      </c>
      <c r="M1087" s="3">
        <v>0</v>
      </c>
      <c r="N1087" s="3">
        <v>0</v>
      </c>
      <c r="O1087" s="3">
        <v>0</v>
      </c>
      <c r="P1087" s="3">
        <v>0</v>
      </c>
      <c r="Q1087" s="3">
        <v>0</v>
      </c>
      <c r="R1087" s="3">
        <v>0</v>
      </c>
      <c r="S1087" s="3">
        <v>0</v>
      </c>
      <c r="T1087" s="3">
        <v>0</v>
      </c>
      <c r="U1087" s="3">
        <v>0</v>
      </c>
      <c r="V1087" s="3">
        <v>0</v>
      </c>
      <c r="W1087" s="3">
        <v>0</v>
      </c>
      <c r="X1087" s="3">
        <v>0</v>
      </c>
      <c r="Y1087" s="3">
        <v>0</v>
      </c>
      <c r="Z1087" s="3">
        <v>0</v>
      </c>
      <c r="AA1087" s="3">
        <v>0</v>
      </c>
      <c r="AB1087" s="3">
        <v>0</v>
      </c>
      <c r="AC1087" s="3">
        <v>0</v>
      </c>
      <c r="AD1087" s="3">
        <v>0</v>
      </c>
      <c r="AE1087" s="3">
        <v>0</v>
      </c>
      <c r="AF1087" s="3">
        <v>0</v>
      </c>
      <c r="AG1087" s="3">
        <v>0</v>
      </c>
      <c r="AH1087" s="3">
        <v>0</v>
      </c>
      <c r="AI1087" s="3">
        <v>0</v>
      </c>
      <c r="AJ1087" s="3">
        <v>0</v>
      </c>
      <c r="AK1087" s="3">
        <v>0</v>
      </c>
      <c r="AL1087" s="3">
        <v>0</v>
      </c>
      <c r="AM1087" s="3">
        <v>0</v>
      </c>
      <c r="AN1087" s="3">
        <v>0</v>
      </c>
      <c r="AO1087" s="3">
        <v>0</v>
      </c>
      <c r="AP1087" s="3">
        <v>0</v>
      </c>
    </row>
    <row r="1088" spans="1:42" hidden="1" x14ac:dyDescent="0.3">
      <c r="A1088" s="5" t="s">
        <v>1221</v>
      </c>
      <c r="B1088" s="5" t="s">
        <v>20</v>
      </c>
      <c r="C1088" s="22">
        <v>44708</v>
      </c>
      <c r="D1088" s="22">
        <v>44708</v>
      </c>
      <c r="E1088" s="3">
        <v>0</v>
      </c>
      <c r="F1088" s="3">
        <v>0</v>
      </c>
      <c r="G1088" s="3">
        <v>0</v>
      </c>
      <c r="H1088" s="3">
        <v>0</v>
      </c>
      <c r="I1088" s="3">
        <v>0</v>
      </c>
      <c r="J1088" s="3">
        <v>0</v>
      </c>
      <c r="K1088" s="3">
        <v>0</v>
      </c>
      <c r="L1088" s="3">
        <v>0</v>
      </c>
      <c r="M1088" s="3">
        <v>0</v>
      </c>
      <c r="N1088" s="3">
        <v>0</v>
      </c>
      <c r="O1088" s="3">
        <v>0</v>
      </c>
      <c r="P1088" s="3">
        <v>0</v>
      </c>
      <c r="Q1088" s="3">
        <v>0</v>
      </c>
      <c r="R1088" s="3">
        <v>0</v>
      </c>
      <c r="S1088" s="3">
        <v>0</v>
      </c>
      <c r="T1088" s="3">
        <v>0</v>
      </c>
      <c r="U1088" s="3">
        <v>0</v>
      </c>
      <c r="V1088" s="3">
        <v>0</v>
      </c>
      <c r="W1088" s="3">
        <v>0</v>
      </c>
      <c r="X1088" s="3">
        <v>0</v>
      </c>
      <c r="Y1088" s="3">
        <v>0</v>
      </c>
      <c r="Z1088" s="3">
        <v>0</v>
      </c>
      <c r="AA1088" s="3">
        <v>0</v>
      </c>
      <c r="AB1088" s="3">
        <v>0</v>
      </c>
      <c r="AC1088" s="3">
        <v>0</v>
      </c>
      <c r="AD1088" s="3">
        <v>0</v>
      </c>
      <c r="AE1088" s="3">
        <v>0</v>
      </c>
      <c r="AF1088" s="3">
        <v>0</v>
      </c>
      <c r="AG1088" s="3">
        <v>0</v>
      </c>
      <c r="AH1088" s="3">
        <v>0</v>
      </c>
      <c r="AI1088" s="3">
        <v>0</v>
      </c>
      <c r="AJ1088" s="3">
        <v>0</v>
      </c>
      <c r="AK1088" s="3">
        <v>0</v>
      </c>
      <c r="AL1088" s="3">
        <v>0</v>
      </c>
      <c r="AM1088" s="3">
        <v>0</v>
      </c>
      <c r="AN1088" s="3">
        <v>0</v>
      </c>
      <c r="AO1088" s="3">
        <v>0</v>
      </c>
      <c r="AP1088" s="3">
        <v>0</v>
      </c>
    </row>
    <row r="1089" spans="1:42" hidden="1" x14ac:dyDescent="0.3">
      <c r="A1089" s="5" t="s">
        <v>1222</v>
      </c>
      <c r="B1089" s="5" t="s">
        <v>20</v>
      </c>
      <c r="C1089" s="22">
        <v>44739</v>
      </c>
      <c r="D1089" s="22">
        <v>44739</v>
      </c>
      <c r="E1089" s="3">
        <v>0</v>
      </c>
      <c r="F1089" s="3">
        <v>0</v>
      </c>
      <c r="G1089" s="3">
        <v>0</v>
      </c>
      <c r="H1089" s="3">
        <v>0</v>
      </c>
      <c r="I1089" s="3">
        <v>0</v>
      </c>
      <c r="J1089" s="3">
        <v>0</v>
      </c>
      <c r="K1089" s="3">
        <v>0</v>
      </c>
      <c r="L1089" s="3">
        <v>0</v>
      </c>
      <c r="M1089" s="3">
        <v>0</v>
      </c>
      <c r="N1089" s="3">
        <v>0</v>
      </c>
      <c r="O1089" s="3">
        <v>0</v>
      </c>
      <c r="P1089" s="3">
        <v>0</v>
      </c>
      <c r="Q1089" s="3">
        <v>0</v>
      </c>
      <c r="R1089" s="3">
        <v>0</v>
      </c>
      <c r="S1089" s="3">
        <v>0</v>
      </c>
      <c r="T1089" s="3">
        <v>0</v>
      </c>
      <c r="U1089" s="3">
        <v>0</v>
      </c>
      <c r="V1089" s="3">
        <v>0</v>
      </c>
      <c r="W1089" s="3">
        <v>0</v>
      </c>
      <c r="X1089" s="3">
        <v>0</v>
      </c>
      <c r="Y1089" s="3">
        <v>0</v>
      </c>
      <c r="Z1089" s="3">
        <v>0</v>
      </c>
      <c r="AA1089" s="3">
        <v>0</v>
      </c>
      <c r="AB1089" s="3">
        <v>0</v>
      </c>
      <c r="AC1089" s="3">
        <v>0</v>
      </c>
      <c r="AD1089" s="3">
        <v>0</v>
      </c>
      <c r="AE1089" s="3">
        <v>0</v>
      </c>
      <c r="AF1089" s="3">
        <v>0</v>
      </c>
      <c r="AG1089" s="3">
        <v>0</v>
      </c>
      <c r="AH1089" s="3">
        <v>0</v>
      </c>
      <c r="AI1089" s="3">
        <v>0</v>
      </c>
      <c r="AJ1089" s="3">
        <v>0</v>
      </c>
      <c r="AK1089" s="3">
        <v>0</v>
      </c>
      <c r="AL1089" s="3">
        <v>0</v>
      </c>
      <c r="AM1089" s="3">
        <v>0</v>
      </c>
      <c r="AN1089" s="3">
        <v>0</v>
      </c>
      <c r="AO1089" s="3">
        <v>0</v>
      </c>
      <c r="AP1089" s="3">
        <v>0</v>
      </c>
    </row>
    <row r="1090" spans="1:42" hidden="1" x14ac:dyDescent="0.3">
      <c r="A1090" s="5" t="s">
        <v>1223</v>
      </c>
      <c r="B1090" s="5" t="s">
        <v>20</v>
      </c>
      <c r="C1090" s="22">
        <v>44768</v>
      </c>
      <c r="D1090" s="22">
        <v>44768</v>
      </c>
      <c r="E1090" s="3">
        <v>0</v>
      </c>
      <c r="F1090" s="3">
        <v>0</v>
      </c>
      <c r="G1090" s="3">
        <v>0</v>
      </c>
      <c r="H1090" s="3">
        <v>0</v>
      </c>
      <c r="I1090" s="3">
        <v>0</v>
      </c>
      <c r="J1090" s="3">
        <v>0</v>
      </c>
      <c r="K1090" s="3">
        <v>0</v>
      </c>
      <c r="L1090" s="3">
        <v>0</v>
      </c>
      <c r="M1090" s="3">
        <v>0</v>
      </c>
      <c r="N1090" s="3">
        <v>0</v>
      </c>
      <c r="O1090" s="3">
        <v>0</v>
      </c>
      <c r="P1090" s="3">
        <v>0</v>
      </c>
      <c r="Q1090" s="3">
        <v>0</v>
      </c>
      <c r="R1090" s="3">
        <v>0</v>
      </c>
      <c r="S1090" s="3">
        <v>0</v>
      </c>
      <c r="T1090" s="3">
        <v>0</v>
      </c>
      <c r="U1090" s="3">
        <v>0</v>
      </c>
      <c r="V1090" s="3">
        <v>0</v>
      </c>
      <c r="W1090" s="3">
        <v>0</v>
      </c>
      <c r="X1090" s="3">
        <v>0</v>
      </c>
      <c r="Y1090" s="3">
        <v>0</v>
      </c>
      <c r="Z1090" s="3">
        <v>0</v>
      </c>
      <c r="AA1090" s="3">
        <v>0</v>
      </c>
      <c r="AB1090" s="3">
        <v>0</v>
      </c>
      <c r="AC1090" s="3">
        <v>0</v>
      </c>
      <c r="AD1090" s="3">
        <v>0</v>
      </c>
      <c r="AE1090" s="3">
        <v>0</v>
      </c>
      <c r="AF1090" s="3">
        <v>0</v>
      </c>
      <c r="AG1090" s="3">
        <v>0</v>
      </c>
      <c r="AH1090" s="3">
        <v>0</v>
      </c>
      <c r="AI1090" s="3">
        <v>0</v>
      </c>
      <c r="AJ1090" s="3">
        <v>0</v>
      </c>
      <c r="AK1090" s="3">
        <v>0</v>
      </c>
      <c r="AL1090" s="3">
        <v>0</v>
      </c>
      <c r="AM1090" s="3">
        <v>0</v>
      </c>
      <c r="AN1090" s="3">
        <v>0</v>
      </c>
      <c r="AO1090" s="3">
        <v>0</v>
      </c>
      <c r="AP1090" s="3">
        <v>0</v>
      </c>
    </row>
    <row r="1091" spans="1:42" hidden="1" x14ac:dyDescent="0.3">
      <c r="A1091" s="5" t="s">
        <v>1224</v>
      </c>
      <c r="B1091" s="5" t="s">
        <v>20</v>
      </c>
      <c r="C1091" s="22">
        <v>44798</v>
      </c>
      <c r="D1091" s="22">
        <v>44798</v>
      </c>
      <c r="E1091" s="3">
        <v>0</v>
      </c>
      <c r="F1091" s="3">
        <v>0</v>
      </c>
      <c r="G1091" s="3">
        <v>0</v>
      </c>
      <c r="H1091" s="3">
        <v>0</v>
      </c>
      <c r="I1091" s="3">
        <v>0</v>
      </c>
      <c r="J1091" s="3">
        <v>0</v>
      </c>
      <c r="K1091" s="3">
        <v>0</v>
      </c>
      <c r="L1091" s="3">
        <v>0</v>
      </c>
      <c r="M1091" s="3">
        <v>0</v>
      </c>
      <c r="N1091" s="3">
        <v>0</v>
      </c>
      <c r="O1091" s="3">
        <v>0</v>
      </c>
      <c r="P1091" s="3">
        <v>0</v>
      </c>
      <c r="Q1091" s="3">
        <v>0</v>
      </c>
      <c r="R1091" s="3">
        <v>0</v>
      </c>
      <c r="S1091" s="3">
        <v>0</v>
      </c>
      <c r="T1091" s="3">
        <v>0</v>
      </c>
      <c r="U1091" s="3">
        <v>0</v>
      </c>
      <c r="V1091" s="3">
        <v>0</v>
      </c>
      <c r="W1091" s="3">
        <v>0</v>
      </c>
      <c r="X1091" s="3">
        <v>0</v>
      </c>
      <c r="Y1091" s="3">
        <v>0</v>
      </c>
      <c r="Z1091" s="3">
        <v>0</v>
      </c>
      <c r="AA1091" s="3">
        <v>0</v>
      </c>
      <c r="AB1091" s="3">
        <v>0</v>
      </c>
      <c r="AC1091" s="3">
        <v>0</v>
      </c>
      <c r="AD1091" s="3">
        <v>0</v>
      </c>
      <c r="AE1091" s="3">
        <v>0</v>
      </c>
      <c r="AF1091" s="3">
        <v>0</v>
      </c>
      <c r="AG1091" s="3">
        <v>0</v>
      </c>
      <c r="AH1091" s="3">
        <v>0</v>
      </c>
      <c r="AI1091" s="3">
        <v>0</v>
      </c>
      <c r="AJ1091" s="3">
        <v>0</v>
      </c>
      <c r="AK1091" s="3">
        <v>0</v>
      </c>
      <c r="AL1091" s="3">
        <v>0</v>
      </c>
      <c r="AM1091" s="3">
        <v>0</v>
      </c>
      <c r="AN1091" s="3">
        <v>0</v>
      </c>
      <c r="AO1091" s="3">
        <v>0</v>
      </c>
      <c r="AP1091" s="3">
        <v>0</v>
      </c>
    </row>
    <row r="1092" spans="1:42" hidden="1" x14ac:dyDescent="0.3">
      <c r="A1092" s="5" t="s">
        <v>1225</v>
      </c>
      <c r="B1092" s="5" t="s">
        <v>20</v>
      </c>
      <c r="C1092" s="22">
        <v>44830</v>
      </c>
      <c r="D1092" s="22">
        <v>44830</v>
      </c>
      <c r="E1092" s="3">
        <v>0</v>
      </c>
      <c r="F1092" s="3">
        <v>0</v>
      </c>
      <c r="G1092" s="3">
        <v>0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0</v>
      </c>
      <c r="N1092" s="3">
        <v>0</v>
      </c>
      <c r="O1092" s="3">
        <v>0</v>
      </c>
      <c r="P1092" s="3">
        <v>0</v>
      </c>
      <c r="Q1092" s="3">
        <v>0</v>
      </c>
      <c r="R1092" s="3">
        <v>0</v>
      </c>
      <c r="S1092" s="3">
        <v>0</v>
      </c>
      <c r="T1092" s="3">
        <v>0</v>
      </c>
      <c r="U1092" s="3">
        <v>0</v>
      </c>
      <c r="V1092" s="3">
        <v>0</v>
      </c>
      <c r="W1092" s="3">
        <v>0</v>
      </c>
      <c r="X1092" s="3">
        <v>0</v>
      </c>
      <c r="Y1092" s="3">
        <v>0</v>
      </c>
      <c r="Z1092" s="3">
        <v>0</v>
      </c>
      <c r="AA1092" s="3">
        <v>0</v>
      </c>
      <c r="AB1092" s="3">
        <v>0</v>
      </c>
      <c r="AC1092" s="3">
        <v>0</v>
      </c>
      <c r="AD1092" s="3">
        <v>0</v>
      </c>
      <c r="AE1092" s="3">
        <v>0</v>
      </c>
      <c r="AF1092" s="3">
        <v>0</v>
      </c>
      <c r="AG1092" s="3">
        <v>0</v>
      </c>
      <c r="AH1092" s="3">
        <v>0</v>
      </c>
      <c r="AI1092" s="3">
        <v>0</v>
      </c>
      <c r="AJ1092" s="3">
        <v>0</v>
      </c>
      <c r="AK1092" s="3">
        <v>0</v>
      </c>
      <c r="AL1092" s="3">
        <v>0</v>
      </c>
      <c r="AM1092" s="3">
        <v>0</v>
      </c>
      <c r="AN1092" s="3">
        <v>0</v>
      </c>
      <c r="AO1092" s="3">
        <v>0</v>
      </c>
      <c r="AP1092" s="3">
        <v>0</v>
      </c>
    </row>
    <row r="1093" spans="1:42" hidden="1" x14ac:dyDescent="0.3">
      <c r="A1093" s="5" t="s">
        <v>1226</v>
      </c>
      <c r="B1093" s="5" t="s">
        <v>20</v>
      </c>
      <c r="C1093" s="22">
        <v>44858</v>
      </c>
      <c r="D1093" s="22">
        <v>44858</v>
      </c>
      <c r="E1093" s="3">
        <v>0</v>
      </c>
      <c r="F1093" s="3">
        <v>0</v>
      </c>
      <c r="G1093" s="3">
        <v>0</v>
      </c>
      <c r="H1093" s="3">
        <v>0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v>0</v>
      </c>
      <c r="O1093" s="3">
        <v>0</v>
      </c>
      <c r="P1093" s="3">
        <v>0</v>
      </c>
      <c r="Q1093" s="3">
        <v>0</v>
      </c>
      <c r="R1093" s="3">
        <v>0</v>
      </c>
      <c r="S1093" s="3">
        <v>0</v>
      </c>
      <c r="T1093" s="3">
        <v>0</v>
      </c>
      <c r="U1093" s="3">
        <v>0</v>
      </c>
      <c r="V1093" s="3">
        <v>0</v>
      </c>
      <c r="W1093" s="3">
        <v>0</v>
      </c>
      <c r="X1093" s="3">
        <v>0</v>
      </c>
      <c r="Y1093" s="3">
        <v>0</v>
      </c>
      <c r="Z1093" s="3">
        <v>0</v>
      </c>
      <c r="AA1093" s="3">
        <v>0</v>
      </c>
      <c r="AB1093" s="3">
        <v>0</v>
      </c>
      <c r="AC1093" s="3">
        <v>0</v>
      </c>
      <c r="AD1093" s="3">
        <v>0</v>
      </c>
      <c r="AE1093" s="3">
        <v>0</v>
      </c>
      <c r="AF1093" s="3">
        <v>0</v>
      </c>
      <c r="AG1093" s="3">
        <v>0</v>
      </c>
      <c r="AH1093" s="3">
        <v>0</v>
      </c>
      <c r="AI1093" s="3">
        <v>0</v>
      </c>
      <c r="AJ1093" s="3">
        <v>0</v>
      </c>
      <c r="AK1093" s="3">
        <v>0</v>
      </c>
      <c r="AL1093" s="3">
        <v>0</v>
      </c>
      <c r="AM1093" s="3">
        <v>0</v>
      </c>
      <c r="AN1093" s="3">
        <v>0</v>
      </c>
      <c r="AO1093" s="3">
        <v>0</v>
      </c>
      <c r="AP1093" s="3">
        <v>0</v>
      </c>
    </row>
    <row r="1094" spans="1:42" hidden="1" x14ac:dyDescent="0.3">
      <c r="A1094" s="5" t="s">
        <v>1227</v>
      </c>
      <c r="B1094" s="5" t="s">
        <v>20</v>
      </c>
      <c r="C1094" s="22">
        <v>44888</v>
      </c>
      <c r="D1094" s="22">
        <v>44888</v>
      </c>
      <c r="E1094" s="3">
        <v>0</v>
      </c>
      <c r="F1094" s="3">
        <v>0</v>
      </c>
      <c r="G1094" s="3">
        <v>0</v>
      </c>
      <c r="H1094" s="3">
        <v>0</v>
      </c>
      <c r="I1094" s="3">
        <v>0</v>
      </c>
      <c r="J1094" s="3">
        <v>0</v>
      </c>
      <c r="K1094" s="3">
        <v>0</v>
      </c>
      <c r="L1094" s="3">
        <v>0</v>
      </c>
      <c r="M1094" s="3">
        <v>0</v>
      </c>
      <c r="N1094" s="3">
        <v>0</v>
      </c>
      <c r="O1094" s="3">
        <v>0</v>
      </c>
      <c r="P1094" s="3">
        <v>0</v>
      </c>
      <c r="Q1094" s="3">
        <v>0</v>
      </c>
      <c r="R1094" s="3">
        <v>0</v>
      </c>
      <c r="S1094" s="3">
        <v>0</v>
      </c>
      <c r="T1094" s="3">
        <v>0</v>
      </c>
      <c r="U1094" s="3">
        <v>0</v>
      </c>
      <c r="V1094" s="3">
        <v>0</v>
      </c>
      <c r="W1094" s="3">
        <v>0</v>
      </c>
      <c r="X1094" s="3">
        <v>0</v>
      </c>
      <c r="Y1094" s="3">
        <v>0</v>
      </c>
      <c r="Z1094" s="3">
        <v>0</v>
      </c>
      <c r="AA1094" s="3">
        <v>0</v>
      </c>
      <c r="AB1094" s="3">
        <v>0</v>
      </c>
      <c r="AC1094" s="3">
        <v>0</v>
      </c>
      <c r="AD1094" s="3">
        <v>0</v>
      </c>
      <c r="AE1094" s="3">
        <v>0</v>
      </c>
      <c r="AF1094" s="3">
        <v>0</v>
      </c>
      <c r="AG1094" s="3">
        <v>0</v>
      </c>
      <c r="AH1094" s="3">
        <v>0</v>
      </c>
      <c r="AI1094" s="3">
        <v>0</v>
      </c>
      <c r="AJ1094" s="3">
        <v>0</v>
      </c>
      <c r="AK1094" s="3">
        <v>0</v>
      </c>
      <c r="AL1094" s="3">
        <v>0</v>
      </c>
      <c r="AM1094" s="3">
        <v>0</v>
      </c>
      <c r="AN1094" s="3">
        <v>0</v>
      </c>
      <c r="AO1094" s="3">
        <v>0</v>
      </c>
      <c r="AP1094" s="3">
        <v>0</v>
      </c>
    </row>
    <row r="1095" spans="1:42" hidden="1" x14ac:dyDescent="0.3">
      <c r="A1095" s="5" t="s">
        <v>1228</v>
      </c>
      <c r="B1095" s="5" t="s">
        <v>20</v>
      </c>
      <c r="C1095" s="22">
        <v>44923</v>
      </c>
      <c r="D1095" s="22">
        <v>44923</v>
      </c>
      <c r="E1095" s="3">
        <v>0</v>
      </c>
      <c r="F1095" s="3">
        <v>0</v>
      </c>
      <c r="G1095" s="3">
        <v>0</v>
      </c>
      <c r="H1095" s="3">
        <v>0</v>
      </c>
      <c r="I1095" s="3">
        <v>0</v>
      </c>
      <c r="J1095" s="3">
        <v>0</v>
      </c>
      <c r="K1095" s="3">
        <v>0</v>
      </c>
      <c r="L1095" s="3">
        <v>0</v>
      </c>
      <c r="M1095" s="3">
        <v>0</v>
      </c>
      <c r="N1095" s="3">
        <v>0</v>
      </c>
      <c r="O1095" s="3">
        <v>0</v>
      </c>
      <c r="P1095" s="3">
        <v>0</v>
      </c>
      <c r="Q1095" s="3">
        <v>0</v>
      </c>
      <c r="R1095" s="3">
        <v>0</v>
      </c>
      <c r="S1095" s="3">
        <v>0</v>
      </c>
      <c r="T1095" s="3">
        <v>0</v>
      </c>
      <c r="U1095" s="3">
        <v>0</v>
      </c>
      <c r="V1095" s="3">
        <v>0</v>
      </c>
      <c r="W1095" s="3">
        <v>0</v>
      </c>
      <c r="X1095" s="3">
        <v>0</v>
      </c>
      <c r="Y1095" s="3">
        <v>0</v>
      </c>
      <c r="Z1095" s="3">
        <v>0</v>
      </c>
      <c r="AA1095" s="3">
        <v>0</v>
      </c>
      <c r="AB1095" s="3">
        <v>0</v>
      </c>
      <c r="AC1095" s="3">
        <v>0</v>
      </c>
      <c r="AD1095" s="3">
        <v>0</v>
      </c>
      <c r="AE1095" s="3">
        <v>0</v>
      </c>
      <c r="AF1095" s="3">
        <v>0</v>
      </c>
      <c r="AG1095" s="3">
        <v>0</v>
      </c>
      <c r="AH1095" s="3">
        <v>0</v>
      </c>
      <c r="AI1095" s="3">
        <v>0</v>
      </c>
      <c r="AJ1095" s="3">
        <v>0</v>
      </c>
      <c r="AK1095" s="3">
        <v>0</v>
      </c>
      <c r="AL1095" s="3">
        <v>0</v>
      </c>
      <c r="AM1095" s="3">
        <v>0</v>
      </c>
      <c r="AN1095" s="3">
        <v>0</v>
      </c>
      <c r="AO1095" s="3">
        <v>0</v>
      </c>
      <c r="AP1095" s="3">
        <v>0</v>
      </c>
    </row>
    <row r="1096" spans="1:42" hidden="1" x14ac:dyDescent="0.3">
      <c r="A1096" s="5" t="s">
        <v>1229</v>
      </c>
      <c r="B1096" s="5" t="s">
        <v>20</v>
      </c>
      <c r="C1096" s="22">
        <v>44949</v>
      </c>
      <c r="D1096" s="22">
        <v>44949</v>
      </c>
      <c r="E1096" s="3">
        <v>0</v>
      </c>
      <c r="F1096" s="3">
        <v>0</v>
      </c>
      <c r="G1096" s="3">
        <v>0</v>
      </c>
      <c r="H1096" s="3">
        <v>0</v>
      </c>
      <c r="I1096" s="3">
        <v>0</v>
      </c>
      <c r="J1096" s="3">
        <v>0</v>
      </c>
      <c r="K1096" s="3">
        <v>0</v>
      </c>
      <c r="L1096" s="3">
        <v>0</v>
      </c>
      <c r="M1096" s="3">
        <v>0</v>
      </c>
      <c r="N1096" s="3">
        <v>0</v>
      </c>
      <c r="O1096" s="3">
        <v>0</v>
      </c>
      <c r="P1096" s="3">
        <v>0</v>
      </c>
      <c r="Q1096" s="3">
        <v>0</v>
      </c>
      <c r="R1096" s="3">
        <v>0</v>
      </c>
      <c r="S1096" s="3">
        <v>0</v>
      </c>
      <c r="T1096" s="3">
        <v>0</v>
      </c>
      <c r="U1096" s="3">
        <v>0</v>
      </c>
      <c r="V1096" s="3">
        <v>0</v>
      </c>
      <c r="W1096" s="3">
        <v>0</v>
      </c>
      <c r="X1096" s="3">
        <v>0</v>
      </c>
      <c r="Y1096" s="3">
        <v>0</v>
      </c>
      <c r="Z1096" s="3">
        <v>0</v>
      </c>
      <c r="AA1096" s="3">
        <v>0</v>
      </c>
      <c r="AB1096" s="3">
        <v>0</v>
      </c>
      <c r="AC1096" s="3">
        <v>0</v>
      </c>
      <c r="AD1096" s="3">
        <v>0</v>
      </c>
      <c r="AE1096" s="3">
        <v>0</v>
      </c>
      <c r="AF1096" s="3">
        <v>0</v>
      </c>
      <c r="AG1096" s="3">
        <v>0</v>
      </c>
      <c r="AH1096" s="3">
        <v>0</v>
      </c>
      <c r="AI1096" s="3">
        <v>0</v>
      </c>
      <c r="AJ1096" s="3">
        <v>0</v>
      </c>
      <c r="AK1096" s="3">
        <v>0</v>
      </c>
      <c r="AL1096" s="3">
        <v>0</v>
      </c>
      <c r="AM1096" s="3">
        <v>0</v>
      </c>
      <c r="AN1096" s="3">
        <v>0</v>
      </c>
      <c r="AO1096" s="3">
        <v>0</v>
      </c>
      <c r="AP1096" s="3">
        <v>0</v>
      </c>
    </row>
    <row r="1097" spans="1:42" hidden="1" x14ac:dyDescent="0.3">
      <c r="A1097" s="5" t="s">
        <v>1230</v>
      </c>
      <c r="B1097" s="5" t="s">
        <v>20</v>
      </c>
      <c r="C1097" s="22">
        <v>44979</v>
      </c>
      <c r="D1097" s="22">
        <v>44979</v>
      </c>
      <c r="E1097" s="3">
        <v>0</v>
      </c>
      <c r="F1097" s="3">
        <v>0</v>
      </c>
      <c r="G1097" s="3">
        <v>0</v>
      </c>
      <c r="H1097" s="3">
        <v>0</v>
      </c>
      <c r="I1097" s="3">
        <v>0</v>
      </c>
      <c r="J1097" s="3">
        <v>0</v>
      </c>
      <c r="K1097" s="3">
        <v>0</v>
      </c>
      <c r="L1097" s="3">
        <v>0</v>
      </c>
      <c r="M1097" s="3">
        <v>0</v>
      </c>
      <c r="N1097" s="3">
        <v>0</v>
      </c>
      <c r="O1097" s="3">
        <v>0</v>
      </c>
      <c r="P1097" s="3">
        <v>0</v>
      </c>
      <c r="Q1097" s="3">
        <v>0</v>
      </c>
      <c r="R1097" s="3">
        <v>0</v>
      </c>
      <c r="S1097" s="3">
        <v>0</v>
      </c>
      <c r="T1097" s="3">
        <v>0</v>
      </c>
      <c r="U1097" s="3">
        <v>0</v>
      </c>
      <c r="V1097" s="3">
        <v>0</v>
      </c>
      <c r="W1097" s="3">
        <v>0</v>
      </c>
      <c r="X1097" s="3">
        <v>0</v>
      </c>
      <c r="Y1097" s="3">
        <v>0</v>
      </c>
      <c r="Z1097" s="3">
        <v>0</v>
      </c>
      <c r="AA1097" s="3">
        <v>0</v>
      </c>
      <c r="AB1097" s="3">
        <v>0</v>
      </c>
      <c r="AC1097" s="3">
        <v>0</v>
      </c>
      <c r="AD1097" s="3">
        <v>0</v>
      </c>
      <c r="AE1097" s="3">
        <v>0</v>
      </c>
      <c r="AF1097" s="3">
        <v>0</v>
      </c>
      <c r="AG1097" s="3">
        <v>0</v>
      </c>
      <c r="AH1097" s="3">
        <v>0</v>
      </c>
      <c r="AI1097" s="3">
        <v>0</v>
      </c>
      <c r="AJ1097" s="3">
        <v>0</v>
      </c>
      <c r="AK1097" s="3">
        <v>0</v>
      </c>
      <c r="AL1097" s="3">
        <v>0</v>
      </c>
      <c r="AM1097" s="3">
        <v>0</v>
      </c>
      <c r="AN1097" s="3">
        <v>0</v>
      </c>
      <c r="AO1097" s="3">
        <v>0</v>
      </c>
      <c r="AP1097" s="3">
        <v>0</v>
      </c>
    </row>
    <row r="1098" spans="1:42" hidden="1" x14ac:dyDescent="0.3">
      <c r="A1098" s="5" t="s">
        <v>1231</v>
      </c>
      <c r="B1098" s="5" t="s">
        <v>20</v>
      </c>
      <c r="C1098" s="22">
        <v>45008</v>
      </c>
      <c r="D1098" s="22">
        <v>45008</v>
      </c>
      <c r="E1098" s="3">
        <v>0</v>
      </c>
      <c r="F1098" s="3">
        <v>0</v>
      </c>
      <c r="G1098" s="3">
        <v>0</v>
      </c>
      <c r="H1098" s="3">
        <v>0</v>
      </c>
      <c r="I1098" s="3">
        <v>0</v>
      </c>
      <c r="J1098" s="3">
        <v>0</v>
      </c>
      <c r="K1098" s="3">
        <v>0</v>
      </c>
      <c r="L1098" s="3">
        <v>0</v>
      </c>
      <c r="M1098" s="3">
        <v>0</v>
      </c>
      <c r="N1098" s="3">
        <v>0</v>
      </c>
      <c r="O1098" s="3">
        <v>0</v>
      </c>
      <c r="P1098" s="3">
        <v>0</v>
      </c>
      <c r="Q1098" s="3">
        <v>0</v>
      </c>
      <c r="R1098" s="3">
        <v>0</v>
      </c>
      <c r="S1098" s="3">
        <v>0</v>
      </c>
      <c r="T1098" s="3">
        <v>0</v>
      </c>
      <c r="U1098" s="3">
        <v>0</v>
      </c>
      <c r="V1098" s="3">
        <v>0</v>
      </c>
      <c r="W1098" s="3">
        <v>0</v>
      </c>
      <c r="X1098" s="3">
        <v>0</v>
      </c>
      <c r="Y1098" s="3">
        <v>0</v>
      </c>
      <c r="Z1098" s="3">
        <v>0</v>
      </c>
      <c r="AA1098" s="3">
        <v>0</v>
      </c>
      <c r="AB1098" s="3">
        <v>0</v>
      </c>
      <c r="AC1098" s="3">
        <v>0</v>
      </c>
      <c r="AD1098" s="3">
        <v>0</v>
      </c>
      <c r="AE1098" s="3">
        <v>0</v>
      </c>
      <c r="AF1098" s="3">
        <v>0</v>
      </c>
      <c r="AG1098" s="3">
        <v>0</v>
      </c>
      <c r="AH1098" s="3">
        <v>0</v>
      </c>
      <c r="AI1098" s="3">
        <v>0</v>
      </c>
      <c r="AJ1098" s="3">
        <v>0</v>
      </c>
      <c r="AK1098" s="3">
        <v>0</v>
      </c>
      <c r="AL1098" s="3">
        <v>0</v>
      </c>
      <c r="AM1098" s="3">
        <v>0</v>
      </c>
      <c r="AN1098" s="3">
        <v>0</v>
      </c>
      <c r="AO1098" s="3">
        <v>0</v>
      </c>
      <c r="AP1098" s="3">
        <v>0</v>
      </c>
    </row>
    <row r="1099" spans="1:42" hidden="1" x14ac:dyDescent="0.3">
      <c r="A1099" s="5" t="s">
        <v>1232</v>
      </c>
      <c r="B1099" s="5" t="s">
        <v>20</v>
      </c>
      <c r="C1099" s="22">
        <v>45040</v>
      </c>
      <c r="D1099" s="22">
        <v>45040</v>
      </c>
      <c r="E1099" s="3">
        <v>0</v>
      </c>
      <c r="F1099" s="3">
        <v>0</v>
      </c>
      <c r="G1099" s="3">
        <v>0</v>
      </c>
      <c r="H1099" s="3">
        <v>0</v>
      </c>
      <c r="I1099" s="3">
        <v>0</v>
      </c>
      <c r="J1099" s="3">
        <v>0</v>
      </c>
      <c r="K1099" s="3">
        <v>0</v>
      </c>
      <c r="L1099" s="3">
        <v>0</v>
      </c>
      <c r="M1099" s="3">
        <v>0</v>
      </c>
      <c r="N1099" s="3">
        <v>0</v>
      </c>
      <c r="O1099" s="3">
        <v>0</v>
      </c>
      <c r="P1099" s="3">
        <v>0</v>
      </c>
      <c r="Q1099" s="3">
        <v>0</v>
      </c>
      <c r="R1099" s="3">
        <v>0</v>
      </c>
      <c r="S1099" s="3">
        <v>0</v>
      </c>
      <c r="T1099" s="3">
        <v>0</v>
      </c>
      <c r="U1099" s="3">
        <v>0</v>
      </c>
      <c r="V1099" s="3">
        <v>0</v>
      </c>
      <c r="W1099" s="3">
        <v>0</v>
      </c>
      <c r="X1099" s="3">
        <v>0</v>
      </c>
      <c r="Y1099" s="3">
        <v>0</v>
      </c>
      <c r="Z1099" s="3">
        <v>0</v>
      </c>
      <c r="AA1099" s="3">
        <v>0</v>
      </c>
      <c r="AB1099" s="3">
        <v>0</v>
      </c>
      <c r="AC1099" s="3">
        <v>0</v>
      </c>
      <c r="AD1099" s="3">
        <v>0</v>
      </c>
      <c r="AE1099" s="3">
        <v>0</v>
      </c>
      <c r="AF1099" s="3">
        <v>0</v>
      </c>
      <c r="AG1099" s="3">
        <v>0</v>
      </c>
      <c r="AH1099" s="3">
        <v>0</v>
      </c>
      <c r="AI1099" s="3">
        <v>0</v>
      </c>
      <c r="AJ1099" s="3">
        <v>0</v>
      </c>
      <c r="AK1099" s="3">
        <v>0</v>
      </c>
      <c r="AL1099" s="3">
        <v>0</v>
      </c>
      <c r="AM1099" s="3">
        <v>0</v>
      </c>
      <c r="AN1099" s="3">
        <v>0</v>
      </c>
      <c r="AO1099" s="3">
        <v>0</v>
      </c>
      <c r="AP1099" s="3">
        <v>0</v>
      </c>
    </row>
    <row r="1100" spans="1:42" hidden="1" x14ac:dyDescent="0.3">
      <c r="A1100" s="5" t="s">
        <v>1233</v>
      </c>
      <c r="B1100" s="5" t="s">
        <v>20</v>
      </c>
      <c r="C1100" s="22">
        <v>45068</v>
      </c>
      <c r="D1100" s="22">
        <v>45068</v>
      </c>
      <c r="E1100" s="3">
        <v>0</v>
      </c>
      <c r="F1100" s="3">
        <v>0</v>
      </c>
      <c r="G1100" s="3">
        <v>0</v>
      </c>
      <c r="H1100" s="3">
        <v>0</v>
      </c>
      <c r="I1100" s="3">
        <v>0</v>
      </c>
      <c r="J1100" s="3">
        <v>0</v>
      </c>
      <c r="K1100" s="3">
        <v>0</v>
      </c>
      <c r="L1100" s="3">
        <v>0</v>
      </c>
      <c r="M1100" s="3">
        <v>0</v>
      </c>
      <c r="N1100" s="3">
        <v>0</v>
      </c>
      <c r="O1100" s="3">
        <v>0</v>
      </c>
      <c r="P1100" s="3">
        <v>0</v>
      </c>
      <c r="Q1100" s="3">
        <v>0</v>
      </c>
      <c r="R1100" s="3">
        <v>0</v>
      </c>
      <c r="S1100" s="3">
        <v>0</v>
      </c>
      <c r="T1100" s="3">
        <v>0</v>
      </c>
      <c r="U1100" s="3">
        <v>0</v>
      </c>
      <c r="V1100" s="3">
        <v>0</v>
      </c>
      <c r="W1100" s="3">
        <v>0</v>
      </c>
      <c r="X1100" s="3">
        <v>0</v>
      </c>
      <c r="Y1100" s="3">
        <v>0</v>
      </c>
      <c r="Z1100" s="3">
        <v>0</v>
      </c>
      <c r="AA1100" s="3">
        <v>0</v>
      </c>
      <c r="AB1100" s="3">
        <v>0</v>
      </c>
      <c r="AC1100" s="3">
        <v>0</v>
      </c>
      <c r="AD1100" s="3">
        <v>0</v>
      </c>
      <c r="AE1100" s="3">
        <v>0</v>
      </c>
      <c r="AF1100" s="3">
        <v>0</v>
      </c>
      <c r="AG1100" s="3">
        <v>0</v>
      </c>
      <c r="AH1100" s="3">
        <v>0</v>
      </c>
      <c r="AI1100" s="3">
        <v>0</v>
      </c>
      <c r="AJ1100" s="3">
        <v>0</v>
      </c>
      <c r="AK1100" s="3">
        <v>0</v>
      </c>
      <c r="AL1100" s="3">
        <v>0</v>
      </c>
      <c r="AM1100" s="3">
        <v>0</v>
      </c>
      <c r="AN1100" s="3">
        <v>0</v>
      </c>
      <c r="AO1100" s="3">
        <v>0</v>
      </c>
      <c r="AP1100" s="3">
        <v>0</v>
      </c>
    </row>
    <row r="1101" spans="1:42" hidden="1" x14ac:dyDescent="0.3">
      <c r="A1101" s="5" t="s">
        <v>1234</v>
      </c>
      <c r="B1101" s="5" t="s">
        <v>20</v>
      </c>
      <c r="C1101" s="22">
        <v>45098</v>
      </c>
      <c r="D1101" s="22">
        <v>45098</v>
      </c>
      <c r="E1101" s="3">
        <v>0</v>
      </c>
      <c r="F1101" s="3">
        <v>0</v>
      </c>
      <c r="G1101" s="3">
        <v>0</v>
      </c>
      <c r="H1101" s="3">
        <v>0</v>
      </c>
      <c r="I1101" s="3">
        <v>0</v>
      </c>
      <c r="J1101" s="3">
        <v>0</v>
      </c>
      <c r="K1101" s="3">
        <v>0</v>
      </c>
      <c r="L1101" s="3">
        <v>0</v>
      </c>
      <c r="M1101" s="3">
        <v>0</v>
      </c>
      <c r="N1101" s="3">
        <v>0</v>
      </c>
      <c r="O1101" s="3">
        <v>0</v>
      </c>
      <c r="P1101" s="3">
        <v>0</v>
      </c>
      <c r="Q1101" s="3">
        <v>0</v>
      </c>
      <c r="R1101" s="3">
        <v>0</v>
      </c>
      <c r="S1101" s="3">
        <v>0</v>
      </c>
      <c r="T1101" s="3">
        <v>0</v>
      </c>
      <c r="U1101" s="3">
        <v>0</v>
      </c>
      <c r="V1101" s="3">
        <v>0</v>
      </c>
      <c r="W1101" s="3">
        <v>0</v>
      </c>
      <c r="X1101" s="3">
        <v>0</v>
      </c>
      <c r="Y1101" s="3">
        <v>0</v>
      </c>
      <c r="Z1101" s="3">
        <v>0</v>
      </c>
      <c r="AA1101" s="3">
        <v>0</v>
      </c>
      <c r="AB1101" s="3">
        <v>0</v>
      </c>
      <c r="AC1101" s="3">
        <v>0</v>
      </c>
      <c r="AD1101" s="3">
        <v>0</v>
      </c>
      <c r="AE1101" s="3">
        <v>0</v>
      </c>
      <c r="AF1101" s="3">
        <v>0</v>
      </c>
      <c r="AG1101" s="3">
        <v>0</v>
      </c>
      <c r="AH1101" s="3">
        <v>0</v>
      </c>
      <c r="AI1101" s="3">
        <v>0</v>
      </c>
      <c r="AJ1101" s="3">
        <v>0</v>
      </c>
      <c r="AK1101" s="3">
        <v>0</v>
      </c>
      <c r="AL1101" s="3">
        <v>0</v>
      </c>
      <c r="AM1101" s="3">
        <v>0</v>
      </c>
      <c r="AN1101" s="3">
        <v>0</v>
      </c>
      <c r="AO1101" s="3">
        <v>0</v>
      </c>
      <c r="AP1101" s="3">
        <v>0</v>
      </c>
    </row>
    <row r="1102" spans="1:42" hidden="1" x14ac:dyDescent="0.3">
      <c r="A1102" s="5" t="s">
        <v>1235</v>
      </c>
      <c r="B1102" s="5" t="s">
        <v>20</v>
      </c>
      <c r="C1102" s="22">
        <v>45128</v>
      </c>
      <c r="D1102" s="22">
        <v>45128</v>
      </c>
      <c r="E1102" s="3">
        <v>0</v>
      </c>
      <c r="F1102" s="3">
        <v>0</v>
      </c>
      <c r="G1102" s="3">
        <v>0</v>
      </c>
      <c r="H1102" s="3">
        <v>0</v>
      </c>
      <c r="I1102" s="3">
        <v>0</v>
      </c>
      <c r="J1102" s="3">
        <v>0</v>
      </c>
      <c r="K1102" s="3">
        <v>0</v>
      </c>
      <c r="L1102" s="3">
        <v>0</v>
      </c>
      <c r="M1102" s="3">
        <v>0</v>
      </c>
      <c r="N1102" s="3">
        <v>0</v>
      </c>
      <c r="O1102" s="3">
        <v>0</v>
      </c>
      <c r="P1102" s="3">
        <v>0</v>
      </c>
      <c r="Q1102" s="3">
        <v>0</v>
      </c>
      <c r="R1102" s="3">
        <v>0</v>
      </c>
      <c r="S1102" s="3">
        <v>0</v>
      </c>
      <c r="T1102" s="3">
        <v>0</v>
      </c>
      <c r="U1102" s="3">
        <v>0</v>
      </c>
      <c r="V1102" s="3">
        <v>0</v>
      </c>
      <c r="W1102" s="3">
        <v>0</v>
      </c>
      <c r="X1102" s="3">
        <v>0</v>
      </c>
      <c r="Y1102" s="3">
        <v>0</v>
      </c>
      <c r="Z1102" s="3">
        <v>0</v>
      </c>
      <c r="AA1102" s="3">
        <v>0</v>
      </c>
      <c r="AB1102" s="3">
        <v>0</v>
      </c>
      <c r="AC1102" s="3">
        <v>0</v>
      </c>
      <c r="AD1102" s="3">
        <v>0</v>
      </c>
      <c r="AE1102" s="3">
        <v>0</v>
      </c>
      <c r="AF1102" s="3">
        <v>0</v>
      </c>
      <c r="AG1102" s="3">
        <v>0</v>
      </c>
      <c r="AH1102" s="3">
        <v>0</v>
      </c>
      <c r="AI1102" s="3">
        <v>0</v>
      </c>
      <c r="AJ1102" s="3">
        <v>0</v>
      </c>
      <c r="AK1102" s="3">
        <v>0</v>
      </c>
      <c r="AL1102" s="3">
        <v>0</v>
      </c>
      <c r="AM1102" s="3">
        <v>0</v>
      </c>
      <c r="AN1102" s="3">
        <v>0</v>
      </c>
      <c r="AO1102" s="3">
        <v>0</v>
      </c>
      <c r="AP1102" s="3">
        <v>0</v>
      </c>
    </row>
    <row r="1103" spans="1:42" hidden="1" x14ac:dyDescent="0.3">
      <c r="A1103" s="5" t="s">
        <v>1236</v>
      </c>
      <c r="B1103" s="5" t="s">
        <v>20</v>
      </c>
      <c r="C1103" s="22">
        <v>45159</v>
      </c>
      <c r="D1103" s="22">
        <v>45159</v>
      </c>
      <c r="E1103" s="3">
        <v>0</v>
      </c>
      <c r="F1103" s="3">
        <v>0</v>
      </c>
      <c r="G1103" s="3">
        <v>0</v>
      </c>
      <c r="H1103" s="3">
        <v>0</v>
      </c>
      <c r="I1103" s="3">
        <v>0</v>
      </c>
      <c r="J1103" s="3">
        <v>0</v>
      </c>
      <c r="K1103" s="3">
        <v>0</v>
      </c>
      <c r="L1103" s="3">
        <v>0</v>
      </c>
      <c r="M1103" s="3">
        <v>0</v>
      </c>
      <c r="N1103" s="3">
        <v>0</v>
      </c>
      <c r="O1103" s="3">
        <v>0</v>
      </c>
      <c r="P1103" s="3">
        <v>0</v>
      </c>
      <c r="Q1103" s="3">
        <v>0</v>
      </c>
      <c r="R1103" s="3">
        <v>0</v>
      </c>
      <c r="S1103" s="3">
        <v>0</v>
      </c>
      <c r="T1103" s="3">
        <v>0</v>
      </c>
      <c r="U1103" s="3">
        <v>0</v>
      </c>
      <c r="V1103" s="3">
        <v>0</v>
      </c>
      <c r="W1103" s="3">
        <v>0</v>
      </c>
      <c r="X1103" s="3">
        <v>0</v>
      </c>
      <c r="Y1103" s="3">
        <v>0</v>
      </c>
      <c r="Z1103" s="3">
        <v>0</v>
      </c>
      <c r="AA1103" s="3">
        <v>0</v>
      </c>
      <c r="AB1103" s="3">
        <v>0</v>
      </c>
      <c r="AC1103" s="3">
        <v>0</v>
      </c>
      <c r="AD1103" s="3">
        <v>0</v>
      </c>
      <c r="AE1103" s="3">
        <v>0</v>
      </c>
      <c r="AF1103" s="3">
        <v>0</v>
      </c>
      <c r="AG1103" s="3">
        <v>0</v>
      </c>
      <c r="AH1103" s="3">
        <v>0</v>
      </c>
      <c r="AI1103" s="3">
        <v>0</v>
      </c>
      <c r="AJ1103" s="3">
        <v>0</v>
      </c>
      <c r="AK1103" s="3">
        <v>0</v>
      </c>
      <c r="AL1103" s="3">
        <v>0</v>
      </c>
      <c r="AM1103" s="3">
        <v>0</v>
      </c>
      <c r="AN1103" s="3">
        <v>0</v>
      </c>
      <c r="AO1103" s="3">
        <v>0</v>
      </c>
      <c r="AP1103" s="3">
        <v>0</v>
      </c>
    </row>
    <row r="1104" spans="1:42" hidden="1" x14ac:dyDescent="0.3">
      <c r="A1104" s="5" t="s">
        <v>1237</v>
      </c>
      <c r="B1104" s="5" t="s">
        <v>20</v>
      </c>
      <c r="C1104" s="22">
        <v>45188</v>
      </c>
      <c r="D1104" s="22">
        <v>45188</v>
      </c>
      <c r="E1104" s="3">
        <v>0</v>
      </c>
      <c r="F1104" s="3">
        <v>0</v>
      </c>
      <c r="G1104" s="3">
        <v>0</v>
      </c>
      <c r="H1104" s="3">
        <v>0</v>
      </c>
      <c r="I1104" s="3">
        <v>0</v>
      </c>
      <c r="J1104" s="3">
        <v>0</v>
      </c>
      <c r="K1104" s="3">
        <v>0</v>
      </c>
      <c r="L1104" s="3">
        <v>0</v>
      </c>
      <c r="M1104" s="3">
        <v>0</v>
      </c>
      <c r="N1104" s="3">
        <v>0</v>
      </c>
      <c r="O1104" s="3">
        <v>0</v>
      </c>
      <c r="P1104" s="3">
        <v>0</v>
      </c>
      <c r="Q1104" s="3">
        <v>0</v>
      </c>
      <c r="R1104" s="3">
        <v>0</v>
      </c>
      <c r="S1104" s="3">
        <v>0</v>
      </c>
      <c r="T1104" s="3">
        <v>0</v>
      </c>
      <c r="U1104" s="3">
        <v>0</v>
      </c>
      <c r="V1104" s="3">
        <v>0</v>
      </c>
      <c r="W1104" s="3">
        <v>0</v>
      </c>
      <c r="X1104" s="3">
        <v>0</v>
      </c>
      <c r="Y1104" s="3">
        <v>0</v>
      </c>
      <c r="Z1104" s="3">
        <v>0</v>
      </c>
      <c r="AA1104" s="3">
        <v>0</v>
      </c>
      <c r="AB1104" s="3">
        <v>0</v>
      </c>
      <c r="AC1104" s="3">
        <v>0</v>
      </c>
      <c r="AD1104" s="3">
        <v>0</v>
      </c>
      <c r="AE1104" s="3">
        <v>0</v>
      </c>
      <c r="AF1104" s="3">
        <v>0</v>
      </c>
      <c r="AG1104" s="3">
        <v>0</v>
      </c>
      <c r="AH1104" s="3">
        <v>0</v>
      </c>
      <c r="AI1104" s="3">
        <v>0</v>
      </c>
      <c r="AJ1104" s="3">
        <v>0</v>
      </c>
      <c r="AK1104" s="3">
        <v>0</v>
      </c>
      <c r="AL1104" s="3">
        <v>0</v>
      </c>
      <c r="AM1104" s="3">
        <v>0</v>
      </c>
      <c r="AN1104" s="3">
        <v>0</v>
      </c>
      <c r="AO1104" s="3">
        <v>0</v>
      </c>
      <c r="AP1104" s="3">
        <v>0</v>
      </c>
    </row>
    <row r="1105" spans="1:42" hidden="1" x14ac:dyDescent="0.3">
      <c r="A1105" s="5" t="s">
        <v>1238</v>
      </c>
      <c r="B1105" s="5" t="s">
        <v>20</v>
      </c>
      <c r="C1105" s="22">
        <v>45218</v>
      </c>
      <c r="D1105" s="22">
        <v>45218</v>
      </c>
      <c r="E1105" s="3">
        <v>0</v>
      </c>
      <c r="F1105" s="3">
        <v>0</v>
      </c>
      <c r="G1105" s="3">
        <v>0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0</v>
      </c>
      <c r="O1105" s="3">
        <v>0</v>
      </c>
      <c r="P1105" s="3">
        <v>0</v>
      </c>
      <c r="Q1105" s="3">
        <v>0</v>
      </c>
      <c r="R1105" s="3">
        <v>0</v>
      </c>
      <c r="S1105" s="3">
        <v>0</v>
      </c>
      <c r="T1105" s="3">
        <v>0</v>
      </c>
      <c r="U1105" s="3">
        <v>0</v>
      </c>
      <c r="V1105" s="3">
        <v>0</v>
      </c>
      <c r="W1105" s="3">
        <v>0</v>
      </c>
      <c r="X1105" s="3">
        <v>0</v>
      </c>
      <c r="Y1105" s="3">
        <v>0</v>
      </c>
      <c r="Z1105" s="3">
        <v>0</v>
      </c>
      <c r="AA1105" s="3">
        <v>0</v>
      </c>
      <c r="AB1105" s="3">
        <v>0</v>
      </c>
      <c r="AC1105" s="3">
        <v>0</v>
      </c>
      <c r="AD1105" s="3">
        <v>0</v>
      </c>
      <c r="AE1105" s="3">
        <v>0</v>
      </c>
      <c r="AF1105" s="3">
        <v>0</v>
      </c>
      <c r="AG1105" s="3">
        <v>0</v>
      </c>
      <c r="AH1105" s="3">
        <v>0</v>
      </c>
      <c r="AI1105" s="3">
        <v>0</v>
      </c>
      <c r="AJ1105" s="3">
        <v>0</v>
      </c>
      <c r="AK1105" s="3">
        <v>0</v>
      </c>
      <c r="AL1105" s="3">
        <v>0</v>
      </c>
      <c r="AM1105" s="3">
        <v>0</v>
      </c>
      <c r="AN1105" s="3">
        <v>0</v>
      </c>
      <c r="AO1105" s="3">
        <v>0</v>
      </c>
      <c r="AP1105" s="3">
        <v>0</v>
      </c>
    </row>
    <row r="1106" spans="1:42" hidden="1" x14ac:dyDescent="0.3">
      <c r="A1106" s="5" t="s">
        <v>1239</v>
      </c>
      <c r="B1106" s="5" t="s">
        <v>20</v>
      </c>
      <c r="C1106" s="22">
        <v>45250</v>
      </c>
      <c r="D1106" s="22">
        <v>45250</v>
      </c>
      <c r="E1106" s="3">
        <v>0</v>
      </c>
      <c r="F1106" s="3">
        <v>0</v>
      </c>
      <c r="G1106" s="3">
        <v>0</v>
      </c>
      <c r="H1106" s="3">
        <v>0</v>
      </c>
      <c r="I1106" s="3">
        <v>0</v>
      </c>
      <c r="J1106" s="3">
        <v>0</v>
      </c>
      <c r="K1106" s="3">
        <v>0</v>
      </c>
      <c r="L1106" s="3">
        <v>0</v>
      </c>
      <c r="M1106" s="3">
        <v>0</v>
      </c>
      <c r="N1106" s="3">
        <v>0</v>
      </c>
      <c r="O1106" s="3">
        <v>0</v>
      </c>
      <c r="P1106" s="3">
        <v>0</v>
      </c>
      <c r="Q1106" s="3">
        <v>0</v>
      </c>
      <c r="R1106" s="3">
        <v>0</v>
      </c>
      <c r="S1106" s="3">
        <v>0</v>
      </c>
      <c r="T1106" s="3">
        <v>0</v>
      </c>
      <c r="U1106" s="3">
        <v>0</v>
      </c>
      <c r="V1106" s="3">
        <v>0</v>
      </c>
      <c r="W1106" s="3">
        <v>0</v>
      </c>
      <c r="X1106" s="3">
        <v>0</v>
      </c>
      <c r="Y1106" s="3">
        <v>0</v>
      </c>
      <c r="Z1106" s="3">
        <v>0</v>
      </c>
      <c r="AA1106" s="3">
        <v>0</v>
      </c>
      <c r="AB1106" s="3">
        <v>0</v>
      </c>
      <c r="AC1106" s="3">
        <v>0</v>
      </c>
      <c r="AD1106" s="3">
        <v>0</v>
      </c>
      <c r="AE1106" s="3">
        <v>0</v>
      </c>
      <c r="AF1106" s="3">
        <v>0</v>
      </c>
      <c r="AG1106" s="3">
        <v>0</v>
      </c>
      <c r="AH1106" s="3">
        <v>0</v>
      </c>
      <c r="AI1106" s="3">
        <v>0</v>
      </c>
      <c r="AJ1106" s="3">
        <v>0</v>
      </c>
      <c r="AK1106" s="3">
        <v>0</v>
      </c>
      <c r="AL1106" s="3">
        <v>0</v>
      </c>
      <c r="AM1106" s="3">
        <v>0</v>
      </c>
      <c r="AN1106" s="3">
        <v>0</v>
      </c>
      <c r="AO1106" s="3">
        <v>0</v>
      </c>
      <c r="AP1106" s="3">
        <v>0</v>
      </c>
    </row>
    <row r="1107" spans="1:42" hidden="1" x14ac:dyDescent="0.3">
      <c r="A1107" s="5" t="s">
        <v>1240</v>
      </c>
      <c r="B1107" s="5" t="s">
        <v>20</v>
      </c>
      <c r="C1107" s="22">
        <v>45288</v>
      </c>
      <c r="D1107" s="22">
        <v>45288</v>
      </c>
      <c r="E1107" s="3">
        <v>0</v>
      </c>
      <c r="F1107" s="3">
        <v>0</v>
      </c>
      <c r="G1107" s="3">
        <v>0</v>
      </c>
      <c r="H1107" s="3">
        <v>0</v>
      </c>
      <c r="I1107" s="3">
        <v>0</v>
      </c>
      <c r="J1107" s="3">
        <v>0</v>
      </c>
      <c r="K1107" s="3">
        <v>0</v>
      </c>
      <c r="L1107" s="3">
        <v>0</v>
      </c>
      <c r="M1107" s="3">
        <v>0</v>
      </c>
      <c r="N1107" s="3">
        <v>0</v>
      </c>
      <c r="O1107" s="3">
        <v>0</v>
      </c>
      <c r="P1107" s="3">
        <v>0</v>
      </c>
      <c r="Q1107" s="3">
        <v>0</v>
      </c>
      <c r="R1107" s="3">
        <v>0</v>
      </c>
      <c r="S1107" s="3">
        <v>0</v>
      </c>
      <c r="T1107" s="3">
        <v>0</v>
      </c>
      <c r="U1107" s="3">
        <v>0</v>
      </c>
      <c r="V1107" s="3">
        <v>0</v>
      </c>
      <c r="W1107" s="3">
        <v>0</v>
      </c>
      <c r="X1107" s="3">
        <v>0</v>
      </c>
      <c r="Y1107" s="3">
        <v>0</v>
      </c>
      <c r="Z1107" s="3">
        <v>0</v>
      </c>
      <c r="AA1107" s="3">
        <v>0</v>
      </c>
      <c r="AB1107" s="3">
        <v>0</v>
      </c>
      <c r="AC1107" s="3">
        <v>0</v>
      </c>
      <c r="AD1107" s="3">
        <v>0</v>
      </c>
      <c r="AE1107" s="3">
        <v>0</v>
      </c>
      <c r="AF1107" s="3">
        <v>0</v>
      </c>
      <c r="AG1107" s="3">
        <v>0</v>
      </c>
      <c r="AH1107" s="3">
        <v>0</v>
      </c>
      <c r="AI1107" s="3">
        <v>0</v>
      </c>
      <c r="AJ1107" s="3">
        <v>0</v>
      </c>
      <c r="AK1107" s="3">
        <v>0</v>
      </c>
      <c r="AL1107" s="3">
        <v>0</v>
      </c>
      <c r="AM1107" s="3">
        <v>0</v>
      </c>
      <c r="AN1107" s="3">
        <v>0</v>
      </c>
      <c r="AO1107" s="3">
        <v>0</v>
      </c>
      <c r="AP1107" s="3">
        <v>0</v>
      </c>
    </row>
    <row r="1108" spans="1:42" hidden="1" x14ac:dyDescent="0.3">
      <c r="A1108" s="5" t="s">
        <v>1241</v>
      </c>
      <c r="B1108" s="5" t="s">
        <v>20</v>
      </c>
      <c r="C1108" s="22">
        <v>45308</v>
      </c>
      <c r="D1108" s="22">
        <v>45308</v>
      </c>
      <c r="E1108" s="3">
        <v>0</v>
      </c>
      <c r="F1108" s="3">
        <v>0</v>
      </c>
      <c r="G1108" s="3">
        <v>0</v>
      </c>
      <c r="H1108" s="3">
        <v>0</v>
      </c>
      <c r="I1108" s="3">
        <v>0</v>
      </c>
      <c r="J1108" s="3">
        <v>0</v>
      </c>
      <c r="K1108" s="3">
        <v>0</v>
      </c>
      <c r="L1108" s="3">
        <v>0</v>
      </c>
      <c r="M1108" s="3">
        <v>0</v>
      </c>
      <c r="N1108" s="3">
        <v>0</v>
      </c>
      <c r="O1108" s="3">
        <v>0</v>
      </c>
      <c r="P1108" s="3">
        <v>0</v>
      </c>
      <c r="Q1108" s="3">
        <v>0</v>
      </c>
      <c r="R1108" s="3">
        <v>0</v>
      </c>
      <c r="S1108" s="3">
        <v>0</v>
      </c>
      <c r="T1108" s="3">
        <v>0</v>
      </c>
      <c r="U1108" s="3">
        <v>0</v>
      </c>
      <c r="V1108" s="3">
        <v>0</v>
      </c>
      <c r="W1108" s="3">
        <v>0</v>
      </c>
      <c r="X1108" s="3">
        <v>0</v>
      </c>
      <c r="Y1108" s="3">
        <v>0</v>
      </c>
      <c r="Z1108" s="3">
        <v>0</v>
      </c>
      <c r="AA1108" s="3">
        <v>0</v>
      </c>
      <c r="AB1108" s="3">
        <v>0</v>
      </c>
      <c r="AC1108" s="3">
        <v>0</v>
      </c>
      <c r="AD1108" s="3">
        <v>0</v>
      </c>
      <c r="AE1108" s="3">
        <v>0</v>
      </c>
      <c r="AF1108" s="3">
        <v>0</v>
      </c>
      <c r="AG1108" s="3">
        <v>0</v>
      </c>
      <c r="AH1108" s="3">
        <v>0</v>
      </c>
      <c r="AI1108" s="3">
        <v>0</v>
      </c>
      <c r="AJ1108" s="3">
        <v>0</v>
      </c>
      <c r="AK1108" s="3">
        <v>0</v>
      </c>
      <c r="AL1108" s="3">
        <v>0</v>
      </c>
      <c r="AM1108" s="3">
        <v>0</v>
      </c>
      <c r="AN1108" s="3">
        <v>0</v>
      </c>
      <c r="AO1108" s="3">
        <v>0</v>
      </c>
      <c r="AP1108" s="3">
        <v>0</v>
      </c>
    </row>
    <row r="1109" spans="1:42" hidden="1" x14ac:dyDescent="0.3">
      <c r="A1109" s="5" t="s">
        <v>1242</v>
      </c>
      <c r="B1109" s="5" t="s">
        <v>20</v>
      </c>
      <c r="C1109" s="22">
        <v>45338</v>
      </c>
      <c r="D1109" s="22">
        <v>45338</v>
      </c>
      <c r="E1109" s="3">
        <v>0</v>
      </c>
      <c r="F1109" s="3">
        <v>0</v>
      </c>
      <c r="G1109" s="3">
        <v>0</v>
      </c>
      <c r="H1109" s="3">
        <v>0</v>
      </c>
      <c r="I1109" s="3">
        <v>0</v>
      </c>
      <c r="J1109" s="3">
        <v>0</v>
      </c>
      <c r="K1109" s="3">
        <v>0</v>
      </c>
      <c r="L1109" s="3">
        <v>0</v>
      </c>
      <c r="M1109" s="3">
        <v>0</v>
      </c>
      <c r="N1109" s="3">
        <v>0</v>
      </c>
      <c r="O1109" s="3">
        <v>0</v>
      </c>
      <c r="P1109" s="3">
        <v>0</v>
      </c>
      <c r="Q1109" s="3">
        <v>0</v>
      </c>
      <c r="R1109" s="3">
        <v>0</v>
      </c>
      <c r="S1109" s="3">
        <v>0</v>
      </c>
      <c r="T1109" s="3">
        <v>0</v>
      </c>
      <c r="U1109" s="3">
        <v>0</v>
      </c>
      <c r="V1109" s="3">
        <v>0</v>
      </c>
      <c r="W1109" s="3">
        <v>0</v>
      </c>
      <c r="X1109" s="3">
        <v>0</v>
      </c>
      <c r="Y1109" s="3">
        <v>0</v>
      </c>
      <c r="Z1109" s="3">
        <v>0</v>
      </c>
      <c r="AA1109" s="3">
        <v>0</v>
      </c>
      <c r="AB1109" s="3">
        <v>0</v>
      </c>
      <c r="AC1109" s="3">
        <v>0</v>
      </c>
      <c r="AD1109" s="3">
        <v>0</v>
      </c>
      <c r="AE1109" s="3">
        <v>0</v>
      </c>
      <c r="AF1109" s="3">
        <v>0</v>
      </c>
      <c r="AG1109" s="3">
        <v>0</v>
      </c>
      <c r="AH1109" s="3">
        <v>0</v>
      </c>
      <c r="AI1109" s="3">
        <v>0</v>
      </c>
      <c r="AJ1109" s="3">
        <v>0</v>
      </c>
      <c r="AK1109" s="3">
        <v>0</v>
      </c>
      <c r="AL1109" s="3">
        <v>0</v>
      </c>
      <c r="AM1109" s="3">
        <v>0</v>
      </c>
      <c r="AN1109" s="3">
        <v>0</v>
      </c>
      <c r="AO1109" s="3">
        <v>0</v>
      </c>
      <c r="AP1109" s="3">
        <v>0</v>
      </c>
    </row>
    <row r="1110" spans="1:42" hidden="1" x14ac:dyDescent="0.3">
      <c r="A1110" s="5" t="s">
        <v>1243</v>
      </c>
      <c r="B1110" s="5" t="s">
        <v>20</v>
      </c>
      <c r="C1110" s="22">
        <v>45369</v>
      </c>
      <c r="D1110" s="22">
        <v>45369</v>
      </c>
      <c r="E1110" s="3">
        <v>0</v>
      </c>
      <c r="F1110" s="3">
        <v>0</v>
      </c>
      <c r="G1110" s="3">
        <v>0</v>
      </c>
      <c r="H1110" s="3">
        <v>0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  <c r="N1110" s="3">
        <v>0</v>
      </c>
      <c r="O1110" s="3">
        <v>0</v>
      </c>
      <c r="P1110" s="3">
        <v>0</v>
      </c>
      <c r="Q1110" s="3">
        <v>0</v>
      </c>
      <c r="R1110" s="3">
        <v>0</v>
      </c>
      <c r="S1110" s="3">
        <v>0</v>
      </c>
      <c r="T1110" s="3">
        <v>0</v>
      </c>
      <c r="U1110" s="3">
        <v>0</v>
      </c>
      <c r="V1110" s="3">
        <v>0</v>
      </c>
      <c r="W1110" s="3">
        <v>0</v>
      </c>
      <c r="X1110" s="3">
        <v>0</v>
      </c>
      <c r="Y1110" s="3">
        <v>0</v>
      </c>
      <c r="Z1110" s="3">
        <v>0</v>
      </c>
      <c r="AA1110" s="3">
        <v>0</v>
      </c>
      <c r="AB1110" s="3">
        <v>0</v>
      </c>
      <c r="AC1110" s="3">
        <v>0</v>
      </c>
      <c r="AD1110" s="3">
        <v>0</v>
      </c>
      <c r="AE1110" s="3">
        <v>0</v>
      </c>
      <c r="AF1110" s="3">
        <v>0</v>
      </c>
      <c r="AG1110" s="3">
        <v>0</v>
      </c>
      <c r="AH1110" s="3">
        <v>0</v>
      </c>
      <c r="AI1110" s="3">
        <v>0</v>
      </c>
      <c r="AJ1110" s="3">
        <v>0</v>
      </c>
      <c r="AK1110" s="3">
        <v>0</v>
      </c>
      <c r="AL1110" s="3">
        <v>0</v>
      </c>
      <c r="AM1110" s="3">
        <v>0</v>
      </c>
      <c r="AN1110" s="3">
        <v>0</v>
      </c>
      <c r="AO1110" s="3">
        <v>0</v>
      </c>
      <c r="AP1110" s="3">
        <v>0</v>
      </c>
    </row>
    <row r="1111" spans="1:42" hidden="1" x14ac:dyDescent="0.3">
      <c r="A1111" s="5" t="s">
        <v>1244</v>
      </c>
      <c r="B1111" s="5" t="s">
        <v>20</v>
      </c>
      <c r="C1111" s="22">
        <v>45398</v>
      </c>
      <c r="D1111" s="22">
        <v>45398</v>
      </c>
      <c r="E1111" s="3">
        <v>0</v>
      </c>
      <c r="F1111" s="3">
        <v>0</v>
      </c>
      <c r="G1111" s="3">
        <v>0</v>
      </c>
      <c r="H1111" s="3">
        <v>0</v>
      </c>
      <c r="I1111" s="3">
        <v>0</v>
      </c>
      <c r="J1111" s="3">
        <v>0</v>
      </c>
      <c r="K1111" s="3">
        <v>0</v>
      </c>
      <c r="L1111" s="3">
        <v>0</v>
      </c>
      <c r="M1111" s="3">
        <v>0</v>
      </c>
      <c r="N1111" s="3">
        <v>0</v>
      </c>
      <c r="O1111" s="3">
        <v>0</v>
      </c>
      <c r="P1111" s="3">
        <v>0</v>
      </c>
      <c r="Q1111" s="3">
        <v>0</v>
      </c>
      <c r="R1111" s="3">
        <v>0</v>
      </c>
      <c r="S1111" s="3">
        <v>0</v>
      </c>
      <c r="T1111" s="3">
        <v>0</v>
      </c>
      <c r="U1111" s="3">
        <v>0</v>
      </c>
      <c r="V1111" s="3">
        <v>0</v>
      </c>
      <c r="W1111" s="3">
        <v>0</v>
      </c>
      <c r="X1111" s="3">
        <v>0</v>
      </c>
      <c r="Y1111" s="3">
        <v>0</v>
      </c>
      <c r="Z1111" s="3">
        <v>0</v>
      </c>
      <c r="AA1111" s="3">
        <v>0</v>
      </c>
      <c r="AB1111" s="3">
        <v>0</v>
      </c>
      <c r="AC1111" s="3">
        <v>0</v>
      </c>
      <c r="AD1111" s="3">
        <v>0</v>
      </c>
      <c r="AE1111" s="3">
        <v>0</v>
      </c>
      <c r="AF1111" s="3">
        <v>0</v>
      </c>
      <c r="AG1111" s="3">
        <v>0</v>
      </c>
      <c r="AH1111" s="3">
        <v>0</v>
      </c>
      <c r="AI1111" s="3">
        <v>0</v>
      </c>
      <c r="AJ1111" s="3">
        <v>0</v>
      </c>
      <c r="AK1111" s="3">
        <v>0</v>
      </c>
      <c r="AL1111" s="3">
        <v>0</v>
      </c>
      <c r="AM1111" s="3">
        <v>0</v>
      </c>
      <c r="AN1111" s="3">
        <v>0</v>
      </c>
      <c r="AO1111" s="3">
        <v>0</v>
      </c>
      <c r="AP1111" s="3">
        <v>0</v>
      </c>
    </row>
    <row r="1112" spans="1:42" hidden="1" x14ac:dyDescent="0.3">
      <c r="A1112" s="5" t="s">
        <v>1245</v>
      </c>
      <c r="B1112" s="5" t="s">
        <v>20</v>
      </c>
      <c r="C1112" s="22">
        <v>45428</v>
      </c>
      <c r="D1112" s="22">
        <v>45428</v>
      </c>
      <c r="E1112" s="3">
        <v>0</v>
      </c>
      <c r="F1112" s="3">
        <v>0</v>
      </c>
      <c r="G1112" s="3">
        <v>0</v>
      </c>
      <c r="H1112" s="3">
        <v>0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  <c r="N1112" s="3">
        <v>0</v>
      </c>
      <c r="O1112" s="3">
        <v>0</v>
      </c>
      <c r="P1112" s="3">
        <v>0</v>
      </c>
      <c r="Q1112" s="3">
        <v>0</v>
      </c>
      <c r="R1112" s="3">
        <v>0</v>
      </c>
      <c r="S1112" s="3">
        <v>0</v>
      </c>
      <c r="T1112" s="3">
        <v>0</v>
      </c>
      <c r="U1112" s="3">
        <v>0</v>
      </c>
      <c r="V1112" s="3">
        <v>0</v>
      </c>
      <c r="W1112" s="3">
        <v>0</v>
      </c>
      <c r="X1112" s="3">
        <v>0</v>
      </c>
      <c r="Y1112" s="3">
        <v>0</v>
      </c>
      <c r="Z1112" s="3">
        <v>0</v>
      </c>
      <c r="AA1112" s="3">
        <v>0</v>
      </c>
      <c r="AB1112" s="3">
        <v>0</v>
      </c>
      <c r="AC1112" s="3">
        <v>0</v>
      </c>
      <c r="AD1112" s="3">
        <v>0</v>
      </c>
      <c r="AE1112" s="3">
        <v>0</v>
      </c>
      <c r="AF1112" s="3">
        <v>0</v>
      </c>
      <c r="AG1112" s="3">
        <v>0</v>
      </c>
      <c r="AH1112" s="3">
        <v>0</v>
      </c>
      <c r="AI1112" s="3">
        <v>0</v>
      </c>
      <c r="AJ1112" s="3">
        <v>0</v>
      </c>
      <c r="AK1112" s="3">
        <v>0</v>
      </c>
      <c r="AL1112" s="3">
        <v>0</v>
      </c>
      <c r="AM1112" s="3">
        <v>0</v>
      </c>
      <c r="AN1112" s="3">
        <v>0</v>
      </c>
      <c r="AO1112" s="3">
        <v>0</v>
      </c>
      <c r="AP1112" s="3">
        <v>0</v>
      </c>
    </row>
    <row r="1113" spans="1:42" hidden="1" x14ac:dyDescent="0.3">
      <c r="A1113" s="5" t="s">
        <v>1246</v>
      </c>
      <c r="B1113" s="5" t="s">
        <v>20</v>
      </c>
      <c r="C1113" s="22">
        <v>45460</v>
      </c>
      <c r="D1113" s="22">
        <v>45460</v>
      </c>
      <c r="E1113" s="3">
        <v>0</v>
      </c>
      <c r="F1113" s="3">
        <v>0</v>
      </c>
      <c r="G1113" s="3">
        <v>0</v>
      </c>
      <c r="H1113" s="3">
        <v>0</v>
      </c>
      <c r="I1113" s="3">
        <v>0</v>
      </c>
      <c r="J1113" s="3">
        <v>0</v>
      </c>
      <c r="K1113" s="3">
        <v>0</v>
      </c>
      <c r="L1113" s="3">
        <v>0</v>
      </c>
      <c r="M1113" s="3">
        <v>0</v>
      </c>
      <c r="N1113" s="3">
        <v>0</v>
      </c>
      <c r="O1113" s="3">
        <v>0</v>
      </c>
      <c r="P1113" s="3">
        <v>0</v>
      </c>
      <c r="Q1113" s="3">
        <v>0</v>
      </c>
      <c r="R1113" s="3">
        <v>0</v>
      </c>
      <c r="S1113" s="3">
        <v>0</v>
      </c>
      <c r="T1113" s="3">
        <v>0</v>
      </c>
      <c r="U1113" s="3">
        <v>0</v>
      </c>
      <c r="V1113" s="3">
        <v>0</v>
      </c>
      <c r="W1113" s="3">
        <v>0</v>
      </c>
      <c r="X1113" s="3">
        <v>0</v>
      </c>
      <c r="Y1113" s="3">
        <v>0</v>
      </c>
      <c r="Z1113" s="3">
        <v>0</v>
      </c>
      <c r="AA1113" s="3">
        <v>0</v>
      </c>
      <c r="AB1113" s="3">
        <v>0</v>
      </c>
      <c r="AC1113" s="3">
        <v>0</v>
      </c>
      <c r="AD1113" s="3">
        <v>0</v>
      </c>
      <c r="AE1113" s="3">
        <v>0</v>
      </c>
      <c r="AF1113" s="3">
        <v>0</v>
      </c>
      <c r="AG1113" s="3">
        <v>0</v>
      </c>
      <c r="AH1113" s="3">
        <v>0</v>
      </c>
      <c r="AI1113" s="3">
        <v>0</v>
      </c>
      <c r="AJ1113" s="3">
        <v>0</v>
      </c>
      <c r="AK1113" s="3">
        <v>0</v>
      </c>
      <c r="AL1113" s="3">
        <v>0</v>
      </c>
      <c r="AM1113" s="3">
        <v>0</v>
      </c>
      <c r="AN1113" s="3">
        <v>0</v>
      </c>
      <c r="AO1113" s="3">
        <v>0</v>
      </c>
      <c r="AP1113" s="3">
        <v>0</v>
      </c>
    </row>
    <row r="1114" spans="1:42" hidden="1" x14ac:dyDescent="0.3">
      <c r="A1114" s="5" t="s">
        <v>1247</v>
      </c>
      <c r="B1114" s="5" t="s">
        <v>20</v>
      </c>
      <c r="C1114" s="22">
        <v>45488</v>
      </c>
      <c r="D1114" s="22">
        <v>45488</v>
      </c>
      <c r="E1114" s="3">
        <v>0</v>
      </c>
      <c r="F1114" s="3">
        <v>0</v>
      </c>
      <c r="G1114" s="3">
        <v>0</v>
      </c>
      <c r="H1114" s="3">
        <v>0</v>
      </c>
      <c r="I1114" s="3">
        <v>0</v>
      </c>
      <c r="J1114" s="3">
        <v>0</v>
      </c>
      <c r="K1114" s="3">
        <v>0</v>
      </c>
      <c r="L1114" s="3">
        <v>0</v>
      </c>
      <c r="M1114" s="3">
        <v>0</v>
      </c>
      <c r="N1114" s="3">
        <v>0</v>
      </c>
      <c r="O1114" s="3">
        <v>0</v>
      </c>
      <c r="P1114" s="3">
        <v>0</v>
      </c>
      <c r="Q1114" s="3">
        <v>0</v>
      </c>
      <c r="R1114" s="3">
        <v>0</v>
      </c>
      <c r="S1114" s="3">
        <v>0</v>
      </c>
      <c r="T1114" s="3">
        <v>0</v>
      </c>
      <c r="U1114" s="3">
        <v>0</v>
      </c>
      <c r="V1114" s="3">
        <v>0</v>
      </c>
      <c r="W1114" s="3">
        <v>0</v>
      </c>
      <c r="X1114" s="3">
        <v>0</v>
      </c>
      <c r="Y1114" s="3">
        <v>0</v>
      </c>
      <c r="Z1114" s="3">
        <v>0</v>
      </c>
      <c r="AA1114" s="3">
        <v>0</v>
      </c>
      <c r="AB1114" s="3">
        <v>0</v>
      </c>
      <c r="AC1114" s="3">
        <v>0</v>
      </c>
      <c r="AD1114" s="3">
        <v>0</v>
      </c>
      <c r="AE1114" s="3">
        <v>0</v>
      </c>
      <c r="AF1114" s="3">
        <v>0</v>
      </c>
      <c r="AG1114" s="3">
        <v>0</v>
      </c>
      <c r="AH1114" s="3">
        <v>0</v>
      </c>
      <c r="AI1114" s="3">
        <v>0</v>
      </c>
      <c r="AJ1114" s="3">
        <v>0</v>
      </c>
      <c r="AK1114" s="3">
        <v>0</v>
      </c>
      <c r="AL1114" s="3">
        <v>0</v>
      </c>
      <c r="AM1114" s="3">
        <v>0</v>
      </c>
      <c r="AN1114" s="3">
        <v>0</v>
      </c>
      <c r="AO1114" s="3">
        <v>0</v>
      </c>
      <c r="AP1114" s="3">
        <v>0</v>
      </c>
    </row>
    <row r="1115" spans="1:42" hidden="1" x14ac:dyDescent="0.3">
      <c r="A1115" s="13" t="s">
        <v>1248</v>
      </c>
      <c r="B1115" s="13" t="s">
        <v>29</v>
      </c>
      <c r="C1115" s="18">
        <v>45506</v>
      </c>
      <c r="D1115" s="18">
        <v>45509</v>
      </c>
      <c r="E1115" s="2">
        <v>0</v>
      </c>
      <c r="F1115" s="2">
        <v>0</v>
      </c>
      <c r="G1115" s="2">
        <v>0</v>
      </c>
      <c r="H1115" s="2">
        <v>0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>
        <v>0</v>
      </c>
      <c r="AK1115" s="2">
        <v>0</v>
      </c>
      <c r="AL1115" s="2">
        <v>0</v>
      </c>
      <c r="AM1115" s="2">
        <v>0</v>
      </c>
      <c r="AN1115" s="2">
        <v>0</v>
      </c>
      <c r="AO1115" s="2">
        <v>0</v>
      </c>
      <c r="AP1115" s="2">
        <v>0</v>
      </c>
    </row>
    <row r="1116" spans="1:42" hidden="1" x14ac:dyDescent="0.3">
      <c r="A1116" s="5" t="s">
        <v>1249</v>
      </c>
      <c r="B1116" s="5" t="s">
        <v>29</v>
      </c>
      <c r="C1116" s="22">
        <v>45506</v>
      </c>
      <c r="D1116" s="22">
        <v>45509</v>
      </c>
      <c r="E1116" s="3">
        <v>0</v>
      </c>
      <c r="F1116" s="3">
        <v>0</v>
      </c>
      <c r="G1116" s="3">
        <v>0</v>
      </c>
      <c r="H1116" s="3">
        <v>0</v>
      </c>
      <c r="I1116" s="3">
        <v>0</v>
      </c>
      <c r="J1116" s="3">
        <v>0</v>
      </c>
      <c r="K1116" s="3">
        <v>0</v>
      </c>
      <c r="L1116" s="3">
        <v>0</v>
      </c>
      <c r="M1116" s="3">
        <v>0</v>
      </c>
      <c r="N1116" s="3">
        <v>0</v>
      </c>
      <c r="O1116" s="3">
        <v>0</v>
      </c>
      <c r="P1116" s="3">
        <v>0</v>
      </c>
      <c r="Q1116" s="3">
        <v>0</v>
      </c>
      <c r="R1116" s="3">
        <v>0</v>
      </c>
      <c r="S1116" s="3">
        <v>0</v>
      </c>
      <c r="T1116" s="3">
        <v>0</v>
      </c>
      <c r="U1116" s="3">
        <v>0</v>
      </c>
      <c r="V1116" s="3">
        <v>0</v>
      </c>
      <c r="W1116" s="3">
        <v>0</v>
      </c>
      <c r="X1116" s="3">
        <v>0</v>
      </c>
      <c r="Y1116" s="3">
        <v>0</v>
      </c>
      <c r="Z1116" s="3">
        <v>0</v>
      </c>
      <c r="AA1116" s="3">
        <v>0</v>
      </c>
      <c r="AB1116" s="3">
        <v>0</v>
      </c>
      <c r="AC1116" s="3">
        <v>0</v>
      </c>
      <c r="AD1116" s="3">
        <v>0</v>
      </c>
      <c r="AE1116" s="3">
        <v>0</v>
      </c>
      <c r="AF1116" s="3">
        <v>0</v>
      </c>
      <c r="AG1116" s="3">
        <v>0</v>
      </c>
      <c r="AH1116" s="3">
        <v>0</v>
      </c>
      <c r="AI1116" s="3">
        <v>0</v>
      </c>
      <c r="AJ1116" s="3">
        <v>0</v>
      </c>
      <c r="AK1116" s="3">
        <v>0</v>
      </c>
      <c r="AL1116" s="3">
        <v>0</v>
      </c>
      <c r="AM1116" s="3">
        <v>0</v>
      </c>
      <c r="AN1116" s="3">
        <v>0</v>
      </c>
      <c r="AO1116" s="3">
        <v>0</v>
      </c>
      <c r="AP1116" s="3">
        <v>0</v>
      </c>
    </row>
    <row r="1117" spans="1:42" hidden="1" x14ac:dyDescent="0.3"/>
    <row r="1118" spans="1:42" hidden="1" x14ac:dyDescent="0.3"/>
    <row r="1119" spans="1:42" hidden="1" x14ac:dyDescent="0.3"/>
    <row r="1120" spans="1:42" hidden="1" x14ac:dyDescent="0.3"/>
    <row r="1121" spans="5:42" hidden="1" x14ac:dyDescent="0.3"/>
    <row r="1122" spans="5:42" hidden="1" x14ac:dyDescent="0.3"/>
    <row r="1123" spans="5:42" hidden="1" x14ac:dyDescent="0.3"/>
    <row r="1126" spans="5:42" x14ac:dyDescent="0.3">
      <c r="E1126" s="25">
        <f>E5/100</f>
        <v>2.9999999999999997E-4</v>
      </c>
      <c r="F1126" s="25">
        <f t="shared" ref="F1126:AP1126" si="0">F5/100</f>
        <v>1.3000000000000001E-2</v>
      </c>
      <c r="G1126" s="25">
        <f t="shared" si="0"/>
        <v>1.8100000000000002E-2</v>
      </c>
      <c r="H1126" s="25">
        <f t="shared" si="0"/>
        <v>2.3599999999999999E-2</v>
      </c>
      <c r="I1126" s="25">
        <f t="shared" si="0"/>
        <v>2.7999999999999997E-2</v>
      </c>
      <c r="J1126" s="25">
        <f t="shared" si="0"/>
        <v>3.5699999999999996E-2</v>
      </c>
      <c r="K1126" s="25">
        <f t="shared" si="0"/>
        <v>4.0300000000000002E-2</v>
      </c>
      <c r="L1126" s="25">
        <f t="shared" si="0"/>
        <v>4.4900000000000002E-2</v>
      </c>
      <c r="M1126" s="25">
        <f t="shared" si="0"/>
        <v>5.0799999999999998E-2</v>
      </c>
      <c r="N1126" s="25">
        <f t="shared" si="0"/>
        <v>5.7999999999999996E-2</v>
      </c>
      <c r="O1126" s="25">
        <f t="shared" si="0"/>
        <v>6.6699999999999995E-2</v>
      </c>
      <c r="P1126" s="25">
        <f t="shared" si="0"/>
        <v>7.4200000000000002E-2</v>
      </c>
      <c r="Q1126" s="25">
        <f t="shared" si="0"/>
        <v>0.1065</v>
      </c>
      <c r="R1126" s="25">
        <f t="shared" si="0"/>
        <v>0.12590000000000001</v>
      </c>
      <c r="S1126" s="25">
        <f t="shared" si="0"/>
        <v>0.1928</v>
      </c>
      <c r="T1126" s="25">
        <f t="shared" si="0"/>
        <v>0.23989999999999997</v>
      </c>
      <c r="U1126" s="25">
        <f t="shared" si="0"/>
        <v>0.25829999999999997</v>
      </c>
      <c r="V1126" s="25">
        <f t="shared" si="0"/>
        <v>0.27679999999999999</v>
      </c>
      <c r="W1126" s="25">
        <f t="shared" si="0"/>
        <v>0.34820000000000001</v>
      </c>
      <c r="X1126" s="25">
        <f t="shared" si="0"/>
        <v>0.38880000000000003</v>
      </c>
      <c r="Y1126" s="25">
        <f t="shared" si="0"/>
        <v>0.45069999999999999</v>
      </c>
      <c r="Z1126" s="25">
        <f t="shared" si="0"/>
        <v>0.52100000000000002</v>
      </c>
      <c r="AA1126" s="25">
        <f t="shared" si="0"/>
        <v>0.57489999999999997</v>
      </c>
      <c r="AB1126" s="25">
        <f t="shared" si="0"/>
        <v>0.60950000000000004</v>
      </c>
      <c r="AC1126" s="25">
        <f t="shared" si="0"/>
        <v>0.70810000000000006</v>
      </c>
      <c r="AD1126" s="25">
        <f t="shared" si="0"/>
        <v>0.76879999999999993</v>
      </c>
      <c r="AE1126" s="25">
        <f t="shared" si="0"/>
        <v>0.79059999999999997</v>
      </c>
      <c r="AF1126" s="25">
        <f t="shared" si="0"/>
        <v>0.82920000000000005</v>
      </c>
      <c r="AG1126" s="25">
        <f t="shared" si="0"/>
        <v>0.89019999999999999</v>
      </c>
      <c r="AH1126" s="25">
        <f t="shared" si="0"/>
        <v>0.92590000000000006</v>
      </c>
      <c r="AI1126" s="25">
        <f t="shared" si="0"/>
        <v>0.95909999999999995</v>
      </c>
      <c r="AJ1126" s="25">
        <f t="shared" si="0"/>
        <v>0.98580000000000001</v>
      </c>
      <c r="AK1126" s="25">
        <f t="shared" si="0"/>
        <v>0.98580000000000001</v>
      </c>
      <c r="AL1126" s="25">
        <f t="shared" si="0"/>
        <v>0.98609999999999998</v>
      </c>
      <c r="AM1126" s="25">
        <f t="shared" si="0"/>
        <v>0.9919</v>
      </c>
      <c r="AN1126" s="25">
        <f t="shared" si="0"/>
        <v>0.99739999999999995</v>
      </c>
      <c r="AO1126" s="25">
        <f t="shared" si="0"/>
        <v>1</v>
      </c>
      <c r="AP1126" s="25">
        <f t="shared" si="0"/>
        <v>1</v>
      </c>
    </row>
    <row r="1127" spans="5:42" x14ac:dyDescent="0.3">
      <c r="E1127" s="26">
        <f>E1126</f>
        <v>2.9999999999999997E-4</v>
      </c>
      <c r="F1127" s="26">
        <f>F1126-E1126</f>
        <v>1.2700000000000001E-2</v>
      </c>
      <c r="G1127" s="26">
        <f t="shared" ref="G1127:AP1127" si="1">G1126-F1126</f>
        <v>5.1000000000000004E-3</v>
      </c>
      <c r="H1127" s="26">
        <f t="shared" si="1"/>
        <v>5.4999999999999979E-3</v>
      </c>
      <c r="I1127" s="26">
        <f t="shared" si="1"/>
        <v>4.3999999999999977E-3</v>
      </c>
      <c r="J1127" s="26">
        <f t="shared" si="1"/>
        <v>7.6999999999999985E-3</v>
      </c>
      <c r="K1127" s="26">
        <f t="shared" si="1"/>
        <v>4.6000000000000069E-3</v>
      </c>
      <c r="L1127" s="26">
        <f t="shared" si="1"/>
        <v>4.5999999999999999E-3</v>
      </c>
      <c r="M1127" s="26">
        <f t="shared" si="1"/>
        <v>5.8999999999999955E-3</v>
      </c>
      <c r="N1127" s="26">
        <f t="shared" si="1"/>
        <v>7.1999999999999981E-3</v>
      </c>
      <c r="O1127" s="26">
        <f t="shared" si="1"/>
        <v>8.6999999999999994E-3</v>
      </c>
      <c r="P1127" s="26">
        <f t="shared" si="1"/>
        <v>7.5000000000000067E-3</v>
      </c>
      <c r="Q1127" s="26">
        <f t="shared" si="1"/>
        <v>3.2299999999999995E-2</v>
      </c>
      <c r="R1127" s="26">
        <f t="shared" si="1"/>
        <v>1.9400000000000014E-2</v>
      </c>
      <c r="S1127" s="26">
        <f t="shared" si="1"/>
        <v>6.6899999999999987E-2</v>
      </c>
      <c r="T1127" s="26">
        <f t="shared" si="1"/>
        <v>4.7099999999999975E-2</v>
      </c>
      <c r="U1127" s="26">
        <f t="shared" si="1"/>
        <v>1.84E-2</v>
      </c>
      <c r="V1127" s="26">
        <f t="shared" si="1"/>
        <v>1.8500000000000016E-2</v>
      </c>
      <c r="W1127" s="26">
        <f t="shared" si="1"/>
        <v>7.1400000000000019E-2</v>
      </c>
      <c r="X1127" s="26">
        <f t="shared" si="1"/>
        <v>4.0600000000000025E-2</v>
      </c>
      <c r="Y1127" s="26">
        <f t="shared" si="1"/>
        <v>6.1899999999999955E-2</v>
      </c>
      <c r="Z1127" s="26">
        <f t="shared" si="1"/>
        <v>7.0300000000000029E-2</v>
      </c>
      <c r="AA1127" s="26">
        <f t="shared" si="1"/>
        <v>5.3899999999999948E-2</v>
      </c>
      <c r="AB1127" s="26">
        <f t="shared" si="1"/>
        <v>3.4600000000000075E-2</v>
      </c>
      <c r="AC1127" s="26">
        <f t="shared" si="1"/>
        <v>9.8600000000000021E-2</v>
      </c>
      <c r="AD1127" s="26">
        <f t="shared" si="1"/>
        <v>6.0699999999999865E-2</v>
      </c>
      <c r="AE1127" s="26">
        <f t="shared" si="1"/>
        <v>2.1800000000000042E-2</v>
      </c>
      <c r="AF1127" s="26">
        <f t="shared" si="1"/>
        <v>3.8600000000000079E-2</v>
      </c>
      <c r="AG1127" s="26">
        <f t="shared" si="1"/>
        <v>6.0999999999999943E-2</v>
      </c>
      <c r="AH1127" s="26">
        <f t="shared" si="1"/>
        <v>3.5700000000000065E-2</v>
      </c>
      <c r="AI1127" s="26">
        <f t="shared" si="1"/>
        <v>3.3199999999999896E-2</v>
      </c>
      <c r="AJ1127" s="26">
        <f t="shared" si="1"/>
        <v>2.6700000000000057E-2</v>
      </c>
      <c r="AK1127" s="26">
        <f t="shared" si="1"/>
        <v>0</v>
      </c>
      <c r="AL1127" s="26">
        <f t="shared" si="1"/>
        <v>2.9999999999996696E-4</v>
      </c>
      <c r="AM1127" s="26">
        <f t="shared" si="1"/>
        <v>5.8000000000000274E-3</v>
      </c>
      <c r="AN1127" s="26">
        <f t="shared" si="1"/>
        <v>5.4999999999999494E-3</v>
      </c>
      <c r="AO1127" s="26">
        <f t="shared" si="1"/>
        <v>2.6000000000000467E-3</v>
      </c>
      <c r="AP1127" s="26">
        <f t="shared" si="1"/>
        <v>0</v>
      </c>
    </row>
    <row r="1132" spans="5:42" x14ac:dyDescent="0.3">
      <c r="E1132">
        <v>2.9999999999999997E-4</v>
      </c>
      <c r="F1132">
        <v>1.2700000000000001E-2</v>
      </c>
      <c r="G1132">
        <v>5.1000000000000004E-3</v>
      </c>
      <c r="H1132">
        <v>5.4999999999999979E-3</v>
      </c>
      <c r="I1132">
        <v>4.3999999999999977E-3</v>
      </c>
      <c r="J1132">
        <v>7.6999999999999985E-3</v>
      </c>
      <c r="K1132">
        <v>4.6000000000000069E-3</v>
      </c>
      <c r="L1132">
        <v>4.5999999999999999E-3</v>
      </c>
      <c r="M1132">
        <v>5.8999999999999955E-3</v>
      </c>
      <c r="N1132">
        <v>7.1999999999999981E-3</v>
      </c>
      <c r="O1132">
        <v>8.6999999999999994E-3</v>
      </c>
      <c r="P1132">
        <v>7.5000000000000067E-3</v>
      </c>
      <c r="Q1132">
        <v>3.2299999999999995E-2</v>
      </c>
      <c r="R1132">
        <v>1.9400000000000014E-2</v>
      </c>
      <c r="S1132">
        <v>6.6899999999999987E-2</v>
      </c>
      <c r="T1132">
        <v>4.7099999999999975E-2</v>
      </c>
      <c r="U1132">
        <v>1.84E-2</v>
      </c>
      <c r="V1132">
        <v>1.8500000000000016E-2</v>
      </c>
      <c r="W1132">
        <v>7.1400000000000019E-2</v>
      </c>
      <c r="X1132">
        <v>4.0600000000000025E-2</v>
      </c>
      <c r="Y1132">
        <v>6.1899999999999955E-2</v>
      </c>
      <c r="Z1132">
        <v>7.0300000000000029E-2</v>
      </c>
      <c r="AA1132">
        <v>5.3899999999999948E-2</v>
      </c>
      <c r="AB1132">
        <v>3.4600000000000075E-2</v>
      </c>
      <c r="AC1132">
        <v>9.8600000000000021E-2</v>
      </c>
      <c r="AD1132">
        <v>6.0699999999999865E-2</v>
      </c>
      <c r="AE1132">
        <v>2.1800000000000042E-2</v>
      </c>
      <c r="AF1132">
        <v>3.8600000000000079E-2</v>
      </c>
      <c r="AG1132">
        <v>6.0999999999999943E-2</v>
      </c>
      <c r="AH1132">
        <v>3.5700000000000065E-2</v>
      </c>
      <c r="AI1132">
        <v>3.3199999999999896E-2</v>
      </c>
      <c r="AJ1132">
        <v>2.6700000000000057E-2</v>
      </c>
      <c r="AK1132">
        <v>0</v>
      </c>
      <c r="AL1132">
        <v>2.9999999999996696E-4</v>
      </c>
      <c r="AM1132">
        <v>5.8000000000000274E-3</v>
      </c>
      <c r="AN1132">
        <v>5.4999999999999494E-3</v>
      </c>
      <c r="AO1132">
        <v>2.6000000000000467E-3</v>
      </c>
      <c r="AP1132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3FF82-7BFB-448D-A43D-20C7AD30A937}">
  <sheetPr>
    <pageSetUpPr fitToPage="1"/>
  </sheetPr>
  <dimension ref="B1:AD102"/>
  <sheetViews>
    <sheetView showGridLines="0" tabSelected="1" zoomScale="70" zoomScaleNormal="70" zoomScaleSheetLayoutView="70" workbookViewId="0">
      <selection activeCell="E25" sqref="E25"/>
    </sheetView>
  </sheetViews>
  <sheetFormatPr defaultColWidth="9.109375" defaultRowHeight="13.8" x14ac:dyDescent="0.25"/>
  <cols>
    <col min="1" max="1" width="1.44140625" style="31" customWidth="1"/>
    <col min="2" max="2" width="14.88671875" style="31" customWidth="1"/>
    <col min="3" max="3" width="16.109375" style="41" bestFit="1" customWidth="1"/>
    <col min="4" max="4" width="12.6640625" style="31" customWidth="1"/>
    <col min="5" max="5" width="17.88671875" style="57" customWidth="1"/>
    <col min="6" max="7" width="28.33203125" style="31" bestFit="1" customWidth="1"/>
    <col min="8" max="8" width="15" style="31" bestFit="1" customWidth="1"/>
    <col min="9" max="16" width="9.109375" style="31"/>
    <col min="17" max="17" width="7.44140625" style="31" customWidth="1"/>
    <col min="18" max="18" width="10.44140625" style="31" customWidth="1"/>
    <col min="19" max="23" width="9.109375" style="31"/>
    <col min="24" max="24" width="12.6640625" style="31" customWidth="1"/>
    <col min="25" max="16384" width="9.109375" style="31"/>
  </cols>
  <sheetData>
    <row r="1" spans="2:30" ht="5.25" customHeight="1" x14ac:dyDescent="0.25"/>
    <row r="2" spans="2:30" ht="21.75" customHeight="1" x14ac:dyDescent="0.25">
      <c r="B2" s="27"/>
      <c r="C2" s="28"/>
      <c r="D2" s="29"/>
      <c r="E2" s="58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30"/>
    </row>
    <row r="3" spans="2:30" ht="10.5" customHeight="1" x14ac:dyDescent="0.25">
      <c r="B3" s="32"/>
      <c r="C3" s="33"/>
      <c r="D3" s="34"/>
      <c r="E3" s="75" t="s">
        <v>1258</v>
      </c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35"/>
      <c r="AB3" s="35"/>
      <c r="AC3" s="34"/>
      <c r="AD3" s="36"/>
    </row>
    <row r="4" spans="2:30" ht="21.75" customHeight="1" x14ac:dyDescent="0.25">
      <c r="B4" s="32"/>
      <c r="C4" s="33"/>
      <c r="D4" s="34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35"/>
      <c r="AB4" s="35"/>
      <c r="AC4" s="34"/>
      <c r="AD4" s="36"/>
    </row>
    <row r="5" spans="2:30" ht="30" customHeight="1" x14ac:dyDescent="0.35">
      <c r="B5" s="32"/>
      <c r="C5" s="33"/>
      <c r="D5" s="34"/>
      <c r="E5" s="76" t="s">
        <v>1264</v>
      </c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34"/>
      <c r="AB5" s="34"/>
      <c r="AC5" s="34"/>
      <c r="AD5" s="36"/>
    </row>
    <row r="6" spans="2:30" ht="21.75" customHeight="1" x14ac:dyDescent="0.25">
      <c r="B6" s="37"/>
      <c r="C6" s="38"/>
      <c r="D6" s="39"/>
      <c r="E6" s="5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40"/>
    </row>
    <row r="7" spans="2:30" ht="15.75" customHeight="1" x14ac:dyDescent="0.25"/>
    <row r="8" spans="2:30" ht="15.75" customHeight="1" x14ac:dyDescent="0.25">
      <c r="B8" s="55" t="s">
        <v>1259</v>
      </c>
      <c r="C8" s="54" t="s">
        <v>1263</v>
      </c>
    </row>
    <row r="9" spans="2:30" ht="15.75" customHeight="1" x14ac:dyDescent="0.25">
      <c r="B9" s="55" t="s">
        <v>1260</v>
      </c>
      <c r="C9" s="54">
        <v>11933.11</v>
      </c>
    </row>
    <row r="10" spans="2:30" ht="15.75" customHeight="1" x14ac:dyDescent="0.25">
      <c r="B10" s="55" t="s">
        <v>1261</v>
      </c>
      <c r="C10" s="54">
        <v>36</v>
      </c>
    </row>
    <row r="11" spans="2:30" ht="15.75" customHeight="1" x14ac:dyDescent="0.25">
      <c r="B11" s="55" t="s">
        <v>1262</v>
      </c>
      <c r="C11" s="54">
        <f>C9*[1]Gerenciamento_Exec!$D$20</f>
        <v>56933353.127915479</v>
      </c>
    </row>
    <row r="12" spans="2:30" ht="15.75" customHeight="1" x14ac:dyDescent="0.25"/>
    <row r="13" spans="2:30" ht="65.25" customHeight="1" x14ac:dyDescent="0.25">
      <c r="B13" s="46" t="s">
        <v>1253</v>
      </c>
      <c r="C13" s="46" t="s">
        <v>1252</v>
      </c>
      <c r="D13" s="46" t="s">
        <v>1256</v>
      </c>
      <c r="E13" s="60" t="s">
        <v>1257</v>
      </c>
      <c r="F13" s="46" t="s">
        <v>1254</v>
      </c>
      <c r="G13" s="46" t="s">
        <v>1255</v>
      </c>
      <c r="H13" s="41"/>
    </row>
    <row r="14" spans="2:30" ht="27" customHeight="1" x14ac:dyDescent="0.25">
      <c r="B14" s="74"/>
      <c r="C14" s="68">
        <v>45597</v>
      </c>
      <c r="D14" s="44">
        <v>3.3999999999999998E-3</v>
      </c>
      <c r="E14" s="44">
        <f>D14</f>
        <v>3.3999999999999998E-3</v>
      </c>
      <c r="F14" s="42">
        <f>D14*$C$11</f>
        <v>193573.40063491263</v>
      </c>
      <c r="G14" s="42">
        <f>F14</f>
        <v>193573.40063491263</v>
      </c>
      <c r="H14" s="41"/>
    </row>
    <row r="15" spans="2:30" ht="27" customHeight="1" x14ac:dyDescent="0.25">
      <c r="B15" s="74"/>
      <c r="C15" s="68">
        <v>45627</v>
      </c>
      <c r="D15" s="44">
        <v>3.0000000000000001E-3</v>
      </c>
      <c r="E15" s="44">
        <f t="shared" ref="E15:E49" si="0">D15+E14</f>
        <v>6.3999999999999994E-3</v>
      </c>
      <c r="F15" s="42">
        <f t="shared" ref="F15:F49" si="1">D15*$C$11</f>
        <v>170800.05938374644</v>
      </c>
      <c r="G15" s="42">
        <f t="shared" ref="G15:G48" si="2">F15+G14</f>
        <v>364373.46001865907</v>
      </c>
      <c r="H15" s="41"/>
    </row>
    <row r="16" spans="2:30" ht="27" customHeight="1" x14ac:dyDescent="0.25">
      <c r="B16" s="74"/>
      <c r="C16" s="68">
        <v>45658</v>
      </c>
      <c r="D16" s="44">
        <v>1.6999999999999999E-3</v>
      </c>
      <c r="E16" s="44">
        <f t="shared" si="0"/>
        <v>8.0999999999999996E-3</v>
      </c>
      <c r="F16" s="42">
        <f t="shared" si="1"/>
        <v>96786.700317456314</v>
      </c>
      <c r="G16" s="42">
        <f t="shared" si="2"/>
        <v>461160.1603361154</v>
      </c>
      <c r="H16" s="41"/>
    </row>
    <row r="17" spans="2:8" ht="27" customHeight="1" x14ac:dyDescent="0.25">
      <c r="B17" s="74"/>
      <c r="C17" s="68">
        <v>45689</v>
      </c>
      <c r="D17" s="44">
        <v>2.5999999999999999E-3</v>
      </c>
      <c r="E17" s="44">
        <f t="shared" si="0"/>
        <v>1.0699999999999999E-2</v>
      </c>
      <c r="F17" s="42">
        <f t="shared" si="1"/>
        <v>148026.71813258025</v>
      </c>
      <c r="G17" s="42">
        <f t="shared" si="2"/>
        <v>609186.87846869568</v>
      </c>
      <c r="H17" s="41"/>
    </row>
    <row r="18" spans="2:8" ht="27" customHeight="1" x14ac:dyDescent="0.25">
      <c r="B18" s="74"/>
      <c r="C18" s="68">
        <v>45717</v>
      </c>
      <c r="D18" s="44">
        <v>3.3999999999999998E-3</v>
      </c>
      <c r="E18" s="44">
        <f t="shared" si="0"/>
        <v>1.41E-2</v>
      </c>
      <c r="F18" s="42">
        <f t="shared" si="1"/>
        <v>193573.40063491263</v>
      </c>
      <c r="G18" s="42">
        <f t="shared" si="2"/>
        <v>802760.27910360834</v>
      </c>
      <c r="H18" s="41"/>
    </row>
    <row r="19" spans="2:8" ht="27" customHeight="1" x14ac:dyDescent="0.25">
      <c r="B19" s="74"/>
      <c r="C19" s="68">
        <v>45748</v>
      </c>
      <c r="D19" s="44">
        <v>2.5999999999999999E-3</v>
      </c>
      <c r="E19" s="44">
        <f t="shared" si="0"/>
        <v>1.67E-2</v>
      </c>
      <c r="F19" s="42">
        <f t="shared" si="1"/>
        <v>148026.71813258025</v>
      </c>
      <c r="G19" s="42">
        <f t="shared" si="2"/>
        <v>950786.99723618862</v>
      </c>
      <c r="H19" s="41"/>
    </row>
    <row r="20" spans="2:8" ht="27" customHeight="1" x14ac:dyDescent="0.25">
      <c r="B20" s="74"/>
      <c r="C20" s="68">
        <v>45778</v>
      </c>
      <c r="D20" s="44">
        <v>3.2000000000000002E-3</v>
      </c>
      <c r="E20" s="44">
        <f t="shared" si="0"/>
        <v>1.9900000000000001E-2</v>
      </c>
      <c r="F20" s="42">
        <f t="shared" si="1"/>
        <v>182186.73000932953</v>
      </c>
      <c r="G20" s="42">
        <f t="shared" si="2"/>
        <v>1132973.7272455182</v>
      </c>
      <c r="H20" s="41"/>
    </row>
    <row r="21" spans="2:8" ht="27" customHeight="1" x14ac:dyDescent="0.25">
      <c r="B21" s="74"/>
      <c r="C21" s="68">
        <v>45809</v>
      </c>
      <c r="D21" s="44">
        <v>5.7000000000000002E-3</v>
      </c>
      <c r="E21" s="44">
        <f t="shared" si="0"/>
        <v>2.5600000000000001E-2</v>
      </c>
      <c r="F21" s="42">
        <f t="shared" si="1"/>
        <v>324520.11282911827</v>
      </c>
      <c r="G21" s="42">
        <f t="shared" si="2"/>
        <v>1457493.8400746365</v>
      </c>
      <c r="H21" s="41"/>
    </row>
    <row r="22" spans="2:8" ht="27" customHeight="1" x14ac:dyDescent="0.25">
      <c r="B22" s="74"/>
      <c r="C22" s="68">
        <v>45839</v>
      </c>
      <c r="D22" s="44">
        <v>6.1999999999999998E-3</v>
      </c>
      <c r="E22" s="44">
        <f t="shared" si="0"/>
        <v>3.1800000000000002E-2</v>
      </c>
      <c r="F22" s="42">
        <f t="shared" si="1"/>
        <v>352986.78939307597</v>
      </c>
      <c r="G22" s="42">
        <f t="shared" si="2"/>
        <v>1810480.6294677125</v>
      </c>
      <c r="H22" s="41"/>
    </row>
    <row r="23" spans="2:8" ht="27" customHeight="1" x14ac:dyDescent="0.25">
      <c r="B23" s="74"/>
      <c r="C23" s="68">
        <v>45870</v>
      </c>
      <c r="D23" s="44">
        <v>1.0800000000000001E-2</v>
      </c>
      <c r="E23" s="44">
        <f t="shared" si="0"/>
        <v>4.2599999999999999E-2</v>
      </c>
      <c r="F23" s="42">
        <f t="shared" si="1"/>
        <v>614880.2137814872</v>
      </c>
      <c r="G23" s="42">
        <f t="shared" si="2"/>
        <v>2425360.8432491999</v>
      </c>
      <c r="H23" s="41"/>
    </row>
    <row r="24" spans="2:8" ht="27" customHeight="1" x14ac:dyDescent="0.25">
      <c r="B24" s="74"/>
      <c r="C24" s="68">
        <v>45901</v>
      </c>
      <c r="D24" s="44">
        <v>6.1999999999999998E-3</v>
      </c>
      <c r="E24" s="44">
        <f t="shared" si="0"/>
        <v>4.8799999999999996E-2</v>
      </c>
      <c r="F24" s="42">
        <f t="shared" si="1"/>
        <v>352986.78939307597</v>
      </c>
      <c r="G24" s="42">
        <f t="shared" si="2"/>
        <v>2778347.6326422757</v>
      </c>
      <c r="H24" s="41"/>
    </row>
    <row r="25" spans="2:8" ht="27" customHeight="1" x14ac:dyDescent="0.25">
      <c r="B25" s="74"/>
      <c r="C25" s="68">
        <v>45931</v>
      </c>
      <c r="D25" s="44">
        <v>8.5000000000000006E-3</v>
      </c>
      <c r="E25" s="44">
        <f t="shared" si="0"/>
        <v>5.7299999999999997E-2</v>
      </c>
      <c r="F25" s="42">
        <f t="shared" si="1"/>
        <v>483933.50158728159</v>
      </c>
      <c r="G25" s="42">
        <f t="shared" si="2"/>
        <v>3262281.1342295571</v>
      </c>
      <c r="H25" s="41"/>
    </row>
    <row r="26" spans="2:8" ht="27" customHeight="1" x14ac:dyDescent="0.25">
      <c r="B26" s="74"/>
      <c r="C26" s="68">
        <v>45962</v>
      </c>
      <c r="D26" s="44">
        <v>1.0999999999999999E-2</v>
      </c>
      <c r="E26" s="44">
        <f t="shared" si="0"/>
        <v>6.83E-2</v>
      </c>
      <c r="F26" s="42">
        <f t="shared" si="1"/>
        <v>626266.88440707023</v>
      </c>
      <c r="G26" s="42">
        <f t="shared" si="2"/>
        <v>3888548.0186366271</v>
      </c>
      <c r="H26" s="41"/>
    </row>
    <row r="27" spans="2:8" ht="27" customHeight="1" x14ac:dyDescent="0.25">
      <c r="B27" s="74"/>
      <c r="C27" s="68">
        <v>45992</v>
      </c>
      <c r="D27" s="44">
        <v>7.9000000000000008E-3</v>
      </c>
      <c r="E27" s="44">
        <f t="shared" si="0"/>
        <v>7.6200000000000004E-2</v>
      </c>
      <c r="F27" s="42">
        <f t="shared" si="1"/>
        <v>449773.4897105323</v>
      </c>
      <c r="G27" s="42">
        <f t="shared" si="2"/>
        <v>4338321.5083471593</v>
      </c>
      <c r="H27" s="41"/>
    </row>
    <row r="28" spans="2:8" ht="27" customHeight="1" x14ac:dyDescent="0.25">
      <c r="B28" s="74"/>
      <c r="C28" s="68">
        <v>46023</v>
      </c>
      <c r="D28" s="44">
        <v>1.3100000000000001E-2</v>
      </c>
      <c r="E28" s="44">
        <f t="shared" si="0"/>
        <v>8.9300000000000004E-2</v>
      </c>
      <c r="F28" s="42">
        <f t="shared" si="1"/>
        <v>745826.92597569281</v>
      </c>
      <c r="G28" s="42">
        <f t="shared" si="2"/>
        <v>5084148.4343228517</v>
      </c>
      <c r="H28" s="41"/>
    </row>
    <row r="29" spans="2:8" ht="27" customHeight="1" x14ac:dyDescent="0.25">
      <c r="B29" s="74"/>
      <c r="C29" s="68">
        <v>46054</v>
      </c>
      <c r="D29" s="44">
        <v>1.12E-2</v>
      </c>
      <c r="E29" s="44">
        <f t="shared" si="0"/>
        <v>0.10050000000000001</v>
      </c>
      <c r="F29" s="42">
        <f t="shared" si="1"/>
        <v>637653.55503265338</v>
      </c>
      <c r="G29" s="42">
        <f t="shared" si="2"/>
        <v>5721801.9893555054</v>
      </c>
      <c r="H29" s="41"/>
    </row>
    <row r="30" spans="2:8" ht="27" customHeight="1" x14ac:dyDescent="0.25">
      <c r="B30" s="74"/>
      <c r="C30" s="68">
        <v>46082</v>
      </c>
      <c r="D30" s="44">
        <v>1.01E-2</v>
      </c>
      <c r="E30" s="44">
        <f t="shared" si="0"/>
        <v>0.1106</v>
      </c>
      <c r="F30" s="42">
        <f t="shared" si="1"/>
        <v>575026.86659194634</v>
      </c>
      <c r="G30" s="42">
        <f t="shared" si="2"/>
        <v>6296828.8559474517</v>
      </c>
      <c r="H30" s="41"/>
    </row>
    <row r="31" spans="2:8" ht="27" customHeight="1" x14ac:dyDescent="0.25">
      <c r="B31" s="74"/>
      <c r="C31" s="68">
        <v>46113</v>
      </c>
      <c r="D31" s="44">
        <v>3.6799999999999999E-2</v>
      </c>
      <c r="E31" s="44">
        <f t="shared" si="0"/>
        <v>0.1474</v>
      </c>
      <c r="F31" s="42">
        <f t="shared" si="1"/>
        <v>2095147.3951072895</v>
      </c>
      <c r="G31" s="42">
        <f t="shared" si="2"/>
        <v>8391976.2510547414</v>
      </c>
      <c r="H31" s="41"/>
    </row>
    <row r="32" spans="2:8" ht="27" customHeight="1" x14ac:dyDescent="0.25">
      <c r="B32" s="74"/>
      <c r="C32" s="68">
        <v>46143</v>
      </c>
      <c r="D32" s="44">
        <v>4.2500000000000003E-2</v>
      </c>
      <c r="E32" s="44">
        <f t="shared" si="0"/>
        <v>0.18990000000000001</v>
      </c>
      <c r="F32" s="42">
        <f t="shared" si="1"/>
        <v>2419667.5079364078</v>
      </c>
      <c r="G32" s="42">
        <f t="shared" si="2"/>
        <v>10811643.758991148</v>
      </c>
      <c r="H32" s="41"/>
    </row>
    <row r="33" spans="2:8" ht="27" customHeight="1" x14ac:dyDescent="0.25">
      <c r="B33" s="74"/>
      <c r="C33" s="68">
        <v>46174</v>
      </c>
      <c r="D33" s="44">
        <v>3.78E-2</v>
      </c>
      <c r="E33" s="44">
        <f t="shared" si="0"/>
        <v>0.22770000000000001</v>
      </c>
      <c r="F33" s="42">
        <f t="shared" si="1"/>
        <v>2152080.7482352052</v>
      </c>
      <c r="G33" s="42">
        <f t="shared" si="2"/>
        <v>12963724.507226354</v>
      </c>
      <c r="H33" s="41"/>
    </row>
    <row r="34" spans="2:8" ht="27" customHeight="1" x14ac:dyDescent="0.25">
      <c r="B34" s="74"/>
      <c r="C34" s="68">
        <v>46204</v>
      </c>
      <c r="D34" s="44">
        <v>6.1400000000000003E-2</v>
      </c>
      <c r="E34" s="44">
        <f t="shared" si="0"/>
        <v>0.28910000000000002</v>
      </c>
      <c r="F34" s="42">
        <f t="shared" si="1"/>
        <v>3495707.8820540104</v>
      </c>
      <c r="G34" s="42">
        <f t="shared" si="2"/>
        <v>16459432.389280364</v>
      </c>
      <c r="H34" s="41"/>
    </row>
    <row r="35" spans="2:8" ht="27" customHeight="1" x14ac:dyDescent="0.25">
      <c r="B35" s="74"/>
      <c r="C35" s="68">
        <v>46235</v>
      </c>
      <c r="D35" s="44">
        <v>5.6500000000000002E-2</v>
      </c>
      <c r="E35" s="44">
        <f t="shared" si="0"/>
        <v>0.34560000000000002</v>
      </c>
      <c r="F35" s="42">
        <f t="shared" si="1"/>
        <v>3216734.4517272245</v>
      </c>
      <c r="G35" s="42">
        <f t="shared" si="2"/>
        <v>19676166.84100759</v>
      </c>
      <c r="H35" s="41"/>
    </row>
    <row r="36" spans="2:8" ht="27" customHeight="1" x14ac:dyDescent="0.25">
      <c r="B36" s="74"/>
      <c r="C36" s="68">
        <v>46266</v>
      </c>
      <c r="D36" s="44">
        <v>3.95E-2</v>
      </c>
      <c r="E36" s="44">
        <f t="shared" si="0"/>
        <v>0.3851</v>
      </c>
      <c r="F36" s="42">
        <f t="shared" si="1"/>
        <v>2248867.4485526616</v>
      </c>
      <c r="G36" s="42">
        <f t="shared" si="2"/>
        <v>21925034.289560251</v>
      </c>
      <c r="H36" s="41"/>
    </row>
    <row r="37" spans="2:8" ht="27" customHeight="1" x14ac:dyDescent="0.25">
      <c r="B37" s="74"/>
      <c r="C37" s="68">
        <v>46296</v>
      </c>
      <c r="D37" s="44">
        <v>5.5500000000000001E-2</v>
      </c>
      <c r="E37" s="44">
        <f t="shared" si="0"/>
        <v>0.44059999999999999</v>
      </c>
      <c r="F37" s="42">
        <f t="shared" si="1"/>
        <v>3159801.0985993091</v>
      </c>
      <c r="G37" s="42">
        <f t="shared" si="2"/>
        <v>25084835.388159558</v>
      </c>
      <c r="H37" s="41"/>
    </row>
    <row r="38" spans="2:8" ht="27" customHeight="1" x14ac:dyDescent="0.25">
      <c r="B38" s="74"/>
      <c r="C38" s="68">
        <v>46327</v>
      </c>
      <c r="D38" s="44">
        <v>4.24E-2</v>
      </c>
      <c r="E38" s="44">
        <f t="shared" si="0"/>
        <v>0.48299999999999998</v>
      </c>
      <c r="F38" s="42">
        <f t="shared" si="1"/>
        <v>2413974.1726236162</v>
      </c>
      <c r="G38" s="42">
        <f t="shared" si="2"/>
        <v>27498809.560783174</v>
      </c>
      <c r="H38" s="41"/>
    </row>
    <row r="39" spans="2:8" ht="27" customHeight="1" x14ac:dyDescent="0.25">
      <c r="B39" s="74"/>
      <c r="C39" s="68">
        <v>46357</v>
      </c>
      <c r="D39" s="44">
        <v>3.2399999999999998E-2</v>
      </c>
      <c r="E39" s="44">
        <f t="shared" si="0"/>
        <v>0.51539999999999997</v>
      </c>
      <c r="F39" s="42">
        <f t="shared" si="1"/>
        <v>1844640.6413444614</v>
      </c>
      <c r="G39" s="42">
        <f t="shared" si="2"/>
        <v>29343450.202127635</v>
      </c>
      <c r="H39" s="41"/>
    </row>
    <row r="40" spans="2:8" ht="27" customHeight="1" x14ac:dyDescent="0.25">
      <c r="B40" s="74"/>
      <c r="C40" s="68">
        <v>46388</v>
      </c>
      <c r="D40" s="44">
        <v>4.9799999999999997E-2</v>
      </c>
      <c r="E40" s="44">
        <f t="shared" si="0"/>
        <v>0.56519999999999992</v>
      </c>
      <c r="F40" s="42">
        <f t="shared" si="1"/>
        <v>2835280.9857701906</v>
      </c>
      <c r="G40" s="42">
        <f t="shared" si="2"/>
        <v>32178731.187897827</v>
      </c>
      <c r="H40" s="41"/>
    </row>
    <row r="41" spans="2:8" ht="27" customHeight="1" x14ac:dyDescent="0.25">
      <c r="B41" s="74"/>
      <c r="C41" s="68">
        <v>46419</v>
      </c>
      <c r="D41" s="44">
        <v>5.2200000000000003E-2</v>
      </c>
      <c r="E41" s="44">
        <f t="shared" si="0"/>
        <v>0.61739999999999995</v>
      </c>
      <c r="F41" s="42">
        <f t="shared" si="1"/>
        <v>2971921.0332771884</v>
      </c>
      <c r="G41" s="42">
        <f t="shared" si="2"/>
        <v>35150652.221175015</v>
      </c>
      <c r="H41" s="41"/>
    </row>
    <row r="42" spans="2:8" ht="27" customHeight="1" x14ac:dyDescent="0.25">
      <c r="B42" s="74">
        <v>2024</v>
      </c>
      <c r="C42" s="68">
        <v>46447</v>
      </c>
      <c r="D42" s="44">
        <v>4.8599999999999997E-2</v>
      </c>
      <c r="E42" s="44">
        <f t="shared" si="0"/>
        <v>0.66599999999999993</v>
      </c>
      <c r="F42" s="42">
        <f t="shared" si="1"/>
        <v>2766960.9620166919</v>
      </c>
      <c r="G42" s="42">
        <f t="shared" si="2"/>
        <v>37917613.183191709</v>
      </c>
      <c r="H42" s="41"/>
    </row>
    <row r="43" spans="2:8" ht="27" customHeight="1" x14ac:dyDescent="0.25">
      <c r="B43" s="74"/>
      <c r="C43" s="68">
        <v>46478</v>
      </c>
      <c r="D43" s="44">
        <v>5.3499999999999999E-2</v>
      </c>
      <c r="E43" s="44">
        <f t="shared" si="0"/>
        <v>0.71949999999999992</v>
      </c>
      <c r="F43" s="42">
        <f t="shared" si="1"/>
        <v>3045934.3923434783</v>
      </c>
      <c r="G43" s="42">
        <f t="shared" si="2"/>
        <v>40963547.575535186</v>
      </c>
      <c r="H43" s="41"/>
    </row>
    <row r="44" spans="2:8" ht="27" customHeight="1" x14ac:dyDescent="0.25">
      <c r="B44" s="74"/>
      <c r="C44" s="68">
        <v>46508</v>
      </c>
      <c r="D44" s="44">
        <v>4.8899999999999999E-2</v>
      </c>
      <c r="E44" s="44">
        <f t="shared" si="0"/>
        <v>0.76839999999999997</v>
      </c>
      <c r="F44" s="42">
        <f t="shared" si="1"/>
        <v>2784040.9679550668</v>
      </c>
      <c r="G44" s="42">
        <f t="shared" si="2"/>
        <v>43747588.543490253</v>
      </c>
      <c r="H44" s="41"/>
    </row>
    <row r="45" spans="2:8" ht="27" customHeight="1" x14ac:dyDescent="0.25">
      <c r="B45" s="74"/>
      <c r="C45" s="68">
        <v>46539</v>
      </c>
      <c r="D45" s="44">
        <v>5.4300000000000001E-2</v>
      </c>
      <c r="E45" s="44">
        <f t="shared" si="0"/>
        <v>0.82269999999999999</v>
      </c>
      <c r="F45" s="42">
        <f t="shared" si="1"/>
        <v>3091481.0748458104</v>
      </c>
      <c r="G45" s="42">
        <f t="shared" si="2"/>
        <v>46839069.618336067</v>
      </c>
      <c r="H45" s="41"/>
    </row>
    <row r="46" spans="2:8" ht="27" customHeight="1" x14ac:dyDescent="0.25">
      <c r="B46" s="74"/>
      <c r="C46" s="68">
        <v>46569</v>
      </c>
      <c r="D46" s="44">
        <v>5.1900000000000002E-2</v>
      </c>
      <c r="E46" s="44">
        <f t="shared" si="0"/>
        <v>0.87460000000000004</v>
      </c>
      <c r="F46" s="42">
        <f t="shared" si="1"/>
        <v>2954841.0273388135</v>
      </c>
      <c r="G46" s="42">
        <f t="shared" si="2"/>
        <v>49793910.645674877</v>
      </c>
      <c r="H46" s="41"/>
    </row>
    <row r="47" spans="2:8" ht="27" customHeight="1" x14ac:dyDescent="0.25">
      <c r="B47" s="74"/>
      <c r="C47" s="68">
        <v>46600</v>
      </c>
      <c r="D47" s="44">
        <v>5.6500000000000002E-2</v>
      </c>
      <c r="E47" s="44">
        <f t="shared" si="0"/>
        <v>0.93110000000000004</v>
      </c>
      <c r="F47" s="42">
        <f t="shared" si="1"/>
        <v>3216734.4517272245</v>
      </c>
      <c r="G47" s="42">
        <f t="shared" si="2"/>
        <v>53010645.097402103</v>
      </c>
      <c r="H47" s="41"/>
    </row>
    <row r="48" spans="2:8" ht="27" customHeight="1" x14ac:dyDescent="0.25">
      <c r="B48" s="74"/>
      <c r="C48" s="68">
        <v>46631</v>
      </c>
      <c r="D48" s="44">
        <v>5.0599999999999999E-2</v>
      </c>
      <c r="E48" s="44">
        <f t="shared" si="0"/>
        <v>0.98170000000000002</v>
      </c>
      <c r="F48" s="42">
        <f t="shared" si="1"/>
        <v>2880827.6682725232</v>
      </c>
      <c r="G48" s="42">
        <f t="shared" si="2"/>
        <v>55891472.765674628</v>
      </c>
      <c r="H48" s="41"/>
    </row>
    <row r="49" spans="2:8" ht="27" customHeight="1" x14ac:dyDescent="0.25">
      <c r="B49" s="74"/>
      <c r="C49" s="68">
        <v>46661</v>
      </c>
      <c r="D49" s="44">
        <v>1.83E-2</v>
      </c>
      <c r="E49" s="44">
        <f t="shared" si="0"/>
        <v>1</v>
      </c>
      <c r="F49" s="42">
        <f t="shared" si="1"/>
        <v>1041880.3622408533</v>
      </c>
      <c r="G49" s="56">
        <f>F49+G48</f>
        <v>56933353.127915479</v>
      </c>
      <c r="H49" s="41"/>
    </row>
    <row r="50" spans="2:8" ht="29.25" customHeight="1" x14ac:dyDescent="0.25">
      <c r="B50" s="50"/>
      <c r="C50" s="51"/>
      <c r="E50" s="61"/>
      <c r="F50" s="64"/>
      <c r="G50" s="65"/>
    </row>
    <row r="51" spans="2:8" ht="25.5" customHeight="1" x14ac:dyDescent="0.25">
      <c r="B51" s="50"/>
      <c r="C51" s="73">
        <f>C14</f>
        <v>45597</v>
      </c>
      <c r="D51" s="71"/>
    </row>
    <row r="52" spans="2:8" x14ac:dyDescent="0.25">
      <c r="B52" s="52"/>
      <c r="C52" s="73">
        <f>C49</f>
        <v>46661</v>
      </c>
      <c r="D52" s="71"/>
      <c r="F52" s="63"/>
    </row>
    <row r="53" spans="2:8" x14ac:dyDescent="0.25">
      <c r="D53" s="71"/>
    </row>
    <row r="54" spans="2:8" x14ac:dyDescent="0.25">
      <c r="D54" s="71"/>
    </row>
    <row r="55" spans="2:8" x14ac:dyDescent="0.25">
      <c r="D55" s="71"/>
    </row>
    <row r="56" spans="2:8" x14ac:dyDescent="0.25">
      <c r="D56" s="71"/>
    </row>
    <row r="57" spans="2:8" x14ac:dyDescent="0.25">
      <c r="D57" s="71"/>
      <c r="G57" s="47"/>
    </row>
    <row r="58" spans="2:8" x14ac:dyDescent="0.25">
      <c r="D58" s="71"/>
      <c r="G58" s="47"/>
    </row>
    <row r="59" spans="2:8" x14ac:dyDescent="0.25">
      <c r="D59" s="71"/>
      <c r="G59" s="47"/>
    </row>
    <row r="60" spans="2:8" x14ac:dyDescent="0.25">
      <c r="D60" s="71"/>
      <c r="G60" s="47"/>
    </row>
    <row r="61" spans="2:8" x14ac:dyDescent="0.25">
      <c r="D61" s="71"/>
      <c r="G61" s="47"/>
    </row>
    <row r="62" spans="2:8" ht="14.4" x14ac:dyDescent="0.25">
      <c r="D62" s="71"/>
      <c r="G62" s="48"/>
    </row>
    <row r="63" spans="2:8" x14ac:dyDescent="0.25">
      <c r="D63" s="71"/>
      <c r="G63" s="49"/>
    </row>
    <row r="64" spans="2:8" ht="14.4" x14ac:dyDescent="0.25">
      <c r="D64" s="71"/>
      <c r="G64" s="48"/>
    </row>
    <row r="65" spans="4:7" ht="14.4" x14ac:dyDescent="0.25">
      <c r="D65" s="71"/>
      <c r="G65" s="48"/>
    </row>
    <row r="66" spans="4:7" ht="14.4" x14ac:dyDescent="0.25">
      <c r="D66" s="71"/>
      <c r="G66" s="48"/>
    </row>
    <row r="67" spans="4:7" ht="14.4" x14ac:dyDescent="0.25">
      <c r="D67" s="71"/>
      <c r="G67" s="48"/>
    </row>
    <row r="68" spans="4:7" ht="14.4" x14ac:dyDescent="0.25">
      <c r="D68" s="71"/>
      <c r="G68" s="48"/>
    </row>
    <row r="69" spans="4:7" ht="14.4" x14ac:dyDescent="0.25">
      <c r="D69" s="71"/>
      <c r="G69" s="48"/>
    </row>
    <row r="70" spans="4:7" ht="14.4" x14ac:dyDescent="0.25">
      <c r="D70" s="71"/>
      <c r="G70" s="48"/>
    </row>
    <row r="71" spans="4:7" ht="14.4" x14ac:dyDescent="0.25">
      <c r="D71" s="71"/>
      <c r="G71" s="48"/>
    </row>
    <row r="72" spans="4:7" ht="14.4" x14ac:dyDescent="0.25">
      <c r="D72" s="71"/>
      <c r="G72" s="48"/>
    </row>
    <row r="73" spans="4:7" ht="14.4" x14ac:dyDescent="0.25">
      <c r="D73" s="71"/>
      <c r="G73" s="48"/>
    </row>
    <row r="74" spans="4:7" ht="14.4" x14ac:dyDescent="0.25">
      <c r="D74" s="71"/>
      <c r="G74" s="48"/>
    </row>
    <row r="75" spans="4:7" ht="14.4" x14ac:dyDescent="0.25">
      <c r="D75" s="71"/>
      <c r="G75" s="48"/>
    </row>
    <row r="76" spans="4:7" ht="14.4" x14ac:dyDescent="0.25">
      <c r="D76" s="71"/>
      <c r="G76" s="48"/>
    </row>
    <row r="77" spans="4:7" ht="14.4" x14ac:dyDescent="0.25">
      <c r="D77" s="71"/>
      <c r="G77" s="48"/>
    </row>
    <row r="78" spans="4:7" ht="14.4" x14ac:dyDescent="0.25">
      <c r="D78" s="71"/>
      <c r="G78" s="48"/>
    </row>
    <row r="79" spans="4:7" ht="14.4" x14ac:dyDescent="0.25">
      <c r="D79" s="71"/>
      <c r="G79" s="48"/>
    </row>
    <row r="80" spans="4:7" ht="14.4" x14ac:dyDescent="0.25">
      <c r="D80" s="71"/>
      <c r="G80" s="48"/>
    </row>
    <row r="81" spans="4:10" ht="14.4" x14ac:dyDescent="0.25">
      <c r="D81" s="71"/>
      <c r="G81" s="48"/>
    </row>
    <row r="82" spans="4:10" ht="14.4" x14ac:dyDescent="0.25">
      <c r="D82" s="71"/>
      <c r="G82" s="48"/>
      <c r="J82" s="53"/>
    </row>
    <row r="83" spans="4:10" ht="14.4" x14ac:dyDescent="0.25">
      <c r="D83" s="71"/>
      <c r="G83" s="48"/>
      <c r="J83" s="53"/>
    </row>
    <row r="84" spans="4:10" ht="14.4" x14ac:dyDescent="0.25">
      <c r="D84" s="71"/>
      <c r="G84" s="48"/>
    </row>
    <row r="85" spans="4:10" ht="14.4" x14ac:dyDescent="0.25">
      <c r="D85" s="71"/>
      <c r="G85" s="48"/>
    </row>
    <row r="86" spans="4:10" ht="14.4" x14ac:dyDescent="0.25">
      <c r="D86" s="71"/>
      <c r="G86" s="48"/>
    </row>
    <row r="87" spans="4:10" ht="14.4" x14ac:dyDescent="0.25">
      <c r="D87" s="71"/>
      <c r="G87" s="48"/>
    </row>
    <row r="88" spans="4:10" ht="14.4" x14ac:dyDescent="0.25">
      <c r="D88" s="71"/>
      <c r="G88" s="48"/>
    </row>
    <row r="89" spans="4:10" ht="14.4" x14ac:dyDescent="0.25">
      <c r="D89" s="71"/>
      <c r="G89" s="48"/>
    </row>
    <row r="90" spans="4:10" ht="14.4" x14ac:dyDescent="0.25">
      <c r="D90" s="71"/>
      <c r="G90" s="48"/>
    </row>
    <row r="91" spans="4:10" ht="14.4" x14ac:dyDescent="0.25">
      <c r="D91" s="71"/>
      <c r="G91" s="48"/>
    </row>
    <row r="92" spans="4:10" ht="14.4" x14ac:dyDescent="0.25">
      <c r="D92" s="71"/>
      <c r="G92" s="48"/>
    </row>
    <row r="93" spans="4:10" ht="14.4" x14ac:dyDescent="0.25">
      <c r="D93" s="71"/>
      <c r="G93" s="48"/>
    </row>
    <row r="94" spans="4:10" ht="14.4" x14ac:dyDescent="0.25">
      <c r="D94" s="71"/>
      <c r="G94" s="48"/>
    </row>
    <row r="95" spans="4:10" ht="14.4" x14ac:dyDescent="0.25">
      <c r="D95" s="71"/>
      <c r="G95" s="48"/>
    </row>
    <row r="96" spans="4:10" ht="14.4" x14ac:dyDescent="0.25">
      <c r="D96" s="71"/>
      <c r="G96" s="48"/>
    </row>
    <row r="97" spans="7:7" ht="14.4" x14ac:dyDescent="0.25">
      <c r="G97" s="48"/>
    </row>
    <row r="98" spans="7:7" ht="14.4" x14ac:dyDescent="0.25">
      <c r="G98" s="48"/>
    </row>
    <row r="99" spans="7:7" ht="14.4" x14ac:dyDescent="0.25">
      <c r="G99" s="48"/>
    </row>
    <row r="100" spans="7:7" ht="14.4" x14ac:dyDescent="0.25">
      <c r="G100" s="48"/>
    </row>
    <row r="101" spans="7:7" x14ac:dyDescent="0.25">
      <c r="G101" s="47"/>
    </row>
    <row r="102" spans="7:7" x14ac:dyDescent="0.25">
      <c r="G102" s="47"/>
    </row>
  </sheetData>
  <mergeCells count="6">
    <mergeCell ref="B42:B49"/>
    <mergeCell ref="E3:Z4"/>
    <mergeCell ref="E5:Z5"/>
    <mergeCell ref="B14:B17"/>
    <mergeCell ref="B18:B29"/>
    <mergeCell ref="B30:B41"/>
  </mergeCells>
  <printOptions horizontalCentered="1"/>
  <pageMargins left="0.47244094488188981" right="0.23622047244094491" top="0.59055118110236227" bottom="0.19685039370078741" header="0.31496062992125984" footer="0.31496062992125984"/>
  <pageSetup paperSize="8" scale="5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3FDC-5461-4FC9-84F5-DC1A290A66C3}">
  <sheetPr>
    <pageSetUpPr fitToPage="1"/>
  </sheetPr>
  <dimension ref="B1:AD94"/>
  <sheetViews>
    <sheetView showGridLines="0" zoomScale="55" zoomScaleNormal="55" zoomScaleSheetLayoutView="70" workbookViewId="0">
      <selection activeCell="F14" activeCellId="1" sqref="D14:D41 F14:F41"/>
    </sheetView>
  </sheetViews>
  <sheetFormatPr defaultColWidth="9.109375" defaultRowHeight="13.8" x14ac:dyDescent="0.25"/>
  <cols>
    <col min="1" max="1" width="1.44140625" style="31" customWidth="1"/>
    <col min="2" max="2" width="14.88671875" style="31" customWidth="1"/>
    <col min="3" max="3" width="29.44140625" style="41" bestFit="1" customWidth="1"/>
    <col min="4" max="4" width="12.6640625" style="31" customWidth="1"/>
    <col min="5" max="5" width="17.88671875" style="57" customWidth="1"/>
    <col min="6" max="7" width="28.33203125" style="31" bestFit="1" customWidth="1"/>
    <col min="8" max="8" width="15" style="31" bestFit="1" customWidth="1"/>
    <col min="9" max="16" width="9.109375" style="31"/>
    <col min="17" max="17" width="7.44140625" style="31" customWidth="1"/>
    <col min="18" max="18" width="10.44140625" style="31" customWidth="1"/>
    <col min="19" max="23" width="9.109375" style="31"/>
    <col min="24" max="24" width="12.6640625" style="31" customWidth="1"/>
    <col min="25" max="16384" width="9.109375" style="31"/>
  </cols>
  <sheetData>
    <row r="1" spans="2:30" ht="5.25" customHeight="1" x14ac:dyDescent="0.25"/>
    <row r="2" spans="2:30" ht="21.75" customHeight="1" x14ac:dyDescent="0.25">
      <c r="B2" s="27"/>
      <c r="C2" s="28"/>
      <c r="D2" s="29"/>
      <c r="E2" s="58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30"/>
    </row>
    <row r="3" spans="2:30" ht="10.5" customHeight="1" x14ac:dyDescent="0.25">
      <c r="B3" s="32"/>
      <c r="C3" s="33"/>
      <c r="D3" s="34"/>
      <c r="E3" s="75" t="s">
        <v>1258</v>
      </c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35"/>
      <c r="AB3" s="35"/>
      <c r="AC3" s="34"/>
      <c r="AD3" s="36"/>
    </row>
    <row r="4" spans="2:30" ht="21.75" customHeight="1" x14ac:dyDescent="0.25">
      <c r="B4" s="32"/>
      <c r="C4" s="33"/>
      <c r="D4" s="34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35"/>
      <c r="AB4" s="35"/>
      <c r="AC4" s="34"/>
      <c r="AD4" s="36"/>
    </row>
    <row r="5" spans="2:30" ht="30" customHeight="1" x14ac:dyDescent="0.35">
      <c r="B5" s="32"/>
      <c r="C5" s="33"/>
      <c r="D5" s="34"/>
      <c r="E5" s="76" t="s">
        <v>1264</v>
      </c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34"/>
      <c r="AB5" s="34"/>
      <c r="AC5" s="34"/>
      <c r="AD5" s="36"/>
    </row>
    <row r="6" spans="2:30" ht="21.75" customHeight="1" x14ac:dyDescent="0.25">
      <c r="B6" s="37"/>
      <c r="C6" s="38"/>
      <c r="D6" s="39"/>
      <c r="E6" s="5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40"/>
    </row>
    <row r="7" spans="2:30" ht="15.75" customHeight="1" x14ac:dyDescent="0.25"/>
    <row r="8" spans="2:30" ht="15.75" customHeight="1" x14ac:dyDescent="0.25">
      <c r="B8" s="55" t="s">
        <v>1259</v>
      </c>
      <c r="C8" s="54" t="s">
        <v>1267</v>
      </c>
    </row>
    <row r="9" spans="2:30" ht="15.75" customHeight="1" x14ac:dyDescent="0.25">
      <c r="B9" s="55" t="s">
        <v>1260</v>
      </c>
      <c r="C9" s="54">
        <v>12030.97</v>
      </c>
    </row>
    <row r="10" spans="2:30" ht="15.75" customHeight="1" x14ac:dyDescent="0.25">
      <c r="B10" s="55" t="s">
        <v>1261</v>
      </c>
      <c r="C10" s="54">
        <v>28</v>
      </c>
    </row>
    <row r="11" spans="2:30" ht="15.75" customHeight="1" x14ac:dyDescent="0.25">
      <c r="B11" s="55" t="s">
        <v>1262</v>
      </c>
      <c r="C11" s="54">
        <f>C9*[1]Gerenciamento_Exec!$D$20</f>
        <v>57400247.167867988</v>
      </c>
    </row>
    <row r="12" spans="2:30" ht="15.75" customHeight="1" x14ac:dyDescent="0.25"/>
    <row r="13" spans="2:30" ht="65.25" customHeight="1" x14ac:dyDescent="0.25">
      <c r="B13" s="46" t="s">
        <v>1253</v>
      </c>
      <c r="C13" s="46" t="s">
        <v>1252</v>
      </c>
      <c r="D13" s="46" t="s">
        <v>1256</v>
      </c>
      <c r="E13" s="60" t="s">
        <v>1257</v>
      </c>
      <c r="F13" s="46" t="s">
        <v>1254</v>
      </c>
      <c r="G13" s="46" t="s">
        <v>1255</v>
      </c>
      <c r="H13" s="41"/>
    </row>
    <row r="14" spans="2:30" ht="27" customHeight="1" x14ac:dyDescent="0.25">
      <c r="B14" s="74"/>
      <c r="C14" s="68">
        <v>45992</v>
      </c>
      <c r="D14" s="44">
        <v>3.7293571428571471E-3</v>
      </c>
      <c r="E14" s="44">
        <f>D14</f>
        <v>3.7293571428571471E-3</v>
      </c>
      <c r="F14" s="42">
        <f>D14*$C$11</f>
        <v>214066.02177725421</v>
      </c>
      <c r="G14" s="42">
        <f>F14</f>
        <v>214066.02177725421</v>
      </c>
      <c r="H14" s="41"/>
    </row>
    <row r="15" spans="2:30" ht="27" customHeight="1" x14ac:dyDescent="0.25">
      <c r="B15" s="74"/>
      <c r="C15" s="68">
        <v>46023</v>
      </c>
      <c r="D15" s="44">
        <v>4.307642857142864E-3</v>
      </c>
      <c r="E15" s="44">
        <f t="shared" ref="E15:E41" si="0">D15+E14</f>
        <v>8.0370000000000111E-3</v>
      </c>
      <c r="F15" s="42">
        <f t="shared" ref="F15:F41" si="1">D15*$C$11</f>
        <v>247259.76471090145</v>
      </c>
      <c r="G15" s="42">
        <f t="shared" ref="G15:G40" si="2">F15+G14</f>
        <v>461325.78648815566</v>
      </c>
      <c r="H15" s="41"/>
    </row>
    <row r="16" spans="2:30" ht="27" customHeight="1" x14ac:dyDescent="0.25">
      <c r="B16" s="74"/>
      <c r="C16" s="68">
        <v>46054</v>
      </c>
      <c r="D16" s="44">
        <v>5.7677142857143066E-3</v>
      </c>
      <c r="E16" s="44">
        <f t="shared" si="0"/>
        <v>1.3804714285714318E-2</v>
      </c>
      <c r="F16" s="42">
        <f t="shared" si="1"/>
        <v>331068.22559364437</v>
      </c>
      <c r="G16" s="42">
        <f t="shared" si="2"/>
        <v>792394.01208180003</v>
      </c>
      <c r="H16" s="41"/>
    </row>
    <row r="17" spans="2:8" ht="27" customHeight="1" x14ac:dyDescent="0.25">
      <c r="B17" s="74"/>
      <c r="C17" s="68">
        <v>46082</v>
      </c>
      <c r="D17" s="44">
        <v>8.5482857142858085E-3</v>
      </c>
      <c r="E17" s="44">
        <f t="shared" si="0"/>
        <v>2.2353000000000126E-2</v>
      </c>
      <c r="F17" s="42">
        <f t="shared" si="1"/>
        <v>490673.71286156034</v>
      </c>
      <c r="G17" s="42">
        <f t="shared" si="2"/>
        <v>1283067.7249433603</v>
      </c>
      <c r="H17" s="41"/>
    </row>
    <row r="18" spans="2:8" ht="27" customHeight="1" x14ac:dyDescent="0.25">
      <c r="B18" s="74"/>
      <c r="C18" s="68">
        <v>46113</v>
      </c>
      <c r="D18" s="44">
        <v>1.5177000000000152E-2</v>
      </c>
      <c r="E18" s="44">
        <f t="shared" si="0"/>
        <v>3.7530000000000278E-2</v>
      </c>
      <c r="F18" s="42">
        <f t="shared" si="1"/>
        <v>871163.55126674124</v>
      </c>
      <c r="G18" s="42">
        <f t="shared" si="2"/>
        <v>2154231.2762101013</v>
      </c>
      <c r="H18" s="41"/>
    </row>
    <row r="19" spans="2:8" ht="27" customHeight="1" x14ac:dyDescent="0.25">
      <c r="B19" s="74"/>
      <c r="C19" s="68">
        <v>46143</v>
      </c>
      <c r="D19" s="44">
        <v>1.7965999999999774E-2</v>
      </c>
      <c r="E19" s="44">
        <f t="shared" si="0"/>
        <v>5.5496000000000052E-2</v>
      </c>
      <c r="F19" s="42">
        <f t="shared" si="1"/>
        <v>1031252.8406179033</v>
      </c>
      <c r="G19" s="42">
        <f t="shared" si="2"/>
        <v>3185484.1168280048</v>
      </c>
      <c r="H19" s="41"/>
    </row>
    <row r="20" spans="2:8" ht="27" customHeight="1" x14ac:dyDescent="0.25">
      <c r="B20" s="74"/>
      <c r="C20" s="68">
        <v>46174</v>
      </c>
      <c r="D20" s="44">
        <v>1.1290000000000792E-2</v>
      </c>
      <c r="E20" s="44">
        <f t="shared" si="0"/>
        <v>6.6786000000000845E-2</v>
      </c>
      <c r="F20" s="42">
        <f t="shared" si="1"/>
        <v>648048.79052527505</v>
      </c>
      <c r="G20" s="42">
        <f t="shared" si="2"/>
        <v>3833532.9073532801</v>
      </c>
      <c r="H20" s="41"/>
    </row>
    <row r="21" spans="2:8" ht="27" customHeight="1" x14ac:dyDescent="0.25">
      <c r="B21" s="74"/>
      <c r="C21" s="68">
        <v>46204</v>
      </c>
      <c r="D21" s="44">
        <v>2.5354285714284691E-2</v>
      </c>
      <c r="E21" s="44">
        <f t="shared" si="0"/>
        <v>9.2140285714285536E-2</v>
      </c>
      <c r="F21" s="42">
        <f t="shared" si="1"/>
        <v>1455342.2667646857</v>
      </c>
      <c r="G21" s="42">
        <f t="shared" si="2"/>
        <v>5288875.1741179656</v>
      </c>
      <c r="H21" s="41"/>
    </row>
    <row r="22" spans="2:8" ht="27" customHeight="1" x14ac:dyDescent="0.25">
      <c r="B22" s="74"/>
      <c r="C22" s="68">
        <v>46235</v>
      </c>
      <c r="D22" s="44">
        <v>4.2069285714286142E-2</v>
      </c>
      <c r="E22" s="44">
        <f t="shared" si="0"/>
        <v>0.13420957142857168</v>
      </c>
      <c r="F22" s="42">
        <f t="shared" si="1"/>
        <v>2414787.3981756824</v>
      </c>
      <c r="G22" s="42">
        <f t="shared" si="2"/>
        <v>7703662.5722936485</v>
      </c>
      <c r="H22" s="41"/>
    </row>
    <row r="23" spans="2:8" ht="27" customHeight="1" x14ac:dyDescent="0.25">
      <c r="B23" s="74"/>
      <c r="C23" s="68">
        <v>46266</v>
      </c>
      <c r="D23" s="44">
        <v>4.3560142857143769E-2</v>
      </c>
      <c r="E23" s="44">
        <f t="shared" si="0"/>
        <v>0.17776971428571545</v>
      </c>
      <c r="F23" s="42">
        <f t="shared" si="1"/>
        <v>2500362.9666676917</v>
      </c>
      <c r="G23" s="42">
        <f t="shared" si="2"/>
        <v>10204025.53896134</v>
      </c>
      <c r="H23" s="41"/>
    </row>
    <row r="24" spans="2:8" ht="27" customHeight="1" x14ac:dyDescent="0.25">
      <c r="B24" s="74"/>
      <c r="C24" s="68">
        <v>46296</v>
      </c>
      <c r="D24" s="44">
        <v>4.8741214285712986E-2</v>
      </c>
      <c r="E24" s="44">
        <f t="shared" si="0"/>
        <v>0.22651092857142843</v>
      </c>
      <c r="F24" s="42">
        <f t="shared" si="1"/>
        <v>2797757.7472619438</v>
      </c>
      <c r="G24" s="42">
        <f t="shared" si="2"/>
        <v>13001783.286223283</v>
      </c>
      <c r="H24" s="41"/>
    </row>
    <row r="25" spans="2:8" ht="27" customHeight="1" x14ac:dyDescent="0.25">
      <c r="B25" s="74"/>
      <c r="C25" s="68">
        <v>46327</v>
      </c>
      <c r="D25" s="44">
        <v>4.5529071428571849E-2</v>
      </c>
      <c r="E25" s="44">
        <f t="shared" si="0"/>
        <v>0.27204000000000028</v>
      </c>
      <c r="F25" s="42">
        <f t="shared" si="1"/>
        <v>2613379.9533235407</v>
      </c>
      <c r="G25" s="42">
        <f t="shared" si="2"/>
        <v>15615163.239546824</v>
      </c>
      <c r="H25" s="41"/>
    </row>
    <row r="26" spans="2:8" ht="27" customHeight="1" x14ac:dyDescent="0.25">
      <c r="B26" s="74"/>
      <c r="C26" s="68">
        <v>46357</v>
      </c>
      <c r="D26" s="44">
        <v>3.8193571428571882E-2</v>
      </c>
      <c r="E26" s="44">
        <f t="shared" si="0"/>
        <v>0.31023357142857216</v>
      </c>
      <c r="F26" s="42">
        <f t="shared" si="1"/>
        <v>2192320.4402236468</v>
      </c>
      <c r="G26" s="42">
        <f t="shared" si="2"/>
        <v>17807483.67977047</v>
      </c>
      <c r="H26" s="41"/>
    </row>
    <row r="27" spans="2:8" ht="27" customHeight="1" x14ac:dyDescent="0.25">
      <c r="B27" s="74"/>
      <c r="C27" s="68">
        <v>46388</v>
      </c>
      <c r="D27" s="44">
        <v>4.3536428571429475E-2</v>
      </c>
      <c r="E27" s="44">
        <f t="shared" si="0"/>
        <v>0.35377000000000164</v>
      </c>
      <c r="F27" s="42">
        <f t="shared" si="1"/>
        <v>2499001.7608062816</v>
      </c>
      <c r="G27" s="42">
        <f t="shared" si="2"/>
        <v>20306485.440576751</v>
      </c>
      <c r="H27" s="41"/>
    </row>
    <row r="28" spans="2:8" ht="27" customHeight="1" x14ac:dyDescent="0.25">
      <c r="B28" s="74"/>
      <c r="C28" s="68">
        <v>46419</v>
      </c>
      <c r="D28" s="44">
        <v>6.3361357142856067E-2</v>
      </c>
      <c r="E28" s="44">
        <f t="shared" si="0"/>
        <v>0.41713135714285771</v>
      </c>
      <c r="F28" s="42">
        <f t="shared" si="1"/>
        <v>3636957.560891496</v>
      </c>
      <c r="G28" s="42">
        <f t="shared" si="2"/>
        <v>23943443.001468249</v>
      </c>
      <c r="H28" s="41"/>
    </row>
    <row r="29" spans="2:8" ht="27" customHeight="1" x14ac:dyDescent="0.25">
      <c r="B29" s="74"/>
      <c r="C29" s="68">
        <v>46447</v>
      </c>
      <c r="D29" s="44">
        <v>5.6181642857144387E-2</v>
      </c>
      <c r="E29" s="44">
        <f t="shared" si="0"/>
        <v>0.47331300000000209</v>
      </c>
      <c r="F29" s="42">
        <f t="shared" si="1"/>
        <v>3224840.1862969729</v>
      </c>
      <c r="G29" s="42">
        <f t="shared" si="2"/>
        <v>27168283.187765222</v>
      </c>
      <c r="H29" s="41"/>
    </row>
    <row r="30" spans="2:8" ht="27" customHeight="1" x14ac:dyDescent="0.25">
      <c r="B30" s="74"/>
      <c r="C30" s="68">
        <v>46478</v>
      </c>
      <c r="D30" s="44">
        <v>3.7056642857140942E-2</v>
      </c>
      <c r="E30" s="44">
        <f t="shared" si="0"/>
        <v>0.51036964285714304</v>
      </c>
      <c r="F30" s="42">
        <f t="shared" si="1"/>
        <v>2127060.4592112997</v>
      </c>
      <c r="G30" s="42">
        <f t="shared" si="2"/>
        <v>29295343.646976523</v>
      </c>
      <c r="H30" s="41"/>
    </row>
    <row r="31" spans="2:8" ht="27" customHeight="1" x14ac:dyDescent="0.25">
      <c r="B31" s="74"/>
      <c r="C31" s="68">
        <v>46508</v>
      </c>
      <c r="D31" s="44">
        <v>7.0308214285714876E-2</v>
      </c>
      <c r="E31" s="44">
        <f t="shared" si="0"/>
        <v>0.58067785714285791</v>
      </c>
      <c r="F31" s="42">
        <f t="shared" si="1"/>
        <v>4035708.8779314607</v>
      </c>
      <c r="G31" s="42">
        <f t="shared" si="2"/>
        <v>33331052.524907984</v>
      </c>
      <c r="H31" s="41"/>
    </row>
    <row r="32" spans="2:8" ht="27" customHeight="1" x14ac:dyDescent="0.25">
      <c r="B32" s="74"/>
      <c r="C32" s="68">
        <v>46539</v>
      </c>
      <c r="D32" s="44">
        <v>6.7587214285715902E-2</v>
      </c>
      <c r="E32" s="44">
        <f t="shared" si="0"/>
        <v>0.64826507142857381</v>
      </c>
      <c r="F32" s="42">
        <f t="shared" si="1"/>
        <v>3879522.8053877512</v>
      </c>
      <c r="G32" s="42">
        <f t="shared" si="2"/>
        <v>37210575.330295734</v>
      </c>
      <c r="H32" s="41"/>
    </row>
    <row r="33" spans="2:8" ht="27" customHeight="1" x14ac:dyDescent="0.25">
      <c r="B33" s="74"/>
      <c r="C33" s="68">
        <v>46569</v>
      </c>
      <c r="D33" s="44">
        <v>6.367464285714064E-2</v>
      </c>
      <c r="E33" s="44">
        <f t="shared" si="0"/>
        <v>0.71193971428571445</v>
      </c>
      <c r="F33" s="42">
        <f t="shared" si="1"/>
        <v>3654940.2383255926</v>
      </c>
      <c r="G33" s="42">
        <f t="shared" si="2"/>
        <v>40865515.56862133</v>
      </c>
      <c r="H33" s="41"/>
    </row>
    <row r="34" spans="2:8" ht="27" customHeight="1" x14ac:dyDescent="0.25">
      <c r="B34" s="74"/>
      <c r="C34" s="68">
        <v>46600</v>
      </c>
      <c r="D34" s="44">
        <v>6.329678571428643E-2</v>
      </c>
      <c r="E34" s="44">
        <f t="shared" si="0"/>
        <v>0.77523650000000088</v>
      </c>
      <c r="F34" s="42">
        <f t="shared" si="1"/>
        <v>3633251.1449316167</v>
      </c>
      <c r="G34" s="42">
        <f t="shared" si="2"/>
        <v>44498766.713552944</v>
      </c>
      <c r="H34" s="41"/>
    </row>
    <row r="35" spans="2:8" ht="27" customHeight="1" x14ac:dyDescent="0.25">
      <c r="B35" s="74"/>
      <c r="C35" s="68">
        <v>46631</v>
      </c>
      <c r="D35" s="44">
        <v>5.9357357142857503E-2</v>
      </c>
      <c r="E35" s="44">
        <f t="shared" si="0"/>
        <v>0.83459385714285839</v>
      </c>
      <c r="F35" s="42">
        <f t="shared" si="1"/>
        <v>3407126.971231435</v>
      </c>
      <c r="G35" s="42">
        <f t="shared" si="2"/>
        <v>47905893.684784383</v>
      </c>
      <c r="H35" s="41"/>
    </row>
    <row r="36" spans="2:8" ht="27" customHeight="1" x14ac:dyDescent="0.25">
      <c r="B36" s="74"/>
      <c r="C36" s="68">
        <v>46661</v>
      </c>
      <c r="D36" s="44">
        <v>4.5087857142857124E-2</v>
      </c>
      <c r="E36" s="44">
        <f t="shared" si="0"/>
        <v>0.87968171428571551</v>
      </c>
      <c r="F36" s="42">
        <f t="shared" si="1"/>
        <v>2588054.1442695209</v>
      </c>
      <c r="G36" s="42">
        <f t="shared" si="2"/>
        <v>50493947.829053901</v>
      </c>
      <c r="H36" s="41"/>
    </row>
    <row r="37" spans="2:8" ht="27" customHeight="1" x14ac:dyDescent="0.25">
      <c r="B37" s="74"/>
      <c r="C37" s="68">
        <v>46692</v>
      </c>
      <c r="D37" s="44">
        <v>3.0854285714285057E-2</v>
      </c>
      <c r="E37" s="44">
        <f t="shared" si="0"/>
        <v>0.91053600000000057</v>
      </c>
      <c r="F37" s="42">
        <f t="shared" si="1"/>
        <v>1771043.6261879806</v>
      </c>
      <c r="G37" s="42">
        <f t="shared" si="2"/>
        <v>52264991.455241881</v>
      </c>
      <c r="H37" s="41"/>
    </row>
    <row r="38" spans="2:8" ht="27" customHeight="1" x14ac:dyDescent="0.25">
      <c r="B38" s="74"/>
      <c r="C38" s="68">
        <v>46722</v>
      </c>
      <c r="D38" s="44">
        <v>2.7289214285714292E-2</v>
      </c>
      <c r="E38" s="44">
        <f t="shared" si="0"/>
        <v>0.93782521428571486</v>
      </c>
      <c r="F38" s="42">
        <f t="shared" si="1"/>
        <v>1566407.6450169145</v>
      </c>
      <c r="G38" s="42">
        <f t="shared" si="2"/>
        <v>53831399.100258797</v>
      </c>
      <c r="H38" s="41"/>
    </row>
    <row r="39" spans="2:8" ht="27" customHeight="1" x14ac:dyDescent="0.25">
      <c r="B39" s="74"/>
      <c r="C39" s="68">
        <v>46753</v>
      </c>
      <c r="D39" s="44">
        <v>1.6252071428571324E-2</v>
      </c>
      <c r="E39" s="44">
        <f t="shared" si="0"/>
        <v>0.95407728571428618</v>
      </c>
      <c r="F39" s="42">
        <f t="shared" si="1"/>
        <v>932872.9169898394</v>
      </c>
      <c r="G39" s="42">
        <f t="shared" si="2"/>
        <v>54764272.017248638</v>
      </c>
      <c r="H39" s="41"/>
    </row>
    <row r="40" spans="2:8" ht="27" customHeight="1" x14ac:dyDescent="0.25">
      <c r="B40" s="74"/>
      <c r="C40" s="68">
        <v>46784</v>
      </c>
      <c r="D40" s="44">
        <v>1.9102714285714195E-2</v>
      </c>
      <c r="E40" s="44">
        <f t="shared" si="0"/>
        <v>0.97318000000000038</v>
      </c>
      <c r="F40" s="42">
        <f t="shared" si="1"/>
        <v>1096500.5215771575</v>
      </c>
      <c r="G40" s="42">
        <f t="shared" si="2"/>
        <v>55860772.538825795</v>
      </c>
      <c r="H40" s="41"/>
    </row>
    <row r="41" spans="2:8" ht="27" customHeight="1" x14ac:dyDescent="0.25">
      <c r="B41" s="74"/>
      <c r="C41" s="68">
        <v>46813</v>
      </c>
      <c r="D41" s="44">
        <v>2.6820000000000288E-2</v>
      </c>
      <c r="E41" s="44">
        <f t="shared" si="0"/>
        <v>1.0000000000000007</v>
      </c>
      <c r="F41" s="42">
        <f t="shared" si="1"/>
        <v>1539474.6290422359</v>
      </c>
      <c r="G41" s="66">
        <f>F41+G40</f>
        <v>57400247.167868033</v>
      </c>
      <c r="H41" s="41"/>
    </row>
    <row r="42" spans="2:8" ht="29.25" customHeight="1" x14ac:dyDescent="0.25">
      <c r="B42" s="50"/>
      <c r="C42" s="51"/>
      <c r="E42" s="61"/>
      <c r="F42" s="64"/>
      <c r="G42" s="65"/>
    </row>
    <row r="43" spans="2:8" ht="25.5" customHeight="1" x14ac:dyDescent="0.25">
      <c r="B43" s="50"/>
      <c r="C43" s="73">
        <f>C14</f>
        <v>45992</v>
      </c>
    </row>
    <row r="44" spans="2:8" x14ac:dyDescent="0.25">
      <c r="B44" s="52"/>
      <c r="C44" s="73">
        <f>C41</f>
        <v>46813</v>
      </c>
      <c r="D44" s="71"/>
      <c r="F44" s="63"/>
    </row>
    <row r="45" spans="2:8" x14ac:dyDescent="0.25">
      <c r="C45" s="72"/>
    </row>
    <row r="46" spans="2:8" x14ac:dyDescent="0.25">
      <c r="C46" s="72"/>
    </row>
    <row r="49" spans="7:7" x14ac:dyDescent="0.25">
      <c r="G49" s="47"/>
    </row>
    <row r="50" spans="7:7" x14ac:dyDescent="0.25">
      <c r="G50" s="47"/>
    </row>
    <row r="51" spans="7:7" x14ac:dyDescent="0.25">
      <c r="G51" s="47"/>
    </row>
    <row r="52" spans="7:7" x14ac:dyDescent="0.25">
      <c r="G52" s="47"/>
    </row>
    <row r="53" spans="7:7" x14ac:dyDescent="0.25">
      <c r="G53" s="47"/>
    </row>
    <row r="54" spans="7:7" ht="14.4" x14ac:dyDescent="0.25">
      <c r="G54" s="48"/>
    </row>
    <row r="55" spans="7:7" x14ac:dyDescent="0.25">
      <c r="G55" s="49"/>
    </row>
    <row r="56" spans="7:7" ht="14.4" x14ac:dyDescent="0.25">
      <c r="G56" s="48"/>
    </row>
    <row r="57" spans="7:7" ht="14.4" x14ac:dyDescent="0.25">
      <c r="G57" s="48"/>
    </row>
    <row r="58" spans="7:7" ht="14.4" x14ac:dyDescent="0.25">
      <c r="G58" s="48"/>
    </row>
    <row r="59" spans="7:7" ht="14.4" x14ac:dyDescent="0.25">
      <c r="G59" s="48"/>
    </row>
    <row r="60" spans="7:7" ht="14.4" x14ac:dyDescent="0.25">
      <c r="G60" s="48"/>
    </row>
    <row r="61" spans="7:7" ht="14.4" x14ac:dyDescent="0.25">
      <c r="G61" s="48"/>
    </row>
    <row r="62" spans="7:7" ht="14.4" x14ac:dyDescent="0.25">
      <c r="G62" s="48"/>
    </row>
    <row r="63" spans="7:7" ht="14.4" x14ac:dyDescent="0.25">
      <c r="G63" s="48"/>
    </row>
    <row r="64" spans="7:7" ht="14.4" x14ac:dyDescent="0.25">
      <c r="G64" s="48"/>
    </row>
    <row r="65" spans="7:10" ht="14.4" x14ac:dyDescent="0.25">
      <c r="G65" s="48"/>
    </row>
    <row r="66" spans="7:10" ht="14.4" x14ac:dyDescent="0.25">
      <c r="G66" s="48"/>
    </row>
    <row r="67" spans="7:10" ht="14.4" x14ac:dyDescent="0.25">
      <c r="G67" s="48"/>
    </row>
    <row r="68" spans="7:10" ht="14.4" x14ac:dyDescent="0.25">
      <c r="G68" s="48"/>
    </row>
    <row r="69" spans="7:10" ht="14.4" x14ac:dyDescent="0.25">
      <c r="G69" s="48"/>
    </row>
    <row r="70" spans="7:10" ht="14.4" x14ac:dyDescent="0.25">
      <c r="G70" s="48"/>
    </row>
    <row r="71" spans="7:10" ht="14.4" x14ac:dyDescent="0.25">
      <c r="G71" s="48"/>
    </row>
    <row r="72" spans="7:10" ht="14.4" x14ac:dyDescent="0.25">
      <c r="G72" s="48"/>
    </row>
    <row r="73" spans="7:10" ht="14.4" x14ac:dyDescent="0.25">
      <c r="G73" s="48"/>
    </row>
    <row r="74" spans="7:10" ht="14.4" x14ac:dyDescent="0.25">
      <c r="G74" s="48"/>
      <c r="J74" s="53"/>
    </row>
    <row r="75" spans="7:10" ht="14.4" x14ac:dyDescent="0.25">
      <c r="G75" s="48"/>
      <c r="J75" s="53"/>
    </row>
    <row r="76" spans="7:10" ht="14.4" x14ac:dyDescent="0.25">
      <c r="G76" s="48"/>
    </row>
    <row r="77" spans="7:10" ht="14.4" x14ac:dyDescent="0.25">
      <c r="G77" s="48"/>
    </row>
    <row r="78" spans="7:10" ht="14.4" x14ac:dyDescent="0.25">
      <c r="G78" s="48"/>
    </row>
    <row r="79" spans="7:10" ht="14.4" x14ac:dyDescent="0.25">
      <c r="G79" s="48"/>
    </row>
    <row r="80" spans="7:10" ht="14.4" x14ac:dyDescent="0.25">
      <c r="G80" s="48"/>
    </row>
    <row r="81" spans="7:7" ht="14.4" x14ac:dyDescent="0.25">
      <c r="G81" s="48"/>
    </row>
    <row r="82" spans="7:7" ht="14.4" x14ac:dyDescent="0.25">
      <c r="G82" s="48"/>
    </row>
    <row r="83" spans="7:7" ht="14.4" x14ac:dyDescent="0.25">
      <c r="G83" s="48"/>
    </row>
    <row r="84" spans="7:7" ht="14.4" x14ac:dyDescent="0.25">
      <c r="G84" s="48"/>
    </row>
    <row r="85" spans="7:7" ht="14.4" x14ac:dyDescent="0.25">
      <c r="G85" s="48"/>
    </row>
    <row r="86" spans="7:7" ht="14.4" x14ac:dyDescent="0.25">
      <c r="G86" s="48"/>
    </row>
    <row r="87" spans="7:7" ht="14.4" x14ac:dyDescent="0.25">
      <c r="G87" s="48"/>
    </row>
    <row r="88" spans="7:7" ht="14.4" x14ac:dyDescent="0.25">
      <c r="G88" s="48"/>
    </row>
    <row r="89" spans="7:7" ht="14.4" x14ac:dyDescent="0.25">
      <c r="G89" s="48"/>
    </row>
    <row r="90" spans="7:7" ht="14.4" x14ac:dyDescent="0.25">
      <c r="G90" s="48"/>
    </row>
    <row r="91" spans="7:7" ht="14.4" x14ac:dyDescent="0.25">
      <c r="G91" s="48"/>
    </row>
    <row r="92" spans="7:7" ht="14.4" x14ac:dyDescent="0.25">
      <c r="G92" s="48"/>
    </row>
    <row r="93" spans="7:7" x14ac:dyDescent="0.25">
      <c r="G93" s="47"/>
    </row>
    <row r="94" spans="7:7" x14ac:dyDescent="0.25">
      <c r="G94" s="47"/>
    </row>
  </sheetData>
  <mergeCells count="5">
    <mergeCell ref="E3:Z4"/>
    <mergeCell ref="E5:Z5"/>
    <mergeCell ref="B14:B17"/>
    <mergeCell ref="B18:B29"/>
    <mergeCell ref="B30:B41"/>
  </mergeCells>
  <printOptions horizontalCentered="1"/>
  <pageMargins left="0.47244094488188981" right="0.23622047244094491" top="0.59055118110236227" bottom="0.19685039370078741" header="0.31496062992125984" footer="0.31496062992125984"/>
  <pageSetup paperSize="8" scale="5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D5DFD-E90F-4402-AF5E-0BA2DBB44B06}">
  <sheetPr>
    <pageSetUpPr fitToPage="1"/>
  </sheetPr>
  <dimension ref="B1:AD94"/>
  <sheetViews>
    <sheetView showGridLines="0" zoomScale="55" zoomScaleNormal="55" zoomScaleSheetLayoutView="70" workbookViewId="0">
      <selection activeCell="E6" sqref="E1:F1048576"/>
    </sheetView>
  </sheetViews>
  <sheetFormatPr defaultColWidth="9.109375" defaultRowHeight="13.8" x14ac:dyDescent="0.25"/>
  <cols>
    <col min="1" max="1" width="1.44140625" style="31" customWidth="1"/>
    <col min="2" max="2" width="14.88671875" style="31" customWidth="1"/>
    <col min="3" max="3" width="17.109375" style="41" bestFit="1" customWidth="1"/>
    <col min="4" max="4" width="12.6640625" style="31" customWidth="1"/>
    <col min="5" max="5" width="17.88671875" style="57" customWidth="1"/>
    <col min="6" max="7" width="28.33203125" style="31" bestFit="1" customWidth="1"/>
    <col min="8" max="8" width="15" style="31" bestFit="1" customWidth="1"/>
    <col min="9" max="16" width="9.109375" style="31"/>
    <col min="17" max="17" width="7.44140625" style="31" customWidth="1"/>
    <col min="18" max="18" width="10.44140625" style="31" customWidth="1"/>
    <col min="19" max="23" width="9.109375" style="31"/>
    <col min="24" max="24" width="12.6640625" style="31" customWidth="1"/>
    <col min="25" max="16384" width="9.109375" style="31"/>
  </cols>
  <sheetData>
    <row r="1" spans="2:30" ht="5.25" customHeight="1" x14ac:dyDescent="0.25"/>
    <row r="2" spans="2:30" ht="21.75" customHeight="1" x14ac:dyDescent="0.25">
      <c r="B2" s="27"/>
      <c r="C2" s="28"/>
      <c r="D2" s="29"/>
      <c r="E2" s="58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30"/>
    </row>
    <row r="3" spans="2:30" ht="10.5" customHeight="1" x14ac:dyDescent="0.25">
      <c r="B3" s="32"/>
      <c r="C3" s="33"/>
      <c r="D3" s="34"/>
      <c r="E3" s="75" t="s">
        <v>1258</v>
      </c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35"/>
      <c r="AB3" s="35"/>
      <c r="AC3" s="34"/>
      <c r="AD3" s="36"/>
    </row>
    <row r="4" spans="2:30" ht="21.75" customHeight="1" x14ac:dyDescent="0.25">
      <c r="B4" s="32"/>
      <c r="C4" s="33"/>
      <c r="D4" s="34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35"/>
      <c r="AB4" s="35"/>
      <c r="AC4" s="34"/>
      <c r="AD4" s="36"/>
    </row>
    <row r="5" spans="2:30" ht="30" customHeight="1" x14ac:dyDescent="0.35">
      <c r="B5" s="32"/>
      <c r="C5" s="33"/>
      <c r="D5" s="34"/>
      <c r="E5" s="76" t="s">
        <v>1264</v>
      </c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34"/>
      <c r="AB5" s="34"/>
      <c r="AC5" s="34"/>
      <c r="AD5" s="36"/>
    </row>
    <row r="6" spans="2:30" ht="21.75" customHeight="1" x14ac:dyDescent="0.25">
      <c r="B6" s="37"/>
      <c r="C6" s="38"/>
      <c r="D6" s="39"/>
      <c r="E6" s="5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40"/>
    </row>
    <row r="7" spans="2:30" ht="15.75" customHeight="1" x14ac:dyDescent="0.25"/>
    <row r="8" spans="2:30" ht="15.75" customHeight="1" x14ac:dyDescent="0.25">
      <c r="B8" s="55" t="s">
        <v>1259</v>
      </c>
      <c r="C8" s="54" t="s">
        <v>1268</v>
      </c>
    </row>
    <row r="9" spans="2:30" ht="15.75" customHeight="1" x14ac:dyDescent="0.25">
      <c r="B9" s="55" t="s">
        <v>1260</v>
      </c>
      <c r="C9" s="54">
        <v>14465.409999999993</v>
      </c>
    </row>
    <row r="10" spans="2:30" ht="15.75" customHeight="1" x14ac:dyDescent="0.25">
      <c r="B10" s="55" t="s">
        <v>1261</v>
      </c>
      <c r="C10" s="54">
        <v>28</v>
      </c>
    </row>
    <row r="11" spans="2:30" ht="15.75" customHeight="1" x14ac:dyDescent="0.25">
      <c r="B11" s="55" t="s">
        <v>1262</v>
      </c>
      <c r="C11" s="54">
        <f>C9*[1]Gerenciamento_Exec!$D$20</f>
        <v>69015059.416202426</v>
      </c>
      <c r="E11" s="67"/>
      <c r="G11" s="62"/>
    </row>
    <row r="12" spans="2:30" ht="15.75" customHeight="1" x14ac:dyDescent="0.25"/>
    <row r="13" spans="2:30" ht="65.25" customHeight="1" x14ac:dyDescent="0.25">
      <c r="B13" s="46" t="s">
        <v>1253</v>
      </c>
      <c r="C13" s="46" t="s">
        <v>1252</v>
      </c>
      <c r="D13" s="46" t="s">
        <v>1256</v>
      </c>
      <c r="E13" s="60" t="s">
        <v>1257</v>
      </c>
      <c r="F13" s="46" t="s">
        <v>1254</v>
      </c>
      <c r="G13" s="46" t="s">
        <v>1255</v>
      </c>
      <c r="H13" s="41"/>
    </row>
    <row r="14" spans="2:30" ht="27" customHeight="1" x14ac:dyDescent="0.25">
      <c r="B14" s="74"/>
      <c r="C14" s="68">
        <v>46661</v>
      </c>
      <c r="D14" s="44">
        <v>3.7293571428571471E-3</v>
      </c>
      <c r="E14" s="44">
        <f>D14</f>
        <v>3.7293571428571471E-3</v>
      </c>
      <c r="F14" s="42">
        <f>D14*$C$11</f>
        <v>257381.80479852491</v>
      </c>
      <c r="G14" s="42">
        <f>F14</f>
        <v>257381.80479852491</v>
      </c>
      <c r="H14" s="41"/>
    </row>
    <row r="15" spans="2:30" ht="27" customHeight="1" x14ac:dyDescent="0.25">
      <c r="B15" s="74"/>
      <c r="C15" s="68">
        <v>46692</v>
      </c>
      <c r="D15" s="44">
        <v>4.307642857142864E-3</v>
      </c>
      <c r="E15" s="44">
        <f t="shared" ref="E15:E41" si="0">D15+E14</f>
        <v>8.0370000000000111E-3</v>
      </c>
      <c r="F15" s="42">
        <f t="shared" ref="F15:F41" si="1">D15*$C$11</f>
        <v>297292.22772949474</v>
      </c>
      <c r="G15" s="42">
        <f t="shared" ref="G15:G40" si="2">F15+G14</f>
        <v>554674.03252801963</v>
      </c>
      <c r="H15" s="41"/>
    </row>
    <row r="16" spans="2:30" ht="27" customHeight="1" x14ac:dyDescent="0.25">
      <c r="B16" s="74"/>
      <c r="C16" s="68">
        <v>46722</v>
      </c>
      <c r="D16" s="44">
        <v>5.7677142857143066E-3</v>
      </c>
      <c r="E16" s="44">
        <f t="shared" si="0"/>
        <v>1.3804714285714318E-2</v>
      </c>
      <c r="F16" s="42">
        <f t="shared" si="1"/>
        <v>398059.14412425243</v>
      </c>
      <c r="G16" s="42">
        <f t="shared" si="2"/>
        <v>952733.176652272</v>
      </c>
      <c r="H16" s="41"/>
    </row>
    <row r="17" spans="2:8" ht="27" customHeight="1" x14ac:dyDescent="0.25">
      <c r="B17" s="74"/>
      <c r="C17" s="68">
        <v>46753</v>
      </c>
      <c r="D17" s="44">
        <v>8.5482857142858085E-3</v>
      </c>
      <c r="E17" s="44">
        <f t="shared" si="0"/>
        <v>2.2353000000000126E-2</v>
      </c>
      <c r="F17" s="42">
        <f t="shared" si="1"/>
        <v>589960.44647810946</v>
      </c>
      <c r="G17" s="42">
        <f t="shared" si="2"/>
        <v>1542693.6231303816</v>
      </c>
      <c r="H17" s="41"/>
    </row>
    <row r="18" spans="2:8" ht="27" customHeight="1" x14ac:dyDescent="0.25">
      <c r="B18" s="74"/>
      <c r="C18" s="68">
        <v>46784</v>
      </c>
      <c r="D18" s="44">
        <v>1.5177000000000152E-2</v>
      </c>
      <c r="E18" s="44">
        <f t="shared" si="0"/>
        <v>3.7530000000000278E-2</v>
      </c>
      <c r="F18" s="42">
        <f t="shared" si="1"/>
        <v>1047441.5567597147</v>
      </c>
      <c r="G18" s="42">
        <f t="shared" si="2"/>
        <v>2590135.1798900962</v>
      </c>
      <c r="H18" s="41"/>
    </row>
    <row r="19" spans="2:8" ht="27" customHeight="1" x14ac:dyDescent="0.25">
      <c r="B19" s="74"/>
      <c r="C19" s="68">
        <v>46813</v>
      </c>
      <c r="D19" s="44">
        <v>1.7965999999999774E-2</v>
      </c>
      <c r="E19" s="44">
        <f t="shared" si="0"/>
        <v>5.5496000000000052E-2</v>
      </c>
      <c r="F19" s="42">
        <f t="shared" si="1"/>
        <v>1239924.5574714772</v>
      </c>
      <c r="G19" s="42">
        <f t="shared" si="2"/>
        <v>3830059.7373615736</v>
      </c>
      <c r="H19" s="41"/>
    </row>
    <row r="20" spans="2:8" ht="27" customHeight="1" x14ac:dyDescent="0.25">
      <c r="B20" s="74"/>
      <c r="C20" s="68">
        <v>46844</v>
      </c>
      <c r="D20" s="44">
        <v>1.1290000000000792E-2</v>
      </c>
      <c r="E20" s="44">
        <f t="shared" si="0"/>
        <v>6.6786000000000845E-2</v>
      </c>
      <c r="F20" s="42">
        <f t="shared" si="1"/>
        <v>779180.0208089801</v>
      </c>
      <c r="G20" s="42">
        <f t="shared" si="2"/>
        <v>4609239.7581705535</v>
      </c>
      <c r="H20" s="41"/>
    </row>
    <row r="21" spans="2:8" ht="27" customHeight="1" x14ac:dyDescent="0.25">
      <c r="B21" s="74"/>
      <c r="C21" s="68">
        <v>46874</v>
      </c>
      <c r="D21" s="44">
        <v>2.5354285714284691E-2</v>
      </c>
      <c r="E21" s="44">
        <f t="shared" si="0"/>
        <v>9.2140285714285536E-2</v>
      </c>
      <c r="F21" s="42">
        <f t="shared" si="1"/>
        <v>1749827.5350267303</v>
      </c>
      <c r="G21" s="42">
        <f t="shared" si="2"/>
        <v>6359067.2931972835</v>
      </c>
      <c r="H21" s="41"/>
    </row>
    <row r="22" spans="2:8" ht="27" customHeight="1" x14ac:dyDescent="0.25">
      <c r="B22" s="74"/>
      <c r="C22" s="68">
        <v>46905</v>
      </c>
      <c r="D22" s="44">
        <v>4.2069285714286142E-2</v>
      </c>
      <c r="E22" s="44">
        <f t="shared" si="0"/>
        <v>0.13420957142857168</v>
      </c>
      <c r="F22" s="42">
        <f t="shared" si="1"/>
        <v>2903414.2531686542</v>
      </c>
      <c r="G22" s="42">
        <f t="shared" si="2"/>
        <v>9262481.5463659372</v>
      </c>
      <c r="H22" s="41"/>
    </row>
    <row r="23" spans="2:8" ht="27" customHeight="1" x14ac:dyDescent="0.25">
      <c r="B23" s="74"/>
      <c r="C23" s="68">
        <v>46935</v>
      </c>
      <c r="D23" s="44">
        <v>4.3560142857143769E-2</v>
      </c>
      <c r="E23" s="44">
        <f t="shared" si="0"/>
        <v>0.17776971428571545</v>
      </c>
      <c r="F23" s="42">
        <f t="shared" si="1"/>
        <v>3006305.8474640427</v>
      </c>
      <c r="G23" s="42">
        <f t="shared" si="2"/>
        <v>12268787.393829979</v>
      </c>
      <c r="H23" s="41"/>
    </row>
    <row r="24" spans="2:8" ht="27" customHeight="1" x14ac:dyDescent="0.25">
      <c r="B24" s="74"/>
      <c r="C24" s="68">
        <v>46966</v>
      </c>
      <c r="D24" s="44">
        <v>4.8741214285712986E-2</v>
      </c>
      <c r="E24" s="44">
        <f t="shared" si="0"/>
        <v>0.22651092857142843</v>
      </c>
      <c r="F24" s="42">
        <f t="shared" si="1"/>
        <v>3363877.7999463361</v>
      </c>
      <c r="G24" s="42">
        <f t="shared" si="2"/>
        <v>15632665.193776315</v>
      </c>
      <c r="H24" s="41"/>
    </row>
    <row r="25" spans="2:8" ht="27" customHeight="1" x14ac:dyDescent="0.25">
      <c r="B25" s="74"/>
      <c r="C25" s="68">
        <v>46997</v>
      </c>
      <c r="D25" s="44">
        <v>4.5529071428571849E-2</v>
      </c>
      <c r="E25" s="44">
        <f t="shared" si="0"/>
        <v>0.27204000000000028</v>
      </c>
      <c r="F25" s="42">
        <f t="shared" si="1"/>
        <v>3142191.5698074102</v>
      </c>
      <c r="G25" s="42">
        <f t="shared" si="2"/>
        <v>18774856.763583727</v>
      </c>
      <c r="H25" s="41"/>
    </row>
    <row r="26" spans="2:8" ht="27" customHeight="1" x14ac:dyDescent="0.25">
      <c r="B26" s="74"/>
      <c r="C26" s="68">
        <v>47027</v>
      </c>
      <c r="D26" s="44">
        <v>3.8193571428571882E-2</v>
      </c>
      <c r="E26" s="44">
        <f t="shared" si="0"/>
        <v>0.31023357142857216</v>
      </c>
      <c r="F26" s="42">
        <f t="shared" si="1"/>
        <v>2635931.6014598599</v>
      </c>
      <c r="G26" s="42">
        <f t="shared" si="2"/>
        <v>21410788.365043588</v>
      </c>
      <c r="H26" s="41"/>
    </row>
    <row r="27" spans="2:8" ht="27" customHeight="1" x14ac:dyDescent="0.25">
      <c r="B27" s="74"/>
      <c r="C27" s="68">
        <v>47058</v>
      </c>
      <c r="D27" s="44">
        <v>4.3536428571429475E-2</v>
      </c>
      <c r="E27" s="44">
        <f t="shared" si="0"/>
        <v>0.35377000000000164</v>
      </c>
      <c r="F27" s="42">
        <f t="shared" si="1"/>
        <v>3004669.2046264582</v>
      </c>
      <c r="G27" s="42">
        <f t="shared" si="2"/>
        <v>24415457.569670048</v>
      </c>
      <c r="H27" s="41"/>
    </row>
    <row r="28" spans="2:8" ht="27" customHeight="1" x14ac:dyDescent="0.25">
      <c r="B28" s="74"/>
      <c r="C28" s="68">
        <v>47088</v>
      </c>
      <c r="D28" s="44">
        <v>6.3361357142856067E-2</v>
      </c>
      <c r="E28" s="44">
        <f t="shared" si="0"/>
        <v>0.41713135714285771</v>
      </c>
      <c r="F28" s="42">
        <f t="shared" si="1"/>
        <v>4372887.8279054333</v>
      </c>
      <c r="G28" s="42">
        <f t="shared" si="2"/>
        <v>28788345.397575483</v>
      </c>
      <c r="H28" s="41"/>
    </row>
    <row r="29" spans="2:8" ht="27" customHeight="1" x14ac:dyDescent="0.25">
      <c r="B29" s="74"/>
      <c r="C29" s="68">
        <v>47119</v>
      </c>
      <c r="D29" s="44">
        <v>5.6181642857144387E-2</v>
      </c>
      <c r="E29" s="44">
        <f t="shared" si="0"/>
        <v>0.47331300000000209</v>
      </c>
      <c r="F29" s="42">
        <f t="shared" si="1"/>
        <v>3877379.4198856843</v>
      </c>
      <c r="G29" s="42">
        <f t="shared" si="2"/>
        <v>32665724.817461167</v>
      </c>
      <c r="H29" s="41"/>
    </row>
    <row r="30" spans="2:8" ht="27" customHeight="1" x14ac:dyDescent="0.25">
      <c r="B30" s="74"/>
      <c r="C30" s="68">
        <v>47150</v>
      </c>
      <c r="D30" s="44">
        <v>3.7056642857140942E-2</v>
      </c>
      <c r="E30" s="44">
        <f t="shared" si="0"/>
        <v>0.51036964285714304</v>
      </c>
      <c r="F30" s="42">
        <f t="shared" si="1"/>
        <v>2557466.4085505754</v>
      </c>
      <c r="G30" s="42">
        <f t="shared" si="2"/>
        <v>35223191.226011738</v>
      </c>
      <c r="H30" s="41"/>
    </row>
    <row r="31" spans="2:8" ht="27" customHeight="1" x14ac:dyDescent="0.25">
      <c r="B31" s="74"/>
      <c r="C31" s="68">
        <v>47178</v>
      </c>
      <c r="D31" s="44">
        <v>7.0308214285714876E-2</v>
      </c>
      <c r="E31" s="44">
        <f t="shared" si="0"/>
        <v>0.58067785714285791</v>
      </c>
      <c r="F31" s="42">
        <f t="shared" si="1"/>
        <v>4852325.586375704</v>
      </c>
      <c r="G31" s="42">
        <f t="shared" si="2"/>
        <v>40075516.812387444</v>
      </c>
      <c r="H31" s="41"/>
    </row>
    <row r="32" spans="2:8" ht="27" customHeight="1" x14ac:dyDescent="0.25">
      <c r="B32" s="74"/>
      <c r="C32" s="68">
        <v>47209</v>
      </c>
      <c r="D32" s="44">
        <v>6.7587214285715902E-2</v>
      </c>
      <c r="E32" s="44">
        <f t="shared" si="0"/>
        <v>0.64826507142857381</v>
      </c>
      <c r="F32" s="42">
        <f t="shared" si="1"/>
        <v>4664535.6097042887</v>
      </c>
      <c r="G32" s="42">
        <f t="shared" si="2"/>
        <v>44740052.42209173</v>
      </c>
      <c r="H32" s="41"/>
    </row>
    <row r="33" spans="2:8" ht="27" customHeight="1" x14ac:dyDescent="0.25">
      <c r="B33" s="74"/>
      <c r="C33" s="68">
        <v>47239</v>
      </c>
      <c r="D33" s="44">
        <v>6.367464285714064E-2</v>
      </c>
      <c r="E33" s="44">
        <f t="shared" si="0"/>
        <v>0.71193971428571445</v>
      </c>
      <c r="F33" s="42">
        <f t="shared" si="1"/>
        <v>4394509.260091031</v>
      </c>
      <c r="G33" s="42">
        <f t="shared" si="2"/>
        <v>49134561.682182759</v>
      </c>
      <c r="H33" s="41"/>
    </row>
    <row r="34" spans="2:8" ht="27" customHeight="1" x14ac:dyDescent="0.25">
      <c r="B34" s="74"/>
      <c r="C34" s="68">
        <v>47270</v>
      </c>
      <c r="D34" s="44">
        <v>6.329678571428643E-2</v>
      </c>
      <c r="E34" s="44">
        <f t="shared" si="0"/>
        <v>0.77523650000000088</v>
      </c>
      <c r="F34" s="42">
        <f t="shared" si="1"/>
        <v>4368431.4269261109</v>
      </c>
      <c r="G34" s="42">
        <f t="shared" si="2"/>
        <v>53502993.109108873</v>
      </c>
      <c r="H34" s="41"/>
    </row>
    <row r="35" spans="2:8" ht="27" customHeight="1" x14ac:dyDescent="0.25">
      <c r="B35" s="74"/>
      <c r="C35" s="68">
        <v>47300</v>
      </c>
      <c r="D35" s="44">
        <v>5.9357357142857503E-2</v>
      </c>
      <c r="E35" s="44">
        <f t="shared" si="0"/>
        <v>0.83459385714285839</v>
      </c>
      <c r="F35" s="42">
        <f t="shared" si="1"/>
        <v>4096551.5300030583</v>
      </c>
      <c r="G35" s="42">
        <f t="shared" si="2"/>
        <v>57599544.639111929</v>
      </c>
      <c r="H35" s="41"/>
    </row>
    <row r="36" spans="2:8" ht="27" customHeight="1" x14ac:dyDescent="0.25">
      <c r="B36" s="74"/>
      <c r="C36" s="68">
        <v>47331</v>
      </c>
      <c r="D36" s="44">
        <v>4.5087857142857124E-2</v>
      </c>
      <c r="E36" s="44">
        <f t="shared" si="0"/>
        <v>0.87968171428571551</v>
      </c>
      <c r="F36" s="42">
        <f t="shared" si="1"/>
        <v>3111741.1396635314</v>
      </c>
      <c r="G36" s="42">
        <f t="shared" si="2"/>
        <v>60711285.778775461</v>
      </c>
      <c r="H36" s="41"/>
    </row>
    <row r="37" spans="2:8" ht="27" customHeight="1" x14ac:dyDescent="0.25">
      <c r="B37" s="74"/>
      <c r="C37" s="68">
        <v>47362</v>
      </c>
      <c r="D37" s="44">
        <v>3.0854285714285057E-2</v>
      </c>
      <c r="E37" s="44">
        <f t="shared" si="0"/>
        <v>0.91053600000000057</v>
      </c>
      <c r="F37" s="42">
        <f t="shared" si="1"/>
        <v>2129410.3618158689</v>
      </c>
      <c r="G37" s="42">
        <f t="shared" si="2"/>
        <v>62840696.140591331</v>
      </c>
      <c r="H37" s="41"/>
    </row>
    <row r="38" spans="2:8" ht="27" customHeight="1" x14ac:dyDescent="0.25">
      <c r="B38" s="74"/>
      <c r="C38" s="68">
        <v>47392</v>
      </c>
      <c r="D38" s="44">
        <v>2.7289214285714292E-2</v>
      </c>
      <c r="E38" s="44">
        <f t="shared" si="0"/>
        <v>0.93782521428571486</v>
      </c>
      <c r="F38" s="42">
        <f t="shared" si="1"/>
        <v>1883366.7453500519</v>
      </c>
      <c r="G38" s="42">
        <f t="shared" si="2"/>
        <v>64724062.885941386</v>
      </c>
      <c r="H38" s="41"/>
    </row>
    <row r="39" spans="2:8" ht="27" customHeight="1" x14ac:dyDescent="0.25">
      <c r="B39" s="74"/>
      <c r="C39" s="68">
        <v>47423</v>
      </c>
      <c r="D39" s="44">
        <v>1.6252071428571324E-2</v>
      </c>
      <c r="E39" s="44">
        <f t="shared" si="0"/>
        <v>0.95407728571428618</v>
      </c>
      <c r="F39" s="42">
        <f t="shared" si="1"/>
        <v>1121637.6752792157</v>
      </c>
      <c r="G39" s="42">
        <f t="shared" si="2"/>
        <v>65845700.561220601</v>
      </c>
      <c r="H39" s="41"/>
    </row>
    <row r="40" spans="2:8" ht="27" customHeight="1" x14ac:dyDescent="0.25">
      <c r="B40" s="74"/>
      <c r="C40" s="68">
        <v>47453</v>
      </c>
      <c r="D40" s="44">
        <v>1.9102714285714195E-2</v>
      </c>
      <c r="E40" s="44">
        <f t="shared" si="0"/>
        <v>0.97318000000000038</v>
      </c>
      <c r="F40" s="42">
        <f t="shared" si="1"/>
        <v>1318374.9614393041</v>
      </c>
      <c r="G40" s="42">
        <f t="shared" si="2"/>
        <v>67164075.522659898</v>
      </c>
      <c r="H40" s="41"/>
    </row>
    <row r="41" spans="2:8" ht="27" customHeight="1" x14ac:dyDescent="0.25">
      <c r="B41" s="74"/>
      <c r="C41" s="68">
        <v>47484</v>
      </c>
      <c r="D41" s="44">
        <v>2.6820000000000288E-2</v>
      </c>
      <c r="E41" s="44">
        <f t="shared" si="0"/>
        <v>1.0000000000000007</v>
      </c>
      <c r="F41" s="42">
        <f t="shared" si="1"/>
        <v>1850983.8935425689</v>
      </c>
      <c r="G41" s="66">
        <f>F41+G40</f>
        <v>69015059.416202471</v>
      </c>
      <c r="H41" s="41"/>
    </row>
    <row r="42" spans="2:8" ht="29.25" customHeight="1" x14ac:dyDescent="0.25">
      <c r="B42" s="50"/>
      <c r="C42" s="51"/>
      <c r="E42" s="61"/>
      <c r="F42" s="64"/>
      <c r="G42" s="65"/>
    </row>
    <row r="43" spans="2:8" ht="25.5" customHeight="1" x14ac:dyDescent="0.25">
      <c r="B43" s="50"/>
      <c r="C43" s="72">
        <f>C14</f>
        <v>46661</v>
      </c>
    </row>
    <row r="44" spans="2:8" x14ac:dyDescent="0.25">
      <c r="B44" s="52"/>
      <c r="C44" s="73">
        <f>C41</f>
        <v>47484</v>
      </c>
      <c r="F44" s="63"/>
    </row>
    <row r="45" spans="2:8" x14ac:dyDescent="0.25">
      <c r="C45" s="72"/>
    </row>
    <row r="49" spans="7:7" x14ac:dyDescent="0.25">
      <c r="G49" s="47"/>
    </row>
    <row r="50" spans="7:7" x14ac:dyDescent="0.25">
      <c r="G50" s="47"/>
    </row>
    <row r="51" spans="7:7" x14ac:dyDescent="0.25">
      <c r="G51" s="47"/>
    </row>
    <row r="52" spans="7:7" x14ac:dyDescent="0.25">
      <c r="G52" s="47"/>
    </row>
    <row r="53" spans="7:7" x14ac:dyDescent="0.25">
      <c r="G53" s="47"/>
    </row>
    <row r="54" spans="7:7" ht="14.4" x14ac:dyDescent="0.25">
      <c r="G54" s="48"/>
    </row>
    <row r="55" spans="7:7" x14ac:dyDescent="0.25">
      <c r="G55" s="49"/>
    </row>
    <row r="56" spans="7:7" ht="14.4" x14ac:dyDescent="0.25">
      <c r="G56" s="48"/>
    </row>
    <row r="57" spans="7:7" ht="14.4" x14ac:dyDescent="0.25">
      <c r="G57" s="48"/>
    </row>
    <row r="58" spans="7:7" ht="14.4" x14ac:dyDescent="0.25">
      <c r="G58" s="48"/>
    </row>
    <row r="59" spans="7:7" ht="14.4" x14ac:dyDescent="0.25">
      <c r="G59" s="48"/>
    </row>
    <row r="60" spans="7:7" ht="14.4" x14ac:dyDescent="0.25">
      <c r="G60" s="48"/>
    </row>
    <row r="61" spans="7:7" ht="14.4" x14ac:dyDescent="0.25">
      <c r="G61" s="48"/>
    </row>
    <row r="62" spans="7:7" ht="14.4" x14ac:dyDescent="0.25">
      <c r="G62" s="48"/>
    </row>
    <row r="63" spans="7:7" ht="14.4" x14ac:dyDescent="0.25">
      <c r="G63" s="48"/>
    </row>
    <row r="64" spans="7:7" ht="14.4" x14ac:dyDescent="0.25">
      <c r="G64" s="48"/>
    </row>
    <row r="65" spans="7:10" ht="14.4" x14ac:dyDescent="0.25">
      <c r="G65" s="48"/>
    </row>
    <row r="66" spans="7:10" ht="14.4" x14ac:dyDescent="0.25">
      <c r="G66" s="48"/>
    </row>
    <row r="67" spans="7:10" ht="14.4" x14ac:dyDescent="0.25">
      <c r="G67" s="48"/>
    </row>
    <row r="68" spans="7:10" ht="14.4" x14ac:dyDescent="0.25">
      <c r="G68" s="48"/>
    </row>
    <row r="69" spans="7:10" ht="14.4" x14ac:dyDescent="0.25">
      <c r="G69" s="48"/>
    </row>
    <row r="70" spans="7:10" ht="14.4" x14ac:dyDescent="0.25">
      <c r="G70" s="48"/>
    </row>
    <row r="71" spans="7:10" ht="14.4" x14ac:dyDescent="0.25">
      <c r="G71" s="48"/>
    </row>
    <row r="72" spans="7:10" ht="14.4" x14ac:dyDescent="0.25">
      <c r="G72" s="48"/>
    </row>
    <row r="73" spans="7:10" ht="14.4" x14ac:dyDescent="0.25">
      <c r="G73" s="48"/>
    </row>
    <row r="74" spans="7:10" ht="14.4" x14ac:dyDescent="0.25">
      <c r="G74" s="48"/>
      <c r="J74" s="53"/>
    </row>
    <row r="75" spans="7:10" ht="14.4" x14ac:dyDescent="0.25">
      <c r="G75" s="48"/>
      <c r="J75" s="53"/>
    </row>
    <row r="76" spans="7:10" ht="14.4" x14ac:dyDescent="0.25">
      <c r="G76" s="48"/>
    </row>
    <row r="77" spans="7:10" ht="14.4" x14ac:dyDescent="0.25">
      <c r="G77" s="48"/>
    </row>
    <row r="78" spans="7:10" ht="14.4" x14ac:dyDescent="0.25">
      <c r="G78" s="48"/>
    </row>
    <row r="79" spans="7:10" ht="14.4" x14ac:dyDescent="0.25">
      <c r="G79" s="48"/>
    </row>
    <row r="80" spans="7:10" ht="14.4" x14ac:dyDescent="0.25">
      <c r="G80" s="48"/>
    </row>
    <row r="81" spans="7:7" ht="14.4" x14ac:dyDescent="0.25">
      <c r="G81" s="48"/>
    </row>
    <row r="82" spans="7:7" ht="14.4" x14ac:dyDescent="0.25">
      <c r="G82" s="48"/>
    </row>
    <row r="83" spans="7:7" ht="14.4" x14ac:dyDescent="0.25">
      <c r="G83" s="48"/>
    </row>
    <row r="84" spans="7:7" ht="14.4" x14ac:dyDescent="0.25">
      <c r="G84" s="48"/>
    </row>
    <row r="85" spans="7:7" ht="14.4" x14ac:dyDescent="0.25">
      <c r="G85" s="48"/>
    </row>
    <row r="86" spans="7:7" ht="14.4" x14ac:dyDescent="0.25">
      <c r="G86" s="48"/>
    </row>
    <row r="87" spans="7:7" ht="14.4" x14ac:dyDescent="0.25">
      <c r="G87" s="48"/>
    </row>
    <row r="88" spans="7:7" ht="14.4" x14ac:dyDescent="0.25">
      <c r="G88" s="48"/>
    </row>
    <row r="89" spans="7:7" ht="14.4" x14ac:dyDescent="0.25">
      <c r="G89" s="48"/>
    </row>
    <row r="90" spans="7:7" ht="14.4" x14ac:dyDescent="0.25">
      <c r="G90" s="48"/>
    </row>
    <row r="91" spans="7:7" ht="14.4" x14ac:dyDescent="0.25">
      <c r="G91" s="48"/>
    </row>
    <row r="92" spans="7:7" ht="14.4" x14ac:dyDescent="0.25">
      <c r="G92" s="48"/>
    </row>
    <row r="93" spans="7:7" x14ac:dyDescent="0.25">
      <c r="G93" s="47"/>
    </row>
    <row r="94" spans="7:7" x14ac:dyDescent="0.25">
      <c r="G94" s="47"/>
    </row>
  </sheetData>
  <mergeCells count="5">
    <mergeCell ref="E3:Z4"/>
    <mergeCell ref="E5:Z5"/>
    <mergeCell ref="B14:B17"/>
    <mergeCell ref="B18:B29"/>
    <mergeCell ref="B30:B41"/>
  </mergeCells>
  <printOptions horizontalCentered="1"/>
  <pageMargins left="0.47244094488188981" right="0.23622047244094491" top="0.59055118110236227" bottom="0.19685039370078741" header="0.31496062992125984" footer="0.31496062992125984"/>
  <pageSetup paperSize="8" scale="57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ADEAC-A029-4A67-BA4C-FF04DA01AE0F}">
  <sheetPr>
    <pageSetUpPr fitToPage="1"/>
  </sheetPr>
  <dimension ref="B1:AD105"/>
  <sheetViews>
    <sheetView showGridLines="0" topLeftCell="A5" zoomScale="70" zoomScaleNormal="70" zoomScaleSheetLayoutView="70" workbookViewId="0">
      <selection activeCell="F13" sqref="F13"/>
    </sheetView>
  </sheetViews>
  <sheetFormatPr defaultColWidth="9.109375" defaultRowHeight="14.4" x14ac:dyDescent="0.3"/>
  <cols>
    <col min="1" max="1" width="1.44140625" style="31" customWidth="1"/>
    <col min="2" max="2" width="10.6640625" style="31" customWidth="1"/>
    <col min="3" max="3" width="17.77734375" style="41" customWidth="1"/>
    <col min="4" max="4" width="12.6640625" style="31" customWidth="1"/>
    <col min="5" max="5" width="17.88671875" style="31" customWidth="1"/>
    <col min="6" max="7" width="28.33203125" style="31" bestFit="1" customWidth="1"/>
    <col min="8" max="8" width="15" style="31" bestFit="1" customWidth="1"/>
    <col min="9" max="16" width="9.109375" style="31"/>
    <col min="17" max="17" width="7.44140625" style="31" customWidth="1"/>
    <col min="18" max="18" width="10.44140625" style="31" customWidth="1"/>
    <col min="19" max="23" width="9.109375" style="31"/>
    <col min="24" max="24" width="12.6640625" style="31" customWidth="1"/>
    <col min="25" max="16384" width="9.109375" style="31"/>
  </cols>
  <sheetData>
    <row r="1" spans="2:30" ht="5.25" customHeight="1" x14ac:dyDescent="0.3"/>
    <row r="2" spans="2:30" ht="21.75" customHeight="1" x14ac:dyDescent="0.3">
      <c r="B2" s="27"/>
      <c r="C2" s="28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30"/>
    </row>
    <row r="3" spans="2:30" ht="10.5" customHeight="1" x14ac:dyDescent="0.3">
      <c r="B3" s="32"/>
      <c r="C3" s="33"/>
      <c r="D3" s="34"/>
      <c r="E3" s="75" t="s">
        <v>1258</v>
      </c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35"/>
      <c r="AB3" s="35"/>
      <c r="AC3" s="34"/>
      <c r="AD3" s="36"/>
    </row>
    <row r="4" spans="2:30" ht="21.75" customHeight="1" x14ac:dyDescent="0.3">
      <c r="B4" s="32"/>
      <c r="C4" s="33"/>
      <c r="D4" s="34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35"/>
      <c r="AB4" s="35"/>
      <c r="AC4" s="34"/>
      <c r="AD4" s="36"/>
    </row>
    <row r="5" spans="2:30" ht="30" customHeight="1" x14ac:dyDescent="0.4">
      <c r="B5" s="32"/>
      <c r="C5" s="33"/>
      <c r="D5" s="34"/>
      <c r="E5" s="76" t="s">
        <v>1265</v>
      </c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34"/>
      <c r="AB5" s="34"/>
      <c r="AC5" s="34"/>
      <c r="AD5" s="36"/>
    </row>
    <row r="6" spans="2:30" ht="21.75" customHeight="1" x14ac:dyDescent="0.3">
      <c r="B6" s="37"/>
      <c r="C6" s="38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40"/>
    </row>
    <row r="7" spans="2:30" ht="21.75" customHeight="1" x14ac:dyDescent="0.3">
      <c r="B7" s="34"/>
      <c r="C7" s="33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</row>
    <row r="8" spans="2:30" ht="15.75" customHeight="1" x14ac:dyDescent="0.3">
      <c r="B8" s="55" t="s">
        <v>1259</v>
      </c>
      <c r="C8" s="54" t="s">
        <v>1266</v>
      </c>
      <c r="E8" s="57"/>
    </row>
    <row r="9" spans="2:30" ht="15.75" customHeight="1" x14ac:dyDescent="0.3">
      <c r="B9" s="55" t="s">
        <v>1260</v>
      </c>
      <c r="C9" s="54">
        <f>[1]Gerenciamento_Exec!$G$12</f>
        <v>38429.49</v>
      </c>
      <c r="E9" s="57"/>
    </row>
    <row r="10" spans="2:30" ht="15.75" customHeight="1" x14ac:dyDescent="0.3">
      <c r="B10" s="55" t="s">
        <v>1261</v>
      </c>
      <c r="C10" s="54">
        <v>63</v>
      </c>
      <c r="E10" s="57"/>
    </row>
    <row r="11" spans="2:30" ht="15.75" customHeight="1" x14ac:dyDescent="0.3">
      <c r="B11" s="55" t="s">
        <v>1262</v>
      </c>
      <c r="C11" s="54">
        <f>C9*[1]Gerenciamento_Exec!$D$20</f>
        <v>183348659.71198592</v>
      </c>
      <c r="E11" s="67"/>
    </row>
    <row r="12" spans="2:30" ht="15.75" customHeight="1" x14ac:dyDescent="0.3"/>
    <row r="13" spans="2:30" ht="65.25" customHeight="1" x14ac:dyDescent="0.3">
      <c r="B13" s="46" t="s">
        <v>1253</v>
      </c>
      <c r="C13" s="46" t="s">
        <v>1252</v>
      </c>
      <c r="D13" s="46" t="s">
        <v>1256</v>
      </c>
      <c r="E13" s="46" t="s">
        <v>1257</v>
      </c>
      <c r="F13" s="46" t="s">
        <v>1254</v>
      </c>
      <c r="G13" s="46" t="s">
        <v>1255</v>
      </c>
      <c r="H13" s="41"/>
    </row>
    <row r="14" spans="2:30" ht="27" customHeight="1" x14ac:dyDescent="0.3">
      <c r="B14" s="77"/>
      <c r="C14" s="43">
        <v>45597</v>
      </c>
      <c r="D14" s="44">
        <f>F14/$C$11</f>
        <v>1.0557666521205462E-3</v>
      </c>
      <c r="E14" s="45">
        <f>D14</f>
        <v>1.0557666521205462E-3</v>
      </c>
      <c r="F14" s="42">
        <f>SUMIF(FASE_A!$C$14:$C$49,TOTAL_OBRA!C14,FASE_A!$F$14:$F$49)+SUMIF(FASE_B!$C$14:$C$41,TOTAL_OBRA!C14,FASE_B!$F$14:$F$41)+SUMIF(FASE_C!$C$14:$C$41,TOTAL_OBRA!C14,FASE_C!$F$14:$F$41)</f>
        <v>193573.40063491263</v>
      </c>
      <c r="G14" s="42">
        <f>F14</f>
        <v>193573.40063491263</v>
      </c>
      <c r="H14" s="41"/>
    </row>
    <row r="15" spans="2:30" ht="27" customHeight="1" x14ac:dyDescent="0.3">
      <c r="B15" s="74"/>
      <c r="C15" s="43">
        <v>45627</v>
      </c>
      <c r="D15" s="44">
        <f t="shared" ref="D15:D76" si="0">F15/$C$11</f>
        <v>9.3155881069459953E-4</v>
      </c>
      <c r="E15" s="45">
        <f>D15+E14</f>
        <v>1.9873254628151459E-3</v>
      </c>
      <c r="F15" s="42">
        <f>SUMIF(FASE_A!$C$14:$C$49,TOTAL_OBRA!C15,FASE_A!$F$14:$F$49)+SUMIF(FASE_B!$C$14:$C$41,TOTAL_OBRA!C15,FASE_B!$F$14:$F$41)+SUMIF(FASE_C!$C$14:$C$41,TOTAL_OBRA!C15,FASE_C!$F$14:$F$41)</f>
        <v>170800.05938374644</v>
      </c>
      <c r="G15" s="42">
        <f>F15+G14</f>
        <v>364373.46001865907</v>
      </c>
      <c r="H15" s="41"/>
    </row>
    <row r="16" spans="2:30" ht="27" customHeight="1" x14ac:dyDescent="0.3">
      <c r="B16" s="74"/>
      <c r="C16" s="43">
        <v>45658</v>
      </c>
      <c r="D16" s="44">
        <f t="shared" si="0"/>
        <v>5.2788332606027312E-4</v>
      </c>
      <c r="E16" s="45">
        <f t="shared" ref="E16:E76" si="1">D16+E15</f>
        <v>2.5152087888754191E-3</v>
      </c>
      <c r="F16" s="42">
        <f>SUMIF(FASE_A!$C$14:$C$49,TOTAL_OBRA!C16,FASE_A!$F$14:$F$49)+SUMIF(FASE_B!$C$14:$C$41,TOTAL_OBRA!C16,FASE_B!$F$14:$F$41)+SUMIF(FASE_C!$C$14:$C$41,TOTAL_OBRA!C16,FASE_C!$F$14:$F$41)</f>
        <v>96786.700317456314</v>
      </c>
      <c r="G16" s="42">
        <f t="shared" ref="G16:G76" si="2">F16+G15</f>
        <v>461160.1603361154</v>
      </c>
      <c r="H16" s="41"/>
    </row>
    <row r="17" spans="2:8" ht="27" customHeight="1" x14ac:dyDescent="0.3">
      <c r="B17" s="74"/>
      <c r="C17" s="43">
        <v>45689</v>
      </c>
      <c r="D17" s="44">
        <f t="shared" si="0"/>
        <v>8.0735096926865294E-4</v>
      </c>
      <c r="E17" s="45">
        <f t="shared" si="1"/>
        <v>3.3225597581440719E-3</v>
      </c>
      <c r="F17" s="42">
        <f>SUMIF(FASE_A!$C$14:$C$49,TOTAL_OBRA!C17,FASE_A!$F$14:$F$49)+SUMIF(FASE_B!$C$14:$C$41,TOTAL_OBRA!C17,FASE_B!$F$14:$F$41)+SUMIF(FASE_C!$C$14:$C$41,TOTAL_OBRA!C17,FASE_C!$F$14:$F$41)</f>
        <v>148026.71813258025</v>
      </c>
      <c r="G17" s="42">
        <f t="shared" si="2"/>
        <v>609186.87846869568</v>
      </c>
      <c r="H17" s="41"/>
    </row>
    <row r="18" spans="2:8" ht="27" customHeight="1" x14ac:dyDescent="0.3">
      <c r="B18" s="74"/>
      <c r="C18" s="43">
        <v>45717</v>
      </c>
      <c r="D18" s="44">
        <f t="shared" si="0"/>
        <v>1.0557666521205462E-3</v>
      </c>
      <c r="E18" s="45">
        <f t="shared" si="1"/>
        <v>4.3783264102646184E-3</v>
      </c>
      <c r="F18" s="42">
        <f>SUMIF(FASE_A!$C$14:$C$49,TOTAL_OBRA!C18,FASE_A!$F$14:$F$49)+SUMIF(FASE_B!$C$14:$C$41,TOTAL_OBRA!C18,FASE_B!$F$14:$F$41)+SUMIF(FASE_C!$C$14:$C$41,TOTAL_OBRA!C18,FASE_C!$F$14:$F$41)</f>
        <v>193573.40063491263</v>
      </c>
      <c r="G18" s="42">
        <f t="shared" si="2"/>
        <v>802760.27910360834</v>
      </c>
      <c r="H18" s="41"/>
    </row>
    <row r="19" spans="2:8" ht="27" customHeight="1" x14ac:dyDescent="0.3">
      <c r="B19" s="74"/>
      <c r="C19" s="43">
        <v>45748</v>
      </c>
      <c r="D19" s="44">
        <f t="shared" si="0"/>
        <v>8.0735096926865294E-4</v>
      </c>
      <c r="E19" s="45">
        <f t="shared" si="1"/>
        <v>5.1856773795332716E-3</v>
      </c>
      <c r="F19" s="42">
        <f>SUMIF(FASE_A!$C$14:$C$49,TOTAL_OBRA!C19,FASE_A!$F$14:$F$49)+SUMIF(FASE_B!$C$14:$C$41,TOTAL_OBRA!C19,FASE_B!$F$14:$F$41)+SUMIF(FASE_C!$C$14:$C$41,TOTAL_OBRA!C19,FASE_C!$F$14:$F$41)</f>
        <v>148026.71813258025</v>
      </c>
      <c r="G19" s="42">
        <f t="shared" si="2"/>
        <v>950786.99723618862</v>
      </c>
      <c r="H19" s="41"/>
    </row>
    <row r="20" spans="2:8" ht="27" customHeight="1" x14ac:dyDescent="0.3">
      <c r="B20" s="74"/>
      <c r="C20" s="43">
        <v>45778</v>
      </c>
      <c r="D20" s="44">
        <f t="shared" si="0"/>
        <v>9.9366273140757294E-4</v>
      </c>
      <c r="E20" s="45">
        <f t="shared" si="1"/>
        <v>6.1793401109408444E-3</v>
      </c>
      <c r="F20" s="42">
        <f>SUMIF(FASE_A!$C$14:$C$49,TOTAL_OBRA!C20,FASE_A!$F$14:$F$49)+SUMIF(FASE_B!$C$14:$C$41,TOTAL_OBRA!C20,FASE_B!$F$14:$F$41)+SUMIF(FASE_C!$C$14:$C$41,TOTAL_OBRA!C20,FASE_C!$F$14:$F$41)</f>
        <v>182186.73000932953</v>
      </c>
      <c r="G20" s="42">
        <f t="shared" si="2"/>
        <v>1132973.7272455182</v>
      </c>
      <c r="H20" s="41"/>
    </row>
    <row r="21" spans="2:8" ht="27" customHeight="1" x14ac:dyDescent="0.3">
      <c r="B21" s="74"/>
      <c r="C21" s="43">
        <v>45809</v>
      </c>
      <c r="D21" s="44">
        <f t="shared" si="0"/>
        <v>1.7699617403197393E-3</v>
      </c>
      <c r="E21" s="45">
        <f t="shared" si="1"/>
        <v>7.9493018512605835E-3</v>
      </c>
      <c r="F21" s="42">
        <f>SUMIF(FASE_A!$C$14:$C$49,TOTAL_OBRA!C21,FASE_A!$F$14:$F$49)+SUMIF(FASE_B!$C$14:$C$41,TOTAL_OBRA!C21,FASE_B!$F$14:$F$41)+SUMIF(FASE_C!$C$14:$C$41,TOTAL_OBRA!C21,FASE_C!$F$14:$F$41)</f>
        <v>324520.11282911827</v>
      </c>
      <c r="G21" s="42">
        <f t="shared" si="2"/>
        <v>1457493.8400746365</v>
      </c>
      <c r="H21" s="41"/>
    </row>
    <row r="22" spans="2:8" ht="27" customHeight="1" x14ac:dyDescent="0.3">
      <c r="B22" s="74"/>
      <c r="C22" s="43">
        <v>45839</v>
      </c>
      <c r="D22" s="44">
        <f t="shared" si="0"/>
        <v>1.9252215421021724E-3</v>
      </c>
      <c r="E22" s="45">
        <f t="shared" si="1"/>
        <v>9.8745233933627552E-3</v>
      </c>
      <c r="F22" s="42">
        <f>SUMIF(FASE_A!$C$14:$C$49,TOTAL_OBRA!C22,FASE_A!$F$14:$F$49)+SUMIF(FASE_B!$C$14:$C$41,TOTAL_OBRA!C22,FASE_B!$F$14:$F$41)+SUMIF(FASE_C!$C$14:$C$41,TOTAL_OBRA!C22,FASE_C!$F$14:$F$41)</f>
        <v>352986.78939307597</v>
      </c>
      <c r="G22" s="42">
        <f t="shared" si="2"/>
        <v>1810480.6294677125</v>
      </c>
      <c r="H22" s="41"/>
    </row>
    <row r="23" spans="2:8" ht="27" customHeight="1" x14ac:dyDescent="0.3">
      <c r="B23" s="74"/>
      <c r="C23" s="43">
        <v>45870</v>
      </c>
      <c r="D23" s="44">
        <f t="shared" si="0"/>
        <v>3.3536117185005584E-3</v>
      </c>
      <c r="E23" s="45">
        <f t="shared" si="1"/>
        <v>1.3228135111863314E-2</v>
      </c>
      <c r="F23" s="42">
        <f>SUMIF(FASE_A!$C$14:$C$49,TOTAL_OBRA!C23,FASE_A!$F$14:$F$49)+SUMIF(FASE_B!$C$14:$C$41,TOTAL_OBRA!C23,FASE_B!$F$14:$F$41)+SUMIF(FASE_C!$C$14:$C$41,TOTAL_OBRA!C23,FASE_C!$F$14:$F$41)</f>
        <v>614880.2137814872</v>
      </c>
      <c r="G23" s="42">
        <f t="shared" si="2"/>
        <v>2425360.8432491999</v>
      </c>
      <c r="H23" s="41"/>
    </row>
    <row r="24" spans="2:8" ht="27" customHeight="1" x14ac:dyDescent="0.3">
      <c r="B24" s="74"/>
      <c r="C24" s="43">
        <v>45901</v>
      </c>
      <c r="D24" s="44">
        <f t="shared" si="0"/>
        <v>1.9252215421021724E-3</v>
      </c>
      <c r="E24" s="45">
        <f t="shared" si="1"/>
        <v>1.5153356653965486E-2</v>
      </c>
      <c r="F24" s="42">
        <f>SUMIF(FASE_A!$C$14:$C$49,TOTAL_OBRA!C24,FASE_A!$F$14:$F$49)+SUMIF(FASE_B!$C$14:$C$41,TOTAL_OBRA!C24,FASE_B!$F$14:$F$41)+SUMIF(FASE_C!$C$14:$C$41,TOTAL_OBRA!C24,FASE_C!$F$14:$F$41)</f>
        <v>352986.78939307597</v>
      </c>
      <c r="G24" s="42">
        <f t="shared" si="2"/>
        <v>2778347.6326422757</v>
      </c>
      <c r="H24" s="41"/>
    </row>
    <row r="25" spans="2:8" ht="27" customHeight="1" x14ac:dyDescent="0.3">
      <c r="B25" s="74"/>
      <c r="C25" s="43">
        <v>45931</v>
      </c>
      <c r="D25" s="44">
        <f t="shared" si="0"/>
        <v>2.6394166303013653E-3</v>
      </c>
      <c r="E25" s="45">
        <f t="shared" si="1"/>
        <v>1.7792773284266851E-2</v>
      </c>
      <c r="F25" s="42">
        <f>SUMIF(FASE_A!$C$14:$C$49,TOTAL_OBRA!C25,FASE_A!$F$14:$F$49)+SUMIF(FASE_B!$C$14:$C$41,TOTAL_OBRA!C25,FASE_B!$F$14:$F$41)+SUMIF(FASE_C!$C$14:$C$41,TOTAL_OBRA!C25,FASE_C!$F$14:$F$41)</f>
        <v>483933.50158728159</v>
      </c>
      <c r="G25" s="42">
        <f t="shared" si="2"/>
        <v>3262281.1342295571</v>
      </c>
      <c r="H25" s="41"/>
    </row>
    <row r="26" spans="2:8" ht="27" customHeight="1" x14ac:dyDescent="0.3">
      <c r="B26" s="74"/>
      <c r="C26" s="43">
        <v>45962</v>
      </c>
      <c r="D26" s="44">
        <f t="shared" si="0"/>
        <v>3.4157156392135317E-3</v>
      </c>
      <c r="E26" s="45">
        <f t="shared" si="1"/>
        <v>2.1208488923480383E-2</v>
      </c>
      <c r="F26" s="42">
        <f>SUMIF(FASE_A!$C$14:$C$49,TOTAL_OBRA!C26,FASE_A!$F$14:$F$49)+SUMIF(FASE_B!$C$14:$C$41,TOTAL_OBRA!C26,FASE_B!$F$14:$F$41)+SUMIF(FASE_C!$C$14:$C$41,TOTAL_OBRA!C26,FASE_C!$F$14:$F$41)</f>
        <v>626266.88440707023</v>
      </c>
      <c r="G26" s="42">
        <f t="shared" si="2"/>
        <v>3888548.0186366271</v>
      </c>
      <c r="H26" s="41"/>
    </row>
    <row r="27" spans="2:8" ht="27" customHeight="1" x14ac:dyDescent="0.3">
      <c r="B27" s="74"/>
      <c r="C27" s="43">
        <v>45992</v>
      </c>
      <c r="D27" s="44">
        <f t="shared" si="0"/>
        <v>3.6206401101081505E-3</v>
      </c>
      <c r="E27" s="45">
        <f t="shared" si="1"/>
        <v>2.4829129033588533E-2</v>
      </c>
      <c r="F27" s="42">
        <f>SUMIF(FASE_A!$C$14:$C$49,TOTAL_OBRA!C27,FASE_A!$F$14:$F$49)+SUMIF(FASE_B!$C$14:$C$41,TOTAL_OBRA!C27,FASE_B!$F$14:$F$41)+SUMIF(FASE_C!$C$14:$C$41,TOTAL_OBRA!C27,FASE_C!$F$14:$F$41)</f>
        <v>663839.51148778654</v>
      </c>
      <c r="G27" s="42">
        <f t="shared" si="2"/>
        <v>4552387.5301244138</v>
      </c>
      <c r="H27" s="41"/>
    </row>
    <row r="28" spans="2:8" ht="27" customHeight="1" x14ac:dyDescent="0.3">
      <c r="B28" s="74"/>
      <c r="C28" s="43">
        <v>46023</v>
      </c>
      <c r="D28" s="44">
        <f t="shared" si="0"/>
        <v>5.416383693486437E-3</v>
      </c>
      <c r="E28" s="45">
        <f t="shared" si="1"/>
        <v>3.0245512727074972E-2</v>
      </c>
      <c r="F28" s="42">
        <f>SUMIF(FASE_A!$C$14:$C$49,TOTAL_OBRA!C28,FASE_A!$F$14:$F$49)+SUMIF(FASE_B!$C$14:$C$41,TOTAL_OBRA!C28,FASE_B!$F$14:$F$41)+SUMIF(FASE_C!$C$14:$C$41,TOTAL_OBRA!C28,FASE_C!$F$14:$F$41)</f>
        <v>993086.69068659423</v>
      </c>
      <c r="G28" s="42">
        <f t="shared" si="2"/>
        <v>5545474.2208110075</v>
      </c>
      <c r="H28" s="41"/>
    </row>
    <row r="29" spans="2:8" ht="27" customHeight="1" x14ac:dyDescent="0.3">
      <c r="B29" s="74"/>
      <c r="C29" s="43">
        <v>46054</v>
      </c>
      <c r="D29" s="44">
        <f t="shared" si="0"/>
        <v>5.2834952933281257E-3</v>
      </c>
      <c r="E29" s="45">
        <f t="shared" si="1"/>
        <v>3.5529008020403097E-2</v>
      </c>
      <c r="F29" s="42">
        <f>SUMIF(FASE_A!$C$14:$C$49,TOTAL_OBRA!C29,FASE_A!$F$14:$F$49)+SUMIF(FASE_B!$C$14:$C$41,TOTAL_OBRA!C29,FASE_B!$F$14:$F$41)+SUMIF(FASE_C!$C$14:$C$41,TOTAL_OBRA!C29,FASE_C!$F$14:$F$41)</f>
        <v>968721.7806262977</v>
      </c>
      <c r="G29" s="42">
        <f t="shared" si="2"/>
        <v>6514196.0014373055</v>
      </c>
      <c r="H29" s="41"/>
    </row>
    <row r="30" spans="2:8" ht="27" customHeight="1" x14ac:dyDescent="0.3">
      <c r="B30" s="74"/>
      <c r="C30" s="43">
        <v>46082</v>
      </c>
      <c r="D30" s="44">
        <f t="shared" si="0"/>
        <v>5.8124263418536434E-3</v>
      </c>
      <c r="E30" s="45">
        <f t="shared" si="1"/>
        <v>4.1341434362256742E-2</v>
      </c>
      <c r="F30" s="42">
        <f>SUMIF(FASE_A!$C$14:$C$49,TOTAL_OBRA!C30,FASE_A!$F$14:$F$49)+SUMIF(FASE_B!$C$14:$C$41,TOTAL_OBRA!C30,FASE_B!$F$14:$F$41)+SUMIF(FASE_C!$C$14:$C$41,TOTAL_OBRA!C30,FASE_C!$F$14:$F$41)</f>
        <v>1065700.5794535067</v>
      </c>
      <c r="G30" s="42">
        <f t="shared" si="2"/>
        <v>7579896.580890812</v>
      </c>
      <c r="H30" s="41"/>
    </row>
    <row r="31" spans="2:8" ht="27" customHeight="1" x14ac:dyDescent="0.3">
      <c r="B31" s="74"/>
      <c r="C31" s="43">
        <v>46113</v>
      </c>
      <c r="D31" s="44">
        <f t="shared" si="0"/>
        <v>1.6178525390006526E-2</v>
      </c>
      <c r="E31" s="45">
        <f t="shared" si="1"/>
        <v>5.7519959752263268E-2</v>
      </c>
      <c r="F31" s="42">
        <f>SUMIF(FASE_A!$C$14:$C$49,TOTAL_OBRA!C31,FASE_A!$F$14:$F$49)+SUMIF(FASE_B!$C$14:$C$41,TOTAL_OBRA!C31,FASE_B!$F$14:$F$41)+SUMIF(FASE_C!$C$14:$C$41,TOTAL_OBRA!C31,FASE_C!$F$14:$F$41)</f>
        <v>2966310.9463740308</v>
      </c>
      <c r="G31" s="42">
        <f t="shared" si="2"/>
        <v>10546207.527264843</v>
      </c>
      <c r="H31" s="41"/>
    </row>
    <row r="32" spans="2:8" ht="27" customHeight="1" x14ac:dyDescent="0.3">
      <c r="B32" s="74"/>
      <c r="C32" s="43">
        <v>46143</v>
      </c>
      <c r="D32" s="44">
        <f t="shared" si="0"/>
        <v>1.8821628442636042E-2</v>
      </c>
      <c r="E32" s="45">
        <f t="shared" si="1"/>
        <v>7.6341588194899307E-2</v>
      </c>
      <c r="F32" s="42">
        <f>SUMIF(FASE_A!$C$14:$C$49,TOTAL_OBRA!C32,FASE_A!$F$14:$F$49)+SUMIF(FASE_B!$C$14:$C$41,TOTAL_OBRA!C32,FASE_B!$F$14:$F$41)+SUMIF(FASE_C!$C$14:$C$41,TOTAL_OBRA!C32,FASE_C!$F$14:$F$41)</f>
        <v>3450920.3485543113</v>
      </c>
      <c r="G32" s="42">
        <f t="shared" si="2"/>
        <v>13997127.875819154</v>
      </c>
      <c r="H32" s="41"/>
    </row>
    <row r="33" spans="2:8" ht="27" customHeight="1" x14ac:dyDescent="0.3">
      <c r="B33" s="74"/>
      <c r="C33" s="43">
        <v>46174</v>
      </c>
      <c r="D33" s="44">
        <f t="shared" si="0"/>
        <v>1.5272157119441597E-2</v>
      </c>
      <c r="E33" s="45">
        <f t="shared" si="1"/>
        <v>9.1613745314340911E-2</v>
      </c>
      <c r="F33" s="42">
        <f>SUMIF(FASE_A!$C$14:$C$49,TOTAL_OBRA!C33,FASE_A!$F$14:$F$49)+SUMIF(FASE_B!$C$14:$C$41,TOTAL_OBRA!C33,FASE_B!$F$14:$F$41)+SUMIF(FASE_C!$C$14:$C$41,TOTAL_OBRA!C33,FASE_C!$F$14:$F$41)</f>
        <v>2800129.5387604805</v>
      </c>
      <c r="G33" s="42">
        <f t="shared" si="2"/>
        <v>16797257.414579634</v>
      </c>
      <c r="H33" s="41"/>
    </row>
    <row r="34" spans="2:8" ht="27" customHeight="1" x14ac:dyDescent="0.3">
      <c r="B34" s="74"/>
      <c r="C34" s="43">
        <v>46204</v>
      </c>
      <c r="D34" s="44">
        <f t="shared" si="0"/>
        <v>2.7003470636742456E-2</v>
      </c>
      <c r="E34" s="45">
        <f t="shared" si="1"/>
        <v>0.11861721595108336</v>
      </c>
      <c r="F34" s="42">
        <f>SUMIF(FASE_A!$C$14:$C$49,TOTAL_OBRA!C34,FASE_A!$F$14:$F$49)+SUMIF(FASE_B!$C$14:$C$41,TOTAL_OBRA!C34,FASE_B!$F$14:$F$41)+SUMIF(FASE_C!$C$14:$C$41,TOTAL_OBRA!C34,FASE_C!$F$14:$F$41)</f>
        <v>4951050.1488186959</v>
      </c>
      <c r="G34" s="42">
        <f t="shared" si="2"/>
        <v>21748307.563398331</v>
      </c>
      <c r="H34" s="41"/>
    </row>
    <row r="35" spans="2:8" ht="27" customHeight="1" x14ac:dyDescent="0.3">
      <c r="B35" s="74"/>
      <c r="C35" s="43">
        <v>46235</v>
      </c>
      <c r="D35" s="44">
        <f t="shared" si="0"/>
        <v>3.0714824197510957E-2</v>
      </c>
      <c r="E35" s="45">
        <f t="shared" si="1"/>
        <v>0.14933204014859433</v>
      </c>
      <c r="F35" s="42">
        <f>SUMIF(FASE_A!$C$14:$C$49,TOTAL_OBRA!C35,FASE_A!$F$14:$F$49)+SUMIF(FASE_B!$C$14:$C$41,TOTAL_OBRA!C35,FASE_B!$F$14:$F$41)+SUMIF(FASE_C!$C$14:$C$41,TOTAL_OBRA!C35,FASE_C!$F$14:$F$41)</f>
        <v>5631521.8499029074</v>
      </c>
      <c r="G35" s="42">
        <f t="shared" si="2"/>
        <v>27379829.413301237</v>
      </c>
      <c r="H35" s="41"/>
    </row>
    <row r="36" spans="2:8" ht="27" customHeight="1" x14ac:dyDescent="0.3">
      <c r="B36" s="74"/>
      <c r="C36" s="43">
        <v>46266</v>
      </c>
      <c r="D36" s="44">
        <f t="shared" si="0"/>
        <v>2.5902727746582407E-2</v>
      </c>
      <c r="E36" s="45">
        <f t="shared" si="1"/>
        <v>0.17523476789517672</v>
      </c>
      <c r="F36" s="42">
        <f>SUMIF(FASE_A!$C$14:$C$49,TOTAL_OBRA!C36,FASE_A!$F$14:$F$49)+SUMIF(FASE_B!$C$14:$C$41,TOTAL_OBRA!C36,FASE_B!$F$14:$F$41)+SUMIF(FASE_C!$C$14:$C$41,TOTAL_OBRA!C36,FASE_C!$F$14:$F$41)</f>
        <v>4749230.4152203538</v>
      </c>
      <c r="G36" s="42">
        <f t="shared" si="2"/>
        <v>32129059.828521591</v>
      </c>
      <c r="H36" s="41"/>
    </row>
    <row r="37" spans="2:8" ht="27" customHeight="1" x14ac:dyDescent="0.3">
      <c r="B37" s="74"/>
      <c r="C37" s="43">
        <v>46296</v>
      </c>
      <c r="D37" s="44">
        <f t="shared" si="0"/>
        <v>3.2493059154180409E-2</v>
      </c>
      <c r="E37" s="45">
        <f t="shared" si="1"/>
        <v>0.20772782704935713</v>
      </c>
      <c r="F37" s="42">
        <f>SUMIF(FASE_A!$C$14:$C$49,TOTAL_OBRA!C37,FASE_A!$F$14:$F$49)+SUMIF(FASE_B!$C$14:$C$41,TOTAL_OBRA!C37,FASE_B!$F$14:$F$41)+SUMIF(FASE_C!$C$14:$C$41,TOTAL_OBRA!C37,FASE_C!$F$14:$F$41)</f>
        <v>5957558.8458612524</v>
      </c>
      <c r="G37" s="42">
        <f t="shared" si="2"/>
        <v>38086618.674382843</v>
      </c>
      <c r="H37" s="41"/>
    </row>
    <row r="38" spans="2:8" ht="27" customHeight="1" x14ac:dyDescent="0.3">
      <c r="B38" s="74"/>
      <c r="C38" s="43">
        <v>46327</v>
      </c>
      <c r="D38" s="44">
        <f t="shared" si="0"/>
        <v>2.7419639357300997E-2</v>
      </c>
      <c r="E38" s="45">
        <f t="shared" si="1"/>
        <v>0.23514746640665812</v>
      </c>
      <c r="F38" s="42">
        <f>SUMIF(FASE_A!$C$14:$C$49,TOTAL_OBRA!C38,FASE_A!$F$14:$F$49)+SUMIF(FASE_B!$C$14:$C$41,TOTAL_OBRA!C38,FASE_B!$F$14:$F$41)+SUMIF(FASE_C!$C$14:$C$41,TOTAL_OBRA!C38,FASE_C!$F$14:$F$41)</f>
        <v>5027354.1259471569</v>
      </c>
      <c r="G38" s="42">
        <f t="shared" si="2"/>
        <v>43113972.800329998</v>
      </c>
      <c r="H38" s="41"/>
    </row>
    <row r="39" spans="2:8" ht="27" customHeight="1" x14ac:dyDescent="0.3">
      <c r="B39" s="74"/>
      <c r="C39" s="43">
        <v>46357</v>
      </c>
      <c r="D39" s="44">
        <f t="shared" si="0"/>
        <v>2.2017947051860574E-2</v>
      </c>
      <c r="E39" s="45">
        <f t="shared" si="1"/>
        <v>0.25716541345851868</v>
      </c>
      <c r="F39" s="42">
        <f>SUMIF(FASE_A!$C$14:$C$49,TOTAL_OBRA!C39,FASE_A!$F$14:$F$49)+SUMIF(FASE_B!$C$14:$C$41,TOTAL_OBRA!C39,FASE_B!$F$14:$F$41)+SUMIF(FASE_C!$C$14:$C$41,TOTAL_OBRA!C39,FASE_C!$F$14:$F$41)</f>
        <v>4036961.0815681079</v>
      </c>
      <c r="G39" s="42">
        <f t="shared" si="2"/>
        <v>47150933.881898105</v>
      </c>
      <c r="H39" s="41"/>
    </row>
    <row r="40" spans="2:8" ht="27" customHeight="1" x14ac:dyDescent="0.3">
      <c r="B40" s="74"/>
      <c r="C40" s="43">
        <v>46388</v>
      </c>
      <c r="D40" s="44">
        <f t="shared" si="0"/>
        <v>2.9093655524702798E-2</v>
      </c>
      <c r="E40" s="45">
        <f t="shared" si="1"/>
        <v>0.28625906898322145</v>
      </c>
      <c r="F40" s="42">
        <f>SUMIF(FASE_A!$C$14:$C$49,TOTAL_OBRA!C40,FASE_A!$F$14:$F$49)+SUMIF(FASE_B!$C$14:$C$41,TOTAL_OBRA!C40,FASE_B!$F$14:$F$41)+SUMIF(FASE_C!$C$14:$C$41,TOTAL_OBRA!C40,FASE_C!$F$14:$F$41)</f>
        <v>5334282.7465764722</v>
      </c>
      <c r="G40" s="42">
        <f t="shared" si="2"/>
        <v>52485216.628474578</v>
      </c>
      <c r="H40" s="41"/>
    </row>
    <row r="41" spans="2:8" ht="27" customHeight="1" x14ac:dyDescent="0.3">
      <c r="B41" s="74"/>
      <c r="C41" s="43">
        <v>46419</v>
      </c>
      <c r="D41" s="44">
        <f t="shared" si="0"/>
        <v>3.6045415355368683E-2</v>
      </c>
      <c r="E41" s="45">
        <f t="shared" si="1"/>
        <v>0.32230448433859016</v>
      </c>
      <c r="F41" s="42">
        <f>SUMIF(FASE_A!$C$14:$C$49,TOTAL_OBRA!C41,FASE_A!$F$14:$F$49)+SUMIF(FASE_B!$C$14:$C$41,TOTAL_OBRA!C41,FASE_B!$F$14:$F$41)+SUMIF(FASE_C!$C$14:$C$41,TOTAL_OBRA!C41,FASE_C!$F$14:$F$41)</f>
        <v>6608878.5941686844</v>
      </c>
      <c r="G41" s="42">
        <f t="shared" si="2"/>
        <v>59094095.222643264</v>
      </c>
      <c r="H41" s="41"/>
    </row>
    <row r="42" spans="2:8" ht="27" customHeight="1" x14ac:dyDescent="0.3">
      <c r="B42" s="74"/>
      <c r="C42" s="43">
        <v>46447</v>
      </c>
      <c r="D42" s="44">
        <f t="shared" si="0"/>
        <v>3.2679819736484102E-2</v>
      </c>
      <c r="E42" s="45">
        <f t="shared" si="1"/>
        <v>0.35498430407507425</v>
      </c>
      <c r="F42" s="42">
        <f>SUMIF(FASE_A!$C$14:$C$49,TOTAL_OBRA!C42,FASE_A!$F$14:$F$49)+SUMIF(FASE_B!$C$14:$C$41,TOTAL_OBRA!C42,FASE_B!$F$14:$F$41)+SUMIF(FASE_C!$C$14:$C$41,TOTAL_OBRA!C42,FASE_C!$F$14:$F$41)</f>
        <v>5991801.1483136648</v>
      </c>
      <c r="G42" s="42">
        <f t="shared" si="2"/>
        <v>65085896.370956928</v>
      </c>
      <c r="H42" s="41"/>
    </row>
    <row r="43" spans="2:8" ht="27" customHeight="1" x14ac:dyDescent="0.3">
      <c r="B43" s="74"/>
      <c r="C43" s="43">
        <v>46478</v>
      </c>
      <c r="D43" s="44">
        <f t="shared" si="0"/>
        <v>2.8213976909789253E-2</v>
      </c>
      <c r="E43" s="45">
        <f t="shared" si="1"/>
        <v>0.38319828098486353</v>
      </c>
      <c r="F43" s="42">
        <f>SUMIF(FASE_A!$C$14:$C$49,TOTAL_OBRA!C43,FASE_A!$F$14:$F$49)+SUMIF(FASE_B!$C$14:$C$41,TOTAL_OBRA!C43,FASE_B!$F$14:$F$41)+SUMIF(FASE_C!$C$14:$C$41,TOTAL_OBRA!C43,FASE_C!$F$14:$F$41)</f>
        <v>5172994.8515547775</v>
      </c>
      <c r="G43" s="42">
        <f t="shared" si="2"/>
        <v>70258891.222511709</v>
      </c>
      <c r="H43" s="41"/>
    </row>
    <row r="44" spans="2:8" ht="27" customHeight="1" x14ac:dyDescent="0.3">
      <c r="B44" s="74"/>
      <c r="C44" s="43">
        <v>46508</v>
      </c>
      <c r="D44" s="44">
        <f t="shared" si="0"/>
        <v>3.7195526035474505E-2</v>
      </c>
      <c r="E44" s="45">
        <f t="shared" si="1"/>
        <v>0.42039380702033802</v>
      </c>
      <c r="F44" s="42">
        <f>SUMIF(FASE_A!$C$14:$C$49,TOTAL_OBRA!C44,FASE_A!$F$14:$F$49)+SUMIF(FASE_B!$C$14:$C$41,TOTAL_OBRA!C44,FASE_B!$F$14:$F$41)+SUMIF(FASE_C!$C$14:$C$41,TOTAL_OBRA!C44,FASE_C!$F$14:$F$41)</f>
        <v>6819749.8458865276</v>
      </c>
      <c r="G44" s="42">
        <f t="shared" si="2"/>
        <v>77078641.068398237</v>
      </c>
      <c r="H44" s="41"/>
    </row>
    <row r="45" spans="2:8" ht="27" customHeight="1" x14ac:dyDescent="0.3">
      <c r="B45" s="74"/>
      <c r="C45" s="43">
        <v>46539</v>
      </c>
      <c r="D45" s="44">
        <f t="shared" si="0"/>
        <v>3.8020479076225563E-2</v>
      </c>
      <c r="E45" s="45">
        <f t="shared" si="1"/>
        <v>0.45841428609656359</v>
      </c>
      <c r="F45" s="42">
        <f>SUMIF(FASE_A!$C$14:$C$49,TOTAL_OBRA!C45,FASE_A!$F$14:$F$49)+SUMIF(FASE_B!$C$14:$C$41,TOTAL_OBRA!C45,FASE_B!$F$14:$F$41)+SUMIF(FASE_C!$C$14:$C$41,TOTAL_OBRA!C45,FASE_C!$F$14:$F$41)</f>
        <v>6971003.8802335616</v>
      </c>
      <c r="G45" s="42">
        <f t="shared" si="2"/>
        <v>84049644.948631793</v>
      </c>
      <c r="H45" s="41"/>
    </row>
    <row r="46" spans="2:8" ht="27" customHeight="1" x14ac:dyDescent="0.3">
      <c r="B46" s="74"/>
      <c r="C46" s="43">
        <v>46569</v>
      </c>
      <c r="D46" s="44">
        <f t="shared" si="0"/>
        <v>3.6050338606496556E-2</v>
      </c>
      <c r="E46" s="45">
        <f t="shared" si="1"/>
        <v>0.49446462470306013</v>
      </c>
      <c r="F46" s="42">
        <f>SUMIF(FASE_A!$C$14:$C$49,TOTAL_OBRA!C46,FASE_A!$F$14:$F$49)+SUMIF(FASE_B!$C$14:$C$41,TOTAL_OBRA!C46,FASE_B!$F$14:$F$41)+SUMIF(FASE_C!$C$14:$C$41,TOTAL_OBRA!C46,FASE_C!$F$14:$F$41)</f>
        <v>6609781.2656644061</v>
      </c>
      <c r="G46" s="42">
        <f t="shared" si="2"/>
        <v>90659426.214296192</v>
      </c>
      <c r="H46" s="41"/>
    </row>
    <row r="47" spans="2:8" ht="27" customHeight="1" x14ac:dyDescent="0.3">
      <c r="B47" s="74"/>
      <c r="C47" s="43">
        <v>46600</v>
      </c>
      <c r="D47" s="44">
        <f t="shared" si="0"/>
        <v>3.7360434526323628E-2</v>
      </c>
      <c r="E47" s="45">
        <f t="shared" si="1"/>
        <v>0.53182505922938372</v>
      </c>
      <c r="F47" s="42">
        <f>SUMIF(FASE_A!$C$14:$C$49,TOTAL_OBRA!C47,FASE_A!$F$14:$F$49)+SUMIF(FASE_B!$C$14:$C$41,TOTAL_OBRA!C47,FASE_B!$F$14:$F$41)+SUMIF(FASE_C!$C$14:$C$41,TOTAL_OBRA!C47,FASE_C!$F$14:$F$41)</f>
        <v>6849985.5966588408</v>
      </c>
      <c r="G47" s="42">
        <f t="shared" si="2"/>
        <v>97509411.810955033</v>
      </c>
      <c r="H47" s="41"/>
    </row>
    <row r="48" spans="2:8" ht="27" customHeight="1" x14ac:dyDescent="0.3">
      <c r="B48" s="74"/>
      <c r="C48" s="43">
        <v>46631</v>
      </c>
      <c r="D48" s="44">
        <f t="shared" si="0"/>
        <v>3.4295067383538116E-2</v>
      </c>
      <c r="E48" s="45">
        <f t="shared" si="1"/>
        <v>0.56612012661292188</v>
      </c>
      <c r="F48" s="42">
        <f>SUMIF(FASE_A!$C$14:$C$49,TOTAL_OBRA!C48,FASE_A!$F$14:$F$49)+SUMIF(FASE_B!$C$14:$C$41,TOTAL_OBRA!C48,FASE_B!$F$14:$F$41)+SUMIF(FASE_C!$C$14:$C$41,TOTAL_OBRA!C48,FASE_C!$F$14:$F$41)</f>
        <v>6287954.6395039577</v>
      </c>
      <c r="G48" s="42">
        <f t="shared" si="2"/>
        <v>103797366.45045899</v>
      </c>
      <c r="H48" s="41"/>
    </row>
    <row r="49" spans="2:8" ht="27" customHeight="1" x14ac:dyDescent="0.3">
      <c r="B49" s="74"/>
      <c r="C49" s="43">
        <v>46661</v>
      </c>
      <c r="D49" s="44">
        <f t="shared" si="0"/>
        <v>2.120177108147563E-2</v>
      </c>
      <c r="E49" s="45">
        <f t="shared" si="1"/>
        <v>0.58732189769439747</v>
      </c>
      <c r="F49" s="42">
        <f>SUMIF(FASE_A!$C$14:$C$49,TOTAL_OBRA!C49,FASE_A!$F$14:$F$49)+SUMIF(FASE_B!$C$14:$C$41,TOTAL_OBRA!C49,FASE_B!$F$14:$F$41)+SUMIF(FASE_C!$C$14:$C$41,TOTAL_OBRA!C49,FASE_C!$F$14:$F$41)</f>
        <v>3887316.311308899</v>
      </c>
      <c r="G49" s="42">
        <f t="shared" si="2"/>
        <v>107684682.76176789</v>
      </c>
      <c r="H49" s="41"/>
    </row>
    <row r="50" spans="2:8" ht="27" customHeight="1" x14ac:dyDescent="0.3">
      <c r="B50" s="74"/>
      <c r="C50" s="43">
        <v>46692</v>
      </c>
      <c r="D50" s="44">
        <f t="shared" si="0"/>
        <v>1.1280888865871887E-2</v>
      </c>
      <c r="E50" s="45">
        <f t="shared" si="1"/>
        <v>0.59860278656026933</v>
      </c>
      <c r="F50" s="42">
        <f>SUMIF(FASE_A!$C$14:$C$49,TOTAL_OBRA!C50,FASE_A!$F$14:$F$49)+SUMIF(FASE_B!$C$14:$C$41,TOTAL_OBRA!C50,FASE_B!$F$14:$F$41)+SUMIF(FASE_C!$C$14:$C$41,TOTAL_OBRA!C50,FASE_C!$F$14:$F$41)</f>
        <v>2068335.8539174753</v>
      </c>
      <c r="G50" s="42">
        <f t="shared" si="2"/>
        <v>109753018.61568537</v>
      </c>
      <c r="H50" s="41"/>
    </row>
    <row r="51" spans="2:8" ht="27" customHeight="1" x14ac:dyDescent="0.3">
      <c r="B51" s="74"/>
      <c r="C51" s="43">
        <v>46722</v>
      </c>
      <c r="D51" s="44">
        <f t="shared" si="0"/>
        <v>1.0714377690172694E-2</v>
      </c>
      <c r="E51" s="45">
        <f t="shared" si="1"/>
        <v>0.60931716425044202</v>
      </c>
      <c r="F51" s="42">
        <f>SUMIF(FASE_A!$C$14:$C$49,TOTAL_OBRA!C51,FASE_A!$F$14:$F$49)+SUMIF(FASE_B!$C$14:$C$41,TOTAL_OBRA!C51,FASE_B!$F$14:$F$41)+SUMIF(FASE_C!$C$14:$C$41,TOTAL_OBRA!C51,FASE_C!$F$14:$F$41)</f>
        <v>1964466.789141167</v>
      </c>
      <c r="G51" s="42">
        <f t="shared" si="2"/>
        <v>111717485.40482654</v>
      </c>
      <c r="H51" s="41"/>
    </row>
    <row r="52" spans="2:8" ht="27" customHeight="1" x14ac:dyDescent="0.3">
      <c r="B52" s="74"/>
      <c r="C52" s="43">
        <v>46753</v>
      </c>
      <c r="D52" s="44">
        <f t="shared" si="0"/>
        <v>8.3056694598155172E-3</v>
      </c>
      <c r="E52" s="45">
        <f t="shared" si="1"/>
        <v>0.6176228337102575</v>
      </c>
      <c r="F52" s="42">
        <f>SUMIF(FASE_A!$C$14:$C$49,TOTAL_OBRA!C52,FASE_A!$F$14:$F$49)+SUMIF(FASE_B!$C$14:$C$41,TOTAL_OBRA!C52,FASE_B!$F$14:$F$41)+SUMIF(FASE_C!$C$14:$C$41,TOTAL_OBRA!C52,FASE_C!$F$14:$F$41)</f>
        <v>1522833.363467949</v>
      </c>
      <c r="G52" s="42">
        <f t="shared" si="2"/>
        <v>113240318.76829448</v>
      </c>
      <c r="H52" s="41"/>
    </row>
    <row r="53" spans="2:8" ht="27" customHeight="1" x14ac:dyDescent="0.3">
      <c r="B53" s="74"/>
      <c r="C53" s="43">
        <v>46784</v>
      </c>
      <c r="D53" s="44">
        <f t="shared" si="0"/>
        <v>1.1693251980705468E-2</v>
      </c>
      <c r="E53" s="45">
        <f t="shared" si="1"/>
        <v>0.62931608569096298</v>
      </c>
      <c r="F53" s="42">
        <f>SUMIF(FASE_A!$C$14:$C$49,TOTAL_OBRA!C53,FASE_A!$F$14:$F$49)+SUMIF(FASE_B!$C$14:$C$41,TOTAL_OBRA!C53,FASE_B!$F$14:$F$41)+SUMIF(FASE_C!$C$14:$C$41,TOTAL_OBRA!C53,FASE_C!$F$14:$F$41)</f>
        <v>2143942.0783368722</v>
      </c>
      <c r="G53" s="42">
        <f t="shared" si="2"/>
        <v>115384260.84663135</v>
      </c>
      <c r="H53" s="41"/>
    </row>
    <row r="54" spans="2:8" ht="27" customHeight="1" x14ac:dyDescent="0.3">
      <c r="B54" s="74"/>
      <c r="C54" s="43">
        <v>46813</v>
      </c>
      <c r="D54" s="44">
        <f t="shared" si="0"/>
        <v>1.5159091922895674E-2</v>
      </c>
      <c r="E54" s="45">
        <f t="shared" si="1"/>
        <v>0.64447517761385864</v>
      </c>
      <c r="F54" s="42">
        <f>SUMIF(FASE_A!$C$14:$C$49,TOTAL_OBRA!C54,FASE_A!$F$14:$F$49)+SUMIF(FASE_B!$C$14:$C$41,TOTAL_OBRA!C54,FASE_B!$F$14:$F$41)+SUMIF(FASE_C!$C$14:$C$41,TOTAL_OBRA!C54,FASE_C!$F$14:$F$41)</f>
        <v>2779399.1865137131</v>
      </c>
      <c r="G54" s="42">
        <f t="shared" si="2"/>
        <v>118163660.03314506</v>
      </c>
      <c r="H54" s="41"/>
    </row>
    <row r="55" spans="2:8" ht="27" customHeight="1" x14ac:dyDescent="0.3">
      <c r="B55" s="74"/>
      <c r="C55" s="43">
        <v>46844</v>
      </c>
      <c r="D55" s="44">
        <f t="shared" si="0"/>
        <v>4.2497175710635602E-3</v>
      </c>
      <c r="E55" s="45">
        <f t="shared" si="1"/>
        <v>0.64872489518492216</v>
      </c>
      <c r="F55" s="42">
        <f>SUMIF(FASE_A!$C$14:$C$49,TOTAL_OBRA!C55,FASE_A!$F$14:$F$49)+SUMIF(FASE_B!$C$14:$C$41,TOTAL_OBRA!C55,FASE_B!$F$14:$F$41)+SUMIF(FASE_C!$C$14:$C$41,TOTAL_OBRA!C55,FASE_C!$F$14:$F$41)</f>
        <v>779180.0208089801</v>
      </c>
      <c r="G55" s="42">
        <f t="shared" si="2"/>
        <v>118942840.05395404</v>
      </c>
      <c r="H55" s="41"/>
    </row>
    <row r="56" spans="2:8" ht="25.5" customHeight="1" x14ac:dyDescent="0.3">
      <c r="B56" s="74"/>
      <c r="C56" s="43">
        <v>46874</v>
      </c>
      <c r="D56" s="44">
        <f t="shared" si="0"/>
        <v>9.5437159877549953E-3</v>
      </c>
      <c r="E56" s="45">
        <f t="shared" si="1"/>
        <v>0.6582686111726771</v>
      </c>
      <c r="F56" s="42">
        <f>SUMIF(FASE_A!$C$14:$C$49,TOTAL_OBRA!C56,FASE_A!$F$14:$F$49)+SUMIF(FASE_B!$C$14:$C$41,TOTAL_OBRA!C56,FASE_B!$F$14:$F$41)+SUMIF(FASE_C!$C$14:$C$41,TOTAL_OBRA!C56,FASE_C!$F$14:$F$41)</f>
        <v>1749827.5350267303</v>
      </c>
      <c r="G56" s="42">
        <f t="shared" si="2"/>
        <v>120692667.58898076</v>
      </c>
    </row>
    <row r="57" spans="2:8" ht="28.5" customHeight="1" x14ac:dyDescent="0.3">
      <c r="B57" s="74"/>
      <c r="C57" s="43">
        <v>46905</v>
      </c>
      <c r="D57" s="44">
        <f t="shared" si="0"/>
        <v>1.5835481195932907E-2</v>
      </c>
      <c r="E57" s="45">
        <f t="shared" si="1"/>
        <v>0.67410409236861002</v>
      </c>
      <c r="F57" s="42">
        <f>SUMIF(FASE_A!$C$14:$C$49,TOTAL_OBRA!C57,FASE_A!$F$14:$F$49)+SUMIF(FASE_B!$C$14:$C$41,TOTAL_OBRA!C57,FASE_B!$F$14:$F$41)+SUMIF(FASE_C!$C$14:$C$41,TOTAL_OBRA!C57,FASE_C!$F$14:$F$41)</f>
        <v>2903414.2531686542</v>
      </c>
      <c r="G57" s="42">
        <f t="shared" si="2"/>
        <v>123596081.84214942</v>
      </c>
    </row>
    <row r="58" spans="2:8" ht="25.5" customHeight="1" x14ac:dyDescent="0.3">
      <c r="B58" s="50"/>
      <c r="C58" s="43">
        <v>46935</v>
      </c>
      <c r="D58" s="44">
        <f t="shared" si="0"/>
        <v>1.6396661160144349E-2</v>
      </c>
      <c r="E58" s="45">
        <f t="shared" si="1"/>
        <v>0.6905007535287544</v>
      </c>
      <c r="F58" s="42">
        <f>SUMIF(FASE_A!$C$14:$C$49,TOTAL_OBRA!C58,FASE_A!$F$14:$F$49)+SUMIF(FASE_B!$C$14:$C$41,TOTAL_OBRA!C58,FASE_B!$F$14:$F$41)+SUMIF(FASE_C!$C$14:$C$41,TOTAL_OBRA!C58,FASE_C!$F$14:$F$41)</f>
        <v>3006305.8474640427</v>
      </c>
      <c r="G58" s="42">
        <f t="shared" si="2"/>
        <v>126602387.68961346</v>
      </c>
    </row>
    <row r="59" spans="2:8" ht="25.5" customHeight="1" x14ac:dyDescent="0.3">
      <c r="B59" s="50"/>
      <c r="C59" s="43">
        <v>46966</v>
      </c>
      <c r="D59" s="44">
        <f t="shared" si="0"/>
        <v>1.8346890592112856E-2</v>
      </c>
      <c r="E59" s="45">
        <f t="shared" si="1"/>
        <v>0.7088476441208672</v>
      </c>
      <c r="F59" s="42">
        <f>SUMIF(FASE_A!$C$14:$C$49,TOTAL_OBRA!C59,FASE_A!$F$14:$F$49)+SUMIF(FASE_B!$C$14:$C$41,TOTAL_OBRA!C59,FASE_B!$F$14:$F$41)+SUMIF(FASE_C!$C$14:$C$41,TOTAL_OBRA!C59,FASE_C!$F$14:$F$41)</f>
        <v>3363877.7999463361</v>
      </c>
      <c r="G59" s="42">
        <f t="shared" si="2"/>
        <v>129966265.4895598</v>
      </c>
    </row>
    <row r="60" spans="2:8" ht="25.5" customHeight="1" x14ac:dyDescent="0.3">
      <c r="B60" s="50"/>
      <c r="C60" s="43">
        <v>46997</v>
      </c>
      <c r="D60" s="44">
        <f t="shared" si="0"/>
        <v>1.7137794051744561E-2</v>
      </c>
      <c r="E60" s="45">
        <f t="shared" si="1"/>
        <v>0.72598543817261174</v>
      </c>
      <c r="F60" s="42">
        <f>SUMIF(FASE_A!$C$14:$C$49,TOTAL_OBRA!C60,FASE_A!$F$14:$F$49)+SUMIF(FASE_B!$C$14:$C$41,TOTAL_OBRA!C60,FASE_B!$F$14:$F$41)+SUMIF(FASE_C!$C$14:$C$41,TOTAL_OBRA!C60,FASE_C!$F$14:$F$41)</f>
        <v>3142191.5698074102</v>
      </c>
      <c r="G60" s="42">
        <f t="shared" si="2"/>
        <v>133108457.05936721</v>
      </c>
    </row>
    <row r="61" spans="2:8" ht="25.5" customHeight="1" x14ac:dyDescent="0.3">
      <c r="B61" s="50"/>
      <c r="C61" s="43">
        <v>47027</v>
      </c>
      <c r="D61" s="44">
        <f t="shared" si="0"/>
        <v>1.4376606873486422E-2</v>
      </c>
      <c r="E61" s="45">
        <f t="shared" si="1"/>
        <v>0.74036204504609815</v>
      </c>
      <c r="F61" s="42">
        <f>SUMIF(FASE_A!$C$14:$C$49,TOTAL_OBRA!C61,FASE_A!$F$14:$F$49)+SUMIF(FASE_B!$C$14:$C$41,TOTAL_OBRA!C61,FASE_B!$F$14:$F$41)+SUMIF(FASE_C!$C$14:$C$41,TOTAL_OBRA!C61,FASE_C!$F$14:$F$41)</f>
        <v>2635931.6014598599</v>
      </c>
      <c r="G61" s="42">
        <f t="shared" si="2"/>
        <v>135744388.66082707</v>
      </c>
    </row>
    <row r="62" spans="2:8" ht="25.5" customHeight="1" x14ac:dyDescent="0.3">
      <c r="B62" s="50"/>
      <c r="C62" s="43">
        <v>47058</v>
      </c>
      <c r="D62" s="44">
        <f t="shared" si="0"/>
        <v>1.6387734763626614E-2</v>
      </c>
      <c r="E62" s="45">
        <f t="shared" si="1"/>
        <v>0.7567497798097248</v>
      </c>
      <c r="F62" s="42">
        <f>SUMIF(FASE_A!$C$14:$C$49,TOTAL_OBRA!C62,FASE_A!$F$14:$F$49)+SUMIF(FASE_B!$C$14:$C$41,TOTAL_OBRA!C62,FASE_B!$F$14:$F$41)+SUMIF(FASE_C!$C$14:$C$41,TOTAL_OBRA!C62,FASE_C!$F$14:$F$41)</f>
        <v>3004669.2046264582</v>
      </c>
      <c r="G62" s="42">
        <f t="shared" si="2"/>
        <v>138749057.86545354</v>
      </c>
    </row>
    <row r="63" spans="2:8" ht="25.5" customHeight="1" x14ac:dyDescent="0.3">
      <c r="B63" s="50"/>
      <c r="C63" s="43">
        <v>47088</v>
      </c>
      <c r="D63" s="44">
        <f t="shared" si="0"/>
        <v>2.385012159224182E-2</v>
      </c>
      <c r="E63" s="45">
        <f t="shared" si="1"/>
        <v>0.78059990140196667</v>
      </c>
      <c r="F63" s="42">
        <f>SUMIF(FASE_A!$C$14:$C$49,TOTAL_OBRA!C63,FASE_A!$F$14:$F$49)+SUMIF(FASE_B!$C$14:$C$41,TOTAL_OBRA!C63,FASE_B!$F$14:$F$41)+SUMIF(FASE_C!$C$14:$C$41,TOTAL_OBRA!C63,FASE_C!$F$14:$F$41)</f>
        <v>4372887.8279054333</v>
      </c>
      <c r="G63" s="42">
        <f t="shared" si="2"/>
        <v>143121945.69335899</v>
      </c>
    </row>
    <row r="64" spans="2:8" ht="25.5" customHeight="1" x14ac:dyDescent="0.3">
      <c r="B64" s="50"/>
      <c r="C64" s="43">
        <v>47119</v>
      </c>
      <c r="D64" s="44">
        <f t="shared" si="0"/>
        <v>2.1147574386289399E-2</v>
      </c>
      <c r="E64" s="45">
        <f t="shared" si="1"/>
        <v>0.80174747578825611</v>
      </c>
      <c r="F64" s="42">
        <f>SUMIF(FASE_A!$C$14:$C$49,TOTAL_OBRA!C64,FASE_A!$F$14:$F$49)+SUMIF(FASE_B!$C$14:$C$41,TOTAL_OBRA!C64,FASE_B!$F$14:$F$41)+SUMIF(FASE_C!$C$14:$C$41,TOTAL_OBRA!C64,FASE_C!$F$14:$F$41)</f>
        <v>3877379.4198856843</v>
      </c>
      <c r="G64" s="42">
        <f t="shared" si="2"/>
        <v>146999325.11324468</v>
      </c>
    </row>
    <row r="65" spans="2:7" ht="25.5" customHeight="1" x14ac:dyDescent="0.3">
      <c r="B65" s="50"/>
      <c r="C65" s="43">
        <v>47150</v>
      </c>
      <c r="D65" s="44">
        <f t="shared" si="0"/>
        <v>1.3948650688627794E-2</v>
      </c>
      <c r="E65" s="45">
        <f t="shared" si="1"/>
        <v>0.81569612647688394</v>
      </c>
      <c r="F65" s="42">
        <f>SUMIF(FASE_A!$C$14:$C$49,TOTAL_OBRA!C65,FASE_A!$F$14:$F$49)+SUMIF(FASE_B!$C$14:$C$41,TOTAL_OBRA!C65,FASE_B!$F$14:$F$41)+SUMIF(FASE_C!$C$14:$C$41,TOTAL_OBRA!C65,FASE_C!$F$14:$F$41)</f>
        <v>2557466.4085505754</v>
      </c>
      <c r="G65" s="42">
        <f t="shared" si="2"/>
        <v>149556791.52179527</v>
      </c>
    </row>
    <row r="66" spans="2:7" ht="25.5" customHeight="1" x14ac:dyDescent="0.3">
      <c r="B66" s="50"/>
      <c r="C66" s="43">
        <v>47178</v>
      </c>
      <c r="D66" s="44">
        <f t="shared" si="0"/>
        <v>2.6465018037208465E-2</v>
      </c>
      <c r="E66" s="45">
        <f t="shared" si="1"/>
        <v>0.84216114451409241</v>
      </c>
      <c r="F66" s="42">
        <f>SUMIF(FASE_A!$C$14:$C$49,TOTAL_OBRA!C66,FASE_A!$F$14:$F$49)+SUMIF(FASE_B!$C$14:$C$41,TOTAL_OBRA!C66,FASE_B!$F$14:$F$41)+SUMIF(FASE_C!$C$14:$C$41,TOTAL_OBRA!C66,FASE_C!$F$14:$F$41)</f>
        <v>4852325.586375704</v>
      </c>
      <c r="G66" s="42">
        <f t="shared" si="2"/>
        <v>154409117.10817099</v>
      </c>
    </row>
    <row r="67" spans="2:7" ht="25.5" customHeight="1" x14ac:dyDescent="0.3">
      <c r="B67" s="50"/>
      <c r="C67" s="43">
        <v>47209</v>
      </c>
      <c r="D67" s="44">
        <f t="shared" si="0"/>
        <v>2.5440794697008398E-2</v>
      </c>
      <c r="E67" s="45">
        <f t="shared" si="1"/>
        <v>0.86760193921110085</v>
      </c>
      <c r="F67" s="42">
        <f>SUMIF(FASE_A!$C$14:$C$49,TOTAL_OBRA!C67,FASE_A!$F$14:$F$49)+SUMIF(FASE_B!$C$14:$C$41,TOTAL_OBRA!C67,FASE_B!$F$14:$F$41)+SUMIF(FASE_C!$C$14:$C$41,TOTAL_OBRA!C67,FASE_C!$F$14:$F$41)</f>
        <v>4664535.6097042887</v>
      </c>
      <c r="G67" s="42">
        <f t="shared" si="2"/>
        <v>159073652.71787527</v>
      </c>
    </row>
    <row r="68" spans="2:7" ht="25.5" customHeight="1" x14ac:dyDescent="0.3">
      <c r="B68" s="50"/>
      <c r="C68" s="43">
        <v>47239</v>
      </c>
      <c r="D68" s="44">
        <f t="shared" si="0"/>
        <v>2.3968046818526878E-2</v>
      </c>
      <c r="E68" s="45">
        <f t="shared" si="1"/>
        <v>0.89156998602962778</v>
      </c>
      <c r="F68" s="42">
        <f>SUMIF(FASE_A!$C$14:$C$49,TOTAL_OBRA!C68,FASE_A!$F$14:$F$49)+SUMIF(FASE_B!$C$14:$C$41,TOTAL_OBRA!C68,FASE_B!$F$14:$F$41)+SUMIF(FASE_C!$C$14:$C$41,TOTAL_OBRA!C68,FASE_C!$F$14:$F$41)</f>
        <v>4394509.260091031</v>
      </c>
      <c r="G68" s="42">
        <f t="shared" si="2"/>
        <v>163468161.97796631</v>
      </c>
    </row>
    <row r="69" spans="2:7" ht="25.5" customHeight="1" x14ac:dyDescent="0.3">
      <c r="B69" s="50"/>
      <c r="C69" s="43">
        <v>47270</v>
      </c>
      <c r="D69" s="44">
        <f t="shared" si="0"/>
        <v>2.3825815982447221E-2</v>
      </c>
      <c r="E69" s="45">
        <f t="shared" si="1"/>
        <v>0.91539580201207504</v>
      </c>
      <c r="F69" s="42">
        <f>SUMIF(FASE_A!$C$14:$C$49,TOTAL_OBRA!C69,FASE_A!$F$14:$F$49)+SUMIF(FASE_B!$C$14:$C$41,TOTAL_OBRA!C69,FASE_B!$F$14:$F$41)+SUMIF(FASE_C!$C$14:$C$41,TOTAL_OBRA!C69,FASE_C!$F$14:$F$41)</f>
        <v>4368431.4269261109</v>
      </c>
      <c r="G69" s="42">
        <f t="shared" si="2"/>
        <v>167836593.40489241</v>
      </c>
    </row>
    <row r="70" spans="2:7" ht="25.5" customHeight="1" x14ac:dyDescent="0.3">
      <c r="B70" s="50"/>
      <c r="C70" s="43">
        <v>47300</v>
      </c>
      <c r="D70" s="44">
        <f t="shared" si="0"/>
        <v>2.2342958691043312E-2</v>
      </c>
      <c r="E70" s="45">
        <f t="shared" si="1"/>
        <v>0.93773876070311835</v>
      </c>
      <c r="F70" s="42">
        <f>SUMIF(FASE_A!$C$14:$C$49,TOTAL_OBRA!C70,FASE_A!$F$14:$F$49)+SUMIF(FASE_B!$C$14:$C$41,TOTAL_OBRA!C70,FASE_B!$F$14:$F$41)+SUMIF(FASE_C!$C$14:$C$41,TOTAL_OBRA!C70,FASE_C!$F$14:$F$41)</f>
        <v>4096551.5300030583</v>
      </c>
      <c r="G70" s="42">
        <f t="shared" si="2"/>
        <v>171933144.93489549</v>
      </c>
    </row>
    <row r="71" spans="2:7" ht="25.5" customHeight="1" x14ac:dyDescent="0.3">
      <c r="B71" s="50"/>
      <c r="C71" s="43">
        <v>47331</v>
      </c>
      <c r="D71" s="44">
        <f t="shared" si="0"/>
        <v>1.6971714680388852E-2</v>
      </c>
      <c r="E71" s="45">
        <f t="shared" si="1"/>
        <v>0.95471047538350717</v>
      </c>
      <c r="F71" s="42">
        <f>SUMIF(FASE_A!$C$14:$C$49,TOTAL_OBRA!C71,FASE_A!$F$14:$F$49)+SUMIF(FASE_B!$C$14:$C$41,TOTAL_OBRA!C71,FASE_B!$F$14:$F$41)+SUMIF(FASE_C!$C$14:$C$41,TOTAL_OBRA!C71,FASE_C!$F$14:$F$41)</f>
        <v>3111741.1396635314</v>
      </c>
      <c r="G71" s="42">
        <f t="shared" si="2"/>
        <v>175044886.074559</v>
      </c>
    </row>
    <row r="72" spans="2:7" ht="25.5" customHeight="1" x14ac:dyDescent="0.3">
      <c r="B72" s="50"/>
      <c r="C72" s="43">
        <v>47362</v>
      </c>
      <c r="D72" s="44">
        <f t="shared" si="0"/>
        <v>1.1613994698193393E-2</v>
      </c>
      <c r="E72" s="45">
        <f t="shared" si="1"/>
        <v>0.96632447008170053</v>
      </c>
      <c r="F72" s="42">
        <f>SUMIF(FASE_A!$C$14:$C$49,TOTAL_OBRA!C72,FASE_A!$F$14:$F$49)+SUMIF(FASE_B!$C$14:$C$41,TOTAL_OBRA!C72,FASE_B!$F$14:$F$41)+SUMIF(FASE_C!$C$14:$C$41,TOTAL_OBRA!C72,FASE_C!$F$14:$F$41)</f>
        <v>2129410.3618158689</v>
      </c>
      <c r="G72" s="42">
        <f t="shared" si="2"/>
        <v>177174296.43637487</v>
      </c>
    </row>
    <row r="73" spans="2:7" ht="25.5" customHeight="1" x14ac:dyDescent="0.3">
      <c r="B73" s="50"/>
      <c r="C73" s="43">
        <v>47392</v>
      </c>
      <c r="D73" s="44">
        <f t="shared" si="0"/>
        <v>1.0272050792782162E-2</v>
      </c>
      <c r="E73" s="45">
        <f t="shared" si="1"/>
        <v>0.97659652087448268</v>
      </c>
      <c r="F73" s="42">
        <f>SUMIF(FASE_A!$C$14:$C$49,TOTAL_OBRA!C73,FASE_A!$F$14:$F$49)+SUMIF(FASE_B!$C$14:$C$41,TOTAL_OBRA!C73,FASE_B!$F$14:$F$41)+SUMIF(FASE_C!$C$14:$C$41,TOTAL_OBRA!C73,FASE_C!$F$14:$F$41)</f>
        <v>1883366.7453500519</v>
      </c>
      <c r="G73" s="42">
        <f t="shared" si="2"/>
        <v>179057663.18172494</v>
      </c>
    </row>
    <row r="74" spans="2:7" ht="25.5" customHeight="1" x14ac:dyDescent="0.3">
      <c r="B74" s="50"/>
      <c r="C74" s="43">
        <v>47423</v>
      </c>
      <c r="D74" s="44">
        <f t="shared" si="0"/>
        <v>6.1175122689260198E-3</v>
      </c>
      <c r="E74" s="45">
        <f t="shared" si="1"/>
        <v>0.98271403314340866</v>
      </c>
      <c r="F74" s="42">
        <f>SUMIF(FASE_A!$C$14:$C$49,TOTAL_OBRA!C74,FASE_A!$F$14:$F$49)+SUMIF(FASE_B!$C$14:$C$41,TOTAL_OBRA!C74,FASE_B!$F$14:$F$41)+SUMIF(FASE_C!$C$14:$C$41,TOTAL_OBRA!C74,FASE_C!$F$14:$F$41)</f>
        <v>1121637.6752792157</v>
      </c>
      <c r="G74" s="42">
        <f t="shared" si="2"/>
        <v>180179300.85700417</v>
      </c>
    </row>
    <row r="75" spans="2:7" ht="25.5" customHeight="1" x14ac:dyDescent="0.3">
      <c r="B75" s="50"/>
      <c r="C75" s="43">
        <v>47453</v>
      </c>
      <c r="D75" s="44">
        <f t="shared" si="0"/>
        <v>7.1905350358725251E-3</v>
      </c>
      <c r="E75" s="45">
        <f t="shared" si="1"/>
        <v>0.98990456817928119</v>
      </c>
      <c r="F75" s="42">
        <f>SUMIF(FASE_A!$C$14:$C$49,TOTAL_OBRA!C75,FASE_A!$F$14:$F$49)+SUMIF(FASE_B!$C$14:$C$41,TOTAL_OBRA!C75,FASE_B!$F$14:$F$41)+SUMIF(FASE_C!$C$14:$C$41,TOTAL_OBRA!C75,FASE_C!$F$14:$F$41)</f>
        <v>1318374.9614393041</v>
      </c>
      <c r="G75" s="42">
        <f t="shared" si="2"/>
        <v>181497675.81844348</v>
      </c>
    </row>
    <row r="76" spans="2:7" ht="25.5" customHeight="1" x14ac:dyDescent="0.3">
      <c r="B76" s="50"/>
      <c r="C76" s="43">
        <v>47484</v>
      </c>
      <c r="D76" s="44">
        <f t="shared" si="0"/>
        <v>1.0095431820719036E-2</v>
      </c>
      <c r="E76" s="70">
        <f t="shared" si="1"/>
        <v>1.0000000000000002</v>
      </c>
      <c r="F76" s="42">
        <f>SUMIF(FASE_A!$C$14:$C$49,TOTAL_OBRA!C76,FASE_A!$F$14:$F$49)+SUMIF(FASE_B!$C$14:$C$41,TOTAL_OBRA!C76,FASE_B!$F$14:$F$41)+SUMIF(FASE_C!$C$14:$C$41,TOTAL_OBRA!C76,FASE_C!$F$14:$F$41)</f>
        <v>1850983.8935425689</v>
      </c>
      <c r="G76" s="66">
        <f t="shared" si="2"/>
        <v>183348659.71198604</v>
      </c>
    </row>
    <row r="77" spans="2:7" x14ac:dyDescent="0.3">
      <c r="F77" s="69"/>
      <c r="G77" s="48"/>
    </row>
    <row r="78" spans="2:7" x14ac:dyDescent="0.3">
      <c r="C78" s="72"/>
      <c r="G78" s="48"/>
    </row>
    <row r="79" spans="2:7" x14ac:dyDescent="0.3">
      <c r="C79" s="72"/>
      <c r="G79" s="48"/>
    </row>
    <row r="80" spans="2:7" x14ac:dyDescent="0.3">
      <c r="G80" s="48"/>
    </row>
    <row r="81" spans="7:10" x14ac:dyDescent="0.3">
      <c r="G81" s="48"/>
    </row>
    <row r="82" spans="7:10" x14ac:dyDescent="0.3">
      <c r="G82" s="48"/>
    </row>
    <row r="83" spans="7:10" x14ac:dyDescent="0.3">
      <c r="G83" s="48"/>
    </row>
    <row r="84" spans="7:10" x14ac:dyDescent="0.3">
      <c r="G84" s="48"/>
    </row>
    <row r="85" spans="7:10" x14ac:dyDescent="0.3">
      <c r="G85" s="48"/>
      <c r="J85" s="53"/>
    </row>
    <row r="86" spans="7:10" x14ac:dyDescent="0.3">
      <c r="G86" s="48"/>
      <c r="J86" s="53"/>
    </row>
    <row r="87" spans="7:10" x14ac:dyDescent="0.3">
      <c r="G87" s="48"/>
    </row>
    <row r="88" spans="7:10" x14ac:dyDescent="0.3">
      <c r="G88" s="48"/>
    </row>
    <row r="89" spans="7:10" x14ac:dyDescent="0.3">
      <c r="G89" s="48"/>
    </row>
    <row r="90" spans="7:10" x14ac:dyDescent="0.3">
      <c r="G90" s="48"/>
    </row>
    <row r="91" spans="7:10" x14ac:dyDescent="0.3">
      <c r="G91" s="48"/>
    </row>
    <row r="92" spans="7:10" x14ac:dyDescent="0.3">
      <c r="G92" s="48"/>
    </row>
    <row r="93" spans="7:10" x14ac:dyDescent="0.3">
      <c r="G93" s="48"/>
    </row>
    <row r="94" spans="7:10" x14ac:dyDescent="0.3">
      <c r="G94" s="48"/>
    </row>
    <row r="95" spans="7:10" x14ac:dyDescent="0.3">
      <c r="G95" s="48"/>
    </row>
    <row r="96" spans="7:10" x14ac:dyDescent="0.3">
      <c r="G96" s="48"/>
    </row>
    <row r="97" spans="7:7" x14ac:dyDescent="0.3">
      <c r="G97" s="48"/>
    </row>
    <row r="98" spans="7:7" x14ac:dyDescent="0.3">
      <c r="G98" s="48"/>
    </row>
    <row r="99" spans="7:7" x14ac:dyDescent="0.3">
      <c r="G99" s="48"/>
    </row>
    <row r="100" spans="7:7" x14ac:dyDescent="0.3">
      <c r="G100" s="48"/>
    </row>
    <row r="101" spans="7:7" x14ac:dyDescent="0.3">
      <c r="G101" s="48"/>
    </row>
    <row r="102" spans="7:7" x14ac:dyDescent="0.3">
      <c r="G102" s="48"/>
    </row>
    <row r="103" spans="7:7" x14ac:dyDescent="0.3">
      <c r="G103" s="48"/>
    </row>
    <row r="104" spans="7:7" x14ac:dyDescent="0.3">
      <c r="G104" s="47"/>
    </row>
    <row r="105" spans="7:7" x14ac:dyDescent="0.3">
      <c r="G105" s="47"/>
    </row>
  </sheetData>
  <mergeCells count="7">
    <mergeCell ref="B55:B57"/>
    <mergeCell ref="E3:Z4"/>
    <mergeCell ref="E5:Z5"/>
    <mergeCell ref="B14:B18"/>
    <mergeCell ref="B19:B30"/>
    <mergeCell ref="B31:B42"/>
    <mergeCell ref="B43:B54"/>
  </mergeCells>
  <printOptions horizontalCentered="1"/>
  <pageMargins left="0.47244094488188981" right="0.23622047244094491" top="0.59055118110236227" bottom="0.19685039370078741" header="0.31496062992125984" footer="0.31496062992125984"/>
  <pageSetup paperSize="8" scale="57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F2C0B-C6AE-4308-B2CB-B3B9D9CE2FC4}">
  <sheetPr>
    <pageSetUpPr fitToPage="1"/>
  </sheetPr>
  <dimension ref="B1:AG101"/>
  <sheetViews>
    <sheetView showGridLines="0" zoomScale="10" zoomScaleNormal="10" zoomScaleSheetLayoutView="70" workbookViewId="0">
      <selection activeCell="BY38" sqref="BY38"/>
    </sheetView>
  </sheetViews>
  <sheetFormatPr defaultColWidth="9.109375" defaultRowHeight="14.4" x14ac:dyDescent="0.3"/>
  <cols>
    <col min="1" max="1" width="1.44140625" style="31" customWidth="1"/>
    <col min="2" max="2" width="10.6640625" style="31" customWidth="1"/>
    <col min="3" max="3" width="17.77734375" style="41" customWidth="1"/>
    <col min="4" max="4" width="12.6640625" style="31" customWidth="1"/>
    <col min="5" max="5" width="28.33203125" style="31" bestFit="1" customWidth="1"/>
    <col min="6" max="6" width="12.6640625" style="31" customWidth="1"/>
    <col min="7" max="7" width="28.33203125" style="31" bestFit="1" customWidth="1"/>
    <col min="8" max="8" width="12.6640625" style="31" customWidth="1"/>
    <col min="9" max="9" width="28.33203125" style="31" bestFit="1" customWidth="1"/>
    <col min="10" max="10" width="28.33203125" style="31" customWidth="1"/>
    <col min="11" max="11" width="15" style="31" bestFit="1" customWidth="1"/>
    <col min="12" max="19" width="9.109375" style="31"/>
    <col min="20" max="20" width="7.44140625" style="31" customWidth="1"/>
    <col min="21" max="21" width="10.44140625" style="31" customWidth="1"/>
    <col min="22" max="26" width="9.109375" style="31"/>
    <col min="27" max="27" width="12.6640625" style="31" customWidth="1"/>
    <col min="28" max="16384" width="9.109375" style="31"/>
  </cols>
  <sheetData>
    <row r="1" spans="2:33" ht="5.25" customHeight="1" x14ac:dyDescent="0.3"/>
    <row r="2" spans="2:33" ht="21.75" customHeight="1" x14ac:dyDescent="0.3">
      <c r="B2" s="27"/>
      <c r="C2" s="28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30"/>
    </row>
    <row r="3" spans="2:33" ht="10.5" customHeight="1" x14ac:dyDescent="0.3">
      <c r="B3" s="32"/>
      <c r="C3" s="33"/>
      <c r="D3" s="34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35"/>
      <c r="AE3" s="35"/>
      <c r="AF3" s="34"/>
      <c r="AG3" s="36"/>
    </row>
    <row r="4" spans="2:33" ht="21.75" customHeight="1" x14ac:dyDescent="0.3">
      <c r="B4" s="32"/>
      <c r="C4" s="33"/>
      <c r="D4" s="34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35"/>
      <c r="AE4" s="35"/>
      <c r="AF4" s="34"/>
      <c r="AG4" s="36"/>
    </row>
    <row r="5" spans="2:33" ht="30" customHeight="1" x14ac:dyDescent="0.4">
      <c r="B5" s="32"/>
      <c r="C5" s="33"/>
      <c r="D5" s="34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34"/>
      <c r="AE5" s="34"/>
      <c r="AF5" s="34"/>
      <c r="AG5" s="36"/>
    </row>
    <row r="6" spans="2:33" ht="21.75" customHeight="1" x14ac:dyDescent="0.3">
      <c r="B6" s="37"/>
      <c r="C6" s="38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40"/>
    </row>
    <row r="7" spans="2:33" ht="15.75" customHeight="1" x14ac:dyDescent="0.3">
      <c r="B7" s="78"/>
      <c r="C7" s="79"/>
    </row>
    <row r="8" spans="2:33" ht="15.75" customHeight="1" x14ac:dyDescent="0.3">
      <c r="D8" s="81" t="s">
        <v>1269</v>
      </c>
      <c r="E8" s="81"/>
      <c r="F8" s="81" t="s">
        <v>1270</v>
      </c>
      <c r="G8" s="81"/>
      <c r="H8" s="81" t="s">
        <v>1271</v>
      </c>
      <c r="I8" s="81"/>
    </row>
    <row r="9" spans="2:33" ht="65.25" customHeight="1" x14ac:dyDescent="0.3">
      <c r="B9" s="46" t="s">
        <v>1253</v>
      </c>
      <c r="C9" s="46" t="s">
        <v>1252</v>
      </c>
      <c r="D9" s="82" t="s">
        <v>1256</v>
      </c>
      <c r="E9" s="83" t="s">
        <v>1254</v>
      </c>
      <c r="F9" s="82" t="s">
        <v>1256</v>
      </c>
      <c r="G9" s="83" t="s">
        <v>1254</v>
      </c>
      <c r="H9" s="82" t="s">
        <v>1256</v>
      </c>
      <c r="I9" s="83" t="s">
        <v>1254</v>
      </c>
      <c r="J9" s="46" t="s">
        <v>1272</v>
      </c>
      <c r="K9" s="41"/>
    </row>
    <row r="10" spans="2:33" ht="27" customHeight="1" x14ac:dyDescent="0.3">
      <c r="B10" s="77"/>
      <c r="C10" s="43">
        <v>45597</v>
      </c>
      <c r="D10" s="44">
        <v>3.3999999999999998E-3</v>
      </c>
      <c r="E10" s="42">
        <v>193573.40063491263</v>
      </c>
      <c r="F10" s="44"/>
      <c r="G10" s="42"/>
      <c r="H10" s="44"/>
      <c r="I10" s="42"/>
      <c r="J10" s="42">
        <f>E10+G10+I10</f>
        <v>193573.40063491263</v>
      </c>
      <c r="K10" s="41"/>
    </row>
    <row r="11" spans="2:33" ht="27" customHeight="1" x14ac:dyDescent="0.3">
      <c r="B11" s="74"/>
      <c r="C11" s="43">
        <v>45627</v>
      </c>
      <c r="D11" s="44">
        <v>3.0000000000000001E-3</v>
      </c>
      <c r="E11" s="42">
        <v>170800.05938374644</v>
      </c>
      <c r="F11" s="44"/>
      <c r="G11" s="42"/>
      <c r="H11" s="44"/>
      <c r="I11" s="42"/>
      <c r="J11" s="42">
        <f t="shared" ref="J11:J71" si="0">E11+G11+I11</f>
        <v>170800.05938374644</v>
      </c>
      <c r="K11" s="41"/>
    </row>
    <row r="12" spans="2:33" ht="27" customHeight="1" x14ac:dyDescent="0.3">
      <c r="B12" s="74"/>
      <c r="C12" s="43">
        <v>45658</v>
      </c>
      <c r="D12" s="44">
        <v>1.6999999999999999E-3</v>
      </c>
      <c r="E12" s="42">
        <v>96786.700317456314</v>
      </c>
      <c r="F12" s="44"/>
      <c r="G12" s="42"/>
      <c r="H12" s="44"/>
      <c r="I12" s="42"/>
      <c r="J12" s="42">
        <f t="shared" si="0"/>
        <v>96786.700317456314</v>
      </c>
      <c r="K12" s="41"/>
    </row>
    <row r="13" spans="2:33" ht="27" customHeight="1" x14ac:dyDescent="0.3">
      <c r="B13" s="74"/>
      <c r="C13" s="43">
        <v>45689</v>
      </c>
      <c r="D13" s="44">
        <v>2.5999999999999999E-3</v>
      </c>
      <c r="E13" s="42">
        <v>148026.71813258025</v>
      </c>
      <c r="F13" s="44"/>
      <c r="G13" s="42"/>
      <c r="H13" s="44"/>
      <c r="I13" s="42"/>
      <c r="J13" s="42">
        <f t="shared" si="0"/>
        <v>148026.71813258025</v>
      </c>
      <c r="K13" s="41"/>
    </row>
    <row r="14" spans="2:33" ht="27" customHeight="1" x14ac:dyDescent="0.3">
      <c r="B14" s="74"/>
      <c r="C14" s="43">
        <v>45717</v>
      </c>
      <c r="D14" s="44">
        <v>3.3999999999999998E-3</v>
      </c>
      <c r="E14" s="42">
        <v>193573.40063491263</v>
      </c>
      <c r="F14" s="44"/>
      <c r="G14" s="42"/>
      <c r="H14" s="44"/>
      <c r="I14" s="42"/>
      <c r="J14" s="42">
        <f t="shared" si="0"/>
        <v>193573.40063491263</v>
      </c>
      <c r="K14" s="41"/>
    </row>
    <row r="15" spans="2:33" ht="27" customHeight="1" x14ac:dyDescent="0.3">
      <c r="B15" s="74"/>
      <c r="C15" s="43">
        <v>45748</v>
      </c>
      <c r="D15" s="44">
        <v>2.5999999999999999E-3</v>
      </c>
      <c r="E15" s="42">
        <v>148026.71813258025</v>
      </c>
      <c r="F15" s="44"/>
      <c r="G15" s="42"/>
      <c r="H15" s="44"/>
      <c r="I15" s="42"/>
      <c r="J15" s="42">
        <f t="shared" si="0"/>
        <v>148026.71813258025</v>
      </c>
      <c r="K15" s="41"/>
    </row>
    <row r="16" spans="2:33" ht="27" customHeight="1" x14ac:dyDescent="0.3">
      <c r="B16" s="74"/>
      <c r="C16" s="43">
        <v>45778</v>
      </c>
      <c r="D16" s="44">
        <v>3.2000000000000002E-3</v>
      </c>
      <c r="E16" s="42">
        <v>182186.73000932953</v>
      </c>
      <c r="F16" s="44"/>
      <c r="G16" s="42"/>
      <c r="H16" s="44"/>
      <c r="I16" s="42"/>
      <c r="J16" s="42">
        <f t="shared" si="0"/>
        <v>182186.73000932953</v>
      </c>
      <c r="K16" s="41"/>
    </row>
    <row r="17" spans="2:11" ht="27" customHeight="1" x14ac:dyDescent="0.3">
      <c r="B17" s="74"/>
      <c r="C17" s="43">
        <v>45809</v>
      </c>
      <c r="D17" s="44">
        <v>5.7000000000000002E-3</v>
      </c>
      <c r="E17" s="42">
        <v>324520.11282911827</v>
      </c>
      <c r="F17" s="44"/>
      <c r="G17" s="42"/>
      <c r="H17" s="44"/>
      <c r="I17" s="42"/>
      <c r="J17" s="42">
        <f t="shared" si="0"/>
        <v>324520.11282911827</v>
      </c>
      <c r="K17" s="41"/>
    </row>
    <row r="18" spans="2:11" ht="27" customHeight="1" x14ac:dyDescent="0.3">
      <c r="B18" s="74"/>
      <c r="C18" s="43">
        <v>45839</v>
      </c>
      <c r="D18" s="44">
        <v>6.1999999999999998E-3</v>
      </c>
      <c r="E18" s="42">
        <v>352986.78939307597</v>
      </c>
      <c r="F18" s="44"/>
      <c r="G18" s="42"/>
      <c r="H18" s="44"/>
      <c r="I18" s="42"/>
      <c r="J18" s="42">
        <f t="shared" si="0"/>
        <v>352986.78939307597</v>
      </c>
      <c r="K18" s="41"/>
    </row>
    <row r="19" spans="2:11" ht="27" customHeight="1" x14ac:dyDescent="0.3">
      <c r="B19" s="74"/>
      <c r="C19" s="43">
        <v>45870</v>
      </c>
      <c r="D19" s="44">
        <v>1.0800000000000001E-2</v>
      </c>
      <c r="E19" s="42">
        <v>614880.2137814872</v>
      </c>
      <c r="F19" s="44"/>
      <c r="G19" s="42"/>
      <c r="H19" s="44"/>
      <c r="I19" s="42"/>
      <c r="J19" s="42">
        <f t="shared" si="0"/>
        <v>614880.2137814872</v>
      </c>
      <c r="K19" s="41"/>
    </row>
    <row r="20" spans="2:11" ht="27" customHeight="1" x14ac:dyDescent="0.3">
      <c r="B20" s="74"/>
      <c r="C20" s="43">
        <v>45901</v>
      </c>
      <c r="D20" s="44">
        <v>6.1999999999999998E-3</v>
      </c>
      <c r="E20" s="42">
        <v>352986.78939307597</v>
      </c>
      <c r="F20" s="44"/>
      <c r="G20" s="42"/>
      <c r="H20" s="44"/>
      <c r="I20" s="42"/>
      <c r="J20" s="42">
        <f t="shared" si="0"/>
        <v>352986.78939307597</v>
      </c>
      <c r="K20" s="41"/>
    </row>
    <row r="21" spans="2:11" ht="27" customHeight="1" x14ac:dyDescent="0.3">
      <c r="B21" s="74"/>
      <c r="C21" s="43">
        <v>45931</v>
      </c>
      <c r="D21" s="44">
        <v>8.5000000000000006E-3</v>
      </c>
      <c r="E21" s="42">
        <v>483933.50158728159</v>
      </c>
      <c r="F21" s="44"/>
      <c r="G21" s="42"/>
      <c r="H21" s="44"/>
      <c r="I21" s="42"/>
      <c r="J21" s="42">
        <f t="shared" si="0"/>
        <v>483933.50158728159</v>
      </c>
      <c r="K21" s="41"/>
    </row>
    <row r="22" spans="2:11" ht="27" customHeight="1" x14ac:dyDescent="0.3">
      <c r="B22" s="74"/>
      <c r="C22" s="43">
        <v>45962</v>
      </c>
      <c r="D22" s="44">
        <v>1.0999999999999999E-2</v>
      </c>
      <c r="E22" s="42">
        <v>626266.88440707023</v>
      </c>
      <c r="F22" s="44"/>
      <c r="G22" s="42"/>
      <c r="H22" s="44"/>
      <c r="I22" s="42"/>
      <c r="J22" s="42">
        <f t="shared" si="0"/>
        <v>626266.88440707023</v>
      </c>
      <c r="K22" s="41"/>
    </row>
    <row r="23" spans="2:11" ht="27" customHeight="1" x14ac:dyDescent="0.3">
      <c r="B23" s="74"/>
      <c r="C23" s="43">
        <v>45992</v>
      </c>
      <c r="D23" s="44">
        <v>7.9000000000000008E-3</v>
      </c>
      <c r="E23" s="42">
        <v>449773.4897105323</v>
      </c>
      <c r="F23" s="44">
        <v>3.7293571428571471E-3</v>
      </c>
      <c r="G23" s="42">
        <v>214066.02177725421</v>
      </c>
      <c r="H23" s="44"/>
      <c r="I23" s="42"/>
      <c r="J23" s="42">
        <f t="shared" si="0"/>
        <v>663839.51148778654</v>
      </c>
      <c r="K23" s="41"/>
    </row>
    <row r="24" spans="2:11" ht="27" customHeight="1" x14ac:dyDescent="0.3">
      <c r="B24" s="74"/>
      <c r="C24" s="43">
        <v>46023</v>
      </c>
      <c r="D24" s="44">
        <v>1.3100000000000001E-2</v>
      </c>
      <c r="E24" s="42">
        <v>745826.92597569281</v>
      </c>
      <c r="F24" s="44">
        <v>4.307642857142864E-3</v>
      </c>
      <c r="G24" s="42">
        <v>247259.76471090145</v>
      </c>
      <c r="H24" s="44"/>
      <c r="I24" s="42"/>
      <c r="J24" s="42">
        <f t="shared" si="0"/>
        <v>993086.69068659423</v>
      </c>
      <c r="K24" s="41"/>
    </row>
    <row r="25" spans="2:11" ht="27" customHeight="1" x14ac:dyDescent="0.3">
      <c r="B25" s="74"/>
      <c r="C25" s="43">
        <v>46054</v>
      </c>
      <c r="D25" s="44">
        <v>1.12E-2</v>
      </c>
      <c r="E25" s="42">
        <v>637653.55503265338</v>
      </c>
      <c r="F25" s="44">
        <v>5.7677142857143066E-3</v>
      </c>
      <c r="G25" s="42">
        <v>331068.22559364437</v>
      </c>
      <c r="H25" s="44"/>
      <c r="I25" s="42"/>
      <c r="J25" s="42">
        <f t="shared" si="0"/>
        <v>968721.7806262977</v>
      </c>
      <c r="K25" s="41"/>
    </row>
    <row r="26" spans="2:11" ht="27" customHeight="1" x14ac:dyDescent="0.3">
      <c r="B26" s="74"/>
      <c r="C26" s="43">
        <v>46082</v>
      </c>
      <c r="D26" s="44">
        <v>1.01E-2</v>
      </c>
      <c r="E26" s="42">
        <v>575026.86659194634</v>
      </c>
      <c r="F26" s="44">
        <v>8.5482857142858085E-3</v>
      </c>
      <c r="G26" s="42">
        <v>490673.71286156034</v>
      </c>
      <c r="H26" s="44"/>
      <c r="I26" s="42"/>
      <c r="J26" s="42">
        <f t="shared" si="0"/>
        <v>1065700.5794535067</v>
      </c>
      <c r="K26" s="41"/>
    </row>
    <row r="27" spans="2:11" ht="27" customHeight="1" x14ac:dyDescent="0.3">
      <c r="B27" s="74"/>
      <c r="C27" s="43">
        <v>46113</v>
      </c>
      <c r="D27" s="44">
        <v>3.6799999999999999E-2</v>
      </c>
      <c r="E27" s="42">
        <v>2095147.3951072895</v>
      </c>
      <c r="F27" s="44">
        <v>1.5177000000000152E-2</v>
      </c>
      <c r="G27" s="42">
        <v>871163.55126674124</v>
      </c>
      <c r="H27" s="44"/>
      <c r="I27" s="42"/>
      <c r="J27" s="42">
        <f t="shared" si="0"/>
        <v>2966310.9463740308</v>
      </c>
      <c r="K27" s="41"/>
    </row>
    <row r="28" spans="2:11" ht="27" customHeight="1" x14ac:dyDescent="0.3">
      <c r="B28" s="74"/>
      <c r="C28" s="43">
        <v>46143</v>
      </c>
      <c r="D28" s="44">
        <v>4.2500000000000003E-2</v>
      </c>
      <c r="E28" s="42">
        <v>2419667.5079364078</v>
      </c>
      <c r="F28" s="44">
        <v>1.7965999999999774E-2</v>
      </c>
      <c r="G28" s="42">
        <v>1031252.8406179033</v>
      </c>
      <c r="H28" s="44"/>
      <c r="I28" s="42"/>
      <c r="J28" s="42">
        <f t="shared" si="0"/>
        <v>3450920.3485543113</v>
      </c>
      <c r="K28" s="41"/>
    </row>
    <row r="29" spans="2:11" ht="27" customHeight="1" x14ac:dyDescent="0.3">
      <c r="B29" s="74"/>
      <c r="C29" s="43">
        <v>46174</v>
      </c>
      <c r="D29" s="44">
        <v>3.78E-2</v>
      </c>
      <c r="E29" s="42">
        <v>2152080.7482352052</v>
      </c>
      <c r="F29" s="44">
        <v>1.1290000000000792E-2</v>
      </c>
      <c r="G29" s="42">
        <v>648048.79052527505</v>
      </c>
      <c r="H29" s="44"/>
      <c r="I29" s="42"/>
      <c r="J29" s="42">
        <f t="shared" si="0"/>
        <v>2800129.5387604805</v>
      </c>
      <c r="K29" s="41"/>
    </row>
    <row r="30" spans="2:11" ht="27" customHeight="1" x14ac:dyDescent="0.3">
      <c r="B30" s="74"/>
      <c r="C30" s="43">
        <v>46204</v>
      </c>
      <c r="D30" s="44">
        <v>6.1400000000000003E-2</v>
      </c>
      <c r="E30" s="42">
        <v>3495707.8820540104</v>
      </c>
      <c r="F30" s="44">
        <v>2.5354285714284691E-2</v>
      </c>
      <c r="G30" s="42">
        <v>1455342.2667646857</v>
      </c>
      <c r="H30" s="44"/>
      <c r="I30" s="42"/>
      <c r="J30" s="42">
        <f t="shared" si="0"/>
        <v>4951050.1488186959</v>
      </c>
      <c r="K30" s="41"/>
    </row>
    <row r="31" spans="2:11" ht="27" customHeight="1" x14ac:dyDescent="0.3">
      <c r="B31" s="74"/>
      <c r="C31" s="43">
        <v>46235</v>
      </c>
      <c r="D31" s="44">
        <v>5.6500000000000002E-2</v>
      </c>
      <c r="E31" s="42">
        <v>3216734.4517272245</v>
      </c>
      <c r="F31" s="44">
        <v>4.2069285714286142E-2</v>
      </c>
      <c r="G31" s="42">
        <v>2414787.3981756824</v>
      </c>
      <c r="H31" s="44"/>
      <c r="I31" s="42"/>
      <c r="J31" s="42">
        <f t="shared" si="0"/>
        <v>5631521.8499029074</v>
      </c>
      <c r="K31" s="41"/>
    </row>
    <row r="32" spans="2:11" ht="27" customHeight="1" x14ac:dyDescent="0.3">
      <c r="B32" s="74"/>
      <c r="C32" s="43">
        <v>46266</v>
      </c>
      <c r="D32" s="44">
        <v>3.95E-2</v>
      </c>
      <c r="E32" s="42">
        <v>2248867.4485526616</v>
      </c>
      <c r="F32" s="44">
        <v>4.3560142857143769E-2</v>
      </c>
      <c r="G32" s="42">
        <v>2500362.9666676917</v>
      </c>
      <c r="H32" s="44"/>
      <c r="I32" s="42"/>
      <c r="J32" s="42">
        <f t="shared" si="0"/>
        <v>4749230.4152203538</v>
      </c>
      <c r="K32" s="41"/>
    </row>
    <row r="33" spans="2:11" ht="27" customHeight="1" x14ac:dyDescent="0.3">
      <c r="B33" s="74"/>
      <c r="C33" s="43">
        <v>46296</v>
      </c>
      <c r="D33" s="44">
        <v>5.5500000000000001E-2</v>
      </c>
      <c r="E33" s="42">
        <v>3159801.0985993091</v>
      </c>
      <c r="F33" s="44">
        <v>4.8741214285712986E-2</v>
      </c>
      <c r="G33" s="42">
        <v>2797757.7472619438</v>
      </c>
      <c r="H33" s="44"/>
      <c r="I33" s="42"/>
      <c r="J33" s="42">
        <f t="shared" si="0"/>
        <v>5957558.8458612524</v>
      </c>
      <c r="K33" s="41"/>
    </row>
    <row r="34" spans="2:11" ht="27" customHeight="1" x14ac:dyDescent="0.3">
      <c r="B34" s="74"/>
      <c r="C34" s="43">
        <v>46327</v>
      </c>
      <c r="D34" s="44">
        <v>4.24E-2</v>
      </c>
      <c r="E34" s="42">
        <v>2413974.1726236162</v>
      </c>
      <c r="F34" s="44">
        <v>4.5529071428571849E-2</v>
      </c>
      <c r="G34" s="42">
        <v>2613379.9533235407</v>
      </c>
      <c r="H34" s="44"/>
      <c r="I34" s="42"/>
      <c r="J34" s="42">
        <f t="shared" si="0"/>
        <v>5027354.1259471569</v>
      </c>
      <c r="K34" s="41"/>
    </row>
    <row r="35" spans="2:11" ht="27" customHeight="1" x14ac:dyDescent="0.3">
      <c r="B35" s="74"/>
      <c r="C35" s="43">
        <v>46357</v>
      </c>
      <c r="D35" s="44">
        <v>3.2399999999999998E-2</v>
      </c>
      <c r="E35" s="42">
        <v>1844640.6413444614</v>
      </c>
      <c r="F35" s="44">
        <v>3.8193571428571882E-2</v>
      </c>
      <c r="G35" s="42">
        <v>2192320.4402236468</v>
      </c>
      <c r="H35" s="44"/>
      <c r="I35" s="42"/>
      <c r="J35" s="42">
        <f t="shared" si="0"/>
        <v>4036961.0815681079</v>
      </c>
      <c r="K35" s="41"/>
    </row>
    <row r="36" spans="2:11" ht="27" customHeight="1" x14ac:dyDescent="0.3">
      <c r="B36" s="74"/>
      <c r="C36" s="43">
        <v>46388</v>
      </c>
      <c r="D36" s="44">
        <v>4.9799999999999997E-2</v>
      </c>
      <c r="E36" s="42">
        <v>2835280.9857701906</v>
      </c>
      <c r="F36" s="44">
        <v>4.3536428571429475E-2</v>
      </c>
      <c r="G36" s="42">
        <v>2499001.7608062816</v>
      </c>
      <c r="H36" s="44"/>
      <c r="I36" s="42"/>
      <c r="J36" s="42">
        <f t="shared" si="0"/>
        <v>5334282.7465764722</v>
      </c>
      <c r="K36" s="41"/>
    </row>
    <row r="37" spans="2:11" ht="27" customHeight="1" x14ac:dyDescent="0.3">
      <c r="B37" s="74"/>
      <c r="C37" s="43">
        <v>46419</v>
      </c>
      <c r="D37" s="44">
        <v>5.2200000000000003E-2</v>
      </c>
      <c r="E37" s="42">
        <v>2971921.0332771884</v>
      </c>
      <c r="F37" s="44">
        <v>6.3361357142856067E-2</v>
      </c>
      <c r="G37" s="42">
        <v>3636957.560891496</v>
      </c>
      <c r="H37" s="44"/>
      <c r="I37" s="42"/>
      <c r="J37" s="42">
        <f t="shared" si="0"/>
        <v>6608878.5941686844</v>
      </c>
      <c r="K37" s="41"/>
    </row>
    <row r="38" spans="2:11" ht="27" customHeight="1" x14ac:dyDescent="0.3">
      <c r="B38" s="74"/>
      <c r="C38" s="43">
        <v>46447</v>
      </c>
      <c r="D38" s="44">
        <v>4.8599999999999997E-2</v>
      </c>
      <c r="E38" s="42">
        <v>2766960.9620166919</v>
      </c>
      <c r="F38" s="44">
        <v>5.6181642857144387E-2</v>
      </c>
      <c r="G38" s="42">
        <v>3224840.1862969729</v>
      </c>
      <c r="H38" s="44"/>
      <c r="I38" s="42"/>
      <c r="J38" s="42">
        <f t="shared" si="0"/>
        <v>5991801.1483136648</v>
      </c>
      <c r="K38" s="41"/>
    </row>
    <row r="39" spans="2:11" ht="27" customHeight="1" x14ac:dyDescent="0.3">
      <c r="B39" s="74"/>
      <c r="C39" s="43">
        <v>46478</v>
      </c>
      <c r="D39" s="44">
        <v>5.3499999999999999E-2</v>
      </c>
      <c r="E39" s="42">
        <v>3045934.3923434783</v>
      </c>
      <c r="F39" s="44">
        <v>3.7056642857140942E-2</v>
      </c>
      <c r="G39" s="42">
        <v>2127060.4592112997</v>
      </c>
      <c r="H39" s="44"/>
      <c r="I39" s="42"/>
      <c r="J39" s="42">
        <f t="shared" si="0"/>
        <v>5172994.8515547775</v>
      </c>
      <c r="K39" s="41"/>
    </row>
    <row r="40" spans="2:11" ht="27" customHeight="1" x14ac:dyDescent="0.3">
      <c r="B40" s="74"/>
      <c r="C40" s="43">
        <v>46508</v>
      </c>
      <c r="D40" s="44">
        <v>4.8899999999999999E-2</v>
      </c>
      <c r="E40" s="42">
        <v>2784040.9679550668</v>
      </c>
      <c r="F40" s="44">
        <v>7.0308214285714876E-2</v>
      </c>
      <c r="G40" s="42">
        <v>4035708.8779314607</v>
      </c>
      <c r="H40" s="44"/>
      <c r="I40" s="42"/>
      <c r="J40" s="42">
        <f t="shared" si="0"/>
        <v>6819749.8458865276</v>
      </c>
      <c r="K40" s="41"/>
    </row>
    <row r="41" spans="2:11" ht="27" customHeight="1" x14ac:dyDescent="0.3">
      <c r="B41" s="74"/>
      <c r="C41" s="43">
        <v>46539</v>
      </c>
      <c r="D41" s="44">
        <v>5.4300000000000001E-2</v>
      </c>
      <c r="E41" s="42">
        <v>3091481.0748458104</v>
      </c>
      <c r="F41" s="44">
        <v>6.7587214285715902E-2</v>
      </c>
      <c r="G41" s="42">
        <v>3879522.8053877512</v>
      </c>
      <c r="H41" s="44"/>
      <c r="I41" s="42"/>
      <c r="J41" s="42">
        <f t="shared" si="0"/>
        <v>6971003.8802335616</v>
      </c>
      <c r="K41" s="41"/>
    </row>
    <row r="42" spans="2:11" ht="27" customHeight="1" x14ac:dyDescent="0.3">
      <c r="B42" s="74"/>
      <c r="C42" s="43">
        <v>46569</v>
      </c>
      <c r="D42" s="44">
        <v>5.1900000000000002E-2</v>
      </c>
      <c r="E42" s="42">
        <v>2954841.0273388135</v>
      </c>
      <c r="F42" s="44">
        <v>6.367464285714064E-2</v>
      </c>
      <c r="G42" s="42">
        <v>3654940.2383255926</v>
      </c>
      <c r="H42" s="44"/>
      <c r="I42" s="42"/>
      <c r="J42" s="42">
        <f t="shared" si="0"/>
        <v>6609781.2656644061</v>
      </c>
      <c r="K42" s="41"/>
    </row>
    <row r="43" spans="2:11" ht="27" customHeight="1" x14ac:dyDescent="0.3">
      <c r="B43" s="74"/>
      <c r="C43" s="43">
        <v>46600</v>
      </c>
      <c r="D43" s="44">
        <v>5.6500000000000002E-2</v>
      </c>
      <c r="E43" s="42">
        <v>3216734.4517272245</v>
      </c>
      <c r="F43" s="44">
        <v>6.329678571428643E-2</v>
      </c>
      <c r="G43" s="42">
        <v>3633251.1449316167</v>
      </c>
      <c r="H43" s="44"/>
      <c r="I43" s="42"/>
      <c r="J43" s="42">
        <f t="shared" si="0"/>
        <v>6849985.5966588408</v>
      </c>
      <c r="K43" s="41"/>
    </row>
    <row r="44" spans="2:11" ht="27" customHeight="1" x14ac:dyDescent="0.3">
      <c r="B44" s="74"/>
      <c r="C44" s="43">
        <v>46631</v>
      </c>
      <c r="D44" s="44">
        <v>5.0599999999999999E-2</v>
      </c>
      <c r="E44" s="42">
        <v>2880827.6682725232</v>
      </c>
      <c r="F44" s="44">
        <v>5.9357357142857503E-2</v>
      </c>
      <c r="G44" s="42">
        <v>3407126.971231435</v>
      </c>
      <c r="H44" s="44"/>
      <c r="I44" s="42"/>
      <c r="J44" s="42">
        <f t="shared" si="0"/>
        <v>6287954.6395039577</v>
      </c>
      <c r="K44" s="41"/>
    </row>
    <row r="45" spans="2:11" ht="27" customHeight="1" x14ac:dyDescent="0.3">
      <c r="B45" s="74"/>
      <c r="C45" s="43">
        <v>46661</v>
      </c>
      <c r="D45" s="44">
        <v>1.83E-2</v>
      </c>
      <c r="E45" s="42">
        <v>1041880.3622408533</v>
      </c>
      <c r="F45" s="44">
        <v>4.5087857142857124E-2</v>
      </c>
      <c r="G45" s="42">
        <v>2588054.1442695209</v>
      </c>
      <c r="H45" s="44">
        <v>3.7293571428571471E-3</v>
      </c>
      <c r="I45" s="42">
        <v>257381.80479852491</v>
      </c>
      <c r="J45" s="42">
        <f t="shared" si="0"/>
        <v>3887316.311308899</v>
      </c>
      <c r="K45" s="41"/>
    </row>
    <row r="46" spans="2:11" ht="27" customHeight="1" x14ac:dyDescent="0.3">
      <c r="B46" s="74"/>
      <c r="C46" s="43">
        <v>46692</v>
      </c>
      <c r="D46" s="44"/>
      <c r="E46" s="42"/>
      <c r="F46" s="44">
        <v>3.0854285714285057E-2</v>
      </c>
      <c r="G46" s="42">
        <v>1771043.6261879806</v>
      </c>
      <c r="H46" s="44">
        <v>4.307642857142864E-3</v>
      </c>
      <c r="I46" s="42">
        <v>297292.22772949474</v>
      </c>
      <c r="J46" s="42">
        <f t="shared" si="0"/>
        <v>2068335.8539174753</v>
      </c>
      <c r="K46" s="41"/>
    </row>
    <row r="47" spans="2:11" ht="27" customHeight="1" x14ac:dyDescent="0.3">
      <c r="B47" s="74"/>
      <c r="C47" s="43">
        <v>46722</v>
      </c>
      <c r="D47" s="44"/>
      <c r="E47" s="42"/>
      <c r="F47" s="44">
        <v>2.7289214285714292E-2</v>
      </c>
      <c r="G47" s="42">
        <v>1566407.6450169145</v>
      </c>
      <c r="H47" s="44">
        <v>5.7677142857143066E-3</v>
      </c>
      <c r="I47" s="42">
        <v>398059.14412425243</v>
      </c>
      <c r="J47" s="42">
        <f t="shared" si="0"/>
        <v>1964466.789141167</v>
      </c>
      <c r="K47" s="41"/>
    </row>
    <row r="48" spans="2:11" ht="27" customHeight="1" x14ac:dyDescent="0.3">
      <c r="B48" s="74"/>
      <c r="C48" s="43">
        <v>46753</v>
      </c>
      <c r="D48" s="44"/>
      <c r="E48" s="42"/>
      <c r="F48" s="44">
        <v>1.6252071428571324E-2</v>
      </c>
      <c r="G48" s="42">
        <v>932872.9169898394</v>
      </c>
      <c r="H48" s="44">
        <v>8.5482857142858085E-3</v>
      </c>
      <c r="I48" s="42">
        <v>589960.44647810946</v>
      </c>
      <c r="J48" s="42">
        <f t="shared" si="0"/>
        <v>1522833.363467949</v>
      </c>
      <c r="K48" s="41"/>
    </row>
    <row r="49" spans="2:11" ht="27" customHeight="1" x14ac:dyDescent="0.3">
      <c r="B49" s="74"/>
      <c r="C49" s="43">
        <v>46784</v>
      </c>
      <c r="D49" s="44"/>
      <c r="E49" s="42"/>
      <c r="F49" s="44">
        <v>1.9102714285714195E-2</v>
      </c>
      <c r="G49" s="42">
        <v>1096500.5215771575</v>
      </c>
      <c r="H49" s="44">
        <v>1.5177000000000152E-2</v>
      </c>
      <c r="I49" s="42">
        <v>1047441.5567597147</v>
      </c>
      <c r="J49" s="42">
        <f t="shared" si="0"/>
        <v>2143942.0783368722</v>
      </c>
      <c r="K49" s="41"/>
    </row>
    <row r="50" spans="2:11" ht="27" customHeight="1" x14ac:dyDescent="0.3">
      <c r="B50" s="74"/>
      <c r="C50" s="43">
        <v>46813</v>
      </c>
      <c r="D50" s="44"/>
      <c r="E50" s="42"/>
      <c r="F50" s="44">
        <v>2.6820000000000288E-2</v>
      </c>
      <c r="G50" s="42">
        <v>1539474.6290422359</v>
      </c>
      <c r="H50" s="44">
        <v>1.7965999999999774E-2</v>
      </c>
      <c r="I50" s="42">
        <v>1239924.5574714772</v>
      </c>
      <c r="J50" s="42">
        <f t="shared" si="0"/>
        <v>2779399.1865137131</v>
      </c>
      <c r="K50" s="41"/>
    </row>
    <row r="51" spans="2:11" ht="27" customHeight="1" x14ac:dyDescent="0.3">
      <c r="B51" s="74"/>
      <c r="C51" s="43">
        <v>46844</v>
      </c>
      <c r="D51" s="44"/>
      <c r="E51" s="42"/>
      <c r="F51" s="44"/>
      <c r="G51" s="42"/>
      <c r="H51" s="44">
        <v>1.1290000000000792E-2</v>
      </c>
      <c r="I51" s="42">
        <v>779180.0208089801</v>
      </c>
      <c r="J51" s="42">
        <f t="shared" si="0"/>
        <v>779180.0208089801</v>
      </c>
      <c r="K51" s="41"/>
    </row>
    <row r="52" spans="2:11" ht="25.5" customHeight="1" x14ac:dyDescent="0.3">
      <c r="B52" s="74"/>
      <c r="C52" s="43">
        <v>46874</v>
      </c>
      <c r="D52" s="44"/>
      <c r="E52" s="42"/>
      <c r="F52" s="44"/>
      <c r="G52" s="42"/>
      <c r="H52" s="44">
        <v>2.5354285714284691E-2</v>
      </c>
      <c r="I52" s="42">
        <v>1749827.5350267303</v>
      </c>
      <c r="J52" s="42">
        <f t="shared" si="0"/>
        <v>1749827.5350267303</v>
      </c>
    </row>
    <row r="53" spans="2:11" ht="28.5" customHeight="1" x14ac:dyDescent="0.3">
      <c r="B53" s="74"/>
      <c r="C53" s="43">
        <v>46905</v>
      </c>
      <c r="D53" s="44"/>
      <c r="E53" s="42"/>
      <c r="F53" s="44"/>
      <c r="G53" s="42"/>
      <c r="H53" s="44">
        <v>4.2069285714286142E-2</v>
      </c>
      <c r="I53" s="42">
        <v>2903414.2531686542</v>
      </c>
      <c r="J53" s="42">
        <f t="shared" si="0"/>
        <v>2903414.2531686542</v>
      </c>
    </row>
    <row r="54" spans="2:11" ht="25.5" customHeight="1" x14ac:dyDescent="0.3">
      <c r="B54" s="50"/>
      <c r="C54" s="43">
        <v>46935</v>
      </c>
      <c r="D54" s="44"/>
      <c r="E54" s="42"/>
      <c r="F54" s="44"/>
      <c r="G54" s="42"/>
      <c r="H54" s="44">
        <v>4.3560142857143769E-2</v>
      </c>
      <c r="I54" s="42">
        <v>3006305.8474640427</v>
      </c>
      <c r="J54" s="42">
        <f t="shared" si="0"/>
        <v>3006305.8474640427</v>
      </c>
    </row>
    <row r="55" spans="2:11" ht="25.5" customHeight="1" x14ac:dyDescent="0.3">
      <c r="B55" s="50"/>
      <c r="C55" s="43">
        <v>46966</v>
      </c>
      <c r="D55" s="44"/>
      <c r="E55" s="42"/>
      <c r="F55" s="44"/>
      <c r="G55" s="42"/>
      <c r="H55" s="44">
        <v>4.8741214285712986E-2</v>
      </c>
      <c r="I55" s="42">
        <v>3363877.7999463361</v>
      </c>
      <c r="J55" s="42">
        <f t="shared" si="0"/>
        <v>3363877.7999463361</v>
      </c>
    </row>
    <row r="56" spans="2:11" ht="25.5" customHeight="1" x14ac:dyDescent="0.3">
      <c r="B56" s="50"/>
      <c r="C56" s="43">
        <v>46997</v>
      </c>
      <c r="D56" s="44"/>
      <c r="E56" s="42"/>
      <c r="F56" s="44"/>
      <c r="G56" s="42"/>
      <c r="H56" s="44">
        <v>4.5529071428571849E-2</v>
      </c>
      <c r="I56" s="42">
        <v>3142191.5698074102</v>
      </c>
      <c r="J56" s="42">
        <f t="shared" si="0"/>
        <v>3142191.5698074102</v>
      </c>
    </row>
    <row r="57" spans="2:11" ht="25.5" customHeight="1" x14ac:dyDescent="0.3">
      <c r="B57" s="50"/>
      <c r="C57" s="43">
        <v>47027</v>
      </c>
      <c r="D57" s="44"/>
      <c r="E57" s="42"/>
      <c r="F57" s="44"/>
      <c r="G57" s="42"/>
      <c r="H57" s="44">
        <v>3.8193571428571882E-2</v>
      </c>
      <c r="I57" s="42">
        <v>2635931.6014598599</v>
      </c>
      <c r="J57" s="42">
        <f t="shared" si="0"/>
        <v>2635931.6014598599</v>
      </c>
    </row>
    <row r="58" spans="2:11" ht="25.5" customHeight="1" x14ac:dyDescent="0.3">
      <c r="B58" s="50"/>
      <c r="C58" s="43">
        <v>47058</v>
      </c>
      <c r="D58" s="44"/>
      <c r="E58" s="42"/>
      <c r="F58" s="44"/>
      <c r="G58" s="42"/>
      <c r="H58" s="44">
        <v>4.3536428571429475E-2</v>
      </c>
      <c r="I58" s="42">
        <v>3004669.2046264582</v>
      </c>
      <c r="J58" s="42">
        <f t="shared" si="0"/>
        <v>3004669.2046264582</v>
      </c>
    </row>
    <row r="59" spans="2:11" ht="25.5" customHeight="1" x14ac:dyDescent="0.3">
      <c r="B59" s="50"/>
      <c r="C59" s="43">
        <v>47088</v>
      </c>
      <c r="D59" s="44"/>
      <c r="E59" s="42"/>
      <c r="F59" s="44"/>
      <c r="G59" s="42"/>
      <c r="H59" s="44">
        <v>6.3361357142856067E-2</v>
      </c>
      <c r="I59" s="42">
        <v>4372887.8279054333</v>
      </c>
      <c r="J59" s="42">
        <f t="shared" si="0"/>
        <v>4372887.8279054333</v>
      </c>
    </row>
    <row r="60" spans="2:11" ht="25.5" customHeight="1" x14ac:dyDescent="0.3">
      <c r="B60" s="50"/>
      <c r="C60" s="43">
        <v>47119</v>
      </c>
      <c r="D60" s="44"/>
      <c r="E60" s="42"/>
      <c r="F60" s="44"/>
      <c r="G60" s="42"/>
      <c r="H60" s="44">
        <v>5.6181642857144387E-2</v>
      </c>
      <c r="I60" s="42">
        <v>3877379.4198856843</v>
      </c>
      <c r="J60" s="42">
        <f t="shared" si="0"/>
        <v>3877379.4198856843</v>
      </c>
    </row>
    <row r="61" spans="2:11" ht="25.5" customHeight="1" x14ac:dyDescent="0.3">
      <c r="B61" s="50"/>
      <c r="C61" s="43">
        <v>47150</v>
      </c>
      <c r="D61" s="44"/>
      <c r="E61" s="42"/>
      <c r="F61" s="44"/>
      <c r="G61" s="42"/>
      <c r="H61" s="44">
        <v>3.7056642857140942E-2</v>
      </c>
      <c r="I61" s="42">
        <v>2557466.4085505754</v>
      </c>
      <c r="J61" s="42">
        <f t="shared" si="0"/>
        <v>2557466.4085505754</v>
      </c>
    </row>
    <row r="62" spans="2:11" ht="25.5" customHeight="1" x14ac:dyDescent="0.3">
      <c r="B62" s="50"/>
      <c r="C62" s="43">
        <v>47178</v>
      </c>
      <c r="D62" s="44"/>
      <c r="E62" s="42"/>
      <c r="F62" s="44"/>
      <c r="G62" s="42"/>
      <c r="H62" s="44">
        <v>7.0308214285714876E-2</v>
      </c>
      <c r="I62" s="42">
        <v>4852325.586375704</v>
      </c>
      <c r="J62" s="42">
        <f t="shared" si="0"/>
        <v>4852325.586375704</v>
      </c>
    </row>
    <row r="63" spans="2:11" ht="25.5" customHeight="1" x14ac:dyDescent="0.3">
      <c r="B63" s="50"/>
      <c r="C63" s="43">
        <v>47209</v>
      </c>
      <c r="D63" s="44"/>
      <c r="E63" s="42"/>
      <c r="F63" s="44"/>
      <c r="G63" s="42"/>
      <c r="H63" s="44">
        <v>6.7587214285715902E-2</v>
      </c>
      <c r="I63" s="42">
        <v>4664535.6097042887</v>
      </c>
      <c r="J63" s="42">
        <f t="shared" si="0"/>
        <v>4664535.6097042887</v>
      </c>
    </row>
    <row r="64" spans="2:11" ht="25.5" customHeight="1" x14ac:dyDescent="0.3">
      <c r="B64" s="50"/>
      <c r="C64" s="43">
        <v>47239</v>
      </c>
      <c r="D64" s="44"/>
      <c r="E64" s="42"/>
      <c r="F64" s="44"/>
      <c r="G64" s="42"/>
      <c r="H64" s="44">
        <v>6.367464285714064E-2</v>
      </c>
      <c r="I64" s="42">
        <v>4394509.260091031</v>
      </c>
      <c r="J64" s="42">
        <f t="shared" si="0"/>
        <v>4394509.260091031</v>
      </c>
    </row>
    <row r="65" spans="2:10" ht="25.5" customHeight="1" x14ac:dyDescent="0.3">
      <c r="B65" s="50"/>
      <c r="C65" s="43">
        <v>47270</v>
      </c>
      <c r="D65" s="44"/>
      <c r="E65" s="42"/>
      <c r="F65" s="44"/>
      <c r="G65" s="42"/>
      <c r="H65" s="44">
        <v>6.329678571428643E-2</v>
      </c>
      <c r="I65" s="42">
        <v>4368431.4269261109</v>
      </c>
      <c r="J65" s="42">
        <f t="shared" si="0"/>
        <v>4368431.4269261109</v>
      </c>
    </row>
    <row r="66" spans="2:10" ht="25.5" customHeight="1" x14ac:dyDescent="0.3">
      <c r="B66" s="50"/>
      <c r="C66" s="43">
        <v>47300</v>
      </c>
      <c r="D66" s="44"/>
      <c r="E66" s="42"/>
      <c r="F66" s="44"/>
      <c r="G66" s="42"/>
      <c r="H66" s="44">
        <v>5.9357357142857503E-2</v>
      </c>
      <c r="I66" s="42">
        <v>4096551.5300030583</v>
      </c>
      <c r="J66" s="42">
        <f t="shared" si="0"/>
        <v>4096551.5300030583</v>
      </c>
    </row>
    <row r="67" spans="2:10" ht="25.5" customHeight="1" x14ac:dyDescent="0.3">
      <c r="B67" s="50"/>
      <c r="C67" s="43">
        <v>47331</v>
      </c>
      <c r="D67" s="44"/>
      <c r="E67" s="42"/>
      <c r="F67" s="44"/>
      <c r="G67" s="42"/>
      <c r="H67" s="44">
        <v>4.5087857142857124E-2</v>
      </c>
      <c r="I67" s="42">
        <v>3111741.1396635314</v>
      </c>
      <c r="J67" s="42">
        <f t="shared" si="0"/>
        <v>3111741.1396635314</v>
      </c>
    </row>
    <row r="68" spans="2:10" ht="25.5" customHeight="1" x14ac:dyDescent="0.3">
      <c r="B68" s="50"/>
      <c r="C68" s="43">
        <v>47362</v>
      </c>
      <c r="D68" s="44"/>
      <c r="E68" s="42"/>
      <c r="F68" s="44"/>
      <c r="G68" s="42"/>
      <c r="H68" s="44">
        <v>3.0854285714285057E-2</v>
      </c>
      <c r="I68" s="42">
        <v>2129410.3618158689</v>
      </c>
      <c r="J68" s="42">
        <f t="shared" si="0"/>
        <v>2129410.3618158689</v>
      </c>
    </row>
    <row r="69" spans="2:10" ht="25.5" customHeight="1" x14ac:dyDescent="0.3">
      <c r="B69" s="50"/>
      <c r="C69" s="43">
        <v>47392</v>
      </c>
      <c r="D69" s="44"/>
      <c r="E69" s="42"/>
      <c r="F69" s="44"/>
      <c r="G69" s="42"/>
      <c r="H69" s="44">
        <v>2.7289214285714292E-2</v>
      </c>
      <c r="I69" s="42">
        <v>1883366.7453500519</v>
      </c>
      <c r="J69" s="42">
        <f t="shared" si="0"/>
        <v>1883366.7453500519</v>
      </c>
    </row>
    <row r="70" spans="2:10" ht="25.5" customHeight="1" x14ac:dyDescent="0.3">
      <c r="B70" s="50"/>
      <c r="C70" s="43">
        <v>47423</v>
      </c>
      <c r="D70" s="44"/>
      <c r="E70" s="42"/>
      <c r="F70" s="44"/>
      <c r="G70" s="42"/>
      <c r="H70" s="44">
        <v>1.6252071428571324E-2</v>
      </c>
      <c r="I70" s="42">
        <v>1121637.6752792157</v>
      </c>
      <c r="J70" s="42">
        <f t="shared" si="0"/>
        <v>1121637.6752792157</v>
      </c>
    </row>
    <row r="71" spans="2:10" ht="25.5" customHeight="1" x14ac:dyDescent="0.3">
      <c r="B71" s="50"/>
      <c r="C71" s="43">
        <v>47453</v>
      </c>
      <c r="D71" s="44"/>
      <c r="E71" s="42"/>
      <c r="F71" s="44"/>
      <c r="G71" s="42"/>
      <c r="H71" s="44">
        <v>1.9102714285714195E-2</v>
      </c>
      <c r="I71" s="42">
        <v>1318374.9614393041</v>
      </c>
      <c r="J71" s="42">
        <f t="shared" si="0"/>
        <v>1318374.9614393041</v>
      </c>
    </row>
    <row r="72" spans="2:10" ht="25.5" customHeight="1" x14ac:dyDescent="0.3">
      <c r="B72" s="50"/>
      <c r="C72" s="43">
        <v>47484</v>
      </c>
      <c r="D72" s="44"/>
      <c r="E72" s="42"/>
      <c r="F72" s="44"/>
      <c r="G72" s="42"/>
      <c r="H72" s="44">
        <v>2.6820000000000288E-2</v>
      </c>
      <c r="I72" s="42">
        <v>1850983.8935425689</v>
      </c>
      <c r="J72" s="42">
        <f>E72+G72+I72</f>
        <v>1850983.8935425689</v>
      </c>
    </row>
    <row r="73" spans="2:10" x14ac:dyDescent="0.3">
      <c r="E73" s="69"/>
      <c r="G73" s="69"/>
      <c r="I73" s="69"/>
      <c r="J73" s="48"/>
    </row>
    <row r="74" spans="2:10" x14ac:dyDescent="0.3">
      <c r="C74" s="72"/>
      <c r="J74" s="48"/>
    </row>
    <row r="75" spans="2:10" x14ac:dyDescent="0.3">
      <c r="C75" s="72"/>
      <c r="E75" s="53">
        <v>10990</v>
      </c>
      <c r="J75" s="48"/>
    </row>
    <row r="76" spans="2:10" x14ac:dyDescent="0.3">
      <c r="E76" s="80">
        <f>E75</f>
        <v>10990</v>
      </c>
      <c r="J76" s="48"/>
    </row>
    <row r="77" spans="2:10" x14ac:dyDescent="0.3">
      <c r="J77" s="48"/>
    </row>
    <row r="78" spans="2:10" x14ac:dyDescent="0.3">
      <c r="J78" s="48"/>
    </row>
    <row r="79" spans="2:10" x14ac:dyDescent="0.3">
      <c r="J79" s="48"/>
    </row>
    <row r="80" spans="2:10" x14ac:dyDescent="0.3">
      <c r="J80" s="48"/>
    </row>
    <row r="81" spans="10:13" x14ac:dyDescent="0.3">
      <c r="J81" s="48"/>
      <c r="M81" s="53"/>
    </row>
    <row r="82" spans="10:13" x14ac:dyDescent="0.3">
      <c r="J82" s="48"/>
      <c r="M82" s="53"/>
    </row>
    <row r="83" spans="10:13" x14ac:dyDescent="0.3">
      <c r="J83" s="48"/>
    </row>
    <row r="84" spans="10:13" x14ac:dyDescent="0.3">
      <c r="J84" s="48"/>
    </row>
    <row r="85" spans="10:13" x14ac:dyDescent="0.3">
      <c r="J85" s="48"/>
    </row>
    <row r="86" spans="10:13" x14ac:dyDescent="0.3">
      <c r="J86" s="48"/>
    </row>
    <row r="87" spans="10:13" x14ac:dyDescent="0.3">
      <c r="J87" s="48"/>
    </row>
    <row r="88" spans="10:13" x14ac:dyDescent="0.3">
      <c r="J88" s="48"/>
    </row>
    <row r="89" spans="10:13" x14ac:dyDescent="0.3">
      <c r="J89" s="48"/>
    </row>
    <row r="90" spans="10:13" x14ac:dyDescent="0.3">
      <c r="J90" s="48"/>
    </row>
    <row r="91" spans="10:13" x14ac:dyDescent="0.3">
      <c r="J91" s="48"/>
    </row>
    <row r="92" spans="10:13" x14ac:dyDescent="0.3">
      <c r="J92" s="48"/>
    </row>
    <row r="93" spans="10:13" x14ac:dyDescent="0.3">
      <c r="J93" s="48"/>
    </row>
    <row r="94" spans="10:13" x14ac:dyDescent="0.3">
      <c r="J94" s="48"/>
    </row>
    <row r="95" spans="10:13" x14ac:dyDescent="0.3">
      <c r="J95" s="48"/>
    </row>
    <row r="96" spans="10:13" x14ac:dyDescent="0.3">
      <c r="J96" s="48"/>
    </row>
    <row r="97" spans="10:10" x14ac:dyDescent="0.3">
      <c r="J97" s="48"/>
    </row>
    <row r="98" spans="10:10" x14ac:dyDescent="0.3">
      <c r="J98" s="48"/>
    </row>
    <row r="99" spans="10:10" x14ac:dyDescent="0.3">
      <c r="J99" s="48"/>
    </row>
    <row r="100" spans="10:10" x14ac:dyDescent="0.3">
      <c r="J100" s="47"/>
    </row>
    <row r="101" spans="10:10" x14ac:dyDescent="0.3">
      <c r="J101" s="47"/>
    </row>
  </sheetData>
  <mergeCells count="10">
    <mergeCell ref="B51:B53"/>
    <mergeCell ref="D8:E8"/>
    <mergeCell ref="H8:I8"/>
    <mergeCell ref="F8:G8"/>
    <mergeCell ref="E3:AC4"/>
    <mergeCell ref="E5:AC5"/>
    <mergeCell ref="B10:B14"/>
    <mergeCell ref="B15:B26"/>
    <mergeCell ref="B27:B38"/>
    <mergeCell ref="B39:B50"/>
  </mergeCells>
  <printOptions horizontalCentered="1"/>
  <pageMargins left="0.47244094488188981" right="0.23622047244094491" top="0.59055118110236227" bottom="0.19685039370078741" header="0.31496062992125984" footer="0.31496062992125984"/>
  <pageSetup paperSize="8" scale="5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5</vt:i4>
      </vt:variant>
    </vt:vector>
  </HeadingPairs>
  <TitlesOfParts>
    <vt:vector size="11" baseType="lpstr">
      <vt:lpstr>Fìsico</vt:lpstr>
      <vt:lpstr>FASE_A</vt:lpstr>
      <vt:lpstr>FASE_B</vt:lpstr>
      <vt:lpstr>FASE_C</vt:lpstr>
      <vt:lpstr>TOTAL_OBRA</vt:lpstr>
      <vt:lpstr>FASE A,B,C</vt:lpstr>
      <vt:lpstr>'FASE A,B,C'!Area_de_impressao</vt:lpstr>
      <vt:lpstr>FASE_A!Area_de_impressao</vt:lpstr>
      <vt:lpstr>FASE_B!Area_de_impressao</vt:lpstr>
      <vt:lpstr>FASE_C!Area_de_impressao</vt:lpstr>
      <vt:lpstr>TOTAL_OBRA!Area_de_impressao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55479</dc:creator>
  <cp:lastModifiedBy>Luisa Romaniello</cp:lastModifiedBy>
  <cp:lastPrinted>2022-07-19T20:57:31Z</cp:lastPrinted>
  <dcterms:created xsi:type="dcterms:W3CDTF">2021-07-31T19:30:36Z</dcterms:created>
  <dcterms:modified xsi:type="dcterms:W3CDTF">2023-03-03T11:52:44Z</dcterms:modified>
</cp:coreProperties>
</file>