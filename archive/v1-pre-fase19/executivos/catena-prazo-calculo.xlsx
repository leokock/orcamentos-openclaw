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kock\Catena\04. Custo\04.1 Custo - Paramétrico\03 - Indiretos\"/>
    </mc:Choice>
  </mc:AlternateContent>
  <xr:revisionPtr revIDLastSave="0" documentId="13_ncr:1_{4128AB8A-3839-4D3F-92ED-01D8B3D04611}" xr6:coauthVersionLast="47" xr6:coauthVersionMax="47" xr10:uidLastSave="{00000000-0000-0000-0000-000000000000}"/>
  <bookViews>
    <workbookView xWindow="20370" yWindow="765" windowWidth="24240" windowHeight="13020" xr2:uid="{00000000-000D-0000-FFFF-FFFF00000000}"/>
  </bookViews>
  <sheets>
    <sheet name="CUSTOS_INDIRETOS" sheetId="6" r:id="rId1"/>
    <sheet name="a. COMPARATIVOS OBRAS" sheetId="1" r:id="rId2"/>
    <sheet name="b. Fundação" sheetId="2" r:id="rId3"/>
    <sheet name="c. Supraestrutura" sheetId="3" r:id="rId4"/>
    <sheet name="d. Fachada" sheetId="4" r:id="rId5"/>
    <sheet name="e. ESTIMATIVA PRAZO" sheetId="5" r:id="rId6"/>
  </sheets>
  <externalReferences>
    <externalReference r:id="rId7"/>
    <externalReference r:id="rId8"/>
    <externalReference r:id="rId9"/>
  </externalReferences>
  <definedNames>
    <definedName name="aa">#REF!</definedName>
    <definedName name="aaaa">'[1]M.O.'!#REF!</definedName>
    <definedName name="angelo">[2]Geral!#REF!</definedName>
    <definedName name="area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TOT">#REF!</definedName>
    <definedName name="Total">#REF!</definedName>
    <definedName name="TRP">#REF!</definedName>
    <definedName name="u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Fhjvcmofzwoce+/jnzGIlyvsyChDav/KbJyQcqYgtgM="/>
    </ext>
  </extLst>
</workbook>
</file>

<file path=xl/calcChain.xml><?xml version="1.0" encoding="utf-8"?>
<calcChain xmlns="http://schemas.openxmlformats.org/spreadsheetml/2006/main">
  <c r="G51" i="6" l="1"/>
  <c r="I50" i="3" l="1"/>
  <c r="H54" i="6" l="1"/>
  <c r="I54" i="6"/>
  <c r="J54" i="6"/>
  <c r="K54" i="6"/>
  <c r="L54" i="6"/>
  <c r="G54" i="6"/>
  <c r="C9" i="4" l="1"/>
  <c r="C40" i="3" l="1"/>
  <c r="F15" i="3"/>
  <c r="D15" i="3"/>
  <c r="H15" i="3" s="1"/>
  <c r="F14" i="3"/>
  <c r="D14" i="3"/>
  <c r="H14" i="3" s="1"/>
  <c r="J14" i="3" s="1"/>
  <c r="F13" i="3"/>
  <c r="D13" i="3"/>
  <c r="H13" i="3" s="1"/>
  <c r="F12" i="3"/>
  <c r="D12" i="3"/>
  <c r="H12" i="3" s="1"/>
  <c r="F11" i="3"/>
  <c r="D11" i="3"/>
  <c r="H11" i="3" s="1"/>
  <c r="J11" i="3" s="1"/>
  <c r="F10" i="3"/>
  <c r="D10" i="3"/>
  <c r="H10" i="3" s="1"/>
  <c r="J13" i="3" l="1"/>
  <c r="I13" i="3"/>
  <c r="J12" i="3"/>
  <c r="I12" i="3"/>
  <c r="J15" i="3"/>
  <c r="I15" i="3"/>
  <c r="J10" i="3"/>
  <c r="I10" i="3"/>
  <c r="I14" i="3"/>
  <c r="K14" i="3" s="1"/>
  <c r="I11" i="3"/>
  <c r="K11" i="3" s="1"/>
  <c r="K13" i="3" l="1"/>
  <c r="K15" i="3"/>
  <c r="K10" i="3"/>
  <c r="K12" i="3"/>
  <c r="G60" i="6" l="1"/>
  <c r="I59" i="6"/>
  <c r="I58" i="6"/>
  <c r="I55" i="6"/>
  <c r="J23" i="6"/>
  <c r="K22" i="6"/>
  <c r="I19" i="6"/>
  <c r="H18" i="6"/>
  <c r="G16" i="6"/>
  <c r="I16" i="6" l="1"/>
  <c r="G18" i="6"/>
  <c r="K23" i="6"/>
  <c r="H22" i="6"/>
  <c r="L23" i="6"/>
  <c r="I22" i="6"/>
  <c r="G58" i="6"/>
  <c r="G22" i="6"/>
  <c r="L22" i="6"/>
  <c r="H58" i="6"/>
  <c r="I18" i="6"/>
  <c r="G23" i="6"/>
  <c r="G59" i="6"/>
  <c r="J19" i="6"/>
  <c r="H23" i="6"/>
  <c r="K19" i="6"/>
  <c r="I23" i="6"/>
  <c r="H59" i="6"/>
  <c r="L19" i="6"/>
  <c r="H57" i="6"/>
  <c r="G57" i="6"/>
  <c r="I57" i="6"/>
  <c r="I56" i="6"/>
  <c r="H56" i="6"/>
  <c r="G56" i="6"/>
  <c r="H16" i="6"/>
  <c r="G55" i="6"/>
  <c r="G17" i="6"/>
  <c r="H55" i="6"/>
  <c r="L17" i="6"/>
  <c r="J18" i="6"/>
  <c r="K17" i="6"/>
  <c r="K18" i="6"/>
  <c r="J17" i="6"/>
  <c r="L18" i="6"/>
  <c r="I17" i="6"/>
  <c r="G19" i="6"/>
  <c r="H17" i="6"/>
  <c r="H19" i="6"/>
  <c r="J22" i="6"/>
  <c r="G52" i="6"/>
  <c r="I12" i="6" l="1"/>
  <c r="J12" i="6"/>
  <c r="L12" i="6"/>
  <c r="G12" i="6"/>
  <c r="K12" i="6"/>
  <c r="H12" i="6"/>
  <c r="F9" i="4"/>
  <c r="G9" i="4" s="1"/>
  <c r="F16" i="3"/>
  <c r="F17" i="3"/>
  <c r="F18" i="3"/>
  <c r="F19" i="3"/>
  <c r="F20" i="3"/>
  <c r="F21" i="3"/>
  <c r="F22" i="3"/>
  <c r="D21" i="3"/>
  <c r="H21" i="3" s="1"/>
  <c r="J21" i="3" s="1"/>
  <c r="D20" i="3"/>
  <c r="H20" i="3" s="1"/>
  <c r="I20" i="3" s="1"/>
  <c r="D19" i="3"/>
  <c r="H19" i="3" s="1"/>
  <c r="J19" i="3" s="1"/>
  <c r="D18" i="3"/>
  <c r="H18" i="3" s="1"/>
  <c r="J18" i="3" s="1"/>
  <c r="D17" i="3"/>
  <c r="H17" i="3" s="1"/>
  <c r="I17" i="3" s="1"/>
  <c r="D16" i="3"/>
  <c r="H16" i="3" s="1"/>
  <c r="I16" i="3" s="1"/>
  <c r="D33" i="3"/>
  <c r="H33" i="3" s="1"/>
  <c r="I33" i="3" s="1"/>
  <c r="D32" i="3"/>
  <c r="H32" i="3" s="1"/>
  <c r="D31" i="3"/>
  <c r="H31" i="3" s="1"/>
  <c r="J31" i="3" s="1"/>
  <c r="D30" i="3"/>
  <c r="H30" i="3" s="1"/>
  <c r="D29" i="3"/>
  <c r="H29" i="3" s="1"/>
  <c r="I29" i="3" s="1"/>
  <c r="D28" i="3"/>
  <c r="H28" i="3" s="1"/>
  <c r="D27" i="3"/>
  <c r="H27" i="3" s="1"/>
  <c r="J27" i="3" s="1"/>
  <c r="D26" i="3"/>
  <c r="H26" i="3" s="1"/>
  <c r="D25" i="3"/>
  <c r="H25" i="3" s="1"/>
  <c r="I25" i="3" s="1"/>
  <c r="D24" i="3"/>
  <c r="H24" i="3" s="1"/>
  <c r="D23" i="3"/>
  <c r="H23" i="3" s="1"/>
  <c r="J23" i="3" s="1"/>
  <c r="D22" i="3"/>
  <c r="H22" i="3" s="1"/>
  <c r="J22" i="3" s="1"/>
  <c r="D34" i="3"/>
  <c r="H34" i="3" s="1"/>
  <c r="C19" i="5"/>
  <c r="C21" i="5" s="1"/>
  <c r="B21" i="5" s="1"/>
  <c r="D13" i="5"/>
  <c r="D12" i="5"/>
  <c r="D10" i="5"/>
  <c r="D7" i="5"/>
  <c r="E13" i="4"/>
  <c r="E12" i="4"/>
  <c r="F11" i="4"/>
  <c r="G11" i="4" s="1"/>
  <c r="F10" i="4"/>
  <c r="G10" i="4" s="1"/>
  <c r="F8" i="4"/>
  <c r="G8" i="4" s="1"/>
  <c r="F7" i="4"/>
  <c r="G7" i="4" s="1"/>
  <c r="G41" i="3"/>
  <c r="I41" i="3" s="1"/>
  <c r="C9" i="5" s="1"/>
  <c r="F39" i="3"/>
  <c r="D39" i="3"/>
  <c r="H39" i="3" s="1"/>
  <c r="J39" i="3" s="1"/>
  <c r="F38" i="3"/>
  <c r="D38" i="3"/>
  <c r="H38" i="3" s="1"/>
  <c r="F37" i="3"/>
  <c r="D37" i="3"/>
  <c r="H37" i="3" s="1"/>
  <c r="I37" i="3" s="1"/>
  <c r="F36" i="3"/>
  <c r="D36" i="3"/>
  <c r="H36" i="3" s="1"/>
  <c r="F35" i="3"/>
  <c r="D35" i="3"/>
  <c r="H35" i="3" s="1"/>
  <c r="J35" i="3" s="1"/>
  <c r="F34" i="3"/>
  <c r="F33" i="3"/>
  <c r="F32" i="3"/>
  <c r="F31" i="3"/>
  <c r="F30" i="3"/>
  <c r="F29" i="3"/>
  <c r="F28" i="3"/>
  <c r="F27" i="3"/>
  <c r="F26" i="3"/>
  <c r="F25" i="3"/>
  <c r="F24" i="3"/>
  <c r="F23" i="3"/>
  <c r="F9" i="3"/>
  <c r="D9" i="3"/>
  <c r="H9" i="3" s="1"/>
  <c r="I9" i="3" s="1"/>
  <c r="F8" i="3"/>
  <c r="D8" i="3"/>
  <c r="H8" i="3" s="1"/>
  <c r="J17" i="2"/>
  <c r="I17" i="2"/>
  <c r="H17" i="2"/>
  <c r="E10" i="2"/>
  <c r="F10" i="2" s="1"/>
  <c r="G10" i="2" s="1"/>
  <c r="H10" i="2" s="1"/>
  <c r="G8" i="6" l="1"/>
  <c r="I22" i="3"/>
  <c r="J17" i="3"/>
  <c r="K17" i="3" s="1"/>
  <c r="J16" i="3"/>
  <c r="K16" i="3" s="1"/>
  <c r="I19" i="3"/>
  <c r="K19" i="3" s="1"/>
  <c r="I18" i="3"/>
  <c r="K18" i="3" s="1"/>
  <c r="J20" i="3"/>
  <c r="K20" i="3" s="1"/>
  <c r="I21" i="3"/>
  <c r="K21" i="3" s="1"/>
  <c r="C17" i="5"/>
  <c r="K17" i="2"/>
  <c r="K18" i="2" s="1"/>
  <c r="E14" i="4"/>
  <c r="G14" i="4" s="1"/>
  <c r="C11" i="5" s="1"/>
  <c r="C16" i="5" s="1"/>
  <c r="J28" i="3"/>
  <c r="I28" i="3"/>
  <c r="I38" i="3"/>
  <c r="J38" i="3"/>
  <c r="I32" i="3"/>
  <c r="J32" i="3"/>
  <c r="I26" i="3"/>
  <c r="J26" i="3"/>
  <c r="J8" i="3"/>
  <c r="I8" i="3"/>
  <c r="J36" i="3"/>
  <c r="I36" i="3"/>
  <c r="I30" i="3"/>
  <c r="J30" i="3"/>
  <c r="J24" i="3"/>
  <c r="I24" i="3"/>
  <c r="I34" i="3"/>
  <c r="J34" i="3"/>
  <c r="C15" i="5"/>
  <c r="J9" i="3"/>
  <c r="K9" i="3" s="1"/>
  <c r="J25" i="3"/>
  <c r="K25" i="3" s="1"/>
  <c r="J29" i="3"/>
  <c r="K29" i="3" s="1"/>
  <c r="J33" i="3"/>
  <c r="K33" i="3" s="1"/>
  <c r="J37" i="3"/>
  <c r="K37" i="3" s="1"/>
  <c r="I23" i="3"/>
  <c r="K23" i="3" s="1"/>
  <c r="I27" i="3"/>
  <c r="K27" i="3" s="1"/>
  <c r="I31" i="3"/>
  <c r="K31" i="3" s="1"/>
  <c r="I35" i="3"/>
  <c r="K35" i="3" s="1"/>
  <c r="I39" i="3"/>
  <c r="K39" i="3" s="1"/>
  <c r="L18" i="2" l="1"/>
  <c r="C8" i="5" s="1"/>
  <c r="K32" i="3"/>
  <c r="K22" i="3"/>
  <c r="L17" i="2"/>
  <c r="K26" i="3"/>
  <c r="K36" i="3"/>
  <c r="K34" i="3"/>
  <c r="K8" i="3"/>
  <c r="K24" i="3"/>
  <c r="K30" i="3"/>
  <c r="K38" i="3"/>
  <c r="K28" i="3"/>
  <c r="G7" i="6" l="1"/>
  <c r="H7" i="6" s="1"/>
  <c r="H8" i="6" s="1"/>
  <c r="I8" i="6" s="1"/>
  <c r="M10" i="6" s="1"/>
  <c r="I11" i="6" l="1"/>
  <c r="I10" i="6" s="1"/>
  <c r="G11" i="6"/>
  <c r="G10" i="6" s="1"/>
  <c r="H11" i="6"/>
  <c r="H10" i="6" s="1"/>
  <c r="K11" i="6"/>
  <c r="K10" i="6" s="1"/>
  <c r="L11" i="6"/>
  <c r="L10" i="6" s="1"/>
  <c r="J11" i="6"/>
  <c r="J10" i="6" s="1"/>
  <c r="J8" i="6" l="1"/>
  <c r="L7" i="6"/>
</calcChain>
</file>

<file path=xl/sharedStrings.xml><?xml version="1.0" encoding="utf-8"?>
<sst xmlns="http://schemas.openxmlformats.org/spreadsheetml/2006/main" count="589" uniqueCount="332">
  <si>
    <t>COMPARATIVO DE PRAZO DE OBRAS SEMELHANTES</t>
  </si>
  <si>
    <t>OBRA 1</t>
  </si>
  <si>
    <t>OBRA 2</t>
  </si>
  <si>
    <t>OBRA 3</t>
  </si>
  <si>
    <t>OBRA PARAMÉTRICO</t>
  </si>
  <si>
    <t>DURAÇÃO</t>
  </si>
  <si>
    <t xml:space="preserve">Linha de base: </t>
  </si>
  <si>
    <t>-- meses</t>
  </si>
  <si>
    <t>Meta:</t>
  </si>
  <si>
    <t>ESPECIFICAÇÕES DE PROJETO</t>
  </si>
  <si>
    <t>Área Total</t>
  </si>
  <si>
    <t xml:space="preserve">área/pav embasamento = </t>
  </si>
  <si>
    <t>aprox --- m²</t>
  </si>
  <si>
    <t xml:space="preserve">área/pav tipo = </t>
  </si>
  <si>
    <t xml:space="preserve"> Nº PAVIMENTOS</t>
  </si>
  <si>
    <t>--</t>
  </si>
  <si>
    <t>ESPECIFICAÇÕES DE PAVIMENTOS</t>
  </si>
  <si>
    <t>1º - térreo</t>
  </si>
  <si>
    <t>2º ao 4º - 3 pavs garagem</t>
  </si>
  <si>
    <t>5º Lazer</t>
  </si>
  <si>
    <t xml:space="preserve">6º  - Tipo Dif </t>
  </si>
  <si>
    <t>7º ao 20º - Tipo</t>
  </si>
  <si>
    <t>Técnicos</t>
  </si>
  <si>
    <t>DIMENSIONAMENTO DE PRAZO - FUNDAÇÃO PROFUNDA, BLOCOS E BALDRAMES</t>
  </si>
  <si>
    <t>Estacas Hélice Contínua</t>
  </si>
  <si>
    <t>Estacas</t>
  </si>
  <si>
    <t>Etapa</t>
  </si>
  <si>
    <t>Quantidade</t>
  </si>
  <si>
    <t>Profundidade (m)</t>
  </si>
  <si>
    <t>Total (m)</t>
  </si>
  <si>
    <t>Duração (Dias)</t>
  </si>
  <si>
    <t>Total (dias)</t>
  </si>
  <si>
    <t>Meses</t>
  </si>
  <si>
    <t>Fase 1</t>
  </si>
  <si>
    <t>Índice (m/dia)</t>
  </si>
  <si>
    <t>Coeficiente de chuva</t>
  </si>
  <si>
    <t>Forma (m²)</t>
  </si>
  <si>
    <t>Concreto (m³)</t>
  </si>
  <si>
    <t>Aço (Kg)</t>
  </si>
  <si>
    <t>Armador</t>
  </si>
  <si>
    <t>Carpinteiro</t>
  </si>
  <si>
    <t>Formas (Dias)</t>
  </si>
  <si>
    <t>Armação (dias)</t>
  </si>
  <si>
    <t>Concreto (dias)</t>
  </si>
  <si>
    <t>Duração Total</t>
  </si>
  <si>
    <t>Blocos e Baldrames</t>
  </si>
  <si>
    <t>Montagem de formas (Hh/m²):</t>
  </si>
  <si>
    <t>Concretagem (h/m³):</t>
  </si>
  <si>
    <t>RUP Armação (Hh/kg)</t>
  </si>
  <si>
    <t>DIMENSIONAMENTO DE PRAZO - SUPRAESTRUTURA</t>
  </si>
  <si>
    <t>Pavimento</t>
  </si>
  <si>
    <t>Área do Pavimento</t>
  </si>
  <si>
    <t>RUP (Hh/m²)</t>
  </si>
  <si>
    <t>RUP (m²/dia)</t>
  </si>
  <si>
    <t>Duração</t>
  </si>
  <si>
    <t>Servente</t>
  </si>
  <si>
    <t>Total Equipe</t>
  </si>
  <si>
    <t>FATOR MULT (X)</t>
  </si>
  <si>
    <t>Total Dias</t>
  </si>
  <si>
    <t>Total Meses</t>
  </si>
  <si>
    <t>RUP</t>
  </si>
  <si>
    <t>Garagens</t>
  </si>
  <si>
    <t>Lazer</t>
  </si>
  <si>
    <t>Tipo Dif</t>
  </si>
  <si>
    <t>Tipo</t>
  </si>
  <si>
    <t>DIMENSIONAMENTO DE PRAZO - FACHADA</t>
  </si>
  <si>
    <t>Serviço</t>
  </si>
  <si>
    <t>Quant (m²)</t>
  </si>
  <si>
    <t>Dias</t>
  </si>
  <si>
    <t>Profissional</t>
  </si>
  <si>
    <t>Chapisco</t>
  </si>
  <si>
    <t>Reboco</t>
  </si>
  <si>
    <t>Selador</t>
  </si>
  <si>
    <t>Textura</t>
  </si>
  <si>
    <t>Pastilha Cerâmica</t>
  </si>
  <si>
    <t>Preparação</t>
  </si>
  <si>
    <t>-</t>
  </si>
  <si>
    <t>Balancim</t>
  </si>
  <si>
    <t>ESTIMATIVA DE PRAZO</t>
  </si>
  <si>
    <t>DIVISÃO DE CUSTOS PARA CURVAS</t>
  </si>
  <si>
    <t>Prazo</t>
  </si>
  <si>
    <t>SERVIÇOS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</si>
  <si>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</si>
  <si>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</si>
  <si>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</si>
  <si>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</si>
  <si>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</si>
  <si>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</si>
  <si>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</si>
  <si>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</si>
  <si>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</si>
  <si>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</si>
  <si>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</si>
  <si>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</si>
  <si>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</si>
  <si>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</si>
  <si>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</si>
  <si>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</si>
  <si>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</si>
  <si>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</si>
  <si>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</si>
  <si>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</si>
  <si>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</si>
  <si>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</si>
  <si>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</si>
  <si>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</si>
  <si>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</si>
  <si>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</si>
  <si>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</si>
  <si>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</si>
  <si>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</si>
  <si>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</si>
  <si>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</si>
  <si>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</si>
  <si>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</si>
  <si>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</si>
  <si>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</si>
  <si>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</si>
  <si>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</si>
  <si>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</si>
  <si>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</si>
  <si>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</si>
  <si>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SERVIÇOS ORÇAMENTO</t>
  </si>
  <si>
    <t>SERVIÇO PLANEJAMENTO</t>
  </si>
  <si>
    <t>Iniciais</t>
  </si>
  <si>
    <t>MOVIMENTAÇÃO DE TERRA</t>
  </si>
  <si>
    <t>Infra</t>
  </si>
  <si>
    <t>Dimensionamento de Fundações</t>
  </si>
  <si>
    <t>INFRAESTRUTURA</t>
  </si>
  <si>
    <t>Supra</t>
  </si>
  <si>
    <t>Dimensionamento de Supraestrutura</t>
  </si>
  <si>
    <t>SUPRAESTRUTURA</t>
  </si>
  <si>
    <t>Alvenaria (3 meses após supra)</t>
  </si>
  <si>
    <t>Alvenaria</t>
  </si>
  <si>
    <t>ALVENARIA</t>
  </si>
  <si>
    <t>Fachada</t>
  </si>
  <si>
    <t>Dimensionamento de fachada</t>
  </si>
  <si>
    <t>INSTALAÇÕES ELÉTRICAS, HIDRÁULICAS, GLP E PREVENTIVAS</t>
  </si>
  <si>
    <t>Acabamentos</t>
  </si>
  <si>
    <t>EQUIPAMENTOS E SISTEMAS ESPECIAIS</t>
  </si>
  <si>
    <t>Serviços Finais</t>
  </si>
  <si>
    <t>IMPERMEABILIZAÇÃO</t>
  </si>
  <si>
    <t>REVESTIMENTOS INTERNOS EM PISO E PAREDE</t>
  </si>
  <si>
    <t>Grua</t>
  </si>
  <si>
    <t>Prazo de supra + 1 mês</t>
  </si>
  <si>
    <t>REVESTIMENTOS E ACABAMENTOS INTERNOS EM TETO</t>
  </si>
  <si>
    <t>Prazo de Fachada + 1 mês</t>
  </si>
  <si>
    <t>Cremalheira</t>
  </si>
  <si>
    <t>Montada no 3º pavimento de supraestrutura, desmontada após a instalação do elevador da obra</t>
  </si>
  <si>
    <t>ACABAMENTOS EM PISO E PAREDE</t>
  </si>
  <si>
    <t>PINTURA INTERNA</t>
  </si>
  <si>
    <t>Preparação do Fosso do elevador</t>
  </si>
  <si>
    <t>ESQUADRIAS, VIDROS E FERRAGENS</t>
  </si>
  <si>
    <t>Montagem Elevador</t>
  </si>
  <si>
    <t>COBERTURA</t>
  </si>
  <si>
    <t>REVESTIMENTOS E ACABAMENTOS DE FACHADA</t>
  </si>
  <si>
    <t>SERVIÇOS COMPLEMENTARES</t>
  </si>
  <si>
    <t>Terreo</t>
  </si>
  <si>
    <t>Garagem 2</t>
  </si>
  <si>
    <t>Garagem 3</t>
  </si>
  <si>
    <t>Casa de maquinas</t>
  </si>
  <si>
    <t>Reservatorio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</si>
  <si>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</si>
  <si>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</si>
  <si>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</si>
  <si>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</si>
  <si>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</si>
  <si>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</si>
  <si>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</si>
  <si>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</si>
  <si>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</si>
  <si>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</si>
  <si>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</si>
  <si>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</si>
  <si>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</si>
  <si>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</si>
  <si>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Garagem 4</t>
  </si>
  <si>
    <t>Garagem 1</t>
  </si>
  <si>
    <t>Cubeta protendidas, como no connect</t>
  </si>
  <si>
    <t>ORÇAMENTO PARAMÉTRICO - CUSTOS INDIRETOS</t>
  </si>
  <si>
    <t>Cliente</t>
  </si>
  <si>
    <t>Obra</t>
  </si>
  <si>
    <t>Data</t>
  </si>
  <si>
    <t>Versão</t>
  </si>
  <si>
    <t>GERENCIAMENTO TÉCNICO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</si>
  <si>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</si>
  <si>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</si>
  <si>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</si>
  <si>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</si>
  <si>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</si>
  <si>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</si>
  <si>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</si>
  <si>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</si>
  <si>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</si>
  <si>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</si>
  <si>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</si>
  <si>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</si>
  <si>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</si>
  <si>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</si>
  <si>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</si>
  <si>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</si>
  <si>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</si>
  <si>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</si>
  <si>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</si>
  <si>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</si>
  <si>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</si>
  <si>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</si>
  <si>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</si>
  <si>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</si>
  <si>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</si>
  <si>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</si>
  <si>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</si>
  <si>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</si>
  <si>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</si>
  <si>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</si>
  <si>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</si>
  <si>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</si>
  <si>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</si>
  <si>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</si>
  <si>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</si>
  <si>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</si>
  <si>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</si>
  <si>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</si>
  <si>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m</t>
  </si>
  <si>
    <t>02.001.002.002</t>
  </si>
  <si>
    <t>Bandeja de proteção secundária</t>
  </si>
  <si>
    <t>02.001.002.003</t>
  </si>
  <si>
    <t>Guarda corpo em laje pós - desforma</t>
  </si>
  <si>
    <t>02.001.002.004</t>
  </si>
  <si>
    <t>Fechamento removível de vãos de porta de elevador em madeira</t>
  </si>
  <si>
    <t>m2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</si>
  <si>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</si>
  <si>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</si>
  <si>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</si>
  <si>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</si>
  <si>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</si>
  <si>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</si>
  <si>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</si>
  <si>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</si>
  <si>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</si>
  <si>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</si>
  <si>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</si>
  <si>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</si>
  <si>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</si>
  <si>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</si>
  <si>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</si>
  <si>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</si>
  <si>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</si>
  <si>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02.002.001.002</t>
  </si>
  <si>
    <t>Mestre Geral</t>
  </si>
  <si>
    <t>02.002.001.003</t>
  </si>
  <si>
    <t>Almoxarife</t>
  </si>
  <si>
    <t>02.002.001.005</t>
  </si>
  <si>
    <t>Estagiário de Engenharia</t>
  </si>
  <si>
    <t>02.002.001.006</t>
  </si>
  <si>
    <t>Operador de Guincho</t>
  </si>
  <si>
    <t>02.002.001.007</t>
  </si>
  <si>
    <t>Equipe de apoio</t>
  </si>
  <si>
    <t>02.002.001.008</t>
  </si>
  <si>
    <t>Serviço de vigilância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</si>
  <si>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</si>
  <si>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</si>
  <si>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</si>
  <si>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</si>
  <si>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</si>
  <si>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</si>
  <si>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</si>
  <si>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</si>
  <si>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</si>
  <si>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Instalações de canteiro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</si>
  <si>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</si>
  <si>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</si>
  <si>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</si>
  <si>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</si>
  <si>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</si>
  <si>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</si>
  <si>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</si>
  <si>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</si>
  <si>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</si>
  <si>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</si>
  <si>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</si>
  <si>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</si>
  <si>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</si>
  <si>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</si>
  <si>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</si>
  <si>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</si>
  <si>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</si>
  <si>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</si>
  <si>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</si>
  <si>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Condutor de Entulho-Aquisição</t>
  </si>
  <si>
    <t>02.003.001.003</t>
  </si>
  <si>
    <t>Locação de elevador cremalheira</t>
  </si>
  <si>
    <t>02.003.001.004</t>
  </si>
  <si>
    <t>Montagem e desmontagem de elevador cremalheira</t>
  </si>
  <si>
    <t>02.003.001.005</t>
  </si>
  <si>
    <t>Mobilização e desmobilização de elevador cremalheira</t>
  </si>
  <si>
    <t>02.003.001.006</t>
  </si>
  <si>
    <t>02.003.001.007</t>
  </si>
  <si>
    <t>02.003.001.008</t>
  </si>
  <si>
    <t>02.003.002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</si>
  <si>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</si>
  <si>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</si>
  <si>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</si>
  <si>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</si>
  <si>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</si>
  <si>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</si>
  <si>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</si>
  <si>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Gurada-corpo de vãos com régua de pinus 2,5x15cm</t>
  </si>
  <si>
    <t>Manutenção Periódica</t>
  </si>
  <si>
    <t>02.003.001.009</t>
  </si>
  <si>
    <t>02.003.001.010</t>
  </si>
  <si>
    <t>Operador de Grua</t>
  </si>
  <si>
    <t>Operador de Cremalheira</t>
  </si>
  <si>
    <t>02.002.001.004</t>
  </si>
  <si>
    <t>02.002.001.009</t>
  </si>
  <si>
    <t>Não temos imagem do Catena não sabemos quais serão as decorações da fachada, portanto consideramos similares ao Zapata esse da foto.
Consideramos no embasamento Brise e ACM, e apara torre essa parte marron consideramos também para o Catena um pastilha.</t>
  </si>
  <si>
    <t>Ckock</t>
  </si>
  <si>
    <t>CATENA</t>
  </si>
  <si>
    <t>R00</t>
  </si>
  <si>
    <t>Catena</t>
  </si>
  <si>
    <t>Sugestão CTN</t>
  </si>
  <si>
    <t>Área</t>
  </si>
  <si>
    <t>Zapata</t>
  </si>
  <si>
    <t>Cálculo médio</t>
  </si>
  <si>
    <t>x</t>
  </si>
  <si>
    <t>M55</t>
  </si>
  <si>
    <t>02.002.002.002</t>
  </si>
  <si>
    <t>Demolições</t>
  </si>
  <si>
    <t>VB</t>
  </si>
  <si>
    <t>Locação de de grua</t>
  </si>
  <si>
    <t>Montagem e Desmontagem de grua</t>
  </si>
  <si>
    <t>Mobilização e desmobilização de grua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</si>
</sst>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Poppins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Poppins"/>
    </font>
    <font>
      <b/>
      <sz val="10"/>
      <color rgb="FFFFFFFF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sz val="11"/>
      <color theme="1"/>
      <name val="Arial"/>
      <family val="2"/>
    </font>
    <font>
      <sz val="12"/>
      <color theme="1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11"/>
      <color theme="1"/>
      <name val="Poppins"/>
    </font>
    <font>
      <sz val="9"/>
      <color rgb="FF000000"/>
      <name val="Poppins"/>
    </font>
    <font>
      <sz val="9"/>
      <color rgb="FFFF0000"/>
      <name val="Poppins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Calibri"/>
      <scheme val="minor"/>
    </font>
    <font>
      <b/>
      <sz val="10"/>
      <color theme="1"/>
      <name val="Roboto"/>
    </font>
  </fonts>
  <fills count="20">
    <fill>
      <patternFill patternType="none"/>
    </fill>
    <fill>
      <patternFill patternType="gray125"/>
    </fill>
    <fill>
      <patternFill patternType="solid">
        <fgColor rgb="FFFC3400"/>
        <bgColor rgb="FFFC3400"/>
      </patternFill>
    </fill>
    <fill>
      <patternFill patternType="solid">
        <fgColor theme="1"/>
        <bgColor theme="1"/>
      </patternFill>
    </fill>
    <fill>
      <patternFill patternType="solid">
        <fgColor rgb="FF255AE5"/>
        <bgColor rgb="FF255AE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CDCDC"/>
        <bgColor rgb="FFDCDCD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121212"/>
      </patternFill>
    </fill>
    <fill>
      <patternFill patternType="solid">
        <fgColor rgb="FFFE3400"/>
        <bgColor rgb="FFFE34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EABAB"/>
      </left>
      <right/>
      <top style="thin">
        <color rgb="FFBFBFBF"/>
      </top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8" fillId="0" borderId="0" applyFont="0" applyFill="0" applyBorder="0" applyAlignment="0" applyProtection="0"/>
    <xf numFmtId="0" fontId="1" fillId="0" borderId="0"/>
  </cellStyleXfs>
  <cellXfs count="21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6" fillId="4" borderId="4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2" fillId="0" borderId="11" xfId="0" applyFont="1" applyBorder="1"/>
    <xf numFmtId="0" fontId="12" fillId="5" borderId="11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2" fontId="13" fillId="6" borderId="16" xfId="0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0" xfId="0" applyFont="1" applyBorder="1"/>
    <xf numFmtId="0" fontId="12" fillId="5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3" fillId="6" borderId="1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2" fontId="13" fillId="6" borderId="18" xfId="0" applyNumberFormat="1" applyFont="1" applyFill="1" applyBorder="1" applyAlignment="1">
      <alignment horizontal="center" vertical="center"/>
    </xf>
    <xf numFmtId="0" fontId="13" fillId="0" borderId="13" xfId="0" applyFont="1" applyBorder="1"/>
    <xf numFmtId="2" fontId="12" fillId="0" borderId="15" xfId="0" applyNumberFormat="1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12" fillId="0" borderId="12" xfId="0" applyNumberFormat="1" applyFont="1" applyBorder="1" applyAlignment="1">
      <alignment horizontal="center"/>
    </xf>
    <xf numFmtId="10" fontId="12" fillId="0" borderId="0" xfId="0" applyNumberFormat="1" applyFont="1"/>
    <xf numFmtId="0" fontId="9" fillId="0" borderId="0" xfId="0" applyFont="1" applyAlignment="1">
      <alignment vertical="center"/>
    </xf>
    <xf numFmtId="0" fontId="14" fillId="0" borderId="0" xfId="0" applyFont="1"/>
    <xf numFmtId="0" fontId="9" fillId="0" borderId="19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4" fillId="0" borderId="6" xfId="0" applyFont="1" applyBorder="1"/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11" xfId="0" applyFont="1" applyBorder="1"/>
    <xf numFmtId="0" fontId="12" fillId="0" borderId="0" xfId="0" applyFont="1" applyAlignment="1">
      <alignment vertical="center"/>
    </xf>
    <xf numFmtId="0" fontId="13" fillId="0" borderId="0" xfId="0" applyFont="1"/>
    <xf numFmtId="0" fontId="15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/>
    </xf>
    <xf numFmtId="164" fontId="13" fillId="0" borderId="22" xfId="0" applyNumberFormat="1" applyFont="1" applyBorder="1" applyAlignment="1">
      <alignment horizontal="center"/>
    </xf>
    <xf numFmtId="2" fontId="13" fillId="6" borderId="23" xfId="0" applyNumberFormat="1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9" fillId="0" borderId="0" xfId="0" applyNumberFormat="1" applyFont="1"/>
    <xf numFmtId="0" fontId="12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2" fontId="13" fillId="0" borderId="15" xfId="0" applyNumberFormat="1" applyFont="1" applyBorder="1" applyAlignment="1">
      <alignment horizontal="center"/>
    </xf>
    <xf numFmtId="2" fontId="13" fillId="6" borderId="24" xfId="0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7" borderId="26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3" fillId="10" borderId="26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2" fontId="12" fillId="5" borderId="11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164" fontId="13" fillId="0" borderId="4" xfId="0" applyNumberFormat="1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/>
    </xf>
    <xf numFmtId="0" fontId="12" fillId="5" borderId="26" xfId="0" applyFont="1" applyFill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0" fontId="7" fillId="0" borderId="0" xfId="0" applyFont="1"/>
    <xf numFmtId="0" fontId="9" fillId="11" borderId="27" xfId="0" applyFont="1" applyFill="1" applyBorder="1" applyAlignment="1">
      <alignment horizontal="left" vertical="center"/>
    </xf>
    <xf numFmtId="0" fontId="9" fillId="7" borderId="28" xfId="0" applyFont="1" applyFill="1" applyBorder="1" applyAlignment="1">
      <alignment horizontal="left" vertical="center"/>
    </xf>
    <xf numFmtId="0" fontId="9" fillId="11" borderId="28" xfId="0" applyFont="1" applyFill="1" applyBorder="1" applyAlignment="1">
      <alignment horizontal="left" vertical="center"/>
    </xf>
    <xf numFmtId="0" fontId="9" fillId="11" borderId="29" xfId="0" applyFont="1" applyFill="1" applyBorder="1" applyAlignment="1">
      <alignment horizontal="left" vertical="center"/>
    </xf>
    <xf numFmtId="0" fontId="13" fillId="7" borderId="30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9" fillId="11" borderId="31" xfId="0" applyFont="1" applyFill="1" applyBorder="1" applyAlignment="1">
      <alignment horizontal="left" vertical="center"/>
    </xf>
    <xf numFmtId="0" fontId="9" fillId="7" borderId="31" xfId="0" applyFont="1" applyFill="1" applyBorder="1" applyAlignment="1">
      <alignment horizontal="left" vertical="center"/>
    </xf>
    <xf numFmtId="0" fontId="13" fillId="7" borderId="32" xfId="0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left" vertical="center"/>
    </xf>
    <xf numFmtId="0" fontId="9" fillId="7" borderId="33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3" fillId="12" borderId="22" xfId="0" applyFont="1" applyFill="1" applyBorder="1" applyAlignment="1">
      <alignment horizontal="center"/>
    </xf>
    <xf numFmtId="0" fontId="9" fillId="12" borderId="0" xfId="0" applyFont="1" applyFill="1"/>
    <xf numFmtId="0" fontId="20" fillId="0" borderId="0" xfId="2" applyFont="1" applyAlignment="1">
      <alignment vertical="center"/>
    </xf>
    <xf numFmtId="0" fontId="1" fillId="0" borderId="0" xfId="2"/>
    <xf numFmtId="49" fontId="21" fillId="0" borderId="0" xfId="2" applyNumberFormat="1" applyFont="1" applyAlignment="1">
      <alignment vertical="center"/>
    </xf>
    <xf numFmtId="0" fontId="21" fillId="13" borderId="0" xfId="2" applyFont="1" applyFill="1" applyAlignment="1">
      <alignment vertical="center"/>
    </xf>
    <xf numFmtId="164" fontId="21" fillId="13" borderId="0" xfId="2" applyNumberFormat="1" applyFont="1" applyFill="1" applyAlignment="1">
      <alignment vertical="center"/>
    </xf>
    <xf numFmtId="164" fontId="21" fillId="13" borderId="0" xfId="2" applyNumberFormat="1" applyFont="1" applyFill="1" applyAlignment="1">
      <alignment horizontal="center" vertical="center"/>
    </xf>
    <xf numFmtId="49" fontId="22" fillId="14" borderId="42" xfId="2" applyNumberFormat="1" applyFont="1" applyFill="1" applyBorder="1" applyAlignment="1">
      <alignment vertical="center"/>
    </xf>
    <xf numFmtId="49" fontId="22" fillId="14" borderId="46" xfId="2" applyNumberFormat="1" applyFont="1" applyFill="1" applyBorder="1" applyAlignment="1">
      <alignment vertical="center"/>
    </xf>
    <xf numFmtId="49" fontId="22" fillId="14" borderId="50" xfId="2" applyNumberFormat="1" applyFont="1" applyFill="1" applyBorder="1" applyAlignment="1">
      <alignment horizontal="left" vertical="center"/>
    </xf>
    <xf numFmtId="0" fontId="21" fillId="0" borderId="0" xfId="2" applyFont="1" applyAlignment="1">
      <alignment vertical="center"/>
    </xf>
    <xf numFmtId="164" fontId="21" fillId="0" borderId="0" xfId="2" applyNumberFormat="1" applyFont="1" applyAlignment="1">
      <alignment vertical="center"/>
    </xf>
    <xf numFmtId="0" fontId="20" fillId="0" borderId="0" xfId="2" applyFont="1" applyAlignment="1">
      <alignment horizontal="center" vertical="center"/>
    </xf>
    <xf numFmtId="164" fontId="20" fillId="0" borderId="0" xfId="2" applyNumberFormat="1" applyFont="1" applyAlignment="1">
      <alignment vertical="center"/>
    </xf>
    <xf numFmtId="43" fontId="20" fillId="0" borderId="0" xfId="2" applyNumberFormat="1" applyFont="1" applyAlignment="1">
      <alignment vertical="center"/>
    </xf>
    <xf numFmtId="10" fontId="20" fillId="0" borderId="0" xfId="1" applyNumberFormat="1" applyFont="1" applyAlignment="1">
      <alignment vertical="center"/>
    </xf>
    <xf numFmtId="0" fontId="22" fillId="14" borderId="57" xfId="0" applyFont="1" applyFill="1" applyBorder="1" applyAlignment="1">
      <alignment horizontal="center" vertical="center" wrapText="1"/>
    </xf>
    <xf numFmtId="164" fontId="22" fillId="14" borderId="57" xfId="0" applyNumberFormat="1" applyFont="1" applyFill="1" applyBorder="1" applyAlignment="1">
      <alignment horizontal="center" vertical="center" wrapText="1"/>
    </xf>
    <xf numFmtId="0" fontId="24" fillId="16" borderId="58" xfId="0" applyFont="1" applyFill="1" applyBorder="1" applyAlignment="1">
      <alignment horizontal="left" vertical="center" wrapText="1"/>
    </xf>
    <xf numFmtId="0" fontId="24" fillId="16" borderId="59" xfId="0" applyFont="1" applyFill="1" applyBorder="1" applyAlignment="1">
      <alignment horizontal="left" vertical="center" wrapText="1"/>
    </xf>
    <xf numFmtId="164" fontId="24" fillId="16" borderId="59" xfId="0" applyNumberFormat="1" applyFont="1" applyFill="1" applyBorder="1" applyAlignment="1">
      <alignment horizontal="right" vertical="center" wrapText="1"/>
    </xf>
    <xf numFmtId="164" fontId="24" fillId="16" borderId="60" xfId="0" applyNumberFormat="1" applyFont="1" applyFill="1" applyBorder="1" applyAlignment="1">
      <alignment horizontal="right" vertical="center" wrapText="1"/>
    </xf>
    <xf numFmtId="3" fontId="24" fillId="17" borderId="61" xfId="0" applyNumberFormat="1" applyFont="1" applyFill="1" applyBorder="1" applyAlignment="1">
      <alignment horizontal="left" vertical="center" wrapText="1"/>
    </xf>
    <xf numFmtId="0" fontId="24" fillId="17" borderId="62" xfId="0" applyFont="1" applyFill="1" applyBorder="1" applyAlignment="1">
      <alignment horizontal="left" vertical="center" wrapText="1"/>
    </xf>
    <xf numFmtId="164" fontId="24" fillId="17" borderId="62" xfId="0" applyNumberFormat="1" applyFont="1" applyFill="1" applyBorder="1" applyAlignment="1">
      <alignment horizontal="right" vertical="center" wrapText="1"/>
    </xf>
    <xf numFmtId="164" fontId="24" fillId="17" borderId="63" xfId="0" applyNumberFormat="1" applyFont="1" applyFill="1" applyBorder="1" applyAlignment="1">
      <alignment horizontal="right" vertical="center" wrapText="1"/>
    </xf>
    <xf numFmtId="0" fontId="24" fillId="18" borderId="61" xfId="0" applyFont="1" applyFill="1" applyBorder="1" applyAlignment="1">
      <alignment horizontal="left" vertical="center" wrapText="1"/>
    </xf>
    <xf numFmtId="0" fontId="24" fillId="18" borderId="62" xfId="0" applyFont="1" applyFill="1" applyBorder="1" applyAlignment="1">
      <alignment horizontal="left" vertical="center" wrapText="1"/>
    </xf>
    <xf numFmtId="164" fontId="24" fillId="18" borderId="62" xfId="0" applyNumberFormat="1" applyFont="1" applyFill="1" applyBorder="1" applyAlignment="1">
      <alignment horizontal="right" vertical="center" wrapText="1"/>
    </xf>
    <xf numFmtId="164" fontId="24" fillId="18" borderId="63" xfId="0" applyNumberFormat="1" applyFont="1" applyFill="1" applyBorder="1" applyAlignment="1">
      <alignment horizontal="right" vertical="center" wrapText="1"/>
    </xf>
    <xf numFmtId="49" fontId="24" fillId="18" borderId="61" xfId="0" applyNumberFormat="1" applyFont="1" applyFill="1" applyBorder="1" applyAlignment="1">
      <alignment horizontal="left" vertical="center" wrapText="1"/>
    </xf>
    <xf numFmtId="49" fontId="24" fillId="16" borderId="61" xfId="0" applyNumberFormat="1" applyFont="1" applyFill="1" applyBorder="1" applyAlignment="1">
      <alignment horizontal="left" vertical="center" wrapText="1"/>
    </xf>
    <xf numFmtId="0" fontId="24" fillId="16" borderId="62" xfId="0" applyFont="1" applyFill="1" applyBorder="1" applyAlignment="1">
      <alignment horizontal="left" vertical="center" wrapText="1"/>
    </xf>
    <xf numFmtId="164" fontId="24" fillId="16" borderId="62" xfId="0" applyNumberFormat="1" applyFont="1" applyFill="1" applyBorder="1" applyAlignment="1">
      <alignment horizontal="right" vertical="center" wrapText="1"/>
    </xf>
    <xf numFmtId="164" fontId="24" fillId="16" borderId="63" xfId="0" applyNumberFormat="1" applyFont="1" applyFill="1" applyBorder="1" applyAlignment="1">
      <alignment horizontal="right" vertical="center" wrapText="1"/>
    </xf>
    <xf numFmtId="49" fontId="24" fillId="17" borderId="61" xfId="0" applyNumberFormat="1" applyFont="1" applyFill="1" applyBorder="1" applyAlignment="1">
      <alignment horizontal="left" vertical="center" wrapText="1"/>
    </xf>
    <xf numFmtId="49" fontId="25" fillId="0" borderId="61" xfId="0" applyNumberFormat="1" applyFont="1" applyBorder="1" applyAlignment="1">
      <alignment horizontal="left" vertical="center" wrapText="1"/>
    </xf>
    <xf numFmtId="0" fontId="25" fillId="0" borderId="62" xfId="0" applyFont="1" applyBorder="1" applyAlignment="1">
      <alignment horizontal="left" vertical="center" wrapText="1"/>
    </xf>
    <xf numFmtId="164" fontId="21" fillId="0" borderId="62" xfId="0" applyNumberFormat="1" applyFont="1" applyBorder="1" applyAlignment="1">
      <alignment horizontal="right" vertical="center" wrapText="1"/>
    </xf>
    <xf numFmtId="164" fontId="25" fillId="0" borderId="62" xfId="0" applyNumberFormat="1" applyFont="1" applyBorder="1" applyAlignment="1">
      <alignment horizontal="right" vertical="center" wrapText="1"/>
    </xf>
    <xf numFmtId="164" fontId="21" fillId="0" borderId="63" xfId="0" applyNumberFormat="1" applyFont="1" applyBorder="1" applyAlignment="1">
      <alignment horizontal="right" vertical="center" wrapText="1"/>
    </xf>
    <xf numFmtId="0" fontId="21" fillId="0" borderId="62" xfId="0" applyFont="1" applyBorder="1" applyAlignment="1">
      <alignment horizontal="left" vertical="center" wrapText="1"/>
    </xf>
    <xf numFmtId="164" fontId="25" fillId="0" borderId="63" xfId="0" applyNumberFormat="1" applyFont="1" applyBorder="1" applyAlignment="1">
      <alignment horizontal="right" vertical="center" wrapText="1"/>
    </xf>
    <xf numFmtId="164" fontId="26" fillId="18" borderId="62" xfId="0" applyNumberFormat="1" applyFont="1" applyFill="1" applyBorder="1" applyAlignment="1">
      <alignment horizontal="right" vertical="center" wrapText="1"/>
    </xf>
    <xf numFmtId="0" fontId="25" fillId="0" borderId="64" xfId="0" applyFont="1" applyBorder="1" applyAlignment="1">
      <alignment horizontal="left" vertical="center" wrapText="1"/>
    </xf>
    <xf numFmtId="164" fontId="21" fillId="0" borderId="64" xfId="0" applyNumberFormat="1" applyFont="1" applyBorder="1" applyAlignment="1">
      <alignment horizontal="right" vertical="center" wrapText="1"/>
    </xf>
    <xf numFmtId="164" fontId="24" fillId="17" borderId="68" xfId="0" applyNumberFormat="1" applyFont="1" applyFill="1" applyBorder="1" applyAlignment="1">
      <alignment horizontal="right" vertical="center" wrapText="1"/>
    </xf>
    <xf numFmtId="0" fontId="3" fillId="0" borderId="0" xfId="0" applyFont="1" applyBorder="1"/>
    <xf numFmtId="10" fontId="20" fillId="19" borderId="0" xfId="2" applyNumberFormat="1" applyFont="1" applyFill="1" applyAlignment="1">
      <alignment vertical="center"/>
    </xf>
    <xf numFmtId="10" fontId="28" fillId="0" borderId="0" xfId="1" applyNumberFormat="1" applyFont="1" applyAlignment="1">
      <alignment vertical="center"/>
    </xf>
    <xf numFmtId="10" fontId="28" fillId="0" borderId="0" xfId="2" applyNumberFormat="1" applyFont="1" applyAlignment="1">
      <alignment vertical="center"/>
    </xf>
    <xf numFmtId="0" fontId="9" fillId="0" borderId="69" xfId="0" applyFont="1" applyBorder="1"/>
    <xf numFmtId="0" fontId="9" fillId="0" borderId="69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" fillId="0" borderId="0" xfId="2"/>
    <xf numFmtId="0" fontId="24" fillId="17" borderId="65" xfId="0" applyFont="1" applyFill="1" applyBorder="1" applyAlignment="1">
      <alignment horizontal="right" vertical="center" wrapText="1"/>
    </xf>
    <xf numFmtId="0" fontId="3" fillId="0" borderId="66" xfId="0" applyFont="1" applyBorder="1"/>
    <xf numFmtId="0" fontId="3" fillId="0" borderId="67" xfId="0" applyFont="1" applyBorder="1"/>
    <xf numFmtId="0" fontId="19" fillId="0" borderId="34" xfId="2" applyFont="1" applyBorder="1" applyAlignment="1">
      <alignment horizontal="left" vertical="center" wrapText="1"/>
    </xf>
    <xf numFmtId="0" fontId="3" fillId="0" borderId="35" xfId="2" applyFont="1" applyBorder="1"/>
    <xf numFmtId="0" fontId="3" fillId="0" borderId="36" xfId="2" applyFont="1" applyBorder="1"/>
    <xf numFmtId="0" fontId="3" fillId="0" borderId="37" xfId="2" applyFont="1" applyBorder="1"/>
    <xf numFmtId="0" fontId="1" fillId="0" borderId="0" xfId="2"/>
    <xf numFmtId="0" fontId="3" fillId="0" borderId="38" xfId="2" applyFont="1" applyBorder="1"/>
    <xf numFmtId="0" fontId="3" fillId="0" borderId="39" xfId="2" applyFont="1" applyBorder="1"/>
    <xf numFmtId="0" fontId="3" fillId="0" borderId="40" xfId="2" applyFont="1" applyBorder="1"/>
    <xf numFmtId="0" fontId="3" fillId="0" borderId="41" xfId="2" applyFont="1" applyBorder="1"/>
    <xf numFmtId="0" fontId="23" fillId="0" borderId="43" xfId="2" applyFont="1" applyBorder="1" applyAlignment="1">
      <alignment horizontal="left" vertical="center"/>
    </xf>
    <xf numFmtId="0" fontId="3" fillId="0" borderId="44" xfId="2" applyFont="1" applyBorder="1"/>
    <xf numFmtId="0" fontId="3" fillId="0" borderId="45" xfId="2" applyFont="1" applyBorder="1"/>
    <xf numFmtId="0" fontId="23" fillId="0" borderId="47" xfId="2" applyFont="1" applyBorder="1" applyAlignment="1">
      <alignment horizontal="left" vertical="center"/>
    </xf>
    <xf numFmtId="0" fontId="3" fillId="0" borderId="48" xfId="2" applyFont="1" applyBorder="1"/>
    <xf numFmtId="0" fontId="3" fillId="0" borderId="49" xfId="2" applyFont="1" applyBorder="1"/>
    <xf numFmtId="14" fontId="23" fillId="0" borderId="47" xfId="2" applyNumberFormat="1" applyFont="1" applyBorder="1" applyAlignment="1">
      <alignment horizontal="left" vertical="center"/>
    </xf>
    <xf numFmtId="0" fontId="23" fillId="0" borderId="51" xfId="2" applyFont="1" applyBorder="1" applyAlignment="1">
      <alignment horizontal="left" vertical="center"/>
    </xf>
    <xf numFmtId="0" fontId="3" fillId="0" borderId="52" xfId="2" applyFont="1" applyBorder="1"/>
    <xf numFmtId="0" fontId="3" fillId="0" borderId="53" xfId="2" applyFont="1" applyBorder="1"/>
    <xf numFmtId="0" fontId="22" fillId="15" borderId="54" xfId="0" applyFont="1" applyFill="1" applyBorder="1" applyAlignment="1">
      <alignment horizontal="center" vertical="center" wrapText="1"/>
    </xf>
    <xf numFmtId="0" fontId="3" fillId="0" borderId="55" xfId="0" applyFont="1" applyBorder="1"/>
    <xf numFmtId="0" fontId="3" fillId="0" borderId="56" xfId="0" applyFont="1" applyBorder="1"/>
    <xf numFmtId="0" fontId="6" fillId="4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5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3" borderId="0" xfId="0" applyFont="1" applyFill="1" applyAlignment="1">
      <alignment horizontal="center"/>
    </xf>
    <xf numFmtId="0" fontId="0" fillId="0" borderId="0" xfId="0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13" fillId="0" borderId="13" xfId="0" applyFont="1" applyBorder="1" applyAlignment="1">
      <alignment horizontal="left"/>
    </xf>
    <xf numFmtId="0" fontId="3" fillId="0" borderId="15" xfId="0" applyFont="1" applyBorder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3" fillId="0" borderId="14" xfId="0" applyFont="1" applyBorder="1"/>
    <xf numFmtId="0" fontId="13" fillId="0" borderId="13" xfId="0" applyFont="1" applyBorder="1" applyAlignment="1">
      <alignment horizontal="center"/>
    </xf>
    <xf numFmtId="164" fontId="13" fillId="0" borderId="13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3" fillId="0" borderId="9" xfId="0" applyFont="1" applyBorder="1"/>
    <xf numFmtId="0" fontId="3" fillId="0" borderId="21" xfId="0" applyFont="1" applyBorder="1"/>
    <xf numFmtId="0" fontId="3" fillId="0" borderId="11" xfId="0" applyFont="1" applyBorder="1"/>
    <xf numFmtId="0" fontId="3" fillId="0" borderId="12" xfId="0" applyFont="1" applyBorder="1"/>
    <xf numFmtId="164" fontId="13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9" fillId="0" borderId="25" xfId="0" applyFont="1" applyBorder="1" applyAlignment="1">
      <alignment horizontal="center"/>
    </xf>
    <xf numFmtId="0" fontId="3" fillId="0" borderId="25" xfId="0" applyFont="1" applyBorder="1"/>
    <xf numFmtId="0" fontId="8" fillId="0" borderId="0" xfId="0" applyFont="1"/>
  </cellXfs>
  <cellStyles count="3">
    <cellStyle name="Normal" xfId="0" builtinId="0"/>
    <cellStyle name="Normal 2" xfId="2" xr:uid="{CC7626C1-1C4E-471C-BEAA-2522FC15BD13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95568DC2-1358-48F9-9D71-A799797C7F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27800" y="127000"/>
          <a:ext cx="2209800" cy="476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26268</xdr:colOff>
      <xdr:row>1</xdr:row>
      <xdr:rowOff>19050</xdr:rowOff>
    </xdr:from>
    <xdr:to>
      <xdr:col>16</xdr:col>
      <xdr:colOff>282575</xdr:colOff>
      <xdr:row>20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BF2AE4C-0704-0769-C84D-5AA04B48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8993" y="114300"/>
          <a:ext cx="4317132" cy="539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F933-BF0C-4EC3-A421-B00C2BBAB904}">
  <dimension ref="A1:Z1002"/>
  <sheetViews>
    <sheetView showGridLines="0" tabSelected="1" topLeftCell="A7" zoomScale="70" zoomScaleNormal="70" workbookViewId="0">
      <pane ySplit="7" topLeftCell="A14" activePane="bottomLeft" state="frozen"/>
      <selection activeCell="A7" sqref="A7"/>
      <selection pane="bottomLeft" activeCell="A13" sqref="A13:F78"/>
    </sheetView>
  </sheetViews>
  <sheetFormatPr defaultColWidth="14.42578125" defaultRowHeight="15" customHeight="1" x14ac:dyDescent="0.25"/>
  <cols>
    <col min="1" max="1" width="17.28515625" style="112" customWidth="1"/>
    <col min="2" max="2" width="60.5703125" style="112" customWidth="1"/>
    <col min="3" max="3" width="6.28515625" style="112" customWidth="1"/>
    <col min="4" max="4" width="15.7109375" style="112" customWidth="1"/>
    <col min="5" max="5" width="19.28515625" style="112" customWidth="1"/>
    <col min="6" max="6" width="17.5703125" style="112" customWidth="1"/>
    <col min="7" max="8" width="13.42578125" style="112" bestFit="1" customWidth="1"/>
    <col min="9" max="9" width="11.7109375" style="112" customWidth="1"/>
    <col min="10" max="10" width="12" style="112" bestFit="1" customWidth="1"/>
    <col min="11" max="12" width="11.7109375" style="112" bestFit="1" customWidth="1"/>
    <col min="13" max="26" width="9.140625" style="112" customWidth="1"/>
    <col min="27" max="16384" width="14.42578125" style="112"/>
  </cols>
  <sheetData>
    <row r="1" spans="1:26" ht="12.75" customHeight="1" x14ac:dyDescent="0.25">
      <c r="A1" s="170" t="s">
        <v>179</v>
      </c>
      <c r="B1" s="171"/>
      <c r="C1" s="171"/>
      <c r="D1" s="171"/>
      <c r="E1" s="171"/>
      <c r="F1" s="172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6" ht="12.75" customHeight="1" x14ac:dyDescent="0.25">
      <c r="A2" s="173"/>
      <c r="B2" s="174"/>
      <c r="C2" s="174"/>
      <c r="D2" s="174"/>
      <c r="E2" s="174"/>
      <c r="F2" s="175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1:26" ht="12.75" customHeight="1" x14ac:dyDescent="0.25">
      <c r="A3" s="173"/>
      <c r="B3" s="174"/>
      <c r="C3" s="174"/>
      <c r="D3" s="174"/>
      <c r="E3" s="174"/>
      <c r="F3" s="175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spans="1:26" ht="12.75" customHeight="1" x14ac:dyDescent="0.25">
      <c r="A4" s="173"/>
      <c r="B4" s="174"/>
      <c r="C4" s="174"/>
      <c r="D4" s="174"/>
      <c r="E4" s="174"/>
      <c r="F4" s="175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spans="1:26" ht="13.5" customHeight="1" x14ac:dyDescent="0.25">
      <c r="A5" s="176"/>
      <c r="B5" s="177"/>
      <c r="C5" s="177"/>
      <c r="D5" s="177"/>
      <c r="E5" s="177"/>
      <c r="F5" s="178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spans="1:26" ht="19.5" customHeight="1" thickBot="1" x14ac:dyDescent="0.3">
      <c r="A6" s="113"/>
      <c r="B6" s="114"/>
      <c r="C6" s="114"/>
      <c r="D6" s="115"/>
      <c r="E6" s="115"/>
      <c r="F6" s="116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spans="1:26" ht="19.5" customHeight="1" x14ac:dyDescent="0.25">
      <c r="A7" s="117" t="s">
        <v>180</v>
      </c>
      <c r="B7" s="179" t="s">
        <v>316</v>
      </c>
      <c r="C7" s="180"/>
      <c r="D7" s="180"/>
      <c r="E7" s="180"/>
      <c r="F7" s="181"/>
      <c r="G7" s="123">
        <f>F78</f>
        <v>5005574.1978001595</v>
      </c>
      <c r="H7" s="124">
        <f>G7-G8</f>
        <v>3412438.915110949</v>
      </c>
      <c r="I7" s="111"/>
      <c r="J7" s="111"/>
      <c r="K7" s="111"/>
      <c r="L7" s="158">
        <f>SUM(G10:L10,J8)</f>
        <v>1.0126245882581399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ht="19.5" customHeight="1" x14ac:dyDescent="0.25">
      <c r="A8" s="118" t="s">
        <v>181</v>
      </c>
      <c r="B8" s="182" t="s">
        <v>317</v>
      </c>
      <c r="C8" s="183"/>
      <c r="D8" s="183"/>
      <c r="E8" s="183"/>
      <c r="F8" s="184"/>
      <c r="G8" s="123">
        <f>SUM(G12:L12)</f>
        <v>1593135.2826892105</v>
      </c>
      <c r="H8" s="124">
        <f>H7/54</f>
        <v>63193.313242795353</v>
      </c>
      <c r="I8" s="159">
        <f>H8/$G$7</f>
        <v>1.2624588258139783E-2</v>
      </c>
      <c r="J8" s="125">
        <f>I8*49</f>
        <v>0.61860482464884936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19.5" customHeight="1" x14ac:dyDescent="0.25">
      <c r="A9" s="118" t="s">
        <v>182</v>
      </c>
      <c r="B9" s="185">
        <v>45931</v>
      </c>
      <c r="C9" s="183"/>
      <c r="D9" s="183"/>
      <c r="E9" s="183"/>
      <c r="F9" s="184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19.5" customHeight="1" thickBot="1" x14ac:dyDescent="0.3">
      <c r="A10" s="119" t="s">
        <v>183</v>
      </c>
      <c r="B10" s="186" t="s">
        <v>318</v>
      </c>
      <c r="C10" s="187"/>
      <c r="D10" s="187"/>
      <c r="E10" s="187"/>
      <c r="F10" s="188"/>
      <c r="G10" s="159">
        <f>G11/$G$7</f>
        <v>8.4420508276204079E-2</v>
      </c>
      <c r="H10" s="159">
        <f t="shared" ref="H10:L10" si="0">H11/$G$7</f>
        <v>6.6473697850443089E-2</v>
      </c>
      <c r="I10" s="159">
        <f t="shared" si="0"/>
        <v>6.6473697850443089E-2</v>
      </c>
      <c r="J10" s="159">
        <f t="shared" si="0"/>
        <v>5.888395321073342E-2</v>
      </c>
      <c r="K10" s="159">
        <f t="shared" si="0"/>
        <v>5.888395321073342E-2</v>
      </c>
      <c r="L10" s="159">
        <f t="shared" si="0"/>
        <v>5.888395321073342E-2</v>
      </c>
      <c r="M10" s="160">
        <f>I8</f>
        <v>1.2624588258139783E-2</v>
      </c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19.5" customHeight="1" thickBot="1" x14ac:dyDescent="0.3">
      <c r="A11" s="120"/>
      <c r="B11" s="120"/>
      <c r="C11" s="120"/>
      <c r="D11" s="121"/>
      <c r="E11" s="121"/>
      <c r="F11" s="121"/>
      <c r="G11" s="124">
        <f>G12+$H$8</f>
        <v>422573.11799254193</v>
      </c>
      <c r="H11" s="124">
        <f t="shared" ref="H11:L11" si="1">H12+$H$8</f>
        <v>332739.02679254184</v>
      </c>
      <c r="I11" s="124">
        <f t="shared" si="1"/>
        <v>332739.02679254184</v>
      </c>
      <c r="J11" s="124">
        <f t="shared" si="1"/>
        <v>294747.99685611908</v>
      </c>
      <c r="K11" s="124">
        <f t="shared" si="1"/>
        <v>294747.99685611908</v>
      </c>
      <c r="L11" s="124">
        <f t="shared" si="1"/>
        <v>294747.99685611908</v>
      </c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21" customHeight="1" thickBot="1" x14ac:dyDescent="0.3">
      <c r="A12" s="189" t="s">
        <v>184</v>
      </c>
      <c r="B12" s="190"/>
      <c r="C12" s="190"/>
      <c r="D12" s="190"/>
      <c r="E12" s="190"/>
      <c r="F12" s="191"/>
      <c r="G12" s="123">
        <f>SUM(G14:G77)</f>
        <v>359379.80474974657</v>
      </c>
      <c r="H12" s="123">
        <f t="shared" ref="H12:L12" si="2">SUM(H14:H77)</f>
        <v>269545.71354974649</v>
      </c>
      <c r="I12" s="123">
        <f t="shared" si="2"/>
        <v>269545.71354974649</v>
      </c>
      <c r="J12" s="123">
        <f t="shared" si="2"/>
        <v>231554.68361332372</v>
      </c>
      <c r="K12" s="123">
        <f t="shared" si="2"/>
        <v>231554.68361332372</v>
      </c>
      <c r="L12" s="123">
        <f t="shared" si="2"/>
        <v>231554.68361332372</v>
      </c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19.5" customHeight="1" x14ac:dyDescent="0.25">
      <c r="A13" s="126" t="s">
        <v>185</v>
      </c>
      <c r="B13" s="126" t="s">
        <v>186</v>
      </c>
      <c r="C13" s="126" t="s">
        <v>187</v>
      </c>
      <c r="D13" s="127" t="s">
        <v>188</v>
      </c>
      <c r="E13" s="127" t="s">
        <v>189</v>
      </c>
      <c r="F13" s="127" t="s">
        <v>190</v>
      </c>
      <c r="G13" s="122">
        <v>1</v>
      </c>
      <c r="H13" s="122">
        <v>2</v>
      </c>
      <c r="I13" s="122">
        <v>3</v>
      </c>
      <c r="J13" s="122">
        <v>4</v>
      </c>
      <c r="K13" s="122">
        <v>5</v>
      </c>
      <c r="L13" s="122">
        <v>6</v>
      </c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5.75" customHeight="1" x14ac:dyDescent="0.25">
      <c r="A14" s="128" t="s">
        <v>191</v>
      </c>
      <c r="B14" s="129" t="s">
        <v>184</v>
      </c>
      <c r="C14" s="129"/>
      <c r="D14" s="130"/>
      <c r="E14" s="130"/>
      <c r="F14" s="131">
        <v>1404283.0604154998</v>
      </c>
      <c r="G14" s="123"/>
      <c r="H14" s="123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5.75" customHeight="1" x14ac:dyDescent="0.25">
      <c r="A15" s="132" t="s">
        <v>192</v>
      </c>
      <c r="B15" s="133" t="s">
        <v>193</v>
      </c>
      <c r="C15" s="133"/>
      <c r="D15" s="134"/>
      <c r="E15" s="134"/>
      <c r="F15" s="135">
        <v>493306.35611561511</v>
      </c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15.75" customHeight="1" x14ac:dyDescent="0.25">
      <c r="A16" s="136" t="s">
        <v>194</v>
      </c>
      <c r="B16" s="137" t="s">
        <v>195</v>
      </c>
      <c r="C16" s="137"/>
      <c r="D16" s="138"/>
      <c r="E16" s="138"/>
      <c r="F16" s="139">
        <v>14716.386427957254</v>
      </c>
      <c r="G16" s="124">
        <f>$F16/3</f>
        <v>4905.4621426524182</v>
      </c>
      <c r="H16" s="124">
        <f t="shared" ref="H16:I16" si="3">$F16/3</f>
        <v>4905.4621426524182</v>
      </c>
      <c r="I16" s="124">
        <f t="shared" si="3"/>
        <v>4905.4621426524182</v>
      </c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15.75" customHeight="1" x14ac:dyDescent="0.25">
      <c r="A17" s="136" t="s">
        <v>196</v>
      </c>
      <c r="B17" s="137" t="s">
        <v>197</v>
      </c>
      <c r="C17" s="137"/>
      <c r="D17" s="138"/>
      <c r="E17" s="138"/>
      <c r="F17" s="139">
        <v>280806.04591646593</v>
      </c>
      <c r="G17" s="124">
        <f>$F17/6</f>
        <v>46801.007652744323</v>
      </c>
      <c r="H17" s="124">
        <f t="shared" ref="H17:L19" si="4">$F17/6</f>
        <v>46801.007652744323</v>
      </c>
      <c r="I17" s="124">
        <f t="shared" si="4"/>
        <v>46801.007652744323</v>
      </c>
      <c r="J17" s="124">
        <f t="shared" si="4"/>
        <v>46801.007652744323</v>
      </c>
      <c r="K17" s="124">
        <f t="shared" si="4"/>
        <v>46801.007652744323</v>
      </c>
      <c r="L17" s="124">
        <f t="shared" si="4"/>
        <v>46801.007652744323</v>
      </c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5.75" customHeight="1" x14ac:dyDescent="0.25">
      <c r="A18" s="136" t="s">
        <v>198</v>
      </c>
      <c r="B18" s="137" t="s">
        <v>199</v>
      </c>
      <c r="C18" s="137"/>
      <c r="D18" s="138"/>
      <c r="E18" s="138"/>
      <c r="F18" s="139">
        <v>89724.488904222075</v>
      </c>
      <c r="G18" s="124">
        <f>$F18/6</f>
        <v>14954.081484037013</v>
      </c>
      <c r="H18" s="124">
        <f t="shared" si="4"/>
        <v>14954.081484037013</v>
      </c>
      <c r="I18" s="124">
        <f t="shared" si="4"/>
        <v>14954.081484037013</v>
      </c>
      <c r="J18" s="124">
        <f t="shared" si="4"/>
        <v>14954.081484037013</v>
      </c>
      <c r="K18" s="124">
        <f t="shared" si="4"/>
        <v>14954.081484037013</v>
      </c>
      <c r="L18" s="124">
        <f t="shared" si="4"/>
        <v>14954.081484037013</v>
      </c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5.75" customHeight="1" x14ac:dyDescent="0.25">
      <c r="A19" s="136" t="s">
        <v>200</v>
      </c>
      <c r="B19" s="137" t="s">
        <v>201</v>
      </c>
      <c r="C19" s="137"/>
      <c r="D19" s="138"/>
      <c r="E19" s="138"/>
      <c r="F19" s="139">
        <v>108059.43486696979</v>
      </c>
      <c r="G19" s="124">
        <f>$F19/6</f>
        <v>18009.905811161632</v>
      </c>
      <c r="H19" s="124">
        <f t="shared" si="4"/>
        <v>18009.905811161632</v>
      </c>
      <c r="I19" s="124">
        <f t="shared" si="4"/>
        <v>18009.905811161632</v>
      </c>
      <c r="J19" s="124">
        <f t="shared" si="4"/>
        <v>18009.905811161632</v>
      </c>
      <c r="K19" s="124">
        <f t="shared" si="4"/>
        <v>18009.905811161632</v>
      </c>
      <c r="L19" s="124">
        <f t="shared" si="4"/>
        <v>18009.905811161632</v>
      </c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15.75" customHeight="1" x14ac:dyDescent="0.25">
      <c r="A20" s="132" t="s">
        <v>202</v>
      </c>
      <c r="B20" s="133" t="s">
        <v>203</v>
      </c>
      <c r="C20" s="133"/>
      <c r="D20" s="134"/>
      <c r="E20" s="134"/>
      <c r="F20" s="135">
        <v>910976.70429988462</v>
      </c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15.75" customHeight="1" x14ac:dyDescent="0.25">
      <c r="A21" s="140" t="s">
        <v>204</v>
      </c>
      <c r="B21" s="137" t="s">
        <v>205</v>
      </c>
      <c r="C21" s="137"/>
      <c r="D21" s="138"/>
      <c r="E21" s="138"/>
      <c r="F21" s="139">
        <v>17338.572307599952</v>
      </c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15.75" customHeight="1" x14ac:dyDescent="0.25">
      <c r="A22" s="140" t="s">
        <v>206</v>
      </c>
      <c r="B22" s="137" t="s">
        <v>207</v>
      </c>
      <c r="C22" s="137"/>
      <c r="D22" s="138"/>
      <c r="E22" s="138"/>
      <c r="F22" s="139">
        <v>846334.73559767508</v>
      </c>
      <c r="G22" s="124">
        <f>$F22/6</f>
        <v>141055.78926627917</v>
      </c>
      <c r="H22" s="124">
        <f t="shared" ref="H22:L23" si="5">$F22/6</f>
        <v>141055.78926627917</v>
      </c>
      <c r="I22" s="124">
        <f t="shared" si="5"/>
        <v>141055.78926627917</v>
      </c>
      <c r="J22" s="124">
        <f t="shared" si="5"/>
        <v>141055.78926627917</v>
      </c>
      <c r="K22" s="124">
        <f t="shared" si="5"/>
        <v>141055.78926627917</v>
      </c>
      <c r="L22" s="124">
        <f t="shared" si="5"/>
        <v>141055.78926627917</v>
      </c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15.75" customHeight="1" x14ac:dyDescent="0.25">
      <c r="A23" s="136" t="s">
        <v>208</v>
      </c>
      <c r="B23" s="137" t="s">
        <v>209</v>
      </c>
      <c r="C23" s="137"/>
      <c r="D23" s="138"/>
      <c r="E23" s="138"/>
      <c r="F23" s="139">
        <v>47303.396394609568</v>
      </c>
      <c r="G23" s="124">
        <f>$F23/6</f>
        <v>7883.899399101595</v>
      </c>
      <c r="H23" s="124">
        <f t="shared" si="5"/>
        <v>7883.899399101595</v>
      </c>
      <c r="I23" s="124">
        <f t="shared" si="5"/>
        <v>7883.899399101595</v>
      </c>
      <c r="J23" s="124">
        <f t="shared" si="5"/>
        <v>7883.899399101595</v>
      </c>
      <c r="K23" s="124">
        <f t="shared" si="5"/>
        <v>7883.899399101595</v>
      </c>
      <c r="L23" s="124">
        <f t="shared" si="5"/>
        <v>7883.899399101595</v>
      </c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15.75" customHeight="1" x14ac:dyDescent="0.25">
      <c r="A24" s="141" t="s">
        <v>210</v>
      </c>
      <c r="B24" s="142" t="s">
        <v>211</v>
      </c>
      <c r="C24" s="142"/>
      <c r="D24" s="143"/>
      <c r="E24" s="143"/>
      <c r="F24" s="144">
        <v>3601291.1373846596</v>
      </c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15.75" customHeight="1" x14ac:dyDescent="0.25">
      <c r="A25" s="145" t="s">
        <v>212</v>
      </c>
      <c r="B25" s="133" t="s">
        <v>213</v>
      </c>
      <c r="C25" s="133"/>
      <c r="D25" s="134"/>
      <c r="E25" s="134"/>
      <c r="F25" s="135">
        <v>361664.15838997497</v>
      </c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15.75" customHeight="1" x14ac:dyDescent="0.25">
      <c r="A26" s="140" t="s">
        <v>214</v>
      </c>
      <c r="B26" s="137" t="s">
        <v>215</v>
      </c>
      <c r="C26" s="137"/>
      <c r="D26" s="138"/>
      <c r="E26" s="138"/>
      <c r="F26" s="139">
        <v>118800</v>
      </c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15.75" customHeight="1" x14ac:dyDescent="0.25">
      <c r="A27" s="146" t="s">
        <v>216</v>
      </c>
      <c r="B27" s="147" t="s">
        <v>217</v>
      </c>
      <c r="C27" s="147" t="s">
        <v>218</v>
      </c>
      <c r="D27" s="148">
        <v>54</v>
      </c>
      <c r="E27" s="149">
        <v>2200</v>
      </c>
      <c r="F27" s="150">
        <v>118800</v>
      </c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15.75" customHeight="1" x14ac:dyDescent="0.25">
      <c r="A28" s="140" t="s">
        <v>219</v>
      </c>
      <c r="B28" s="137" t="s">
        <v>220</v>
      </c>
      <c r="C28" s="137"/>
      <c r="D28" s="138"/>
      <c r="E28" s="138"/>
      <c r="F28" s="139">
        <v>212923.78718785231</v>
      </c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15.75" customHeight="1" x14ac:dyDescent="0.25">
      <c r="A29" s="146" t="s">
        <v>221</v>
      </c>
      <c r="B29" s="147" t="s">
        <v>222</v>
      </c>
      <c r="C29" s="147" t="s">
        <v>223</v>
      </c>
      <c r="D29" s="148">
        <v>177.21999999999997</v>
      </c>
      <c r="E29" s="148">
        <v>193.11</v>
      </c>
      <c r="F29" s="150">
        <v>34222.9542</v>
      </c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15.75" customHeight="1" x14ac:dyDescent="0.25">
      <c r="A30" s="146" t="s">
        <v>224</v>
      </c>
      <c r="B30" s="147" t="s">
        <v>225</v>
      </c>
      <c r="C30" s="147" t="s">
        <v>223</v>
      </c>
      <c r="D30" s="148">
        <v>69.719999999999985</v>
      </c>
      <c r="E30" s="148">
        <v>179.25</v>
      </c>
      <c r="F30" s="150">
        <v>12497.309999999998</v>
      </c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19.5" customHeight="1" x14ac:dyDescent="0.25">
      <c r="A31" s="146" t="s">
        <v>226</v>
      </c>
      <c r="B31" s="147" t="s">
        <v>227</v>
      </c>
      <c r="C31" s="147" t="s">
        <v>223</v>
      </c>
      <c r="D31" s="148">
        <v>278.87999999999994</v>
      </c>
      <c r="E31" s="148">
        <v>49</v>
      </c>
      <c r="F31" s="150">
        <v>13665.119999999997</v>
      </c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19.5" customHeight="1" x14ac:dyDescent="0.25">
      <c r="A32" s="146" t="s">
        <v>226</v>
      </c>
      <c r="B32" s="147" t="s">
        <v>307</v>
      </c>
      <c r="C32" s="147" t="s">
        <v>223</v>
      </c>
      <c r="D32" s="148">
        <v>109.345</v>
      </c>
      <c r="E32" s="148">
        <v>15.38</v>
      </c>
      <c r="F32" s="150">
        <v>1681.7261000000001</v>
      </c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26" ht="17.25" customHeight="1" x14ac:dyDescent="0.25">
      <c r="A33" s="146" t="s">
        <v>228</v>
      </c>
      <c r="B33" s="147" t="s">
        <v>229</v>
      </c>
      <c r="C33" s="147" t="s">
        <v>230</v>
      </c>
      <c r="D33" s="148">
        <v>129.60000000000002</v>
      </c>
      <c r="E33" s="148">
        <v>19.89</v>
      </c>
      <c r="F33" s="150">
        <v>2577.7440000000006</v>
      </c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spans="1:26" ht="17.25" customHeight="1" x14ac:dyDescent="0.25">
      <c r="A34" s="146" t="s">
        <v>231</v>
      </c>
      <c r="B34" s="147" t="s">
        <v>232</v>
      </c>
      <c r="C34" s="147" t="s">
        <v>223</v>
      </c>
      <c r="D34" s="148">
        <v>278.87999999999994</v>
      </c>
      <c r="E34" s="148">
        <v>62</v>
      </c>
      <c r="F34" s="150">
        <v>17290.559999999998</v>
      </c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15.75" customHeight="1" x14ac:dyDescent="0.25">
      <c r="A35" s="146" t="s">
        <v>233</v>
      </c>
      <c r="B35" s="147" t="s">
        <v>234</v>
      </c>
      <c r="C35" s="147" t="s">
        <v>230</v>
      </c>
      <c r="D35" s="148">
        <v>6693.119999999999</v>
      </c>
      <c r="E35" s="148">
        <v>15</v>
      </c>
      <c r="F35" s="150">
        <v>100396.79999999999</v>
      </c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15.75" customHeight="1" x14ac:dyDescent="0.25">
      <c r="A36" s="146" t="s">
        <v>235</v>
      </c>
      <c r="B36" s="147" t="s">
        <v>236</v>
      </c>
      <c r="C36" s="147" t="s">
        <v>237</v>
      </c>
      <c r="D36" s="148">
        <v>1</v>
      </c>
      <c r="E36" s="148">
        <v>2541.5728878523082</v>
      </c>
      <c r="F36" s="150">
        <v>2541.5728878523082</v>
      </c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15.75" customHeight="1" x14ac:dyDescent="0.25">
      <c r="A37" s="146" t="s">
        <v>238</v>
      </c>
      <c r="B37" s="147" t="s">
        <v>239</v>
      </c>
      <c r="C37" s="147" t="s">
        <v>237</v>
      </c>
      <c r="D37" s="148">
        <v>1</v>
      </c>
      <c r="E37" s="148">
        <v>28050.000000000004</v>
      </c>
      <c r="F37" s="150">
        <v>28050.000000000004</v>
      </c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15.75" customHeight="1" x14ac:dyDescent="0.25">
      <c r="A38" s="140" t="s">
        <v>240</v>
      </c>
      <c r="B38" s="137" t="s">
        <v>241</v>
      </c>
      <c r="C38" s="137"/>
      <c r="D38" s="138"/>
      <c r="E38" s="138"/>
      <c r="F38" s="139">
        <v>29940.371202122678</v>
      </c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5.75" customHeight="1" x14ac:dyDescent="0.25">
      <c r="A39" s="145" t="s">
        <v>242</v>
      </c>
      <c r="B39" s="133" t="s">
        <v>243</v>
      </c>
      <c r="C39" s="133"/>
      <c r="D39" s="134"/>
      <c r="E39" s="134"/>
      <c r="F39" s="135">
        <v>2372853.3789946847</v>
      </c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26" ht="15.75" customHeight="1" x14ac:dyDescent="0.25">
      <c r="A40" s="140" t="s">
        <v>244</v>
      </c>
      <c r="B40" s="137" t="s">
        <v>245</v>
      </c>
      <c r="C40" s="137"/>
      <c r="D40" s="138"/>
      <c r="E40" s="138"/>
      <c r="F40" s="139">
        <v>1924193.6</v>
      </c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15.75" customHeight="1" x14ac:dyDescent="0.25">
      <c r="A41" s="146" t="s">
        <v>246</v>
      </c>
      <c r="B41" s="147" t="s">
        <v>247</v>
      </c>
      <c r="C41" s="147" t="s">
        <v>218</v>
      </c>
      <c r="D41" s="148">
        <v>54</v>
      </c>
      <c r="E41" s="149">
        <v>8000</v>
      </c>
      <c r="F41" s="150">
        <v>432000</v>
      </c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1:26" ht="15.75" customHeight="1" x14ac:dyDescent="0.25">
      <c r="A42" s="146" t="s">
        <v>248</v>
      </c>
      <c r="B42" s="147" t="s">
        <v>249</v>
      </c>
      <c r="C42" s="147" t="s">
        <v>218</v>
      </c>
      <c r="D42" s="148">
        <v>54</v>
      </c>
      <c r="E42" s="149">
        <v>6500</v>
      </c>
      <c r="F42" s="150">
        <v>351000</v>
      </c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1:26" ht="15.75" customHeight="1" x14ac:dyDescent="0.25">
      <c r="A43" s="146" t="s">
        <v>250</v>
      </c>
      <c r="B43" s="147" t="s">
        <v>251</v>
      </c>
      <c r="C43" s="147" t="s">
        <v>218</v>
      </c>
      <c r="D43" s="148">
        <v>54</v>
      </c>
      <c r="E43" s="149">
        <v>5000</v>
      </c>
      <c r="F43" s="150">
        <v>270000</v>
      </c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1:26" ht="15.75" customHeight="1" x14ac:dyDescent="0.25">
      <c r="A44" s="146" t="s">
        <v>313</v>
      </c>
      <c r="B44" s="147" t="s">
        <v>253</v>
      </c>
      <c r="C44" s="147" t="s">
        <v>218</v>
      </c>
      <c r="D44" s="148">
        <v>54</v>
      </c>
      <c r="E44" s="149">
        <v>1400</v>
      </c>
      <c r="F44" s="150">
        <v>75600</v>
      </c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26" ht="15.75" customHeight="1" x14ac:dyDescent="0.25">
      <c r="A45" s="146" t="s">
        <v>252</v>
      </c>
      <c r="B45" s="147" t="s">
        <v>255</v>
      </c>
      <c r="C45" s="147" t="s">
        <v>218</v>
      </c>
      <c r="D45" s="148">
        <v>28</v>
      </c>
      <c r="E45" s="149">
        <v>3500</v>
      </c>
      <c r="F45" s="150">
        <v>98000</v>
      </c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1:26" ht="15.75" customHeight="1" x14ac:dyDescent="0.25">
      <c r="A46" s="146" t="s">
        <v>254</v>
      </c>
      <c r="B46" s="147" t="s">
        <v>311</v>
      </c>
      <c r="C46" s="147" t="s">
        <v>218</v>
      </c>
      <c r="D46" s="148">
        <v>26</v>
      </c>
      <c r="E46" s="149">
        <v>3500</v>
      </c>
      <c r="F46" s="150">
        <v>91000</v>
      </c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15.75" customHeight="1" x14ac:dyDescent="0.25">
      <c r="A47" s="146" t="s">
        <v>256</v>
      </c>
      <c r="B47" s="147" t="s">
        <v>312</v>
      </c>
      <c r="C47" s="147" t="s">
        <v>218</v>
      </c>
      <c r="D47" s="148">
        <v>28</v>
      </c>
      <c r="E47" s="149">
        <v>3500</v>
      </c>
      <c r="F47" s="150">
        <v>98000</v>
      </c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15.75" customHeight="1" x14ac:dyDescent="0.25">
      <c r="A48" s="146" t="s">
        <v>258</v>
      </c>
      <c r="B48" s="147" t="s">
        <v>257</v>
      </c>
      <c r="C48" s="147" t="s">
        <v>218</v>
      </c>
      <c r="D48" s="148">
        <v>54</v>
      </c>
      <c r="E48" s="149">
        <v>6918.4000000000005</v>
      </c>
      <c r="F48" s="150">
        <v>373593.60000000003</v>
      </c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15.75" customHeight="1" x14ac:dyDescent="0.25">
      <c r="A49" s="146" t="s">
        <v>314</v>
      </c>
      <c r="B49" s="147" t="s">
        <v>259</v>
      </c>
      <c r="C49" s="147" t="s">
        <v>218</v>
      </c>
      <c r="D49" s="148">
        <v>54</v>
      </c>
      <c r="E49" s="149">
        <v>2500</v>
      </c>
      <c r="F49" s="150">
        <v>135000</v>
      </c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15.75" customHeight="1" x14ac:dyDescent="0.25">
      <c r="A50" s="140" t="s">
        <v>260</v>
      </c>
      <c r="B50" s="137" t="s">
        <v>261</v>
      </c>
      <c r="C50" s="137"/>
      <c r="D50" s="138"/>
      <c r="E50" s="138"/>
      <c r="F50" s="139">
        <v>81437.179999999993</v>
      </c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s="166" customFormat="1" ht="15.75" customHeight="1" x14ac:dyDescent="0.25">
      <c r="A51" s="146" t="s">
        <v>262</v>
      </c>
      <c r="B51" s="147" t="s">
        <v>263</v>
      </c>
      <c r="C51" s="147" t="s">
        <v>230</v>
      </c>
      <c r="D51" s="148">
        <v>720.08</v>
      </c>
      <c r="E51" s="149">
        <v>12.5</v>
      </c>
      <c r="F51" s="150">
        <v>9001</v>
      </c>
      <c r="G51" s="123">
        <f>F51</f>
        <v>9001</v>
      </c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15.75" customHeight="1" x14ac:dyDescent="0.25">
      <c r="A52" s="146" t="s">
        <v>326</v>
      </c>
      <c r="B52" s="147" t="s">
        <v>327</v>
      </c>
      <c r="C52" s="147" t="s">
        <v>237</v>
      </c>
      <c r="D52" s="148">
        <v>1</v>
      </c>
      <c r="E52" s="149">
        <v>72436.179999999993</v>
      </c>
      <c r="F52" s="150">
        <v>72436.179999999993</v>
      </c>
      <c r="G52" s="123">
        <f>F52</f>
        <v>72436.179999999993</v>
      </c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15.75" customHeight="1" x14ac:dyDescent="0.25">
      <c r="A53" s="140" t="s">
        <v>264</v>
      </c>
      <c r="B53" s="137" t="s">
        <v>265</v>
      </c>
      <c r="C53" s="137"/>
      <c r="D53" s="138"/>
      <c r="E53" s="138"/>
      <c r="F53" s="139">
        <v>124753.61458131124</v>
      </c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15.75" customHeight="1" x14ac:dyDescent="0.25">
      <c r="A54" s="146" t="s">
        <v>266</v>
      </c>
      <c r="B54" s="147" t="s">
        <v>267</v>
      </c>
      <c r="C54" s="151" t="s">
        <v>218</v>
      </c>
      <c r="D54" s="148">
        <v>6</v>
      </c>
      <c r="E54" s="148">
        <v>2850</v>
      </c>
      <c r="F54" s="150">
        <v>17100</v>
      </c>
      <c r="G54" s="124">
        <f>$F54/6</f>
        <v>2850</v>
      </c>
      <c r="H54" s="124">
        <f t="shared" ref="H54:L54" si="6">$F54/6</f>
        <v>2850</v>
      </c>
      <c r="I54" s="124">
        <f t="shared" si="6"/>
        <v>2850</v>
      </c>
      <c r="J54" s="124">
        <f t="shared" si="6"/>
        <v>2850</v>
      </c>
      <c r="K54" s="124">
        <f t="shared" si="6"/>
        <v>2850</v>
      </c>
      <c r="L54" s="124">
        <f t="shared" si="6"/>
        <v>2850</v>
      </c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5.75" customHeight="1" x14ac:dyDescent="0.25">
      <c r="A55" s="146" t="s">
        <v>268</v>
      </c>
      <c r="B55" s="147" t="s">
        <v>269</v>
      </c>
      <c r="C55" s="147" t="s">
        <v>237</v>
      </c>
      <c r="D55" s="149">
        <v>1</v>
      </c>
      <c r="E55" s="149">
        <v>51757.610953098338</v>
      </c>
      <c r="F55" s="152">
        <v>51757.610953098338</v>
      </c>
      <c r="G55" s="124">
        <f>$F55/3</f>
        <v>17252.536984366114</v>
      </c>
      <c r="H55" s="124">
        <f t="shared" ref="H55:I59" si="7">$F55/3</f>
        <v>17252.536984366114</v>
      </c>
      <c r="I55" s="124">
        <f t="shared" si="7"/>
        <v>17252.536984366114</v>
      </c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5.75" customHeight="1" x14ac:dyDescent="0.25">
      <c r="A56" s="146" t="s">
        <v>270</v>
      </c>
      <c r="B56" s="147" t="s">
        <v>271</v>
      </c>
      <c r="C56" s="147" t="s">
        <v>237</v>
      </c>
      <c r="D56" s="149">
        <v>1</v>
      </c>
      <c r="E56" s="149">
        <v>11091.3870191853</v>
      </c>
      <c r="F56" s="152">
        <v>11091.3870191853</v>
      </c>
      <c r="G56" s="124">
        <f>$F56/3</f>
        <v>3697.1290063951001</v>
      </c>
      <c r="H56" s="124">
        <f t="shared" si="7"/>
        <v>3697.1290063951001</v>
      </c>
      <c r="I56" s="124">
        <f t="shared" si="7"/>
        <v>3697.1290063951001</v>
      </c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5.75" customHeight="1" x14ac:dyDescent="0.25">
      <c r="A57" s="146" t="s">
        <v>272</v>
      </c>
      <c r="B57" s="147" t="s">
        <v>273</v>
      </c>
      <c r="C57" s="147" t="s">
        <v>237</v>
      </c>
      <c r="D57" s="149">
        <v>1</v>
      </c>
      <c r="E57" s="149">
        <v>9707.7054090275869</v>
      </c>
      <c r="F57" s="152">
        <v>9707.7054090275869</v>
      </c>
      <c r="G57" s="124">
        <f>$F57/3</f>
        <v>3235.9018030091956</v>
      </c>
      <c r="H57" s="124">
        <f t="shared" si="7"/>
        <v>3235.9018030091956</v>
      </c>
      <c r="I57" s="124">
        <f t="shared" si="7"/>
        <v>3235.9018030091956</v>
      </c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15.75" customHeight="1" x14ac:dyDescent="0.25">
      <c r="A58" s="146" t="s">
        <v>274</v>
      </c>
      <c r="B58" s="147" t="s">
        <v>275</v>
      </c>
      <c r="C58" s="147" t="s">
        <v>237</v>
      </c>
      <c r="D58" s="149">
        <v>1</v>
      </c>
      <c r="E58" s="149">
        <v>12200</v>
      </c>
      <c r="F58" s="152">
        <v>12200</v>
      </c>
      <c r="G58" s="124">
        <f>$F58/3</f>
        <v>4066.6666666666665</v>
      </c>
      <c r="H58" s="124">
        <f t="shared" si="7"/>
        <v>4066.6666666666665</v>
      </c>
      <c r="I58" s="124">
        <f t="shared" si="7"/>
        <v>4066.6666666666665</v>
      </c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15.75" customHeight="1" x14ac:dyDescent="0.25">
      <c r="A59" s="146" t="s">
        <v>276</v>
      </c>
      <c r="B59" s="147" t="s">
        <v>277</v>
      </c>
      <c r="C59" s="151" t="s">
        <v>237</v>
      </c>
      <c r="D59" s="149">
        <v>1</v>
      </c>
      <c r="E59" s="149">
        <v>14500</v>
      </c>
      <c r="F59" s="152">
        <v>14500</v>
      </c>
      <c r="G59" s="124">
        <f>$F59/3</f>
        <v>4833.333333333333</v>
      </c>
      <c r="H59" s="124">
        <f t="shared" si="7"/>
        <v>4833.333333333333</v>
      </c>
      <c r="I59" s="124">
        <f t="shared" si="7"/>
        <v>4833.333333333333</v>
      </c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15.75" customHeight="1" x14ac:dyDescent="0.25">
      <c r="A60" s="146" t="s">
        <v>278</v>
      </c>
      <c r="B60" s="147" t="s">
        <v>279</v>
      </c>
      <c r="C60" s="147" t="s">
        <v>230</v>
      </c>
      <c r="D60" s="148">
        <v>70.319999999999993</v>
      </c>
      <c r="E60" s="149">
        <v>119.41</v>
      </c>
      <c r="F60" s="150">
        <v>8396.9111999999986</v>
      </c>
      <c r="G60" s="123">
        <f>F60</f>
        <v>8396.9111999999986</v>
      </c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5.75" customHeight="1" x14ac:dyDescent="0.25">
      <c r="A61" s="140" t="s">
        <v>280</v>
      </c>
      <c r="B61" s="137" t="s">
        <v>281</v>
      </c>
      <c r="C61" s="137"/>
      <c r="D61" s="138"/>
      <c r="E61" s="138"/>
      <c r="F61" s="139">
        <v>242468.98441337305</v>
      </c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5.75" customHeight="1" x14ac:dyDescent="0.25">
      <c r="A62" s="145" t="s">
        <v>282</v>
      </c>
      <c r="B62" s="133" t="s">
        <v>283</v>
      </c>
      <c r="C62" s="133"/>
      <c r="D62" s="134"/>
      <c r="E62" s="134"/>
      <c r="F62" s="135">
        <v>866773.6</v>
      </c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5.75" customHeight="1" x14ac:dyDescent="0.25">
      <c r="A63" s="140" t="s">
        <v>284</v>
      </c>
      <c r="B63" s="137" t="s">
        <v>285</v>
      </c>
      <c r="C63" s="137"/>
      <c r="D63" s="138"/>
      <c r="E63" s="138"/>
      <c r="F63" s="139">
        <v>756883.6</v>
      </c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5.75" customHeight="1" x14ac:dyDescent="0.25">
      <c r="A64" s="146" t="s">
        <v>286</v>
      </c>
      <c r="B64" s="147" t="s">
        <v>287</v>
      </c>
      <c r="C64" s="147" t="s">
        <v>237</v>
      </c>
      <c r="D64" s="148">
        <v>1</v>
      </c>
      <c r="E64" s="148">
        <v>37600</v>
      </c>
      <c r="F64" s="152">
        <v>41360</v>
      </c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5.75" customHeight="1" x14ac:dyDescent="0.25">
      <c r="A65" s="146" t="s">
        <v>288</v>
      </c>
      <c r="B65" s="147" t="s">
        <v>289</v>
      </c>
      <c r="C65" s="147" t="s">
        <v>187</v>
      </c>
      <c r="D65" s="148">
        <v>1</v>
      </c>
      <c r="E65" s="148">
        <v>12320</v>
      </c>
      <c r="F65" s="152">
        <v>13552.000000000002</v>
      </c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15.75" customHeight="1" x14ac:dyDescent="0.25">
      <c r="A66" s="146" t="s">
        <v>290</v>
      </c>
      <c r="B66" s="147" t="s">
        <v>291</v>
      </c>
      <c r="C66" s="147" t="s">
        <v>328</v>
      </c>
      <c r="D66" s="148">
        <v>1</v>
      </c>
      <c r="E66" s="148">
        <v>257599.99999999997</v>
      </c>
      <c r="F66" s="152">
        <v>283360</v>
      </c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5.75" customHeight="1" x14ac:dyDescent="0.25">
      <c r="A67" s="146" t="s">
        <v>292</v>
      </c>
      <c r="B67" s="147" t="s">
        <v>308</v>
      </c>
      <c r="C67" s="147" t="s">
        <v>218</v>
      </c>
      <c r="D67" s="148">
        <v>28</v>
      </c>
      <c r="E67" s="148">
        <v>2800</v>
      </c>
      <c r="F67" s="152">
        <v>86240</v>
      </c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5.75" customHeight="1" x14ac:dyDescent="0.25">
      <c r="A68" s="146" t="s">
        <v>294</v>
      </c>
      <c r="B68" s="147" t="s">
        <v>293</v>
      </c>
      <c r="C68" s="147" t="s">
        <v>187</v>
      </c>
      <c r="D68" s="148">
        <v>1</v>
      </c>
      <c r="E68" s="149">
        <v>17600</v>
      </c>
      <c r="F68" s="152">
        <v>19360</v>
      </c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5.75" customHeight="1" x14ac:dyDescent="0.25">
      <c r="A69" s="146" t="s">
        <v>296</v>
      </c>
      <c r="B69" s="147" t="s">
        <v>295</v>
      </c>
      <c r="C69" s="147" t="s">
        <v>187</v>
      </c>
      <c r="D69" s="148">
        <v>1</v>
      </c>
      <c r="E69" s="149">
        <v>13000</v>
      </c>
      <c r="F69" s="152">
        <v>14300.000000000002</v>
      </c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5.75" customHeight="1" x14ac:dyDescent="0.25">
      <c r="A70" s="146" t="s">
        <v>297</v>
      </c>
      <c r="B70" s="147" t="s">
        <v>329</v>
      </c>
      <c r="C70" s="147" t="s">
        <v>328</v>
      </c>
      <c r="D70" s="148">
        <v>1</v>
      </c>
      <c r="E70" s="148">
        <v>163800</v>
      </c>
      <c r="F70" s="152">
        <v>180180</v>
      </c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5.75" customHeight="1" x14ac:dyDescent="0.25">
      <c r="A71" s="146" t="s">
        <v>298</v>
      </c>
      <c r="B71" s="147" t="s">
        <v>308</v>
      </c>
      <c r="C71" s="147" t="s">
        <v>218</v>
      </c>
      <c r="D71" s="148">
        <v>26</v>
      </c>
      <c r="E71" s="148">
        <v>3500</v>
      </c>
      <c r="F71" s="152">
        <v>100100.00000000001</v>
      </c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5.75" customHeight="1" x14ac:dyDescent="0.25">
      <c r="A72" s="146" t="s">
        <v>309</v>
      </c>
      <c r="B72" s="147" t="s">
        <v>330</v>
      </c>
      <c r="C72" s="147" t="s">
        <v>187</v>
      </c>
      <c r="D72" s="148">
        <v>1</v>
      </c>
      <c r="E72" s="148">
        <v>7000</v>
      </c>
      <c r="F72" s="152">
        <v>7700.0000000000009</v>
      </c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5.75" customHeight="1" x14ac:dyDescent="0.25">
      <c r="A73" s="146" t="s">
        <v>310</v>
      </c>
      <c r="B73" s="147" t="s">
        <v>331</v>
      </c>
      <c r="C73" s="147" t="s">
        <v>218</v>
      </c>
      <c r="D73" s="148">
        <v>1</v>
      </c>
      <c r="E73" s="148">
        <v>9756</v>
      </c>
      <c r="F73" s="152">
        <v>10731.6</v>
      </c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5.75" customHeight="1" x14ac:dyDescent="0.25">
      <c r="A74" s="140" t="s">
        <v>299</v>
      </c>
      <c r="B74" s="137" t="s">
        <v>77</v>
      </c>
      <c r="C74" s="137"/>
      <c r="D74" s="153"/>
      <c r="E74" s="153"/>
      <c r="F74" s="139">
        <v>109890</v>
      </c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5.75" customHeight="1" x14ac:dyDescent="0.25">
      <c r="A75" s="146" t="s">
        <v>300</v>
      </c>
      <c r="B75" s="147" t="s">
        <v>301</v>
      </c>
      <c r="C75" s="147" t="s">
        <v>218</v>
      </c>
      <c r="D75" s="148">
        <v>14</v>
      </c>
      <c r="E75" s="148">
        <v>3600</v>
      </c>
      <c r="F75" s="152">
        <v>55440.000000000007</v>
      </c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5.75" customHeight="1" x14ac:dyDescent="0.25">
      <c r="A76" s="146" t="s">
        <v>302</v>
      </c>
      <c r="B76" s="147" t="s">
        <v>303</v>
      </c>
      <c r="C76" s="147" t="s">
        <v>187</v>
      </c>
      <c r="D76" s="148">
        <v>90</v>
      </c>
      <c r="E76" s="148">
        <v>450</v>
      </c>
      <c r="F76" s="152">
        <v>44550</v>
      </c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5.75" customHeight="1" x14ac:dyDescent="0.25">
      <c r="A77" s="146" t="s">
        <v>304</v>
      </c>
      <c r="B77" s="154" t="s">
        <v>305</v>
      </c>
      <c r="C77" s="147" t="s">
        <v>218</v>
      </c>
      <c r="D77" s="155">
        <v>6</v>
      </c>
      <c r="E77" s="155">
        <v>1500</v>
      </c>
      <c r="F77" s="152">
        <v>9900</v>
      </c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9.5" customHeight="1" thickBot="1" x14ac:dyDescent="0.3">
      <c r="A78" s="167" t="s">
        <v>306</v>
      </c>
      <c r="B78" s="168"/>
      <c r="C78" s="168"/>
      <c r="D78" s="168"/>
      <c r="E78" s="169"/>
      <c r="F78" s="156">
        <v>5005574.1978001595</v>
      </c>
      <c r="G78" s="124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9.5" customHeight="1" x14ac:dyDescent="0.25">
      <c r="A79" s="120"/>
      <c r="B79" s="120"/>
      <c r="C79" s="120"/>
      <c r="D79" s="121"/>
      <c r="E79" s="121"/>
      <c r="F79" s="12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9.5" customHeight="1" x14ac:dyDescent="0.25">
      <c r="A80" s="120"/>
      <c r="B80" s="120"/>
      <c r="C80" s="120"/>
      <c r="D80" s="121"/>
      <c r="E80" s="121"/>
      <c r="F80" s="12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9.5" customHeight="1" x14ac:dyDescent="0.25">
      <c r="A81" s="120"/>
      <c r="B81" s="120"/>
      <c r="C81" s="120"/>
      <c r="D81" s="121"/>
      <c r="E81" s="121"/>
      <c r="F81" s="12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9.5" customHeight="1" x14ac:dyDescent="0.25">
      <c r="A82" s="120"/>
      <c r="B82" s="120"/>
      <c r="C82" s="120"/>
      <c r="D82" s="121"/>
      <c r="E82" s="121"/>
      <c r="F82" s="12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9.5" customHeight="1" x14ac:dyDescent="0.25">
      <c r="A83" s="120"/>
      <c r="B83" s="120"/>
      <c r="C83" s="120"/>
      <c r="D83" s="121"/>
      <c r="E83" s="121"/>
      <c r="F83" s="12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9.5" customHeight="1" x14ac:dyDescent="0.25">
      <c r="A84" s="120"/>
      <c r="B84" s="120"/>
      <c r="C84" s="120"/>
      <c r="D84" s="121"/>
      <c r="E84" s="121"/>
      <c r="F84" s="12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9.5" customHeight="1" x14ac:dyDescent="0.25">
      <c r="A85" s="120"/>
      <c r="B85" s="120"/>
      <c r="C85" s="120"/>
      <c r="D85" s="121"/>
      <c r="E85" s="121"/>
      <c r="F85" s="12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9.5" customHeight="1" x14ac:dyDescent="0.25">
      <c r="A86" s="120"/>
      <c r="B86" s="120"/>
      <c r="C86" s="120"/>
      <c r="D86" s="121"/>
      <c r="E86" s="121"/>
      <c r="F86" s="12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9.5" customHeight="1" x14ac:dyDescent="0.25">
      <c r="A87" s="120"/>
      <c r="B87" s="120"/>
      <c r="C87" s="120"/>
      <c r="D87" s="121"/>
      <c r="E87" s="121"/>
      <c r="F87" s="12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9.5" customHeight="1" x14ac:dyDescent="0.25">
      <c r="A88" s="120"/>
      <c r="B88" s="120"/>
      <c r="C88" s="120"/>
      <c r="D88" s="121"/>
      <c r="E88" s="121"/>
      <c r="F88" s="12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9.5" customHeight="1" x14ac:dyDescent="0.25">
      <c r="A89" s="120"/>
      <c r="B89" s="120"/>
      <c r="C89" s="120"/>
      <c r="D89" s="121"/>
      <c r="E89" s="121"/>
      <c r="F89" s="12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9.5" customHeight="1" x14ac:dyDescent="0.25">
      <c r="A90" s="120"/>
      <c r="B90" s="120"/>
      <c r="C90" s="120"/>
      <c r="D90" s="121"/>
      <c r="E90" s="121"/>
      <c r="F90" s="12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9.5" customHeight="1" x14ac:dyDescent="0.25">
      <c r="A91" s="120"/>
      <c r="B91" s="120"/>
      <c r="C91" s="120"/>
      <c r="D91" s="121"/>
      <c r="E91" s="121"/>
      <c r="F91" s="12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9.5" customHeight="1" x14ac:dyDescent="0.25">
      <c r="A92" s="120"/>
      <c r="B92" s="120"/>
      <c r="C92" s="120"/>
      <c r="D92" s="121"/>
      <c r="E92" s="121"/>
      <c r="F92" s="12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9.5" customHeight="1" x14ac:dyDescent="0.25">
      <c r="A93" s="120"/>
      <c r="B93" s="120"/>
      <c r="C93" s="120"/>
      <c r="D93" s="121"/>
      <c r="E93" s="121"/>
      <c r="F93" s="12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9.5" customHeight="1" x14ac:dyDescent="0.25">
      <c r="A94" s="120"/>
      <c r="B94" s="120"/>
      <c r="C94" s="120"/>
      <c r="D94" s="121"/>
      <c r="E94" s="121"/>
      <c r="F94" s="12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9.5" customHeight="1" x14ac:dyDescent="0.25">
      <c r="A95" s="120"/>
      <c r="B95" s="120"/>
      <c r="C95" s="120"/>
      <c r="D95" s="121"/>
      <c r="E95" s="121"/>
      <c r="F95" s="12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9.5" customHeight="1" x14ac:dyDescent="0.25">
      <c r="A96" s="120"/>
      <c r="B96" s="120"/>
      <c r="C96" s="120"/>
      <c r="D96" s="121"/>
      <c r="E96" s="121"/>
      <c r="F96" s="12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9.5" customHeight="1" x14ac:dyDescent="0.25">
      <c r="A97" s="120"/>
      <c r="B97" s="120"/>
      <c r="C97" s="120"/>
      <c r="D97" s="121"/>
      <c r="E97" s="121"/>
      <c r="F97" s="12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9.5" customHeight="1" x14ac:dyDescent="0.25">
      <c r="A98" s="120"/>
      <c r="B98" s="120"/>
      <c r="C98" s="120"/>
      <c r="D98" s="121"/>
      <c r="E98" s="121"/>
      <c r="F98" s="12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9.5" customHeight="1" x14ac:dyDescent="0.25">
      <c r="A99" s="120"/>
      <c r="B99" s="120"/>
      <c r="C99" s="120"/>
      <c r="D99" s="121"/>
      <c r="E99" s="121"/>
      <c r="F99" s="12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9.5" customHeight="1" x14ac:dyDescent="0.25">
      <c r="A100" s="120"/>
      <c r="B100" s="120"/>
      <c r="C100" s="120"/>
      <c r="D100" s="121"/>
      <c r="E100" s="121"/>
      <c r="F100" s="12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9.5" customHeight="1" x14ac:dyDescent="0.25">
      <c r="A101" s="120"/>
      <c r="B101" s="120"/>
      <c r="C101" s="120"/>
      <c r="D101" s="121"/>
      <c r="E101" s="121"/>
      <c r="F101" s="12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9.5" customHeight="1" x14ac:dyDescent="0.25">
      <c r="A102" s="120"/>
      <c r="B102" s="120"/>
      <c r="C102" s="120"/>
      <c r="D102" s="121"/>
      <c r="E102" s="121"/>
      <c r="F102" s="12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9.5" customHeight="1" x14ac:dyDescent="0.25">
      <c r="A103" s="120"/>
      <c r="B103" s="120"/>
      <c r="C103" s="120"/>
      <c r="D103" s="121"/>
      <c r="E103" s="121"/>
      <c r="F103" s="12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spans="1:26" ht="19.5" customHeight="1" x14ac:dyDescent="0.25">
      <c r="A104" s="120"/>
      <c r="B104" s="120"/>
      <c r="C104" s="120"/>
      <c r="D104" s="121"/>
      <c r="E104" s="121"/>
      <c r="F104" s="12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spans="1:26" ht="19.5" customHeight="1" x14ac:dyDescent="0.25">
      <c r="A105" s="120"/>
      <c r="B105" s="120"/>
      <c r="C105" s="120"/>
      <c r="D105" s="121"/>
      <c r="E105" s="121"/>
      <c r="F105" s="12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spans="1:26" ht="19.5" customHeight="1" x14ac:dyDescent="0.25">
      <c r="A106" s="120"/>
      <c r="B106" s="120"/>
      <c r="C106" s="120"/>
      <c r="D106" s="121"/>
      <c r="E106" s="121"/>
      <c r="F106" s="12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spans="1:26" ht="19.5" customHeight="1" x14ac:dyDescent="0.25">
      <c r="A107" s="120"/>
      <c r="B107" s="120"/>
      <c r="C107" s="120"/>
      <c r="D107" s="121"/>
      <c r="E107" s="121"/>
      <c r="F107" s="12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spans="1:26" ht="19.5" customHeight="1" x14ac:dyDescent="0.25">
      <c r="A108" s="120"/>
      <c r="B108" s="120"/>
      <c r="C108" s="120"/>
      <c r="D108" s="121"/>
      <c r="E108" s="121"/>
      <c r="F108" s="12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spans="1:26" ht="19.5" customHeight="1" x14ac:dyDescent="0.25">
      <c r="A109" s="120"/>
      <c r="B109" s="120"/>
      <c r="C109" s="120"/>
      <c r="D109" s="121"/>
      <c r="E109" s="121"/>
      <c r="F109" s="12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spans="1:26" ht="19.5" customHeight="1" x14ac:dyDescent="0.25">
      <c r="A110" s="120"/>
      <c r="B110" s="120"/>
      <c r="C110" s="120"/>
      <c r="D110" s="121"/>
      <c r="E110" s="121"/>
      <c r="F110" s="12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spans="1:26" ht="19.5" customHeight="1" x14ac:dyDescent="0.25">
      <c r="A111" s="120"/>
      <c r="B111" s="120"/>
      <c r="C111" s="120"/>
      <c r="D111" s="121"/>
      <c r="E111" s="121"/>
      <c r="F111" s="12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spans="1:26" ht="19.5" customHeight="1" x14ac:dyDescent="0.25">
      <c r="A112" s="120"/>
      <c r="B112" s="120"/>
      <c r="C112" s="120"/>
      <c r="D112" s="121"/>
      <c r="E112" s="121"/>
      <c r="F112" s="12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spans="1:26" ht="19.5" customHeight="1" x14ac:dyDescent="0.25">
      <c r="A113" s="120"/>
      <c r="B113" s="120"/>
      <c r="C113" s="120"/>
      <c r="D113" s="121"/>
      <c r="E113" s="121"/>
      <c r="F113" s="12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spans="1:26" ht="19.5" customHeight="1" x14ac:dyDescent="0.25">
      <c r="A114" s="120"/>
      <c r="B114" s="120"/>
      <c r="C114" s="120"/>
      <c r="D114" s="121"/>
      <c r="E114" s="121"/>
      <c r="F114" s="12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spans="1:26" ht="19.5" customHeight="1" x14ac:dyDescent="0.25">
      <c r="A115" s="120"/>
      <c r="B115" s="120"/>
      <c r="C115" s="120"/>
      <c r="D115" s="121"/>
      <c r="E115" s="121"/>
      <c r="F115" s="12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spans="1:26" ht="19.5" customHeight="1" x14ac:dyDescent="0.25">
      <c r="A116" s="120"/>
      <c r="B116" s="120"/>
      <c r="C116" s="120"/>
      <c r="D116" s="121"/>
      <c r="E116" s="121"/>
      <c r="F116" s="12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spans="1:26" ht="19.5" customHeight="1" x14ac:dyDescent="0.25">
      <c r="A117" s="120"/>
      <c r="B117" s="120"/>
      <c r="C117" s="120"/>
      <c r="D117" s="121"/>
      <c r="E117" s="121"/>
      <c r="F117" s="12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spans="1:26" ht="19.5" customHeight="1" x14ac:dyDescent="0.25">
      <c r="A118" s="120"/>
      <c r="B118" s="120"/>
      <c r="C118" s="120"/>
      <c r="D118" s="121"/>
      <c r="E118" s="121"/>
      <c r="F118" s="12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spans="1:26" ht="19.5" customHeight="1" x14ac:dyDescent="0.25">
      <c r="A119" s="120"/>
      <c r="B119" s="120"/>
      <c r="C119" s="120"/>
      <c r="D119" s="121"/>
      <c r="E119" s="121"/>
      <c r="F119" s="12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spans="1:26" ht="19.5" customHeight="1" x14ac:dyDescent="0.25">
      <c r="A120" s="120"/>
      <c r="B120" s="120"/>
      <c r="C120" s="120"/>
      <c r="D120" s="121"/>
      <c r="E120" s="121"/>
      <c r="F120" s="12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spans="1:26" ht="19.5" customHeight="1" x14ac:dyDescent="0.25">
      <c r="A121" s="120"/>
      <c r="B121" s="120"/>
      <c r="C121" s="120"/>
      <c r="D121" s="121"/>
      <c r="E121" s="121"/>
      <c r="F121" s="12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spans="1:26" ht="19.5" customHeight="1" x14ac:dyDescent="0.25">
      <c r="A122" s="120"/>
      <c r="B122" s="120"/>
      <c r="C122" s="120"/>
      <c r="D122" s="121"/>
      <c r="E122" s="121"/>
      <c r="F122" s="12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spans="1:26" ht="19.5" customHeight="1" x14ac:dyDescent="0.25">
      <c r="A123" s="120"/>
      <c r="B123" s="120"/>
      <c r="C123" s="120"/>
      <c r="D123" s="121"/>
      <c r="E123" s="121"/>
      <c r="F123" s="12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spans="1:26" ht="19.5" customHeight="1" x14ac:dyDescent="0.25">
      <c r="A124" s="120"/>
      <c r="B124" s="120"/>
      <c r="C124" s="120"/>
      <c r="D124" s="121"/>
      <c r="E124" s="121"/>
      <c r="F124" s="12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spans="1:26" ht="19.5" customHeight="1" x14ac:dyDescent="0.25">
      <c r="A125" s="120"/>
      <c r="B125" s="120"/>
      <c r="C125" s="120"/>
      <c r="D125" s="121"/>
      <c r="E125" s="121"/>
      <c r="F125" s="12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spans="1:26" ht="19.5" customHeight="1" x14ac:dyDescent="0.25">
      <c r="A126" s="120"/>
      <c r="B126" s="120"/>
      <c r="C126" s="120"/>
      <c r="D126" s="121"/>
      <c r="E126" s="121"/>
      <c r="F126" s="12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spans="1:26" ht="19.5" customHeight="1" x14ac:dyDescent="0.25">
      <c r="A127" s="120"/>
      <c r="B127" s="120"/>
      <c r="C127" s="120"/>
      <c r="D127" s="121"/>
      <c r="E127" s="121"/>
      <c r="F127" s="12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spans="1:26" ht="19.5" customHeight="1" x14ac:dyDescent="0.25">
      <c r="A128" s="120"/>
      <c r="B128" s="120"/>
      <c r="C128" s="120"/>
      <c r="D128" s="121"/>
      <c r="E128" s="121"/>
      <c r="F128" s="12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spans="1:26" ht="19.5" customHeight="1" x14ac:dyDescent="0.25">
      <c r="A129" s="120"/>
      <c r="B129" s="120"/>
      <c r="C129" s="120"/>
      <c r="D129" s="121"/>
      <c r="E129" s="121"/>
      <c r="F129" s="12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spans="1:26" ht="19.5" customHeight="1" x14ac:dyDescent="0.25">
      <c r="A130" s="120"/>
      <c r="B130" s="120"/>
      <c r="C130" s="120"/>
      <c r="D130" s="121"/>
      <c r="E130" s="121"/>
      <c r="F130" s="12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spans="1:26" ht="19.5" customHeight="1" x14ac:dyDescent="0.25">
      <c r="A131" s="120"/>
      <c r="B131" s="120"/>
      <c r="C131" s="120"/>
      <c r="D131" s="121"/>
      <c r="E131" s="121"/>
      <c r="F131" s="12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spans="1:26" ht="19.5" customHeight="1" x14ac:dyDescent="0.25">
      <c r="A132" s="120"/>
      <c r="B132" s="120"/>
      <c r="C132" s="120"/>
      <c r="D132" s="121"/>
      <c r="E132" s="121"/>
      <c r="F132" s="12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spans="1:26" ht="19.5" customHeight="1" x14ac:dyDescent="0.25">
      <c r="A133" s="120"/>
      <c r="B133" s="120"/>
      <c r="C133" s="120"/>
      <c r="D133" s="121"/>
      <c r="E133" s="121"/>
      <c r="F133" s="12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spans="1:26" ht="19.5" customHeight="1" x14ac:dyDescent="0.25">
      <c r="A134" s="120"/>
      <c r="B134" s="120"/>
      <c r="C134" s="120"/>
      <c r="D134" s="121"/>
      <c r="E134" s="121"/>
      <c r="F134" s="12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spans="1:26" ht="19.5" customHeight="1" x14ac:dyDescent="0.25">
      <c r="A135" s="120"/>
      <c r="B135" s="120"/>
      <c r="C135" s="120"/>
      <c r="D135" s="121"/>
      <c r="E135" s="121"/>
      <c r="F135" s="12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spans="1:26" ht="19.5" customHeight="1" x14ac:dyDescent="0.25">
      <c r="A136" s="120"/>
      <c r="B136" s="120"/>
      <c r="C136" s="120"/>
      <c r="D136" s="121"/>
      <c r="E136" s="121"/>
      <c r="F136" s="12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spans="1:26" ht="19.5" customHeight="1" x14ac:dyDescent="0.25">
      <c r="A137" s="120"/>
      <c r="B137" s="120"/>
      <c r="C137" s="120"/>
      <c r="D137" s="121"/>
      <c r="E137" s="121"/>
      <c r="F137" s="12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spans="1:26" ht="19.5" customHeight="1" x14ac:dyDescent="0.25">
      <c r="A138" s="120"/>
      <c r="B138" s="120"/>
      <c r="C138" s="120"/>
      <c r="D138" s="121"/>
      <c r="E138" s="121"/>
      <c r="F138" s="12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spans="1:26" ht="19.5" customHeight="1" x14ac:dyDescent="0.25">
      <c r="A139" s="120"/>
      <c r="B139" s="120"/>
      <c r="C139" s="120"/>
      <c r="D139" s="121"/>
      <c r="E139" s="121"/>
      <c r="F139" s="12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spans="1:26" ht="19.5" customHeight="1" x14ac:dyDescent="0.25">
      <c r="A140" s="120"/>
      <c r="B140" s="120"/>
      <c r="C140" s="120"/>
      <c r="D140" s="121"/>
      <c r="E140" s="121"/>
      <c r="F140" s="12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spans="1:26" ht="19.5" customHeight="1" x14ac:dyDescent="0.25">
      <c r="A141" s="120"/>
      <c r="B141" s="120"/>
      <c r="C141" s="120"/>
      <c r="D141" s="121"/>
      <c r="E141" s="121"/>
      <c r="F141" s="12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spans="1:26" ht="19.5" customHeight="1" x14ac:dyDescent="0.25">
      <c r="A142" s="120"/>
      <c r="B142" s="120"/>
      <c r="C142" s="120"/>
      <c r="D142" s="121"/>
      <c r="E142" s="121"/>
      <c r="F142" s="12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spans="1:26" ht="19.5" customHeight="1" x14ac:dyDescent="0.25">
      <c r="A143" s="120"/>
      <c r="B143" s="120"/>
      <c r="C143" s="120"/>
      <c r="D143" s="121"/>
      <c r="E143" s="121"/>
      <c r="F143" s="12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spans="1:26" ht="19.5" customHeight="1" x14ac:dyDescent="0.25">
      <c r="A144" s="120"/>
      <c r="B144" s="120"/>
      <c r="C144" s="120"/>
      <c r="D144" s="121"/>
      <c r="E144" s="121"/>
      <c r="F144" s="12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spans="1:26" ht="19.5" customHeight="1" x14ac:dyDescent="0.25">
      <c r="A145" s="120"/>
      <c r="B145" s="120"/>
      <c r="C145" s="120"/>
      <c r="D145" s="121"/>
      <c r="E145" s="121"/>
      <c r="F145" s="12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spans="1:26" ht="19.5" customHeight="1" x14ac:dyDescent="0.25">
      <c r="A146" s="120"/>
      <c r="B146" s="120"/>
      <c r="C146" s="120"/>
      <c r="D146" s="121"/>
      <c r="E146" s="121"/>
      <c r="F146" s="12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spans="1:26" ht="19.5" customHeight="1" x14ac:dyDescent="0.25">
      <c r="A147" s="120"/>
      <c r="B147" s="120"/>
      <c r="C147" s="120"/>
      <c r="D147" s="121"/>
      <c r="E147" s="121"/>
      <c r="F147" s="12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spans="1:26" ht="19.5" customHeight="1" x14ac:dyDescent="0.25">
      <c r="A148" s="120"/>
      <c r="B148" s="120"/>
      <c r="C148" s="120"/>
      <c r="D148" s="121"/>
      <c r="E148" s="121"/>
      <c r="F148" s="12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spans="1:26" ht="19.5" customHeight="1" x14ac:dyDescent="0.25">
      <c r="A149" s="120"/>
      <c r="B149" s="120"/>
      <c r="C149" s="120"/>
      <c r="D149" s="121"/>
      <c r="E149" s="121"/>
      <c r="F149" s="12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spans="1:26" ht="19.5" customHeight="1" x14ac:dyDescent="0.25">
      <c r="A150" s="120"/>
      <c r="B150" s="120"/>
      <c r="C150" s="120"/>
      <c r="D150" s="121"/>
      <c r="E150" s="121"/>
      <c r="F150" s="12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spans="1:26" ht="19.5" customHeight="1" x14ac:dyDescent="0.25">
      <c r="A151" s="120"/>
      <c r="B151" s="120"/>
      <c r="C151" s="120"/>
      <c r="D151" s="121"/>
      <c r="E151" s="121"/>
      <c r="F151" s="12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spans="1:26" ht="19.5" customHeight="1" x14ac:dyDescent="0.25">
      <c r="A152" s="120"/>
      <c r="B152" s="120"/>
      <c r="C152" s="120"/>
      <c r="D152" s="121"/>
      <c r="E152" s="121"/>
      <c r="F152" s="12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spans="1:26" ht="19.5" customHeight="1" x14ac:dyDescent="0.25">
      <c r="A153" s="120"/>
      <c r="B153" s="120"/>
      <c r="C153" s="120"/>
      <c r="D153" s="121"/>
      <c r="E153" s="121"/>
      <c r="F153" s="12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spans="1:26" ht="19.5" customHeight="1" x14ac:dyDescent="0.25">
      <c r="A154" s="120"/>
      <c r="B154" s="120"/>
      <c r="C154" s="120"/>
      <c r="D154" s="121"/>
      <c r="E154" s="121"/>
      <c r="F154" s="12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spans="1:26" ht="19.5" customHeight="1" x14ac:dyDescent="0.25">
      <c r="A155" s="120"/>
      <c r="B155" s="120"/>
      <c r="C155" s="120"/>
      <c r="D155" s="121"/>
      <c r="E155" s="121"/>
      <c r="F155" s="12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spans="1:26" ht="19.5" customHeight="1" x14ac:dyDescent="0.25">
      <c r="A156" s="120"/>
      <c r="B156" s="120"/>
      <c r="C156" s="120"/>
      <c r="D156" s="121"/>
      <c r="E156" s="121"/>
      <c r="F156" s="12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spans="1:26" ht="19.5" customHeight="1" x14ac:dyDescent="0.25">
      <c r="A157" s="120"/>
      <c r="B157" s="120"/>
      <c r="C157" s="120"/>
      <c r="D157" s="121"/>
      <c r="E157" s="121"/>
      <c r="F157" s="12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spans="1:26" ht="19.5" customHeight="1" x14ac:dyDescent="0.25">
      <c r="A158" s="120"/>
      <c r="B158" s="120"/>
      <c r="C158" s="120"/>
      <c r="D158" s="121"/>
      <c r="E158" s="121"/>
      <c r="F158" s="12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spans="1:26" ht="19.5" customHeight="1" x14ac:dyDescent="0.25">
      <c r="A159" s="120"/>
      <c r="B159" s="120"/>
      <c r="C159" s="120"/>
      <c r="D159" s="121"/>
      <c r="E159" s="121"/>
      <c r="F159" s="12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spans="1:26" ht="19.5" customHeight="1" x14ac:dyDescent="0.25">
      <c r="A160" s="120"/>
      <c r="B160" s="120"/>
      <c r="C160" s="120"/>
      <c r="D160" s="121"/>
      <c r="E160" s="121"/>
      <c r="F160" s="12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spans="1:26" ht="19.5" customHeight="1" x14ac:dyDescent="0.25">
      <c r="A161" s="120"/>
      <c r="B161" s="120"/>
      <c r="C161" s="120"/>
      <c r="D161" s="121"/>
      <c r="E161" s="121"/>
      <c r="F161" s="12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spans="1:26" ht="19.5" customHeight="1" x14ac:dyDescent="0.25">
      <c r="A162" s="120"/>
      <c r="B162" s="120"/>
      <c r="C162" s="120"/>
      <c r="D162" s="121"/>
      <c r="E162" s="121"/>
      <c r="F162" s="12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spans="1:26" ht="19.5" customHeight="1" x14ac:dyDescent="0.25">
      <c r="A163" s="120"/>
      <c r="B163" s="120"/>
      <c r="C163" s="120"/>
      <c r="D163" s="121"/>
      <c r="E163" s="121"/>
      <c r="F163" s="12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spans="1:26" ht="19.5" customHeight="1" x14ac:dyDescent="0.25">
      <c r="A164" s="120"/>
      <c r="B164" s="120"/>
      <c r="C164" s="120"/>
      <c r="D164" s="121"/>
      <c r="E164" s="121"/>
      <c r="F164" s="12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spans="1:26" ht="19.5" customHeight="1" x14ac:dyDescent="0.25">
      <c r="A165" s="120"/>
      <c r="B165" s="120"/>
      <c r="C165" s="120"/>
      <c r="D165" s="121"/>
      <c r="E165" s="121"/>
      <c r="F165" s="12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spans="1:26" ht="19.5" customHeight="1" x14ac:dyDescent="0.25">
      <c r="A166" s="120"/>
      <c r="B166" s="120"/>
      <c r="C166" s="120"/>
      <c r="D166" s="121"/>
      <c r="E166" s="121"/>
      <c r="F166" s="12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spans="1:26" ht="19.5" customHeight="1" x14ac:dyDescent="0.25">
      <c r="A167" s="120"/>
      <c r="B167" s="120"/>
      <c r="C167" s="120"/>
      <c r="D167" s="121"/>
      <c r="E167" s="121"/>
      <c r="F167" s="12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spans="1:26" ht="19.5" customHeight="1" x14ac:dyDescent="0.25">
      <c r="A168" s="120"/>
      <c r="B168" s="120"/>
      <c r="C168" s="120"/>
      <c r="D168" s="121"/>
      <c r="E168" s="121"/>
      <c r="F168" s="12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spans="1:26" ht="19.5" customHeight="1" x14ac:dyDescent="0.25">
      <c r="A169" s="120"/>
      <c r="B169" s="120"/>
      <c r="C169" s="120"/>
      <c r="D169" s="121"/>
      <c r="E169" s="121"/>
      <c r="F169" s="12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spans="1:26" ht="19.5" customHeight="1" x14ac:dyDescent="0.25">
      <c r="A170" s="120"/>
      <c r="B170" s="120"/>
      <c r="C170" s="120"/>
      <c r="D170" s="121"/>
      <c r="E170" s="121"/>
      <c r="F170" s="12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spans="1:26" ht="19.5" customHeight="1" x14ac:dyDescent="0.25">
      <c r="A171" s="120"/>
      <c r="B171" s="120"/>
      <c r="C171" s="120"/>
      <c r="D171" s="121"/>
      <c r="E171" s="121"/>
      <c r="F171" s="12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spans="1:26" ht="19.5" customHeight="1" x14ac:dyDescent="0.25">
      <c r="A172" s="120"/>
      <c r="B172" s="120"/>
      <c r="C172" s="120"/>
      <c r="D172" s="121"/>
      <c r="E172" s="121"/>
      <c r="F172" s="12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spans="1:26" ht="19.5" customHeight="1" x14ac:dyDescent="0.25">
      <c r="A173" s="120"/>
      <c r="B173" s="120"/>
      <c r="C173" s="120"/>
      <c r="D173" s="121"/>
      <c r="E173" s="121"/>
      <c r="F173" s="12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spans="1:26" ht="19.5" customHeight="1" x14ac:dyDescent="0.25">
      <c r="A174" s="120"/>
      <c r="B174" s="120"/>
      <c r="C174" s="120"/>
      <c r="D174" s="121"/>
      <c r="E174" s="121"/>
      <c r="F174" s="12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spans="1:26" ht="19.5" customHeight="1" x14ac:dyDescent="0.25">
      <c r="A175" s="120"/>
      <c r="B175" s="120"/>
      <c r="C175" s="120"/>
      <c r="D175" s="121"/>
      <c r="E175" s="121"/>
      <c r="F175" s="12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spans="1:26" ht="19.5" customHeight="1" x14ac:dyDescent="0.25">
      <c r="A176" s="120"/>
      <c r="B176" s="120"/>
      <c r="C176" s="120"/>
      <c r="D176" s="121"/>
      <c r="E176" s="121"/>
      <c r="F176" s="12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spans="1:26" ht="19.5" customHeight="1" x14ac:dyDescent="0.25">
      <c r="A177" s="120"/>
      <c r="B177" s="120"/>
      <c r="C177" s="120"/>
      <c r="D177" s="121"/>
      <c r="E177" s="121"/>
      <c r="F177" s="12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spans="1:26" ht="19.5" customHeight="1" x14ac:dyDescent="0.25">
      <c r="A178" s="120"/>
      <c r="B178" s="120"/>
      <c r="C178" s="120"/>
      <c r="D178" s="121"/>
      <c r="E178" s="121"/>
      <c r="F178" s="12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spans="1:26" ht="19.5" customHeight="1" x14ac:dyDescent="0.25">
      <c r="A179" s="120"/>
      <c r="B179" s="120"/>
      <c r="C179" s="120"/>
      <c r="D179" s="121"/>
      <c r="E179" s="121"/>
      <c r="F179" s="12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spans="1:26" ht="19.5" customHeight="1" x14ac:dyDescent="0.25">
      <c r="A180" s="120"/>
      <c r="B180" s="120"/>
      <c r="C180" s="120"/>
      <c r="D180" s="121"/>
      <c r="E180" s="121"/>
      <c r="F180" s="12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spans="1:26" ht="19.5" customHeight="1" x14ac:dyDescent="0.25">
      <c r="A181" s="120"/>
      <c r="B181" s="120"/>
      <c r="C181" s="120"/>
      <c r="D181" s="121"/>
      <c r="E181" s="121"/>
      <c r="F181" s="12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spans="1:26" ht="19.5" customHeight="1" x14ac:dyDescent="0.25">
      <c r="A182" s="120"/>
      <c r="B182" s="120"/>
      <c r="C182" s="120"/>
      <c r="D182" s="121"/>
      <c r="E182" s="121"/>
      <c r="F182" s="12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spans="1:26" ht="19.5" customHeight="1" x14ac:dyDescent="0.25">
      <c r="A183" s="120"/>
      <c r="B183" s="120"/>
      <c r="C183" s="120"/>
      <c r="D183" s="121"/>
      <c r="E183" s="121"/>
      <c r="F183" s="12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spans="1:26" ht="19.5" customHeight="1" x14ac:dyDescent="0.25">
      <c r="A184" s="120"/>
      <c r="B184" s="120"/>
      <c r="C184" s="120"/>
      <c r="D184" s="121"/>
      <c r="E184" s="121"/>
      <c r="F184" s="12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spans="1:26" ht="19.5" customHeight="1" x14ac:dyDescent="0.25">
      <c r="A185" s="120"/>
      <c r="B185" s="120"/>
      <c r="C185" s="120"/>
      <c r="D185" s="121"/>
      <c r="E185" s="121"/>
      <c r="F185" s="12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spans="1:26" ht="19.5" customHeight="1" x14ac:dyDescent="0.25">
      <c r="A186" s="120"/>
      <c r="B186" s="120"/>
      <c r="C186" s="120"/>
      <c r="D186" s="121"/>
      <c r="E186" s="121"/>
      <c r="F186" s="12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spans="1:26" ht="19.5" customHeight="1" x14ac:dyDescent="0.25">
      <c r="A187" s="120"/>
      <c r="B187" s="120"/>
      <c r="C187" s="120"/>
      <c r="D187" s="121"/>
      <c r="E187" s="121"/>
      <c r="F187" s="12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spans="1:26" ht="19.5" customHeight="1" x14ac:dyDescent="0.25">
      <c r="A188" s="120"/>
      <c r="B188" s="120"/>
      <c r="C188" s="120"/>
      <c r="D188" s="121"/>
      <c r="E188" s="121"/>
      <c r="F188" s="12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spans="1:26" ht="19.5" customHeight="1" x14ac:dyDescent="0.25">
      <c r="A189" s="120"/>
      <c r="B189" s="120"/>
      <c r="C189" s="120"/>
      <c r="D189" s="121"/>
      <c r="E189" s="121"/>
      <c r="F189" s="12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spans="1:26" ht="19.5" customHeight="1" x14ac:dyDescent="0.25">
      <c r="A190" s="120"/>
      <c r="B190" s="120"/>
      <c r="C190" s="120"/>
      <c r="D190" s="121"/>
      <c r="E190" s="121"/>
      <c r="F190" s="12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spans="1:26" ht="19.5" customHeight="1" x14ac:dyDescent="0.25">
      <c r="A191" s="120"/>
      <c r="B191" s="120"/>
      <c r="C191" s="120"/>
      <c r="D191" s="121"/>
      <c r="E191" s="121"/>
      <c r="F191" s="12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spans="1:26" ht="19.5" customHeight="1" x14ac:dyDescent="0.25">
      <c r="A192" s="120"/>
      <c r="B192" s="120"/>
      <c r="C192" s="120"/>
      <c r="D192" s="121"/>
      <c r="E192" s="121"/>
      <c r="F192" s="12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spans="1:26" ht="19.5" customHeight="1" x14ac:dyDescent="0.25">
      <c r="A193" s="120"/>
      <c r="B193" s="120"/>
      <c r="C193" s="120"/>
      <c r="D193" s="121"/>
      <c r="E193" s="121"/>
      <c r="F193" s="12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spans="1:26" ht="19.5" customHeight="1" x14ac:dyDescent="0.25">
      <c r="A194" s="120"/>
      <c r="B194" s="120"/>
      <c r="C194" s="120"/>
      <c r="D194" s="121"/>
      <c r="E194" s="121"/>
      <c r="F194" s="12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spans="1:26" ht="19.5" customHeight="1" x14ac:dyDescent="0.25">
      <c r="A195" s="120"/>
      <c r="B195" s="120"/>
      <c r="C195" s="120"/>
      <c r="D195" s="121"/>
      <c r="E195" s="121"/>
      <c r="F195" s="12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spans="1:26" ht="19.5" customHeight="1" x14ac:dyDescent="0.25">
      <c r="A196" s="120"/>
      <c r="B196" s="120"/>
      <c r="C196" s="120"/>
      <c r="D196" s="121"/>
      <c r="E196" s="121"/>
      <c r="F196" s="12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spans="1:26" ht="19.5" customHeight="1" x14ac:dyDescent="0.25">
      <c r="A197" s="120"/>
      <c r="B197" s="120"/>
      <c r="C197" s="120"/>
      <c r="D197" s="121"/>
      <c r="E197" s="121"/>
      <c r="F197" s="12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spans="1:26" ht="19.5" customHeight="1" x14ac:dyDescent="0.25">
      <c r="A198" s="120"/>
      <c r="B198" s="120"/>
      <c r="C198" s="120"/>
      <c r="D198" s="121"/>
      <c r="E198" s="121"/>
      <c r="F198" s="12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spans="1:26" ht="19.5" customHeight="1" x14ac:dyDescent="0.25">
      <c r="A199" s="120"/>
      <c r="B199" s="120"/>
      <c r="C199" s="120"/>
      <c r="D199" s="121"/>
      <c r="E199" s="121"/>
      <c r="F199" s="12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spans="1:26" ht="19.5" customHeight="1" x14ac:dyDescent="0.25">
      <c r="A200" s="120"/>
      <c r="B200" s="120"/>
      <c r="C200" s="120"/>
      <c r="D200" s="121"/>
      <c r="E200" s="121"/>
      <c r="F200" s="12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spans="1:26" ht="19.5" customHeight="1" x14ac:dyDescent="0.25">
      <c r="A201" s="120"/>
      <c r="B201" s="120"/>
      <c r="C201" s="120"/>
      <c r="D201" s="121"/>
      <c r="E201" s="121"/>
      <c r="F201" s="12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spans="1:26" ht="19.5" customHeight="1" x14ac:dyDescent="0.25">
      <c r="A202" s="120"/>
      <c r="B202" s="120"/>
      <c r="C202" s="120"/>
      <c r="D202" s="121"/>
      <c r="E202" s="121"/>
      <c r="F202" s="12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 ht="19.5" customHeight="1" x14ac:dyDescent="0.25">
      <c r="A203" s="120"/>
      <c r="B203" s="120"/>
      <c r="C203" s="120"/>
      <c r="D203" s="121"/>
      <c r="E203" s="121"/>
      <c r="F203" s="12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 ht="19.5" customHeight="1" x14ac:dyDescent="0.25">
      <c r="A204" s="120"/>
      <c r="B204" s="120"/>
      <c r="C204" s="120"/>
      <c r="D204" s="121"/>
      <c r="E204" s="121"/>
      <c r="F204" s="12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 ht="19.5" customHeight="1" x14ac:dyDescent="0.25">
      <c r="A205" s="120"/>
      <c r="B205" s="120"/>
      <c r="C205" s="120"/>
      <c r="D205" s="121"/>
      <c r="E205" s="121"/>
      <c r="F205" s="12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 ht="19.5" customHeight="1" x14ac:dyDescent="0.25">
      <c r="A206" s="120"/>
      <c r="B206" s="120"/>
      <c r="C206" s="120"/>
      <c r="D206" s="121"/>
      <c r="E206" s="121"/>
      <c r="F206" s="12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 ht="19.5" customHeight="1" x14ac:dyDescent="0.25">
      <c r="A207" s="120"/>
      <c r="B207" s="120"/>
      <c r="C207" s="120"/>
      <c r="D207" s="121"/>
      <c r="E207" s="121"/>
      <c r="F207" s="12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 ht="19.5" customHeight="1" x14ac:dyDescent="0.25">
      <c r="A208" s="120"/>
      <c r="B208" s="120"/>
      <c r="C208" s="120"/>
      <c r="D208" s="121"/>
      <c r="E208" s="121"/>
      <c r="F208" s="12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1:26" ht="19.5" customHeight="1" x14ac:dyDescent="0.25">
      <c r="A209" s="120"/>
      <c r="B209" s="120"/>
      <c r="C209" s="120"/>
      <c r="D209" s="121"/>
      <c r="E209" s="121"/>
      <c r="F209" s="12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spans="1:26" ht="19.5" customHeight="1" x14ac:dyDescent="0.25">
      <c r="A210" s="120"/>
      <c r="B210" s="120"/>
      <c r="C210" s="120"/>
      <c r="D210" s="121"/>
      <c r="E210" s="121"/>
      <c r="F210" s="12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spans="1:26" ht="19.5" customHeight="1" x14ac:dyDescent="0.25">
      <c r="A211" s="120"/>
      <c r="B211" s="120"/>
      <c r="C211" s="120"/>
      <c r="D211" s="121"/>
      <c r="E211" s="121"/>
      <c r="F211" s="12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spans="1:26" ht="19.5" customHeight="1" x14ac:dyDescent="0.25">
      <c r="A212" s="120"/>
      <c r="B212" s="120"/>
      <c r="C212" s="120"/>
      <c r="D212" s="121"/>
      <c r="E212" s="121"/>
      <c r="F212" s="12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spans="1:26" ht="19.5" customHeight="1" x14ac:dyDescent="0.25">
      <c r="A213" s="120"/>
      <c r="B213" s="120"/>
      <c r="C213" s="120"/>
      <c r="D213" s="121"/>
      <c r="E213" s="121"/>
      <c r="F213" s="12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spans="1:26" ht="19.5" customHeight="1" x14ac:dyDescent="0.25">
      <c r="A214" s="120"/>
      <c r="B214" s="120"/>
      <c r="C214" s="120"/>
      <c r="D214" s="121"/>
      <c r="E214" s="121"/>
      <c r="F214" s="12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spans="1:26" ht="19.5" customHeight="1" x14ac:dyDescent="0.25">
      <c r="A215" s="120"/>
      <c r="B215" s="120"/>
      <c r="C215" s="120"/>
      <c r="D215" s="121"/>
      <c r="E215" s="121"/>
      <c r="F215" s="12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spans="1:26" ht="19.5" customHeight="1" x14ac:dyDescent="0.25">
      <c r="A216" s="120"/>
      <c r="B216" s="120"/>
      <c r="C216" s="120"/>
      <c r="D216" s="121"/>
      <c r="E216" s="121"/>
      <c r="F216" s="12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spans="1:26" ht="19.5" customHeight="1" x14ac:dyDescent="0.25">
      <c r="A217" s="120"/>
      <c r="B217" s="120"/>
      <c r="C217" s="120"/>
      <c r="D217" s="121"/>
      <c r="E217" s="121"/>
      <c r="F217" s="12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spans="1:26" ht="19.5" customHeight="1" x14ac:dyDescent="0.25">
      <c r="A218" s="120"/>
      <c r="B218" s="120"/>
      <c r="C218" s="120"/>
      <c r="D218" s="121"/>
      <c r="E218" s="121"/>
      <c r="F218" s="12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spans="1:26" ht="19.5" customHeight="1" x14ac:dyDescent="0.25">
      <c r="A219" s="120"/>
      <c r="B219" s="120"/>
      <c r="C219" s="120"/>
      <c r="D219" s="121"/>
      <c r="E219" s="121"/>
      <c r="F219" s="12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spans="1:26" ht="19.5" customHeight="1" x14ac:dyDescent="0.25">
      <c r="A220" s="120"/>
      <c r="B220" s="120"/>
      <c r="C220" s="120"/>
      <c r="D220" s="121"/>
      <c r="E220" s="121"/>
      <c r="F220" s="12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spans="1:26" ht="19.5" customHeight="1" x14ac:dyDescent="0.25">
      <c r="A221" s="120"/>
      <c r="B221" s="120"/>
      <c r="C221" s="120"/>
      <c r="D221" s="121"/>
      <c r="E221" s="121"/>
      <c r="F221" s="12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spans="1:26" ht="19.5" customHeight="1" x14ac:dyDescent="0.25">
      <c r="A222" s="120"/>
      <c r="B222" s="120"/>
      <c r="C222" s="120"/>
      <c r="D222" s="121"/>
      <c r="E222" s="121"/>
      <c r="F222" s="12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spans="1:26" ht="19.5" customHeight="1" x14ac:dyDescent="0.25">
      <c r="A223" s="120"/>
      <c r="B223" s="120"/>
      <c r="C223" s="120"/>
      <c r="D223" s="121"/>
      <c r="E223" s="121"/>
      <c r="F223" s="12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spans="1:26" ht="19.5" customHeight="1" x14ac:dyDescent="0.25">
      <c r="A224" s="120"/>
      <c r="B224" s="120"/>
      <c r="C224" s="120"/>
      <c r="D224" s="121"/>
      <c r="E224" s="121"/>
      <c r="F224" s="12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spans="1:26" ht="19.5" customHeight="1" x14ac:dyDescent="0.25">
      <c r="A225" s="120"/>
      <c r="B225" s="120"/>
      <c r="C225" s="120"/>
      <c r="D225" s="121"/>
      <c r="E225" s="121"/>
      <c r="F225" s="12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spans="1:26" ht="19.5" customHeight="1" x14ac:dyDescent="0.25">
      <c r="A226" s="120"/>
      <c r="B226" s="120"/>
      <c r="C226" s="120"/>
      <c r="D226" s="121"/>
      <c r="E226" s="121"/>
      <c r="F226" s="12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spans="1:26" ht="19.5" customHeight="1" x14ac:dyDescent="0.25">
      <c r="A227" s="120"/>
      <c r="B227" s="120"/>
      <c r="C227" s="120"/>
      <c r="D227" s="121"/>
      <c r="E227" s="121"/>
      <c r="F227" s="12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spans="1:26" ht="19.5" customHeight="1" x14ac:dyDescent="0.25">
      <c r="A228" s="120"/>
      <c r="B228" s="120"/>
      <c r="C228" s="120"/>
      <c r="D228" s="121"/>
      <c r="E228" s="121"/>
      <c r="F228" s="12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spans="1:26" ht="19.5" customHeight="1" x14ac:dyDescent="0.25">
      <c r="A229" s="120"/>
      <c r="B229" s="120"/>
      <c r="C229" s="120"/>
      <c r="D229" s="121"/>
      <c r="E229" s="121"/>
      <c r="F229" s="12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spans="1:26" ht="19.5" customHeight="1" x14ac:dyDescent="0.25">
      <c r="A230" s="120"/>
      <c r="B230" s="120"/>
      <c r="C230" s="120"/>
      <c r="D230" s="121"/>
      <c r="E230" s="121"/>
      <c r="F230" s="12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spans="1:26" ht="19.5" customHeight="1" x14ac:dyDescent="0.25">
      <c r="A231" s="120"/>
      <c r="B231" s="120"/>
      <c r="C231" s="120"/>
      <c r="D231" s="121"/>
      <c r="E231" s="121"/>
      <c r="F231" s="12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spans="1:26" ht="19.5" customHeight="1" x14ac:dyDescent="0.25">
      <c r="A232" s="120"/>
      <c r="B232" s="120"/>
      <c r="C232" s="120"/>
      <c r="D232" s="121"/>
      <c r="E232" s="121"/>
      <c r="F232" s="12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spans="1:26" ht="19.5" customHeight="1" x14ac:dyDescent="0.25">
      <c r="A233" s="120"/>
      <c r="B233" s="120"/>
      <c r="C233" s="120"/>
      <c r="D233" s="121"/>
      <c r="E233" s="121"/>
      <c r="F233" s="12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spans="1:26" ht="19.5" customHeight="1" x14ac:dyDescent="0.25">
      <c r="A234" s="120"/>
      <c r="B234" s="120"/>
      <c r="C234" s="120"/>
      <c r="D234" s="121"/>
      <c r="E234" s="121"/>
      <c r="F234" s="12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spans="1:26" ht="19.5" customHeight="1" x14ac:dyDescent="0.25">
      <c r="A235" s="120"/>
      <c r="B235" s="120"/>
      <c r="C235" s="120"/>
      <c r="D235" s="121"/>
      <c r="E235" s="121"/>
      <c r="F235" s="12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spans="1:26" ht="19.5" customHeight="1" x14ac:dyDescent="0.25">
      <c r="A236" s="120"/>
      <c r="B236" s="120"/>
      <c r="C236" s="120"/>
      <c r="D236" s="121"/>
      <c r="E236" s="121"/>
      <c r="F236" s="12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spans="1:26" ht="19.5" customHeight="1" x14ac:dyDescent="0.25">
      <c r="A237" s="120"/>
      <c r="B237" s="120"/>
      <c r="C237" s="120"/>
      <c r="D237" s="121"/>
      <c r="E237" s="121"/>
      <c r="F237" s="12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spans="1:26" ht="19.5" customHeight="1" x14ac:dyDescent="0.25">
      <c r="A238" s="120"/>
      <c r="B238" s="120"/>
      <c r="C238" s="120"/>
      <c r="D238" s="121"/>
      <c r="E238" s="121"/>
      <c r="F238" s="12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spans="1:26" ht="19.5" customHeight="1" x14ac:dyDescent="0.25">
      <c r="A239" s="120"/>
      <c r="B239" s="120"/>
      <c r="C239" s="120"/>
      <c r="D239" s="121"/>
      <c r="E239" s="121"/>
      <c r="F239" s="12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spans="1:26" ht="19.5" customHeight="1" x14ac:dyDescent="0.25">
      <c r="A240" s="120"/>
      <c r="B240" s="120"/>
      <c r="C240" s="120"/>
      <c r="D240" s="121"/>
      <c r="E240" s="121"/>
      <c r="F240" s="12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spans="1:26" ht="19.5" customHeight="1" x14ac:dyDescent="0.25">
      <c r="A241" s="120"/>
      <c r="B241" s="120"/>
      <c r="C241" s="120"/>
      <c r="D241" s="121"/>
      <c r="E241" s="121"/>
      <c r="F241" s="12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spans="1:26" ht="19.5" customHeight="1" x14ac:dyDescent="0.25">
      <c r="A242" s="120"/>
      <c r="B242" s="120"/>
      <c r="C242" s="120"/>
      <c r="D242" s="121"/>
      <c r="E242" s="121"/>
      <c r="F242" s="12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spans="1:26" ht="19.5" customHeight="1" x14ac:dyDescent="0.25">
      <c r="A243" s="120"/>
      <c r="B243" s="120"/>
      <c r="C243" s="120"/>
      <c r="D243" s="121"/>
      <c r="E243" s="121"/>
      <c r="F243" s="12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spans="1:26" ht="19.5" customHeight="1" x14ac:dyDescent="0.25">
      <c r="A244" s="120"/>
      <c r="B244" s="120"/>
      <c r="C244" s="120"/>
      <c r="D244" s="121"/>
      <c r="E244" s="121"/>
      <c r="F244" s="12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spans="1:26" ht="19.5" customHeight="1" x14ac:dyDescent="0.25">
      <c r="A245" s="120"/>
      <c r="B245" s="120"/>
      <c r="C245" s="120"/>
      <c r="D245" s="121"/>
      <c r="E245" s="121"/>
      <c r="F245" s="12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spans="1:26" ht="19.5" customHeight="1" x14ac:dyDescent="0.25">
      <c r="A246" s="120"/>
      <c r="B246" s="120"/>
      <c r="C246" s="120"/>
      <c r="D246" s="121"/>
      <c r="E246" s="121"/>
      <c r="F246" s="12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spans="1:26" ht="19.5" customHeight="1" x14ac:dyDescent="0.25">
      <c r="A247" s="120"/>
      <c r="B247" s="120"/>
      <c r="C247" s="120"/>
      <c r="D247" s="121"/>
      <c r="E247" s="121"/>
      <c r="F247" s="12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spans="1:26" ht="19.5" customHeight="1" x14ac:dyDescent="0.25">
      <c r="A248" s="120"/>
      <c r="B248" s="120"/>
      <c r="C248" s="120"/>
      <c r="D248" s="121"/>
      <c r="E248" s="121"/>
      <c r="F248" s="12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spans="1:26" ht="19.5" customHeight="1" x14ac:dyDescent="0.25">
      <c r="A249" s="120"/>
      <c r="B249" s="120"/>
      <c r="C249" s="120"/>
      <c r="D249" s="121"/>
      <c r="E249" s="121"/>
      <c r="F249" s="12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spans="1:26" ht="19.5" customHeight="1" x14ac:dyDescent="0.25">
      <c r="A250" s="120"/>
      <c r="B250" s="120"/>
      <c r="C250" s="120"/>
      <c r="D250" s="121"/>
      <c r="E250" s="121"/>
      <c r="F250" s="12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spans="1:26" ht="19.5" customHeight="1" x14ac:dyDescent="0.25">
      <c r="A251" s="120"/>
      <c r="B251" s="120"/>
      <c r="C251" s="120"/>
      <c r="D251" s="121"/>
      <c r="E251" s="121"/>
      <c r="F251" s="12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spans="1:26" ht="19.5" customHeight="1" x14ac:dyDescent="0.25">
      <c r="A252" s="120"/>
      <c r="B252" s="120"/>
      <c r="C252" s="120"/>
      <c r="D252" s="121"/>
      <c r="E252" s="121"/>
      <c r="F252" s="12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spans="1:26" ht="19.5" customHeight="1" x14ac:dyDescent="0.25">
      <c r="A253" s="120"/>
      <c r="B253" s="120"/>
      <c r="C253" s="120"/>
      <c r="D253" s="121"/>
      <c r="E253" s="121"/>
      <c r="F253" s="12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spans="1:26" ht="19.5" customHeight="1" x14ac:dyDescent="0.25">
      <c r="A254" s="120"/>
      <c r="B254" s="120"/>
      <c r="C254" s="120"/>
      <c r="D254" s="121"/>
      <c r="E254" s="121"/>
      <c r="F254" s="12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spans="1:26" ht="19.5" customHeight="1" x14ac:dyDescent="0.25">
      <c r="A255" s="120"/>
      <c r="B255" s="120"/>
      <c r="C255" s="120"/>
      <c r="D255" s="121"/>
      <c r="E255" s="121"/>
      <c r="F255" s="12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spans="1:26" ht="19.5" customHeight="1" x14ac:dyDescent="0.25">
      <c r="A256" s="120"/>
      <c r="B256" s="120"/>
      <c r="C256" s="120"/>
      <c r="D256" s="121"/>
      <c r="E256" s="121"/>
      <c r="F256" s="12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spans="1:26" ht="19.5" customHeight="1" x14ac:dyDescent="0.25">
      <c r="A257" s="120"/>
      <c r="B257" s="120"/>
      <c r="C257" s="120"/>
      <c r="D257" s="121"/>
      <c r="E257" s="121"/>
      <c r="F257" s="12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spans="1:26" ht="19.5" customHeight="1" x14ac:dyDescent="0.25">
      <c r="A258" s="120"/>
      <c r="B258" s="120"/>
      <c r="C258" s="120"/>
      <c r="D258" s="121"/>
      <c r="E258" s="121"/>
      <c r="F258" s="12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spans="1:26" ht="19.5" customHeight="1" x14ac:dyDescent="0.25">
      <c r="A259" s="120"/>
      <c r="B259" s="120"/>
      <c r="C259" s="120"/>
      <c r="D259" s="121"/>
      <c r="E259" s="121"/>
      <c r="F259" s="12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spans="1:26" ht="19.5" customHeight="1" x14ac:dyDescent="0.25">
      <c r="A260" s="120"/>
      <c r="B260" s="120"/>
      <c r="C260" s="120"/>
      <c r="D260" s="121"/>
      <c r="E260" s="121"/>
      <c r="F260" s="12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spans="1:26" ht="19.5" customHeight="1" x14ac:dyDescent="0.25">
      <c r="A261" s="120"/>
      <c r="B261" s="120"/>
      <c r="C261" s="120"/>
      <c r="D261" s="121"/>
      <c r="E261" s="121"/>
      <c r="F261" s="12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spans="1:26" ht="19.5" customHeight="1" x14ac:dyDescent="0.25">
      <c r="A262" s="120"/>
      <c r="B262" s="120"/>
      <c r="C262" s="120"/>
      <c r="D262" s="121"/>
      <c r="E262" s="121"/>
      <c r="F262" s="12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spans="1:26" ht="19.5" customHeight="1" x14ac:dyDescent="0.25">
      <c r="A263" s="120"/>
      <c r="B263" s="120"/>
      <c r="C263" s="120"/>
      <c r="D263" s="121"/>
      <c r="E263" s="121"/>
      <c r="F263" s="12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spans="1:26" ht="19.5" customHeight="1" x14ac:dyDescent="0.25">
      <c r="A264" s="120"/>
      <c r="B264" s="120"/>
      <c r="C264" s="120"/>
      <c r="D264" s="121"/>
      <c r="E264" s="121"/>
      <c r="F264" s="12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spans="1:26" ht="19.5" customHeight="1" x14ac:dyDescent="0.25">
      <c r="A265" s="120"/>
      <c r="B265" s="120"/>
      <c r="C265" s="120"/>
      <c r="D265" s="121"/>
      <c r="E265" s="121"/>
      <c r="F265" s="12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spans="1:26" ht="19.5" customHeight="1" x14ac:dyDescent="0.25">
      <c r="A266" s="120"/>
      <c r="B266" s="120"/>
      <c r="C266" s="120"/>
      <c r="D266" s="121"/>
      <c r="E266" s="121"/>
      <c r="F266" s="12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spans="1:26" ht="19.5" customHeight="1" x14ac:dyDescent="0.25">
      <c r="A267" s="120"/>
      <c r="B267" s="120"/>
      <c r="C267" s="120"/>
      <c r="D267" s="121"/>
      <c r="E267" s="121"/>
      <c r="F267" s="12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spans="1:26" ht="19.5" customHeight="1" x14ac:dyDescent="0.25">
      <c r="A268" s="120"/>
      <c r="B268" s="120"/>
      <c r="C268" s="120"/>
      <c r="D268" s="121"/>
      <c r="E268" s="121"/>
      <c r="F268" s="12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spans="1:26" ht="19.5" customHeight="1" x14ac:dyDescent="0.25">
      <c r="A269" s="120"/>
      <c r="B269" s="120"/>
      <c r="C269" s="120"/>
      <c r="D269" s="121"/>
      <c r="E269" s="121"/>
      <c r="F269" s="12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spans="1:26" ht="19.5" customHeight="1" x14ac:dyDescent="0.25">
      <c r="A270" s="120"/>
      <c r="B270" s="120"/>
      <c r="C270" s="120"/>
      <c r="D270" s="121"/>
      <c r="E270" s="121"/>
      <c r="F270" s="12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spans="1:26" ht="19.5" customHeight="1" x14ac:dyDescent="0.25">
      <c r="A271" s="120"/>
      <c r="B271" s="120"/>
      <c r="C271" s="120"/>
      <c r="D271" s="121"/>
      <c r="E271" s="121"/>
      <c r="F271" s="12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spans="1:26" ht="19.5" customHeight="1" x14ac:dyDescent="0.25">
      <c r="A272" s="120"/>
      <c r="B272" s="120"/>
      <c r="C272" s="120"/>
      <c r="D272" s="121"/>
      <c r="E272" s="121"/>
      <c r="F272" s="12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spans="1:26" ht="19.5" customHeight="1" x14ac:dyDescent="0.25">
      <c r="A273" s="120"/>
      <c r="B273" s="120"/>
      <c r="C273" s="120"/>
      <c r="D273" s="121"/>
      <c r="E273" s="121"/>
      <c r="F273" s="12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spans="1:26" ht="19.5" customHeight="1" x14ac:dyDescent="0.25">
      <c r="A274" s="120"/>
      <c r="B274" s="120"/>
      <c r="C274" s="120"/>
      <c r="D274" s="121"/>
      <c r="E274" s="121"/>
      <c r="F274" s="12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spans="1:26" ht="19.5" customHeight="1" x14ac:dyDescent="0.25">
      <c r="A275" s="120"/>
      <c r="B275" s="120"/>
      <c r="C275" s="120"/>
      <c r="D275" s="121"/>
      <c r="E275" s="121"/>
      <c r="F275" s="12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spans="1:26" ht="19.5" customHeight="1" x14ac:dyDescent="0.25">
      <c r="A276" s="120"/>
      <c r="B276" s="120"/>
      <c r="C276" s="120"/>
      <c r="D276" s="121"/>
      <c r="E276" s="121"/>
      <c r="F276" s="12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spans="1:26" ht="19.5" customHeight="1" x14ac:dyDescent="0.25">
      <c r="A277" s="120"/>
      <c r="B277" s="120"/>
      <c r="C277" s="120"/>
      <c r="D277" s="121"/>
      <c r="E277" s="121"/>
      <c r="F277" s="12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spans="1:26" ht="19.5" customHeight="1" x14ac:dyDescent="0.25">
      <c r="A278" s="120"/>
      <c r="B278" s="120"/>
      <c r="C278" s="120"/>
      <c r="D278" s="121"/>
      <c r="E278" s="121"/>
      <c r="F278" s="12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spans="1:26" ht="19.5" customHeight="1" x14ac:dyDescent="0.25">
      <c r="A279" s="120"/>
      <c r="B279" s="120"/>
      <c r="C279" s="120"/>
      <c r="D279" s="121"/>
      <c r="E279" s="121"/>
      <c r="F279" s="12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spans="1:26" ht="19.5" customHeight="1" x14ac:dyDescent="0.25">
      <c r="A280" s="120"/>
      <c r="B280" s="120"/>
      <c r="C280" s="120"/>
      <c r="D280" s="121"/>
      <c r="E280" s="121"/>
      <c r="F280" s="12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spans="1:26" ht="19.5" customHeight="1" x14ac:dyDescent="0.25">
      <c r="A281" s="120"/>
      <c r="B281" s="120"/>
      <c r="C281" s="120"/>
      <c r="D281" s="121"/>
      <c r="E281" s="121"/>
      <c r="F281" s="12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spans="1:26" ht="19.5" customHeight="1" x14ac:dyDescent="0.25">
      <c r="A282" s="120"/>
      <c r="B282" s="120"/>
      <c r="C282" s="120"/>
      <c r="D282" s="121"/>
      <c r="E282" s="121"/>
      <c r="F282" s="12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spans="1:26" ht="19.5" customHeight="1" x14ac:dyDescent="0.25">
      <c r="A283" s="120"/>
      <c r="B283" s="120"/>
      <c r="C283" s="120"/>
      <c r="D283" s="121"/>
      <c r="E283" s="121"/>
      <c r="F283" s="12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spans="1:26" ht="19.5" customHeight="1" x14ac:dyDescent="0.25">
      <c r="A284" s="120"/>
      <c r="B284" s="120"/>
      <c r="C284" s="120"/>
      <c r="D284" s="121"/>
      <c r="E284" s="121"/>
      <c r="F284" s="12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spans="1:26" ht="19.5" customHeight="1" x14ac:dyDescent="0.25">
      <c r="A285" s="120"/>
      <c r="B285" s="120"/>
      <c r="C285" s="120"/>
      <c r="D285" s="121"/>
      <c r="E285" s="121"/>
      <c r="F285" s="12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spans="1:26" ht="19.5" customHeight="1" x14ac:dyDescent="0.25">
      <c r="A286" s="120"/>
      <c r="B286" s="120"/>
      <c r="C286" s="120"/>
      <c r="D286" s="121"/>
      <c r="E286" s="121"/>
      <c r="F286" s="12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spans="1:26" ht="19.5" customHeight="1" x14ac:dyDescent="0.25">
      <c r="A287" s="120"/>
      <c r="B287" s="120"/>
      <c r="C287" s="120"/>
      <c r="D287" s="121"/>
      <c r="E287" s="121"/>
      <c r="F287" s="12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spans="1:26" ht="19.5" customHeight="1" x14ac:dyDescent="0.25">
      <c r="A288" s="120"/>
      <c r="B288" s="120"/>
      <c r="C288" s="120"/>
      <c r="D288" s="121"/>
      <c r="E288" s="121"/>
      <c r="F288" s="12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spans="1:26" ht="19.5" customHeight="1" x14ac:dyDescent="0.25">
      <c r="A289" s="120"/>
      <c r="B289" s="120"/>
      <c r="C289" s="120"/>
      <c r="D289" s="121"/>
      <c r="E289" s="121"/>
      <c r="F289" s="12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spans="1:26" ht="19.5" customHeight="1" x14ac:dyDescent="0.25">
      <c r="A290" s="120"/>
      <c r="B290" s="120"/>
      <c r="C290" s="120"/>
      <c r="D290" s="121"/>
      <c r="E290" s="121"/>
      <c r="F290" s="12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spans="1:26" ht="19.5" customHeight="1" x14ac:dyDescent="0.25">
      <c r="A291" s="120"/>
      <c r="B291" s="120"/>
      <c r="C291" s="120"/>
      <c r="D291" s="121"/>
      <c r="E291" s="121"/>
      <c r="F291" s="12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spans="1:26" ht="19.5" customHeight="1" x14ac:dyDescent="0.25">
      <c r="A292" s="120"/>
      <c r="B292" s="120"/>
      <c r="C292" s="120"/>
      <c r="D292" s="121"/>
      <c r="E292" s="121"/>
      <c r="F292" s="12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spans="1:26" ht="19.5" customHeight="1" x14ac:dyDescent="0.25">
      <c r="A293" s="120"/>
      <c r="B293" s="120"/>
      <c r="C293" s="120"/>
      <c r="D293" s="121"/>
      <c r="E293" s="121"/>
      <c r="F293" s="12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spans="1:26" ht="19.5" customHeight="1" x14ac:dyDescent="0.25">
      <c r="A294" s="120"/>
      <c r="B294" s="120"/>
      <c r="C294" s="120"/>
      <c r="D294" s="121"/>
      <c r="E294" s="121"/>
      <c r="F294" s="12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spans="1:26" ht="19.5" customHeight="1" x14ac:dyDescent="0.25">
      <c r="A295" s="120"/>
      <c r="B295" s="120"/>
      <c r="C295" s="120"/>
      <c r="D295" s="121"/>
      <c r="E295" s="121"/>
      <c r="F295" s="12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spans="1:26" ht="19.5" customHeight="1" x14ac:dyDescent="0.25">
      <c r="A296" s="120"/>
      <c r="B296" s="120"/>
      <c r="C296" s="120"/>
      <c r="D296" s="121"/>
      <c r="E296" s="121"/>
      <c r="F296" s="12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spans="1:26" ht="19.5" customHeight="1" x14ac:dyDescent="0.25">
      <c r="A297" s="120"/>
      <c r="B297" s="120"/>
      <c r="C297" s="120"/>
      <c r="D297" s="121"/>
      <c r="E297" s="121"/>
      <c r="F297" s="12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spans="1:26" ht="19.5" customHeight="1" x14ac:dyDescent="0.25">
      <c r="A298" s="120"/>
      <c r="B298" s="120"/>
      <c r="C298" s="120"/>
      <c r="D298" s="121"/>
      <c r="E298" s="121"/>
      <c r="F298" s="12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spans="1:26" ht="19.5" customHeight="1" x14ac:dyDescent="0.25">
      <c r="A299" s="120"/>
      <c r="B299" s="120"/>
      <c r="C299" s="120"/>
      <c r="D299" s="121"/>
      <c r="E299" s="121"/>
      <c r="F299" s="12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spans="1:26" ht="19.5" customHeight="1" x14ac:dyDescent="0.25">
      <c r="A300" s="120"/>
      <c r="B300" s="120"/>
      <c r="C300" s="120"/>
      <c r="D300" s="121"/>
      <c r="E300" s="121"/>
      <c r="F300" s="12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spans="1:26" ht="19.5" customHeight="1" x14ac:dyDescent="0.25">
      <c r="A301" s="120"/>
      <c r="B301" s="120"/>
      <c r="C301" s="120"/>
      <c r="D301" s="121"/>
      <c r="E301" s="121"/>
      <c r="F301" s="12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spans="1:26" ht="19.5" customHeight="1" x14ac:dyDescent="0.25">
      <c r="A302" s="120"/>
      <c r="B302" s="120"/>
      <c r="C302" s="120"/>
      <c r="D302" s="121"/>
      <c r="E302" s="121"/>
      <c r="F302" s="12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spans="1:26" ht="19.5" customHeight="1" x14ac:dyDescent="0.25">
      <c r="A303" s="120"/>
      <c r="B303" s="120"/>
      <c r="C303" s="120"/>
      <c r="D303" s="121"/>
      <c r="E303" s="121"/>
      <c r="F303" s="12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spans="1:26" ht="19.5" customHeight="1" x14ac:dyDescent="0.25">
      <c r="A304" s="120"/>
      <c r="B304" s="120"/>
      <c r="C304" s="120"/>
      <c r="D304" s="121"/>
      <c r="E304" s="121"/>
      <c r="F304" s="12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spans="1:26" ht="19.5" customHeight="1" x14ac:dyDescent="0.25">
      <c r="A305" s="120"/>
      <c r="B305" s="120"/>
      <c r="C305" s="120"/>
      <c r="D305" s="121"/>
      <c r="E305" s="121"/>
      <c r="F305" s="12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spans="1:26" ht="19.5" customHeight="1" x14ac:dyDescent="0.25">
      <c r="A306" s="120"/>
      <c r="B306" s="120"/>
      <c r="C306" s="120"/>
      <c r="D306" s="121"/>
      <c r="E306" s="121"/>
      <c r="F306" s="12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spans="1:26" ht="19.5" customHeight="1" x14ac:dyDescent="0.25">
      <c r="A307" s="120"/>
      <c r="B307" s="120"/>
      <c r="C307" s="120"/>
      <c r="D307" s="121"/>
      <c r="E307" s="121"/>
      <c r="F307" s="12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spans="1:26" ht="19.5" customHeight="1" x14ac:dyDescent="0.25">
      <c r="A308" s="120"/>
      <c r="B308" s="120"/>
      <c r="C308" s="120"/>
      <c r="D308" s="121"/>
      <c r="E308" s="121"/>
      <c r="F308" s="12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spans="1:26" ht="19.5" customHeight="1" x14ac:dyDescent="0.25">
      <c r="A309" s="120"/>
      <c r="B309" s="120"/>
      <c r="C309" s="120"/>
      <c r="D309" s="121"/>
      <c r="E309" s="121"/>
      <c r="F309" s="12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spans="1:26" ht="19.5" customHeight="1" x14ac:dyDescent="0.25">
      <c r="A310" s="120"/>
      <c r="B310" s="120"/>
      <c r="C310" s="120"/>
      <c r="D310" s="121"/>
      <c r="E310" s="121"/>
      <c r="F310" s="12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spans="1:26" ht="19.5" customHeight="1" x14ac:dyDescent="0.25">
      <c r="A311" s="120"/>
      <c r="B311" s="120"/>
      <c r="C311" s="120"/>
      <c r="D311" s="121"/>
      <c r="E311" s="121"/>
      <c r="F311" s="12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spans="1:26" ht="19.5" customHeight="1" x14ac:dyDescent="0.25">
      <c r="A312" s="120"/>
      <c r="B312" s="120"/>
      <c r="C312" s="120"/>
      <c r="D312" s="121"/>
      <c r="E312" s="121"/>
      <c r="F312" s="12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spans="1:26" ht="19.5" customHeight="1" x14ac:dyDescent="0.25">
      <c r="A313" s="120"/>
      <c r="B313" s="120"/>
      <c r="C313" s="120"/>
      <c r="D313" s="121"/>
      <c r="E313" s="121"/>
      <c r="F313" s="12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spans="1:26" ht="19.5" customHeight="1" x14ac:dyDescent="0.25">
      <c r="A314" s="120"/>
      <c r="B314" s="120"/>
      <c r="C314" s="120"/>
      <c r="D314" s="121"/>
      <c r="E314" s="121"/>
      <c r="F314" s="12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spans="1:26" ht="19.5" customHeight="1" x14ac:dyDescent="0.25">
      <c r="A315" s="120"/>
      <c r="B315" s="120"/>
      <c r="C315" s="120"/>
      <c r="D315" s="121"/>
      <c r="E315" s="121"/>
      <c r="F315" s="12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spans="1:26" ht="19.5" customHeight="1" x14ac:dyDescent="0.25">
      <c r="A316" s="120"/>
      <c r="B316" s="120"/>
      <c r="C316" s="120"/>
      <c r="D316" s="121"/>
      <c r="E316" s="121"/>
      <c r="F316" s="12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spans="1:26" ht="19.5" customHeight="1" x14ac:dyDescent="0.25">
      <c r="A317" s="120"/>
      <c r="B317" s="120"/>
      <c r="C317" s="120"/>
      <c r="D317" s="121"/>
      <c r="E317" s="121"/>
      <c r="F317" s="12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spans="1:26" ht="19.5" customHeight="1" x14ac:dyDescent="0.25">
      <c r="A318" s="120"/>
      <c r="B318" s="120"/>
      <c r="C318" s="120"/>
      <c r="D318" s="121"/>
      <c r="E318" s="121"/>
      <c r="F318" s="12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spans="1:26" ht="19.5" customHeight="1" x14ac:dyDescent="0.25">
      <c r="A319" s="120"/>
      <c r="B319" s="120"/>
      <c r="C319" s="120"/>
      <c r="D319" s="121"/>
      <c r="E319" s="121"/>
      <c r="F319" s="12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spans="1:26" ht="19.5" customHeight="1" x14ac:dyDescent="0.25">
      <c r="A320" s="120"/>
      <c r="B320" s="120"/>
      <c r="C320" s="120"/>
      <c r="D320" s="121"/>
      <c r="E320" s="121"/>
      <c r="F320" s="12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spans="1:26" ht="19.5" customHeight="1" x14ac:dyDescent="0.25">
      <c r="A321" s="120"/>
      <c r="B321" s="120"/>
      <c r="C321" s="120"/>
      <c r="D321" s="121"/>
      <c r="E321" s="121"/>
      <c r="F321" s="12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spans="1:26" ht="19.5" customHeight="1" x14ac:dyDescent="0.25">
      <c r="A322" s="120"/>
      <c r="B322" s="120"/>
      <c r="C322" s="120"/>
      <c r="D322" s="121"/>
      <c r="E322" s="121"/>
      <c r="F322" s="12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spans="1:26" ht="19.5" customHeight="1" x14ac:dyDescent="0.25">
      <c r="A323" s="120"/>
      <c r="B323" s="120"/>
      <c r="C323" s="120"/>
      <c r="D323" s="121"/>
      <c r="E323" s="121"/>
      <c r="F323" s="12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spans="1:26" ht="19.5" customHeight="1" x14ac:dyDescent="0.25">
      <c r="A324" s="120"/>
      <c r="B324" s="120"/>
      <c r="C324" s="120"/>
      <c r="D324" s="121"/>
      <c r="E324" s="121"/>
      <c r="F324" s="12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spans="1:26" ht="19.5" customHeight="1" x14ac:dyDescent="0.25">
      <c r="A325" s="120"/>
      <c r="B325" s="120"/>
      <c r="C325" s="120"/>
      <c r="D325" s="121"/>
      <c r="E325" s="121"/>
      <c r="F325" s="12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spans="1:26" ht="19.5" customHeight="1" x14ac:dyDescent="0.25">
      <c r="A326" s="120"/>
      <c r="B326" s="120"/>
      <c r="C326" s="120"/>
      <c r="D326" s="121"/>
      <c r="E326" s="121"/>
      <c r="F326" s="12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spans="1:26" ht="19.5" customHeight="1" x14ac:dyDescent="0.25">
      <c r="A327" s="120"/>
      <c r="B327" s="120"/>
      <c r="C327" s="120"/>
      <c r="D327" s="121"/>
      <c r="E327" s="121"/>
      <c r="F327" s="12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spans="1:26" ht="19.5" customHeight="1" x14ac:dyDescent="0.25">
      <c r="A328" s="120"/>
      <c r="B328" s="120"/>
      <c r="C328" s="120"/>
      <c r="D328" s="121"/>
      <c r="E328" s="121"/>
      <c r="F328" s="12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spans="1:26" ht="19.5" customHeight="1" x14ac:dyDescent="0.25">
      <c r="A329" s="120"/>
      <c r="B329" s="120"/>
      <c r="C329" s="120"/>
      <c r="D329" s="121"/>
      <c r="E329" s="121"/>
      <c r="F329" s="12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spans="1:26" ht="19.5" customHeight="1" x14ac:dyDescent="0.25">
      <c r="A330" s="120"/>
      <c r="B330" s="120"/>
      <c r="C330" s="120"/>
      <c r="D330" s="121"/>
      <c r="E330" s="121"/>
      <c r="F330" s="12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spans="1:26" ht="19.5" customHeight="1" x14ac:dyDescent="0.25">
      <c r="A331" s="120"/>
      <c r="B331" s="120"/>
      <c r="C331" s="120"/>
      <c r="D331" s="121"/>
      <c r="E331" s="121"/>
      <c r="F331" s="12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spans="1:26" ht="19.5" customHeight="1" x14ac:dyDescent="0.25">
      <c r="A332" s="120"/>
      <c r="B332" s="120"/>
      <c r="C332" s="120"/>
      <c r="D332" s="121"/>
      <c r="E332" s="121"/>
      <c r="F332" s="12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spans="1:26" ht="19.5" customHeight="1" x14ac:dyDescent="0.25">
      <c r="A333" s="120"/>
      <c r="B333" s="120"/>
      <c r="C333" s="120"/>
      <c r="D333" s="121"/>
      <c r="E333" s="121"/>
      <c r="F333" s="12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spans="1:26" ht="19.5" customHeight="1" x14ac:dyDescent="0.25">
      <c r="A334" s="120"/>
      <c r="B334" s="120"/>
      <c r="C334" s="120"/>
      <c r="D334" s="121"/>
      <c r="E334" s="121"/>
      <c r="F334" s="12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spans="1:26" ht="19.5" customHeight="1" x14ac:dyDescent="0.25">
      <c r="A335" s="120"/>
      <c r="B335" s="120"/>
      <c r="C335" s="120"/>
      <c r="D335" s="121"/>
      <c r="E335" s="121"/>
      <c r="F335" s="12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spans="1:26" ht="19.5" customHeight="1" x14ac:dyDescent="0.25">
      <c r="A336" s="120"/>
      <c r="B336" s="120"/>
      <c r="C336" s="120"/>
      <c r="D336" s="121"/>
      <c r="E336" s="121"/>
      <c r="F336" s="12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spans="1:26" ht="19.5" customHeight="1" x14ac:dyDescent="0.25">
      <c r="A337" s="120"/>
      <c r="B337" s="120"/>
      <c r="C337" s="120"/>
      <c r="D337" s="121"/>
      <c r="E337" s="121"/>
      <c r="F337" s="12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spans="1:26" ht="19.5" customHeight="1" x14ac:dyDescent="0.25">
      <c r="A338" s="120"/>
      <c r="B338" s="120"/>
      <c r="C338" s="120"/>
      <c r="D338" s="121"/>
      <c r="E338" s="121"/>
      <c r="F338" s="12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spans="1:26" ht="19.5" customHeight="1" x14ac:dyDescent="0.25">
      <c r="A339" s="120"/>
      <c r="B339" s="120"/>
      <c r="C339" s="120"/>
      <c r="D339" s="121"/>
      <c r="E339" s="121"/>
      <c r="F339" s="12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spans="1:26" ht="19.5" customHeight="1" x14ac:dyDescent="0.25">
      <c r="A340" s="120"/>
      <c r="B340" s="120"/>
      <c r="C340" s="120"/>
      <c r="D340" s="121"/>
      <c r="E340" s="121"/>
      <c r="F340" s="12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spans="1:26" ht="19.5" customHeight="1" x14ac:dyDescent="0.25">
      <c r="A341" s="120"/>
      <c r="B341" s="120"/>
      <c r="C341" s="120"/>
      <c r="D341" s="121"/>
      <c r="E341" s="121"/>
      <c r="F341" s="12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spans="1:26" ht="19.5" customHeight="1" x14ac:dyDescent="0.25">
      <c r="A342" s="120"/>
      <c r="B342" s="120"/>
      <c r="C342" s="120"/>
      <c r="D342" s="121"/>
      <c r="E342" s="121"/>
      <c r="F342" s="12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spans="1:26" ht="19.5" customHeight="1" x14ac:dyDescent="0.25">
      <c r="A343" s="120"/>
      <c r="B343" s="120"/>
      <c r="C343" s="120"/>
      <c r="D343" s="121"/>
      <c r="E343" s="121"/>
      <c r="F343" s="12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spans="1:26" ht="19.5" customHeight="1" x14ac:dyDescent="0.25">
      <c r="A344" s="120"/>
      <c r="B344" s="120"/>
      <c r="C344" s="120"/>
      <c r="D344" s="121"/>
      <c r="E344" s="121"/>
      <c r="F344" s="12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spans="1:26" ht="19.5" customHeight="1" x14ac:dyDescent="0.25">
      <c r="A345" s="120"/>
      <c r="B345" s="120"/>
      <c r="C345" s="120"/>
      <c r="D345" s="121"/>
      <c r="E345" s="121"/>
      <c r="F345" s="12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spans="1:26" ht="19.5" customHeight="1" x14ac:dyDescent="0.25">
      <c r="A346" s="120"/>
      <c r="B346" s="120"/>
      <c r="C346" s="120"/>
      <c r="D346" s="121"/>
      <c r="E346" s="121"/>
      <c r="F346" s="12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spans="1:26" ht="19.5" customHeight="1" x14ac:dyDescent="0.25">
      <c r="A347" s="120"/>
      <c r="B347" s="120"/>
      <c r="C347" s="120"/>
      <c r="D347" s="121"/>
      <c r="E347" s="121"/>
      <c r="F347" s="12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spans="1:26" ht="19.5" customHeight="1" x14ac:dyDescent="0.25">
      <c r="A348" s="120"/>
      <c r="B348" s="120"/>
      <c r="C348" s="120"/>
      <c r="D348" s="121"/>
      <c r="E348" s="121"/>
      <c r="F348" s="12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spans="1:26" ht="19.5" customHeight="1" x14ac:dyDescent="0.25">
      <c r="A349" s="120"/>
      <c r="B349" s="120"/>
      <c r="C349" s="120"/>
      <c r="D349" s="121"/>
      <c r="E349" s="121"/>
      <c r="F349" s="12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spans="1:26" ht="19.5" customHeight="1" x14ac:dyDescent="0.25">
      <c r="A350" s="120"/>
      <c r="B350" s="120"/>
      <c r="C350" s="120"/>
      <c r="D350" s="121"/>
      <c r="E350" s="121"/>
      <c r="F350" s="12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spans="1:26" ht="19.5" customHeight="1" x14ac:dyDescent="0.25">
      <c r="A351" s="120"/>
      <c r="B351" s="120"/>
      <c r="C351" s="120"/>
      <c r="D351" s="121"/>
      <c r="E351" s="121"/>
      <c r="F351" s="12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spans="1:26" ht="19.5" customHeight="1" x14ac:dyDescent="0.25">
      <c r="A352" s="120"/>
      <c r="B352" s="120"/>
      <c r="C352" s="120"/>
      <c r="D352" s="121"/>
      <c r="E352" s="121"/>
      <c r="F352" s="12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spans="1:26" ht="19.5" customHeight="1" x14ac:dyDescent="0.25">
      <c r="A353" s="120"/>
      <c r="B353" s="120"/>
      <c r="C353" s="120"/>
      <c r="D353" s="121"/>
      <c r="E353" s="121"/>
      <c r="F353" s="12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spans="1:26" ht="19.5" customHeight="1" x14ac:dyDescent="0.25">
      <c r="A354" s="120"/>
      <c r="B354" s="120"/>
      <c r="C354" s="120"/>
      <c r="D354" s="121"/>
      <c r="E354" s="121"/>
      <c r="F354" s="12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spans="1:26" ht="19.5" customHeight="1" x14ac:dyDescent="0.25">
      <c r="A355" s="120"/>
      <c r="B355" s="120"/>
      <c r="C355" s="120"/>
      <c r="D355" s="121"/>
      <c r="E355" s="121"/>
      <c r="F355" s="12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spans="1:26" ht="19.5" customHeight="1" x14ac:dyDescent="0.25">
      <c r="A356" s="120"/>
      <c r="B356" s="120"/>
      <c r="C356" s="120"/>
      <c r="D356" s="121"/>
      <c r="E356" s="121"/>
      <c r="F356" s="12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spans="1:26" ht="19.5" customHeight="1" x14ac:dyDescent="0.25">
      <c r="A357" s="120"/>
      <c r="B357" s="120"/>
      <c r="C357" s="120"/>
      <c r="D357" s="121"/>
      <c r="E357" s="121"/>
      <c r="F357" s="12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spans="1:26" ht="19.5" customHeight="1" x14ac:dyDescent="0.25">
      <c r="A358" s="120"/>
      <c r="B358" s="120"/>
      <c r="C358" s="120"/>
      <c r="D358" s="121"/>
      <c r="E358" s="121"/>
      <c r="F358" s="12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spans="1:26" ht="19.5" customHeight="1" x14ac:dyDescent="0.25">
      <c r="A359" s="120"/>
      <c r="B359" s="120"/>
      <c r="C359" s="120"/>
      <c r="D359" s="121"/>
      <c r="E359" s="121"/>
      <c r="F359" s="12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spans="1:26" ht="19.5" customHeight="1" x14ac:dyDescent="0.25">
      <c r="A360" s="120"/>
      <c r="B360" s="120"/>
      <c r="C360" s="120"/>
      <c r="D360" s="121"/>
      <c r="E360" s="121"/>
      <c r="F360" s="12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spans="1:26" ht="19.5" customHeight="1" x14ac:dyDescent="0.25">
      <c r="A361" s="120"/>
      <c r="B361" s="120"/>
      <c r="C361" s="120"/>
      <c r="D361" s="121"/>
      <c r="E361" s="121"/>
      <c r="F361" s="12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spans="1:26" ht="19.5" customHeight="1" x14ac:dyDescent="0.25">
      <c r="A362" s="120"/>
      <c r="B362" s="120"/>
      <c r="C362" s="120"/>
      <c r="D362" s="121"/>
      <c r="E362" s="121"/>
      <c r="F362" s="12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spans="1:26" ht="19.5" customHeight="1" x14ac:dyDescent="0.25">
      <c r="A363" s="120"/>
      <c r="B363" s="120"/>
      <c r="C363" s="120"/>
      <c r="D363" s="121"/>
      <c r="E363" s="121"/>
      <c r="F363" s="12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spans="1:26" ht="19.5" customHeight="1" x14ac:dyDescent="0.25">
      <c r="A364" s="120"/>
      <c r="B364" s="120"/>
      <c r="C364" s="120"/>
      <c r="D364" s="121"/>
      <c r="E364" s="121"/>
      <c r="F364" s="12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spans="1:26" ht="19.5" customHeight="1" x14ac:dyDescent="0.25">
      <c r="A365" s="120"/>
      <c r="B365" s="120"/>
      <c r="C365" s="120"/>
      <c r="D365" s="121"/>
      <c r="E365" s="121"/>
      <c r="F365" s="12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spans="1:26" ht="19.5" customHeight="1" x14ac:dyDescent="0.25">
      <c r="A366" s="120"/>
      <c r="B366" s="120"/>
      <c r="C366" s="120"/>
      <c r="D366" s="121"/>
      <c r="E366" s="121"/>
      <c r="F366" s="12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spans="1:26" ht="19.5" customHeight="1" x14ac:dyDescent="0.25">
      <c r="A367" s="120"/>
      <c r="B367" s="120"/>
      <c r="C367" s="120"/>
      <c r="D367" s="121"/>
      <c r="E367" s="121"/>
      <c r="F367" s="12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spans="1:26" ht="19.5" customHeight="1" x14ac:dyDescent="0.25">
      <c r="A368" s="120"/>
      <c r="B368" s="120"/>
      <c r="C368" s="120"/>
      <c r="D368" s="121"/>
      <c r="E368" s="121"/>
      <c r="F368" s="12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spans="1:26" ht="19.5" customHeight="1" x14ac:dyDescent="0.25">
      <c r="A369" s="120"/>
      <c r="B369" s="120"/>
      <c r="C369" s="120"/>
      <c r="D369" s="121"/>
      <c r="E369" s="121"/>
      <c r="F369" s="12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spans="1:26" ht="19.5" customHeight="1" x14ac:dyDescent="0.25">
      <c r="A370" s="120"/>
      <c r="B370" s="120"/>
      <c r="C370" s="120"/>
      <c r="D370" s="121"/>
      <c r="E370" s="121"/>
      <c r="F370" s="12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spans="1:26" ht="19.5" customHeight="1" x14ac:dyDescent="0.25">
      <c r="A371" s="120"/>
      <c r="B371" s="120"/>
      <c r="C371" s="120"/>
      <c r="D371" s="121"/>
      <c r="E371" s="121"/>
      <c r="F371" s="12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spans="1:26" ht="19.5" customHeight="1" x14ac:dyDescent="0.25">
      <c r="A372" s="120"/>
      <c r="B372" s="120"/>
      <c r="C372" s="120"/>
      <c r="D372" s="121"/>
      <c r="E372" s="121"/>
      <c r="F372" s="12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spans="1:26" ht="19.5" customHeight="1" x14ac:dyDescent="0.25">
      <c r="A373" s="120"/>
      <c r="B373" s="120"/>
      <c r="C373" s="120"/>
      <c r="D373" s="121"/>
      <c r="E373" s="121"/>
      <c r="F373" s="12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spans="1:26" ht="19.5" customHeight="1" x14ac:dyDescent="0.25">
      <c r="A374" s="120"/>
      <c r="B374" s="120"/>
      <c r="C374" s="120"/>
      <c r="D374" s="121"/>
      <c r="E374" s="121"/>
      <c r="F374" s="12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spans="1:26" ht="19.5" customHeight="1" x14ac:dyDescent="0.25">
      <c r="A375" s="120"/>
      <c r="B375" s="120"/>
      <c r="C375" s="120"/>
      <c r="D375" s="121"/>
      <c r="E375" s="121"/>
      <c r="F375" s="12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spans="1:26" ht="19.5" customHeight="1" x14ac:dyDescent="0.25">
      <c r="A376" s="120"/>
      <c r="B376" s="120"/>
      <c r="C376" s="120"/>
      <c r="D376" s="121"/>
      <c r="E376" s="121"/>
      <c r="F376" s="12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spans="1:26" ht="19.5" customHeight="1" x14ac:dyDescent="0.25">
      <c r="A377" s="120"/>
      <c r="B377" s="120"/>
      <c r="C377" s="120"/>
      <c r="D377" s="121"/>
      <c r="E377" s="121"/>
      <c r="F377" s="12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spans="1:26" ht="19.5" customHeight="1" x14ac:dyDescent="0.25">
      <c r="A378" s="120"/>
      <c r="B378" s="120"/>
      <c r="C378" s="120"/>
      <c r="D378" s="121"/>
      <c r="E378" s="121"/>
      <c r="F378" s="12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spans="1:26" ht="19.5" customHeight="1" x14ac:dyDescent="0.25">
      <c r="A379" s="120"/>
      <c r="B379" s="120"/>
      <c r="C379" s="120"/>
      <c r="D379" s="121"/>
      <c r="E379" s="121"/>
      <c r="F379" s="12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spans="1:26" ht="19.5" customHeight="1" x14ac:dyDescent="0.25">
      <c r="A380" s="120"/>
      <c r="B380" s="120"/>
      <c r="C380" s="120"/>
      <c r="D380" s="121"/>
      <c r="E380" s="121"/>
      <c r="F380" s="12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spans="1:26" ht="19.5" customHeight="1" x14ac:dyDescent="0.25">
      <c r="A381" s="120"/>
      <c r="B381" s="120"/>
      <c r="C381" s="120"/>
      <c r="D381" s="121"/>
      <c r="E381" s="121"/>
      <c r="F381" s="12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spans="1:26" ht="19.5" customHeight="1" x14ac:dyDescent="0.25">
      <c r="A382" s="120"/>
      <c r="B382" s="120"/>
      <c r="C382" s="120"/>
      <c r="D382" s="121"/>
      <c r="E382" s="121"/>
      <c r="F382" s="12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spans="1:26" ht="19.5" customHeight="1" x14ac:dyDescent="0.25">
      <c r="A383" s="120"/>
      <c r="B383" s="120"/>
      <c r="C383" s="120"/>
      <c r="D383" s="121"/>
      <c r="E383" s="121"/>
      <c r="F383" s="12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spans="1:26" ht="19.5" customHeight="1" x14ac:dyDescent="0.25">
      <c r="A384" s="120"/>
      <c r="B384" s="120"/>
      <c r="C384" s="120"/>
      <c r="D384" s="121"/>
      <c r="E384" s="121"/>
      <c r="F384" s="12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spans="1:26" ht="19.5" customHeight="1" x14ac:dyDescent="0.25">
      <c r="A385" s="120"/>
      <c r="B385" s="120"/>
      <c r="C385" s="120"/>
      <c r="D385" s="121"/>
      <c r="E385" s="121"/>
      <c r="F385" s="12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spans="1:26" ht="19.5" customHeight="1" x14ac:dyDescent="0.25">
      <c r="A386" s="120"/>
      <c r="B386" s="120"/>
      <c r="C386" s="120"/>
      <c r="D386" s="121"/>
      <c r="E386" s="121"/>
      <c r="F386" s="12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spans="1:26" ht="19.5" customHeight="1" x14ac:dyDescent="0.25">
      <c r="A387" s="120"/>
      <c r="B387" s="120"/>
      <c r="C387" s="120"/>
      <c r="D387" s="121"/>
      <c r="E387" s="121"/>
      <c r="F387" s="12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spans="1:26" ht="19.5" customHeight="1" x14ac:dyDescent="0.25">
      <c r="A388" s="120"/>
      <c r="B388" s="120"/>
      <c r="C388" s="120"/>
      <c r="D388" s="121"/>
      <c r="E388" s="121"/>
      <c r="F388" s="12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spans="1:26" ht="19.5" customHeight="1" x14ac:dyDescent="0.25">
      <c r="A389" s="120"/>
      <c r="B389" s="120"/>
      <c r="C389" s="120"/>
      <c r="D389" s="121"/>
      <c r="E389" s="121"/>
      <c r="F389" s="12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spans="1:26" ht="19.5" customHeight="1" x14ac:dyDescent="0.25">
      <c r="A390" s="120"/>
      <c r="B390" s="120"/>
      <c r="C390" s="120"/>
      <c r="D390" s="121"/>
      <c r="E390" s="121"/>
      <c r="F390" s="12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spans="1:26" ht="19.5" customHeight="1" x14ac:dyDescent="0.25">
      <c r="A391" s="120"/>
      <c r="B391" s="120"/>
      <c r="C391" s="120"/>
      <c r="D391" s="121"/>
      <c r="E391" s="121"/>
      <c r="F391" s="12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spans="1:26" ht="19.5" customHeight="1" x14ac:dyDescent="0.25">
      <c r="A392" s="120"/>
      <c r="B392" s="120"/>
      <c r="C392" s="120"/>
      <c r="D392" s="121"/>
      <c r="E392" s="121"/>
      <c r="F392" s="12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spans="1:26" ht="19.5" customHeight="1" x14ac:dyDescent="0.25">
      <c r="A393" s="120"/>
      <c r="B393" s="120"/>
      <c r="C393" s="120"/>
      <c r="D393" s="121"/>
      <c r="E393" s="121"/>
      <c r="F393" s="12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spans="1:26" ht="19.5" customHeight="1" x14ac:dyDescent="0.25">
      <c r="A394" s="120"/>
      <c r="B394" s="120"/>
      <c r="C394" s="120"/>
      <c r="D394" s="121"/>
      <c r="E394" s="121"/>
      <c r="F394" s="12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spans="1:26" ht="19.5" customHeight="1" x14ac:dyDescent="0.25">
      <c r="A395" s="120"/>
      <c r="B395" s="120"/>
      <c r="C395" s="120"/>
      <c r="D395" s="121"/>
      <c r="E395" s="121"/>
      <c r="F395" s="12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spans="1:26" ht="19.5" customHeight="1" x14ac:dyDescent="0.25">
      <c r="A396" s="120"/>
      <c r="B396" s="120"/>
      <c r="C396" s="120"/>
      <c r="D396" s="121"/>
      <c r="E396" s="121"/>
      <c r="F396" s="12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spans="1:26" ht="19.5" customHeight="1" x14ac:dyDescent="0.25">
      <c r="A397" s="120"/>
      <c r="B397" s="120"/>
      <c r="C397" s="120"/>
      <c r="D397" s="121"/>
      <c r="E397" s="121"/>
      <c r="F397" s="12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spans="1:26" ht="19.5" customHeight="1" x14ac:dyDescent="0.25">
      <c r="A398" s="120"/>
      <c r="B398" s="120"/>
      <c r="C398" s="120"/>
      <c r="D398" s="121"/>
      <c r="E398" s="121"/>
      <c r="F398" s="12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spans="1:26" ht="19.5" customHeight="1" x14ac:dyDescent="0.25">
      <c r="A399" s="120"/>
      <c r="B399" s="120"/>
      <c r="C399" s="120"/>
      <c r="D399" s="121"/>
      <c r="E399" s="121"/>
      <c r="F399" s="12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spans="1:26" ht="19.5" customHeight="1" x14ac:dyDescent="0.25">
      <c r="A400" s="120"/>
      <c r="B400" s="120"/>
      <c r="C400" s="120"/>
      <c r="D400" s="121"/>
      <c r="E400" s="121"/>
      <c r="F400" s="12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spans="1:26" ht="19.5" customHeight="1" x14ac:dyDescent="0.25">
      <c r="A401" s="120"/>
      <c r="B401" s="120"/>
      <c r="C401" s="120"/>
      <c r="D401" s="121"/>
      <c r="E401" s="121"/>
      <c r="F401" s="12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spans="1:26" ht="19.5" customHeight="1" x14ac:dyDescent="0.25">
      <c r="A402" s="120"/>
      <c r="B402" s="120"/>
      <c r="C402" s="120"/>
      <c r="D402" s="121"/>
      <c r="E402" s="121"/>
      <c r="F402" s="12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spans="1:26" ht="19.5" customHeight="1" x14ac:dyDescent="0.25">
      <c r="A403" s="120"/>
      <c r="B403" s="120"/>
      <c r="C403" s="120"/>
      <c r="D403" s="121"/>
      <c r="E403" s="121"/>
      <c r="F403" s="12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spans="1:26" ht="19.5" customHeight="1" x14ac:dyDescent="0.25">
      <c r="A404" s="120"/>
      <c r="B404" s="120"/>
      <c r="C404" s="120"/>
      <c r="D404" s="121"/>
      <c r="E404" s="121"/>
      <c r="F404" s="12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spans="1:26" ht="19.5" customHeight="1" x14ac:dyDescent="0.25">
      <c r="A405" s="120"/>
      <c r="B405" s="120"/>
      <c r="C405" s="120"/>
      <c r="D405" s="121"/>
      <c r="E405" s="121"/>
      <c r="F405" s="12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spans="1:26" ht="19.5" customHeight="1" x14ac:dyDescent="0.25">
      <c r="A406" s="120"/>
      <c r="B406" s="120"/>
      <c r="C406" s="120"/>
      <c r="D406" s="121"/>
      <c r="E406" s="121"/>
      <c r="F406" s="12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spans="1:26" ht="19.5" customHeight="1" x14ac:dyDescent="0.25">
      <c r="A407" s="120"/>
      <c r="B407" s="120"/>
      <c r="C407" s="120"/>
      <c r="D407" s="121"/>
      <c r="E407" s="121"/>
      <c r="F407" s="12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spans="1:26" ht="19.5" customHeight="1" x14ac:dyDescent="0.25">
      <c r="A408" s="120"/>
      <c r="B408" s="120"/>
      <c r="C408" s="120"/>
      <c r="D408" s="121"/>
      <c r="E408" s="121"/>
      <c r="F408" s="12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spans="1:26" ht="19.5" customHeight="1" x14ac:dyDescent="0.25">
      <c r="A409" s="120"/>
      <c r="B409" s="120"/>
      <c r="C409" s="120"/>
      <c r="D409" s="121"/>
      <c r="E409" s="121"/>
      <c r="F409" s="12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spans="1:26" ht="19.5" customHeight="1" x14ac:dyDescent="0.25">
      <c r="A410" s="120"/>
      <c r="B410" s="120"/>
      <c r="C410" s="120"/>
      <c r="D410" s="121"/>
      <c r="E410" s="121"/>
      <c r="F410" s="12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spans="1:26" ht="19.5" customHeight="1" x14ac:dyDescent="0.25">
      <c r="A411" s="120"/>
      <c r="B411" s="120"/>
      <c r="C411" s="120"/>
      <c r="D411" s="121"/>
      <c r="E411" s="121"/>
      <c r="F411" s="12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spans="1:26" ht="19.5" customHeight="1" x14ac:dyDescent="0.25">
      <c r="A412" s="120"/>
      <c r="B412" s="120"/>
      <c r="C412" s="120"/>
      <c r="D412" s="121"/>
      <c r="E412" s="121"/>
      <c r="F412" s="12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spans="1:26" ht="19.5" customHeight="1" x14ac:dyDescent="0.25">
      <c r="A413" s="120"/>
      <c r="B413" s="120"/>
      <c r="C413" s="120"/>
      <c r="D413" s="121"/>
      <c r="E413" s="121"/>
      <c r="F413" s="12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spans="1:26" ht="19.5" customHeight="1" x14ac:dyDescent="0.25">
      <c r="A414" s="120"/>
      <c r="B414" s="120"/>
      <c r="C414" s="120"/>
      <c r="D414" s="121"/>
      <c r="E414" s="121"/>
      <c r="F414" s="12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spans="1:26" ht="19.5" customHeight="1" x14ac:dyDescent="0.25">
      <c r="A415" s="120"/>
      <c r="B415" s="120"/>
      <c r="C415" s="120"/>
      <c r="D415" s="121"/>
      <c r="E415" s="121"/>
      <c r="F415" s="12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spans="1:26" ht="19.5" customHeight="1" x14ac:dyDescent="0.25">
      <c r="A416" s="120"/>
      <c r="B416" s="120"/>
      <c r="C416" s="120"/>
      <c r="D416" s="121"/>
      <c r="E416" s="121"/>
      <c r="F416" s="12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spans="1:26" ht="19.5" customHeight="1" x14ac:dyDescent="0.25">
      <c r="A417" s="120"/>
      <c r="B417" s="120"/>
      <c r="C417" s="120"/>
      <c r="D417" s="121"/>
      <c r="E417" s="121"/>
      <c r="F417" s="12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spans="1:26" ht="19.5" customHeight="1" x14ac:dyDescent="0.25">
      <c r="A418" s="120"/>
      <c r="B418" s="120"/>
      <c r="C418" s="120"/>
      <c r="D418" s="121"/>
      <c r="E418" s="121"/>
      <c r="F418" s="12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spans="1:26" ht="19.5" customHeight="1" x14ac:dyDescent="0.25">
      <c r="A419" s="120"/>
      <c r="B419" s="120"/>
      <c r="C419" s="120"/>
      <c r="D419" s="121"/>
      <c r="E419" s="121"/>
      <c r="F419" s="12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spans="1:26" ht="19.5" customHeight="1" x14ac:dyDescent="0.25">
      <c r="A420" s="120"/>
      <c r="B420" s="120"/>
      <c r="C420" s="120"/>
      <c r="D420" s="121"/>
      <c r="E420" s="121"/>
      <c r="F420" s="12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spans="1:26" ht="19.5" customHeight="1" x14ac:dyDescent="0.25">
      <c r="A421" s="120"/>
      <c r="B421" s="120"/>
      <c r="C421" s="120"/>
      <c r="D421" s="121"/>
      <c r="E421" s="121"/>
      <c r="F421" s="12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spans="1:26" ht="19.5" customHeight="1" x14ac:dyDescent="0.25">
      <c r="A422" s="120"/>
      <c r="B422" s="120"/>
      <c r="C422" s="120"/>
      <c r="D422" s="121"/>
      <c r="E422" s="121"/>
      <c r="F422" s="12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spans="1:26" ht="19.5" customHeight="1" x14ac:dyDescent="0.25">
      <c r="A423" s="120"/>
      <c r="B423" s="120"/>
      <c r="C423" s="120"/>
      <c r="D423" s="121"/>
      <c r="E423" s="121"/>
      <c r="F423" s="12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spans="1:26" ht="19.5" customHeight="1" x14ac:dyDescent="0.25">
      <c r="A424" s="120"/>
      <c r="B424" s="120"/>
      <c r="C424" s="120"/>
      <c r="D424" s="121"/>
      <c r="E424" s="121"/>
      <c r="F424" s="12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spans="1:26" ht="19.5" customHeight="1" x14ac:dyDescent="0.25">
      <c r="A425" s="120"/>
      <c r="B425" s="120"/>
      <c r="C425" s="120"/>
      <c r="D425" s="121"/>
      <c r="E425" s="121"/>
      <c r="F425" s="12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spans="1:26" ht="19.5" customHeight="1" x14ac:dyDescent="0.25">
      <c r="A426" s="120"/>
      <c r="B426" s="120"/>
      <c r="C426" s="120"/>
      <c r="D426" s="121"/>
      <c r="E426" s="121"/>
      <c r="F426" s="12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spans="1:26" ht="19.5" customHeight="1" x14ac:dyDescent="0.25">
      <c r="A427" s="120"/>
      <c r="B427" s="120"/>
      <c r="C427" s="120"/>
      <c r="D427" s="121"/>
      <c r="E427" s="121"/>
      <c r="F427" s="12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spans="1:26" ht="19.5" customHeight="1" x14ac:dyDescent="0.25">
      <c r="A428" s="120"/>
      <c r="B428" s="120"/>
      <c r="C428" s="120"/>
      <c r="D428" s="121"/>
      <c r="E428" s="121"/>
      <c r="F428" s="12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spans="1:26" ht="19.5" customHeight="1" x14ac:dyDescent="0.25">
      <c r="A429" s="120"/>
      <c r="B429" s="120"/>
      <c r="C429" s="120"/>
      <c r="D429" s="121"/>
      <c r="E429" s="121"/>
      <c r="F429" s="12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spans="1:26" ht="19.5" customHeight="1" x14ac:dyDescent="0.25">
      <c r="A430" s="120"/>
      <c r="B430" s="120"/>
      <c r="C430" s="120"/>
      <c r="D430" s="121"/>
      <c r="E430" s="121"/>
      <c r="F430" s="12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spans="1:26" ht="19.5" customHeight="1" x14ac:dyDescent="0.25">
      <c r="A431" s="120"/>
      <c r="B431" s="120"/>
      <c r="C431" s="120"/>
      <c r="D431" s="121"/>
      <c r="E431" s="121"/>
      <c r="F431" s="12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spans="1:26" ht="19.5" customHeight="1" x14ac:dyDescent="0.25">
      <c r="A432" s="120"/>
      <c r="B432" s="120"/>
      <c r="C432" s="120"/>
      <c r="D432" s="121"/>
      <c r="E432" s="121"/>
      <c r="F432" s="12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spans="1:26" ht="19.5" customHeight="1" x14ac:dyDescent="0.25">
      <c r="A433" s="120"/>
      <c r="B433" s="120"/>
      <c r="C433" s="120"/>
      <c r="D433" s="121"/>
      <c r="E433" s="121"/>
      <c r="F433" s="12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spans="1:26" ht="19.5" customHeight="1" x14ac:dyDescent="0.25">
      <c r="A434" s="120"/>
      <c r="B434" s="120"/>
      <c r="C434" s="120"/>
      <c r="D434" s="121"/>
      <c r="E434" s="121"/>
      <c r="F434" s="12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spans="1:26" ht="19.5" customHeight="1" x14ac:dyDescent="0.25">
      <c r="A435" s="120"/>
      <c r="B435" s="120"/>
      <c r="C435" s="120"/>
      <c r="D435" s="121"/>
      <c r="E435" s="121"/>
      <c r="F435" s="12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spans="1:26" ht="19.5" customHeight="1" x14ac:dyDescent="0.25">
      <c r="A436" s="120"/>
      <c r="B436" s="120"/>
      <c r="C436" s="120"/>
      <c r="D436" s="121"/>
      <c r="E436" s="121"/>
      <c r="F436" s="12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spans="1:26" ht="19.5" customHeight="1" x14ac:dyDescent="0.25">
      <c r="A437" s="120"/>
      <c r="B437" s="120"/>
      <c r="C437" s="120"/>
      <c r="D437" s="121"/>
      <c r="E437" s="121"/>
      <c r="F437" s="12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spans="1:26" ht="19.5" customHeight="1" x14ac:dyDescent="0.25">
      <c r="A438" s="120"/>
      <c r="B438" s="120"/>
      <c r="C438" s="120"/>
      <c r="D438" s="121"/>
      <c r="E438" s="121"/>
      <c r="F438" s="12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spans="1:26" ht="19.5" customHeight="1" x14ac:dyDescent="0.25">
      <c r="A439" s="120"/>
      <c r="B439" s="120"/>
      <c r="C439" s="120"/>
      <c r="D439" s="121"/>
      <c r="E439" s="121"/>
      <c r="F439" s="12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spans="1:26" ht="19.5" customHeight="1" x14ac:dyDescent="0.25">
      <c r="A440" s="120"/>
      <c r="B440" s="120"/>
      <c r="C440" s="120"/>
      <c r="D440" s="121"/>
      <c r="E440" s="121"/>
      <c r="F440" s="12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spans="1:26" ht="19.5" customHeight="1" x14ac:dyDescent="0.25">
      <c r="A441" s="120"/>
      <c r="B441" s="120"/>
      <c r="C441" s="120"/>
      <c r="D441" s="121"/>
      <c r="E441" s="121"/>
      <c r="F441" s="12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spans="1:26" ht="19.5" customHeight="1" x14ac:dyDescent="0.25">
      <c r="A442" s="120"/>
      <c r="B442" s="120"/>
      <c r="C442" s="120"/>
      <c r="D442" s="121"/>
      <c r="E442" s="121"/>
      <c r="F442" s="12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spans="1:26" ht="19.5" customHeight="1" x14ac:dyDescent="0.25">
      <c r="A443" s="120"/>
      <c r="B443" s="120"/>
      <c r="C443" s="120"/>
      <c r="D443" s="121"/>
      <c r="E443" s="121"/>
      <c r="F443" s="12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spans="1:26" ht="19.5" customHeight="1" x14ac:dyDescent="0.25">
      <c r="A444" s="120"/>
      <c r="B444" s="120"/>
      <c r="C444" s="120"/>
      <c r="D444" s="121"/>
      <c r="E444" s="121"/>
      <c r="F444" s="12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spans="1:26" ht="19.5" customHeight="1" x14ac:dyDescent="0.25">
      <c r="A445" s="120"/>
      <c r="B445" s="120"/>
      <c r="C445" s="120"/>
      <c r="D445" s="121"/>
      <c r="E445" s="121"/>
      <c r="F445" s="12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spans="1:26" ht="19.5" customHeight="1" x14ac:dyDescent="0.25">
      <c r="A446" s="120"/>
      <c r="B446" s="120"/>
      <c r="C446" s="120"/>
      <c r="D446" s="121"/>
      <c r="E446" s="121"/>
      <c r="F446" s="12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spans="1:26" ht="19.5" customHeight="1" x14ac:dyDescent="0.25">
      <c r="A447" s="120"/>
      <c r="B447" s="120"/>
      <c r="C447" s="120"/>
      <c r="D447" s="121"/>
      <c r="E447" s="121"/>
      <c r="F447" s="12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spans="1:26" ht="19.5" customHeight="1" x14ac:dyDescent="0.25">
      <c r="A448" s="120"/>
      <c r="B448" s="120"/>
      <c r="C448" s="120"/>
      <c r="D448" s="121"/>
      <c r="E448" s="121"/>
      <c r="F448" s="12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spans="1:26" ht="19.5" customHeight="1" x14ac:dyDescent="0.25">
      <c r="A449" s="120"/>
      <c r="B449" s="120"/>
      <c r="C449" s="120"/>
      <c r="D449" s="121"/>
      <c r="E449" s="121"/>
      <c r="F449" s="12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spans="1:26" ht="19.5" customHeight="1" x14ac:dyDescent="0.25">
      <c r="A450" s="120"/>
      <c r="B450" s="120"/>
      <c r="C450" s="120"/>
      <c r="D450" s="121"/>
      <c r="E450" s="121"/>
      <c r="F450" s="12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spans="1:26" ht="19.5" customHeight="1" x14ac:dyDescent="0.25">
      <c r="A451" s="120"/>
      <c r="B451" s="120"/>
      <c r="C451" s="120"/>
      <c r="D451" s="121"/>
      <c r="E451" s="121"/>
      <c r="F451" s="12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spans="1:26" ht="19.5" customHeight="1" x14ac:dyDescent="0.25">
      <c r="A452" s="120"/>
      <c r="B452" s="120"/>
      <c r="C452" s="120"/>
      <c r="D452" s="121"/>
      <c r="E452" s="121"/>
      <c r="F452" s="12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spans="1:26" ht="19.5" customHeight="1" x14ac:dyDescent="0.25">
      <c r="A453" s="120"/>
      <c r="B453" s="120"/>
      <c r="C453" s="120"/>
      <c r="D453" s="121"/>
      <c r="E453" s="121"/>
      <c r="F453" s="12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spans="1:26" ht="19.5" customHeight="1" x14ac:dyDescent="0.25">
      <c r="A454" s="120"/>
      <c r="B454" s="120"/>
      <c r="C454" s="120"/>
      <c r="D454" s="121"/>
      <c r="E454" s="121"/>
      <c r="F454" s="12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spans="1:26" ht="19.5" customHeight="1" x14ac:dyDescent="0.25">
      <c r="A455" s="120"/>
      <c r="B455" s="120"/>
      <c r="C455" s="120"/>
      <c r="D455" s="121"/>
      <c r="E455" s="121"/>
      <c r="F455" s="12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spans="1:26" ht="19.5" customHeight="1" x14ac:dyDescent="0.25">
      <c r="A456" s="120"/>
      <c r="B456" s="120"/>
      <c r="C456" s="120"/>
      <c r="D456" s="121"/>
      <c r="E456" s="121"/>
      <c r="F456" s="12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spans="1:26" ht="19.5" customHeight="1" x14ac:dyDescent="0.25">
      <c r="A457" s="120"/>
      <c r="B457" s="120"/>
      <c r="C457" s="120"/>
      <c r="D457" s="121"/>
      <c r="E457" s="121"/>
      <c r="F457" s="12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spans="1:26" ht="19.5" customHeight="1" x14ac:dyDescent="0.25">
      <c r="A458" s="120"/>
      <c r="B458" s="120"/>
      <c r="C458" s="120"/>
      <c r="D458" s="121"/>
      <c r="E458" s="121"/>
      <c r="F458" s="12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spans="1:26" ht="19.5" customHeight="1" x14ac:dyDescent="0.25">
      <c r="A459" s="120"/>
      <c r="B459" s="120"/>
      <c r="C459" s="120"/>
      <c r="D459" s="121"/>
      <c r="E459" s="121"/>
      <c r="F459" s="12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spans="1:26" ht="19.5" customHeight="1" x14ac:dyDescent="0.25">
      <c r="A460" s="120"/>
      <c r="B460" s="120"/>
      <c r="C460" s="120"/>
      <c r="D460" s="121"/>
      <c r="E460" s="121"/>
      <c r="F460" s="12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spans="1:26" ht="19.5" customHeight="1" x14ac:dyDescent="0.25">
      <c r="A461" s="120"/>
      <c r="B461" s="120"/>
      <c r="C461" s="120"/>
      <c r="D461" s="121"/>
      <c r="E461" s="121"/>
      <c r="F461" s="12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spans="1:26" ht="19.5" customHeight="1" x14ac:dyDescent="0.25">
      <c r="A462" s="120"/>
      <c r="B462" s="120"/>
      <c r="C462" s="120"/>
      <c r="D462" s="121"/>
      <c r="E462" s="121"/>
      <c r="F462" s="12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spans="1:26" ht="19.5" customHeight="1" x14ac:dyDescent="0.25">
      <c r="A463" s="120"/>
      <c r="B463" s="120"/>
      <c r="C463" s="120"/>
      <c r="D463" s="121"/>
      <c r="E463" s="121"/>
      <c r="F463" s="12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spans="1:26" ht="19.5" customHeight="1" x14ac:dyDescent="0.25">
      <c r="A464" s="120"/>
      <c r="B464" s="120"/>
      <c r="C464" s="120"/>
      <c r="D464" s="121"/>
      <c r="E464" s="121"/>
      <c r="F464" s="12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spans="1:26" ht="19.5" customHeight="1" x14ac:dyDescent="0.25">
      <c r="A465" s="120"/>
      <c r="B465" s="120"/>
      <c r="C465" s="120"/>
      <c r="D465" s="121"/>
      <c r="E465" s="121"/>
      <c r="F465" s="12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spans="1:26" ht="19.5" customHeight="1" x14ac:dyDescent="0.25">
      <c r="A466" s="120"/>
      <c r="B466" s="120"/>
      <c r="C466" s="120"/>
      <c r="D466" s="121"/>
      <c r="E466" s="121"/>
      <c r="F466" s="12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spans="1:26" ht="19.5" customHeight="1" x14ac:dyDescent="0.25">
      <c r="A467" s="120"/>
      <c r="B467" s="120"/>
      <c r="C467" s="120"/>
      <c r="D467" s="121"/>
      <c r="E467" s="121"/>
      <c r="F467" s="12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spans="1:26" ht="19.5" customHeight="1" x14ac:dyDescent="0.25">
      <c r="A468" s="120"/>
      <c r="B468" s="120"/>
      <c r="C468" s="120"/>
      <c r="D468" s="121"/>
      <c r="E468" s="121"/>
      <c r="F468" s="12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spans="1:26" ht="19.5" customHeight="1" x14ac:dyDescent="0.25">
      <c r="A469" s="120"/>
      <c r="B469" s="120"/>
      <c r="C469" s="120"/>
      <c r="D469" s="121"/>
      <c r="E469" s="121"/>
      <c r="F469" s="12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spans="1:26" ht="19.5" customHeight="1" x14ac:dyDescent="0.25">
      <c r="A470" s="120"/>
      <c r="B470" s="120"/>
      <c r="C470" s="120"/>
      <c r="D470" s="121"/>
      <c r="E470" s="121"/>
      <c r="F470" s="12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spans="1:26" ht="19.5" customHeight="1" x14ac:dyDescent="0.25">
      <c r="A471" s="120"/>
      <c r="B471" s="120"/>
      <c r="C471" s="120"/>
      <c r="D471" s="121"/>
      <c r="E471" s="121"/>
      <c r="F471" s="12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spans="1:26" ht="19.5" customHeight="1" x14ac:dyDescent="0.25">
      <c r="A472" s="120"/>
      <c r="B472" s="120"/>
      <c r="C472" s="120"/>
      <c r="D472" s="121"/>
      <c r="E472" s="121"/>
      <c r="F472" s="12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spans="1:26" ht="19.5" customHeight="1" x14ac:dyDescent="0.25">
      <c r="A473" s="120"/>
      <c r="B473" s="120"/>
      <c r="C473" s="120"/>
      <c r="D473" s="121"/>
      <c r="E473" s="121"/>
      <c r="F473" s="12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spans="1:26" ht="19.5" customHeight="1" x14ac:dyDescent="0.25">
      <c r="A474" s="120"/>
      <c r="B474" s="120"/>
      <c r="C474" s="120"/>
      <c r="D474" s="121"/>
      <c r="E474" s="121"/>
      <c r="F474" s="12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spans="1:26" ht="19.5" customHeight="1" x14ac:dyDescent="0.25">
      <c r="A475" s="120"/>
      <c r="B475" s="120"/>
      <c r="C475" s="120"/>
      <c r="D475" s="121"/>
      <c r="E475" s="121"/>
      <c r="F475" s="12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spans="1:26" ht="19.5" customHeight="1" x14ac:dyDescent="0.25">
      <c r="A476" s="120"/>
      <c r="B476" s="120"/>
      <c r="C476" s="120"/>
      <c r="D476" s="121"/>
      <c r="E476" s="121"/>
      <c r="F476" s="12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spans="1:26" ht="19.5" customHeight="1" x14ac:dyDescent="0.25">
      <c r="A477" s="120"/>
      <c r="B477" s="120"/>
      <c r="C477" s="120"/>
      <c r="D477" s="121"/>
      <c r="E477" s="121"/>
      <c r="F477" s="12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spans="1:26" ht="19.5" customHeight="1" x14ac:dyDescent="0.25">
      <c r="A478" s="120"/>
      <c r="B478" s="120"/>
      <c r="C478" s="120"/>
      <c r="D478" s="121"/>
      <c r="E478" s="121"/>
      <c r="F478" s="12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spans="1:26" ht="19.5" customHeight="1" x14ac:dyDescent="0.25">
      <c r="A479" s="120"/>
      <c r="B479" s="120"/>
      <c r="C479" s="120"/>
      <c r="D479" s="121"/>
      <c r="E479" s="121"/>
      <c r="F479" s="12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spans="1:26" ht="19.5" customHeight="1" x14ac:dyDescent="0.25">
      <c r="A480" s="120"/>
      <c r="B480" s="120"/>
      <c r="C480" s="120"/>
      <c r="D480" s="121"/>
      <c r="E480" s="121"/>
      <c r="F480" s="12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spans="1:26" ht="19.5" customHeight="1" x14ac:dyDescent="0.25">
      <c r="A481" s="120"/>
      <c r="B481" s="120"/>
      <c r="C481" s="120"/>
      <c r="D481" s="121"/>
      <c r="E481" s="121"/>
      <c r="F481" s="12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spans="1:26" ht="19.5" customHeight="1" x14ac:dyDescent="0.25">
      <c r="A482" s="120"/>
      <c r="B482" s="120"/>
      <c r="C482" s="120"/>
      <c r="D482" s="121"/>
      <c r="E482" s="121"/>
      <c r="F482" s="12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spans="1:26" ht="19.5" customHeight="1" x14ac:dyDescent="0.25">
      <c r="A483" s="120"/>
      <c r="B483" s="120"/>
      <c r="C483" s="120"/>
      <c r="D483" s="121"/>
      <c r="E483" s="121"/>
      <c r="F483" s="12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spans="1:26" ht="19.5" customHeight="1" x14ac:dyDescent="0.25">
      <c r="A484" s="120"/>
      <c r="B484" s="120"/>
      <c r="C484" s="120"/>
      <c r="D484" s="121"/>
      <c r="E484" s="121"/>
      <c r="F484" s="12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spans="1:26" ht="19.5" customHeight="1" x14ac:dyDescent="0.25">
      <c r="A485" s="120"/>
      <c r="B485" s="120"/>
      <c r="C485" s="120"/>
      <c r="D485" s="121"/>
      <c r="E485" s="121"/>
      <c r="F485" s="12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spans="1:26" ht="19.5" customHeight="1" x14ac:dyDescent="0.25">
      <c r="A486" s="120"/>
      <c r="B486" s="120"/>
      <c r="C486" s="120"/>
      <c r="D486" s="121"/>
      <c r="E486" s="121"/>
      <c r="F486" s="12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spans="1:26" ht="19.5" customHeight="1" x14ac:dyDescent="0.25">
      <c r="A487" s="120"/>
      <c r="B487" s="120"/>
      <c r="C487" s="120"/>
      <c r="D487" s="121"/>
      <c r="E487" s="121"/>
      <c r="F487" s="12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spans="1:26" ht="19.5" customHeight="1" x14ac:dyDescent="0.25">
      <c r="A488" s="120"/>
      <c r="B488" s="120"/>
      <c r="C488" s="120"/>
      <c r="D488" s="121"/>
      <c r="E488" s="121"/>
      <c r="F488" s="12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spans="1:26" ht="19.5" customHeight="1" x14ac:dyDescent="0.25">
      <c r="A489" s="120"/>
      <c r="B489" s="120"/>
      <c r="C489" s="120"/>
      <c r="D489" s="121"/>
      <c r="E489" s="121"/>
      <c r="F489" s="12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spans="1:26" ht="19.5" customHeight="1" x14ac:dyDescent="0.25">
      <c r="A490" s="120"/>
      <c r="B490" s="120"/>
      <c r="C490" s="120"/>
      <c r="D490" s="121"/>
      <c r="E490" s="121"/>
      <c r="F490" s="12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spans="1:26" ht="19.5" customHeight="1" x14ac:dyDescent="0.25">
      <c r="A491" s="120"/>
      <c r="B491" s="120"/>
      <c r="C491" s="120"/>
      <c r="D491" s="121"/>
      <c r="E491" s="121"/>
      <c r="F491" s="12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spans="1:26" ht="19.5" customHeight="1" x14ac:dyDescent="0.25">
      <c r="A492" s="120"/>
      <c r="B492" s="120"/>
      <c r="C492" s="120"/>
      <c r="D492" s="121"/>
      <c r="E492" s="121"/>
      <c r="F492" s="12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spans="1:26" ht="19.5" customHeight="1" x14ac:dyDescent="0.25">
      <c r="A493" s="120"/>
      <c r="B493" s="120"/>
      <c r="C493" s="120"/>
      <c r="D493" s="121"/>
      <c r="E493" s="121"/>
      <c r="F493" s="12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spans="1:26" ht="19.5" customHeight="1" x14ac:dyDescent="0.25">
      <c r="A494" s="120"/>
      <c r="B494" s="120"/>
      <c r="C494" s="120"/>
      <c r="D494" s="121"/>
      <c r="E494" s="121"/>
      <c r="F494" s="12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spans="1:26" ht="19.5" customHeight="1" x14ac:dyDescent="0.25">
      <c r="A495" s="120"/>
      <c r="B495" s="120"/>
      <c r="C495" s="120"/>
      <c r="D495" s="121"/>
      <c r="E495" s="121"/>
      <c r="F495" s="12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spans="1:26" ht="19.5" customHeight="1" x14ac:dyDescent="0.25">
      <c r="A496" s="120"/>
      <c r="B496" s="120"/>
      <c r="C496" s="120"/>
      <c r="D496" s="121"/>
      <c r="E496" s="121"/>
      <c r="F496" s="12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spans="1:26" ht="19.5" customHeight="1" x14ac:dyDescent="0.25">
      <c r="A497" s="120"/>
      <c r="B497" s="120"/>
      <c r="C497" s="120"/>
      <c r="D497" s="121"/>
      <c r="E497" s="121"/>
      <c r="F497" s="12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spans="1:26" ht="19.5" customHeight="1" x14ac:dyDescent="0.25">
      <c r="A498" s="120"/>
      <c r="B498" s="120"/>
      <c r="C498" s="120"/>
      <c r="D498" s="121"/>
      <c r="E498" s="121"/>
      <c r="F498" s="12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spans="1:26" ht="19.5" customHeight="1" x14ac:dyDescent="0.25">
      <c r="A499" s="120"/>
      <c r="B499" s="120"/>
      <c r="C499" s="120"/>
      <c r="D499" s="121"/>
      <c r="E499" s="121"/>
      <c r="F499" s="12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spans="1:26" ht="19.5" customHeight="1" x14ac:dyDescent="0.25">
      <c r="A500" s="120"/>
      <c r="B500" s="120"/>
      <c r="C500" s="120"/>
      <c r="D500" s="121"/>
      <c r="E500" s="121"/>
      <c r="F500" s="12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spans="1:26" ht="19.5" customHeight="1" x14ac:dyDescent="0.25">
      <c r="A501" s="120"/>
      <c r="B501" s="120"/>
      <c r="C501" s="120"/>
      <c r="D501" s="121"/>
      <c r="E501" s="121"/>
      <c r="F501" s="12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spans="1:26" ht="19.5" customHeight="1" x14ac:dyDescent="0.25">
      <c r="A502" s="120"/>
      <c r="B502" s="120"/>
      <c r="C502" s="120"/>
      <c r="D502" s="121"/>
      <c r="E502" s="121"/>
      <c r="F502" s="12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spans="1:26" ht="19.5" customHeight="1" x14ac:dyDescent="0.25">
      <c r="A503" s="120"/>
      <c r="B503" s="120"/>
      <c r="C503" s="120"/>
      <c r="D503" s="121"/>
      <c r="E503" s="121"/>
      <c r="F503" s="12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spans="1:26" ht="19.5" customHeight="1" x14ac:dyDescent="0.25">
      <c r="A504" s="120"/>
      <c r="B504" s="120"/>
      <c r="C504" s="120"/>
      <c r="D504" s="121"/>
      <c r="E504" s="121"/>
      <c r="F504" s="12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spans="1:26" ht="19.5" customHeight="1" x14ac:dyDescent="0.25">
      <c r="A505" s="120"/>
      <c r="B505" s="120"/>
      <c r="C505" s="120"/>
      <c r="D505" s="121"/>
      <c r="E505" s="121"/>
      <c r="F505" s="12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spans="1:26" ht="19.5" customHeight="1" x14ac:dyDescent="0.25">
      <c r="A506" s="120"/>
      <c r="B506" s="120"/>
      <c r="C506" s="120"/>
      <c r="D506" s="121"/>
      <c r="E506" s="121"/>
      <c r="F506" s="12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spans="1:26" ht="19.5" customHeight="1" x14ac:dyDescent="0.25">
      <c r="A507" s="120"/>
      <c r="B507" s="120"/>
      <c r="C507" s="120"/>
      <c r="D507" s="121"/>
      <c r="E507" s="121"/>
      <c r="F507" s="12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spans="1:26" ht="19.5" customHeight="1" x14ac:dyDescent="0.25">
      <c r="A508" s="120"/>
      <c r="B508" s="120"/>
      <c r="C508" s="120"/>
      <c r="D508" s="121"/>
      <c r="E508" s="121"/>
      <c r="F508" s="12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spans="1:26" ht="19.5" customHeight="1" x14ac:dyDescent="0.25">
      <c r="A509" s="120"/>
      <c r="B509" s="120"/>
      <c r="C509" s="120"/>
      <c r="D509" s="121"/>
      <c r="E509" s="121"/>
      <c r="F509" s="12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spans="1:26" ht="19.5" customHeight="1" x14ac:dyDescent="0.25">
      <c r="A510" s="120"/>
      <c r="B510" s="120"/>
      <c r="C510" s="120"/>
      <c r="D510" s="121"/>
      <c r="E510" s="121"/>
      <c r="F510" s="12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spans="1:26" ht="19.5" customHeight="1" x14ac:dyDescent="0.25">
      <c r="A511" s="120"/>
      <c r="B511" s="120"/>
      <c r="C511" s="120"/>
      <c r="D511" s="121"/>
      <c r="E511" s="121"/>
      <c r="F511" s="12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spans="1:26" ht="19.5" customHeight="1" x14ac:dyDescent="0.25">
      <c r="A512" s="120"/>
      <c r="B512" s="120"/>
      <c r="C512" s="120"/>
      <c r="D512" s="121"/>
      <c r="E512" s="121"/>
      <c r="F512" s="12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spans="1:26" ht="19.5" customHeight="1" x14ac:dyDescent="0.25">
      <c r="A513" s="120"/>
      <c r="B513" s="120"/>
      <c r="C513" s="120"/>
      <c r="D513" s="121"/>
      <c r="E513" s="121"/>
      <c r="F513" s="12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spans="1:26" ht="19.5" customHeight="1" x14ac:dyDescent="0.25">
      <c r="A514" s="120"/>
      <c r="B514" s="120"/>
      <c r="C514" s="120"/>
      <c r="D514" s="121"/>
      <c r="E514" s="121"/>
      <c r="F514" s="12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spans="1:26" ht="19.5" customHeight="1" x14ac:dyDescent="0.25">
      <c r="A515" s="120"/>
      <c r="B515" s="120"/>
      <c r="C515" s="120"/>
      <c r="D515" s="121"/>
      <c r="E515" s="121"/>
      <c r="F515" s="12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spans="1:26" ht="19.5" customHeight="1" x14ac:dyDescent="0.25">
      <c r="A516" s="120"/>
      <c r="B516" s="120"/>
      <c r="C516" s="120"/>
      <c r="D516" s="121"/>
      <c r="E516" s="121"/>
      <c r="F516" s="12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spans="1:26" ht="19.5" customHeight="1" x14ac:dyDescent="0.25">
      <c r="A517" s="120"/>
      <c r="B517" s="120"/>
      <c r="C517" s="120"/>
      <c r="D517" s="121"/>
      <c r="E517" s="121"/>
      <c r="F517" s="12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spans="1:26" ht="19.5" customHeight="1" x14ac:dyDescent="0.25">
      <c r="A518" s="120"/>
      <c r="B518" s="120"/>
      <c r="C518" s="120"/>
      <c r="D518" s="121"/>
      <c r="E518" s="121"/>
      <c r="F518" s="12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spans="1:26" ht="19.5" customHeight="1" x14ac:dyDescent="0.25">
      <c r="A519" s="120"/>
      <c r="B519" s="120"/>
      <c r="C519" s="120"/>
      <c r="D519" s="121"/>
      <c r="E519" s="121"/>
      <c r="F519" s="12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spans="1:26" ht="19.5" customHeight="1" x14ac:dyDescent="0.25">
      <c r="A520" s="120"/>
      <c r="B520" s="120"/>
      <c r="C520" s="120"/>
      <c r="D520" s="121"/>
      <c r="E520" s="121"/>
      <c r="F520" s="12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spans="1:26" ht="19.5" customHeight="1" x14ac:dyDescent="0.25">
      <c r="A521" s="120"/>
      <c r="B521" s="120"/>
      <c r="C521" s="120"/>
      <c r="D521" s="121"/>
      <c r="E521" s="121"/>
      <c r="F521" s="12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spans="1:26" ht="19.5" customHeight="1" x14ac:dyDescent="0.25">
      <c r="A522" s="120"/>
      <c r="B522" s="120"/>
      <c r="C522" s="120"/>
      <c r="D522" s="121"/>
      <c r="E522" s="121"/>
      <c r="F522" s="12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spans="1:26" ht="19.5" customHeight="1" x14ac:dyDescent="0.25">
      <c r="A523" s="120"/>
      <c r="B523" s="120"/>
      <c r="C523" s="120"/>
      <c r="D523" s="121"/>
      <c r="E523" s="121"/>
      <c r="F523" s="12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spans="1:26" ht="19.5" customHeight="1" x14ac:dyDescent="0.25">
      <c r="A524" s="120"/>
      <c r="B524" s="120"/>
      <c r="C524" s="120"/>
      <c r="D524" s="121"/>
      <c r="E524" s="121"/>
      <c r="F524" s="12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spans="1:26" ht="19.5" customHeight="1" x14ac:dyDescent="0.25">
      <c r="A525" s="120"/>
      <c r="B525" s="120"/>
      <c r="C525" s="120"/>
      <c r="D525" s="121"/>
      <c r="E525" s="121"/>
      <c r="F525" s="12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spans="1:26" ht="19.5" customHeight="1" x14ac:dyDescent="0.25">
      <c r="A526" s="120"/>
      <c r="B526" s="120"/>
      <c r="C526" s="120"/>
      <c r="D526" s="121"/>
      <c r="E526" s="121"/>
      <c r="F526" s="12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spans="1:26" ht="19.5" customHeight="1" x14ac:dyDescent="0.25">
      <c r="A527" s="120"/>
      <c r="B527" s="120"/>
      <c r="C527" s="120"/>
      <c r="D527" s="121"/>
      <c r="E527" s="121"/>
      <c r="F527" s="12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spans="1:26" ht="19.5" customHeight="1" x14ac:dyDescent="0.25">
      <c r="A528" s="120"/>
      <c r="B528" s="120"/>
      <c r="C528" s="120"/>
      <c r="D528" s="121"/>
      <c r="E528" s="121"/>
      <c r="F528" s="12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spans="1:26" ht="19.5" customHeight="1" x14ac:dyDescent="0.25">
      <c r="A529" s="120"/>
      <c r="B529" s="120"/>
      <c r="C529" s="120"/>
      <c r="D529" s="121"/>
      <c r="E529" s="121"/>
      <c r="F529" s="12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spans="1:26" ht="19.5" customHeight="1" x14ac:dyDescent="0.25">
      <c r="A530" s="120"/>
      <c r="B530" s="120"/>
      <c r="C530" s="120"/>
      <c r="D530" s="121"/>
      <c r="E530" s="121"/>
      <c r="F530" s="12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spans="1:26" ht="19.5" customHeight="1" x14ac:dyDescent="0.25">
      <c r="A531" s="120"/>
      <c r="B531" s="120"/>
      <c r="C531" s="120"/>
      <c r="D531" s="121"/>
      <c r="E531" s="121"/>
      <c r="F531" s="12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spans="1:26" ht="19.5" customHeight="1" x14ac:dyDescent="0.25">
      <c r="A532" s="120"/>
      <c r="B532" s="120"/>
      <c r="C532" s="120"/>
      <c r="D532" s="121"/>
      <c r="E532" s="121"/>
      <c r="F532" s="12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spans="1:26" ht="19.5" customHeight="1" x14ac:dyDescent="0.25">
      <c r="A533" s="120"/>
      <c r="B533" s="120"/>
      <c r="C533" s="120"/>
      <c r="D533" s="121"/>
      <c r="E533" s="121"/>
      <c r="F533" s="12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spans="1:26" ht="19.5" customHeight="1" x14ac:dyDescent="0.25">
      <c r="A534" s="120"/>
      <c r="B534" s="120"/>
      <c r="C534" s="120"/>
      <c r="D534" s="121"/>
      <c r="E534" s="121"/>
      <c r="F534" s="12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spans="1:26" ht="19.5" customHeight="1" x14ac:dyDescent="0.25">
      <c r="A535" s="120"/>
      <c r="B535" s="120"/>
      <c r="C535" s="120"/>
      <c r="D535" s="121"/>
      <c r="E535" s="121"/>
      <c r="F535" s="12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spans="1:26" ht="19.5" customHeight="1" x14ac:dyDescent="0.25">
      <c r="A536" s="120"/>
      <c r="B536" s="120"/>
      <c r="C536" s="120"/>
      <c r="D536" s="121"/>
      <c r="E536" s="121"/>
      <c r="F536" s="12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spans="1:26" ht="19.5" customHeight="1" x14ac:dyDescent="0.25">
      <c r="A537" s="120"/>
      <c r="B537" s="120"/>
      <c r="C537" s="120"/>
      <c r="D537" s="121"/>
      <c r="E537" s="121"/>
      <c r="F537" s="12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spans="1:26" ht="19.5" customHeight="1" x14ac:dyDescent="0.25">
      <c r="A538" s="120"/>
      <c r="B538" s="120"/>
      <c r="C538" s="120"/>
      <c r="D538" s="121"/>
      <c r="E538" s="121"/>
      <c r="F538" s="12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spans="1:26" ht="19.5" customHeight="1" x14ac:dyDescent="0.25">
      <c r="A539" s="120"/>
      <c r="B539" s="120"/>
      <c r="C539" s="120"/>
      <c r="D539" s="121"/>
      <c r="E539" s="121"/>
      <c r="F539" s="12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spans="1:26" ht="19.5" customHeight="1" x14ac:dyDescent="0.25">
      <c r="A540" s="120"/>
      <c r="B540" s="120"/>
      <c r="C540" s="120"/>
      <c r="D540" s="121"/>
      <c r="E540" s="121"/>
      <c r="F540" s="12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spans="1:26" ht="19.5" customHeight="1" x14ac:dyDescent="0.25">
      <c r="A541" s="120"/>
      <c r="B541" s="120"/>
      <c r="C541" s="120"/>
      <c r="D541" s="121"/>
      <c r="E541" s="121"/>
      <c r="F541" s="12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spans="1:26" ht="19.5" customHeight="1" x14ac:dyDescent="0.25">
      <c r="A542" s="120"/>
      <c r="B542" s="120"/>
      <c r="C542" s="120"/>
      <c r="D542" s="121"/>
      <c r="E542" s="121"/>
      <c r="F542" s="12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spans="1:26" ht="19.5" customHeight="1" x14ac:dyDescent="0.25">
      <c r="A543" s="120"/>
      <c r="B543" s="120"/>
      <c r="C543" s="120"/>
      <c r="D543" s="121"/>
      <c r="E543" s="121"/>
      <c r="F543" s="12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spans="1:26" ht="19.5" customHeight="1" x14ac:dyDescent="0.25">
      <c r="A544" s="120"/>
      <c r="B544" s="120"/>
      <c r="C544" s="120"/>
      <c r="D544" s="121"/>
      <c r="E544" s="121"/>
      <c r="F544" s="12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spans="1:26" ht="19.5" customHeight="1" x14ac:dyDescent="0.25">
      <c r="A545" s="120"/>
      <c r="B545" s="120"/>
      <c r="C545" s="120"/>
      <c r="D545" s="121"/>
      <c r="E545" s="121"/>
      <c r="F545" s="12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spans="1:26" ht="19.5" customHeight="1" x14ac:dyDescent="0.25">
      <c r="A546" s="120"/>
      <c r="B546" s="120"/>
      <c r="C546" s="120"/>
      <c r="D546" s="121"/>
      <c r="E546" s="121"/>
      <c r="F546" s="12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spans="1:26" ht="19.5" customHeight="1" x14ac:dyDescent="0.25">
      <c r="A547" s="120"/>
      <c r="B547" s="120"/>
      <c r="C547" s="120"/>
      <c r="D547" s="121"/>
      <c r="E547" s="121"/>
      <c r="F547" s="12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spans="1:26" ht="19.5" customHeight="1" x14ac:dyDescent="0.25">
      <c r="A548" s="120"/>
      <c r="B548" s="120"/>
      <c r="C548" s="120"/>
      <c r="D548" s="121"/>
      <c r="E548" s="121"/>
      <c r="F548" s="12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spans="1:26" ht="19.5" customHeight="1" x14ac:dyDescent="0.25">
      <c r="A549" s="120"/>
      <c r="B549" s="120"/>
      <c r="C549" s="120"/>
      <c r="D549" s="121"/>
      <c r="E549" s="121"/>
      <c r="F549" s="12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spans="1:26" ht="19.5" customHeight="1" x14ac:dyDescent="0.25">
      <c r="A550" s="120"/>
      <c r="B550" s="120"/>
      <c r="C550" s="120"/>
      <c r="D550" s="121"/>
      <c r="E550" s="121"/>
      <c r="F550" s="12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spans="1:26" ht="19.5" customHeight="1" x14ac:dyDescent="0.25">
      <c r="A551" s="120"/>
      <c r="B551" s="120"/>
      <c r="C551" s="120"/>
      <c r="D551" s="121"/>
      <c r="E551" s="121"/>
      <c r="F551" s="12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spans="1:26" ht="19.5" customHeight="1" x14ac:dyDescent="0.25">
      <c r="A552" s="120"/>
      <c r="B552" s="120"/>
      <c r="C552" s="120"/>
      <c r="D552" s="121"/>
      <c r="E552" s="121"/>
      <c r="F552" s="12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spans="1:26" ht="19.5" customHeight="1" x14ac:dyDescent="0.25">
      <c r="A553" s="120"/>
      <c r="B553" s="120"/>
      <c r="C553" s="120"/>
      <c r="D553" s="121"/>
      <c r="E553" s="121"/>
      <c r="F553" s="12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spans="1:26" ht="19.5" customHeight="1" x14ac:dyDescent="0.25">
      <c r="A554" s="120"/>
      <c r="B554" s="120"/>
      <c r="C554" s="120"/>
      <c r="D554" s="121"/>
      <c r="E554" s="121"/>
      <c r="F554" s="12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spans="1:26" ht="19.5" customHeight="1" x14ac:dyDescent="0.25">
      <c r="A555" s="120"/>
      <c r="B555" s="120"/>
      <c r="C555" s="120"/>
      <c r="D555" s="121"/>
      <c r="E555" s="121"/>
      <c r="F555" s="12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spans="1:26" ht="19.5" customHeight="1" x14ac:dyDescent="0.25">
      <c r="A556" s="120"/>
      <c r="B556" s="120"/>
      <c r="C556" s="120"/>
      <c r="D556" s="121"/>
      <c r="E556" s="121"/>
      <c r="F556" s="12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spans="1:26" ht="19.5" customHeight="1" x14ac:dyDescent="0.25">
      <c r="A557" s="120"/>
      <c r="B557" s="120"/>
      <c r="C557" s="120"/>
      <c r="D557" s="121"/>
      <c r="E557" s="121"/>
      <c r="F557" s="12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spans="1:26" ht="19.5" customHeight="1" x14ac:dyDescent="0.25">
      <c r="A558" s="120"/>
      <c r="B558" s="120"/>
      <c r="C558" s="120"/>
      <c r="D558" s="121"/>
      <c r="E558" s="121"/>
      <c r="F558" s="12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spans="1:26" ht="19.5" customHeight="1" x14ac:dyDescent="0.25">
      <c r="A559" s="120"/>
      <c r="B559" s="120"/>
      <c r="C559" s="120"/>
      <c r="D559" s="121"/>
      <c r="E559" s="121"/>
      <c r="F559" s="12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spans="1:26" ht="19.5" customHeight="1" x14ac:dyDescent="0.25">
      <c r="A560" s="120"/>
      <c r="B560" s="120"/>
      <c r="C560" s="120"/>
      <c r="D560" s="121"/>
      <c r="E560" s="121"/>
      <c r="F560" s="12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spans="1:26" ht="19.5" customHeight="1" x14ac:dyDescent="0.25">
      <c r="A561" s="120"/>
      <c r="B561" s="120"/>
      <c r="C561" s="120"/>
      <c r="D561" s="121"/>
      <c r="E561" s="121"/>
      <c r="F561" s="12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spans="1:26" ht="19.5" customHeight="1" x14ac:dyDescent="0.25">
      <c r="A562" s="120"/>
      <c r="B562" s="120"/>
      <c r="C562" s="120"/>
      <c r="D562" s="121"/>
      <c r="E562" s="121"/>
      <c r="F562" s="12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spans="1:26" ht="19.5" customHeight="1" x14ac:dyDescent="0.25">
      <c r="A563" s="120"/>
      <c r="B563" s="120"/>
      <c r="C563" s="120"/>
      <c r="D563" s="121"/>
      <c r="E563" s="121"/>
      <c r="F563" s="12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spans="1:26" ht="19.5" customHeight="1" x14ac:dyDescent="0.25">
      <c r="A564" s="120"/>
      <c r="B564" s="120"/>
      <c r="C564" s="120"/>
      <c r="D564" s="121"/>
      <c r="E564" s="121"/>
      <c r="F564" s="12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spans="1:26" ht="19.5" customHeight="1" x14ac:dyDescent="0.25">
      <c r="A565" s="120"/>
      <c r="B565" s="120"/>
      <c r="C565" s="120"/>
      <c r="D565" s="121"/>
      <c r="E565" s="121"/>
      <c r="F565" s="12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spans="1:26" ht="19.5" customHeight="1" x14ac:dyDescent="0.25">
      <c r="A566" s="120"/>
      <c r="B566" s="120"/>
      <c r="C566" s="120"/>
      <c r="D566" s="121"/>
      <c r="E566" s="121"/>
      <c r="F566" s="12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spans="1:26" ht="19.5" customHeight="1" x14ac:dyDescent="0.25">
      <c r="A567" s="120"/>
      <c r="B567" s="120"/>
      <c r="C567" s="120"/>
      <c r="D567" s="121"/>
      <c r="E567" s="121"/>
      <c r="F567" s="12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spans="1:26" ht="19.5" customHeight="1" x14ac:dyDescent="0.25">
      <c r="A568" s="120"/>
      <c r="B568" s="120"/>
      <c r="C568" s="120"/>
      <c r="D568" s="121"/>
      <c r="E568" s="121"/>
      <c r="F568" s="12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spans="1:26" ht="19.5" customHeight="1" x14ac:dyDescent="0.25">
      <c r="A569" s="120"/>
      <c r="B569" s="120"/>
      <c r="C569" s="120"/>
      <c r="D569" s="121"/>
      <c r="E569" s="121"/>
      <c r="F569" s="12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spans="1:26" ht="19.5" customHeight="1" x14ac:dyDescent="0.25">
      <c r="A570" s="120"/>
      <c r="B570" s="120"/>
      <c r="C570" s="120"/>
      <c r="D570" s="121"/>
      <c r="E570" s="121"/>
      <c r="F570" s="12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spans="1:26" ht="19.5" customHeight="1" x14ac:dyDescent="0.25">
      <c r="A571" s="120"/>
      <c r="B571" s="120"/>
      <c r="C571" s="120"/>
      <c r="D571" s="121"/>
      <c r="E571" s="121"/>
      <c r="F571" s="12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spans="1:26" ht="19.5" customHeight="1" x14ac:dyDescent="0.25">
      <c r="A572" s="120"/>
      <c r="B572" s="120"/>
      <c r="C572" s="120"/>
      <c r="D572" s="121"/>
      <c r="E572" s="121"/>
      <c r="F572" s="12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spans="1:26" ht="19.5" customHeight="1" x14ac:dyDescent="0.25">
      <c r="A573" s="120"/>
      <c r="B573" s="120"/>
      <c r="C573" s="120"/>
      <c r="D573" s="121"/>
      <c r="E573" s="121"/>
      <c r="F573" s="12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spans="1:26" ht="19.5" customHeight="1" x14ac:dyDescent="0.25">
      <c r="A574" s="120"/>
      <c r="B574" s="120"/>
      <c r="C574" s="120"/>
      <c r="D574" s="121"/>
      <c r="E574" s="121"/>
      <c r="F574" s="12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spans="1:26" ht="19.5" customHeight="1" x14ac:dyDescent="0.25">
      <c r="A575" s="120"/>
      <c r="B575" s="120"/>
      <c r="C575" s="120"/>
      <c r="D575" s="121"/>
      <c r="E575" s="121"/>
      <c r="F575" s="12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spans="1:26" ht="19.5" customHeight="1" x14ac:dyDescent="0.25">
      <c r="A576" s="120"/>
      <c r="B576" s="120"/>
      <c r="C576" s="120"/>
      <c r="D576" s="121"/>
      <c r="E576" s="121"/>
      <c r="F576" s="12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spans="1:26" ht="19.5" customHeight="1" x14ac:dyDescent="0.25">
      <c r="A577" s="120"/>
      <c r="B577" s="120"/>
      <c r="C577" s="120"/>
      <c r="D577" s="121"/>
      <c r="E577" s="121"/>
      <c r="F577" s="12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spans="1:26" ht="19.5" customHeight="1" x14ac:dyDescent="0.25">
      <c r="A578" s="120"/>
      <c r="B578" s="120"/>
      <c r="C578" s="120"/>
      <c r="D578" s="121"/>
      <c r="E578" s="121"/>
      <c r="F578" s="12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spans="1:26" ht="19.5" customHeight="1" x14ac:dyDescent="0.25">
      <c r="A579" s="120"/>
      <c r="B579" s="120"/>
      <c r="C579" s="120"/>
      <c r="D579" s="121"/>
      <c r="E579" s="121"/>
      <c r="F579" s="12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spans="1:26" ht="19.5" customHeight="1" x14ac:dyDescent="0.25">
      <c r="A580" s="120"/>
      <c r="B580" s="120"/>
      <c r="C580" s="120"/>
      <c r="D580" s="121"/>
      <c r="E580" s="121"/>
      <c r="F580" s="12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spans="1:26" ht="19.5" customHeight="1" x14ac:dyDescent="0.25">
      <c r="A581" s="120"/>
      <c r="B581" s="120"/>
      <c r="C581" s="120"/>
      <c r="D581" s="121"/>
      <c r="E581" s="121"/>
      <c r="F581" s="12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spans="1:26" ht="19.5" customHeight="1" x14ac:dyDescent="0.25">
      <c r="A582" s="120"/>
      <c r="B582" s="120"/>
      <c r="C582" s="120"/>
      <c r="D582" s="121"/>
      <c r="E582" s="121"/>
      <c r="F582" s="12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spans="1:26" ht="19.5" customHeight="1" x14ac:dyDescent="0.25">
      <c r="A583" s="120"/>
      <c r="B583" s="120"/>
      <c r="C583" s="120"/>
      <c r="D583" s="121"/>
      <c r="E583" s="121"/>
      <c r="F583" s="12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spans="1:26" ht="19.5" customHeight="1" x14ac:dyDescent="0.25">
      <c r="A584" s="120"/>
      <c r="B584" s="120"/>
      <c r="C584" s="120"/>
      <c r="D584" s="121"/>
      <c r="E584" s="121"/>
      <c r="F584" s="12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spans="1:26" ht="19.5" customHeight="1" x14ac:dyDescent="0.25">
      <c r="A585" s="120"/>
      <c r="B585" s="120"/>
      <c r="C585" s="120"/>
      <c r="D585" s="121"/>
      <c r="E585" s="121"/>
      <c r="F585" s="12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spans="1:26" ht="19.5" customHeight="1" x14ac:dyDescent="0.25">
      <c r="A586" s="120"/>
      <c r="B586" s="120"/>
      <c r="C586" s="120"/>
      <c r="D586" s="121"/>
      <c r="E586" s="121"/>
      <c r="F586" s="12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spans="1:26" ht="19.5" customHeight="1" x14ac:dyDescent="0.25">
      <c r="A587" s="120"/>
      <c r="B587" s="120"/>
      <c r="C587" s="120"/>
      <c r="D587" s="121"/>
      <c r="E587" s="121"/>
      <c r="F587" s="12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spans="1:26" ht="19.5" customHeight="1" x14ac:dyDescent="0.25">
      <c r="A588" s="120"/>
      <c r="B588" s="120"/>
      <c r="C588" s="120"/>
      <c r="D588" s="121"/>
      <c r="E588" s="121"/>
      <c r="F588" s="12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spans="1:26" ht="19.5" customHeight="1" x14ac:dyDescent="0.25">
      <c r="A589" s="120"/>
      <c r="B589" s="120"/>
      <c r="C589" s="120"/>
      <c r="D589" s="121"/>
      <c r="E589" s="121"/>
      <c r="F589" s="12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spans="1:26" ht="19.5" customHeight="1" x14ac:dyDescent="0.25">
      <c r="A590" s="120"/>
      <c r="B590" s="120"/>
      <c r="C590" s="120"/>
      <c r="D590" s="121"/>
      <c r="E590" s="121"/>
      <c r="F590" s="12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spans="1:26" ht="19.5" customHeight="1" x14ac:dyDescent="0.25">
      <c r="A591" s="120"/>
      <c r="B591" s="120"/>
      <c r="C591" s="120"/>
      <c r="D591" s="121"/>
      <c r="E591" s="121"/>
      <c r="F591" s="12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spans="1:26" ht="19.5" customHeight="1" x14ac:dyDescent="0.25">
      <c r="A592" s="120"/>
      <c r="B592" s="120"/>
      <c r="C592" s="120"/>
      <c r="D592" s="121"/>
      <c r="E592" s="121"/>
      <c r="F592" s="12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spans="1:26" ht="19.5" customHeight="1" x14ac:dyDescent="0.25">
      <c r="A593" s="120"/>
      <c r="B593" s="120"/>
      <c r="C593" s="120"/>
      <c r="D593" s="121"/>
      <c r="E593" s="121"/>
      <c r="F593" s="12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spans="1:26" ht="19.5" customHeight="1" x14ac:dyDescent="0.25">
      <c r="A594" s="120"/>
      <c r="B594" s="120"/>
      <c r="C594" s="120"/>
      <c r="D594" s="121"/>
      <c r="E594" s="121"/>
      <c r="F594" s="12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spans="1:26" ht="19.5" customHeight="1" x14ac:dyDescent="0.25">
      <c r="A595" s="120"/>
      <c r="B595" s="120"/>
      <c r="C595" s="120"/>
      <c r="D595" s="121"/>
      <c r="E595" s="121"/>
      <c r="F595" s="12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spans="1:26" ht="19.5" customHeight="1" x14ac:dyDescent="0.25">
      <c r="A596" s="120"/>
      <c r="B596" s="120"/>
      <c r="C596" s="120"/>
      <c r="D596" s="121"/>
      <c r="E596" s="121"/>
      <c r="F596" s="12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spans="1:26" ht="19.5" customHeight="1" x14ac:dyDescent="0.25">
      <c r="A597" s="120"/>
      <c r="B597" s="120"/>
      <c r="C597" s="120"/>
      <c r="D597" s="121"/>
      <c r="E597" s="121"/>
      <c r="F597" s="12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spans="1:26" ht="19.5" customHeight="1" x14ac:dyDescent="0.25">
      <c r="A598" s="120"/>
      <c r="B598" s="120"/>
      <c r="C598" s="120"/>
      <c r="D598" s="121"/>
      <c r="E598" s="121"/>
      <c r="F598" s="12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spans="1:26" ht="19.5" customHeight="1" x14ac:dyDescent="0.25">
      <c r="A599" s="120"/>
      <c r="B599" s="120"/>
      <c r="C599" s="120"/>
      <c r="D599" s="121"/>
      <c r="E599" s="121"/>
      <c r="F599" s="12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spans="1:26" ht="19.5" customHeight="1" x14ac:dyDescent="0.25">
      <c r="A600" s="120"/>
      <c r="B600" s="120"/>
      <c r="C600" s="120"/>
      <c r="D600" s="121"/>
      <c r="E600" s="121"/>
      <c r="F600" s="12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spans="1:26" ht="19.5" customHeight="1" x14ac:dyDescent="0.25">
      <c r="A601" s="120"/>
      <c r="B601" s="120"/>
      <c r="C601" s="120"/>
      <c r="D601" s="121"/>
      <c r="E601" s="121"/>
      <c r="F601" s="12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spans="1:26" ht="19.5" customHeight="1" x14ac:dyDescent="0.25">
      <c r="A602" s="120"/>
      <c r="B602" s="120"/>
      <c r="C602" s="120"/>
      <c r="D602" s="121"/>
      <c r="E602" s="121"/>
      <c r="F602" s="12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spans="1:26" ht="19.5" customHeight="1" x14ac:dyDescent="0.25">
      <c r="A603" s="120"/>
      <c r="B603" s="120"/>
      <c r="C603" s="120"/>
      <c r="D603" s="121"/>
      <c r="E603" s="121"/>
      <c r="F603" s="12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spans="1:26" ht="19.5" customHeight="1" x14ac:dyDescent="0.25">
      <c r="A604" s="120"/>
      <c r="B604" s="120"/>
      <c r="C604" s="120"/>
      <c r="D604" s="121"/>
      <c r="E604" s="121"/>
      <c r="F604" s="12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spans="1:26" ht="19.5" customHeight="1" x14ac:dyDescent="0.25">
      <c r="A605" s="120"/>
      <c r="B605" s="120"/>
      <c r="C605" s="120"/>
      <c r="D605" s="121"/>
      <c r="E605" s="121"/>
      <c r="F605" s="12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spans="1:26" ht="19.5" customHeight="1" x14ac:dyDescent="0.25">
      <c r="A606" s="120"/>
      <c r="B606" s="120"/>
      <c r="C606" s="120"/>
      <c r="D606" s="121"/>
      <c r="E606" s="121"/>
      <c r="F606" s="12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spans="1:26" ht="19.5" customHeight="1" x14ac:dyDescent="0.25">
      <c r="A607" s="120"/>
      <c r="B607" s="120"/>
      <c r="C607" s="120"/>
      <c r="D607" s="121"/>
      <c r="E607" s="121"/>
      <c r="F607" s="12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spans="1:26" ht="19.5" customHeight="1" x14ac:dyDescent="0.25">
      <c r="A608" s="120"/>
      <c r="B608" s="120"/>
      <c r="C608" s="120"/>
      <c r="D608" s="121"/>
      <c r="E608" s="121"/>
      <c r="F608" s="12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spans="1:26" ht="19.5" customHeight="1" x14ac:dyDescent="0.25">
      <c r="A609" s="120"/>
      <c r="B609" s="120"/>
      <c r="C609" s="120"/>
      <c r="D609" s="121"/>
      <c r="E609" s="121"/>
      <c r="F609" s="12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spans="1:26" ht="19.5" customHeight="1" x14ac:dyDescent="0.25">
      <c r="A610" s="120"/>
      <c r="B610" s="120"/>
      <c r="C610" s="120"/>
      <c r="D610" s="121"/>
      <c r="E610" s="121"/>
      <c r="F610" s="12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spans="1:26" ht="19.5" customHeight="1" x14ac:dyDescent="0.25">
      <c r="A611" s="120"/>
      <c r="B611" s="120"/>
      <c r="C611" s="120"/>
      <c r="D611" s="121"/>
      <c r="E611" s="121"/>
      <c r="F611" s="12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spans="1:26" ht="19.5" customHeight="1" x14ac:dyDescent="0.25">
      <c r="A612" s="120"/>
      <c r="B612" s="120"/>
      <c r="C612" s="120"/>
      <c r="D612" s="121"/>
      <c r="E612" s="121"/>
      <c r="F612" s="12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spans="1:26" ht="19.5" customHeight="1" x14ac:dyDescent="0.25">
      <c r="A613" s="120"/>
      <c r="B613" s="120"/>
      <c r="C613" s="120"/>
      <c r="D613" s="121"/>
      <c r="E613" s="121"/>
      <c r="F613" s="12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spans="1:26" ht="19.5" customHeight="1" x14ac:dyDescent="0.25">
      <c r="A614" s="120"/>
      <c r="B614" s="120"/>
      <c r="C614" s="120"/>
      <c r="D614" s="121"/>
      <c r="E614" s="121"/>
      <c r="F614" s="12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spans="1:26" ht="19.5" customHeight="1" x14ac:dyDescent="0.25">
      <c r="A615" s="120"/>
      <c r="B615" s="120"/>
      <c r="C615" s="120"/>
      <c r="D615" s="121"/>
      <c r="E615" s="121"/>
      <c r="F615" s="12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spans="1:26" ht="19.5" customHeight="1" x14ac:dyDescent="0.25">
      <c r="A616" s="120"/>
      <c r="B616" s="120"/>
      <c r="C616" s="120"/>
      <c r="D616" s="121"/>
      <c r="E616" s="121"/>
      <c r="F616" s="12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spans="1:26" ht="19.5" customHeight="1" x14ac:dyDescent="0.25">
      <c r="A617" s="120"/>
      <c r="B617" s="120"/>
      <c r="C617" s="120"/>
      <c r="D617" s="121"/>
      <c r="E617" s="121"/>
      <c r="F617" s="12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spans="1:26" ht="19.5" customHeight="1" x14ac:dyDescent="0.25">
      <c r="A618" s="120"/>
      <c r="B618" s="120"/>
      <c r="C618" s="120"/>
      <c r="D618" s="121"/>
      <c r="E618" s="121"/>
      <c r="F618" s="12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spans="1:26" ht="19.5" customHeight="1" x14ac:dyDescent="0.25">
      <c r="A619" s="120"/>
      <c r="B619" s="120"/>
      <c r="C619" s="120"/>
      <c r="D619" s="121"/>
      <c r="E619" s="121"/>
      <c r="F619" s="12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spans="1:26" ht="19.5" customHeight="1" x14ac:dyDescent="0.25">
      <c r="A620" s="120"/>
      <c r="B620" s="120"/>
      <c r="C620" s="120"/>
      <c r="D620" s="121"/>
      <c r="E620" s="121"/>
      <c r="F620" s="12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9.5" customHeight="1" x14ac:dyDescent="0.25">
      <c r="A621" s="120"/>
      <c r="B621" s="120"/>
      <c r="C621" s="120"/>
      <c r="D621" s="121"/>
      <c r="E621" s="121"/>
      <c r="F621" s="12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9.5" customHeight="1" x14ac:dyDescent="0.25">
      <c r="A622" s="120"/>
      <c r="B622" s="120"/>
      <c r="C622" s="120"/>
      <c r="D622" s="121"/>
      <c r="E622" s="121"/>
      <c r="F622" s="12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9.5" customHeight="1" x14ac:dyDescent="0.25">
      <c r="A623" s="120"/>
      <c r="B623" s="120"/>
      <c r="C623" s="120"/>
      <c r="D623" s="121"/>
      <c r="E623" s="121"/>
      <c r="F623" s="12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9.5" customHeight="1" x14ac:dyDescent="0.25">
      <c r="A624" s="120"/>
      <c r="B624" s="120"/>
      <c r="C624" s="120"/>
      <c r="D624" s="121"/>
      <c r="E624" s="121"/>
      <c r="F624" s="12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9.5" customHeight="1" x14ac:dyDescent="0.25">
      <c r="A625" s="120"/>
      <c r="B625" s="120"/>
      <c r="C625" s="120"/>
      <c r="D625" s="121"/>
      <c r="E625" s="121"/>
      <c r="F625" s="12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9.5" customHeight="1" x14ac:dyDescent="0.25">
      <c r="A626" s="120"/>
      <c r="B626" s="120"/>
      <c r="C626" s="120"/>
      <c r="D626" s="121"/>
      <c r="E626" s="121"/>
      <c r="F626" s="12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9.5" customHeight="1" x14ac:dyDescent="0.25">
      <c r="A627" s="120"/>
      <c r="B627" s="120"/>
      <c r="C627" s="120"/>
      <c r="D627" s="121"/>
      <c r="E627" s="121"/>
      <c r="F627" s="12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9.5" customHeight="1" x14ac:dyDescent="0.25">
      <c r="A628" s="120"/>
      <c r="B628" s="120"/>
      <c r="C628" s="120"/>
      <c r="D628" s="121"/>
      <c r="E628" s="121"/>
      <c r="F628" s="12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9.5" customHeight="1" x14ac:dyDescent="0.25">
      <c r="A629" s="120"/>
      <c r="B629" s="120"/>
      <c r="C629" s="120"/>
      <c r="D629" s="121"/>
      <c r="E629" s="121"/>
      <c r="F629" s="12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9.5" customHeight="1" x14ac:dyDescent="0.25">
      <c r="A630" s="120"/>
      <c r="B630" s="120"/>
      <c r="C630" s="120"/>
      <c r="D630" s="121"/>
      <c r="E630" s="121"/>
      <c r="F630" s="12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9.5" customHeight="1" x14ac:dyDescent="0.25">
      <c r="A631" s="120"/>
      <c r="B631" s="120"/>
      <c r="C631" s="120"/>
      <c r="D631" s="121"/>
      <c r="E631" s="121"/>
      <c r="F631" s="12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9.5" customHeight="1" x14ac:dyDescent="0.25">
      <c r="A632" s="120"/>
      <c r="B632" s="120"/>
      <c r="C632" s="120"/>
      <c r="D632" s="121"/>
      <c r="E632" s="121"/>
      <c r="F632" s="12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9.5" customHeight="1" x14ac:dyDescent="0.25">
      <c r="A633" s="120"/>
      <c r="B633" s="120"/>
      <c r="C633" s="120"/>
      <c r="D633" s="121"/>
      <c r="E633" s="121"/>
      <c r="F633" s="12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9.5" customHeight="1" x14ac:dyDescent="0.25">
      <c r="A634" s="120"/>
      <c r="B634" s="120"/>
      <c r="C634" s="120"/>
      <c r="D634" s="121"/>
      <c r="E634" s="121"/>
      <c r="F634" s="12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9.5" customHeight="1" x14ac:dyDescent="0.25">
      <c r="A635" s="120"/>
      <c r="B635" s="120"/>
      <c r="C635" s="120"/>
      <c r="D635" s="121"/>
      <c r="E635" s="121"/>
      <c r="F635" s="12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9.5" customHeight="1" x14ac:dyDescent="0.25">
      <c r="A636" s="120"/>
      <c r="B636" s="120"/>
      <c r="C636" s="120"/>
      <c r="D636" s="121"/>
      <c r="E636" s="121"/>
      <c r="F636" s="12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9.5" customHeight="1" x14ac:dyDescent="0.25">
      <c r="A637" s="120"/>
      <c r="B637" s="120"/>
      <c r="C637" s="120"/>
      <c r="D637" s="121"/>
      <c r="E637" s="121"/>
      <c r="F637" s="12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9.5" customHeight="1" x14ac:dyDescent="0.25">
      <c r="A638" s="120"/>
      <c r="B638" s="120"/>
      <c r="C638" s="120"/>
      <c r="D638" s="121"/>
      <c r="E638" s="121"/>
      <c r="F638" s="12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9.5" customHeight="1" x14ac:dyDescent="0.25">
      <c r="A639" s="120"/>
      <c r="B639" s="120"/>
      <c r="C639" s="120"/>
      <c r="D639" s="121"/>
      <c r="E639" s="121"/>
      <c r="F639" s="12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9.5" customHeight="1" x14ac:dyDescent="0.25">
      <c r="A640" s="120"/>
      <c r="B640" s="120"/>
      <c r="C640" s="120"/>
      <c r="D640" s="121"/>
      <c r="E640" s="121"/>
      <c r="F640" s="12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9.5" customHeight="1" x14ac:dyDescent="0.25">
      <c r="A641" s="120"/>
      <c r="B641" s="120"/>
      <c r="C641" s="120"/>
      <c r="D641" s="121"/>
      <c r="E641" s="121"/>
      <c r="F641" s="12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9.5" customHeight="1" x14ac:dyDescent="0.25">
      <c r="A642" s="120"/>
      <c r="B642" s="120"/>
      <c r="C642" s="120"/>
      <c r="D642" s="121"/>
      <c r="E642" s="121"/>
      <c r="F642" s="12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9.5" customHeight="1" x14ac:dyDescent="0.25">
      <c r="A643" s="120"/>
      <c r="B643" s="120"/>
      <c r="C643" s="120"/>
      <c r="D643" s="121"/>
      <c r="E643" s="121"/>
      <c r="F643" s="12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9.5" customHeight="1" x14ac:dyDescent="0.25">
      <c r="A644" s="120"/>
      <c r="B644" s="120"/>
      <c r="C644" s="120"/>
      <c r="D644" s="121"/>
      <c r="E644" s="121"/>
      <c r="F644" s="12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9.5" customHeight="1" x14ac:dyDescent="0.25">
      <c r="A645" s="120"/>
      <c r="B645" s="120"/>
      <c r="C645" s="120"/>
      <c r="D645" s="121"/>
      <c r="E645" s="121"/>
      <c r="F645" s="12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9.5" customHeight="1" x14ac:dyDescent="0.25">
      <c r="A646" s="120"/>
      <c r="B646" s="120"/>
      <c r="C646" s="120"/>
      <c r="D646" s="121"/>
      <c r="E646" s="121"/>
      <c r="F646" s="12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9.5" customHeight="1" x14ac:dyDescent="0.25">
      <c r="A647" s="120"/>
      <c r="B647" s="120"/>
      <c r="C647" s="120"/>
      <c r="D647" s="121"/>
      <c r="E647" s="121"/>
      <c r="F647" s="12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9.5" customHeight="1" x14ac:dyDescent="0.25">
      <c r="A648" s="120"/>
      <c r="B648" s="120"/>
      <c r="C648" s="120"/>
      <c r="D648" s="121"/>
      <c r="E648" s="121"/>
      <c r="F648" s="12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9.5" customHeight="1" x14ac:dyDescent="0.25">
      <c r="A649" s="120"/>
      <c r="B649" s="120"/>
      <c r="C649" s="120"/>
      <c r="D649" s="121"/>
      <c r="E649" s="121"/>
      <c r="F649" s="12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9.5" customHeight="1" x14ac:dyDescent="0.25">
      <c r="A650" s="120"/>
      <c r="B650" s="120"/>
      <c r="C650" s="120"/>
      <c r="D650" s="121"/>
      <c r="E650" s="121"/>
      <c r="F650" s="12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9.5" customHeight="1" x14ac:dyDescent="0.25">
      <c r="A651" s="120"/>
      <c r="B651" s="120"/>
      <c r="C651" s="120"/>
      <c r="D651" s="121"/>
      <c r="E651" s="121"/>
      <c r="F651" s="12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9.5" customHeight="1" x14ac:dyDescent="0.25">
      <c r="A652" s="120"/>
      <c r="B652" s="120"/>
      <c r="C652" s="120"/>
      <c r="D652" s="121"/>
      <c r="E652" s="121"/>
      <c r="F652" s="12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9.5" customHeight="1" x14ac:dyDescent="0.25">
      <c r="A653" s="120"/>
      <c r="B653" s="120"/>
      <c r="C653" s="120"/>
      <c r="D653" s="121"/>
      <c r="E653" s="121"/>
      <c r="F653" s="12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9.5" customHeight="1" x14ac:dyDescent="0.25">
      <c r="A654" s="120"/>
      <c r="B654" s="120"/>
      <c r="C654" s="120"/>
      <c r="D654" s="121"/>
      <c r="E654" s="121"/>
      <c r="F654" s="12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9.5" customHeight="1" x14ac:dyDescent="0.25">
      <c r="A655" s="120"/>
      <c r="B655" s="120"/>
      <c r="C655" s="120"/>
      <c r="D655" s="121"/>
      <c r="E655" s="121"/>
      <c r="F655" s="12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9.5" customHeight="1" x14ac:dyDescent="0.25">
      <c r="A656" s="120"/>
      <c r="B656" s="120"/>
      <c r="C656" s="120"/>
      <c r="D656" s="121"/>
      <c r="E656" s="121"/>
      <c r="F656" s="12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9.5" customHeight="1" x14ac:dyDescent="0.25">
      <c r="A657" s="120"/>
      <c r="B657" s="120"/>
      <c r="C657" s="120"/>
      <c r="D657" s="121"/>
      <c r="E657" s="121"/>
      <c r="F657" s="12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9.5" customHeight="1" x14ac:dyDescent="0.25">
      <c r="A658" s="120"/>
      <c r="B658" s="120"/>
      <c r="C658" s="120"/>
      <c r="D658" s="121"/>
      <c r="E658" s="121"/>
      <c r="F658" s="12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9.5" customHeight="1" x14ac:dyDescent="0.25">
      <c r="A659" s="120"/>
      <c r="B659" s="120"/>
      <c r="C659" s="120"/>
      <c r="D659" s="121"/>
      <c r="E659" s="121"/>
      <c r="F659" s="12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9.5" customHeight="1" x14ac:dyDescent="0.25">
      <c r="A660" s="120"/>
      <c r="B660" s="120"/>
      <c r="C660" s="120"/>
      <c r="D660" s="121"/>
      <c r="E660" s="121"/>
      <c r="F660" s="12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9.5" customHeight="1" x14ac:dyDescent="0.25">
      <c r="A661" s="120"/>
      <c r="B661" s="120"/>
      <c r="C661" s="120"/>
      <c r="D661" s="121"/>
      <c r="E661" s="121"/>
      <c r="F661" s="12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9.5" customHeight="1" x14ac:dyDescent="0.25">
      <c r="A662" s="120"/>
      <c r="B662" s="120"/>
      <c r="C662" s="120"/>
      <c r="D662" s="121"/>
      <c r="E662" s="121"/>
      <c r="F662" s="12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9.5" customHeight="1" x14ac:dyDescent="0.25">
      <c r="A663" s="120"/>
      <c r="B663" s="120"/>
      <c r="C663" s="120"/>
      <c r="D663" s="121"/>
      <c r="E663" s="121"/>
      <c r="F663" s="12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9.5" customHeight="1" x14ac:dyDescent="0.25">
      <c r="A664" s="120"/>
      <c r="B664" s="120"/>
      <c r="C664" s="120"/>
      <c r="D664" s="121"/>
      <c r="E664" s="121"/>
      <c r="F664" s="12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9.5" customHeight="1" x14ac:dyDescent="0.25">
      <c r="A665" s="120"/>
      <c r="B665" s="120"/>
      <c r="C665" s="120"/>
      <c r="D665" s="121"/>
      <c r="E665" s="121"/>
      <c r="F665" s="12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9.5" customHeight="1" x14ac:dyDescent="0.25">
      <c r="A666" s="120"/>
      <c r="B666" s="120"/>
      <c r="C666" s="120"/>
      <c r="D666" s="121"/>
      <c r="E666" s="121"/>
      <c r="F666" s="12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9.5" customHeight="1" x14ac:dyDescent="0.25">
      <c r="A667" s="120"/>
      <c r="B667" s="120"/>
      <c r="C667" s="120"/>
      <c r="D667" s="121"/>
      <c r="E667" s="121"/>
      <c r="F667" s="12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9.5" customHeight="1" x14ac:dyDescent="0.25">
      <c r="A668" s="120"/>
      <c r="B668" s="120"/>
      <c r="C668" s="120"/>
      <c r="D668" s="121"/>
      <c r="E668" s="121"/>
      <c r="F668" s="12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9.5" customHeight="1" x14ac:dyDescent="0.25">
      <c r="A669" s="120"/>
      <c r="B669" s="120"/>
      <c r="C669" s="120"/>
      <c r="D669" s="121"/>
      <c r="E669" s="121"/>
      <c r="F669" s="12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9.5" customHeight="1" x14ac:dyDescent="0.25">
      <c r="A670" s="120"/>
      <c r="B670" s="120"/>
      <c r="C670" s="120"/>
      <c r="D670" s="121"/>
      <c r="E670" s="121"/>
      <c r="F670" s="12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9.5" customHeight="1" x14ac:dyDescent="0.25">
      <c r="A671" s="120"/>
      <c r="B671" s="120"/>
      <c r="C671" s="120"/>
      <c r="D671" s="121"/>
      <c r="E671" s="121"/>
      <c r="F671" s="12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9.5" customHeight="1" x14ac:dyDescent="0.25">
      <c r="A672" s="120"/>
      <c r="B672" s="120"/>
      <c r="C672" s="120"/>
      <c r="D672" s="121"/>
      <c r="E672" s="121"/>
      <c r="F672" s="12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9.5" customHeight="1" x14ac:dyDescent="0.25">
      <c r="A673" s="120"/>
      <c r="B673" s="120"/>
      <c r="C673" s="120"/>
      <c r="D673" s="121"/>
      <c r="E673" s="121"/>
      <c r="F673" s="12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9.5" customHeight="1" x14ac:dyDescent="0.25">
      <c r="A674" s="120"/>
      <c r="B674" s="120"/>
      <c r="C674" s="120"/>
      <c r="D674" s="121"/>
      <c r="E674" s="121"/>
      <c r="F674" s="12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9.5" customHeight="1" x14ac:dyDescent="0.25">
      <c r="A675" s="120"/>
      <c r="B675" s="120"/>
      <c r="C675" s="120"/>
      <c r="D675" s="121"/>
      <c r="E675" s="121"/>
      <c r="F675" s="12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9.5" customHeight="1" x14ac:dyDescent="0.25">
      <c r="A676" s="120"/>
      <c r="B676" s="120"/>
      <c r="C676" s="120"/>
      <c r="D676" s="121"/>
      <c r="E676" s="121"/>
      <c r="F676" s="12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9.5" customHeight="1" x14ac:dyDescent="0.25">
      <c r="A677" s="120"/>
      <c r="B677" s="120"/>
      <c r="C677" s="120"/>
      <c r="D677" s="121"/>
      <c r="E677" s="121"/>
      <c r="F677" s="12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9.5" customHeight="1" x14ac:dyDescent="0.25">
      <c r="A678" s="120"/>
      <c r="B678" s="120"/>
      <c r="C678" s="120"/>
      <c r="D678" s="121"/>
      <c r="E678" s="121"/>
      <c r="F678" s="12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9.5" customHeight="1" x14ac:dyDescent="0.25">
      <c r="A679" s="120"/>
      <c r="B679" s="120"/>
      <c r="C679" s="120"/>
      <c r="D679" s="121"/>
      <c r="E679" s="121"/>
      <c r="F679" s="12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9.5" customHeight="1" x14ac:dyDescent="0.25">
      <c r="A680" s="120"/>
      <c r="B680" s="120"/>
      <c r="C680" s="120"/>
      <c r="D680" s="121"/>
      <c r="E680" s="121"/>
      <c r="F680" s="12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9.5" customHeight="1" x14ac:dyDescent="0.25">
      <c r="A681" s="120"/>
      <c r="B681" s="120"/>
      <c r="C681" s="120"/>
      <c r="D681" s="121"/>
      <c r="E681" s="121"/>
      <c r="F681" s="12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9.5" customHeight="1" x14ac:dyDescent="0.25">
      <c r="A682" s="120"/>
      <c r="B682" s="120"/>
      <c r="C682" s="120"/>
      <c r="D682" s="121"/>
      <c r="E682" s="121"/>
      <c r="F682" s="12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9.5" customHeight="1" x14ac:dyDescent="0.25">
      <c r="A683" s="120"/>
      <c r="B683" s="120"/>
      <c r="C683" s="120"/>
      <c r="D683" s="121"/>
      <c r="E683" s="121"/>
      <c r="F683" s="12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9.5" customHeight="1" x14ac:dyDescent="0.25">
      <c r="A684" s="120"/>
      <c r="B684" s="120"/>
      <c r="C684" s="120"/>
      <c r="D684" s="121"/>
      <c r="E684" s="121"/>
      <c r="F684" s="12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9.5" customHeight="1" x14ac:dyDescent="0.25">
      <c r="A685" s="120"/>
      <c r="B685" s="120"/>
      <c r="C685" s="120"/>
      <c r="D685" s="121"/>
      <c r="E685" s="121"/>
      <c r="F685" s="12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9.5" customHeight="1" x14ac:dyDescent="0.25">
      <c r="A686" s="120"/>
      <c r="B686" s="120"/>
      <c r="C686" s="120"/>
      <c r="D686" s="121"/>
      <c r="E686" s="121"/>
      <c r="F686" s="12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9.5" customHeight="1" x14ac:dyDescent="0.25">
      <c r="A687" s="120"/>
      <c r="B687" s="120"/>
      <c r="C687" s="120"/>
      <c r="D687" s="121"/>
      <c r="E687" s="121"/>
      <c r="F687" s="12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9.5" customHeight="1" x14ac:dyDescent="0.25">
      <c r="A688" s="120"/>
      <c r="B688" s="120"/>
      <c r="C688" s="120"/>
      <c r="D688" s="121"/>
      <c r="E688" s="121"/>
      <c r="F688" s="12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9.5" customHeight="1" x14ac:dyDescent="0.25">
      <c r="A689" s="120"/>
      <c r="B689" s="120"/>
      <c r="C689" s="120"/>
      <c r="D689" s="121"/>
      <c r="E689" s="121"/>
      <c r="F689" s="12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9.5" customHeight="1" x14ac:dyDescent="0.25">
      <c r="A690" s="120"/>
      <c r="B690" s="120"/>
      <c r="C690" s="120"/>
      <c r="D690" s="121"/>
      <c r="E690" s="121"/>
      <c r="F690" s="12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9.5" customHeight="1" x14ac:dyDescent="0.25">
      <c r="A691" s="120"/>
      <c r="B691" s="120"/>
      <c r="C691" s="120"/>
      <c r="D691" s="121"/>
      <c r="E691" s="121"/>
      <c r="F691" s="12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9.5" customHeight="1" x14ac:dyDescent="0.25">
      <c r="A692" s="120"/>
      <c r="B692" s="120"/>
      <c r="C692" s="120"/>
      <c r="D692" s="121"/>
      <c r="E692" s="121"/>
      <c r="F692" s="12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9.5" customHeight="1" x14ac:dyDescent="0.25">
      <c r="A693" s="120"/>
      <c r="B693" s="120"/>
      <c r="C693" s="120"/>
      <c r="D693" s="121"/>
      <c r="E693" s="121"/>
      <c r="F693" s="12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9.5" customHeight="1" x14ac:dyDescent="0.25">
      <c r="A694" s="120"/>
      <c r="B694" s="120"/>
      <c r="C694" s="120"/>
      <c r="D694" s="121"/>
      <c r="E694" s="121"/>
      <c r="F694" s="12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9.5" customHeight="1" x14ac:dyDescent="0.25">
      <c r="A695" s="120"/>
      <c r="B695" s="120"/>
      <c r="C695" s="120"/>
      <c r="D695" s="121"/>
      <c r="E695" s="121"/>
      <c r="F695" s="12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9.5" customHeight="1" x14ac:dyDescent="0.25">
      <c r="A696" s="120"/>
      <c r="B696" s="120"/>
      <c r="C696" s="120"/>
      <c r="D696" s="121"/>
      <c r="E696" s="121"/>
      <c r="F696" s="12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9.5" customHeight="1" x14ac:dyDescent="0.25">
      <c r="A697" s="120"/>
      <c r="B697" s="120"/>
      <c r="C697" s="120"/>
      <c r="D697" s="121"/>
      <c r="E697" s="121"/>
      <c r="F697" s="12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9.5" customHeight="1" x14ac:dyDescent="0.25">
      <c r="A698" s="120"/>
      <c r="B698" s="120"/>
      <c r="C698" s="120"/>
      <c r="D698" s="121"/>
      <c r="E698" s="121"/>
      <c r="F698" s="12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9.5" customHeight="1" x14ac:dyDescent="0.25">
      <c r="A699" s="120"/>
      <c r="B699" s="120"/>
      <c r="C699" s="120"/>
      <c r="D699" s="121"/>
      <c r="E699" s="121"/>
      <c r="F699" s="12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9.5" customHeight="1" x14ac:dyDescent="0.25">
      <c r="A700" s="120"/>
      <c r="B700" s="120"/>
      <c r="C700" s="120"/>
      <c r="D700" s="121"/>
      <c r="E700" s="121"/>
      <c r="F700" s="12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9.5" customHeight="1" x14ac:dyDescent="0.25">
      <c r="A701" s="120"/>
      <c r="B701" s="120"/>
      <c r="C701" s="120"/>
      <c r="D701" s="121"/>
      <c r="E701" s="121"/>
      <c r="F701" s="12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9.5" customHeight="1" x14ac:dyDescent="0.25">
      <c r="A702" s="120"/>
      <c r="B702" s="120"/>
      <c r="C702" s="120"/>
      <c r="D702" s="121"/>
      <c r="E702" s="121"/>
      <c r="F702" s="12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9.5" customHeight="1" x14ac:dyDescent="0.25">
      <c r="A703" s="120"/>
      <c r="B703" s="120"/>
      <c r="C703" s="120"/>
      <c r="D703" s="121"/>
      <c r="E703" s="121"/>
      <c r="F703" s="12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9.5" customHeight="1" x14ac:dyDescent="0.25">
      <c r="A704" s="120"/>
      <c r="B704" s="120"/>
      <c r="C704" s="120"/>
      <c r="D704" s="121"/>
      <c r="E704" s="121"/>
      <c r="F704" s="12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9.5" customHeight="1" x14ac:dyDescent="0.25">
      <c r="A705" s="120"/>
      <c r="B705" s="120"/>
      <c r="C705" s="120"/>
      <c r="D705" s="121"/>
      <c r="E705" s="121"/>
      <c r="F705" s="12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9.5" customHeight="1" x14ac:dyDescent="0.25">
      <c r="A706" s="120"/>
      <c r="B706" s="120"/>
      <c r="C706" s="120"/>
      <c r="D706" s="121"/>
      <c r="E706" s="121"/>
      <c r="F706" s="12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9.5" customHeight="1" x14ac:dyDescent="0.25">
      <c r="A707" s="120"/>
      <c r="B707" s="120"/>
      <c r="C707" s="120"/>
      <c r="D707" s="121"/>
      <c r="E707" s="121"/>
      <c r="F707" s="12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9.5" customHeight="1" x14ac:dyDescent="0.25">
      <c r="A708" s="120"/>
      <c r="B708" s="120"/>
      <c r="C708" s="120"/>
      <c r="D708" s="121"/>
      <c r="E708" s="121"/>
      <c r="F708" s="12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9.5" customHeight="1" x14ac:dyDescent="0.25">
      <c r="A709" s="120"/>
      <c r="B709" s="120"/>
      <c r="C709" s="120"/>
      <c r="D709" s="121"/>
      <c r="E709" s="121"/>
      <c r="F709" s="12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9.5" customHeight="1" x14ac:dyDescent="0.25">
      <c r="A710" s="120"/>
      <c r="B710" s="120"/>
      <c r="C710" s="120"/>
      <c r="D710" s="121"/>
      <c r="E710" s="121"/>
      <c r="F710" s="12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9.5" customHeight="1" x14ac:dyDescent="0.25">
      <c r="A711" s="120"/>
      <c r="B711" s="120"/>
      <c r="C711" s="120"/>
      <c r="D711" s="121"/>
      <c r="E711" s="121"/>
      <c r="F711" s="12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9.5" customHeight="1" x14ac:dyDescent="0.25">
      <c r="A712" s="120"/>
      <c r="B712" s="120"/>
      <c r="C712" s="120"/>
      <c r="D712" s="121"/>
      <c r="E712" s="121"/>
      <c r="F712" s="12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9.5" customHeight="1" x14ac:dyDescent="0.25">
      <c r="A713" s="120"/>
      <c r="B713" s="120"/>
      <c r="C713" s="120"/>
      <c r="D713" s="121"/>
      <c r="E713" s="121"/>
      <c r="F713" s="12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9.5" customHeight="1" x14ac:dyDescent="0.25">
      <c r="A714" s="120"/>
      <c r="B714" s="120"/>
      <c r="C714" s="120"/>
      <c r="D714" s="121"/>
      <c r="E714" s="121"/>
      <c r="F714" s="12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9.5" customHeight="1" x14ac:dyDescent="0.25">
      <c r="A715" s="120"/>
      <c r="B715" s="120"/>
      <c r="C715" s="120"/>
      <c r="D715" s="121"/>
      <c r="E715" s="121"/>
      <c r="F715" s="12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9.5" customHeight="1" x14ac:dyDescent="0.25">
      <c r="A716" s="120"/>
      <c r="B716" s="120"/>
      <c r="C716" s="120"/>
      <c r="D716" s="121"/>
      <c r="E716" s="121"/>
      <c r="F716" s="12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9.5" customHeight="1" x14ac:dyDescent="0.25">
      <c r="A717" s="120"/>
      <c r="B717" s="120"/>
      <c r="C717" s="120"/>
      <c r="D717" s="121"/>
      <c r="E717" s="121"/>
      <c r="F717" s="12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9.5" customHeight="1" x14ac:dyDescent="0.25">
      <c r="A718" s="120"/>
      <c r="B718" s="120"/>
      <c r="C718" s="120"/>
      <c r="D718" s="121"/>
      <c r="E718" s="121"/>
      <c r="F718" s="12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9.5" customHeight="1" x14ac:dyDescent="0.25">
      <c r="A719" s="120"/>
      <c r="B719" s="120"/>
      <c r="C719" s="120"/>
      <c r="D719" s="121"/>
      <c r="E719" s="121"/>
      <c r="F719" s="12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9.5" customHeight="1" x14ac:dyDescent="0.25">
      <c r="A720" s="120"/>
      <c r="B720" s="120"/>
      <c r="C720" s="120"/>
      <c r="D720" s="121"/>
      <c r="E720" s="121"/>
      <c r="F720" s="12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9.5" customHeight="1" x14ac:dyDescent="0.25">
      <c r="A721" s="120"/>
      <c r="B721" s="120"/>
      <c r="C721" s="120"/>
      <c r="D721" s="121"/>
      <c r="E721" s="121"/>
      <c r="F721" s="12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9.5" customHeight="1" x14ac:dyDescent="0.25">
      <c r="A722" s="120"/>
      <c r="B722" s="120"/>
      <c r="C722" s="120"/>
      <c r="D722" s="121"/>
      <c r="E722" s="121"/>
      <c r="F722" s="12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9.5" customHeight="1" x14ac:dyDescent="0.25">
      <c r="A723" s="120"/>
      <c r="B723" s="120"/>
      <c r="C723" s="120"/>
      <c r="D723" s="121"/>
      <c r="E723" s="121"/>
      <c r="F723" s="12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9.5" customHeight="1" x14ac:dyDescent="0.25">
      <c r="A724" s="120"/>
      <c r="B724" s="120"/>
      <c r="C724" s="120"/>
      <c r="D724" s="121"/>
      <c r="E724" s="121"/>
      <c r="F724" s="12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9.5" customHeight="1" x14ac:dyDescent="0.25">
      <c r="A725" s="120"/>
      <c r="B725" s="120"/>
      <c r="C725" s="120"/>
      <c r="D725" s="121"/>
      <c r="E725" s="121"/>
      <c r="F725" s="12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9.5" customHeight="1" x14ac:dyDescent="0.25">
      <c r="A726" s="120"/>
      <c r="B726" s="120"/>
      <c r="C726" s="120"/>
      <c r="D726" s="121"/>
      <c r="E726" s="121"/>
      <c r="F726" s="12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9.5" customHeight="1" x14ac:dyDescent="0.25">
      <c r="A727" s="120"/>
      <c r="B727" s="120"/>
      <c r="C727" s="120"/>
      <c r="D727" s="121"/>
      <c r="E727" s="121"/>
      <c r="F727" s="12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9.5" customHeight="1" x14ac:dyDescent="0.25">
      <c r="A728" s="120"/>
      <c r="B728" s="120"/>
      <c r="C728" s="120"/>
      <c r="D728" s="121"/>
      <c r="E728" s="121"/>
      <c r="F728" s="12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9.5" customHeight="1" x14ac:dyDescent="0.25">
      <c r="A729" s="120"/>
      <c r="B729" s="120"/>
      <c r="C729" s="120"/>
      <c r="D729" s="121"/>
      <c r="E729" s="121"/>
      <c r="F729" s="12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9.5" customHeight="1" x14ac:dyDescent="0.25">
      <c r="A730" s="120"/>
      <c r="B730" s="120"/>
      <c r="C730" s="120"/>
      <c r="D730" s="121"/>
      <c r="E730" s="121"/>
      <c r="F730" s="12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9.5" customHeight="1" x14ac:dyDescent="0.25">
      <c r="A731" s="120"/>
      <c r="B731" s="120"/>
      <c r="C731" s="120"/>
      <c r="D731" s="121"/>
      <c r="E731" s="121"/>
      <c r="F731" s="12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9.5" customHeight="1" x14ac:dyDescent="0.25">
      <c r="A732" s="120"/>
      <c r="B732" s="120"/>
      <c r="C732" s="120"/>
      <c r="D732" s="121"/>
      <c r="E732" s="121"/>
      <c r="F732" s="12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9.5" customHeight="1" x14ac:dyDescent="0.25">
      <c r="A733" s="120"/>
      <c r="B733" s="120"/>
      <c r="C733" s="120"/>
      <c r="D733" s="121"/>
      <c r="E733" s="121"/>
      <c r="F733" s="12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9.5" customHeight="1" x14ac:dyDescent="0.25">
      <c r="A734" s="120"/>
      <c r="B734" s="120"/>
      <c r="C734" s="120"/>
      <c r="D734" s="121"/>
      <c r="E734" s="121"/>
      <c r="F734" s="12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9.5" customHeight="1" x14ac:dyDescent="0.25">
      <c r="A735" s="120"/>
      <c r="B735" s="120"/>
      <c r="C735" s="120"/>
      <c r="D735" s="121"/>
      <c r="E735" s="121"/>
      <c r="F735" s="12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9.5" customHeight="1" x14ac:dyDescent="0.25">
      <c r="A736" s="120"/>
      <c r="B736" s="120"/>
      <c r="C736" s="120"/>
      <c r="D736" s="121"/>
      <c r="E736" s="121"/>
      <c r="F736" s="12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9.5" customHeight="1" x14ac:dyDescent="0.25">
      <c r="A737" s="120"/>
      <c r="B737" s="120"/>
      <c r="C737" s="120"/>
      <c r="D737" s="121"/>
      <c r="E737" s="121"/>
      <c r="F737" s="12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9.5" customHeight="1" x14ac:dyDescent="0.25">
      <c r="A738" s="120"/>
      <c r="B738" s="120"/>
      <c r="C738" s="120"/>
      <c r="D738" s="121"/>
      <c r="E738" s="121"/>
      <c r="F738" s="12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9.5" customHeight="1" x14ac:dyDescent="0.25">
      <c r="A739" s="120"/>
      <c r="B739" s="120"/>
      <c r="C739" s="120"/>
      <c r="D739" s="121"/>
      <c r="E739" s="121"/>
      <c r="F739" s="12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9.5" customHeight="1" x14ac:dyDescent="0.25">
      <c r="A740" s="120"/>
      <c r="B740" s="120"/>
      <c r="C740" s="120"/>
      <c r="D740" s="121"/>
      <c r="E740" s="121"/>
      <c r="F740" s="12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9.5" customHeight="1" x14ac:dyDescent="0.25">
      <c r="A741" s="120"/>
      <c r="B741" s="120"/>
      <c r="C741" s="120"/>
      <c r="D741" s="121"/>
      <c r="E741" s="121"/>
      <c r="F741" s="12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9.5" customHeight="1" x14ac:dyDescent="0.25">
      <c r="A742" s="120"/>
      <c r="B742" s="120"/>
      <c r="C742" s="120"/>
      <c r="D742" s="121"/>
      <c r="E742" s="121"/>
      <c r="F742" s="12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9.5" customHeight="1" x14ac:dyDescent="0.25">
      <c r="A743" s="120"/>
      <c r="B743" s="120"/>
      <c r="C743" s="120"/>
      <c r="D743" s="121"/>
      <c r="E743" s="121"/>
      <c r="F743" s="12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9.5" customHeight="1" x14ac:dyDescent="0.25">
      <c r="A744" s="120"/>
      <c r="B744" s="120"/>
      <c r="C744" s="120"/>
      <c r="D744" s="121"/>
      <c r="E744" s="121"/>
      <c r="F744" s="12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9.5" customHeight="1" x14ac:dyDescent="0.25">
      <c r="A745" s="120"/>
      <c r="B745" s="120"/>
      <c r="C745" s="120"/>
      <c r="D745" s="121"/>
      <c r="E745" s="121"/>
      <c r="F745" s="12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9.5" customHeight="1" x14ac:dyDescent="0.25">
      <c r="A746" s="120"/>
      <c r="B746" s="120"/>
      <c r="C746" s="120"/>
      <c r="D746" s="121"/>
      <c r="E746" s="121"/>
      <c r="F746" s="12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9.5" customHeight="1" x14ac:dyDescent="0.25">
      <c r="A747" s="120"/>
      <c r="B747" s="120"/>
      <c r="C747" s="120"/>
      <c r="D747" s="121"/>
      <c r="E747" s="121"/>
      <c r="F747" s="12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9.5" customHeight="1" x14ac:dyDescent="0.25">
      <c r="A748" s="120"/>
      <c r="B748" s="120"/>
      <c r="C748" s="120"/>
      <c r="D748" s="121"/>
      <c r="E748" s="121"/>
      <c r="F748" s="12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9.5" customHeight="1" x14ac:dyDescent="0.25">
      <c r="A749" s="120"/>
      <c r="B749" s="120"/>
      <c r="C749" s="120"/>
      <c r="D749" s="121"/>
      <c r="E749" s="121"/>
      <c r="F749" s="12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9.5" customHeight="1" x14ac:dyDescent="0.25">
      <c r="A750" s="120"/>
      <c r="B750" s="120"/>
      <c r="C750" s="120"/>
      <c r="D750" s="121"/>
      <c r="E750" s="121"/>
      <c r="F750" s="12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9.5" customHeight="1" x14ac:dyDescent="0.25">
      <c r="A751" s="120"/>
      <c r="B751" s="120"/>
      <c r="C751" s="120"/>
      <c r="D751" s="121"/>
      <c r="E751" s="121"/>
      <c r="F751" s="12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9.5" customHeight="1" x14ac:dyDescent="0.25">
      <c r="A752" s="120"/>
      <c r="B752" s="120"/>
      <c r="C752" s="120"/>
      <c r="D752" s="121"/>
      <c r="E752" s="121"/>
      <c r="F752" s="12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9.5" customHeight="1" x14ac:dyDescent="0.25">
      <c r="A753" s="120"/>
      <c r="B753" s="120"/>
      <c r="C753" s="120"/>
      <c r="D753" s="121"/>
      <c r="E753" s="121"/>
      <c r="F753" s="12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9.5" customHeight="1" x14ac:dyDescent="0.25">
      <c r="A754" s="120"/>
      <c r="B754" s="120"/>
      <c r="C754" s="120"/>
      <c r="D754" s="121"/>
      <c r="E754" s="121"/>
      <c r="F754" s="12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9.5" customHeight="1" x14ac:dyDescent="0.25">
      <c r="A755" s="120"/>
      <c r="B755" s="120"/>
      <c r="C755" s="120"/>
      <c r="D755" s="121"/>
      <c r="E755" s="121"/>
      <c r="F755" s="12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9.5" customHeight="1" x14ac:dyDescent="0.25">
      <c r="A756" s="120"/>
      <c r="B756" s="120"/>
      <c r="C756" s="120"/>
      <c r="D756" s="121"/>
      <c r="E756" s="121"/>
      <c r="F756" s="12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9.5" customHeight="1" x14ac:dyDescent="0.25">
      <c r="A757" s="120"/>
      <c r="B757" s="120"/>
      <c r="C757" s="120"/>
      <c r="D757" s="121"/>
      <c r="E757" s="121"/>
      <c r="F757" s="12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9.5" customHeight="1" x14ac:dyDescent="0.25">
      <c r="A758" s="120"/>
      <c r="B758" s="120"/>
      <c r="C758" s="120"/>
      <c r="D758" s="121"/>
      <c r="E758" s="121"/>
      <c r="F758" s="12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9.5" customHeight="1" x14ac:dyDescent="0.25">
      <c r="A759" s="120"/>
      <c r="B759" s="120"/>
      <c r="C759" s="120"/>
      <c r="D759" s="121"/>
      <c r="E759" s="121"/>
      <c r="F759" s="12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9.5" customHeight="1" x14ac:dyDescent="0.25">
      <c r="A760" s="120"/>
      <c r="B760" s="120"/>
      <c r="C760" s="120"/>
      <c r="D760" s="121"/>
      <c r="E760" s="121"/>
      <c r="F760" s="12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9.5" customHeight="1" x14ac:dyDescent="0.25">
      <c r="A761" s="120"/>
      <c r="B761" s="120"/>
      <c r="C761" s="120"/>
      <c r="D761" s="121"/>
      <c r="E761" s="121"/>
      <c r="F761" s="12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9.5" customHeight="1" x14ac:dyDescent="0.25">
      <c r="A762" s="120"/>
      <c r="B762" s="120"/>
      <c r="C762" s="120"/>
      <c r="D762" s="121"/>
      <c r="E762" s="121"/>
      <c r="F762" s="12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9.5" customHeight="1" x14ac:dyDescent="0.25">
      <c r="A763" s="120"/>
      <c r="B763" s="120"/>
      <c r="C763" s="120"/>
      <c r="D763" s="121"/>
      <c r="E763" s="121"/>
      <c r="F763" s="12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9.5" customHeight="1" x14ac:dyDescent="0.25">
      <c r="A764" s="120"/>
      <c r="B764" s="120"/>
      <c r="C764" s="120"/>
      <c r="D764" s="121"/>
      <c r="E764" s="121"/>
      <c r="F764" s="12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9.5" customHeight="1" x14ac:dyDescent="0.25">
      <c r="A765" s="120"/>
      <c r="B765" s="120"/>
      <c r="C765" s="120"/>
      <c r="D765" s="121"/>
      <c r="E765" s="121"/>
      <c r="F765" s="12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9.5" customHeight="1" x14ac:dyDescent="0.25">
      <c r="A766" s="120"/>
      <c r="B766" s="120"/>
      <c r="C766" s="120"/>
      <c r="D766" s="121"/>
      <c r="E766" s="121"/>
      <c r="F766" s="12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9.5" customHeight="1" x14ac:dyDescent="0.25">
      <c r="A767" s="120"/>
      <c r="B767" s="120"/>
      <c r="C767" s="120"/>
      <c r="D767" s="121"/>
      <c r="E767" s="121"/>
      <c r="F767" s="12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9.5" customHeight="1" x14ac:dyDescent="0.25">
      <c r="A768" s="120"/>
      <c r="B768" s="120"/>
      <c r="C768" s="120"/>
      <c r="D768" s="121"/>
      <c r="E768" s="121"/>
      <c r="F768" s="12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9.5" customHeight="1" x14ac:dyDescent="0.25">
      <c r="A769" s="120"/>
      <c r="B769" s="120"/>
      <c r="C769" s="120"/>
      <c r="D769" s="121"/>
      <c r="E769" s="121"/>
      <c r="F769" s="12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9.5" customHeight="1" x14ac:dyDescent="0.25">
      <c r="A770" s="120"/>
      <c r="B770" s="120"/>
      <c r="C770" s="120"/>
      <c r="D770" s="121"/>
      <c r="E770" s="121"/>
      <c r="F770" s="12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9.5" customHeight="1" x14ac:dyDescent="0.25">
      <c r="A771" s="120"/>
      <c r="B771" s="120"/>
      <c r="C771" s="120"/>
      <c r="D771" s="121"/>
      <c r="E771" s="121"/>
      <c r="F771" s="12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9.5" customHeight="1" x14ac:dyDescent="0.25">
      <c r="A772" s="120"/>
      <c r="B772" s="120"/>
      <c r="C772" s="120"/>
      <c r="D772" s="121"/>
      <c r="E772" s="121"/>
      <c r="F772" s="12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9.5" customHeight="1" x14ac:dyDescent="0.25">
      <c r="A773" s="120"/>
      <c r="B773" s="120"/>
      <c r="C773" s="120"/>
      <c r="D773" s="121"/>
      <c r="E773" s="121"/>
      <c r="F773" s="12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9.5" customHeight="1" x14ac:dyDescent="0.25">
      <c r="A774" s="120"/>
      <c r="B774" s="120"/>
      <c r="C774" s="120"/>
      <c r="D774" s="121"/>
      <c r="E774" s="121"/>
      <c r="F774" s="12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9.5" customHeight="1" x14ac:dyDescent="0.25">
      <c r="A775" s="120"/>
      <c r="B775" s="120"/>
      <c r="C775" s="120"/>
      <c r="D775" s="121"/>
      <c r="E775" s="121"/>
      <c r="F775" s="12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9.5" customHeight="1" x14ac:dyDescent="0.25">
      <c r="A776" s="120"/>
      <c r="B776" s="120"/>
      <c r="C776" s="120"/>
      <c r="D776" s="121"/>
      <c r="E776" s="121"/>
      <c r="F776" s="12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9.5" customHeight="1" x14ac:dyDescent="0.25">
      <c r="A777" s="120"/>
      <c r="B777" s="120"/>
      <c r="C777" s="120"/>
      <c r="D777" s="121"/>
      <c r="E777" s="121"/>
      <c r="F777" s="12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9.5" customHeight="1" x14ac:dyDescent="0.25">
      <c r="A778" s="120"/>
      <c r="B778" s="120"/>
      <c r="C778" s="120"/>
      <c r="D778" s="121"/>
      <c r="E778" s="121"/>
      <c r="F778" s="12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9.5" customHeight="1" x14ac:dyDescent="0.25">
      <c r="A779" s="120"/>
      <c r="B779" s="120"/>
      <c r="C779" s="120"/>
      <c r="D779" s="121"/>
      <c r="E779" s="121"/>
      <c r="F779" s="12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9.5" customHeight="1" x14ac:dyDescent="0.25">
      <c r="A780" s="120"/>
      <c r="B780" s="120"/>
      <c r="C780" s="120"/>
      <c r="D780" s="121"/>
      <c r="E780" s="121"/>
      <c r="F780" s="12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9.5" customHeight="1" x14ac:dyDescent="0.25">
      <c r="A781" s="120"/>
      <c r="B781" s="120"/>
      <c r="C781" s="120"/>
      <c r="D781" s="121"/>
      <c r="E781" s="121"/>
      <c r="F781" s="12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9.5" customHeight="1" x14ac:dyDescent="0.25">
      <c r="A782" s="120"/>
      <c r="B782" s="120"/>
      <c r="C782" s="120"/>
      <c r="D782" s="121"/>
      <c r="E782" s="121"/>
      <c r="F782" s="12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9.5" customHeight="1" x14ac:dyDescent="0.25">
      <c r="A783" s="120"/>
      <c r="B783" s="120"/>
      <c r="C783" s="120"/>
      <c r="D783" s="121"/>
      <c r="E783" s="121"/>
      <c r="F783" s="12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9.5" customHeight="1" x14ac:dyDescent="0.25">
      <c r="A784" s="120"/>
      <c r="B784" s="120"/>
      <c r="C784" s="120"/>
      <c r="D784" s="121"/>
      <c r="E784" s="121"/>
      <c r="F784" s="12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9.5" customHeight="1" x14ac:dyDescent="0.25">
      <c r="A785" s="120"/>
      <c r="B785" s="120"/>
      <c r="C785" s="120"/>
      <c r="D785" s="121"/>
      <c r="E785" s="121"/>
      <c r="F785" s="12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9.5" customHeight="1" x14ac:dyDescent="0.25">
      <c r="A786" s="120"/>
      <c r="B786" s="120"/>
      <c r="C786" s="120"/>
      <c r="D786" s="121"/>
      <c r="E786" s="121"/>
      <c r="F786" s="12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9.5" customHeight="1" x14ac:dyDescent="0.25">
      <c r="A787" s="120"/>
      <c r="B787" s="120"/>
      <c r="C787" s="120"/>
      <c r="D787" s="121"/>
      <c r="E787" s="121"/>
      <c r="F787" s="12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9.5" customHeight="1" x14ac:dyDescent="0.25">
      <c r="A788" s="120"/>
      <c r="B788" s="120"/>
      <c r="C788" s="120"/>
      <c r="D788" s="121"/>
      <c r="E788" s="121"/>
      <c r="F788" s="12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9.5" customHeight="1" x14ac:dyDescent="0.25">
      <c r="A789" s="120"/>
      <c r="B789" s="120"/>
      <c r="C789" s="120"/>
      <c r="D789" s="121"/>
      <c r="E789" s="121"/>
      <c r="F789" s="12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9.5" customHeight="1" x14ac:dyDescent="0.25">
      <c r="A790" s="120"/>
      <c r="B790" s="120"/>
      <c r="C790" s="120"/>
      <c r="D790" s="121"/>
      <c r="E790" s="121"/>
      <c r="F790" s="12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9.5" customHeight="1" x14ac:dyDescent="0.25">
      <c r="A791" s="120"/>
      <c r="B791" s="120"/>
      <c r="C791" s="120"/>
      <c r="D791" s="121"/>
      <c r="E791" s="121"/>
      <c r="F791" s="12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9.5" customHeight="1" x14ac:dyDescent="0.25">
      <c r="A792" s="120"/>
      <c r="B792" s="120"/>
      <c r="C792" s="120"/>
      <c r="D792" s="121"/>
      <c r="E792" s="121"/>
      <c r="F792" s="12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9.5" customHeight="1" x14ac:dyDescent="0.25">
      <c r="A793" s="120"/>
      <c r="B793" s="120"/>
      <c r="C793" s="120"/>
      <c r="D793" s="121"/>
      <c r="E793" s="121"/>
      <c r="F793" s="12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9.5" customHeight="1" x14ac:dyDescent="0.25">
      <c r="A794" s="120"/>
      <c r="B794" s="120"/>
      <c r="C794" s="120"/>
      <c r="D794" s="121"/>
      <c r="E794" s="121"/>
      <c r="F794" s="12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9.5" customHeight="1" x14ac:dyDescent="0.25">
      <c r="A795" s="120"/>
      <c r="B795" s="120"/>
      <c r="C795" s="120"/>
      <c r="D795" s="121"/>
      <c r="E795" s="121"/>
      <c r="F795" s="12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9.5" customHeight="1" x14ac:dyDescent="0.25">
      <c r="A796" s="120"/>
      <c r="B796" s="120"/>
      <c r="C796" s="120"/>
      <c r="D796" s="121"/>
      <c r="E796" s="121"/>
      <c r="F796" s="12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9.5" customHeight="1" x14ac:dyDescent="0.25">
      <c r="A797" s="120"/>
      <c r="B797" s="120"/>
      <c r="C797" s="120"/>
      <c r="D797" s="121"/>
      <c r="E797" s="121"/>
      <c r="F797" s="12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9.5" customHeight="1" x14ac:dyDescent="0.25">
      <c r="A798" s="120"/>
      <c r="B798" s="120"/>
      <c r="C798" s="120"/>
      <c r="D798" s="121"/>
      <c r="E798" s="121"/>
      <c r="F798" s="12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9.5" customHeight="1" x14ac:dyDescent="0.25">
      <c r="A799" s="120"/>
      <c r="B799" s="120"/>
      <c r="C799" s="120"/>
      <c r="D799" s="121"/>
      <c r="E799" s="121"/>
      <c r="F799" s="12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9.5" customHeight="1" x14ac:dyDescent="0.25">
      <c r="A800" s="120"/>
      <c r="B800" s="120"/>
      <c r="C800" s="120"/>
      <c r="D800" s="121"/>
      <c r="E800" s="121"/>
      <c r="F800" s="12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9.5" customHeight="1" x14ac:dyDescent="0.25">
      <c r="A801" s="120"/>
      <c r="B801" s="120"/>
      <c r="C801" s="120"/>
      <c r="D801" s="121"/>
      <c r="E801" s="121"/>
      <c r="F801" s="12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9.5" customHeight="1" x14ac:dyDescent="0.25">
      <c r="A802" s="120"/>
      <c r="B802" s="120"/>
      <c r="C802" s="120"/>
      <c r="D802" s="121"/>
      <c r="E802" s="121"/>
      <c r="F802" s="12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9.5" customHeight="1" x14ac:dyDescent="0.25">
      <c r="A803" s="120"/>
      <c r="B803" s="120"/>
      <c r="C803" s="120"/>
      <c r="D803" s="121"/>
      <c r="E803" s="121"/>
      <c r="F803" s="12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9.5" customHeight="1" x14ac:dyDescent="0.25">
      <c r="A804" s="120"/>
      <c r="B804" s="120"/>
      <c r="C804" s="120"/>
      <c r="D804" s="121"/>
      <c r="E804" s="121"/>
      <c r="F804" s="12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9.5" customHeight="1" x14ac:dyDescent="0.25">
      <c r="A805" s="120"/>
      <c r="B805" s="120"/>
      <c r="C805" s="120"/>
      <c r="D805" s="121"/>
      <c r="E805" s="121"/>
      <c r="F805" s="12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9.5" customHeight="1" x14ac:dyDescent="0.25">
      <c r="A806" s="120"/>
      <c r="B806" s="120"/>
      <c r="C806" s="120"/>
      <c r="D806" s="121"/>
      <c r="E806" s="121"/>
      <c r="F806" s="12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9.5" customHeight="1" x14ac:dyDescent="0.25">
      <c r="A807" s="120"/>
      <c r="B807" s="120"/>
      <c r="C807" s="120"/>
      <c r="D807" s="121"/>
      <c r="E807" s="121"/>
      <c r="F807" s="12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9.5" customHeight="1" x14ac:dyDescent="0.25">
      <c r="A808" s="120"/>
      <c r="B808" s="120"/>
      <c r="C808" s="120"/>
      <c r="D808" s="121"/>
      <c r="E808" s="121"/>
      <c r="F808" s="12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9.5" customHeight="1" x14ac:dyDescent="0.25">
      <c r="A809" s="120"/>
      <c r="B809" s="120"/>
      <c r="C809" s="120"/>
      <c r="D809" s="121"/>
      <c r="E809" s="121"/>
      <c r="F809" s="12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9.5" customHeight="1" x14ac:dyDescent="0.25">
      <c r="A810" s="120"/>
      <c r="B810" s="120"/>
      <c r="C810" s="120"/>
      <c r="D810" s="121"/>
      <c r="E810" s="121"/>
      <c r="F810" s="12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9.5" customHeight="1" x14ac:dyDescent="0.25">
      <c r="A811" s="120"/>
      <c r="B811" s="120"/>
      <c r="C811" s="120"/>
      <c r="D811" s="121"/>
      <c r="E811" s="121"/>
      <c r="F811" s="12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9.5" customHeight="1" x14ac:dyDescent="0.25">
      <c r="A812" s="120"/>
      <c r="B812" s="120"/>
      <c r="C812" s="120"/>
      <c r="D812" s="121"/>
      <c r="E812" s="121"/>
      <c r="F812" s="12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9.5" customHeight="1" x14ac:dyDescent="0.25">
      <c r="A813" s="120"/>
      <c r="B813" s="120"/>
      <c r="C813" s="120"/>
      <c r="D813" s="121"/>
      <c r="E813" s="121"/>
      <c r="F813" s="12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9.5" customHeight="1" x14ac:dyDescent="0.25">
      <c r="A814" s="120"/>
      <c r="B814" s="120"/>
      <c r="C814" s="120"/>
      <c r="D814" s="121"/>
      <c r="E814" s="121"/>
      <c r="F814" s="12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9.5" customHeight="1" x14ac:dyDescent="0.25">
      <c r="A815" s="120"/>
      <c r="B815" s="120"/>
      <c r="C815" s="120"/>
      <c r="D815" s="121"/>
      <c r="E815" s="121"/>
      <c r="F815" s="12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9.5" customHeight="1" x14ac:dyDescent="0.25">
      <c r="A816" s="120"/>
      <c r="B816" s="120"/>
      <c r="C816" s="120"/>
      <c r="D816" s="121"/>
      <c r="E816" s="121"/>
      <c r="F816" s="12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9.5" customHeight="1" x14ac:dyDescent="0.25">
      <c r="A817" s="120"/>
      <c r="B817" s="120"/>
      <c r="C817" s="120"/>
      <c r="D817" s="121"/>
      <c r="E817" s="121"/>
      <c r="F817" s="12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9.5" customHeight="1" x14ac:dyDescent="0.25">
      <c r="A818" s="120"/>
      <c r="B818" s="120"/>
      <c r="C818" s="120"/>
      <c r="D818" s="121"/>
      <c r="E818" s="121"/>
      <c r="F818" s="12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9.5" customHeight="1" x14ac:dyDescent="0.25">
      <c r="A819" s="120"/>
      <c r="B819" s="120"/>
      <c r="C819" s="120"/>
      <c r="D819" s="121"/>
      <c r="E819" s="121"/>
      <c r="F819" s="12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9.5" customHeight="1" x14ac:dyDescent="0.25">
      <c r="A820" s="120"/>
      <c r="B820" s="120"/>
      <c r="C820" s="120"/>
      <c r="D820" s="121"/>
      <c r="E820" s="121"/>
      <c r="F820" s="12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9.5" customHeight="1" x14ac:dyDescent="0.25">
      <c r="A821" s="120"/>
      <c r="B821" s="120"/>
      <c r="C821" s="120"/>
      <c r="D821" s="121"/>
      <c r="E821" s="121"/>
      <c r="F821" s="12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9.5" customHeight="1" x14ac:dyDescent="0.25">
      <c r="A822" s="120"/>
      <c r="B822" s="120"/>
      <c r="C822" s="120"/>
      <c r="D822" s="121"/>
      <c r="E822" s="121"/>
      <c r="F822" s="12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9.5" customHeight="1" x14ac:dyDescent="0.25">
      <c r="A823" s="120"/>
      <c r="B823" s="120"/>
      <c r="C823" s="120"/>
      <c r="D823" s="121"/>
      <c r="E823" s="121"/>
      <c r="F823" s="12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9.5" customHeight="1" x14ac:dyDescent="0.25">
      <c r="A824" s="120"/>
      <c r="B824" s="120"/>
      <c r="C824" s="120"/>
      <c r="D824" s="121"/>
      <c r="E824" s="121"/>
      <c r="F824" s="12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9.5" customHeight="1" x14ac:dyDescent="0.25">
      <c r="A825" s="120"/>
      <c r="B825" s="120"/>
      <c r="C825" s="120"/>
      <c r="D825" s="121"/>
      <c r="E825" s="121"/>
      <c r="F825" s="12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9.5" customHeight="1" x14ac:dyDescent="0.25">
      <c r="A826" s="120"/>
      <c r="B826" s="120"/>
      <c r="C826" s="120"/>
      <c r="D826" s="121"/>
      <c r="E826" s="121"/>
      <c r="F826" s="12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9.5" customHeight="1" x14ac:dyDescent="0.25">
      <c r="A827" s="120"/>
      <c r="B827" s="120"/>
      <c r="C827" s="120"/>
      <c r="D827" s="121"/>
      <c r="E827" s="121"/>
      <c r="F827" s="12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9.5" customHeight="1" x14ac:dyDescent="0.25">
      <c r="A828" s="120"/>
      <c r="B828" s="120"/>
      <c r="C828" s="120"/>
      <c r="D828" s="121"/>
      <c r="E828" s="121"/>
      <c r="F828" s="12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9.5" customHeight="1" x14ac:dyDescent="0.25">
      <c r="A829" s="120"/>
      <c r="B829" s="120"/>
      <c r="C829" s="120"/>
      <c r="D829" s="121"/>
      <c r="E829" s="121"/>
      <c r="F829" s="12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9.5" customHeight="1" x14ac:dyDescent="0.25">
      <c r="A830" s="120"/>
      <c r="B830" s="120"/>
      <c r="C830" s="120"/>
      <c r="D830" s="121"/>
      <c r="E830" s="121"/>
      <c r="F830" s="12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9.5" customHeight="1" x14ac:dyDescent="0.25">
      <c r="A831" s="120"/>
      <c r="B831" s="120"/>
      <c r="C831" s="120"/>
      <c r="D831" s="121"/>
      <c r="E831" s="121"/>
      <c r="F831" s="12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9.5" customHeight="1" x14ac:dyDescent="0.25">
      <c r="A832" s="120"/>
      <c r="B832" s="120"/>
      <c r="C832" s="120"/>
      <c r="D832" s="121"/>
      <c r="E832" s="121"/>
      <c r="F832" s="12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9.5" customHeight="1" x14ac:dyDescent="0.25">
      <c r="A833" s="120"/>
      <c r="B833" s="120"/>
      <c r="C833" s="120"/>
      <c r="D833" s="121"/>
      <c r="E833" s="121"/>
      <c r="F833" s="12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9.5" customHeight="1" x14ac:dyDescent="0.25">
      <c r="A834" s="120"/>
      <c r="B834" s="120"/>
      <c r="C834" s="120"/>
      <c r="D834" s="121"/>
      <c r="E834" s="121"/>
      <c r="F834" s="12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9.5" customHeight="1" x14ac:dyDescent="0.25">
      <c r="A835" s="120"/>
      <c r="B835" s="120"/>
      <c r="C835" s="120"/>
      <c r="D835" s="121"/>
      <c r="E835" s="121"/>
      <c r="F835" s="12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9.5" customHeight="1" x14ac:dyDescent="0.25">
      <c r="A836" s="120"/>
      <c r="B836" s="120"/>
      <c r="C836" s="120"/>
      <c r="D836" s="121"/>
      <c r="E836" s="121"/>
      <c r="F836" s="12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9.5" customHeight="1" x14ac:dyDescent="0.25">
      <c r="A837" s="120"/>
      <c r="B837" s="120"/>
      <c r="C837" s="120"/>
      <c r="D837" s="121"/>
      <c r="E837" s="121"/>
      <c r="F837" s="12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9.5" customHeight="1" x14ac:dyDescent="0.25">
      <c r="A838" s="120"/>
      <c r="B838" s="120"/>
      <c r="C838" s="120"/>
      <c r="D838" s="121"/>
      <c r="E838" s="121"/>
      <c r="F838" s="12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9.5" customHeight="1" x14ac:dyDescent="0.25">
      <c r="A839" s="120"/>
      <c r="B839" s="120"/>
      <c r="C839" s="120"/>
      <c r="D839" s="121"/>
      <c r="E839" s="121"/>
      <c r="F839" s="12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9.5" customHeight="1" x14ac:dyDescent="0.25">
      <c r="A840" s="120"/>
      <c r="B840" s="120"/>
      <c r="C840" s="120"/>
      <c r="D840" s="121"/>
      <c r="E840" s="121"/>
      <c r="F840" s="12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9.5" customHeight="1" x14ac:dyDescent="0.25">
      <c r="A841" s="120"/>
      <c r="B841" s="120"/>
      <c r="C841" s="120"/>
      <c r="D841" s="121"/>
      <c r="E841" s="121"/>
      <c r="F841" s="12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9.5" customHeight="1" x14ac:dyDescent="0.25">
      <c r="A842" s="120"/>
      <c r="B842" s="120"/>
      <c r="C842" s="120"/>
      <c r="D842" s="121"/>
      <c r="E842" s="121"/>
      <c r="F842" s="12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9.5" customHeight="1" x14ac:dyDescent="0.25">
      <c r="A843" s="120"/>
      <c r="B843" s="120"/>
      <c r="C843" s="120"/>
      <c r="D843" s="121"/>
      <c r="E843" s="121"/>
      <c r="F843" s="12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9.5" customHeight="1" x14ac:dyDescent="0.25">
      <c r="A844" s="120"/>
      <c r="B844" s="120"/>
      <c r="C844" s="120"/>
      <c r="D844" s="121"/>
      <c r="E844" s="121"/>
      <c r="F844" s="12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9.5" customHeight="1" x14ac:dyDescent="0.25">
      <c r="A845" s="120"/>
      <c r="B845" s="120"/>
      <c r="C845" s="120"/>
      <c r="D845" s="121"/>
      <c r="E845" s="121"/>
      <c r="F845" s="12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9.5" customHeight="1" x14ac:dyDescent="0.25">
      <c r="A846" s="120"/>
      <c r="B846" s="120"/>
      <c r="C846" s="120"/>
      <c r="D846" s="121"/>
      <c r="E846" s="121"/>
      <c r="F846" s="12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9.5" customHeight="1" x14ac:dyDescent="0.25">
      <c r="A847" s="120"/>
      <c r="B847" s="120"/>
      <c r="C847" s="120"/>
      <c r="D847" s="121"/>
      <c r="E847" s="121"/>
      <c r="F847" s="12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9.5" customHeight="1" x14ac:dyDescent="0.25">
      <c r="A848" s="120"/>
      <c r="B848" s="120"/>
      <c r="C848" s="120"/>
      <c r="D848" s="121"/>
      <c r="E848" s="121"/>
      <c r="F848" s="12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9.5" customHeight="1" x14ac:dyDescent="0.25">
      <c r="A849" s="120"/>
      <c r="B849" s="120"/>
      <c r="C849" s="120"/>
      <c r="D849" s="121"/>
      <c r="E849" s="121"/>
      <c r="F849" s="12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9.5" customHeight="1" x14ac:dyDescent="0.25">
      <c r="A850" s="120"/>
      <c r="B850" s="120"/>
      <c r="C850" s="120"/>
      <c r="D850" s="121"/>
      <c r="E850" s="121"/>
      <c r="F850" s="12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9.5" customHeight="1" x14ac:dyDescent="0.25">
      <c r="A851" s="120"/>
      <c r="B851" s="120"/>
      <c r="C851" s="120"/>
      <c r="D851" s="121"/>
      <c r="E851" s="121"/>
      <c r="F851" s="12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9.5" customHeight="1" x14ac:dyDescent="0.25">
      <c r="A852" s="120"/>
      <c r="B852" s="120"/>
      <c r="C852" s="120"/>
      <c r="D852" s="121"/>
      <c r="E852" s="121"/>
      <c r="F852" s="12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9.5" customHeight="1" x14ac:dyDescent="0.25">
      <c r="A853" s="120"/>
      <c r="B853" s="120"/>
      <c r="C853" s="120"/>
      <c r="D853" s="121"/>
      <c r="E853" s="121"/>
      <c r="F853" s="12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9.5" customHeight="1" x14ac:dyDescent="0.25">
      <c r="A854" s="120"/>
      <c r="B854" s="120"/>
      <c r="C854" s="120"/>
      <c r="D854" s="121"/>
      <c r="E854" s="121"/>
      <c r="F854" s="12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9.5" customHeight="1" x14ac:dyDescent="0.25">
      <c r="A855" s="120"/>
      <c r="B855" s="120"/>
      <c r="C855" s="120"/>
      <c r="D855" s="121"/>
      <c r="E855" s="121"/>
      <c r="F855" s="12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9.5" customHeight="1" x14ac:dyDescent="0.25">
      <c r="A856" s="120"/>
      <c r="B856" s="120"/>
      <c r="C856" s="120"/>
      <c r="D856" s="121"/>
      <c r="E856" s="121"/>
      <c r="F856" s="12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9.5" customHeight="1" x14ac:dyDescent="0.25">
      <c r="A857" s="120"/>
      <c r="B857" s="120"/>
      <c r="C857" s="120"/>
      <c r="D857" s="121"/>
      <c r="E857" s="121"/>
      <c r="F857" s="12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9.5" customHeight="1" x14ac:dyDescent="0.25">
      <c r="A858" s="120"/>
      <c r="B858" s="120"/>
      <c r="C858" s="120"/>
      <c r="D858" s="121"/>
      <c r="E858" s="121"/>
      <c r="F858" s="12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9.5" customHeight="1" x14ac:dyDescent="0.25">
      <c r="A859" s="120"/>
      <c r="B859" s="120"/>
      <c r="C859" s="120"/>
      <c r="D859" s="121"/>
      <c r="E859" s="121"/>
      <c r="F859" s="12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9.5" customHeight="1" x14ac:dyDescent="0.25">
      <c r="A860" s="120"/>
      <c r="B860" s="120"/>
      <c r="C860" s="120"/>
      <c r="D860" s="121"/>
      <c r="E860" s="121"/>
      <c r="F860" s="12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9.5" customHeight="1" x14ac:dyDescent="0.25">
      <c r="A861" s="120"/>
      <c r="B861" s="120"/>
      <c r="C861" s="120"/>
      <c r="D861" s="121"/>
      <c r="E861" s="121"/>
      <c r="F861" s="12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9.5" customHeight="1" x14ac:dyDescent="0.25">
      <c r="A862" s="120"/>
      <c r="B862" s="120"/>
      <c r="C862" s="120"/>
      <c r="D862" s="121"/>
      <c r="E862" s="121"/>
      <c r="F862" s="12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9.5" customHeight="1" x14ac:dyDescent="0.25">
      <c r="A863" s="120"/>
      <c r="B863" s="120"/>
      <c r="C863" s="120"/>
      <c r="D863" s="121"/>
      <c r="E863" s="121"/>
      <c r="F863" s="12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9.5" customHeight="1" x14ac:dyDescent="0.25">
      <c r="A864" s="120"/>
      <c r="B864" s="120"/>
      <c r="C864" s="120"/>
      <c r="D864" s="121"/>
      <c r="E864" s="121"/>
      <c r="F864" s="12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9.5" customHeight="1" x14ac:dyDescent="0.25">
      <c r="A865" s="120"/>
      <c r="B865" s="120"/>
      <c r="C865" s="120"/>
      <c r="D865" s="121"/>
      <c r="E865" s="121"/>
      <c r="F865" s="12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9.5" customHeight="1" x14ac:dyDescent="0.25">
      <c r="A866" s="120"/>
      <c r="B866" s="120"/>
      <c r="C866" s="120"/>
      <c r="D866" s="121"/>
      <c r="E866" s="121"/>
      <c r="F866" s="12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9.5" customHeight="1" x14ac:dyDescent="0.25">
      <c r="A867" s="120"/>
      <c r="B867" s="120"/>
      <c r="C867" s="120"/>
      <c r="D867" s="121"/>
      <c r="E867" s="121"/>
      <c r="F867" s="12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9.5" customHeight="1" x14ac:dyDescent="0.25">
      <c r="A868" s="120"/>
      <c r="B868" s="120"/>
      <c r="C868" s="120"/>
      <c r="D868" s="121"/>
      <c r="E868" s="121"/>
      <c r="F868" s="12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9.5" customHeight="1" x14ac:dyDescent="0.25">
      <c r="A869" s="120"/>
      <c r="B869" s="120"/>
      <c r="C869" s="120"/>
      <c r="D869" s="121"/>
      <c r="E869" s="121"/>
      <c r="F869" s="12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9.5" customHeight="1" x14ac:dyDescent="0.25">
      <c r="A870" s="120"/>
      <c r="B870" s="120"/>
      <c r="C870" s="120"/>
      <c r="D870" s="121"/>
      <c r="E870" s="121"/>
      <c r="F870" s="12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9.5" customHeight="1" x14ac:dyDescent="0.25">
      <c r="A871" s="120"/>
      <c r="B871" s="120"/>
      <c r="C871" s="120"/>
      <c r="D871" s="121"/>
      <c r="E871" s="121"/>
      <c r="F871" s="12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9.5" customHeight="1" x14ac:dyDescent="0.25">
      <c r="A872" s="120"/>
      <c r="B872" s="120"/>
      <c r="C872" s="120"/>
      <c r="D872" s="121"/>
      <c r="E872" s="121"/>
      <c r="F872" s="12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9.5" customHeight="1" x14ac:dyDescent="0.25">
      <c r="A873" s="120"/>
      <c r="B873" s="120"/>
      <c r="C873" s="120"/>
      <c r="D873" s="121"/>
      <c r="E873" s="121"/>
      <c r="F873" s="12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9.5" customHeight="1" x14ac:dyDescent="0.25">
      <c r="A874" s="120"/>
      <c r="B874" s="120"/>
      <c r="C874" s="120"/>
      <c r="D874" s="121"/>
      <c r="E874" s="121"/>
      <c r="F874" s="12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9.5" customHeight="1" x14ac:dyDescent="0.25">
      <c r="A875" s="120"/>
      <c r="B875" s="120"/>
      <c r="C875" s="120"/>
      <c r="D875" s="121"/>
      <c r="E875" s="121"/>
      <c r="F875" s="12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9.5" customHeight="1" x14ac:dyDescent="0.25">
      <c r="A876" s="120"/>
      <c r="B876" s="120"/>
      <c r="C876" s="120"/>
      <c r="D876" s="121"/>
      <c r="E876" s="121"/>
      <c r="F876" s="12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9.5" customHeight="1" x14ac:dyDescent="0.25">
      <c r="A877" s="120"/>
      <c r="B877" s="120"/>
      <c r="C877" s="120"/>
      <c r="D877" s="121"/>
      <c r="E877" s="121"/>
      <c r="F877" s="12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9.5" customHeight="1" x14ac:dyDescent="0.25">
      <c r="A878" s="120"/>
      <c r="B878" s="120"/>
      <c r="C878" s="120"/>
      <c r="D878" s="121"/>
      <c r="E878" s="121"/>
      <c r="F878" s="12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9.5" customHeight="1" x14ac:dyDescent="0.25">
      <c r="A879" s="120"/>
      <c r="B879" s="120"/>
      <c r="C879" s="120"/>
      <c r="D879" s="121"/>
      <c r="E879" s="121"/>
      <c r="F879" s="12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9.5" customHeight="1" x14ac:dyDescent="0.25">
      <c r="A880" s="120"/>
      <c r="B880" s="120"/>
      <c r="C880" s="120"/>
      <c r="D880" s="121"/>
      <c r="E880" s="121"/>
      <c r="F880" s="12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9.5" customHeight="1" x14ac:dyDescent="0.25">
      <c r="A881" s="120"/>
      <c r="B881" s="120"/>
      <c r="C881" s="120"/>
      <c r="D881" s="121"/>
      <c r="E881" s="121"/>
      <c r="F881" s="12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9.5" customHeight="1" x14ac:dyDescent="0.25">
      <c r="A882" s="120"/>
      <c r="B882" s="120"/>
      <c r="C882" s="120"/>
      <c r="D882" s="121"/>
      <c r="E882" s="121"/>
      <c r="F882" s="12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9.5" customHeight="1" x14ac:dyDescent="0.25">
      <c r="A883" s="120"/>
      <c r="B883" s="120"/>
      <c r="C883" s="120"/>
      <c r="D883" s="121"/>
      <c r="E883" s="121"/>
      <c r="F883" s="12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9.5" customHeight="1" x14ac:dyDescent="0.25">
      <c r="A884" s="120"/>
      <c r="B884" s="120"/>
      <c r="C884" s="120"/>
      <c r="D884" s="121"/>
      <c r="E884" s="121"/>
      <c r="F884" s="12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9.5" customHeight="1" x14ac:dyDescent="0.25">
      <c r="A885" s="120"/>
      <c r="B885" s="120"/>
      <c r="C885" s="120"/>
      <c r="D885" s="121"/>
      <c r="E885" s="121"/>
      <c r="F885" s="12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9.5" customHeight="1" x14ac:dyDescent="0.25">
      <c r="A886" s="120"/>
      <c r="B886" s="120"/>
      <c r="C886" s="120"/>
      <c r="D886" s="121"/>
      <c r="E886" s="121"/>
      <c r="F886" s="12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9.5" customHeight="1" x14ac:dyDescent="0.25">
      <c r="A887" s="120"/>
      <c r="B887" s="120"/>
      <c r="C887" s="120"/>
      <c r="D887" s="121"/>
      <c r="E887" s="121"/>
      <c r="F887" s="12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9.5" customHeight="1" x14ac:dyDescent="0.25">
      <c r="A888" s="120"/>
      <c r="B888" s="120"/>
      <c r="C888" s="120"/>
      <c r="D888" s="121"/>
      <c r="E888" s="121"/>
      <c r="F888" s="12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9.5" customHeight="1" x14ac:dyDescent="0.25">
      <c r="A889" s="120"/>
      <c r="B889" s="120"/>
      <c r="C889" s="120"/>
      <c r="D889" s="121"/>
      <c r="E889" s="121"/>
      <c r="F889" s="12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9.5" customHeight="1" x14ac:dyDescent="0.25">
      <c r="A890" s="120"/>
      <c r="B890" s="120"/>
      <c r="C890" s="120"/>
      <c r="D890" s="121"/>
      <c r="E890" s="121"/>
      <c r="F890" s="12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9.5" customHeight="1" x14ac:dyDescent="0.25">
      <c r="A891" s="120"/>
      <c r="B891" s="120"/>
      <c r="C891" s="120"/>
      <c r="D891" s="121"/>
      <c r="E891" s="121"/>
      <c r="F891" s="12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9.5" customHeight="1" x14ac:dyDescent="0.25">
      <c r="A892" s="120"/>
      <c r="B892" s="120"/>
      <c r="C892" s="120"/>
      <c r="D892" s="121"/>
      <c r="E892" s="121"/>
      <c r="F892" s="12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9.5" customHeight="1" x14ac:dyDescent="0.25">
      <c r="A893" s="120"/>
      <c r="B893" s="120"/>
      <c r="C893" s="120"/>
      <c r="D893" s="121"/>
      <c r="E893" s="121"/>
      <c r="F893" s="12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9.5" customHeight="1" x14ac:dyDescent="0.25">
      <c r="A894" s="120"/>
      <c r="B894" s="120"/>
      <c r="C894" s="120"/>
      <c r="D894" s="121"/>
      <c r="E894" s="121"/>
      <c r="F894" s="12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9.5" customHeight="1" x14ac:dyDescent="0.25">
      <c r="A895" s="120"/>
      <c r="B895" s="120"/>
      <c r="C895" s="120"/>
      <c r="D895" s="121"/>
      <c r="E895" s="121"/>
      <c r="F895" s="12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9.5" customHeight="1" x14ac:dyDescent="0.25">
      <c r="A896" s="120"/>
      <c r="B896" s="120"/>
      <c r="C896" s="120"/>
      <c r="D896" s="121"/>
      <c r="E896" s="121"/>
      <c r="F896" s="12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9.5" customHeight="1" x14ac:dyDescent="0.25">
      <c r="A897" s="120"/>
      <c r="B897" s="120"/>
      <c r="C897" s="120"/>
      <c r="D897" s="121"/>
      <c r="E897" s="121"/>
      <c r="F897" s="12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9.5" customHeight="1" x14ac:dyDescent="0.25">
      <c r="A898" s="120"/>
      <c r="B898" s="120"/>
      <c r="C898" s="120"/>
      <c r="D898" s="121"/>
      <c r="E898" s="121"/>
      <c r="F898" s="12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9.5" customHeight="1" x14ac:dyDescent="0.25">
      <c r="A899" s="120"/>
      <c r="B899" s="120"/>
      <c r="C899" s="120"/>
      <c r="D899" s="121"/>
      <c r="E899" s="121"/>
      <c r="F899" s="12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9.5" customHeight="1" x14ac:dyDescent="0.25">
      <c r="A900" s="120"/>
      <c r="B900" s="120"/>
      <c r="C900" s="120"/>
      <c r="D900" s="121"/>
      <c r="E900" s="121"/>
      <c r="F900" s="12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9.5" customHeight="1" x14ac:dyDescent="0.25">
      <c r="A901" s="120"/>
      <c r="B901" s="120"/>
      <c r="C901" s="120"/>
      <c r="D901" s="121"/>
      <c r="E901" s="121"/>
      <c r="F901" s="12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9.5" customHeight="1" x14ac:dyDescent="0.25">
      <c r="A902" s="120"/>
      <c r="B902" s="120"/>
      <c r="C902" s="120"/>
      <c r="D902" s="121"/>
      <c r="E902" s="121"/>
      <c r="F902" s="12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9.5" customHeight="1" x14ac:dyDescent="0.25">
      <c r="A903" s="120"/>
      <c r="B903" s="120"/>
      <c r="C903" s="120"/>
      <c r="D903" s="121"/>
      <c r="E903" s="121"/>
      <c r="F903" s="12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9.5" customHeight="1" x14ac:dyDescent="0.25">
      <c r="A904" s="120"/>
      <c r="B904" s="120"/>
      <c r="C904" s="120"/>
      <c r="D904" s="121"/>
      <c r="E904" s="121"/>
      <c r="F904" s="12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9.5" customHeight="1" x14ac:dyDescent="0.25">
      <c r="A905" s="120"/>
      <c r="B905" s="120"/>
      <c r="C905" s="120"/>
      <c r="D905" s="121"/>
      <c r="E905" s="121"/>
      <c r="F905" s="12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9.5" customHeight="1" x14ac:dyDescent="0.25">
      <c r="A906" s="120"/>
      <c r="B906" s="120"/>
      <c r="C906" s="120"/>
      <c r="D906" s="121"/>
      <c r="E906" s="121"/>
      <c r="F906" s="12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9.5" customHeight="1" x14ac:dyDescent="0.25">
      <c r="A907" s="120"/>
      <c r="B907" s="120"/>
      <c r="C907" s="120"/>
      <c r="D907" s="121"/>
      <c r="E907" s="121"/>
      <c r="F907" s="12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9.5" customHeight="1" x14ac:dyDescent="0.25">
      <c r="A908" s="120"/>
      <c r="B908" s="120"/>
      <c r="C908" s="120"/>
      <c r="D908" s="121"/>
      <c r="E908" s="121"/>
      <c r="F908" s="12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9.5" customHeight="1" x14ac:dyDescent="0.25">
      <c r="A909" s="120"/>
      <c r="B909" s="120"/>
      <c r="C909" s="120"/>
      <c r="D909" s="121"/>
      <c r="E909" s="121"/>
      <c r="F909" s="12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9.5" customHeight="1" x14ac:dyDescent="0.25">
      <c r="A910" s="120"/>
      <c r="B910" s="120"/>
      <c r="C910" s="120"/>
      <c r="D910" s="121"/>
      <c r="E910" s="121"/>
      <c r="F910" s="12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9.5" customHeight="1" x14ac:dyDescent="0.25">
      <c r="A911" s="120"/>
      <c r="B911" s="120"/>
      <c r="C911" s="120"/>
      <c r="D911" s="121"/>
      <c r="E911" s="121"/>
      <c r="F911" s="12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9.5" customHeight="1" x14ac:dyDescent="0.25">
      <c r="A912" s="120"/>
      <c r="B912" s="120"/>
      <c r="C912" s="120"/>
      <c r="D912" s="121"/>
      <c r="E912" s="121"/>
      <c r="F912" s="12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9.5" customHeight="1" x14ac:dyDescent="0.25">
      <c r="A913" s="120"/>
      <c r="B913" s="120"/>
      <c r="C913" s="120"/>
      <c r="D913" s="121"/>
      <c r="E913" s="121"/>
      <c r="F913" s="12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9.5" customHeight="1" x14ac:dyDescent="0.25">
      <c r="A914" s="120"/>
      <c r="B914" s="120"/>
      <c r="C914" s="120"/>
      <c r="D914" s="121"/>
      <c r="E914" s="121"/>
      <c r="F914" s="12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9.5" customHeight="1" x14ac:dyDescent="0.25">
      <c r="A915" s="120"/>
      <c r="B915" s="120"/>
      <c r="C915" s="120"/>
      <c r="D915" s="121"/>
      <c r="E915" s="121"/>
      <c r="F915" s="12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9.5" customHeight="1" x14ac:dyDescent="0.25">
      <c r="A916" s="120"/>
      <c r="B916" s="120"/>
      <c r="C916" s="120"/>
      <c r="D916" s="121"/>
      <c r="E916" s="121"/>
      <c r="F916" s="12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9.5" customHeight="1" x14ac:dyDescent="0.25">
      <c r="A917" s="120"/>
      <c r="B917" s="120"/>
      <c r="C917" s="120"/>
      <c r="D917" s="121"/>
      <c r="E917" s="121"/>
      <c r="F917" s="12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9.5" customHeight="1" x14ac:dyDescent="0.25">
      <c r="A918" s="120"/>
      <c r="B918" s="120"/>
      <c r="C918" s="120"/>
      <c r="D918" s="121"/>
      <c r="E918" s="121"/>
      <c r="F918" s="12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9.5" customHeight="1" x14ac:dyDescent="0.25">
      <c r="A919" s="120"/>
      <c r="B919" s="120"/>
      <c r="C919" s="120"/>
      <c r="D919" s="121"/>
      <c r="E919" s="121"/>
      <c r="F919" s="12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9.5" customHeight="1" x14ac:dyDescent="0.25">
      <c r="A920" s="120"/>
      <c r="B920" s="120"/>
      <c r="C920" s="120"/>
      <c r="D920" s="121"/>
      <c r="E920" s="121"/>
      <c r="F920" s="12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9.5" customHeight="1" x14ac:dyDescent="0.25">
      <c r="A921" s="120"/>
      <c r="B921" s="120"/>
      <c r="C921" s="120"/>
      <c r="D921" s="121"/>
      <c r="E921" s="121"/>
      <c r="F921" s="12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9.5" customHeight="1" x14ac:dyDescent="0.25">
      <c r="A922" s="120"/>
      <c r="B922" s="120"/>
      <c r="C922" s="120"/>
      <c r="D922" s="121"/>
      <c r="E922" s="121"/>
      <c r="F922" s="12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9.5" customHeight="1" x14ac:dyDescent="0.25">
      <c r="A923" s="120"/>
      <c r="B923" s="120"/>
      <c r="C923" s="120"/>
      <c r="D923" s="121"/>
      <c r="E923" s="121"/>
      <c r="F923" s="12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9.5" customHeight="1" x14ac:dyDescent="0.25">
      <c r="A924" s="120"/>
      <c r="B924" s="120"/>
      <c r="C924" s="120"/>
      <c r="D924" s="121"/>
      <c r="E924" s="121"/>
      <c r="F924" s="12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9.5" customHeight="1" x14ac:dyDescent="0.25">
      <c r="A925" s="120"/>
      <c r="B925" s="120"/>
      <c r="C925" s="120"/>
      <c r="D925" s="121"/>
      <c r="E925" s="121"/>
      <c r="F925" s="12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9.5" customHeight="1" x14ac:dyDescent="0.25">
      <c r="A926" s="120"/>
      <c r="B926" s="120"/>
      <c r="C926" s="120"/>
      <c r="D926" s="121"/>
      <c r="E926" s="121"/>
      <c r="F926" s="12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9.5" customHeight="1" x14ac:dyDescent="0.25">
      <c r="A927" s="120"/>
      <c r="B927" s="120"/>
      <c r="C927" s="120"/>
      <c r="D927" s="121"/>
      <c r="E927" s="121"/>
      <c r="F927" s="12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9.5" customHeight="1" x14ac:dyDescent="0.25">
      <c r="A928" s="120"/>
      <c r="B928" s="120"/>
      <c r="C928" s="120"/>
      <c r="D928" s="121"/>
      <c r="E928" s="121"/>
      <c r="F928" s="12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9.5" customHeight="1" x14ac:dyDescent="0.25">
      <c r="A929" s="120"/>
      <c r="B929" s="120"/>
      <c r="C929" s="120"/>
      <c r="D929" s="121"/>
      <c r="E929" s="121"/>
      <c r="F929" s="12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9.5" customHeight="1" x14ac:dyDescent="0.25">
      <c r="A930" s="120"/>
      <c r="B930" s="120"/>
      <c r="C930" s="120"/>
      <c r="D930" s="121"/>
      <c r="E930" s="121"/>
      <c r="F930" s="12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9.5" customHeight="1" x14ac:dyDescent="0.25">
      <c r="A931" s="120"/>
      <c r="B931" s="120"/>
      <c r="C931" s="120"/>
      <c r="D931" s="121"/>
      <c r="E931" s="121"/>
      <c r="F931" s="12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9.5" customHeight="1" x14ac:dyDescent="0.25">
      <c r="A932" s="120"/>
      <c r="B932" s="120"/>
      <c r="C932" s="120"/>
      <c r="D932" s="121"/>
      <c r="E932" s="121"/>
      <c r="F932" s="12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9.5" customHeight="1" x14ac:dyDescent="0.25">
      <c r="A933" s="120"/>
      <c r="B933" s="120"/>
      <c r="C933" s="120"/>
      <c r="D933" s="121"/>
      <c r="E933" s="121"/>
      <c r="F933" s="12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9.5" customHeight="1" x14ac:dyDescent="0.25">
      <c r="A934" s="120"/>
      <c r="B934" s="120"/>
      <c r="C934" s="120"/>
      <c r="D934" s="121"/>
      <c r="E934" s="121"/>
      <c r="F934" s="12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9.5" customHeight="1" x14ac:dyDescent="0.25">
      <c r="A935" s="120"/>
      <c r="B935" s="120"/>
      <c r="C935" s="120"/>
      <c r="D935" s="121"/>
      <c r="E935" s="121"/>
      <c r="F935" s="12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9.5" customHeight="1" x14ac:dyDescent="0.25">
      <c r="A936" s="120"/>
      <c r="B936" s="120"/>
      <c r="C936" s="120"/>
      <c r="D936" s="121"/>
      <c r="E936" s="121"/>
      <c r="F936" s="12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9.5" customHeight="1" x14ac:dyDescent="0.25">
      <c r="A937" s="120"/>
      <c r="B937" s="120"/>
      <c r="C937" s="120"/>
      <c r="D937" s="121"/>
      <c r="E937" s="121"/>
      <c r="F937" s="12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9.5" customHeight="1" x14ac:dyDescent="0.25">
      <c r="A938" s="120"/>
      <c r="B938" s="120"/>
      <c r="C938" s="120"/>
      <c r="D938" s="121"/>
      <c r="E938" s="121"/>
      <c r="F938" s="12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9.5" customHeight="1" x14ac:dyDescent="0.25">
      <c r="A939" s="120"/>
      <c r="B939" s="120"/>
      <c r="C939" s="120"/>
      <c r="D939" s="121"/>
      <c r="E939" s="121"/>
      <c r="F939" s="12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9.5" customHeight="1" x14ac:dyDescent="0.25">
      <c r="A940" s="120"/>
      <c r="B940" s="120"/>
      <c r="C940" s="120"/>
      <c r="D940" s="121"/>
      <c r="E940" s="121"/>
      <c r="F940" s="12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9.5" customHeight="1" x14ac:dyDescent="0.25">
      <c r="A941" s="120"/>
      <c r="B941" s="120"/>
      <c r="C941" s="120"/>
      <c r="D941" s="121"/>
      <c r="E941" s="121"/>
      <c r="F941" s="12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9.5" customHeight="1" x14ac:dyDescent="0.25">
      <c r="A942" s="120"/>
      <c r="B942" s="120"/>
      <c r="C942" s="120"/>
      <c r="D942" s="121"/>
      <c r="E942" s="121"/>
      <c r="F942" s="12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9.5" customHeight="1" x14ac:dyDescent="0.25">
      <c r="A943" s="120"/>
      <c r="B943" s="120"/>
      <c r="C943" s="120"/>
      <c r="D943" s="121"/>
      <c r="E943" s="121"/>
      <c r="F943" s="12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9.5" customHeight="1" x14ac:dyDescent="0.25">
      <c r="A944" s="120"/>
      <c r="B944" s="120"/>
      <c r="C944" s="120"/>
      <c r="D944" s="121"/>
      <c r="E944" s="121"/>
      <c r="F944" s="12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9.5" customHeight="1" x14ac:dyDescent="0.25">
      <c r="A945" s="120"/>
      <c r="B945" s="120"/>
      <c r="C945" s="120"/>
      <c r="D945" s="121"/>
      <c r="E945" s="121"/>
      <c r="F945" s="12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9.5" customHeight="1" x14ac:dyDescent="0.25">
      <c r="A946" s="120"/>
      <c r="B946" s="120"/>
      <c r="C946" s="120"/>
      <c r="D946" s="121"/>
      <c r="E946" s="121"/>
      <c r="F946" s="12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9.5" customHeight="1" x14ac:dyDescent="0.25">
      <c r="A947" s="120"/>
      <c r="B947" s="120"/>
      <c r="C947" s="120"/>
      <c r="D947" s="121"/>
      <c r="E947" s="121"/>
      <c r="F947" s="12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9.5" customHeight="1" x14ac:dyDescent="0.25">
      <c r="A948" s="120"/>
      <c r="B948" s="120"/>
      <c r="C948" s="120"/>
      <c r="D948" s="121"/>
      <c r="E948" s="121"/>
      <c r="F948" s="12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9.5" customHeight="1" x14ac:dyDescent="0.25">
      <c r="A949" s="120"/>
      <c r="B949" s="120"/>
      <c r="C949" s="120"/>
      <c r="D949" s="121"/>
      <c r="E949" s="121"/>
      <c r="F949" s="12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9.5" customHeight="1" x14ac:dyDescent="0.25">
      <c r="A950" s="120"/>
      <c r="B950" s="120"/>
      <c r="C950" s="120"/>
      <c r="D950" s="121"/>
      <c r="E950" s="121"/>
      <c r="F950" s="12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9.5" customHeight="1" x14ac:dyDescent="0.25">
      <c r="A951" s="120"/>
      <c r="B951" s="120"/>
      <c r="C951" s="120"/>
      <c r="D951" s="121"/>
      <c r="E951" s="121"/>
      <c r="F951" s="12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9.5" customHeight="1" x14ac:dyDescent="0.25">
      <c r="A952" s="120"/>
      <c r="B952" s="120"/>
      <c r="C952" s="120"/>
      <c r="D952" s="121"/>
      <c r="E952" s="121"/>
      <c r="F952" s="12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9.5" customHeight="1" x14ac:dyDescent="0.25">
      <c r="A953" s="120"/>
      <c r="B953" s="120"/>
      <c r="C953" s="120"/>
      <c r="D953" s="121"/>
      <c r="E953" s="121"/>
      <c r="F953" s="12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9.5" customHeight="1" x14ac:dyDescent="0.25">
      <c r="A954" s="120"/>
      <c r="B954" s="120"/>
      <c r="C954" s="120"/>
      <c r="D954" s="121"/>
      <c r="E954" s="121"/>
      <c r="F954" s="12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9.5" customHeight="1" x14ac:dyDescent="0.25">
      <c r="A955" s="120"/>
      <c r="B955" s="120"/>
      <c r="C955" s="120"/>
      <c r="D955" s="121"/>
      <c r="E955" s="121"/>
      <c r="F955" s="12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9.5" customHeight="1" x14ac:dyDescent="0.25">
      <c r="A956" s="120"/>
      <c r="B956" s="120"/>
      <c r="C956" s="120"/>
      <c r="D956" s="121"/>
      <c r="E956" s="121"/>
      <c r="F956" s="12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9.5" customHeight="1" x14ac:dyDescent="0.25">
      <c r="A957" s="120"/>
      <c r="B957" s="120"/>
      <c r="C957" s="120"/>
      <c r="D957" s="121"/>
      <c r="E957" s="121"/>
      <c r="F957" s="12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9.5" customHeight="1" x14ac:dyDescent="0.25">
      <c r="A958" s="120"/>
      <c r="B958" s="120"/>
      <c r="C958" s="120"/>
      <c r="D958" s="121"/>
      <c r="E958" s="121"/>
      <c r="F958" s="12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9.5" customHeight="1" x14ac:dyDescent="0.25">
      <c r="A959" s="120"/>
      <c r="B959" s="120"/>
      <c r="C959" s="120"/>
      <c r="D959" s="121"/>
      <c r="E959" s="121"/>
      <c r="F959" s="12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9.5" customHeight="1" x14ac:dyDescent="0.25">
      <c r="A960" s="120"/>
      <c r="B960" s="120"/>
      <c r="C960" s="120"/>
      <c r="D960" s="121"/>
      <c r="E960" s="121"/>
      <c r="F960" s="12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9.5" customHeight="1" x14ac:dyDescent="0.25">
      <c r="A961" s="120"/>
      <c r="B961" s="120"/>
      <c r="C961" s="120"/>
      <c r="D961" s="121"/>
      <c r="E961" s="121"/>
      <c r="F961" s="12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9.5" customHeight="1" x14ac:dyDescent="0.25">
      <c r="A962" s="120"/>
      <c r="B962" s="120"/>
      <c r="C962" s="120"/>
      <c r="D962" s="121"/>
      <c r="E962" s="121"/>
      <c r="F962" s="12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9.5" customHeight="1" x14ac:dyDescent="0.25">
      <c r="A963" s="120"/>
      <c r="B963" s="120"/>
      <c r="C963" s="120"/>
      <c r="D963" s="121"/>
      <c r="E963" s="121"/>
      <c r="F963" s="12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9.5" customHeight="1" x14ac:dyDescent="0.25">
      <c r="A964" s="120"/>
      <c r="B964" s="120"/>
      <c r="C964" s="120"/>
      <c r="D964" s="121"/>
      <c r="E964" s="121"/>
      <c r="F964" s="12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9.5" customHeight="1" x14ac:dyDescent="0.25">
      <c r="A965" s="120"/>
      <c r="B965" s="120"/>
      <c r="C965" s="120"/>
      <c r="D965" s="121"/>
      <c r="E965" s="121"/>
      <c r="F965" s="12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9.5" customHeight="1" x14ac:dyDescent="0.25">
      <c r="A966" s="120"/>
      <c r="B966" s="120"/>
      <c r="C966" s="120"/>
      <c r="D966" s="121"/>
      <c r="E966" s="121"/>
      <c r="F966" s="12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9.5" customHeight="1" x14ac:dyDescent="0.25">
      <c r="A967" s="120"/>
      <c r="B967" s="120"/>
      <c r="C967" s="120"/>
      <c r="D967" s="121"/>
      <c r="E967" s="121"/>
      <c r="F967" s="12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9.5" customHeight="1" x14ac:dyDescent="0.25">
      <c r="A968" s="120"/>
      <c r="B968" s="120"/>
      <c r="C968" s="120"/>
      <c r="D968" s="121"/>
      <c r="E968" s="121"/>
      <c r="F968" s="12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9.5" customHeight="1" x14ac:dyDescent="0.25">
      <c r="A969" s="120"/>
      <c r="B969" s="120"/>
      <c r="C969" s="120"/>
      <c r="D969" s="121"/>
      <c r="E969" s="121"/>
      <c r="F969" s="12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9.5" customHeight="1" x14ac:dyDescent="0.25">
      <c r="A970" s="120"/>
      <c r="B970" s="120"/>
      <c r="C970" s="120"/>
      <c r="D970" s="121"/>
      <c r="E970" s="121"/>
      <c r="F970" s="12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9.5" customHeight="1" x14ac:dyDescent="0.25">
      <c r="A971" s="120"/>
      <c r="B971" s="120"/>
      <c r="C971" s="120"/>
      <c r="D971" s="121"/>
      <c r="E971" s="121"/>
      <c r="F971" s="12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9.5" customHeight="1" x14ac:dyDescent="0.25">
      <c r="A972" s="120"/>
      <c r="B972" s="120"/>
      <c r="C972" s="120"/>
      <c r="D972" s="121"/>
      <c r="E972" s="121"/>
      <c r="F972" s="12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9.5" customHeight="1" x14ac:dyDescent="0.25">
      <c r="A973" s="120"/>
      <c r="B973" s="120"/>
      <c r="C973" s="120"/>
      <c r="D973" s="121"/>
      <c r="E973" s="121"/>
      <c r="F973" s="12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9.5" customHeight="1" x14ac:dyDescent="0.25">
      <c r="A974" s="120"/>
      <c r="B974" s="120"/>
      <c r="C974" s="120"/>
      <c r="D974" s="121"/>
      <c r="E974" s="121"/>
      <c r="F974" s="12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9.5" customHeight="1" x14ac:dyDescent="0.25">
      <c r="A975" s="120"/>
      <c r="B975" s="120"/>
      <c r="C975" s="120"/>
      <c r="D975" s="121"/>
      <c r="E975" s="121"/>
      <c r="F975" s="12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9.5" customHeight="1" x14ac:dyDescent="0.25">
      <c r="A976" s="120"/>
      <c r="B976" s="120"/>
      <c r="C976" s="120"/>
      <c r="D976" s="121"/>
      <c r="E976" s="121"/>
      <c r="F976" s="12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9.5" customHeight="1" x14ac:dyDescent="0.25">
      <c r="A977" s="120"/>
      <c r="B977" s="120"/>
      <c r="C977" s="120"/>
      <c r="D977" s="121"/>
      <c r="E977" s="121"/>
      <c r="F977" s="12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9.5" customHeight="1" x14ac:dyDescent="0.25">
      <c r="A978" s="120"/>
      <c r="B978" s="120"/>
      <c r="C978" s="120"/>
      <c r="D978" s="121"/>
      <c r="E978" s="121"/>
      <c r="F978" s="12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9.5" customHeight="1" x14ac:dyDescent="0.25">
      <c r="A979" s="120"/>
      <c r="B979" s="120"/>
      <c r="C979" s="120"/>
      <c r="D979" s="121"/>
      <c r="E979" s="121"/>
      <c r="F979" s="12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9.5" customHeight="1" x14ac:dyDescent="0.25">
      <c r="A980" s="120"/>
      <c r="B980" s="120"/>
      <c r="C980" s="120"/>
      <c r="D980" s="121"/>
      <c r="E980" s="121"/>
      <c r="F980" s="12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9.5" customHeight="1" x14ac:dyDescent="0.25">
      <c r="A981" s="120"/>
      <c r="B981" s="120"/>
      <c r="C981" s="120"/>
      <c r="D981" s="121"/>
      <c r="E981" s="121"/>
      <c r="F981" s="12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9.5" customHeight="1" x14ac:dyDescent="0.25">
      <c r="A982" s="120"/>
      <c r="B982" s="120"/>
      <c r="C982" s="120"/>
      <c r="D982" s="121"/>
      <c r="E982" s="121"/>
      <c r="F982" s="12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9.5" customHeight="1" x14ac:dyDescent="0.25">
      <c r="A983" s="120"/>
      <c r="B983" s="120"/>
      <c r="C983" s="120"/>
      <c r="D983" s="121"/>
      <c r="E983" s="121"/>
      <c r="F983" s="12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9.5" customHeight="1" x14ac:dyDescent="0.25">
      <c r="A984" s="120"/>
      <c r="B984" s="120"/>
      <c r="C984" s="120"/>
      <c r="D984" s="121"/>
      <c r="E984" s="121"/>
      <c r="F984" s="12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9.5" customHeight="1" x14ac:dyDescent="0.25">
      <c r="A985" s="120"/>
      <c r="B985" s="120"/>
      <c r="C985" s="120"/>
      <c r="D985" s="121"/>
      <c r="E985" s="121"/>
      <c r="F985" s="12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9.5" customHeight="1" x14ac:dyDescent="0.25">
      <c r="A986" s="120"/>
      <c r="B986" s="120"/>
      <c r="C986" s="120"/>
      <c r="D986" s="121"/>
      <c r="E986" s="121"/>
      <c r="F986" s="12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9.5" customHeight="1" x14ac:dyDescent="0.25">
      <c r="A987" s="120"/>
      <c r="B987" s="120"/>
      <c r="C987" s="120"/>
      <c r="D987" s="121"/>
      <c r="E987" s="121"/>
      <c r="F987" s="12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9.5" customHeight="1" x14ac:dyDescent="0.25">
      <c r="A988" s="120"/>
      <c r="B988" s="120"/>
      <c r="C988" s="120"/>
      <c r="D988" s="121"/>
      <c r="E988" s="121"/>
      <c r="F988" s="12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9.5" customHeight="1" x14ac:dyDescent="0.25">
      <c r="A989" s="120"/>
      <c r="B989" s="120"/>
      <c r="C989" s="120"/>
      <c r="D989" s="121"/>
      <c r="E989" s="121"/>
      <c r="F989" s="12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9.5" customHeight="1" x14ac:dyDescent="0.25">
      <c r="A990" s="120"/>
      <c r="B990" s="120"/>
      <c r="C990" s="120"/>
      <c r="D990" s="121"/>
      <c r="E990" s="121"/>
      <c r="F990" s="12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9.5" customHeight="1" x14ac:dyDescent="0.25">
      <c r="A991" s="120"/>
      <c r="B991" s="120"/>
      <c r="C991" s="120"/>
      <c r="D991" s="121"/>
      <c r="E991" s="121"/>
      <c r="F991" s="12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9.5" customHeight="1" x14ac:dyDescent="0.25">
      <c r="A992" s="120"/>
      <c r="B992" s="120"/>
      <c r="C992" s="120"/>
      <c r="D992" s="121"/>
      <c r="E992" s="121"/>
      <c r="F992" s="12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9.5" customHeight="1" x14ac:dyDescent="0.25">
      <c r="A993" s="120"/>
      <c r="B993" s="120"/>
      <c r="C993" s="120"/>
      <c r="D993" s="121"/>
      <c r="E993" s="121"/>
      <c r="F993" s="12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9.5" customHeight="1" x14ac:dyDescent="0.25">
      <c r="A994" s="120"/>
      <c r="B994" s="120"/>
      <c r="C994" s="120"/>
      <c r="D994" s="121"/>
      <c r="E994" s="121"/>
      <c r="F994" s="12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9.5" customHeight="1" x14ac:dyDescent="0.25">
      <c r="A995" s="120"/>
      <c r="B995" s="120"/>
      <c r="C995" s="120"/>
      <c r="D995" s="121"/>
      <c r="E995" s="121"/>
      <c r="F995" s="12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9.5" customHeight="1" x14ac:dyDescent="0.25">
      <c r="A996" s="120"/>
      <c r="B996" s="120"/>
      <c r="C996" s="120"/>
      <c r="D996" s="121"/>
      <c r="E996" s="121"/>
      <c r="F996" s="12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9.5" customHeight="1" x14ac:dyDescent="0.25">
      <c r="A997" s="120"/>
      <c r="B997" s="120"/>
      <c r="C997" s="120"/>
      <c r="D997" s="121"/>
      <c r="E997" s="121"/>
      <c r="F997" s="12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9.5" customHeight="1" x14ac:dyDescent="0.25">
      <c r="A998" s="120"/>
      <c r="B998" s="120"/>
      <c r="C998" s="120"/>
      <c r="D998" s="121"/>
      <c r="E998" s="121"/>
      <c r="F998" s="12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9.5" customHeight="1" x14ac:dyDescent="0.25">
      <c r="A999" s="120"/>
      <c r="B999" s="120"/>
      <c r="C999" s="120"/>
      <c r="D999" s="121"/>
      <c r="E999" s="121"/>
      <c r="F999" s="12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9.5" customHeight="1" x14ac:dyDescent="0.25">
      <c r="A1000" s="120"/>
      <c r="B1000" s="120"/>
      <c r="C1000" s="120"/>
      <c r="D1000" s="121"/>
      <c r="E1000" s="121"/>
      <c r="F1000" s="12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 spans="1:26" ht="19.5" customHeight="1" x14ac:dyDescent="0.25">
      <c r="A1001" s="120"/>
      <c r="B1001" s="120"/>
      <c r="C1001" s="120"/>
      <c r="D1001" s="121"/>
      <c r="E1001" s="121"/>
      <c r="F1001" s="12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 spans="1:26" ht="19.5" customHeight="1" x14ac:dyDescent="0.25">
      <c r="A1002" s="120"/>
      <c r="B1002" s="120"/>
      <c r="C1002" s="120"/>
      <c r="D1002" s="121"/>
      <c r="E1002" s="121"/>
      <c r="F1002" s="12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</row>
  </sheetData>
  <mergeCells count="7">
    <mergeCell ref="A78:E78"/>
    <mergeCell ref="A1:F5"/>
    <mergeCell ref="B7:F7"/>
    <mergeCell ref="B8:F8"/>
    <mergeCell ref="B9:F9"/>
    <mergeCell ref="B10:F10"/>
    <mergeCell ref="A12:F12"/>
  </mergeCells>
  <phoneticPr fontId="27" type="noConversion"/>
  <pageMargins left="0.52999994886203072" right="0.52999994886203072" top="0.52999994886203072" bottom="0.68999998212799307" header="0" footer="0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sqref="A1:K1"/>
    </sheetView>
  </sheetViews>
  <sheetFormatPr defaultColWidth="14.42578125" defaultRowHeight="15" customHeight="1" x14ac:dyDescent="0.25"/>
  <cols>
    <col min="1" max="1" width="24.28515625" customWidth="1"/>
    <col min="2" max="2" width="15.5703125" customWidth="1"/>
    <col min="3" max="3" width="8.7109375" customWidth="1"/>
    <col min="4" max="4" width="24.28515625" customWidth="1"/>
    <col min="5" max="5" width="15.5703125" customWidth="1"/>
    <col min="6" max="6" width="8.7109375" customWidth="1"/>
    <col min="7" max="7" width="24.28515625" customWidth="1"/>
    <col min="8" max="8" width="14.5703125" customWidth="1"/>
    <col min="9" max="9" width="8.7109375" customWidth="1"/>
    <col min="10" max="10" width="33" customWidth="1"/>
    <col min="11" max="11" width="11.140625" customWidth="1"/>
    <col min="12" max="26" width="8.7109375" customWidth="1"/>
  </cols>
  <sheetData>
    <row r="1" spans="1:13" x14ac:dyDescent="0.25">
      <c r="A1" s="195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3"/>
      <c r="L1" s="1"/>
      <c r="M1" s="1"/>
    </row>
    <row r="2" spans="1:13" ht="21.75" x14ac:dyDescent="0.6">
      <c r="A2" s="197" t="s">
        <v>1</v>
      </c>
      <c r="B2" s="198"/>
      <c r="C2" s="2"/>
      <c r="D2" s="194" t="s">
        <v>2</v>
      </c>
      <c r="E2" s="193"/>
      <c r="F2" s="2"/>
      <c r="G2" s="194" t="s">
        <v>3</v>
      </c>
      <c r="H2" s="193"/>
      <c r="J2" s="194" t="s">
        <v>4</v>
      </c>
      <c r="K2" s="193"/>
    </row>
    <row r="3" spans="1:13" ht="19.5" x14ac:dyDescent="0.25">
      <c r="A3" s="192" t="s">
        <v>5</v>
      </c>
      <c r="B3" s="193"/>
      <c r="D3" s="192" t="s">
        <v>5</v>
      </c>
      <c r="E3" s="193"/>
      <c r="G3" s="192" t="s">
        <v>5</v>
      </c>
      <c r="H3" s="193"/>
      <c r="J3" s="192" t="s">
        <v>5</v>
      </c>
      <c r="K3" s="193"/>
    </row>
    <row r="4" spans="1:13" x14ac:dyDescent="0.25">
      <c r="A4" s="3" t="s">
        <v>6</v>
      </c>
      <c r="B4" s="4" t="s">
        <v>7</v>
      </c>
      <c r="D4" s="3" t="s">
        <v>6</v>
      </c>
      <c r="E4" s="4" t="s">
        <v>7</v>
      </c>
      <c r="G4" s="3" t="s">
        <v>6</v>
      </c>
      <c r="H4" s="4" t="s">
        <v>7</v>
      </c>
      <c r="J4" s="3" t="s">
        <v>6</v>
      </c>
      <c r="K4" s="4" t="s">
        <v>7</v>
      </c>
    </row>
    <row r="5" spans="1:13" x14ac:dyDescent="0.25">
      <c r="A5" s="3" t="s">
        <v>8</v>
      </c>
      <c r="B5" s="4" t="s">
        <v>7</v>
      </c>
      <c r="D5" s="3" t="s">
        <v>8</v>
      </c>
      <c r="E5" s="4" t="s">
        <v>7</v>
      </c>
      <c r="G5" s="3" t="s">
        <v>8</v>
      </c>
      <c r="H5" s="4" t="s">
        <v>7</v>
      </c>
      <c r="J5" s="3" t="s">
        <v>8</v>
      </c>
      <c r="K5" s="4" t="s">
        <v>7</v>
      </c>
    </row>
    <row r="6" spans="1:13" ht="19.5" x14ac:dyDescent="0.25">
      <c r="A6" s="192" t="s">
        <v>9</v>
      </c>
      <c r="B6" s="193"/>
      <c r="D6" s="192" t="s">
        <v>9</v>
      </c>
      <c r="E6" s="193"/>
      <c r="G6" s="192" t="s">
        <v>9</v>
      </c>
      <c r="H6" s="193"/>
      <c r="J6" s="192" t="s">
        <v>9</v>
      </c>
      <c r="K6" s="193"/>
    </row>
    <row r="7" spans="1:13" x14ac:dyDescent="0.25">
      <c r="A7" s="4" t="s">
        <v>10</v>
      </c>
      <c r="B7" s="4"/>
      <c r="D7" s="4" t="s">
        <v>10</v>
      </c>
      <c r="E7" s="4"/>
      <c r="G7" s="4" t="s">
        <v>10</v>
      </c>
      <c r="H7" s="4"/>
      <c r="J7" s="4" t="s">
        <v>10</v>
      </c>
      <c r="K7" s="4"/>
    </row>
    <row r="8" spans="1:13" x14ac:dyDescent="0.25">
      <c r="A8" s="5" t="s">
        <v>11</v>
      </c>
      <c r="B8" s="4" t="s">
        <v>12</v>
      </c>
      <c r="D8" s="5" t="s">
        <v>11</v>
      </c>
      <c r="E8" s="4" t="s">
        <v>12</v>
      </c>
      <c r="G8" s="5" t="s">
        <v>11</v>
      </c>
      <c r="H8" s="4" t="s">
        <v>12</v>
      </c>
      <c r="J8" s="5" t="s">
        <v>11</v>
      </c>
      <c r="K8" s="4" t="s">
        <v>12</v>
      </c>
    </row>
    <row r="9" spans="1:13" x14ac:dyDescent="0.25">
      <c r="A9" s="5" t="s">
        <v>13</v>
      </c>
      <c r="B9" s="4" t="s">
        <v>12</v>
      </c>
      <c r="D9" s="5" t="s">
        <v>13</v>
      </c>
      <c r="E9" s="4" t="s">
        <v>12</v>
      </c>
      <c r="G9" s="5" t="s">
        <v>13</v>
      </c>
      <c r="H9" s="4" t="s">
        <v>12</v>
      </c>
      <c r="J9" s="5" t="s">
        <v>13</v>
      </c>
      <c r="K9" s="4" t="s">
        <v>12</v>
      </c>
    </row>
    <row r="10" spans="1:13" ht="19.5" x14ac:dyDescent="0.55000000000000004">
      <c r="A10" s="6" t="s">
        <v>14</v>
      </c>
      <c r="B10" s="4" t="s">
        <v>15</v>
      </c>
      <c r="D10" s="6" t="s">
        <v>14</v>
      </c>
      <c r="E10" s="4" t="s">
        <v>15</v>
      </c>
      <c r="G10" s="6" t="s">
        <v>14</v>
      </c>
      <c r="H10" s="4" t="s">
        <v>15</v>
      </c>
      <c r="J10" s="6" t="s">
        <v>14</v>
      </c>
      <c r="K10" s="4" t="s">
        <v>15</v>
      </c>
    </row>
    <row r="11" spans="1:13" ht="19.5" x14ac:dyDescent="0.25">
      <c r="A11" s="192" t="s">
        <v>16</v>
      </c>
      <c r="B11" s="193"/>
      <c r="D11" s="192" t="s">
        <v>16</v>
      </c>
      <c r="E11" s="193"/>
      <c r="G11" s="192" t="s">
        <v>16</v>
      </c>
      <c r="H11" s="193"/>
      <c r="J11" s="192" t="s">
        <v>16</v>
      </c>
      <c r="K11" s="193"/>
    </row>
    <row r="12" spans="1:13" x14ac:dyDescent="0.25">
      <c r="A12" s="199" t="s">
        <v>17</v>
      </c>
      <c r="B12" s="193"/>
      <c r="D12" s="199"/>
      <c r="E12" s="193"/>
      <c r="G12" s="199"/>
      <c r="H12" s="193"/>
      <c r="J12" s="200"/>
      <c r="K12" s="193"/>
    </row>
    <row r="13" spans="1:13" x14ac:dyDescent="0.25">
      <c r="A13" s="199" t="s">
        <v>18</v>
      </c>
      <c r="B13" s="193"/>
      <c r="D13" s="199"/>
      <c r="E13" s="193"/>
      <c r="G13" s="199"/>
      <c r="H13" s="193"/>
      <c r="J13" s="200"/>
      <c r="K13" s="193"/>
    </row>
    <row r="14" spans="1:13" x14ac:dyDescent="0.25">
      <c r="A14" s="199" t="s">
        <v>19</v>
      </c>
      <c r="B14" s="193"/>
      <c r="D14" s="199"/>
      <c r="E14" s="193"/>
      <c r="G14" s="199"/>
      <c r="H14" s="193"/>
      <c r="J14" s="200"/>
      <c r="K14" s="193"/>
    </row>
    <row r="15" spans="1:13" x14ac:dyDescent="0.25">
      <c r="A15" s="199" t="s">
        <v>20</v>
      </c>
      <c r="B15" s="193"/>
      <c r="D15" s="199"/>
      <c r="E15" s="193"/>
      <c r="G15" s="199"/>
      <c r="H15" s="193"/>
      <c r="J15" s="200"/>
      <c r="K15" s="193"/>
    </row>
    <row r="16" spans="1:13" x14ac:dyDescent="0.25">
      <c r="A16" s="199" t="s">
        <v>21</v>
      </c>
      <c r="B16" s="193"/>
      <c r="D16" s="199"/>
      <c r="E16" s="193"/>
      <c r="G16" s="199"/>
      <c r="H16" s="193"/>
      <c r="J16" s="200"/>
      <c r="K16" s="193"/>
    </row>
    <row r="17" spans="1:11" x14ac:dyDescent="0.25">
      <c r="A17" s="199" t="s">
        <v>22</v>
      </c>
      <c r="B17" s="193"/>
      <c r="D17" s="199"/>
      <c r="E17" s="193"/>
      <c r="G17" s="199"/>
      <c r="H17" s="193"/>
      <c r="J17" s="200"/>
      <c r="K17" s="193"/>
    </row>
    <row r="18" spans="1:11" x14ac:dyDescent="0.25">
      <c r="A18" s="199"/>
      <c r="B18" s="193"/>
      <c r="D18" s="199"/>
      <c r="E18" s="193"/>
      <c r="G18" s="199"/>
      <c r="H18" s="193"/>
      <c r="J18" s="200"/>
      <c r="K18" s="193"/>
    </row>
    <row r="19" spans="1:11" x14ac:dyDescent="0.25">
      <c r="A19" s="199"/>
      <c r="B19" s="193"/>
      <c r="D19" s="199"/>
      <c r="E19" s="193"/>
      <c r="G19" s="199"/>
      <c r="H19" s="193"/>
      <c r="J19" s="200"/>
      <c r="K19" s="193"/>
    </row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49">
    <mergeCell ref="A18:B18"/>
    <mergeCell ref="A19:B19"/>
    <mergeCell ref="G18:H18"/>
    <mergeCell ref="G19:H19"/>
    <mergeCell ref="J13:K13"/>
    <mergeCell ref="J14:K14"/>
    <mergeCell ref="G13:H13"/>
    <mergeCell ref="J16:K16"/>
    <mergeCell ref="J17:K17"/>
    <mergeCell ref="J18:K18"/>
    <mergeCell ref="J19:K19"/>
    <mergeCell ref="D17:E17"/>
    <mergeCell ref="D18:E18"/>
    <mergeCell ref="D19:E19"/>
    <mergeCell ref="A17:B17"/>
    <mergeCell ref="G17:H17"/>
    <mergeCell ref="G12:H12"/>
    <mergeCell ref="G15:H15"/>
    <mergeCell ref="J15:K15"/>
    <mergeCell ref="G11:H11"/>
    <mergeCell ref="A11:B11"/>
    <mergeCell ref="D11:E11"/>
    <mergeCell ref="J11:K11"/>
    <mergeCell ref="J12:K12"/>
    <mergeCell ref="G14:H14"/>
    <mergeCell ref="D16:E16"/>
    <mergeCell ref="D15:E15"/>
    <mergeCell ref="D14:E14"/>
    <mergeCell ref="A16:B16"/>
    <mergeCell ref="G16:H16"/>
    <mergeCell ref="D6:E6"/>
    <mergeCell ref="A6:B6"/>
    <mergeCell ref="A15:B15"/>
    <mergeCell ref="A14:B14"/>
    <mergeCell ref="A12:B12"/>
    <mergeCell ref="D12:E12"/>
    <mergeCell ref="A13:B13"/>
    <mergeCell ref="D13:E13"/>
    <mergeCell ref="D3:E3"/>
    <mergeCell ref="D2:E2"/>
    <mergeCell ref="A3:B3"/>
    <mergeCell ref="A1:K1"/>
    <mergeCell ref="A2:B2"/>
    <mergeCell ref="G6:H6"/>
    <mergeCell ref="J2:K2"/>
    <mergeCell ref="J3:K3"/>
    <mergeCell ref="G2:H2"/>
    <mergeCell ref="G3:H3"/>
    <mergeCell ref="J6:K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7" zoomScale="70" zoomScaleNormal="70" workbookViewId="0">
      <selection activeCell="H10" activeCellId="1" sqref="L18 H10"/>
    </sheetView>
  </sheetViews>
  <sheetFormatPr defaultColWidth="14.42578125" defaultRowHeight="15" customHeight="1" x14ac:dyDescent="0.25"/>
  <cols>
    <col min="1" max="1" width="2.28515625" customWidth="1"/>
    <col min="2" max="2" width="29.42578125" customWidth="1"/>
    <col min="3" max="3" width="15.7109375" customWidth="1"/>
    <col min="4" max="5" width="15.28515625" customWidth="1"/>
    <col min="6" max="6" width="18.28515625" customWidth="1"/>
    <col min="7" max="7" width="10.42578125" customWidth="1"/>
    <col min="8" max="12" width="14.85546875" customWidth="1"/>
    <col min="13" max="13" width="12.85546875" customWidth="1"/>
    <col min="14" max="14" width="8.5703125" customWidth="1"/>
    <col min="15" max="25" width="8.7109375" customWidth="1"/>
  </cols>
  <sheetData>
    <row r="1" spans="1:26" ht="7.5" customHeight="1" x14ac:dyDescent="0.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 ht="12.75" customHeight="1" x14ac:dyDescent="0.6">
      <c r="A2" s="7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2.75" customHeight="1" x14ac:dyDescent="0.6">
      <c r="A3" s="7"/>
      <c r="B3" s="12"/>
      <c r="C3" s="7"/>
      <c r="D3" s="203" t="s">
        <v>23</v>
      </c>
      <c r="E3" s="198"/>
      <c r="F3" s="198"/>
      <c r="G3" s="198"/>
      <c r="H3" s="198"/>
      <c r="I3" s="198"/>
      <c r="J3" s="198"/>
      <c r="K3" s="198"/>
      <c r="L3" s="198"/>
      <c r="M3" s="7"/>
      <c r="N3" s="1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2.75" customHeight="1" x14ac:dyDescent="0.6">
      <c r="A4" s="7"/>
      <c r="B4" s="12"/>
      <c r="C4" s="7"/>
      <c r="D4" s="198"/>
      <c r="E4" s="198"/>
      <c r="F4" s="198"/>
      <c r="G4" s="198"/>
      <c r="H4" s="198"/>
      <c r="I4" s="198"/>
      <c r="J4" s="198"/>
      <c r="K4" s="198"/>
      <c r="L4" s="198"/>
      <c r="M4" s="7"/>
      <c r="N4" s="1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12.75" customHeight="1" x14ac:dyDescent="0.6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21.75" customHeight="1" x14ac:dyDescent="0.6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21.75" customHeight="1" x14ac:dyDescent="0.6">
      <c r="A7" s="7"/>
      <c r="B7" s="204" t="s">
        <v>24</v>
      </c>
      <c r="C7" s="198"/>
      <c r="D7" s="198"/>
      <c r="E7" s="198"/>
      <c r="F7" s="198"/>
      <c r="G7" s="198"/>
      <c r="H7" s="198"/>
      <c r="I7" s="17"/>
      <c r="J7" s="17"/>
      <c r="K7" s="17"/>
      <c r="L7" s="1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1.75" customHeight="1" x14ac:dyDescent="0.6">
      <c r="A8" s="7"/>
      <c r="B8" s="18"/>
      <c r="C8" s="205" t="s">
        <v>25</v>
      </c>
      <c r="D8" s="206"/>
      <c r="E8" s="18"/>
      <c r="F8" s="18"/>
      <c r="G8" s="18"/>
      <c r="H8" s="18"/>
      <c r="I8" s="17"/>
      <c r="J8" s="17"/>
      <c r="K8" s="17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21.75" customHeight="1" x14ac:dyDescent="0.6">
      <c r="A9" s="7"/>
      <c r="B9" s="20" t="s">
        <v>26</v>
      </c>
      <c r="C9" s="19" t="s">
        <v>27</v>
      </c>
      <c r="D9" s="21" t="s">
        <v>28</v>
      </c>
      <c r="E9" s="19" t="s">
        <v>29</v>
      </c>
      <c r="F9" s="22" t="s">
        <v>30</v>
      </c>
      <c r="G9" s="23" t="s">
        <v>31</v>
      </c>
      <c r="H9" s="24" t="s">
        <v>32</v>
      </c>
      <c r="I9" s="17"/>
      <c r="J9" s="17"/>
      <c r="K9" s="17"/>
      <c r="L9" s="1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21.75" customHeight="1" x14ac:dyDescent="0.6">
      <c r="A10" s="7"/>
      <c r="B10" s="25" t="s">
        <v>33</v>
      </c>
      <c r="C10" s="26">
        <v>99</v>
      </c>
      <c r="D10" s="26">
        <v>32</v>
      </c>
      <c r="E10" s="20">
        <f>C10*D10</f>
        <v>3168</v>
      </c>
      <c r="F10" s="20">
        <f>ROUNDUP((E10/$D$12),0)</f>
        <v>27</v>
      </c>
      <c r="G10" s="27">
        <f>F10*D13</f>
        <v>32.4</v>
      </c>
      <c r="H10" s="28">
        <f>G10/22</f>
        <v>1.4727272727272727</v>
      </c>
      <c r="I10" s="17"/>
      <c r="J10" s="17"/>
      <c r="K10" s="17"/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1.75" customHeight="1" x14ac:dyDescent="0.6">
      <c r="A11" s="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21.75" customHeight="1" x14ac:dyDescent="0.6">
      <c r="A12" s="7"/>
      <c r="B12" s="207" t="s">
        <v>34</v>
      </c>
      <c r="C12" s="202"/>
      <c r="D12" s="29">
        <v>120</v>
      </c>
      <c r="E12" s="17"/>
      <c r="F12" s="17"/>
      <c r="G12" s="17"/>
      <c r="H12" s="17"/>
      <c r="I12" s="17"/>
      <c r="J12" s="17"/>
      <c r="K12" s="17"/>
      <c r="L12" s="1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21.75" customHeight="1" x14ac:dyDescent="0.6">
      <c r="A13" s="7"/>
      <c r="B13" s="207" t="s">
        <v>35</v>
      </c>
      <c r="C13" s="202"/>
      <c r="D13" s="30">
        <v>1.2</v>
      </c>
      <c r="E13" s="17"/>
      <c r="F13" s="17"/>
      <c r="G13" s="17"/>
      <c r="H13" s="17"/>
      <c r="I13" s="17"/>
      <c r="J13" s="17"/>
      <c r="K13" s="17"/>
      <c r="L13" s="1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21.75" customHeight="1" x14ac:dyDescent="0.6">
      <c r="A14" s="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21.75" customHeight="1" x14ac:dyDescent="0.6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1.75" customHeight="1" x14ac:dyDescent="0.25">
      <c r="A16" s="31"/>
      <c r="B16" s="32" t="s">
        <v>26</v>
      </c>
      <c r="C16" s="33" t="s">
        <v>36</v>
      </c>
      <c r="D16" s="33" t="s">
        <v>37</v>
      </c>
      <c r="E16" s="33" t="s">
        <v>38</v>
      </c>
      <c r="F16" s="33" t="s">
        <v>39</v>
      </c>
      <c r="G16" s="33" t="s">
        <v>40</v>
      </c>
      <c r="H16" s="33" t="s">
        <v>41</v>
      </c>
      <c r="I16" s="33" t="s">
        <v>42</v>
      </c>
      <c r="J16" s="33" t="s">
        <v>43</v>
      </c>
      <c r="K16" s="33" t="s">
        <v>44</v>
      </c>
      <c r="L16" s="34" t="s">
        <v>32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5"/>
      <c r="Y16" s="35"/>
      <c r="Z16" s="35"/>
    </row>
    <row r="17" spans="1:26" ht="21.75" customHeight="1" x14ac:dyDescent="0.55000000000000004">
      <c r="A17" s="31"/>
      <c r="B17" s="36" t="s">
        <v>45</v>
      </c>
      <c r="C17" s="37">
        <v>722.24900000000014</v>
      </c>
      <c r="D17" s="37">
        <v>426.78350000000006</v>
      </c>
      <c r="E17" s="37">
        <v>55481.85500000001</v>
      </c>
      <c r="F17" s="37">
        <v>5</v>
      </c>
      <c r="G17" s="37">
        <v>5</v>
      </c>
      <c r="H17" s="38">
        <f>ROUNDUP((C17*$D$19)/(8.8*G17),0)</f>
        <v>35</v>
      </c>
      <c r="I17" s="38">
        <f>ROUNDUP((E17*$D$21)/(8.8*F17),0)</f>
        <v>56</v>
      </c>
      <c r="J17" s="38">
        <f>ROUNDUP((D17*$D$20)/8.8,0)</f>
        <v>1</v>
      </c>
      <c r="K17" s="39">
        <f>I17+J17+H17</f>
        <v>92</v>
      </c>
      <c r="L17" s="40">
        <f t="shared" ref="L17" si="0">K17/22</f>
        <v>4.1818181818181817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5"/>
      <c r="Y17" s="35"/>
      <c r="Z17" s="35"/>
    </row>
    <row r="18" spans="1:26" ht="21.75" customHeight="1" x14ac:dyDescent="0.6">
      <c r="A18" s="7"/>
      <c r="B18" s="17"/>
      <c r="C18" s="17"/>
      <c r="D18" s="17"/>
      <c r="E18" s="17"/>
      <c r="F18" s="17"/>
      <c r="G18" s="17"/>
      <c r="H18" s="17"/>
      <c r="I18" s="41"/>
      <c r="J18" s="41"/>
      <c r="K18" s="42">
        <f>K17*D22</f>
        <v>110.39999999999999</v>
      </c>
      <c r="L18" s="43">
        <f>K18/22</f>
        <v>5.0181818181818176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ht="21.75" customHeight="1" x14ac:dyDescent="0.6">
      <c r="A19" s="7"/>
      <c r="B19" s="44" t="s">
        <v>46</v>
      </c>
      <c r="C19" s="45"/>
      <c r="D19" s="30">
        <v>2.08</v>
      </c>
      <c r="E19" s="17"/>
      <c r="F19" s="17"/>
      <c r="G19" s="17"/>
      <c r="H19" s="17"/>
      <c r="I19" s="17"/>
      <c r="J19" s="8"/>
      <c r="K19" s="8"/>
      <c r="L19" s="1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21.75" customHeight="1" x14ac:dyDescent="0.6">
      <c r="A20" s="7"/>
      <c r="B20" s="44" t="s">
        <v>47</v>
      </c>
      <c r="C20" s="46"/>
      <c r="D20" s="47">
        <v>1.32530120481928E-2</v>
      </c>
      <c r="E20" s="7"/>
      <c r="F20" s="7"/>
      <c r="G20" s="17"/>
      <c r="H20" s="17"/>
      <c r="I20" s="17"/>
      <c r="J20" s="17"/>
      <c r="K20" s="17"/>
      <c r="L20" s="4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1.75" customHeight="1" x14ac:dyDescent="0.6">
      <c r="A21" s="7"/>
      <c r="B21" s="44" t="s">
        <v>48</v>
      </c>
      <c r="C21" s="46"/>
      <c r="D21" s="47">
        <v>4.3999999999999997E-2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21.75" customHeight="1" x14ac:dyDescent="0.6">
      <c r="A22" s="7"/>
      <c r="B22" s="201" t="s">
        <v>35</v>
      </c>
      <c r="C22" s="202"/>
      <c r="D22" s="30">
        <v>1.2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21.75" customHeight="1" x14ac:dyDescent="0.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21.75" customHeight="1" x14ac:dyDescent="0.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21.75" customHeigh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1.75" customHeight="1" x14ac:dyDescent="0.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21.75" customHeight="1" x14ac:dyDescent="0.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21.75" customHeight="1" x14ac:dyDescent="0.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21.75" customHeight="1" x14ac:dyDescent="0.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21.75" customHeight="1" x14ac:dyDescent="0.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1.75" customHeight="1" x14ac:dyDescent="0.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21.75" customHeight="1" x14ac:dyDescent="0.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21.75" customHeight="1" x14ac:dyDescent="0.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21.75" customHeight="1" x14ac:dyDescent="0.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21.75" customHeight="1" x14ac:dyDescent="0.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21.75" customHeight="1" x14ac:dyDescent="0.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 ht="21.75" customHeight="1" x14ac:dyDescent="0.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21.75" customHeight="1" x14ac:dyDescent="0.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21.75" customHeight="1" x14ac:dyDescent="0.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21.75" customHeight="1" x14ac:dyDescent="0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1.75" customHeight="1" x14ac:dyDescent="0.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21.75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21.75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1.75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21.75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21.75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1.75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21.75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21.75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1.75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 ht="21.75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21.75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1.75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 ht="21.75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 ht="21.75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21.75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 ht="21.75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1.75" customHeight="1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 ht="21.75" customHeight="1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 ht="21.75" customHeight="1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21.75" customHeight="1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 ht="21.75" customHeight="1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1.75" customHeight="1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 ht="21.75" customHeight="1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 ht="21.75" customHeight="1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 ht="21.75" customHeight="1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 ht="21.75" customHeight="1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1.75" customHeight="1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21.75" customHeight="1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 ht="21.75" customHeight="1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21.75" customHeight="1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 ht="21.75" customHeight="1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1.75" customHeight="1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 ht="21.75" customHeight="1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21.75" customHeight="1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21.75" customHeight="1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 ht="21.75" customHeight="1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1.75" customHeight="1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 ht="21.75" customHeight="1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 ht="21.75" customHeight="1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 ht="21.75" customHeight="1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 ht="21.75" customHeight="1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1.75" customHeight="1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 ht="21.75" customHeight="1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 ht="21.75" customHeight="1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 ht="21.75" customHeight="1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 ht="21.75" customHeight="1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1.75" customHeight="1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 ht="21.75" customHeight="1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 ht="21.75" customHeight="1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1.75" customHeight="1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 ht="21.75" customHeight="1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 ht="21.75" customHeight="1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 ht="21.75" customHeight="1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21.75" customHeight="1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1.75" customHeight="1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 ht="21.75" customHeight="1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 ht="21.75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 ht="21.75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 ht="21.75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1.75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 ht="21.75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 ht="21.75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 ht="21.75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 ht="21.75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1.75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 ht="21.75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 ht="21.75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1.75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 ht="21.75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 ht="21.75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 ht="21.75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21.75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1.75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 ht="21.75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21.75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1.75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 ht="21.75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 ht="21.75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1.75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 ht="21.75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 ht="21.75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1.75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 ht="21.75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 ht="21.75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1.75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 ht="21.75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21.75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1.75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21.75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 ht="21.75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1.75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 ht="21.75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21.75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1.75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 ht="21.75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 ht="21.75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1.75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 ht="21.75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 ht="21.75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 ht="21.75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1.75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 ht="21.75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 ht="21.75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1.75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 ht="21.75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 ht="21.75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1.75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 ht="21.75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 ht="21.75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 ht="21.75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1.75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 ht="21.75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 ht="21.75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1.75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 ht="21.75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 ht="21.75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1.75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 ht="21.75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 ht="21.75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1.75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 ht="21.75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 ht="21.75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1.75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 ht="21.75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 ht="21.75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1.75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 ht="21.75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 ht="21.75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1.75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 ht="21.75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 ht="21.75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1.75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 ht="21.75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 ht="21.75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1.75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 ht="21.75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 ht="21.75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1.75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 ht="21.75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1.75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1.75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1.75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1.75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1.75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1.75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1.75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21.75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1.75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 ht="21.75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1.75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 ht="21.75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 ht="21.75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 ht="21.75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1.75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 ht="21.75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 ht="21.75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 ht="21.75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1.75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 ht="21.75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 ht="21.75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 ht="21.75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1.75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 ht="21.75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 ht="21.75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 ht="21.75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 ht="21.75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1.75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 ht="21.75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 ht="21.75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 ht="21.75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1.75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 ht="21.75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 ht="21.75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 ht="21.75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1.75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 ht="21.75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 ht="21.75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 ht="21.75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1.75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 ht="21.75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 ht="21.75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22:C22"/>
    <mergeCell ref="D3:L4"/>
    <mergeCell ref="B7:H7"/>
    <mergeCell ref="C8:D8"/>
    <mergeCell ref="B12:C12"/>
    <mergeCell ref="B13:C1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2"/>
  <sheetViews>
    <sheetView showGridLines="0" topLeftCell="A26" zoomScale="85" zoomScaleNormal="85" workbookViewId="0">
      <selection activeCell="L49" sqref="L49"/>
    </sheetView>
  </sheetViews>
  <sheetFormatPr defaultColWidth="14.42578125" defaultRowHeight="15" customHeight="1" x14ac:dyDescent="0.25"/>
  <cols>
    <col min="1" max="1" width="2.28515625" customWidth="1"/>
    <col min="2" max="3" width="18" customWidth="1"/>
    <col min="4" max="4" width="17.85546875" customWidth="1"/>
    <col min="5" max="5" width="11.42578125" customWidth="1"/>
    <col min="6" max="6" width="11.85546875" customWidth="1"/>
    <col min="7" max="7" width="10.7109375" customWidth="1"/>
    <col min="8" max="8" width="14.85546875" customWidth="1"/>
    <col min="9" max="9" width="10.7109375" customWidth="1"/>
    <col min="10" max="11" width="14.140625" customWidth="1"/>
    <col min="12" max="12" width="9.140625" customWidth="1"/>
    <col min="13" max="23" width="8.7109375" customWidth="1"/>
  </cols>
  <sheetData>
    <row r="1" spans="1:26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spans="1:26" ht="12.75" customHeight="1" x14ac:dyDescent="0.6">
      <c r="A2" s="7"/>
      <c r="B2" s="51"/>
      <c r="C2" s="52"/>
      <c r="D2" s="10"/>
      <c r="E2" s="10"/>
      <c r="F2" s="10"/>
      <c r="G2" s="53"/>
      <c r="H2" s="10"/>
      <c r="I2" s="10"/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8"/>
      <c r="Z2" s="8"/>
    </row>
    <row r="3" spans="1:26" ht="12.75" customHeight="1" x14ac:dyDescent="0.6">
      <c r="A3" s="7"/>
      <c r="B3" s="54"/>
      <c r="C3" s="49"/>
      <c r="D3" s="203" t="s">
        <v>49</v>
      </c>
      <c r="E3" s="198"/>
      <c r="F3" s="198"/>
      <c r="G3" s="198"/>
      <c r="H3" s="198"/>
      <c r="I3" s="198"/>
      <c r="J3" s="7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spans="1:26" ht="12.75" customHeight="1" x14ac:dyDescent="0.6">
      <c r="A4" s="7"/>
      <c r="B4" s="54"/>
      <c r="C4" s="49"/>
      <c r="D4" s="198"/>
      <c r="E4" s="198"/>
      <c r="F4" s="198"/>
      <c r="G4" s="198"/>
      <c r="H4" s="198"/>
      <c r="I4" s="198"/>
      <c r="J4" s="7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spans="1:26" ht="12.75" customHeight="1" x14ac:dyDescent="0.6">
      <c r="A5" s="7"/>
      <c r="B5" s="55"/>
      <c r="C5" s="56"/>
      <c r="D5" s="15"/>
      <c r="E5" s="15"/>
      <c r="F5" s="15"/>
      <c r="G5" s="57"/>
      <c r="H5" s="15"/>
      <c r="I5" s="15"/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spans="1:26" ht="21.75" customHeight="1" x14ac:dyDescent="0.6">
      <c r="A6" s="7"/>
      <c r="B6" s="58"/>
      <c r="C6" s="58"/>
      <c r="D6" s="17"/>
      <c r="E6" s="17"/>
      <c r="F6" s="17"/>
      <c r="G6" s="59"/>
      <c r="H6" s="17"/>
      <c r="I6" s="17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spans="1:26" ht="21.75" customHeight="1" x14ac:dyDescent="0.6">
      <c r="A7" s="7"/>
      <c r="B7" s="32" t="s">
        <v>50</v>
      </c>
      <c r="C7" s="33" t="s">
        <v>51</v>
      </c>
      <c r="D7" s="60" t="s">
        <v>36</v>
      </c>
      <c r="E7" s="33" t="s">
        <v>52</v>
      </c>
      <c r="F7" s="33" t="s">
        <v>53</v>
      </c>
      <c r="G7" s="61" t="s">
        <v>54</v>
      </c>
      <c r="H7" s="33" t="s">
        <v>40</v>
      </c>
      <c r="I7" s="33" t="s">
        <v>39</v>
      </c>
      <c r="J7" s="33" t="s">
        <v>55</v>
      </c>
      <c r="K7" s="29" t="s">
        <v>56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</row>
    <row r="8" spans="1:26" ht="21.75" customHeight="1" x14ac:dyDescent="0.6">
      <c r="A8" s="7"/>
      <c r="B8" s="62" t="s">
        <v>161</v>
      </c>
      <c r="C8" s="37">
        <v>16.649999999999999</v>
      </c>
      <c r="D8" s="63">
        <f t="shared" ref="D8:D22" si="0">C8*$C$41</f>
        <v>18.315000000000001</v>
      </c>
      <c r="E8" s="63">
        <v>1.6</v>
      </c>
      <c r="F8" s="63">
        <f t="shared" ref="F8:F39" si="1">8.8/E8</f>
        <v>5.5</v>
      </c>
      <c r="G8" s="64">
        <v>6</v>
      </c>
      <c r="H8" s="38">
        <f t="shared" ref="H8:H39" si="2">ROUNDUP((D8*E8)/(G8*8.8),0)</f>
        <v>1</v>
      </c>
      <c r="I8" s="38">
        <f t="shared" ref="I8:I39" si="3">ROUNDUP(H8/2,0)</f>
        <v>1</v>
      </c>
      <c r="J8" s="38">
        <f t="shared" ref="J8:J39" si="4">ROUNDUP(H8/4,0)</f>
        <v>1</v>
      </c>
      <c r="K8" s="65">
        <f t="shared" ref="K8:K39" si="5">J8+I8+H8</f>
        <v>3</v>
      </c>
      <c r="L8" s="41"/>
      <c r="M8" s="7"/>
      <c r="N8" s="8"/>
      <c r="O8" s="8"/>
      <c r="P8" s="7"/>
      <c r="Q8" s="7"/>
      <c r="R8" s="7"/>
      <c r="S8" s="7"/>
      <c r="T8" s="7"/>
      <c r="U8" s="7"/>
      <c r="V8" s="7"/>
      <c r="W8" s="7"/>
      <c r="X8" s="8"/>
      <c r="Y8" s="8"/>
      <c r="Z8" s="8"/>
    </row>
    <row r="9" spans="1:26" ht="21.75" customHeight="1" x14ac:dyDescent="0.6">
      <c r="A9" s="7"/>
      <c r="B9" s="62" t="s">
        <v>160</v>
      </c>
      <c r="C9" s="37">
        <v>48.7</v>
      </c>
      <c r="D9" s="63">
        <f t="shared" si="0"/>
        <v>53.570000000000007</v>
      </c>
      <c r="E9" s="63">
        <v>1.6</v>
      </c>
      <c r="F9" s="63">
        <f t="shared" si="1"/>
        <v>5.5</v>
      </c>
      <c r="G9" s="64">
        <v>6</v>
      </c>
      <c r="H9" s="38">
        <f t="shared" si="2"/>
        <v>2</v>
      </c>
      <c r="I9" s="38">
        <f t="shared" si="3"/>
        <v>1</v>
      </c>
      <c r="J9" s="38">
        <f t="shared" si="4"/>
        <v>1</v>
      </c>
      <c r="K9" s="65">
        <f t="shared" si="5"/>
        <v>4</v>
      </c>
      <c r="L9" s="41"/>
      <c r="M9" s="7"/>
      <c r="N9" s="8"/>
      <c r="O9" s="8"/>
      <c r="P9" s="7"/>
      <c r="Q9" s="7"/>
      <c r="R9" s="7"/>
      <c r="S9" s="7"/>
      <c r="T9" s="7"/>
      <c r="U9" s="7"/>
      <c r="V9" s="7"/>
      <c r="W9" s="7"/>
      <c r="X9" s="8"/>
      <c r="Y9" s="8"/>
      <c r="Z9" s="8"/>
    </row>
    <row r="10" spans="1:26" ht="21.75" customHeight="1" x14ac:dyDescent="0.6">
      <c r="A10" s="7"/>
      <c r="B10" s="62" t="s">
        <v>64</v>
      </c>
      <c r="C10" s="37">
        <v>219.82</v>
      </c>
      <c r="D10" s="63">
        <f t="shared" ref="D10:D15" si="6">C10*$C$41</f>
        <v>241.80200000000002</v>
      </c>
      <c r="E10" s="63">
        <v>1.17</v>
      </c>
      <c r="F10" s="63">
        <f t="shared" ref="F10:F15" si="7">8.8/E10</f>
        <v>7.5213675213675222</v>
      </c>
      <c r="G10" s="64">
        <v>13</v>
      </c>
      <c r="H10" s="38">
        <f t="shared" ref="H10:H15" si="8">ROUNDUP((D10*E10)/(G10*8.8),0)</f>
        <v>3</v>
      </c>
      <c r="I10" s="38">
        <f t="shared" ref="I10:I15" si="9">ROUNDUP(H10/2,0)</f>
        <v>2</v>
      </c>
      <c r="J10" s="38">
        <f t="shared" ref="J10:J15" si="10">ROUNDUP(H10/4,0)</f>
        <v>1</v>
      </c>
      <c r="K10" s="65">
        <f t="shared" ref="K10:K15" si="11">J10+I10+H10</f>
        <v>6</v>
      </c>
      <c r="L10" s="41"/>
      <c r="M10" s="7"/>
      <c r="N10" s="8"/>
      <c r="O10" s="8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</row>
    <row r="11" spans="1:26" ht="21.75" customHeight="1" x14ac:dyDescent="0.6">
      <c r="A11" s="7"/>
      <c r="B11" s="62" t="s">
        <v>64</v>
      </c>
      <c r="C11" s="37">
        <v>219.82</v>
      </c>
      <c r="D11" s="63">
        <f t="shared" si="6"/>
        <v>241.80200000000002</v>
      </c>
      <c r="E11" s="63">
        <v>1.17</v>
      </c>
      <c r="F11" s="63">
        <f t="shared" si="7"/>
        <v>7.5213675213675222</v>
      </c>
      <c r="G11" s="64">
        <v>13</v>
      </c>
      <c r="H11" s="38">
        <f t="shared" si="8"/>
        <v>3</v>
      </c>
      <c r="I11" s="38">
        <f t="shared" si="9"/>
        <v>2</v>
      </c>
      <c r="J11" s="38">
        <f t="shared" si="10"/>
        <v>1</v>
      </c>
      <c r="K11" s="65">
        <f t="shared" si="11"/>
        <v>6</v>
      </c>
      <c r="L11" s="41"/>
      <c r="M11" s="7"/>
      <c r="N11" s="8"/>
      <c r="O11" s="8"/>
      <c r="P11" s="7"/>
      <c r="Q11" s="7"/>
      <c r="R11" s="7"/>
      <c r="S11" s="7"/>
      <c r="T11" s="7"/>
      <c r="U11" s="7"/>
      <c r="V11" s="7"/>
      <c r="W11" s="7"/>
      <c r="X11" s="8"/>
      <c r="Y11" s="8"/>
      <c r="Z11" s="8"/>
    </row>
    <row r="12" spans="1:26" ht="21.75" customHeight="1" x14ac:dyDescent="0.6">
      <c r="A12" s="7"/>
      <c r="B12" s="62" t="s">
        <v>64</v>
      </c>
      <c r="C12" s="37">
        <v>219.82</v>
      </c>
      <c r="D12" s="63">
        <f t="shared" si="6"/>
        <v>241.80200000000002</v>
      </c>
      <c r="E12" s="63">
        <v>1.17</v>
      </c>
      <c r="F12" s="63">
        <f t="shared" si="7"/>
        <v>7.5213675213675222</v>
      </c>
      <c r="G12" s="64">
        <v>13</v>
      </c>
      <c r="H12" s="38">
        <f t="shared" si="8"/>
        <v>3</v>
      </c>
      <c r="I12" s="38">
        <f t="shared" si="9"/>
        <v>2</v>
      </c>
      <c r="J12" s="38">
        <f t="shared" si="10"/>
        <v>1</v>
      </c>
      <c r="K12" s="65">
        <f t="shared" si="11"/>
        <v>6</v>
      </c>
      <c r="L12" s="41"/>
      <c r="M12" s="7"/>
      <c r="N12" s="8"/>
      <c r="O12" s="8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</row>
    <row r="13" spans="1:26" ht="21.75" customHeight="1" x14ac:dyDescent="0.6">
      <c r="A13" s="7"/>
      <c r="B13" s="62" t="s">
        <v>64</v>
      </c>
      <c r="C13" s="37">
        <v>219.82</v>
      </c>
      <c r="D13" s="63">
        <f t="shared" si="6"/>
        <v>241.80200000000002</v>
      </c>
      <c r="E13" s="63">
        <v>1.17</v>
      </c>
      <c r="F13" s="63">
        <f t="shared" si="7"/>
        <v>7.5213675213675222</v>
      </c>
      <c r="G13" s="64">
        <v>13</v>
      </c>
      <c r="H13" s="38">
        <f t="shared" si="8"/>
        <v>3</v>
      </c>
      <c r="I13" s="38">
        <f t="shared" si="9"/>
        <v>2</v>
      </c>
      <c r="J13" s="38">
        <f t="shared" si="10"/>
        <v>1</v>
      </c>
      <c r="K13" s="65">
        <f t="shared" si="11"/>
        <v>6</v>
      </c>
      <c r="L13" s="41"/>
      <c r="M13" s="7"/>
      <c r="N13" s="8"/>
      <c r="O13" s="8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</row>
    <row r="14" spans="1:26" ht="21.75" customHeight="1" x14ac:dyDescent="0.6">
      <c r="A14" s="7"/>
      <c r="B14" s="62" t="s">
        <v>64</v>
      </c>
      <c r="C14" s="37">
        <v>219.82</v>
      </c>
      <c r="D14" s="63">
        <f t="shared" si="6"/>
        <v>241.80200000000002</v>
      </c>
      <c r="E14" s="63">
        <v>1.17</v>
      </c>
      <c r="F14" s="63">
        <f t="shared" si="7"/>
        <v>7.5213675213675222</v>
      </c>
      <c r="G14" s="64">
        <v>13</v>
      </c>
      <c r="H14" s="38">
        <f t="shared" si="8"/>
        <v>3</v>
      </c>
      <c r="I14" s="38">
        <f t="shared" si="9"/>
        <v>2</v>
      </c>
      <c r="J14" s="38">
        <f t="shared" si="10"/>
        <v>1</v>
      </c>
      <c r="K14" s="65">
        <f t="shared" si="11"/>
        <v>6</v>
      </c>
      <c r="L14" s="41"/>
      <c r="M14" s="7"/>
      <c r="N14" s="8"/>
      <c r="O14" s="8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spans="1:26" ht="21.75" customHeight="1" x14ac:dyDescent="0.6">
      <c r="A15" s="7"/>
      <c r="B15" s="62" t="s">
        <v>64</v>
      </c>
      <c r="C15" s="37">
        <v>219.82</v>
      </c>
      <c r="D15" s="63">
        <f t="shared" si="6"/>
        <v>241.80200000000002</v>
      </c>
      <c r="E15" s="63">
        <v>1.17</v>
      </c>
      <c r="F15" s="63">
        <f t="shared" si="7"/>
        <v>7.5213675213675222</v>
      </c>
      <c r="G15" s="64">
        <v>13</v>
      </c>
      <c r="H15" s="38">
        <f t="shared" si="8"/>
        <v>3</v>
      </c>
      <c r="I15" s="38">
        <f t="shared" si="9"/>
        <v>2</v>
      </c>
      <c r="J15" s="38">
        <f t="shared" si="10"/>
        <v>1</v>
      </c>
      <c r="K15" s="65">
        <f t="shared" si="11"/>
        <v>6</v>
      </c>
      <c r="L15" s="41"/>
      <c r="M15" s="7"/>
      <c r="N15" s="8"/>
      <c r="O15" s="8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spans="1:26" ht="21.75" customHeight="1" x14ac:dyDescent="0.6">
      <c r="A16" s="7"/>
      <c r="B16" s="62" t="s">
        <v>64</v>
      </c>
      <c r="C16" s="37">
        <v>219.82</v>
      </c>
      <c r="D16" s="63">
        <f t="shared" si="0"/>
        <v>241.80200000000002</v>
      </c>
      <c r="E16" s="63">
        <v>1.17</v>
      </c>
      <c r="F16" s="63">
        <f t="shared" si="1"/>
        <v>7.5213675213675222</v>
      </c>
      <c r="G16" s="64">
        <v>13</v>
      </c>
      <c r="H16" s="38">
        <f t="shared" si="2"/>
        <v>3</v>
      </c>
      <c r="I16" s="38">
        <f t="shared" si="3"/>
        <v>2</v>
      </c>
      <c r="J16" s="38">
        <f t="shared" si="4"/>
        <v>1</v>
      </c>
      <c r="K16" s="65">
        <f t="shared" si="5"/>
        <v>6</v>
      </c>
      <c r="L16" s="41"/>
      <c r="M16" s="7"/>
      <c r="N16" s="8"/>
      <c r="O16" s="8"/>
      <c r="P16" s="7"/>
      <c r="Q16" s="7"/>
      <c r="R16" s="7"/>
      <c r="S16" s="7"/>
      <c r="T16" s="7"/>
      <c r="U16" s="7"/>
      <c r="V16" s="7"/>
      <c r="W16" s="7"/>
      <c r="X16" s="8"/>
      <c r="Y16" s="8"/>
      <c r="Z16" s="8"/>
    </row>
    <row r="17" spans="1:26" ht="21.75" customHeight="1" x14ac:dyDescent="0.6">
      <c r="A17" s="7"/>
      <c r="B17" s="62" t="s">
        <v>64</v>
      </c>
      <c r="C17" s="37">
        <v>219.82</v>
      </c>
      <c r="D17" s="63">
        <f t="shared" si="0"/>
        <v>241.80200000000002</v>
      </c>
      <c r="E17" s="63">
        <v>1.17</v>
      </c>
      <c r="F17" s="63">
        <f t="shared" si="1"/>
        <v>7.5213675213675222</v>
      </c>
      <c r="G17" s="64">
        <v>13</v>
      </c>
      <c r="H17" s="38">
        <f t="shared" si="2"/>
        <v>3</v>
      </c>
      <c r="I17" s="38">
        <f t="shared" si="3"/>
        <v>2</v>
      </c>
      <c r="J17" s="38">
        <f t="shared" si="4"/>
        <v>1</v>
      </c>
      <c r="K17" s="65">
        <f t="shared" si="5"/>
        <v>6</v>
      </c>
      <c r="L17" s="41"/>
      <c r="M17" s="7"/>
      <c r="N17" s="8"/>
      <c r="O17" s="8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</row>
    <row r="18" spans="1:26" ht="21.75" customHeight="1" x14ac:dyDescent="0.6">
      <c r="A18" s="7"/>
      <c r="B18" s="62" t="s">
        <v>64</v>
      </c>
      <c r="C18" s="37">
        <v>219.82</v>
      </c>
      <c r="D18" s="63">
        <f t="shared" si="0"/>
        <v>241.80200000000002</v>
      </c>
      <c r="E18" s="63">
        <v>1.17</v>
      </c>
      <c r="F18" s="63">
        <f t="shared" si="1"/>
        <v>7.5213675213675222</v>
      </c>
      <c r="G18" s="64">
        <v>13</v>
      </c>
      <c r="H18" s="38">
        <f t="shared" si="2"/>
        <v>3</v>
      </c>
      <c r="I18" s="38">
        <f t="shared" si="3"/>
        <v>2</v>
      </c>
      <c r="J18" s="38">
        <f t="shared" si="4"/>
        <v>1</v>
      </c>
      <c r="K18" s="65">
        <f t="shared" si="5"/>
        <v>6</v>
      </c>
      <c r="L18" s="41"/>
      <c r="M18" s="7"/>
      <c r="N18" s="8"/>
      <c r="O18" s="8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</row>
    <row r="19" spans="1:26" ht="21.75" customHeight="1" x14ac:dyDescent="0.6">
      <c r="A19" s="7"/>
      <c r="B19" s="62" t="s">
        <v>64</v>
      </c>
      <c r="C19" s="37">
        <v>219.82</v>
      </c>
      <c r="D19" s="63">
        <f t="shared" si="0"/>
        <v>241.80200000000002</v>
      </c>
      <c r="E19" s="63">
        <v>1.17</v>
      </c>
      <c r="F19" s="63">
        <f t="shared" si="1"/>
        <v>7.5213675213675222</v>
      </c>
      <c r="G19" s="64">
        <v>13</v>
      </c>
      <c r="H19" s="38">
        <f t="shared" si="2"/>
        <v>3</v>
      </c>
      <c r="I19" s="38">
        <f t="shared" si="3"/>
        <v>2</v>
      </c>
      <c r="J19" s="38">
        <f t="shared" si="4"/>
        <v>1</v>
      </c>
      <c r="K19" s="65">
        <f t="shared" si="5"/>
        <v>6</v>
      </c>
      <c r="L19" s="41"/>
      <c r="M19" s="7"/>
      <c r="N19" s="8"/>
      <c r="O19" s="8"/>
      <c r="P19" s="7"/>
      <c r="Q19" s="7"/>
      <c r="R19" s="7"/>
      <c r="S19" s="7"/>
      <c r="T19" s="7"/>
      <c r="U19" s="7"/>
      <c r="V19" s="7"/>
      <c r="W19" s="7"/>
      <c r="X19" s="8"/>
      <c r="Y19" s="8"/>
      <c r="Z19" s="8"/>
    </row>
    <row r="20" spans="1:26" ht="21.75" customHeight="1" x14ac:dyDescent="0.6">
      <c r="A20" s="7"/>
      <c r="B20" s="62" t="s">
        <v>64</v>
      </c>
      <c r="C20" s="37">
        <v>219.82</v>
      </c>
      <c r="D20" s="63">
        <f t="shared" si="0"/>
        <v>241.80200000000002</v>
      </c>
      <c r="E20" s="63">
        <v>1.17</v>
      </c>
      <c r="F20" s="63">
        <f t="shared" si="1"/>
        <v>7.5213675213675222</v>
      </c>
      <c r="G20" s="64">
        <v>13</v>
      </c>
      <c r="H20" s="38">
        <f t="shared" si="2"/>
        <v>3</v>
      </c>
      <c r="I20" s="38">
        <f t="shared" si="3"/>
        <v>2</v>
      </c>
      <c r="J20" s="38">
        <f t="shared" si="4"/>
        <v>1</v>
      </c>
      <c r="K20" s="65">
        <f t="shared" si="5"/>
        <v>6</v>
      </c>
      <c r="L20" s="41"/>
      <c r="M20" s="7"/>
      <c r="N20" s="8"/>
      <c r="O20" s="8"/>
      <c r="P20" s="7"/>
      <c r="Q20" s="7"/>
      <c r="R20" s="7"/>
      <c r="S20" s="7"/>
      <c r="T20" s="7"/>
      <c r="U20" s="7"/>
      <c r="V20" s="7"/>
      <c r="W20" s="7"/>
      <c r="X20" s="8"/>
      <c r="Y20" s="8"/>
      <c r="Z20" s="8"/>
    </row>
    <row r="21" spans="1:26" ht="21.75" customHeight="1" x14ac:dyDescent="0.6">
      <c r="A21" s="7"/>
      <c r="B21" s="62" t="s">
        <v>64</v>
      </c>
      <c r="C21" s="37">
        <v>219.82</v>
      </c>
      <c r="D21" s="63">
        <f t="shared" si="0"/>
        <v>241.80200000000002</v>
      </c>
      <c r="E21" s="63">
        <v>1.17</v>
      </c>
      <c r="F21" s="63">
        <f t="shared" si="1"/>
        <v>7.5213675213675222</v>
      </c>
      <c r="G21" s="64">
        <v>13</v>
      </c>
      <c r="H21" s="38">
        <f t="shared" si="2"/>
        <v>3</v>
      </c>
      <c r="I21" s="38">
        <f t="shared" si="3"/>
        <v>2</v>
      </c>
      <c r="J21" s="38">
        <f t="shared" si="4"/>
        <v>1</v>
      </c>
      <c r="K21" s="65">
        <f t="shared" si="5"/>
        <v>6</v>
      </c>
      <c r="L21" s="41"/>
      <c r="M21" s="7"/>
      <c r="N21" s="8"/>
      <c r="O21" s="8"/>
      <c r="P21" s="7"/>
      <c r="Q21" s="7"/>
      <c r="R21" s="7"/>
      <c r="S21" s="7"/>
      <c r="T21" s="7"/>
      <c r="U21" s="7"/>
      <c r="V21" s="7"/>
      <c r="W21" s="7"/>
      <c r="X21" s="8"/>
      <c r="Y21" s="8"/>
      <c r="Z21" s="8"/>
    </row>
    <row r="22" spans="1:26" ht="21.75" customHeight="1" x14ac:dyDescent="0.6">
      <c r="A22" s="7"/>
      <c r="B22" s="62" t="s">
        <v>64</v>
      </c>
      <c r="C22" s="37">
        <v>219.82</v>
      </c>
      <c r="D22" s="63">
        <f t="shared" si="0"/>
        <v>241.80200000000002</v>
      </c>
      <c r="E22" s="63">
        <v>1.17</v>
      </c>
      <c r="F22" s="63">
        <f t="shared" si="1"/>
        <v>7.5213675213675222</v>
      </c>
      <c r="G22" s="64">
        <v>13</v>
      </c>
      <c r="H22" s="38">
        <f t="shared" si="2"/>
        <v>3</v>
      </c>
      <c r="I22" s="38">
        <f t="shared" si="3"/>
        <v>2</v>
      </c>
      <c r="J22" s="38">
        <f t="shared" si="4"/>
        <v>1</v>
      </c>
      <c r="K22" s="65">
        <f t="shared" si="5"/>
        <v>6</v>
      </c>
      <c r="L22" s="41"/>
      <c r="M22" s="7"/>
      <c r="N22" s="8"/>
      <c r="O22" s="8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</row>
    <row r="23" spans="1:26" ht="21.75" customHeight="1" x14ac:dyDescent="0.6">
      <c r="A23" s="7"/>
      <c r="B23" s="62" t="s">
        <v>64</v>
      </c>
      <c r="C23" s="37">
        <v>219.82</v>
      </c>
      <c r="D23" s="63">
        <f t="shared" ref="D23:D39" si="12">C23*$C$41</f>
        <v>241.80200000000002</v>
      </c>
      <c r="E23" s="63">
        <v>1.17</v>
      </c>
      <c r="F23" s="63">
        <f t="shared" si="1"/>
        <v>7.5213675213675222</v>
      </c>
      <c r="G23" s="64">
        <v>13</v>
      </c>
      <c r="H23" s="38">
        <f t="shared" si="2"/>
        <v>3</v>
      </c>
      <c r="I23" s="38">
        <f t="shared" si="3"/>
        <v>2</v>
      </c>
      <c r="J23" s="38">
        <f t="shared" si="4"/>
        <v>1</v>
      </c>
      <c r="K23" s="65">
        <f t="shared" si="5"/>
        <v>6</v>
      </c>
      <c r="L23" s="41"/>
      <c r="M23" s="7"/>
      <c r="N23" s="8"/>
      <c r="O23" s="8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</row>
    <row r="24" spans="1:26" ht="21.75" customHeight="1" x14ac:dyDescent="0.6">
      <c r="A24" s="7"/>
      <c r="B24" s="62" t="s">
        <v>64</v>
      </c>
      <c r="C24" s="37">
        <v>219.82</v>
      </c>
      <c r="D24" s="63">
        <f t="shared" si="12"/>
        <v>241.80200000000002</v>
      </c>
      <c r="E24" s="63">
        <v>1.17</v>
      </c>
      <c r="F24" s="63">
        <f t="shared" si="1"/>
        <v>7.5213675213675222</v>
      </c>
      <c r="G24" s="64">
        <v>13</v>
      </c>
      <c r="H24" s="38">
        <f t="shared" si="2"/>
        <v>3</v>
      </c>
      <c r="I24" s="38">
        <f t="shared" si="3"/>
        <v>2</v>
      </c>
      <c r="J24" s="38">
        <f t="shared" si="4"/>
        <v>1</v>
      </c>
      <c r="K24" s="65">
        <f t="shared" si="5"/>
        <v>6</v>
      </c>
      <c r="L24" s="41"/>
      <c r="M24" s="7"/>
      <c r="N24" s="8"/>
      <c r="O24" s="8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</row>
    <row r="25" spans="1:26" ht="21.75" customHeight="1" x14ac:dyDescent="0.6">
      <c r="A25" s="7"/>
      <c r="B25" s="62" t="s">
        <v>64</v>
      </c>
      <c r="C25" s="37">
        <v>219.82</v>
      </c>
      <c r="D25" s="63">
        <f t="shared" si="12"/>
        <v>241.80200000000002</v>
      </c>
      <c r="E25" s="63">
        <v>1.17</v>
      </c>
      <c r="F25" s="63">
        <f t="shared" si="1"/>
        <v>7.5213675213675222</v>
      </c>
      <c r="G25" s="64">
        <v>13</v>
      </c>
      <c r="H25" s="38">
        <f t="shared" si="2"/>
        <v>3</v>
      </c>
      <c r="I25" s="38">
        <f t="shared" si="3"/>
        <v>2</v>
      </c>
      <c r="J25" s="38">
        <f t="shared" si="4"/>
        <v>1</v>
      </c>
      <c r="K25" s="65">
        <f t="shared" si="5"/>
        <v>6</v>
      </c>
      <c r="L25" s="41"/>
      <c r="M25" s="7"/>
      <c r="N25" s="8"/>
      <c r="O25" s="8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spans="1:26" ht="21.75" customHeight="1" x14ac:dyDescent="0.6">
      <c r="A26" s="7"/>
      <c r="B26" s="62" t="s">
        <v>64</v>
      </c>
      <c r="C26" s="37">
        <v>219.82</v>
      </c>
      <c r="D26" s="63">
        <f t="shared" si="12"/>
        <v>241.80200000000002</v>
      </c>
      <c r="E26" s="63">
        <v>1.17</v>
      </c>
      <c r="F26" s="63">
        <f t="shared" si="1"/>
        <v>7.5213675213675222</v>
      </c>
      <c r="G26" s="64">
        <v>13</v>
      </c>
      <c r="H26" s="38">
        <f t="shared" si="2"/>
        <v>3</v>
      </c>
      <c r="I26" s="38">
        <f t="shared" si="3"/>
        <v>2</v>
      </c>
      <c r="J26" s="38">
        <f t="shared" si="4"/>
        <v>1</v>
      </c>
      <c r="K26" s="65">
        <f t="shared" si="5"/>
        <v>6</v>
      </c>
      <c r="L26" s="41"/>
      <c r="M26" s="7"/>
      <c r="N26" s="8"/>
      <c r="O26" s="8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spans="1:26" ht="21.75" customHeight="1" x14ac:dyDescent="0.6">
      <c r="A27" s="7"/>
      <c r="B27" s="62" t="s">
        <v>64</v>
      </c>
      <c r="C27" s="37">
        <v>219.82</v>
      </c>
      <c r="D27" s="63">
        <f t="shared" si="12"/>
        <v>241.80200000000002</v>
      </c>
      <c r="E27" s="63">
        <v>1.17</v>
      </c>
      <c r="F27" s="63">
        <f t="shared" si="1"/>
        <v>7.5213675213675222</v>
      </c>
      <c r="G27" s="64">
        <v>13</v>
      </c>
      <c r="H27" s="38">
        <f t="shared" si="2"/>
        <v>3</v>
      </c>
      <c r="I27" s="38">
        <f t="shared" si="3"/>
        <v>2</v>
      </c>
      <c r="J27" s="38">
        <f t="shared" si="4"/>
        <v>1</v>
      </c>
      <c r="K27" s="65">
        <f t="shared" si="5"/>
        <v>6</v>
      </c>
      <c r="L27" s="41"/>
      <c r="M27" s="7"/>
      <c r="N27" s="8"/>
      <c r="O27" s="8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spans="1:26" ht="21.75" customHeight="1" x14ac:dyDescent="0.6">
      <c r="A28" s="7"/>
      <c r="B28" s="62" t="s">
        <v>64</v>
      </c>
      <c r="C28" s="37">
        <v>219.82</v>
      </c>
      <c r="D28" s="63">
        <f t="shared" si="12"/>
        <v>241.80200000000002</v>
      </c>
      <c r="E28" s="63">
        <v>1.17</v>
      </c>
      <c r="F28" s="63">
        <f t="shared" si="1"/>
        <v>7.5213675213675222</v>
      </c>
      <c r="G28" s="64">
        <v>13</v>
      </c>
      <c r="H28" s="38">
        <f t="shared" si="2"/>
        <v>3</v>
      </c>
      <c r="I28" s="38">
        <f t="shared" si="3"/>
        <v>2</v>
      </c>
      <c r="J28" s="38">
        <f t="shared" si="4"/>
        <v>1</v>
      </c>
      <c r="K28" s="65">
        <f t="shared" si="5"/>
        <v>6</v>
      </c>
      <c r="L28" s="41"/>
      <c r="M28" s="7"/>
      <c r="N28" s="8"/>
      <c r="O28" s="8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spans="1:26" ht="21.75" customHeight="1" x14ac:dyDescent="0.6">
      <c r="A29" s="7"/>
      <c r="B29" s="62" t="s">
        <v>64</v>
      </c>
      <c r="C29" s="37">
        <v>219.82</v>
      </c>
      <c r="D29" s="63">
        <f t="shared" si="12"/>
        <v>241.80200000000002</v>
      </c>
      <c r="E29" s="63">
        <v>1.17</v>
      </c>
      <c r="F29" s="63">
        <f t="shared" si="1"/>
        <v>7.5213675213675222</v>
      </c>
      <c r="G29" s="64">
        <v>13</v>
      </c>
      <c r="H29" s="38">
        <f t="shared" si="2"/>
        <v>3</v>
      </c>
      <c r="I29" s="38">
        <f t="shared" si="3"/>
        <v>2</v>
      </c>
      <c r="J29" s="38">
        <f t="shared" si="4"/>
        <v>1</v>
      </c>
      <c r="K29" s="65">
        <f t="shared" si="5"/>
        <v>6</v>
      </c>
      <c r="L29" s="41"/>
      <c r="M29" s="7"/>
      <c r="N29" s="8"/>
      <c r="O29" s="8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spans="1:26" ht="21.75" customHeight="1" x14ac:dyDescent="0.6">
      <c r="A30" s="7"/>
      <c r="B30" s="62" t="s">
        <v>64</v>
      </c>
      <c r="C30" s="37">
        <v>219.82</v>
      </c>
      <c r="D30" s="63">
        <f t="shared" si="12"/>
        <v>241.80200000000002</v>
      </c>
      <c r="E30" s="63">
        <v>1.17</v>
      </c>
      <c r="F30" s="63">
        <f t="shared" si="1"/>
        <v>7.5213675213675222</v>
      </c>
      <c r="G30" s="64">
        <v>13</v>
      </c>
      <c r="H30" s="38">
        <f t="shared" si="2"/>
        <v>3</v>
      </c>
      <c r="I30" s="38">
        <f t="shared" si="3"/>
        <v>2</v>
      </c>
      <c r="J30" s="38">
        <f t="shared" si="4"/>
        <v>1</v>
      </c>
      <c r="K30" s="65">
        <f t="shared" si="5"/>
        <v>6</v>
      </c>
      <c r="L30" s="41"/>
      <c r="M30" s="7"/>
      <c r="N30" s="8"/>
      <c r="O30" s="8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spans="1:26" ht="21.75" customHeight="1" x14ac:dyDescent="0.6">
      <c r="A31" s="7"/>
      <c r="B31" s="62" t="s">
        <v>64</v>
      </c>
      <c r="C31" s="37">
        <v>219.82</v>
      </c>
      <c r="D31" s="63">
        <f t="shared" si="12"/>
        <v>241.80200000000002</v>
      </c>
      <c r="E31" s="63">
        <v>1.17</v>
      </c>
      <c r="F31" s="63">
        <f t="shared" si="1"/>
        <v>7.5213675213675222</v>
      </c>
      <c r="G31" s="64">
        <v>13</v>
      </c>
      <c r="H31" s="38">
        <f t="shared" si="2"/>
        <v>3</v>
      </c>
      <c r="I31" s="38">
        <f t="shared" si="3"/>
        <v>2</v>
      </c>
      <c r="J31" s="38">
        <f t="shared" si="4"/>
        <v>1</v>
      </c>
      <c r="K31" s="65">
        <f t="shared" si="5"/>
        <v>6</v>
      </c>
      <c r="L31" s="41"/>
      <c r="M31" s="7"/>
      <c r="N31" s="8"/>
      <c r="O31" s="8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spans="1:26" ht="21.75" customHeight="1" x14ac:dyDescent="0.6">
      <c r="A32" s="7"/>
      <c r="B32" s="62" t="s">
        <v>64</v>
      </c>
      <c r="C32" s="37">
        <v>219.82</v>
      </c>
      <c r="D32" s="63">
        <f t="shared" si="12"/>
        <v>241.80200000000002</v>
      </c>
      <c r="E32" s="63">
        <v>1.17</v>
      </c>
      <c r="F32" s="63">
        <f t="shared" si="1"/>
        <v>7.5213675213675222</v>
      </c>
      <c r="G32" s="64">
        <v>15</v>
      </c>
      <c r="H32" s="38">
        <f t="shared" si="2"/>
        <v>3</v>
      </c>
      <c r="I32" s="38">
        <f t="shared" si="3"/>
        <v>2</v>
      </c>
      <c r="J32" s="38">
        <f t="shared" si="4"/>
        <v>1</v>
      </c>
      <c r="K32" s="65">
        <f t="shared" si="5"/>
        <v>6</v>
      </c>
      <c r="L32" s="41"/>
      <c r="M32" s="7"/>
      <c r="N32" s="8"/>
      <c r="O32" s="8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spans="1:26" ht="21.75" customHeight="1" x14ac:dyDescent="0.6">
      <c r="A33" s="7"/>
      <c r="B33" s="62" t="s">
        <v>64</v>
      </c>
      <c r="C33" s="37">
        <v>219.82</v>
      </c>
      <c r="D33" s="63">
        <f t="shared" si="12"/>
        <v>241.80200000000002</v>
      </c>
      <c r="E33" s="63">
        <v>1.21</v>
      </c>
      <c r="F33" s="63">
        <f t="shared" si="1"/>
        <v>7.2727272727272734</v>
      </c>
      <c r="G33" s="64">
        <v>15</v>
      </c>
      <c r="H33" s="38">
        <f t="shared" si="2"/>
        <v>3</v>
      </c>
      <c r="I33" s="38">
        <f t="shared" si="3"/>
        <v>2</v>
      </c>
      <c r="J33" s="38">
        <f t="shared" si="4"/>
        <v>1</v>
      </c>
      <c r="K33" s="65">
        <f t="shared" si="5"/>
        <v>6</v>
      </c>
      <c r="L33" s="41"/>
      <c r="M33" s="7"/>
      <c r="N33" s="8"/>
      <c r="O33" s="8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spans="1:26" ht="21.75" customHeight="1" x14ac:dyDescent="0.6">
      <c r="A34" s="7"/>
      <c r="B34" s="62" t="s">
        <v>62</v>
      </c>
      <c r="C34" s="37">
        <v>656.59</v>
      </c>
      <c r="D34" s="63">
        <f t="shared" si="12"/>
        <v>722.24900000000014</v>
      </c>
      <c r="E34" s="63">
        <v>2.0099999999999998</v>
      </c>
      <c r="F34" s="63">
        <f t="shared" si="1"/>
        <v>4.3781094527363189</v>
      </c>
      <c r="G34" s="64">
        <v>33</v>
      </c>
      <c r="H34" s="38">
        <f t="shared" si="2"/>
        <v>5</v>
      </c>
      <c r="I34" s="38">
        <f t="shared" si="3"/>
        <v>3</v>
      </c>
      <c r="J34" s="38">
        <f t="shared" si="4"/>
        <v>2</v>
      </c>
      <c r="K34" s="65">
        <f t="shared" si="5"/>
        <v>10</v>
      </c>
      <c r="L34" s="41"/>
      <c r="M34" s="7"/>
      <c r="N34" s="8"/>
      <c r="O34" s="8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spans="1:26" ht="21.75" customHeight="1" x14ac:dyDescent="0.6">
      <c r="A35" s="7"/>
      <c r="B35" s="62" t="s">
        <v>176</v>
      </c>
      <c r="C35" s="37">
        <v>656.59</v>
      </c>
      <c r="D35" s="63">
        <f t="shared" si="12"/>
        <v>722.24900000000014</v>
      </c>
      <c r="E35" s="63">
        <v>2.2000000000000002</v>
      </c>
      <c r="F35" s="63">
        <f t="shared" si="1"/>
        <v>4</v>
      </c>
      <c r="G35" s="64">
        <v>37</v>
      </c>
      <c r="H35" s="38">
        <f t="shared" si="2"/>
        <v>5</v>
      </c>
      <c r="I35" s="38">
        <f t="shared" si="3"/>
        <v>3</v>
      </c>
      <c r="J35" s="38">
        <f t="shared" si="4"/>
        <v>2</v>
      </c>
      <c r="K35" s="65">
        <f t="shared" si="5"/>
        <v>10</v>
      </c>
      <c r="L35" s="41"/>
      <c r="M35" s="7"/>
      <c r="N35" s="8"/>
      <c r="O35" s="8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spans="1:26" ht="21.75" customHeight="1" x14ac:dyDescent="0.6">
      <c r="A36" s="7"/>
      <c r="B36" s="62" t="s">
        <v>159</v>
      </c>
      <c r="C36" s="37">
        <v>656.59</v>
      </c>
      <c r="D36" s="63">
        <f t="shared" si="12"/>
        <v>722.24900000000014</v>
      </c>
      <c r="E36" s="63">
        <v>2.2000000000000002</v>
      </c>
      <c r="F36" s="63">
        <f t="shared" si="1"/>
        <v>4</v>
      </c>
      <c r="G36" s="64">
        <v>37</v>
      </c>
      <c r="H36" s="38">
        <f t="shared" si="2"/>
        <v>5</v>
      </c>
      <c r="I36" s="38">
        <f t="shared" si="3"/>
        <v>3</v>
      </c>
      <c r="J36" s="38">
        <f t="shared" si="4"/>
        <v>2</v>
      </c>
      <c r="K36" s="65">
        <f t="shared" si="5"/>
        <v>10</v>
      </c>
      <c r="L36" s="41"/>
      <c r="M36" s="7"/>
      <c r="N36" s="8"/>
      <c r="O36" s="8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spans="1:26" ht="21.75" customHeight="1" x14ac:dyDescent="0.6">
      <c r="A37" s="7"/>
      <c r="B37" s="62" t="s">
        <v>158</v>
      </c>
      <c r="C37" s="37">
        <v>656.59</v>
      </c>
      <c r="D37" s="63">
        <f t="shared" si="12"/>
        <v>722.24900000000014</v>
      </c>
      <c r="E37" s="63">
        <v>2.2000000000000002</v>
      </c>
      <c r="F37" s="63">
        <f t="shared" si="1"/>
        <v>4</v>
      </c>
      <c r="G37" s="64">
        <v>37</v>
      </c>
      <c r="H37" s="38">
        <f t="shared" si="2"/>
        <v>5</v>
      </c>
      <c r="I37" s="38">
        <f t="shared" si="3"/>
        <v>3</v>
      </c>
      <c r="J37" s="38">
        <f t="shared" si="4"/>
        <v>2</v>
      </c>
      <c r="K37" s="65">
        <f t="shared" si="5"/>
        <v>10</v>
      </c>
      <c r="L37" s="41"/>
      <c r="M37" s="7"/>
      <c r="N37" s="8"/>
      <c r="O37" s="8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spans="1:26" ht="21.75" customHeight="1" x14ac:dyDescent="0.6">
      <c r="A38" s="7"/>
      <c r="B38" s="62" t="s">
        <v>177</v>
      </c>
      <c r="C38" s="37">
        <v>656.59</v>
      </c>
      <c r="D38" s="63">
        <f t="shared" si="12"/>
        <v>722.24900000000014</v>
      </c>
      <c r="E38" s="63">
        <v>2.2000000000000002</v>
      </c>
      <c r="F38" s="63">
        <f t="shared" si="1"/>
        <v>4</v>
      </c>
      <c r="G38" s="64">
        <v>37</v>
      </c>
      <c r="H38" s="38">
        <f t="shared" si="2"/>
        <v>5</v>
      </c>
      <c r="I38" s="38">
        <f t="shared" si="3"/>
        <v>3</v>
      </c>
      <c r="J38" s="38">
        <f t="shared" si="4"/>
        <v>2</v>
      </c>
      <c r="K38" s="65">
        <f t="shared" si="5"/>
        <v>10</v>
      </c>
      <c r="L38" s="41"/>
      <c r="M38" s="7"/>
      <c r="N38" s="8"/>
      <c r="O38" s="8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spans="1:26" ht="21.75" customHeight="1" x14ac:dyDescent="0.6">
      <c r="A39" s="7"/>
      <c r="B39" s="62" t="s">
        <v>157</v>
      </c>
      <c r="C39" s="37">
        <v>618.45000000000005</v>
      </c>
      <c r="D39" s="63">
        <f t="shared" si="12"/>
        <v>680.29500000000007</v>
      </c>
      <c r="E39" s="63">
        <v>2.0099999999999998</v>
      </c>
      <c r="F39" s="63">
        <f t="shared" si="1"/>
        <v>4.3781094527363189</v>
      </c>
      <c r="G39" s="64">
        <v>32</v>
      </c>
      <c r="H39" s="38">
        <f t="shared" si="2"/>
        <v>5</v>
      </c>
      <c r="I39" s="38">
        <f t="shared" si="3"/>
        <v>3</v>
      </c>
      <c r="J39" s="38">
        <f t="shared" si="4"/>
        <v>2</v>
      </c>
      <c r="K39" s="65">
        <f t="shared" si="5"/>
        <v>10</v>
      </c>
      <c r="L39" s="41"/>
      <c r="M39" s="7"/>
      <c r="N39" s="8"/>
      <c r="O39" s="8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spans="1:26" ht="30.75" customHeight="1" x14ac:dyDescent="0.6">
      <c r="A40" s="7"/>
      <c r="B40" s="49"/>
      <c r="C40" s="38">
        <f>SUM(C8:C39)</f>
        <v>9242.43</v>
      </c>
      <c r="D40" s="63"/>
      <c r="E40" s="63"/>
      <c r="F40" s="63"/>
      <c r="G40" s="6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spans="1:26" ht="21.75" customHeight="1" x14ac:dyDescent="0.6">
      <c r="A41" s="7"/>
      <c r="B41" s="67" t="s">
        <v>57</v>
      </c>
      <c r="C41" s="109">
        <v>1.1000000000000001</v>
      </c>
      <c r="D41" s="68"/>
      <c r="E41" s="45"/>
      <c r="F41" s="45" t="s">
        <v>58</v>
      </c>
      <c r="G41" s="23">
        <f>SUM(G8:G39)</f>
        <v>541</v>
      </c>
      <c r="H41" s="22" t="s">
        <v>59</v>
      </c>
      <c r="I41" s="69">
        <f>G41/22</f>
        <v>24.59090909090909</v>
      </c>
      <c r="J41" s="22"/>
      <c r="K41" s="21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spans="1:26" ht="21.75" customHeight="1" x14ac:dyDescent="0.6">
      <c r="A42" s="7"/>
      <c r="B42" s="208" t="s">
        <v>60</v>
      </c>
      <c r="C42" s="206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spans="1:26" ht="21.75" customHeight="1" x14ac:dyDescent="0.6">
      <c r="A43" s="7"/>
      <c r="B43" s="70" t="s">
        <v>61</v>
      </c>
      <c r="C43" s="70">
        <v>2.2000000000000002</v>
      </c>
      <c r="D43" s="71"/>
      <c r="E43" s="110" t="s">
        <v>178</v>
      </c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spans="1:26" ht="21.75" customHeight="1" x14ac:dyDescent="0.6">
      <c r="A44" s="7"/>
      <c r="B44" s="70" t="s">
        <v>62</v>
      </c>
      <c r="C44" s="70">
        <v>2.0099999999999998</v>
      </c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spans="1:26" ht="21.75" customHeight="1" x14ac:dyDescent="0.6">
      <c r="A45" s="7"/>
      <c r="B45" s="70" t="s">
        <v>63</v>
      </c>
      <c r="C45" s="70">
        <v>1.21</v>
      </c>
      <c r="D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spans="1:26" ht="21.75" customHeight="1" x14ac:dyDescent="0.6">
      <c r="A46" s="7"/>
      <c r="B46" s="70" t="s">
        <v>64</v>
      </c>
      <c r="C46" s="70">
        <v>1.17</v>
      </c>
      <c r="D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spans="1:26" ht="21.75" customHeight="1" x14ac:dyDescent="0.6">
      <c r="A47" s="7"/>
      <c r="B47" s="70" t="s">
        <v>22</v>
      </c>
      <c r="C47" s="70">
        <v>1.6</v>
      </c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spans="1:26" ht="43.5" x14ac:dyDescent="0.6">
      <c r="A48" s="7"/>
      <c r="B48" s="49"/>
      <c r="C48" s="49"/>
      <c r="D48" s="7"/>
      <c r="E48" s="161"/>
      <c r="F48" s="162" t="s">
        <v>320</v>
      </c>
      <c r="G48" s="163" t="s">
        <v>316</v>
      </c>
      <c r="H48" s="164" t="s">
        <v>321</v>
      </c>
      <c r="I48" s="162" t="s">
        <v>323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spans="1:26" ht="21.75" customHeight="1" x14ac:dyDescent="0.6">
      <c r="A49" s="7"/>
      <c r="B49" s="49"/>
      <c r="C49" s="49"/>
      <c r="D49" s="7"/>
      <c r="E49" s="161" t="s">
        <v>322</v>
      </c>
      <c r="F49" s="164">
        <v>40</v>
      </c>
      <c r="G49" s="165">
        <v>48</v>
      </c>
      <c r="H49" s="164">
        <v>7532.8899999999994</v>
      </c>
      <c r="I49" s="164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spans="1:26" ht="21.75" customHeight="1" x14ac:dyDescent="0.6">
      <c r="A50" s="7"/>
      <c r="B50" s="49"/>
      <c r="C50" s="49"/>
      <c r="D50" s="7"/>
      <c r="E50" s="161" t="s">
        <v>319</v>
      </c>
      <c r="F50" s="164">
        <v>46</v>
      </c>
      <c r="G50" s="165" t="s">
        <v>324</v>
      </c>
      <c r="H50" s="164">
        <v>9242.43</v>
      </c>
      <c r="I50" s="164">
        <f>H50*G49/H49</f>
        <v>58.893285312808239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spans="1:26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spans="1:26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spans="1:26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spans="1:26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spans="1:26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spans="1:26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spans="1:26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spans="1:26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spans="1:26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spans="1:26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spans="1:26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spans="1:26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spans="1:26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spans="1:26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spans="1:26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spans="1:26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spans="1:26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spans="1:26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spans="1:26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spans="1:26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spans="1:26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spans="1:26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spans="1:26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spans="1:26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spans="1:26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spans="1:26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spans="1:26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spans="1:26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spans="1:26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spans="1:26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spans="1:26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spans="1:26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spans="1:26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spans="1:26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spans="1:26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spans="1:26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spans="1:26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spans="1:26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spans="1:26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spans="1:26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spans="1:26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spans="1:26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spans="1:26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spans="1:26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spans="1:26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spans="1:26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spans="1:26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spans="1:26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spans="1:26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spans="1:26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spans="1:26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spans="1:26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spans="1:26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spans="1:26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spans="1:26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spans="1:26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spans="1:26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spans="1:26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spans="1:26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spans="1:26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spans="1:26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spans="1:26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spans="1:26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spans="1:26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spans="1:26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spans="1:26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spans="1:26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spans="1:26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spans="1:26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spans="1:26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spans="1:26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spans="1:26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spans="1:26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spans="1:26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spans="1:26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spans="1:26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spans="1:26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spans="1:26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spans="1:26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spans="1:26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spans="1:26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spans="1:26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spans="1:26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spans="1:26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spans="1:26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spans="1:26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spans="1:26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spans="1:26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spans="1:26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spans="1:26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spans="1:26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spans="1:26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spans="1:26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spans="1:26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spans="1:26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spans="1:26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spans="1:26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spans="1:26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spans="1:26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spans="1:26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spans="1:26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spans="1:26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spans="1:26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spans="1:26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spans="1:26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spans="1:26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spans="1:26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spans="1:26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spans="1:26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spans="1:26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spans="1:26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spans="1:26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spans="1:26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spans="1:26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spans="1:26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spans="1:26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spans="1:26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spans="1:26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spans="1:26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spans="1:26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spans="1:26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spans="1:26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spans="1:26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spans="1:26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spans="1:26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spans="1:26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spans="1:26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spans="1:26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spans="1:26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spans="1:26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spans="1:26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spans="1:26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spans="1:26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spans="1:26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spans="1:26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spans="1:26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spans="1:26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spans="1:26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spans="1:26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spans="1:26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spans="1:26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spans="1:26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spans="1:26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spans="1:26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spans="1:26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spans="1:26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spans="1:26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spans="1:26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spans="1:26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spans="1:26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spans="1:26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spans="1:26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spans="1:26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spans="1:26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spans="1:26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spans="1:26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spans="1:26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spans="1:26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spans="1:26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spans="1:26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spans="1:26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spans="1:26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spans="1:26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spans="1:26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spans="1:26" ht="21.75" customHeight="1" x14ac:dyDescent="0.6">
      <c r="A215" s="7"/>
      <c r="B215" s="49"/>
      <c r="C215" s="49"/>
      <c r="D215" s="7"/>
      <c r="E215" s="7"/>
      <c r="F215" s="7"/>
      <c r="G215" s="5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8"/>
      <c r="Y215" s="8"/>
      <c r="Z215" s="8"/>
    </row>
    <row r="216" spans="1:26" ht="21.75" customHeight="1" x14ac:dyDescent="0.6">
      <c r="A216" s="7"/>
      <c r="B216" s="49"/>
      <c r="C216" s="49"/>
      <c r="D216" s="7"/>
      <c r="E216" s="7"/>
      <c r="F216" s="7"/>
      <c r="G216" s="5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8"/>
      <c r="Y216" s="8"/>
      <c r="Z216" s="8"/>
    </row>
    <row r="217" spans="1:26" ht="21.75" customHeight="1" x14ac:dyDescent="0.6">
      <c r="A217" s="7"/>
      <c r="B217" s="49"/>
      <c r="C217" s="49"/>
      <c r="D217" s="7"/>
      <c r="E217" s="7"/>
      <c r="F217" s="7"/>
      <c r="G217" s="5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8"/>
      <c r="Y217" s="8"/>
      <c r="Z217" s="8"/>
    </row>
    <row r="218" spans="1:26" ht="21.75" customHeight="1" x14ac:dyDescent="0.6">
      <c r="A218" s="7"/>
      <c r="B218" s="49"/>
      <c r="C218" s="49"/>
      <c r="D218" s="7"/>
      <c r="E218" s="7"/>
      <c r="F218" s="7"/>
      <c r="G218" s="5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8"/>
      <c r="Y218" s="8"/>
      <c r="Z218" s="8"/>
    </row>
    <row r="219" spans="1:26" ht="21.75" customHeight="1" x14ac:dyDescent="0.6">
      <c r="A219" s="7"/>
      <c r="B219" s="49"/>
      <c r="C219" s="49"/>
      <c r="D219" s="7"/>
      <c r="E219" s="7"/>
      <c r="F219" s="7"/>
      <c r="G219" s="5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8"/>
      <c r="Y219" s="8"/>
      <c r="Z219" s="8"/>
    </row>
    <row r="220" spans="1:26" ht="21.75" customHeight="1" x14ac:dyDescent="0.6">
      <c r="A220" s="7"/>
      <c r="B220" s="49"/>
      <c r="C220" s="49"/>
      <c r="D220" s="7"/>
      <c r="E220" s="7"/>
      <c r="F220" s="7"/>
      <c r="G220" s="5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8"/>
      <c r="Y220" s="8"/>
      <c r="Z220" s="8"/>
    </row>
    <row r="221" spans="1:26" ht="21.75" customHeight="1" x14ac:dyDescent="0.6">
      <c r="A221" s="7"/>
      <c r="B221" s="49"/>
      <c r="C221" s="49"/>
      <c r="D221" s="7"/>
      <c r="E221" s="7"/>
      <c r="F221" s="7"/>
      <c r="G221" s="5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8"/>
      <c r="Y221" s="8"/>
      <c r="Z221" s="8"/>
    </row>
    <row r="222" spans="1:26" ht="21.75" customHeight="1" x14ac:dyDescent="0.6">
      <c r="A222" s="7"/>
      <c r="B222" s="49"/>
      <c r="C222" s="49"/>
      <c r="D222" s="7"/>
      <c r="E222" s="7"/>
      <c r="F222" s="7"/>
      <c r="G222" s="5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8"/>
      <c r="Y222" s="8"/>
      <c r="Z222" s="8"/>
    </row>
    <row r="223" spans="1:26" ht="21.75" customHeight="1" x14ac:dyDescent="0.6">
      <c r="A223" s="7"/>
      <c r="B223" s="49"/>
      <c r="C223" s="49"/>
      <c r="D223" s="7"/>
      <c r="E223" s="7"/>
      <c r="F223" s="7"/>
      <c r="G223" s="5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8"/>
      <c r="Y223" s="8"/>
      <c r="Z223" s="8"/>
    </row>
    <row r="224" spans="1:26" ht="21.75" customHeight="1" x14ac:dyDescent="0.6">
      <c r="A224" s="7"/>
      <c r="B224" s="49"/>
      <c r="C224" s="49"/>
      <c r="D224" s="7"/>
      <c r="E224" s="7"/>
      <c r="F224" s="7"/>
      <c r="G224" s="5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8"/>
      <c r="Y224" s="8"/>
      <c r="Z224" s="8"/>
    </row>
    <row r="225" spans="1:26" ht="21.75" customHeight="1" x14ac:dyDescent="0.6">
      <c r="A225" s="7"/>
      <c r="B225" s="49"/>
      <c r="C225" s="49"/>
      <c r="D225" s="7"/>
      <c r="E225" s="7"/>
      <c r="F225" s="7"/>
      <c r="G225" s="5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8"/>
      <c r="Y225" s="8"/>
      <c r="Z225" s="8"/>
    </row>
    <row r="226" spans="1:26" ht="21.75" customHeight="1" x14ac:dyDescent="0.6">
      <c r="A226" s="7"/>
      <c r="B226" s="49"/>
      <c r="C226" s="49"/>
      <c r="D226" s="7"/>
      <c r="E226" s="7"/>
      <c r="F226" s="7"/>
      <c r="G226" s="5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8"/>
      <c r="Y226" s="8"/>
      <c r="Z226" s="8"/>
    </row>
    <row r="227" spans="1:26" ht="21.75" customHeight="1" x14ac:dyDescent="0.6">
      <c r="A227" s="7"/>
      <c r="B227" s="49"/>
      <c r="C227" s="49"/>
      <c r="D227" s="7"/>
      <c r="E227" s="7"/>
      <c r="F227" s="7"/>
      <c r="G227" s="5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8"/>
      <c r="Y227" s="8"/>
      <c r="Z227" s="8"/>
    </row>
    <row r="228" spans="1:26" ht="21.75" customHeight="1" x14ac:dyDescent="0.6">
      <c r="A228" s="7"/>
      <c r="B228" s="49"/>
      <c r="C228" s="49"/>
      <c r="D228" s="7"/>
      <c r="E228" s="7"/>
      <c r="F228" s="7"/>
      <c r="G228" s="5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8"/>
      <c r="Y228" s="8"/>
      <c r="Z228" s="8"/>
    </row>
    <row r="229" spans="1:26" ht="21.75" customHeight="1" x14ac:dyDescent="0.6">
      <c r="A229" s="7"/>
      <c r="B229" s="49"/>
      <c r="C229" s="49"/>
      <c r="D229" s="7"/>
      <c r="E229" s="7"/>
      <c r="F229" s="7"/>
      <c r="G229" s="5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8"/>
      <c r="Y229" s="8"/>
      <c r="Z229" s="8"/>
    </row>
    <row r="230" spans="1:26" ht="21.75" customHeight="1" x14ac:dyDescent="0.6">
      <c r="A230" s="7"/>
      <c r="B230" s="49"/>
      <c r="C230" s="49"/>
      <c r="D230" s="7"/>
      <c r="E230" s="7"/>
      <c r="F230" s="7"/>
      <c r="G230" s="5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8"/>
      <c r="Y230" s="8"/>
      <c r="Z230" s="8"/>
    </row>
    <row r="231" spans="1:26" ht="21.75" customHeight="1" x14ac:dyDescent="0.6">
      <c r="A231" s="7"/>
      <c r="B231" s="49"/>
      <c r="C231" s="49"/>
      <c r="D231" s="7"/>
      <c r="E231" s="7"/>
      <c r="F231" s="7"/>
      <c r="G231" s="5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8"/>
      <c r="Y231" s="8"/>
      <c r="Z231" s="8"/>
    </row>
    <row r="232" spans="1:26" ht="21.75" customHeight="1" x14ac:dyDescent="0.6">
      <c r="A232" s="7"/>
      <c r="B232" s="49"/>
      <c r="C232" s="49"/>
      <c r="D232" s="7"/>
      <c r="E232" s="7"/>
      <c r="F232" s="7"/>
      <c r="G232" s="5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8"/>
      <c r="Y232" s="8"/>
      <c r="Z232" s="8"/>
    </row>
    <row r="233" spans="1:26" ht="21.75" customHeight="1" x14ac:dyDescent="0.6">
      <c r="A233" s="7"/>
      <c r="B233" s="49"/>
      <c r="C233" s="49"/>
      <c r="D233" s="7"/>
      <c r="E233" s="7"/>
      <c r="F233" s="7"/>
      <c r="G233" s="5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8"/>
      <c r="Y233" s="8"/>
      <c r="Z233" s="8"/>
    </row>
    <row r="234" spans="1:26" ht="21.75" customHeight="1" x14ac:dyDescent="0.6">
      <c r="A234" s="7"/>
      <c r="B234" s="49"/>
      <c r="C234" s="49"/>
      <c r="D234" s="7"/>
      <c r="E234" s="7"/>
      <c r="F234" s="7"/>
      <c r="G234" s="5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8"/>
      <c r="Y234" s="8"/>
      <c r="Z234" s="8"/>
    </row>
    <row r="235" spans="1:26" ht="21.75" customHeight="1" x14ac:dyDescent="0.6">
      <c r="A235" s="7"/>
      <c r="B235" s="49"/>
      <c r="C235" s="49"/>
      <c r="D235" s="7"/>
      <c r="E235" s="7"/>
      <c r="F235" s="7"/>
      <c r="G235" s="5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8"/>
      <c r="Y235" s="8"/>
      <c r="Z235" s="8"/>
    </row>
    <row r="236" spans="1:26" ht="21.75" customHeight="1" x14ac:dyDescent="0.6">
      <c r="A236" s="7"/>
      <c r="B236" s="49"/>
      <c r="C236" s="49"/>
      <c r="D236" s="7"/>
      <c r="E236" s="7"/>
      <c r="F236" s="7"/>
      <c r="G236" s="5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8"/>
      <c r="Y236" s="8"/>
      <c r="Z236" s="8"/>
    </row>
    <row r="237" spans="1:26" ht="21.75" customHeight="1" x14ac:dyDescent="0.6">
      <c r="A237" s="7"/>
      <c r="B237" s="49"/>
      <c r="C237" s="49"/>
      <c r="D237" s="7"/>
      <c r="E237" s="7"/>
      <c r="F237" s="7"/>
      <c r="G237" s="5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8"/>
      <c r="Y237" s="8"/>
      <c r="Z237" s="8"/>
    </row>
    <row r="238" spans="1:26" ht="21.75" customHeight="1" x14ac:dyDescent="0.6">
      <c r="A238" s="7"/>
      <c r="B238" s="49"/>
      <c r="C238" s="49"/>
      <c r="D238" s="7"/>
      <c r="E238" s="7"/>
      <c r="F238" s="7"/>
      <c r="G238" s="5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8"/>
      <c r="Y238" s="8"/>
      <c r="Z238" s="8"/>
    </row>
    <row r="239" spans="1:26" ht="21.75" customHeight="1" x14ac:dyDescent="0.6">
      <c r="A239" s="7"/>
      <c r="B239" s="49"/>
      <c r="C239" s="49"/>
      <c r="D239" s="7"/>
      <c r="E239" s="7"/>
      <c r="F239" s="7"/>
      <c r="G239" s="5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8"/>
      <c r="Y239" s="8"/>
      <c r="Z239" s="8"/>
    </row>
    <row r="240" spans="1:26" ht="21.75" customHeight="1" x14ac:dyDescent="0.6">
      <c r="A240" s="7"/>
      <c r="B240" s="49"/>
      <c r="C240" s="49"/>
      <c r="D240" s="7"/>
      <c r="E240" s="7"/>
      <c r="F240" s="7"/>
      <c r="G240" s="5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8"/>
      <c r="Y240" s="8"/>
      <c r="Z240" s="8"/>
    </row>
    <row r="241" spans="1:26" ht="21.75" customHeight="1" x14ac:dyDescent="0.6">
      <c r="A241" s="7"/>
      <c r="B241" s="49"/>
      <c r="C241" s="49"/>
      <c r="D241" s="7"/>
      <c r="E241" s="7"/>
      <c r="F241" s="7"/>
      <c r="G241" s="5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8"/>
      <c r="Y241" s="8"/>
      <c r="Z241" s="8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</sheetData>
  <mergeCells count="2">
    <mergeCell ref="D3:I4"/>
    <mergeCell ref="B42:C42"/>
  </mergeCells>
  <phoneticPr fontId="17" type="noConversion"/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1"/>
  <sheetViews>
    <sheetView showGridLines="0" topLeftCell="A10" zoomScaleNormal="100" workbookViewId="0">
      <selection activeCell="C16" sqref="C16:E19"/>
    </sheetView>
  </sheetViews>
  <sheetFormatPr defaultColWidth="14.42578125" defaultRowHeight="15" customHeight="1" x14ac:dyDescent="0.25"/>
  <cols>
    <col min="1" max="1" width="1.28515625" customWidth="1"/>
    <col min="2" max="3" width="18" customWidth="1"/>
    <col min="4" max="4" width="17.85546875" customWidth="1"/>
    <col min="5" max="5" width="11.42578125" customWidth="1"/>
    <col min="6" max="6" width="11.28515625" customWidth="1"/>
    <col min="7" max="7" width="10.7109375" customWidth="1"/>
    <col min="8" max="8" width="0.7109375" customWidth="1"/>
    <col min="9" max="9" width="9.140625" customWidth="1"/>
    <col min="10" max="20" width="8.7109375" customWidth="1"/>
  </cols>
  <sheetData>
    <row r="1" spans="1:23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8"/>
      <c r="W1" s="8"/>
    </row>
    <row r="2" spans="1:23" ht="12.75" customHeight="1" x14ac:dyDescent="0.6">
      <c r="A2" s="7"/>
      <c r="B2" s="51"/>
      <c r="C2" s="52"/>
      <c r="D2" s="10"/>
      <c r="E2" s="10"/>
      <c r="F2" s="10"/>
      <c r="G2" s="53"/>
      <c r="H2" s="1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8"/>
    </row>
    <row r="3" spans="1:23" ht="12.75" customHeight="1" x14ac:dyDescent="0.6">
      <c r="A3" s="7"/>
      <c r="B3" s="209" t="s">
        <v>65</v>
      </c>
      <c r="C3" s="198"/>
      <c r="D3" s="198"/>
      <c r="E3" s="198"/>
      <c r="F3" s="198"/>
      <c r="G3" s="198"/>
      <c r="H3" s="2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8"/>
      <c r="W3" s="8"/>
    </row>
    <row r="4" spans="1:23" ht="12.75" customHeight="1" x14ac:dyDescent="0.6">
      <c r="A4" s="7"/>
      <c r="B4" s="211"/>
      <c r="C4" s="212"/>
      <c r="D4" s="212"/>
      <c r="E4" s="212"/>
      <c r="F4" s="212"/>
      <c r="G4" s="212"/>
      <c r="H4" s="213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8"/>
      <c r="W4" s="8"/>
    </row>
    <row r="5" spans="1:23" ht="21.75" customHeight="1" x14ac:dyDescent="0.6">
      <c r="A5" s="7"/>
      <c r="B5" s="58"/>
      <c r="C5" s="58"/>
      <c r="D5" s="17"/>
      <c r="E5" s="17"/>
      <c r="F5" s="17"/>
      <c r="G5" s="59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8"/>
      <c r="W5" s="8"/>
    </row>
    <row r="6" spans="1:23" ht="21.75" customHeight="1" x14ac:dyDescent="0.6">
      <c r="A6" s="7"/>
      <c r="B6" s="32" t="s">
        <v>66</v>
      </c>
      <c r="C6" s="33" t="s">
        <v>67</v>
      </c>
      <c r="D6" s="60" t="s">
        <v>60</v>
      </c>
      <c r="E6" s="33" t="s">
        <v>68</v>
      </c>
      <c r="F6" s="33" t="s">
        <v>69</v>
      </c>
      <c r="G6" s="29" t="s">
        <v>55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</row>
    <row r="7" spans="1:23" ht="21.75" customHeight="1" x14ac:dyDescent="0.6">
      <c r="A7" s="7"/>
      <c r="B7" s="72" t="s">
        <v>70</v>
      </c>
      <c r="C7" s="85">
        <v>5997.7139999999999</v>
      </c>
      <c r="D7" s="63">
        <v>0.17419999999999999</v>
      </c>
      <c r="E7" s="37">
        <v>40</v>
      </c>
      <c r="F7" s="38">
        <f t="shared" ref="F7:F11" si="0">ROUNDUP(((($C7*D7)/(E7*8.8))),0)</f>
        <v>3</v>
      </c>
      <c r="G7" s="65">
        <f t="shared" ref="G7:G11" si="1">ROUNDUP(F7/2,0)</f>
        <v>2</v>
      </c>
      <c r="I7" s="41"/>
      <c r="J7" s="7"/>
      <c r="K7" s="8"/>
      <c r="L7" s="8"/>
      <c r="M7" s="7"/>
      <c r="N7" s="7"/>
      <c r="O7" s="7"/>
      <c r="P7" s="7"/>
      <c r="Q7" s="7"/>
      <c r="R7" s="7"/>
      <c r="S7" s="7"/>
      <c r="T7" s="7"/>
      <c r="U7" s="8"/>
      <c r="V7" s="8"/>
      <c r="W7" s="8"/>
    </row>
    <row r="8" spans="1:23" ht="21.75" customHeight="1" x14ac:dyDescent="0.6">
      <c r="A8" s="7"/>
      <c r="B8" s="72" t="s">
        <v>71</v>
      </c>
      <c r="C8" s="85">
        <v>5997.7139999999999</v>
      </c>
      <c r="D8" s="63">
        <v>0.63280000000000003</v>
      </c>
      <c r="E8" s="37">
        <v>144</v>
      </c>
      <c r="F8" s="38">
        <f t="shared" si="0"/>
        <v>3</v>
      </c>
      <c r="G8" s="65">
        <f t="shared" si="1"/>
        <v>2</v>
      </c>
      <c r="J8" s="7"/>
      <c r="K8" s="8"/>
      <c r="L8" s="8"/>
      <c r="M8" s="7"/>
      <c r="N8" s="7"/>
      <c r="O8" s="7"/>
      <c r="P8" s="7"/>
      <c r="Q8" s="7"/>
      <c r="R8" s="7"/>
      <c r="S8" s="7"/>
      <c r="T8" s="7"/>
      <c r="U8" s="8"/>
      <c r="V8" s="8"/>
      <c r="W8" s="8"/>
    </row>
    <row r="9" spans="1:23" ht="21.75" customHeight="1" x14ac:dyDescent="0.6">
      <c r="A9" s="7"/>
      <c r="B9" s="72" t="s">
        <v>72</v>
      </c>
      <c r="C9" s="85">
        <f>C10</f>
        <v>5556.1139999999996</v>
      </c>
      <c r="D9" s="63">
        <v>4.7E-2</v>
      </c>
      <c r="E9" s="37">
        <v>10</v>
      </c>
      <c r="F9" s="38">
        <f t="shared" si="0"/>
        <v>3</v>
      </c>
      <c r="G9" s="65">
        <f t="shared" si="1"/>
        <v>2</v>
      </c>
      <c r="I9" s="41"/>
      <c r="J9" s="7"/>
      <c r="K9" s="8"/>
      <c r="L9" s="8"/>
      <c r="M9" s="7"/>
      <c r="N9" s="7"/>
      <c r="O9" s="7"/>
      <c r="P9" s="7"/>
      <c r="Q9" s="7"/>
      <c r="R9" s="7"/>
      <c r="S9" s="7"/>
      <c r="T9" s="7"/>
      <c r="U9" s="8"/>
      <c r="V9" s="8"/>
      <c r="W9" s="8"/>
    </row>
    <row r="10" spans="1:23" ht="21.75" customHeight="1" x14ac:dyDescent="0.6">
      <c r="A10" s="7"/>
      <c r="B10" s="72" t="s">
        <v>73</v>
      </c>
      <c r="C10" s="85">
        <v>5556.1139999999996</v>
      </c>
      <c r="D10" s="63">
        <v>0.1855</v>
      </c>
      <c r="E10" s="37">
        <v>40</v>
      </c>
      <c r="F10" s="38">
        <f t="shared" si="0"/>
        <v>3</v>
      </c>
      <c r="G10" s="65">
        <f t="shared" si="1"/>
        <v>2</v>
      </c>
      <c r="I10" s="41"/>
      <c r="J10" s="7"/>
      <c r="K10" s="8"/>
      <c r="L10" s="8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</row>
    <row r="11" spans="1:23" ht="21.75" customHeight="1" x14ac:dyDescent="0.6">
      <c r="A11" s="7"/>
      <c r="B11" s="72" t="s">
        <v>74</v>
      </c>
      <c r="C11" s="37">
        <v>441.6</v>
      </c>
      <c r="D11" s="63">
        <v>0.94499999999999995</v>
      </c>
      <c r="E11" s="37">
        <v>16</v>
      </c>
      <c r="F11" s="38">
        <f t="shared" si="0"/>
        <v>3</v>
      </c>
      <c r="G11" s="65">
        <f t="shared" si="1"/>
        <v>2</v>
      </c>
      <c r="J11" s="7"/>
      <c r="K11" s="8"/>
      <c r="L11" s="8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</row>
    <row r="12" spans="1:23" ht="21.75" customHeight="1" x14ac:dyDescent="0.6">
      <c r="A12" s="7"/>
      <c r="B12" s="72" t="s">
        <v>75</v>
      </c>
      <c r="C12" s="37" t="s">
        <v>76</v>
      </c>
      <c r="D12" s="63" t="s">
        <v>76</v>
      </c>
      <c r="E12" s="38">
        <f>5*4</f>
        <v>20</v>
      </c>
      <c r="F12" s="38" t="s">
        <v>76</v>
      </c>
      <c r="G12" s="65" t="s">
        <v>76</v>
      </c>
      <c r="I12" s="41"/>
      <c r="J12" s="7"/>
      <c r="K12" s="8"/>
      <c r="L12" s="8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</row>
    <row r="13" spans="1:23" ht="21.75" customHeight="1" x14ac:dyDescent="0.6">
      <c r="A13" s="7"/>
      <c r="B13" s="72" t="s">
        <v>77</v>
      </c>
      <c r="C13" s="37" t="s">
        <v>76</v>
      </c>
      <c r="D13" s="63" t="s">
        <v>76</v>
      </c>
      <c r="E13" s="38">
        <f>4*4</f>
        <v>16</v>
      </c>
      <c r="F13" s="38" t="s">
        <v>76</v>
      </c>
      <c r="G13" s="65" t="s">
        <v>76</v>
      </c>
      <c r="I13" s="41"/>
      <c r="J13" s="7"/>
      <c r="K13" s="8"/>
      <c r="L13" s="8"/>
      <c r="M13" s="7"/>
      <c r="N13" s="7"/>
      <c r="O13" s="7"/>
      <c r="P13" s="7"/>
      <c r="Q13" s="7"/>
      <c r="R13" s="7"/>
      <c r="S13" s="7"/>
      <c r="T13" s="7"/>
      <c r="U13" s="8"/>
      <c r="V13" s="8"/>
      <c r="W13" s="8"/>
    </row>
    <row r="14" spans="1:23" ht="21.75" customHeight="1" x14ac:dyDescent="0.6">
      <c r="A14" s="7"/>
      <c r="B14" s="18"/>
      <c r="C14" s="73"/>
      <c r="D14" s="45" t="s">
        <v>58</v>
      </c>
      <c r="E14" s="74">
        <f>SUM(E7:E13)</f>
        <v>286</v>
      </c>
      <c r="F14" s="22" t="s">
        <v>59</v>
      </c>
      <c r="G14" s="75">
        <f>E14/22</f>
        <v>13</v>
      </c>
      <c r="H14" s="76"/>
      <c r="I14" s="41"/>
      <c r="J14" s="7"/>
      <c r="K14" s="8"/>
      <c r="L14" s="8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</row>
    <row r="15" spans="1:23" ht="21.75" customHeight="1" x14ac:dyDescent="0.6">
      <c r="A15" s="7"/>
      <c r="B15" s="214"/>
      <c r="C15" s="198"/>
      <c r="D15" s="7"/>
      <c r="E15" s="7"/>
      <c r="F15" s="7"/>
      <c r="G15" s="50"/>
      <c r="H15" s="7"/>
      <c r="I15" s="41"/>
      <c r="J15" s="7"/>
      <c r="K15" s="8"/>
      <c r="L15" s="8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</row>
    <row r="16" spans="1:23" ht="60" customHeight="1" x14ac:dyDescent="0.6">
      <c r="A16" s="7"/>
      <c r="B16" s="41"/>
      <c r="C16" s="215" t="s">
        <v>315</v>
      </c>
      <c r="D16" s="215"/>
      <c r="E16" s="215"/>
      <c r="F16" s="7"/>
      <c r="G16" s="50"/>
      <c r="H16" s="7"/>
      <c r="I16" s="41"/>
      <c r="J16" s="7"/>
      <c r="K16" s="8"/>
      <c r="L16" s="8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</row>
    <row r="17" spans="1:23" ht="21.75" customHeight="1" x14ac:dyDescent="0.6">
      <c r="A17" s="7"/>
      <c r="B17" s="41"/>
      <c r="C17" s="215"/>
      <c r="D17" s="215"/>
      <c r="E17" s="215"/>
      <c r="F17" s="7"/>
      <c r="G17" s="50"/>
      <c r="H17" s="7"/>
      <c r="I17" s="41"/>
      <c r="J17" s="7"/>
      <c r="K17" s="8"/>
      <c r="L17" s="8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</row>
    <row r="18" spans="1:23" ht="21.75" customHeight="1" x14ac:dyDescent="0.6">
      <c r="A18" s="7"/>
      <c r="B18" s="41"/>
      <c r="C18" s="215"/>
      <c r="D18" s="215"/>
      <c r="E18" s="215"/>
      <c r="F18" s="7"/>
      <c r="G18" s="50"/>
      <c r="H18" s="7"/>
      <c r="I18" s="41"/>
      <c r="J18" s="7"/>
      <c r="K18" s="8"/>
      <c r="L18" s="8"/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</row>
    <row r="19" spans="1:23" ht="21.75" customHeight="1" x14ac:dyDescent="0.6">
      <c r="A19" s="7"/>
      <c r="B19" s="41"/>
      <c r="C19" s="215"/>
      <c r="D19" s="215"/>
      <c r="E19" s="215"/>
      <c r="F19" s="7"/>
      <c r="G19" s="50"/>
      <c r="H19" s="7"/>
      <c r="I19" s="41"/>
      <c r="J19" s="7"/>
      <c r="K19" s="8"/>
      <c r="L19" s="8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</row>
    <row r="20" spans="1:23" ht="21.75" customHeight="1" x14ac:dyDescent="0.6">
      <c r="A20" s="7"/>
      <c r="B20" s="41"/>
      <c r="C20" s="41"/>
      <c r="D20" s="7"/>
      <c r="E20" s="7"/>
      <c r="F20" s="7"/>
      <c r="G20" s="50"/>
      <c r="H20" s="7"/>
      <c r="I20" s="41"/>
      <c r="J20" s="7"/>
      <c r="K20" s="8"/>
      <c r="L20" s="8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</row>
    <row r="21" spans="1:23" ht="21.75" customHeight="1" x14ac:dyDescent="0.6">
      <c r="A21" s="7"/>
      <c r="B21" s="49"/>
      <c r="C21" s="49"/>
      <c r="D21" s="7"/>
      <c r="E21" s="7"/>
      <c r="F21" s="7"/>
      <c r="G21" s="50"/>
      <c r="H21" s="7"/>
      <c r="I21" s="41"/>
      <c r="J21" s="7"/>
      <c r="K21" s="8"/>
      <c r="L21" s="8"/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</row>
    <row r="22" spans="1:23" ht="21.75" customHeight="1" x14ac:dyDescent="0.6">
      <c r="A22" s="7"/>
      <c r="B22" s="49"/>
      <c r="C22" s="49"/>
      <c r="D22" s="7"/>
      <c r="E22" s="7"/>
      <c r="F22" s="7"/>
      <c r="G22" s="50"/>
      <c r="H22" s="7"/>
      <c r="I22" s="41"/>
      <c r="J22" s="7"/>
      <c r="K22" s="8"/>
      <c r="L22" s="8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</row>
    <row r="23" spans="1:23" ht="21.75" customHeight="1" x14ac:dyDescent="0.6">
      <c r="A23" s="7"/>
      <c r="B23" s="49"/>
      <c r="C23" s="49"/>
      <c r="D23" s="7"/>
      <c r="E23" s="7"/>
      <c r="F23" s="7"/>
      <c r="G23" s="50"/>
      <c r="H23" s="7"/>
      <c r="I23" s="41"/>
      <c r="J23" s="7"/>
      <c r="K23" s="8"/>
      <c r="L23" s="8"/>
      <c r="M23" s="7"/>
      <c r="N23" s="7"/>
      <c r="O23" s="7"/>
      <c r="P23" s="7"/>
      <c r="Q23" s="7"/>
      <c r="R23" s="7"/>
      <c r="S23" s="7"/>
      <c r="T23" s="7"/>
      <c r="U23" s="8"/>
      <c r="V23" s="8"/>
      <c r="W23" s="8"/>
    </row>
    <row r="24" spans="1:23" ht="21.75" customHeight="1" x14ac:dyDescent="0.6">
      <c r="A24" s="7"/>
      <c r="B24" s="49"/>
      <c r="C24" s="49"/>
      <c r="D24" s="7"/>
      <c r="E24" s="7"/>
      <c r="F24" s="7"/>
      <c r="G24" s="50"/>
      <c r="H24" s="7"/>
      <c r="I24" s="41"/>
      <c r="J24" s="7"/>
      <c r="K24" s="8"/>
      <c r="L24" s="8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</row>
    <row r="25" spans="1:23" ht="21.75" customHeight="1" x14ac:dyDescent="0.6">
      <c r="A25" s="7"/>
      <c r="B25" s="49"/>
      <c r="C25" s="49"/>
      <c r="D25" s="7"/>
      <c r="E25" s="7"/>
      <c r="F25" s="7"/>
      <c r="G25" s="50"/>
      <c r="H25" s="7"/>
      <c r="I25" s="41"/>
      <c r="J25" s="7"/>
      <c r="K25" s="8"/>
      <c r="L25" s="8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</row>
    <row r="26" spans="1:23" ht="21.75" customHeight="1" x14ac:dyDescent="0.6">
      <c r="A26" s="7"/>
      <c r="B26" s="49"/>
      <c r="C26" s="49"/>
      <c r="D26" s="7"/>
      <c r="E26" s="7"/>
      <c r="F26" s="7"/>
      <c r="G26" s="50"/>
      <c r="H26" s="7"/>
      <c r="I26" s="41"/>
      <c r="J26" s="7"/>
      <c r="K26" s="8"/>
      <c r="L26" s="8"/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</row>
    <row r="27" spans="1:23" ht="21.75" customHeight="1" x14ac:dyDescent="0.6">
      <c r="A27" s="7"/>
      <c r="B27" s="49"/>
      <c r="C27" s="49"/>
      <c r="D27" s="7"/>
      <c r="E27" s="7"/>
      <c r="F27" s="7"/>
      <c r="G27" s="50"/>
      <c r="H27" s="7"/>
      <c r="I27" s="41"/>
      <c r="J27" s="7"/>
      <c r="K27" s="8"/>
      <c r="L27" s="8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</row>
    <row r="28" spans="1:23" ht="21.75" customHeight="1" x14ac:dyDescent="0.6">
      <c r="A28" s="7"/>
      <c r="B28" s="49"/>
      <c r="C28" s="49"/>
      <c r="D28" s="7"/>
      <c r="E28" s="7"/>
      <c r="F28" s="7"/>
      <c r="G28" s="50"/>
      <c r="H28" s="7"/>
      <c r="I28" s="41"/>
      <c r="J28" s="7"/>
      <c r="K28" s="8"/>
      <c r="L28" s="8"/>
      <c r="M28" s="7"/>
      <c r="N28" s="7"/>
      <c r="O28" s="7"/>
      <c r="P28" s="7"/>
      <c r="Q28" s="7"/>
      <c r="R28" s="7"/>
      <c r="S28" s="7"/>
      <c r="T28" s="7"/>
      <c r="U28" s="8"/>
      <c r="V28" s="8"/>
      <c r="W28" s="8"/>
    </row>
    <row r="29" spans="1:23" ht="9" customHeight="1" x14ac:dyDescent="0.6">
      <c r="A29" s="7"/>
      <c r="B29" s="49"/>
      <c r="C29" s="49"/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8"/>
      <c r="W29" s="8"/>
    </row>
    <row r="30" spans="1:23" ht="21.75" customHeight="1" x14ac:dyDescent="0.6">
      <c r="A30" s="7"/>
      <c r="B30" s="49"/>
      <c r="C30" s="49"/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</row>
    <row r="31" spans="1:23" ht="21.75" customHeight="1" x14ac:dyDescent="0.6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</row>
    <row r="32" spans="1:23" ht="21.75" customHeight="1" x14ac:dyDescent="0.6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8"/>
      <c r="W32" s="8"/>
    </row>
    <row r="33" spans="1:23" ht="21.75" customHeight="1" x14ac:dyDescent="0.6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8"/>
      <c r="W33" s="8"/>
    </row>
    <row r="34" spans="1:23" ht="21.75" customHeight="1" x14ac:dyDescent="0.6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8"/>
      <c r="W34" s="8"/>
    </row>
    <row r="35" spans="1:23" ht="21.75" customHeight="1" x14ac:dyDescent="0.6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8"/>
      <c r="W35" s="8"/>
    </row>
    <row r="36" spans="1:23" ht="21.75" customHeight="1" x14ac:dyDescent="0.6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8"/>
      <c r="W36" s="8"/>
    </row>
    <row r="37" spans="1:23" ht="21.75" customHeight="1" x14ac:dyDescent="0.6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8"/>
      <c r="W37" s="8"/>
    </row>
    <row r="38" spans="1:23" ht="21.75" customHeight="1" x14ac:dyDescent="0.6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8"/>
      <c r="W38" s="8"/>
    </row>
    <row r="39" spans="1:23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8"/>
      <c r="W39" s="8"/>
    </row>
    <row r="40" spans="1:23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</row>
    <row r="41" spans="1:23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8"/>
      <c r="W41" s="8"/>
    </row>
    <row r="42" spans="1:23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8"/>
      <c r="W42" s="8"/>
    </row>
    <row r="43" spans="1:23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8"/>
      <c r="W43" s="8"/>
    </row>
    <row r="44" spans="1:23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</row>
    <row r="45" spans="1:23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</row>
    <row r="46" spans="1:23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8"/>
      <c r="W46" s="8"/>
    </row>
    <row r="47" spans="1:23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8"/>
      <c r="W47" s="8"/>
    </row>
    <row r="48" spans="1:23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</row>
    <row r="49" spans="1:23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</row>
    <row r="50" spans="1:23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</row>
    <row r="51" spans="1:23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8"/>
      <c r="W51" s="8"/>
    </row>
    <row r="52" spans="1:23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8"/>
      <c r="W52" s="8"/>
    </row>
    <row r="53" spans="1:23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8"/>
      <c r="W53" s="8"/>
    </row>
    <row r="54" spans="1:23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8"/>
      <c r="W54" s="8"/>
    </row>
    <row r="55" spans="1:23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</row>
    <row r="56" spans="1:23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8"/>
      <c r="W56" s="8"/>
    </row>
    <row r="57" spans="1:23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8"/>
      <c r="W57" s="8"/>
    </row>
    <row r="58" spans="1:23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</row>
    <row r="59" spans="1:23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8"/>
      <c r="W59" s="8"/>
    </row>
    <row r="60" spans="1:23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</row>
    <row r="61" spans="1:23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</row>
    <row r="62" spans="1:23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8"/>
      <c r="W62" s="8"/>
    </row>
    <row r="63" spans="1:23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</row>
    <row r="64" spans="1:23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</row>
    <row r="65" spans="1:23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</row>
    <row r="66" spans="1:23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8"/>
      <c r="W66" s="8"/>
    </row>
    <row r="67" spans="1:23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8"/>
      <c r="W67" s="8"/>
    </row>
    <row r="68" spans="1:23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8"/>
      <c r="W68" s="8"/>
    </row>
    <row r="69" spans="1:23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</row>
    <row r="70" spans="1:23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8"/>
      <c r="W70" s="8"/>
    </row>
    <row r="71" spans="1:23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8"/>
      <c r="W71" s="8"/>
    </row>
    <row r="72" spans="1:23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8"/>
      <c r="W72" s="8"/>
    </row>
    <row r="73" spans="1:23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8"/>
      <c r="W73" s="8"/>
    </row>
    <row r="74" spans="1:23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8"/>
      <c r="W74" s="8"/>
    </row>
    <row r="75" spans="1:23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</row>
    <row r="76" spans="1:23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</row>
    <row r="77" spans="1:23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8"/>
      <c r="W77" s="8"/>
    </row>
    <row r="78" spans="1:23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8"/>
      <c r="W78" s="8"/>
    </row>
    <row r="79" spans="1:23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8"/>
      <c r="W79" s="8"/>
    </row>
    <row r="80" spans="1:23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8"/>
      <c r="W80" s="8"/>
    </row>
    <row r="81" spans="1:23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8"/>
      <c r="W81" s="8"/>
    </row>
    <row r="82" spans="1:23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8"/>
      <c r="W82" s="8"/>
    </row>
    <row r="83" spans="1:23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8"/>
      <c r="W83" s="8"/>
    </row>
    <row r="84" spans="1:23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8"/>
      <c r="W84" s="8"/>
    </row>
    <row r="85" spans="1:23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8"/>
      <c r="W85" s="8"/>
    </row>
    <row r="86" spans="1:23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8"/>
      <c r="W86" s="8"/>
    </row>
    <row r="87" spans="1:23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8"/>
      <c r="W87" s="8"/>
    </row>
    <row r="88" spans="1:23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8"/>
      <c r="W88" s="8"/>
    </row>
    <row r="89" spans="1:23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8"/>
      <c r="W89" s="8"/>
    </row>
    <row r="90" spans="1:23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8"/>
      <c r="W90" s="8"/>
    </row>
    <row r="91" spans="1:23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</row>
    <row r="92" spans="1:23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8"/>
      <c r="W92" s="8"/>
    </row>
    <row r="93" spans="1:23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8"/>
      <c r="W93" s="8"/>
    </row>
    <row r="94" spans="1:23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</row>
    <row r="95" spans="1:23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</row>
    <row r="96" spans="1:23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8"/>
      <c r="W96" s="8"/>
    </row>
    <row r="97" spans="1:23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8"/>
      <c r="W97" s="8"/>
    </row>
    <row r="98" spans="1:23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8"/>
      <c r="W98" s="8"/>
    </row>
    <row r="99" spans="1:23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8"/>
      <c r="W99" s="8"/>
    </row>
    <row r="100" spans="1:23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</row>
    <row r="101" spans="1:23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</row>
    <row r="102" spans="1:23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8"/>
      <c r="W102" s="8"/>
    </row>
    <row r="103" spans="1:23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8"/>
      <c r="W103" s="8"/>
    </row>
    <row r="104" spans="1:23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8"/>
      <c r="W104" s="8"/>
    </row>
    <row r="105" spans="1:23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</row>
    <row r="106" spans="1:23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8"/>
      <c r="W106" s="8"/>
    </row>
    <row r="107" spans="1:23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8"/>
      <c r="W107" s="8"/>
    </row>
    <row r="108" spans="1:23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</row>
    <row r="109" spans="1:23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8"/>
      <c r="W109" s="8"/>
    </row>
    <row r="110" spans="1:23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8"/>
      <c r="W110" s="8"/>
    </row>
    <row r="111" spans="1:23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8"/>
      <c r="W111" s="8"/>
    </row>
    <row r="112" spans="1:23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8"/>
      <c r="W112" s="8"/>
    </row>
    <row r="113" spans="1:23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8"/>
      <c r="W113" s="8"/>
    </row>
    <row r="114" spans="1:23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8"/>
      <c r="W114" s="8"/>
    </row>
    <row r="115" spans="1:23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8"/>
      <c r="W115" s="8"/>
    </row>
    <row r="116" spans="1:23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8"/>
      <c r="W116" s="8"/>
    </row>
    <row r="117" spans="1:23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</row>
    <row r="118" spans="1:23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8"/>
      <c r="W118" s="8"/>
    </row>
    <row r="119" spans="1:23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8"/>
      <c r="W119" s="8"/>
    </row>
    <row r="120" spans="1:23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8"/>
      <c r="W120" s="8"/>
    </row>
    <row r="121" spans="1:23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8"/>
      <c r="W121" s="8"/>
    </row>
    <row r="122" spans="1:23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8"/>
      <c r="W122" s="8"/>
    </row>
    <row r="123" spans="1:23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8"/>
      <c r="W123" s="8"/>
    </row>
    <row r="124" spans="1:23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8"/>
      <c r="W124" s="8"/>
    </row>
    <row r="125" spans="1:23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</row>
    <row r="126" spans="1:23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8"/>
      <c r="W126" s="8"/>
    </row>
    <row r="127" spans="1:23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8"/>
      <c r="W127" s="8"/>
    </row>
    <row r="128" spans="1:23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8"/>
      <c r="W128" s="8"/>
    </row>
    <row r="129" spans="1:23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8"/>
      <c r="W129" s="8"/>
    </row>
    <row r="130" spans="1:23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</row>
    <row r="131" spans="1:23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</row>
    <row r="132" spans="1:23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8"/>
      <c r="W132" s="8"/>
    </row>
    <row r="133" spans="1:23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</row>
    <row r="134" spans="1:23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8"/>
      <c r="W134" s="8"/>
    </row>
    <row r="135" spans="1:23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8"/>
      <c r="W135" s="8"/>
    </row>
    <row r="136" spans="1:23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8"/>
      <c r="W136" s="8"/>
    </row>
    <row r="137" spans="1:23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8"/>
      <c r="W137" s="8"/>
    </row>
    <row r="138" spans="1:23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</row>
    <row r="139" spans="1:23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8"/>
      <c r="W139" s="8"/>
    </row>
    <row r="140" spans="1:23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8"/>
      <c r="W140" s="8"/>
    </row>
    <row r="141" spans="1:23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8"/>
      <c r="W141" s="8"/>
    </row>
    <row r="142" spans="1:23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8"/>
      <c r="W142" s="8"/>
    </row>
    <row r="143" spans="1:23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8"/>
      <c r="W143" s="8"/>
    </row>
    <row r="144" spans="1:23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8"/>
      <c r="W144" s="8"/>
    </row>
    <row r="145" spans="1:23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8"/>
      <c r="W145" s="8"/>
    </row>
    <row r="146" spans="1:23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8"/>
      <c r="W146" s="8"/>
    </row>
    <row r="147" spans="1:23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8"/>
      <c r="W147" s="8"/>
    </row>
    <row r="148" spans="1:23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8"/>
      <c r="W148" s="8"/>
    </row>
    <row r="149" spans="1:23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8"/>
      <c r="W149" s="8"/>
    </row>
    <row r="150" spans="1:23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8"/>
      <c r="W150" s="8"/>
    </row>
    <row r="151" spans="1:23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8"/>
      <c r="W151" s="8"/>
    </row>
    <row r="152" spans="1:23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</row>
    <row r="153" spans="1:23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8"/>
      <c r="W153" s="8"/>
    </row>
    <row r="154" spans="1:23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8"/>
      <c r="W154" s="8"/>
    </row>
    <row r="155" spans="1:23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8"/>
      <c r="W155" s="8"/>
    </row>
    <row r="156" spans="1:23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8"/>
      <c r="W156" s="8"/>
    </row>
    <row r="157" spans="1:23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</row>
    <row r="158" spans="1:23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8"/>
      <c r="W158" s="8"/>
    </row>
    <row r="159" spans="1:23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8"/>
      <c r="W159" s="8"/>
    </row>
    <row r="160" spans="1:23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8"/>
      <c r="W160" s="8"/>
    </row>
    <row r="161" spans="1:23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8"/>
      <c r="W161" s="8"/>
    </row>
    <row r="162" spans="1:23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8"/>
      <c r="W162" s="8"/>
    </row>
    <row r="163" spans="1:23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8"/>
      <c r="W163" s="8"/>
    </row>
    <row r="164" spans="1:23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8"/>
      <c r="W164" s="8"/>
    </row>
    <row r="165" spans="1:23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8"/>
      <c r="W165" s="8"/>
    </row>
    <row r="166" spans="1:23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8"/>
      <c r="W166" s="8"/>
    </row>
    <row r="167" spans="1:23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8"/>
      <c r="W167" s="8"/>
    </row>
    <row r="168" spans="1:23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8"/>
      <c r="W168" s="8"/>
    </row>
    <row r="169" spans="1:23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8"/>
      <c r="W169" s="8"/>
    </row>
    <row r="170" spans="1:23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8"/>
      <c r="W170" s="8"/>
    </row>
    <row r="171" spans="1:23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8"/>
      <c r="W171" s="8"/>
    </row>
    <row r="172" spans="1:23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8"/>
      <c r="W172" s="8"/>
    </row>
    <row r="173" spans="1:23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8"/>
      <c r="W173" s="8"/>
    </row>
    <row r="174" spans="1:23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8"/>
      <c r="W174" s="8"/>
    </row>
    <row r="175" spans="1:23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8"/>
      <c r="W175" s="8"/>
    </row>
    <row r="176" spans="1:23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</row>
    <row r="177" spans="1:23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8"/>
      <c r="W177" s="8"/>
    </row>
    <row r="178" spans="1:23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8"/>
      <c r="W178" s="8"/>
    </row>
    <row r="179" spans="1:23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8"/>
      <c r="W179" s="8"/>
    </row>
    <row r="180" spans="1:23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8"/>
      <c r="W180" s="8"/>
    </row>
    <row r="181" spans="1:23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8"/>
      <c r="W181" s="8"/>
    </row>
    <row r="182" spans="1:23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8"/>
      <c r="W182" s="8"/>
    </row>
    <row r="183" spans="1:23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8"/>
      <c r="W183" s="8"/>
    </row>
    <row r="184" spans="1:23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8"/>
      <c r="W184" s="8"/>
    </row>
    <row r="185" spans="1:23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8"/>
      <c r="W185" s="8"/>
    </row>
    <row r="186" spans="1:23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</row>
    <row r="187" spans="1:23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8"/>
      <c r="V187" s="8"/>
      <c r="W187" s="8"/>
    </row>
    <row r="188" spans="1:23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8"/>
      <c r="V188" s="8"/>
      <c r="W188" s="8"/>
    </row>
    <row r="189" spans="1:23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8"/>
      <c r="V189" s="8"/>
      <c r="W189" s="8"/>
    </row>
    <row r="190" spans="1:23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8"/>
      <c r="V190" s="8"/>
      <c r="W190" s="8"/>
    </row>
    <row r="191" spans="1:23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/>
      <c r="V191" s="8"/>
      <c r="W191" s="8"/>
    </row>
    <row r="192" spans="1:23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8"/>
      <c r="W192" s="8"/>
    </row>
    <row r="193" spans="1:23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8"/>
      <c r="W193" s="8"/>
    </row>
    <row r="194" spans="1:23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8"/>
      <c r="W194" s="8"/>
    </row>
    <row r="195" spans="1:23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8"/>
      <c r="W195" s="8"/>
    </row>
    <row r="196" spans="1:23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8"/>
      <c r="W196" s="8"/>
    </row>
    <row r="197" spans="1:23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8"/>
      <c r="W197" s="8"/>
    </row>
    <row r="198" spans="1:23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</row>
    <row r="199" spans="1:23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8"/>
      <c r="W199" s="8"/>
    </row>
    <row r="200" spans="1:23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8"/>
      <c r="W200" s="8"/>
    </row>
    <row r="201" spans="1:23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8"/>
      <c r="W201" s="8"/>
    </row>
    <row r="202" spans="1:23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8"/>
      <c r="W202" s="8"/>
    </row>
    <row r="203" spans="1:23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</row>
    <row r="204" spans="1:23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8"/>
      <c r="W204" s="8"/>
    </row>
    <row r="205" spans="1:23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8"/>
      <c r="W205" s="8"/>
    </row>
    <row r="206" spans="1:23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8"/>
      <c r="W206" s="8"/>
    </row>
    <row r="207" spans="1:23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</row>
    <row r="208" spans="1:23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8"/>
      <c r="W208" s="8"/>
    </row>
    <row r="209" spans="1:23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</row>
    <row r="210" spans="1:23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8"/>
      <c r="W210" s="8"/>
    </row>
    <row r="211" spans="1:23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8"/>
      <c r="W211" s="8"/>
    </row>
    <row r="212" spans="1:23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8"/>
      <c r="W212" s="8"/>
    </row>
    <row r="213" spans="1:23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8"/>
      <c r="W213" s="8"/>
    </row>
    <row r="214" spans="1:23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8"/>
      <c r="W214" s="8"/>
    </row>
    <row r="215" spans="1:23" ht="21.75" customHeight="1" x14ac:dyDescent="0.6">
      <c r="A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8"/>
      <c r="W215" s="8"/>
    </row>
    <row r="216" spans="1:23" ht="21.75" customHeight="1" x14ac:dyDescent="0.6">
      <c r="A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8"/>
      <c r="W216" s="8"/>
    </row>
    <row r="217" spans="1:23" ht="21.75" customHeight="1" x14ac:dyDescent="0.6">
      <c r="A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8"/>
      <c r="W217" s="8"/>
    </row>
    <row r="218" spans="1:23" ht="21.75" customHeight="1" x14ac:dyDescent="0.6">
      <c r="A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8"/>
      <c r="W218" s="8"/>
    </row>
    <row r="219" spans="1:23" ht="21.75" customHeight="1" x14ac:dyDescent="0.6">
      <c r="A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8"/>
      <c r="W219" s="8"/>
    </row>
    <row r="220" spans="1:23" ht="21.75" customHeight="1" x14ac:dyDescent="0.6">
      <c r="A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8"/>
      <c r="W220" s="8"/>
    </row>
    <row r="221" spans="1:23" ht="21.75" customHeight="1" x14ac:dyDescent="0.6">
      <c r="A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8"/>
      <c r="W221" s="8"/>
    </row>
    <row r="222" spans="1:23" ht="15.75" customHeight="1" x14ac:dyDescent="0.25"/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">
    <mergeCell ref="B3:H4"/>
    <mergeCell ref="B15:C15"/>
    <mergeCell ref="C16:E1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A1000"/>
  <sheetViews>
    <sheetView showGridLines="0" zoomScale="70" zoomScaleNormal="70" workbookViewId="0">
      <selection activeCell="G29" sqref="G29"/>
    </sheetView>
  </sheetViews>
  <sheetFormatPr defaultColWidth="14.42578125" defaultRowHeight="15" customHeight="1" x14ac:dyDescent="0.25"/>
  <cols>
    <col min="1" max="1" width="1.28515625" customWidth="1"/>
    <col min="2" max="2" width="34.5703125" customWidth="1"/>
    <col min="3" max="3" width="17.85546875" customWidth="1"/>
    <col min="4" max="4" width="40.85546875" customWidth="1"/>
    <col min="5" max="5" width="0.7109375" customWidth="1"/>
    <col min="6" max="6" width="4.28515625" customWidth="1"/>
    <col min="7" max="7" width="57.7109375" customWidth="1"/>
    <col min="8" max="62" width="4.85546875" customWidth="1"/>
    <col min="64" max="64" width="72.5703125" customWidth="1"/>
    <col min="65" max="65" width="52" customWidth="1"/>
    <col min="66" max="66" width="5.140625" customWidth="1"/>
    <col min="67" max="74" width="5.28515625" customWidth="1"/>
    <col min="75" max="75" width="6.42578125" customWidth="1"/>
    <col min="76" max="76" width="6.140625" customWidth="1"/>
    <col min="77" max="84" width="6.42578125" customWidth="1"/>
    <col min="85" max="85" width="6.5703125" customWidth="1"/>
    <col min="86" max="86" width="6.42578125" customWidth="1"/>
    <col min="87" max="95" width="6.5703125" customWidth="1"/>
    <col min="96" max="96" width="6.42578125" customWidth="1"/>
    <col min="97" max="105" width="6.5703125" customWidth="1"/>
  </cols>
  <sheetData>
    <row r="1" spans="1:105" ht="7.5" customHeight="1" x14ac:dyDescent="0.6">
      <c r="A1" s="7"/>
      <c r="B1" s="4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</row>
    <row r="2" spans="1:105" ht="12.75" customHeight="1" x14ac:dyDescent="0.6">
      <c r="A2" s="7"/>
      <c r="B2" s="51"/>
      <c r="C2" s="10"/>
      <c r="D2" s="10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</row>
    <row r="3" spans="1:105" ht="12.75" customHeight="1" x14ac:dyDescent="0.6">
      <c r="A3" s="7"/>
      <c r="B3" s="209" t="s">
        <v>78</v>
      </c>
      <c r="C3" s="198"/>
      <c r="D3" s="198"/>
      <c r="E3" s="210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</row>
    <row r="4" spans="1:105" ht="12.75" customHeight="1" x14ac:dyDescent="0.6">
      <c r="A4" s="7"/>
      <c r="B4" s="211"/>
      <c r="C4" s="212"/>
      <c r="D4" s="212"/>
      <c r="E4" s="21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</row>
    <row r="5" spans="1:105" ht="21.75" customHeight="1" x14ac:dyDescent="0.6">
      <c r="A5" s="7"/>
      <c r="B5" s="58"/>
      <c r="C5" s="17"/>
      <c r="D5" s="17"/>
      <c r="E5" s="17"/>
      <c r="F5" s="7"/>
      <c r="G5" s="7"/>
      <c r="H5" s="216" t="s">
        <v>78</v>
      </c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157"/>
      <c r="BL5" s="218" t="s">
        <v>79</v>
      </c>
      <c r="BM5" s="198"/>
      <c r="BN5" s="198"/>
      <c r="BO5" s="198"/>
      <c r="BP5" s="198"/>
      <c r="BQ5" s="198"/>
      <c r="BR5" s="198"/>
      <c r="BS5" s="198"/>
      <c r="BT5" s="198"/>
      <c r="BU5" s="198"/>
      <c r="BV5" s="198"/>
      <c r="BW5" s="198"/>
      <c r="BX5" s="198"/>
      <c r="BY5" s="198"/>
      <c r="BZ5" s="198"/>
      <c r="CA5" s="198"/>
      <c r="CB5" s="198"/>
      <c r="CC5" s="198"/>
      <c r="CD5" s="198"/>
      <c r="CE5" s="198"/>
      <c r="CF5" s="198"/>
      <c r="CG5" s="198"/>
      <c r="CH5" s="198"/>
      <c r="CI5" s="198"/>
      <c r="CJ5" s="198"/>
      <c r="CK5" s="198"/>
      <c r="CL5" s="198"/>
      <c r="CM5" s="198"/>
      <c r="CN5" s="198"/>
      <c r="CO5" s="198"/>
      <c r="CP5" s="198"/>
      <c r="CQ5" s="198"/>
      <c r="CR5" s="198"/>
      <c r="CS5" s="198"/>
      <c r="CT5" s="198"/>
      <c r="CU5" s="198"/>
      <c r="CV5" s="198"/>
      <c r="CW5" s="198"/>
      <c r="CX5" s="198"/>
      <c r="CY5" s="198"/>
      <c r="CZ5" s="198"/>
      <c r="DA5" s="198"/>
    </row>
    <row r="6" spans="1:105" ht="21.75" customHeight="1" x14ac:dyDescent="0.6">
      <c r="A6" s="7"/>
      <c r="B6" s="32" t="s">
        <v>66</v>
      </c>
      <c r="C6" s="60" t="s">
        <v>80</v>
      </c>
      <c r="D6" s="29"/>
      <c r="F6" s="7"/>
      <c r="G6" s="77" t="s">
        <v>81</v>
      </c>
      <c r="H6" s="77" t="s">
        <v>82</v>
      </c>
      <c r="I6" s="77" t="s">
        <v>83</v>
      </c>
      <c r="J6" s="77" t="s">
        <v>84</v>
      </c>
      <c r="K6" s="77" t="s">
        <v>85</v>
      </c>
      <c r="L6" s="77" t="s">
        <v>86</v>
      </c>
      <c r="M6" s="77" t="s">
        <v>87</v>
      </c>
      <c r="N6" s="77" t="s">
        <v>88</v>
      </c>
      <c r="O6" s="77" t="s">
        <v>89</v>
      </c>
      <c r="P6" s="77" t="s">
        <v>90</v>
      </c>
      <c r="Q6" s="77" t="s">
        <v>91</v>
      </c>
      <c r="R6" s="77" t="s">
        <v>92</v>
      </c>
      <c r="S6" s="77" t="s">
        <v>93</v>
      </c>
      <c r="T6" s="77" t="s">
        <v>94</v>
      </c>
      <c r="U6" s="77" t="s">
        <v>95</v>
      </c>
      <c r="V6" s="77" t="s">
        <v>96</v>
      </c>
      <c r="W6" s="77" t="s">
        <v>97</v>
      </c>
      <c r="X6" s="77" t="s">
        <v>98</v>
      </c>
      <c r="Y6" s="77" t="s">
        <v>99</v>
      </c>
      <c r="Z6" s="77" t="s">
        <v>100</v>
      </c>
      <c r="AA6" s="77" t="s">
        <v>101</v>
      </c>
      <c r="AB6" s="77" t="s">
        <v>102</v>
      </c>
      <c r="AC6" s="77" t="s">
        <v>103</v>
      </c>
      <c r="AD6" s="77" t="s">
        <v>104</v>
      </c>
      <c r="AE6" s="77" t="s">
        <v>105</v>
      </c>
      <c r="AF6" s="78" t="s">
        <v>106</v>
      </c>
      <c r="AG6" s="78" t="s">
        <v>107</v>
      </c>
      <c r="AH6" s="78" t="s">
        <v>108</v>
      </c>
      <c r="AI6" s="78" t="s">
        <v>109</v>
      </c>
      <c r="AJ6" s="78" t="s">
        <v>110</v>
      </c>
      <c r="AK6" s="78" t="s">
        <v>111</v>
      </c>
      <c r="AL6" s="78" t="s">
        <v>112</v>
      </c>
      <c r="AM6" s="78" t="s">
        <v>113</v>
      </c>
      <c r="AN6" s="77" t="s">
        <v>114</v>
      </c>
      <c r="AO6" s="77" t="s">
        <v>115</v>
      </c>
      <c r="AP6" s="77" t="s">
        <v>116</v>
      </c>
      <c r="AQ6" s="77" t="s">
        <v>117</v>
      </c>
      <c r="AR6" s="77" t="s">
        <v>118</v>
      </c>
      <c r="AS6" s="77" t="s">
        <v>119</v>
      </c>
      <c r="AT6" s="77" t="s">
        <v>120</v>
      </c>
      <c r="AU6" s="77" t="s">
        <v>121</v>
      </c>
      <c r="AV6" s="77" t="s">
        <v>162</v>
      </c>
      <c r="AW6" s="77" t="s">
        <v>163</v>
      </c>
      <c r="AX6" s="77" t="s">
        <v>164</v>
      </c>
      <c r="AY6" s="77" t="s">
        <v>165</v>
      </c>
      <c r="AZ6" s="77" t="s">
        <v>166</v>
      </c>
      <c r="BA6" s="77" t="s">
        <v>167</v>
      </c>
      <c r="BB6" s="77" t="s">
        <v>168</v>
      </c>
      <c r="BC6" s="77" t="s">
        <v>169</v>
      </c>
      <c r="BD6" s="77" t="s">
        <v>170</v>
      </c>
      <c r="BE6" s="77" t="s">
        <v>171</v>
      </c>
      <c r="BF6" s="77" t="s">
        <v>172</v>
      </c>
      <c r="BG6" s="77" t="s">
        <v>173</v>
      </c>
      <c r="BH6" s="77" t="s">
        <v>174</v>
      </c>
      <c r="BI6" s="77" t="s">
        <v>175</v>
      </c>
      <c r="BJ6" s="77" t="s">
        <v>325</v>
      </c>
      <c r="BL6" s="77" t="s">
        <v>122</v>
      </c>
      <c r="BM6" s="77" t="s">
        <v>123</v>
      </c>
      <c r="BN6" s="77" t="s">
        <v>82</v>
      </c>
      <c r="BO6" s="77" t="s">
        <v>83</v>
      </c>
      <c r="BP6" s="77" t="s">
        <v>84</v>
      </c>
      <c r="BQ6" s="77" t="s">
        <v>85</v>
      </c>
      <c r="BR6" s="77" t="s">
        <v>86</v>
      </c>
      <c r="BS6" s="77" t="s">
        <v>87</v>
      </c>
      <c r="BT6" s="77" t="s">
        <v>88</v>
      </c>
      <c r="BU6" s="77" t="s">
        <v>89</v>
      </c>
      <c r="BV6" s="77" t="s">
        <v>90</v>
      </c>
      <c r="BW6" s="77" t="s">
        <v>91</v>
      </c>
      <c r="BX6" s="77" t="s">
        <v>92</v>
      </c>
      <c r="BY6" s="77" t="s">
        <v>93</v>
      </c>
      <c r="BZ6" s="77" t="s">
        <v>94</v>
      </c>
      <c r="CA6" s="77" t="s">
        <v>95</v>
      </c>
      <c r="CB6" s="77" t="s">
        <v>96</v>
      </c>
      <c r="CC6" s="77" t="s">
        <v>97</v>
      </c>
      <c r="CD6" s="77" t="s">
        <v>98</v>
      </c>
      <c r="CE6" s="77" t="s">
        <v>99</v>
      </c>
      <c r="CF6" s="77" t="s">
        <v>100</v>
      </c>
      <c r="CG6" s="77" t="s">
        <v>101</v>
      </c>
      <c r="CH6" s="77" t="s">
        <v>102</v>
      </c>
      <c r="CI6" s="77" t="s">
        <v>103</v>
      </c>
      <c r="CJ6" s="77" t="s">
        <v>104</v>
      </c>
      <c r="CK6" s="77" t="s">
        <v>105</v>
      </c>
      <c r="CL6" s="79" t="s">
        <v>106</v>
      </c>
      <c r="CM6" s="79" t="s">
        <v>107</v>
      </c>
      <c r="CN6" s="79" t="s">
        <v>108</v>
      </c>
      <c r="CO6" s="79" t="s">
        <v>109</v>
      </c>
      <c r="CP6" s="79" t="s">
        <v>110</v>
      </c>
      <c r="CQ6" s="79" t="s">
        <v>111</v>
      </c>
      <c r="CR6" s="79" t="s">
        <v>112</v>
      </c>
      <c r="CS6" s="79" t="s">
        <v>113</v>
      </c>
      <c r="CT6" s="77" t="s">
        <v>114</v>
      </c>
      <c r="CU6" s="77" t="s">
        <v>115</v>
      </c>
      <c r="CV6" s="77" t="s">
        <v>116</v>
      </c>
      <c r="CW6" s="77" t="s">
        <v>117</v>
      </c>
      <c r="CX6" s="77" t="s">
        <v>118</v>
      </c>
      <c r="CY6" s="77" t="s">
        <v>119</v>
      </c>
      <c r="CZ6" s="77" t="s">
        <v>120</v>
      </c>
      <c r="DA6" s="77" t="s">
        <v>121</v>
      </c>
    </row>
    <row r="7" spans="1:105" ht="21.75" customHeight="1" x14ac:dyDescent="0.6">
      <c r="A7" s="7"/>
      <c r="B7" s="72" t="s">
        <v>124</v>
      </c>
      <c r="C7" s="80">
        <v>1</v>
      </c>
      <c r="D7" s="65" t="str">
        <f>"+/- 1 mês"</f>
        <v>+/- 1 mês</v>
      </c>
      <c r="F7" s="7"/>
      <c r="G7" s="81" t="s">
        <v>124</v>
      </c>
      <c r="H7" s="82">
        <v>1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L7" s="81" t="s">
        <v>125</v>
      </c>
      <c r="BM7" s="81" t="s">
        <v>124</v>
      </c>
      <c r="BN7" s="82">
        <v>1</v>
      </c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</row>
    <row r="8" spans="1:105" ht="21.75" customHeight="1" x14ac:dyDescent="0.6">
      <c r="A8" s="7"/>
      <c r="B8" s="72" t="s">
        <v>126</v>
      </c>
      <c r="C8" s="63">
        <f>'b. Fundação'!H10+'b. Fundação'!L18</f>
        <v>6.4909090909090903</v>
      </c>
      <c r="D8" s="65" t="s">
        <v>127</v>
      </c>
      <c r="F8" s="7"/>
      <c r="G8" s="83" t="s">
        <v>126</v>
      </c>
      <c r="H8" s="84"/>
      <c r="I8" s="84">
        <v>1</v>
      </c>
      <c r="J8" s="84">
        <v>2</v>
      </c>
      <c r="K8" s="84">
        <v>3</v>
      </c>
      <c r="L8" s="84">
        <v>4</v>
      </c>
      <c r="M8" s="84">
        <v>5</v>
      </c>
      <c r="N8" s="84">
        <v>6</v>
      </c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L8" s="83" t="s">
        <v>128</v>
      </c>
      <c r="BM8" s="83" t="s">
        <v>126</v>
      </c>
      <c r="BN8" s="84"/>
      <c r="BO8" s="84">
        <v>1</v>
      </c>
      <c r="BP8" s="84">
        <v>2</v>
      </c>
      <c r="BQ8" s="84">
        <v>3</v>
      </c>
      <c r="BR8" s="84">
        <v>4</v>
      </c>
      <c r="BS8" s="84">
        <v>5</v>
      </c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</row>
    <row r="9" spans="1:105" ht="21.75" customHeight="1" x14ac:dyDescent="0.6">
      <c r="A9" s="7"/>
      <c r="B9" s="72" t="s">
        <v>129</v>
      </c>
      <c r="C9" s="63">
        <f>'c. Supraestrutura'!I41</f>
        <v>24.59090909090909</v>
      </c>
      <c r="D9" s="65" t="s">
        <v>130</v>
      </c>
      <c r="F9" s="7"/>
      <c r="G9" s="81" t="s">
        <v>129</v>
      </c>
      <c r="H9" s="82"/>
      <c r="I9" s="82"/>
      <c r="J9" s="82"/>
      <c r="K9" s="82"/>
      <c r="L9" s="82"/>
      <c r="M9" s="82"/>
      <c r="N9" s="82"/>
      <c r="O9" s="82">
        <v>1</v>
      </c>
      <c r="P9" s="82">
        <v>2</v>
      </c>
      <c r="Q9" s="82">
        <v>3</v>
      </c>
      <c r="R9" s="82">
        <v>4</v>
      </c>
      <c r="S9" s="82">
        <v>5</v>
      </c>
      <c r="T9" s="82">
        <v>6</v>
      </c>
      <c r="U9" s="82">
        <v>7</v>
      </c>
      <c r="V9" s="82">
        <v>8</v>
      </c>
      <c r="W9" s="82">
        <v>9</v>
      </c>
      <c r="X9" s="82">
        <v>10</v>
      </c>
      <c r="Y9" s="82">
        <v>11</v>
      </c>
      <c r="Z9" s="82">
        <v>12</v>
      </c>
      <c r="AA9" s="82">
        <v>13</v>
      </c>
      <c r="AB9" s="82">
        <v>14</v>
      </c>
      <c r="AC9" s="82">
        <v>15</v>
      </c>
      <c r="AD9" s="82">
        <v>16</v>
      </c>
      <c r="AE9" s="82">
        <v>17</v>
      </c>
      <c r="AF9" s="82">
        <v>18</v>
      </c>
      <c r="AG9" s="82">
        <v>19</v>
      </c>
      <c r="AH9" s="82">
        <v>20</v>
      </c>
      <c r="AI9" s="82">
        <v>21</v>
      </c>
      <c r="AJ9" s="82">
        <v>22</v>
      </c>
      <c r="AK9" s="82">
        <v>23</v>
      </c>
      <c r="AL9" s="82">
        <v>24</v>
      </c>
      <c r="AM9" s="82">
        <v>25</v>
      </c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L9" s="81" t="s">
        <v>131</v>
      </c>
      <c r="BM9" s="81" t="s">
        <v>129</v>
      </c>
      <c r="BN9" s="82"/>
      <c r="BO9" s="82"/>
      <c r="BP9" s="82"/>
      <c r="BQ9" s="82"/>
      <c r="BR9" s="82"/>
      <c r="BS9" s="82"/>
      <c r="BT9" s="82">
        <v>1</v>
      </c>
      <c r="BU9" s="82">
        <v>2</v>
      </c>
      <c r="BV9" s="82">
        <v>3</v>
      </c>
      <c r="BW9" s="82">
        <v>4</v>
      </c>
      <c r="BX9" s="82">
        <v>5</v>
      </c>
      <c r="BY9" s="82">
        <v>6</v>
      </c>
      <c r="BZ9" s="82">
        <v>7</v>
      </c>
      <c r="CA9" s="82">
        <v>8</v>
      </c>
      <c r="CB9" s="82">
        <v>9</v>
      </c>
      <c r="CC9" s="82">
        <v>10</v>
      </c>
      <c r="CD9" s="82">
        <v>11</v>
      </c>
      <c r="CE9" s="82">
        <v>12</v>
      </c>
      <c r="CF9" s="82">
        <v>13</v>
      </c>
      <c r="CG9" s="82">
        <v>14</v>
      </c>
      <c r="CH9" s="82">
        <v>15</v>
      </c>
      <c r="CI9" s="82">
        <v>16</v>
      </c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  <c r="DA9" s="82"/>
    </row>
    <row r="10" spans="1:105" ht="21.75" customHeight="1" x14ac:dyDescent="0.6">
      <c r="A10" s="7"/>
      <c r="B10" s="72" t="s">
        <v>132</v>
      </c>
      <c r="C10" s="85">
        <v>3</v>
      </c>
      <c r="D10" s="65" t="str">
        <f>"+/-3 meses após o término da Supraestrutura"</f>
        <v>+/-3 meses após o término da Supraestrutura</v>
      </c>
      <c r="F10" s="7"/>
      <c r="G10" s="83" t="s">
        <v>133</v>
      </c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>
        <v>1</v>
      </c>
      <c r="T10" s="84">
        <v>2</v>
      </c>
      <c r="U10" s="84">
        <v>3</v>
      </c>
      <c r="V10" s="84">
        <v>4</v>
      </c>
      <c r="W10" s="84">
        <v>5</v>
      </c>
      <c r="X10" s="84">
        <v>6</v>
      </c>
      <c r="Y10" s="84">
        <v>7</v>
      </c>
      <c r="Z10" s="84">
        <v>8</v>
      </c>
      <c r="AA10" s="84">
        <v>9</v>
      </c>
      <c r="AB10" s="84">
        <v>10</v>
      </c>
      <c r="AC10" s="84">
        <v>11</v>
      </c>
      <c r="AD10" s="84">
        <v>12</v>
      </c>
      <c r="AE10" s="84">
        <v>13</v>
      </c>
      <c r="AF10" s="84">
        <v>14</v>
      </c>
      <c r="AG10" s="84">
        <v>15</v>
      </c>
      <c r="AH10" s="84">
        <v>16</v>
      </c>
      <c r="AI10" s="84">
        <v>17</v>
      </c>
      <c r="AJ10" s="84">
        <v>18</v>
      </c>
      <c r="AK10" s="84">
        <v>19</v>
      </c>
      <c r="AL10" s="84">
        <v>20</v>
      </c>
      <c r="AM10" s="84">
        <v>21</v>
      </c>
      <c r="AN10" s="84">
        <v>22</v>
      </c>
      <c r="AO10" s="84">
        <v>23</v>
      </c>
      <c r="AP10" s="84">
        <v>24</v>
      </c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L10" s="83" t="s">
        <v>134</v>
      </c>
      <c r="BM10" s="83" t="s">
        <v>133</v>
      </c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>
        <v>1</v>
      </c>
      <c r="BY10" s="84">
        <v>2</v>
      </c>
      <c r="BZ10" s="84">
        <v>3</v>
      </c>
      <c r="CA10" s="84">
        <v>4</v>
      </c>
      <c r="CB10" s="84">
        <v>5</v>
      </c>
      <c r="CC10" s="84">
        <v>6</v>
      </c>
      <c r="CD10" s="84">
        <v>7</v>
      </c>
      <c r="CE10" s="84">
        <v>8</v>
      </c>
      <c r="CF10" s="84">
        <v>9</v>
      </c>
      <c r="CG10" s="84">
        <v>10</v>
      </c>
      <c r="CH10" s="84">
        <v>11</v>
      </c>
      <c r="CI10" s="84">
        <v>12</v>
      </c>
      <c r="CJ10" s="84">
        <v>13</v>
      </c>
      <c r="CK10" s="84">
        <v>14</v>
      </c>
      <c r="CL10" s="84">
        <v>15</v>
      </c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</row>
    <row r="11" spans="1:105" ht="21.75" customHeight="1" x14ac:dyDescent="0.6">
      <c r="A11" s="7"/>
      <c r="B11" s="72" t="s">
        <v>135</v>
      </c>
      <c r="C11" s="63">
        <f>'d. Fachada'!G14</f>
        <v>13</v>
      </c>
      <c r="D11" s="65" t="s">
        <v>136</v>
      </c>
      <c r="F11" s="7"/>
      <c r="G11" s="81" t="s">
        <v>135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>
        <v>1</v>
      </c>
      <c r="AR11" s="82">
        <v>2</v>
      </c>
      <c r="AS11" s="82">
        <v>3</v>
      </c>
      <c r="AT11" s="82">
        <v>4</v>
      </c>
      <c r="AU11" s="82">
        <v>5</v>
      </c>
      <c r="AV11" s="82">
        <v>6</v>
      </c>
      <c r="AW11" s="82">
        <v>7</v>
      </c>
      <c r="AX11" s="82">
        <v>8</v>
      </c>
      <c r="AY11" s="82">
        <v>9</v>
      </c>
      <c r="AZ11" s="82">
        <v>10</v>
      </c>
      <c r="BA11" s="82">
        <v>11</v>
      </c>
      <c r="BB11" s="82">
        <v>12</v>
      </c>
      <c r="BC11" s="82">
        <v>13</v>
      </c>
      <c r="BD11" s="82"/>
      <c r="BE11" s="82"/>
      <c r="BF11" s="82"/>
      <c r="BG11" s="82"/>
      <c r="BH11" s="82"/>
      <c r="BI11" s="82"/>
      <c r="BJ11" s="82"/>
      <c r="BL11" s="78" t="s">
        <v>137</v>
      </c>
      <c r="BM11" s="78" t="s">
        <v>137</v>
      </c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>
        <v>1</v>
      </c>
      <c r="BZ11" s="86">
        <v>2</v>
      </c>
      <c r="CA11" s="86">
        <v>3</v>
      </c>
      <c r="CB11" s="86">
        <v>4</v>
      </c>
      <c r="CC11" s="86">
        <v>5</v>
      </c>
      <c r="CD11" s="86">
        <v>6</v>
      </c>
      <c r="CE11" s="86">
        <v>7</v>
      </c>
      <c r="CF11" s="86">
        <v>8</v>
      </c>
      <c r="CG11" s="86">
        <v>9</v>
      </c>
      <c r="CH11" s="86">
        <v>10</v>
      </c>
      <c r="CI11" s="86">
        <v>11</v>
      </c>
      <c r="CJ11" s="86">
        <v>12</v>
      </c>
      <c r="CK11" s="86">
        <v>13</v>
      </c>
      <c r="CL11" s="86">
        <v>14</v>
      </c>
      <c r="CM11" s="86">
        <v>15</v>
      </c>
      <c r="CN11" s="86">
        <v>16</v>
      </c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</row>
    <row r="12" spans="1:105" ht="21.75" customHeight="1" x14ac:dyDescent="0.6">
      <c r="A12" s="7"/>
      <c r="B12" s="72" t="s">
        <v>138</v>
      </c>
      <c r="C12" s="63">
        <v>12</v>
      </c>
      <c r="D12" s="65" t="str">
        <f>"+/-12 meses após o término da Alvenaria"</f>
        <v>+/-12 meses após o término da Alvenaria</v>
      </c>
      <c r="F12" s="7"/>
      <c r="G12" s="83" t="s">
        <v>138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>
        <v>1</v>
      </c>
      <c r="AR12" s="84">
        <v>2</v>
      </c>
      <c r="AS12" s="84">
        <v>3</v>
      </c>
      <c r="AT12" s="84">
        <v>4</v>
      </c>
      <c r="AU12" s="84">
        <v>5</v>
      </c>
      <c r="AV12" s="84">
        <v>6</v>
      </c>
      <c r="AW12" s="84">
        <v>7</v>
      </c>
      <c r="AX12" s="84">
        <v>8</v>
      </c>
      <c r="AY12" s="84">
        <v>9</v>
      </c>
      <c r="AZ12" s="84">
        <v>10</v>
      </c>
      <c r="BA12" s="84">
        <v>11</v>
      </c>
      <c r="BB12" s="84">
        <v>12</v>
      </c>
      <c r="BC12" s="84"/>
      <c r="BD12" s="84"/>
      <c r="BE12" s="84"/>
      <c r="BF12" s="84"/>
      <c r="BG12" s="84"/>
      <c r="BH12" s="84"/>
      <c r="BI12" s="84"/>
      <c r="BJ12" s="84"/>
      <c r="BL12" s="78" t="s">
        <v>139</v>
      </c>
      <c r="BM12" s="78" t="s">
        <v>139</v>
      </c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>
        <v>1</v>
      </c>
      <c r="CN12" s="86">
        <v>2</v>
      </c>
      <c r="CO12" s="86">
        <v>3</v>
      </c>
      <c r="CP12" s="86">
        <v>4</v>
      </c>
      <c r="CQ12" s="86">
        <v>5</v>
      </c>
      <c r="CR12" s="86">
        <v>6</v>
      </c>
      <c r="CS12" s="86"/>
      <c r="CT12" s="86"/>
      <c r="CU12" s="86"/>
      <c r="CV12" s="86"/>
      <c r="CW12" s="86"/>
      <c r="CX12" s="86"/>
      <c r="CY12" s="86"/>
      <c r="CZ12" s="86"/>
      <c r="DA12" s="86"/>
    </row>
    <row r="13" spans="1:105" ht="21.75" customHeight="1" x14ac:dyDescent="0.6">
      <c r="A13" s="7"/>
      <c r="B13" s="72" t="s">
        <v>140</v>
      </c>
      <c r="C13" s="63">
        <v>5</v>
      </c>
      <c r="D13" s="65" t="str">
        <f>"+/-5 a 6 meses após o término da Fachada"</f>
        <v>+/-5 a 6 meses após o término da Fachada</v>
      </c>
      <c r="F13" s="7"/>
      <c r="G13" s="81" t="s">
        <v>140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>
        <v>1</v>
      </c>
      <c r="BE13" s="82">
        <v>2</v>
      </c>
      <c r="BF13" s="82">
        <v>3</v>
      </c>
      <c r="BG13" s="82">
        <v>4</v>
      </c>
      <c r="BH13" s="82">
        <v>5</v>
      </c>
      <c r="BI13" s="82">
        <v>6</v>
      </c>
      <c r="BJ13" s="82"/>
      <c r="BL13" s="78" t="s">
        <v>141</v>
      </c>
      <c r="BM13" s="78" t="s">
        <v>141</v>
      </c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>
        <v>1</v>
      </c>
      <c r="CC13" s="86">
        <v>2</v>
      </c>
      <c r="CD13" s="86">
        <v>3</v>
      </c>
      <c r="CE13" s="86">
        <v>4</v>
      </c>
      <c r="CF13" s="86">
        <v>5</v>
      </c>
      <c r="CG13" s="86">
        <v>6</v>
      </c>
      <c r="CH13" s="86">
        <v>7</v>
      </c>
      <c r="CI13" s="86">
        <v>8</v>
      </c>
      <c r="CJ13" s="86">
        <v>9</v>
      </c>
      <c r="CK13" s="86">
        <v>10</v>
      </c>
      <c r="CL13" s="86">
        <v>11</v>
      </c>
      <c r="CM13" s="86">
        <v>12</v>
      </c>
      <c r="CN13" s="86">
        <v>13</v>
      </c>
      <c r="CO13" s="86">
        <v>14</v>
      </c>
      <c r="CP13" s="86">
        <v>15</v>
      </c>
      <c r="CQ13" s="86">
        <v>16</v>
      </c>
      <c r="CR13" s="86"/>
      <c r="CS13" s="86"/>
      <c r="CT13" s="86"/>
      <c r="CU13" s="86"/>
      <c r="CV13" s="86"/>
      <c r="CW13" s="86"/>
      <c r="CX13" s="86"/>
      <c r="CY13" s="86"/>
      <c r="CZ13" s="86"/>
      <c r="DA13" s="86"/>
    </row>
    <row r="14" spans="1:105" ht="21.75" customHeight="1" x14ac:dyDescent="0.6">
      <c r="A14" s="7"/>
      <c r="B14" s="87"/>
      <c r="C14" s="88"/>
      <c r="E14" s="41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8"/>
      <c r="R14" s="8"/>
      <c r="S14" s="8"/>
      <c r="BL14" s="78" t="s">
        <v>142</v>
      </c>
      <c r="BM14" s="78" t="s">
        <v>142</v>
      </c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>
        <v>1</v>
      </c>
      <c r="CA14" s="86">
        <v>2</v>
      </c>
      <c r="CB14" s="86">
        <v>3</v>
      </c>
      <c r="CC14" s="86">
        <v>4</v>
      </c>
      <c r="CD14" s="86">
        <v>5</v>
      </c>
      <c r="CE14" s="86">
        <v>6</v>
      </c>
      <c r="CF14" s="86">
        <v>7</v>
      </c>
      <c r="CG14" s="86">
        <v>8</v>
      </c>
      <c r="CH14" s="86">
        <v>9</v>
      </c>
      <c r="CI14" s="86">
        <v>10</v>
      </c>
      <c r="CJ14" s="86">
        <v>11</v>
      </c>
      <c r="CK14" s="86">
        <v>12</v>
      </c>
      <c r="CL14" s="86">
        <v>13</v>
      </c>
      <c r="CM14" s="86">
        <v>14</v>
      </c>
      <c r="CN14" s="86">
        <v>15</v>
      </c>
      <c r="CO14" s="86">
        <v>16</v>
      </c>
      <c r="CP14" s="86">
        <v>17</v>
      </c>
      <c r="CQ14" s="86"/>
      <c r="CR14" s="86"/>
      <c r="CS14" s="86"/>
      <c r="CT14" s="86"/>
      <c r="CU14" s="86"/>
      <c r="CV14" s="86"/>
      <c r="CW14" s="86"/>
      <c r="CX14" s="86"/>
      <c r="CY14" s="86"/>
      <c r="CZ14" s="86"/>
      <c r="DA14" s="86"/>
    </row>
    <row r="15" spans="1:105" ht="21.75" customHeight="1" x14ac:dyDescent="0.6">
      <c r="A15" s="7"/>
      <c r="B15" s="89" t="s">
        <v>143</v>
      </c>
      <c r="C15" s="90">
        <f>C9+1</f>
        <v>25.59090909090909</v>
      </c>
      <c r="D15" s="91" t="s">
        <v>144</v>
      </c>
      <c r="E15" s="7"/>
      <c r="F15" s="7"/>
      <c r="G15" s="77" t="s">
        <v>81</v>
      </c>
      <c r="H15" s="100" t="s">
        <v>82</v>
      </c>
      <c r="I15" s="100" t="s">
        <v>83</v>
      </c>
      <c r="J15" s="100" t="s">
        <v>84</v>
      </c>
      <c r="K15" s="100" t="s">
        <v>85</v>
      </c>
      <c r="L15" s="100" t="s">
        <v>86</v>
      </c>
      <c r="M15" s="100" t="s">
        <v>87</v>
      </c>
      <c r="N15" s="100" t="s">
        <v>88</v>
      </c>
      <c r="O15" s="100" t="s">
        <v>89</v>
      </c>
      <c r="P15" s="100" t="s">
        <v>90</v>
      </c>
      <c r="Q15" s="100" t="s">
        <v>91</v>
      </c>
      <c r="R15" s="100" t="s">
        <v>92</v>
      </c>
      <c r="S15" s="100" t="s">
        <v>93</v>
      </c>
      <c r="T15" s="100" t="s">
        <v>94</v>
      </c>
      <c r="U15" s="100" t="s">
        <v>95</v>
      </c>
      <c r="V15" s="100" t="s">
        <v>96</v>
      </c>
      <c r="W15" s="100" t="s">
        <v>97</v>
      </c>
      <c r="X15" s="100" t="s">
        <v>98</v>
      </c>
      <c r="Y15" s="100" t="s">
        <v>99</v>
      </c>
      <c r="Z15" s="100" t="s">
        <v>100</v>
      </c>
      <c r="AA15" s="100" t="s">
        <v>101</v>
      </c>
      <c r="AB15" s="100" t="s">
        <v>102</v>
      </c>
      <c r="AC15" s="100" t="s">
        <v>103</v>
      </c>
      <c r="AD15" s="100" t="s">
        <v>104</v>
      </c>
      <c r="AE15" s="100" t="s">
        <v>105</v>
      </c>
      <c r="AF15" s="101" t="s">
        <v>106</v>
      </c>
      <c r="AG15" s="101" t="s">
        <v>107</v>
      </c>
      <c r="AH15" s="101" t="s">
        <v>108</v>
      </c>
      <c r="AI15" s="101" t="s">
        <v>109</v>
      </c>
      <c r="AJ15" s="101" t="s">
        <v>110</v>
      </c>
      <c r="AK15" s="101" t="s">
        <v>111</v>
      </c>
      <c r="AL15" s="101" t="s">
        <v>112</v>
      </c>
      <c r="AM15" s="101" t="s">
        <v>113</v>
      </c>
      <c r="AN15" s="100" t="s">
        <v>114</v>
      </c>
      <c r="AO15" s="100" t="s">
        <v>115</v>
      </c>
      <c r="AP15" s="100" t="s">
        <v>116</v>
      </c>
      <c r="AQ15" s="100" t="s">
        <v>117</v>
      </c>
      <c r="AR15" s="100" t="s">
        <v>118</v>
      </c>
      <c r="AS15" s="100" t="s">
        <v>119</v>
      </c>
      <c r="AT15" s="100" t="s">
        <v>120</v>
      </c>
      <c r="AU15" s="100" t="s">
        <v>121</v>
      </c>
      <c r="AV15" s="100" t="s">
        <v>162</v>
      </c>
      <c r="AW15" s="100" t="s">
        <v>163</v>
      </c>
      <c r="AX15" s="100" t="s">
        <v>164</v>
      </c>
      <c r="AY15" s="100" t="s">
        <v>165</v>
      </c>
      <c r="AZ15" s="100" t="s">
        <v>166</v>
      </c>
      <c r="BA15" s="100" t="s">
        <v>167</v>
      </c>
      <c r="BB15" s="100" t="s">
        <v>168</v>
      </c>
      <c r="BC15" s="104" t="s">
        <v>169</v>
      </c>
      <c r="BD15" s="107"/>
      <c r="BE15" s="107"/>
      <c r="BF15" s="107"/>
      <c r="BG15" s="107"/>
      <c r="BH15" s="107"/>
      <c r="BI15" s="107"/>
      <c r="BJ15" s="107"/>
      <c r="BL15" s="78" t="s">
        <v>145</v>
      </c>
      <c r="BM15" s="78" t="s">
        <v>145</v>
      </c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>
        <v>1</v>
      </c>
      <c r="CE15" s="86">
        <v>2</v>
      </c>
      <c r="CF15" s="86">
        <v>3</v>
      </c>
      <c r="CG15" s="86">
        <v>4</v>
      </c>
      <c r="CH15" s="86">
        <v>5</v>
      </c>
      <c r="CI15" s="86">
        <v>6</v>
      </c>
      <c r="CJ15" s="86">
        <v>7</v>
      </c>
      <c r="CK15" s="86">
        <v>8</v>
      </c>
      <c r="CL15" s="86">
        <v>9</v>
      </c>
      <c r="CM15" s="86">
        <v>10</v>
      </c>
      <c r="CN15" s="86">
        <v>11</v>
      </c>
      <c r="CO15" s="86">
        <v>12</v>
      </c>
      <c r="CP15" s="86">
        <v>13</v>
      </c>
      <c r="CQ15" s="86">
        <v>14</v>
      </c>
      <c r="CR15" s="86">
        <v>15</v>
      </c>
      <c r="CS15" s="86">
        <v>16</v>
      </c>
      <c r="CT15" s="86"/>
      <c r="CU15" s="86"/>
      <c r="CV15" s="86"/>
      <c r="CW15" s="86"/>
      <c r="CX15" s="86"/>
      <c r="CY15" s="86"/>
      <c r="CZ15" s="86"/>
      <c r="DA15" s="86"/>
    </row>
    <row r="16" spans="1:105" ht="23.25" customHeight="1" x14ac:dyDescent="0.6">
      <c r="A16" s="7"/>
      <c r="B16" s="89" t="s">
        <v>77</v>
      </c>
      <c r="C16" s="90">
        <f>C11+1</f>
        <v>14</v>
      </c>
      <c r="D16" s="91" t="s">
        <v>146</v>
      </c>
      <c r="E16" s="7"/>
      <c r="F16" s="7"/>
      <c r="G16" s="96" t="s">
        <v>125</v>
      </c>
      <c r="H16" s="102">
        <v>1</v>
      </c>
      <c r="I16" s="102">
        <v>2</v>
      </c>
      <c r="J16" s="102">
        <v>3</v>
      </c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5"/>
      <c r="BD16" s="108"/>
      <c r="BE16" s="108"/>
      <c r="BF16" s="108"/>
      <c r="BG16" s="108"/>
      <c r="BH16" s="108"/>
      <c r="BI16" s="108"/>
      <c r="BJ16" s="108"/>
      <c r="BL16" s="83"/>
      <c r="BM16" s="83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</row>
    <row r="17" spans="1:105" ht="56.25" x14ac:dyDescent="0.6">
      <c r="A17" s="7"/>
      <c r="B17" s="89" t="s">
        <v>147</v>
      </c>
      <c r="C17" s="90">
        <f>C9-(('c. Supraestrutura'!G39+'c. Supraestrutura'!G38+'c. Supraestrutura'!G37)/22)+C10+B21</f>
        <v>27.545454545454547</v>
      </c>
      <c r="D17" s="91" t="s">
        <v>148</v>
      </c>
      <c r="E17" s="7"/>
      <c r="F17" s="7"/>
      <c r="G17" s="97" t="s">
        <v>128</v>
      </c>
      <c r="H17" s="103">
        <v>1</v>
      </c>
      <c r="I17" s="103">
        <v>2</v>
      </c>
      <c r="J17" s="103">
        <v>3</v>
      </c>
      <c r="K17" s="103">
        <v>4</v>
      </c>
      <c r="L17" s="103">
        <v>5</v>
      </c>
      <c r="M17" s="103">
        <v>6</v>
      </c>
      <c r="N17" s="103">
        <v>7</v>
      </c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6"/>
      <c r="BD17" s="108"/>
      <c r="BE17" s="108"/>
      <c r="BF17" s="108"/>
      <c r="BG17" s="108"/>
      <c r="BH17" s="108"/>
      <c r="BI17" s="108"/>
      <c r="BJ17" s="108"/>
      <c r="BL17" s="83" t="s">
        <v>149</v>
      </c>
      <c r="BM17" s="83" t="s">
        <v>149</v>
      </c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>
        <v>1</v>
      </c>
      <c r="CD17" s="84">
        <v>2</v>
      </c>
      <c r="CE17" s="84">
        <v>3</v>
      </c>
      <c r="CF17" s="84">
        <v>4</v>
      </c>
      <c r="CG17" s="84">
        <v>5</v>
      </c>
      <c r="CH17" s="84">
        <v>6</v>
      </c>
      <c r="CI17" s="84">
        <v>7</v>
      </c>
      <c r="CJ17" s="84">
        <v>8</v>
      </c>
      <c r="CK17" s="84">
        <v>9</v>
      </c>
      <c r="CL17" s="84">
        <v>10</v>
      </c>
      <c r="CM17" s="84">
        <v>11</v>
      </c>
      <c r="CN17" s="84">
        <v>12</v>
      </c>
      <c r="CO17" s="84">
        <v>13</v>
      </c>
      <c r="CP17" s="84">
        <v>14</v>
      </c>
      <c r="CQ17" s="84">
        <v>15</v>
      </c>
      <c r="CR17" s="84">
        <v>16</v>
      </c>
      <c r="CS17" s="84">
        <v>17</v>
      </c>
      <c r="CT17" s="84">
        <v>18</v>
      </c>
      <c r="CU17" s="84"/>
      <c r="CV17" s="84"/>
      <c r="CW17" s="84"/>
      <c r="CX17" s="84"/>
      <c r="CY17" s="84"/>
      <c r="CZ17" s="84"/>
      <c r="DA17" s="84"/>
    </row>
    <row r="18" spans="1:105" ht="21.75" customHeight="1" x14ac:dyDescent="0.6">
      <c r="A18" s="7"/>
      <c r="B18" s="41"/>
      <c r="C18" s="7"/>
      <c r="D18" s="7"/>
      <c r="E18" s="7"/>
      <c r="F18" s="7"/>
      <c r="G18" s="98" t="s">
        <v>131</v>
      </c>
      <c r="H18" s="102"/>
      <c r="I18" s="102"/>
      <c r="J18" s="102"/>
      <c r="K18" s="102"/>
      <c r="L18" s="102"/>
      <c r="M18" s="102"/>
      <c r="N18" s="102"/>
      <c r="O18" s="102">
        <v>1</v>
      </c>
      <c r="P18" s="102">
        <v>2</v>
      </c>
      <c r="Q18" s="102">
        <v>3</v>
      </c>
      <c r="R18" s="102">
        <v>4</v>
      </c>
      <c r="S18" s="102">
        <v>5</v>
      </c>
      <c r="T18" s="102">
        <v>6</v>
      </c>
      <c r="U18" s="102">
        <v>7</v>
      </c>
      <c r="V18" s="102">
        <v>8</v>
      </c>
      <c r="W18" s="102">
        <v>9</v>
      </c>
      <c r="X18" s="102">
        <v>10</v>
      </c>
      <c r="Y18" s="102">
        <v>11</v>
      </c>
      <c r="Z18" s="102">
        <v>12</v>
      </c>
      <c r="AA18" s="102">
        <v>13</v>
      </c>
      <c r="AB18" s="102">
        <v>14</v>
      </c>
      <c r="AC18" s="102">
        <v>15</v>
      </c>
      <c r="AD18" s="102">
        <v>16</v>
      </c>
      <c r="AE18" s="102">
        <v>17</v>
      </c>
      <c r="AF18" s="102">
        <v>18</v>
      </c>
      <c r="AG18" s="102">
        <v>19</v>
      </c>
      <c r="AH18" s="102">
        <v>20</v>
      </c>
      <c r="AI18" s="102">
        <v>21</v>
      </c>
      <c r="AJ18" s="102">
        <v>22</v>
      </c>
      <c r="AK18" s="102">
        <v>23</v>
      </c>
      <c r="AL18" s="102">
        <v>24</v>
      </c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5"/>
      <c r="BD18" s="108"/>
      <c r="BE18" s="108"/>
      <c r="BF18" s="108"/>
      <c r="BG18" s="108"/>
      <c r="BH18" s="108"/>
      <c r="BI18" s="108"/>
      <c r="BJ18" s="108"/>
      <c r="BL18" s="83" t="s">
        <v>150</v>
      </c>
      <c r="BM18" s="83" t="s">
        <v>150</v>
      </c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>
        <v>1</v>
      </c>
      <c r="CF18" s="84">
        <v>2</v>
      </c>
      <c r="CG18" s="84">
        <v>3</v>
      </c>
      <c r="CH18" s="84">
        <v>4</v>
      </c>
      <c r="CI18" s="84">
        <v>5</v>
      </c>
      <c r="CJ18" s="84">
        <v>6</v>
      </c>
      <c r="CK18" s="84">
        <v>7</v>
      </c>
      <c r="CL18" s="84">
        <v>8</v>
      </c>
      <c r="CM18" s="84">
        <v>9</v>
      </c>
      <c r="CN18" s="84">
        <v>10</v>
      </c>
      <c r="CO18" s="84">
        <v>11</v>
      </c>
      <c r="CP18" s="84">
        <v>12</v>
      </c>
      <c r="CQ18" s="84">
        <v>13</v>
      </c>
      <c r="CR18" s="84">
        <v>14</v>
      </c>
      <c r="CS18" s="84">
        <v>15</v>
      </c>
      <c r="CT18" s="84">
        <v>16</v>
      </c>
      <c r="CU18" s="84">
        <v>17</v>
      </c>
      <c r="CV18" s="84">
        <v>18</v>
      </c>
      <c r="CW18" s="84">
        <v>19</v>
      </c>
      <c r="CX18" s="84">
        <v>20</v>
      </c>
      <c r="CY18" s="84"/>
      <c r="CZ18" s="84"/>
      <c r="DA18" s="84"/>
    </row>
    <row r="19" spans="1:105" ht="21.75" customHeight="1" x14ac:dyDescent="0.6">
      <c r="A19" s="7"/>
      <c r="B19" s="92" t="s">
        <v>151</v>
      </c>
      <c r="C19" s="93">
        <f>15+15+15</f>
        <v>45</v>
      </c>
      <c r="D19" s="7"/>
      <c r="E19" s="7"/>
      <c r="F19" s="7"/>
      <c r="G19" s="97" t="s">
        <v>134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>
        <v>1</v>
      </c>
      <c r="S19" s="103">
        <v>2</v>
      </c>
      <c r="T19" s="103">
        <v>3</v>
      </c>
      <c r="U19" s="103">
        <v>4</v>
      </c>
      <c r="V19" s="103">
        <v>5</v>
      </c>
      <c r="W19" s="103">
        <v>6</v>
      </c>
      <c r="X19" s="103">
        <v>7</v>
      </c>
      <c r="Y19" s="103">
        <v>8</v>
      </c>
      <c r="Z19" s="103">
        <v>9</v>
      </c>
      <c r="AA19" s="103">
        <v>10</v>
      </c>
      <c r="AB19" s="103">
        <v>11</v>
      </c>
      <c r="AC19" s="103">
        <v>12</v>
      </c>
      <c r="AD19" s="103">
        <v>13</v>
      </c>
      <c r="AE19" s="103">
        <v>14</v>
      </c>
      <c r="AF19" s="103">
        <v>15</v>
      </c>
      <c r="AG19" s="103">
        <v>16</v>
      </c>
      <c r="AH19" s="103">
        <v>17</v>
      </c>
      <c r="AI19" s="103">
        <v>18</v>
      </c>
      <c r="AJ19" s="103">
        <v>19</v>
      </c>
      <c r="AK19" s="103">
        <v>20</v>
      </c>
      <c r="AL19" s="103">
        <v>21</v>
      </c>
      <c r="AM19" s="103">
        <v>22</v>
      </c>
      <c r="AN19" s="103">
        <v>23</v>
      </c>
      <c r="AO19" s="103">
        <v>24</v>
      </c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6"/>
      <c r="BD19" s="108"/>
      <c r="BE19" s="108"/>
      <c r="BF19" s="108"/>
      <c r="BG19" s="108"/>
      <c r="BH19" s="108"/>
      <c r="BI19" s="108"/>
      <c r="BJ19" s="108"/>
      <c r="BL19" s="78" t="s">
        <v>152</v>
      </c>
      <c r="BM19" s="78" t="s">
        <v>152</v>
      </c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>
        <v>1</v>
      </c>
      <c r="CP19" s="86">
        <v>2</v>
      </c>
      <c r="CQ19" s="86">
        <v>3</v>
      </c>
      <c r="CR19" s="86">
        <v>4</v>
      </c>
      <c r="CS19" s="86">
        <v>5</v>
      </c>
      <c r="CT19" s="86">
        <v>6</v>
      </c>
      <c r="CU19" s="86">
        <v>7</v>
      </c>
      <c r="CV19" s="86">
        <v>8</v>
      </c>
      <c r="CW19" s="86">
        <v>9</v>
      </c>
      <c r="CX19" s="86">
        <v>10</v>
      </c>
      <c r="CY19" s="86">
        <v>11</v>
      </c>
      <c r="CZ19" s="86"/>
      <c r="DA19" s="86"/>
    </row>
    <row r="20" spans="1:105" ht="21.75" customHeight="1" x14ac:dyDescent="0.6">
      <c r="A20" s="7"/>
      <c r="B20" s="92" t="s">
        <v>153</v>
      </c>
      <c r="C20" s="93">
        <v>60</v>
      </c>
      <c r="D20" s="7"/>
      <c r="E20" s="7"/>
      <c r="F20" s="7"/>
      <c r="G20" s="98" t="s">
        <v>137</v>
      </c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>
        <v>1</v>
      </c>
      <c r="U20" s="102">
        <v>2</v>
      </c>
      <c r="V20" s="102">
        <v>3</v>
      </c>
      <c r="W20" s="102">
        <v>4</v>
      </c>
      <c r="X20" s="102">
        <v>5</v>
      </c>
      <c r="Y20" s="102">
        <v>6</v>
      </c>
      <c r="Z20" s="102">
        <v>7</v>
      </c>
      <c r="AA20" s="102">
        <v>8</v>
      </c>
      <c r="AB20" s="102">
        <v>9</v>
      </c>
      <c r="AC20" s="102">
        <v>10</v>
      </c>
      <c r="AD20" s="102">
        <v>11</v>
      </c>
      <c r="AE20" s="102">
        <v>12</v>
      </c>
      <c r="AF20" s="102">
        <v>13</v>
      </c>
      <c r="AG20" s="102">
        <v>14</v>
      </c>
      <c r="AH20" s="102">
        <v>15</v>
      </c>
      <c r="AI20" s="102">
        <v>16</v>
      </c>
      <c r="AJ20" s="102">
        <v>17</v>
      </c>
      <c r="AK20" s="102">
        <v>18</v>
      </c>
      <c r="AL20" s="102">
        <v>19</v>
      </c>
      <c r="AM20" s="102">
        <v>20</v>
      </c>
      <c r="AN20" s="102">
        <v>21</v>
      </c>
      <c r="AO20" s="102">
        <v>22</v>
      </c>
      <c r="AP20" s="102">
        <v>23</v>
      </c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5"/>
      <c r="BD20" s="108"/>
      <c r="BE20" s="108"/>
      <c r="BF20" s="108"/>
      <c r="BG20" s="108"/>
      <c r="BH20" s="108"/>
      <c r="BI20" s="108"/>
      <c r="BJ20" s="108"/>
      <c r="BL20" s="78" t="s">
        <v>154</v>
      </c>
      <c r="BM20" s="78" t="s">
        <v>154</v>
      </c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>
        <v>1</v>
      </c>
      <c r="CW20" s="86">
        <v>2</v>
      </c>
      <c r="CX20" s="86">
        <v>3</v>
      </c>
      <c r="CY20" s="86">
        <v>4</v>
      </c>
      <c r="CZ20" s="86"/>
      <c r="DA20" s="86"/>
    </row>
    <row r="21" spans="1:105" ht="21.75" customHeight="1" x14ac:dyDescent="0.6">
      <c r="A21" s="7"/>
      <c r="B21" s="94">
        <f>C21/22</f>
        <v>4.7727272727272725</v>
      </c>
      <c r="C21" s="86">
        <f>C19+C20</f>
        <v>105</v>
      </c>
      <c r="E21" s="7"/>
      <c r="F21" s="7"/>
      <c r="G21" s="97" t="s">
        <v>139</v>
      </c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>
        <v>1</v>
      </c>
      <c r="AN21" s="103">
        <v>2</v>
      </c>
      <c r="AO21" s="103">
        <v>3</v>
      </c>
      <c r="AP21" s="103">
        <v>4</v>
      </c>
      <c r="AQ21" s="103">
        <v>5</v>
      </c>
      <c r="AR21" s="103">
        <v>6</v>
      </c>
      <c r="AS21" s="103">
        <v>7</v>
      </c>
      <c r="AT21" s="103">
        <v>8</v>
      </c>
      <c r="AU21" s="103">
        <v>9</v>
      </c>
      <c r="AV21" s="103">
        <v>10</v>
      </c>
      <c r="AW21" s="103">
        <v>11</v>
      </c>
      <c r="AX21" s="103">
        <v>12</v>
      </c>
      <c r="AY21" s="103">
        <v>13</v>
      </c>
      <c r="AZ21" s="103">
        <v>14</v>
      </c>
      <c r="BA21" s="103"/>
      <c r="BB21" s="103"/>
      <c r="BC21" s="106"/>
      <c r="BD21" s="108"/>
      <c r="BE21" s="108"/>
      <c r="BF21" s="108"/>
      <c r="BG21" s="108"/>
      <c r="BH21" s="108"/>
      <c r="BI21" s="108"/>
      <c r="BJ21" s="108"/>
      <c r="BL21" s="81" t="s">
        <v>155</v>
      </c>
      <c r="BM21" s="81" t="s">
        <v>155</v>
      </c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>
        <v>1</v>
      </c>
      <c r="CN21" s="82">
        <v>2</v>
      </c>
      <c r="CO21" s="82">
        <v>3</v>
      </c>
      <c r="CP21" s="82">
        <v>4</v>
      </c>
      <c r="CQ21" s="82">
        <v>5</v>
      </c>
      <c r="CR21" s="82">
        <v>6</v>
      </c>
      <c r="CS21" s="82">
        <v>7</v>
      </c>
      <c r="CT21" s="82">
        <v>8</v>
      </c>
      <c r="CU21" s="82">
        <v>9</v>
      </c>
      <c r="CV21" s="82"/>
      <c r="CW21" s="82"/>
      <c r="CX21" s="82"/>
      <c r="CY21" s="82"/>
      <c r="CZ21" s="82"/>
      <c r="DA21" s="82"/>
    </row>
    <row r="22" spans="1:105" ht="21.75" customHeight="1" x14ac:dyDescent="0.6">
      <c r="A22" s="7"/>
      <c r="B22" s="58"/>
      <c r="C22" s="39"/>
      <c r="D22" s="7"/>
      <c r="E22" s="7"/>
      <c r="F22" s="7"/>
      <c r="G22" s="98" t="s">
        <v>141</v>
      </c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>
        <v>1</v>
      </c>
      <c r="W22" s="102">
        <v>2</v>
      </c>
      <c r="X22" s="102">
        <v>3</v>
      </c>
      <c r="Y22" s="102">
        <v>4</v>
      </c>
      <c r="Z22" s="102">
        <v>5</v>
      </c>
      <c r="AA22" s="102">
        <v>6</v>
      </c>
      <c r="AB22" s="102">
        <v>7</v>
      </c>
      <c r="AC22" s="102">
        <v>8</v>
      </c>
      <c r="AD22" s="102">
        <v>9</v>
      </c>
      <c r="AE22" s="102">
        <v>10</v>
      </c>
      <c r="AF22" s="102">
        <v>11</v>
      </c>
      <c r="AG22" s="102">
        <v>12</v>
      </c>
      <c r="AH22" s="102">
        <v>13</v>
      </c>
      <c r="AI22" s="102">
        <v>14</v>
      </c>
      <c r="AJ22" s="102">
        <v>15</v>
      </c>
      <c r="AK22" s="102">
        <v>16</v>
      </c>
      <c r="AL22" s="102">
        <v>17</v>
      </c>
      <c r="AM22" s="102">
        <v>18</v>
      </c>
      <c r="AN22" s="102">
        <v>19</v>
      </c>
      <c r="AO22" s="102">
        <v>20</v>
      </c>
      <c r="AP22" s="102">
        <v>21</v>
      </c>
      <c r="AQ22" s="102">
        <v>22</v>
      </c>
      <c r="AR22" s="102">
        <v>23</v>
      </c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5"/>
      <c r="BD22" s="108"/>
      <c r="BE22" s="108"/>
      <c r="BF22" s="108"/>
      <c r="BG22" s="108"/>
      <c r="BH22" s="108"/>
      <c r="BI22" s="108"/>
      <c r="BJ22" s="108"/>
      <c r="BL22" s="78" t="s">
        <v>156</v>
      </c>
      <c r="BM22" s="81" t="s">
        <v>140</v>
      </c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6"/>
      <c r="CV22" s="82">
        <v>1</v>
      </c>
      <c r="CW22" s="82">
        <v>2</v>
      </c>
      <c r="CX22" s="82">
        <v>3</v>
      </c>
      <c r="CY22" s="82">
        <v>4</v>
      </c>
      <c r="CZ22" s="82">
        <v>5</v>
      </c>
      <c r="DA22" s="82">
        <v>6</v>
      </c>
    </row>
    <row r="23" spans="1:105" ht="21.75" customHeight="1" x14ac:dyDescent="0.6">
      <c r="A23" s="7"/>
      <c r="B23" s="49"/>
      <c r="C23" s="7"/>
      <c r="D23" s="7"/>
      <c r="E23" s="7"/>
      <c r="F23" s="7"/>
      <c r="G23" s="97" t="s">
        <v>142</v>
      </c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>
        <v>1</v>
      </c>
      <c r="V23" s="103">
        <v>2</v>
      </c>
      <c r="W23" s="103">
        <v>3</v>
      </c>
      <c r="X23" s="103">
        <v>4</v>
      </c>
      <c r="Y23" s="103">
        <v>5</v>
      </c>
      <c r="Z23" s="103">
        <v>6</v>
      </c>
      <c r="AA23" s="103">
        <v>7</v>
      </c>
      <c r="AB23" s="103">
        <v>8</v>
      </c>
      <c r="AC23" s="103">
        <v>9</v>
      </c>
      <c r="AD23" s="103">
        <v>10</v>
      </c>
      <c r="AE23" s="103">
        <v>11</v>
      </c>
      <c r="AF23" s="103">
        <v>12</v>
      </c>
      <c r="AG23" s="103">
        <v>13</v>
      </c>
      <c r="AH23" s="103">
        <v>14</v>
      </c>
      <c r="AI23" s="103">
        <v>15</v>
      </c>
      <c r="AJ23" s="103">
        <v>16</v>
      </c>
      <c r="AK23" s="103">
        <v>17</v>
      </c>
      <c r="AL23" s="103">
        <v>18</v>
      </c>
      <c r="AM23" s="103">
        <v>19</v>
      </c>
      <c r="AN23" s="103">
        <v>20</v>
      </c>
      <c r="AO23" s="103">
        <v>21</v>
      </c>
      <c r="AP23" s="103">
        <v>22</v>
      </c>
      <c r="AQ23" s="103">
        <v>23</v>
      </c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6"/>
      <c r="BD23" s="108"/>
      <c r="BE23" s="108"/>
      <c r="BF23" s="108"/>
      <c r="BG23" s="108"/>
      <c r="BH23" s="108"/>
      <c r="BI23" s="108"/>
      <c r="BJ23" s="108"/>
      <c r="BL23" s="83"/>
      <c r="BM23" s="83" t="s">
        <v>138</v>
      </c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>
        <v>1</v>
      </c>
      <c r="CN23" s="84">
        <v>2</v>
      </c>
      <c r="CO23" s="84">
        <v>3</v>
      </c>
      <c r="CP23" s="84">
        <v>4</v>
      </c>
      <c r="CQ23" s="84">
        <v>5</v>
      </c>
      <c r="CR23" s="84">
        <v>6</v>
      </c>
      <c r="CS23" s="84">
        <v>7</v>
      </c>
      <c r="CT23" s="84">
        <v>8</v>
      </c>
      <c r="CU23" s="84">
        <v>9</v>
      </c>
      <c r="CV23" s="84">
        <v>10</v>
      </c>
      <c r="CW23" s="84">
        <v>11</v>
      </c>
      <c r="CX23" s="84">
        <v>12</v>
      </c>
      <c r="CY23" s="84"/>
      <c r="CZ23" s="84"/>
      <c r="DA23" s="84"/>
    </row>
    <row r="24" spans="1:105" ht="23.25" customHeight="1" x14ac:dyDescent="0.6">
      <c r="A24" s="7"/>
      <c r="B24" s="49"/>
      <c r="C24" s="7"/>
      <c r="D24" s="7"/>
      <c r="E24" s="7"/>
      <c r="F24" s="7"/>
      <c r="G24" s="98" t="s">
        <v>145</v>
      </c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>
        <v>1</v>
      </c>
      <c r="Y24" s="102">
        <v>2</v>
      </c>
      <c r="Z24" s="102">
        <v>3</v>
      </c>
      <c r="AA24" s="102">
        <v>4</v>
      </c>
      <c r="AB24" s="102">
        <v>5</v>
      </c>
      <c r="AC24" s="102">
        <v>6</v>
      </c>
      <c r="AD24" s="102">
        <v>7</v>
      </c>
      <c r="AE24" s="102">
        <v>8</v>
      </c>
      <c r="AF24" s="102">
        <v>9</v>
      </c>
      <c r="AG24" s="102">
        <v>10</v>
      </c>
      <c r="AH24" s="102">
        <v>11</v>
      </c>
      <c r="AI24" s="102">
        <v>12</v>
      </c>
      <c r="AJ24" s="102">
        <v>13</v>
      </c>
      <c r="AK24" s="102">
        <v>14</v>
      </c>
      <c r="AL24" s="102">
        <v>15</v>
      </c>
      <c r="AM24" s="102">
        <v>16</v>
      </c>
      <c r="AN24" s="102">
        <v>17</v>
      </c>
      <c r="AO24" s="102">
        <v>18</v>
      </c>
      <c r="AP24" s="102">
        <v>19</v>
      </c>
      <c r="AQ24" s="102">
        <v>20</v>
      </c>
      <c r="AR24" s="102">
        <v>21</v>
      </c>
      <c r="AS24" s="102">
        <v>22</v>
      </c>
      <c r="AT24" s="102">
        <v>23</v>
      </c>
      <c r="AU24" s="102"/>
      <c r="AV24" s="102"/>
      <c r="AW24" s="102"/>
      <c r="AX24" s="102"/>
      <c r="AY24" s="102"/>
      <c r="AZ24" s="102"/>
      <c r="BA24" s="102"/>
      <c r="BB24" s="102"/>
      <c r="BC24" s="105"/>
      <c r="BD24" s="108"/>
      <c r="BE24" s="108"/>
      <c r="BF24" s="108"/>
      <c r="BG24" s="108"/>
      <c r="BH24" s="108"/>
      <c r="BI24" s="108"/>
      <c r="BJ24" s="108"/>
    </row>
    <row r="25" spans="1:105" ht="23.25" customHeight="1" x14ac:dyDescent="0.6">
      <c r="A25" s="7"/>
      <c r="B25" s="49"/>
      <c r="C25" s="7"/>
      <c r="D25" s="7"/>
      <c r="E25" s="7"/>
      <c r="F25" s="7"/>
      <c r="G25" s="97" t="s">
        <v>149</v>
      </c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>
        <v>1</v>
      </c>
      <c r="X25" s="103">
        <v>2</v>
      </c>
      <c r="Y25" s="103">
        <v>3</v>
      </c>
      <c r="Z25" s="103">
        <v>4</v>
      </c>
      <c r="AA25" s="103">
        <v>5</v>
      </c>
      <c r="AB25" s="103">
        <v>6</v>
      </c>
      <c r="AC25" s="103">
        <v>7</v>
      </c>
      <c r="AD25" s="103">
        <v>8</v>
      </c>
      <c r="AE25" s="103">
        <v>9</v>
      </c>
      <c r="AF25" s="103">
        <v>10</v>
      </c>
      <c r="AG25" s="103">
        <v>11</v>
      </c>
      <c r="AH25" s="103">
        <v>12</v>
      </c>
      <c r="AI25" s="103">
        <v>13</v>
      </c>
      <c r="AJ25" s="103">
        <v>14</v>
      </c>
      <c r="AK25" s="103">
        <v>15</v>
      </c>
      <c r="AL25" s="103">
        <v>16</v>
      </c>
      <c r="AM25" s="103">
        <v>17</v>
      </c>
      <c r="AN25" s="103">
        <v>18</v>
      </c>
      <c r="AO25" s="103">
        <v>19</v>
      </c>
      <c r="AP25" s="103">
        <v>20</v>
      </c>
      <c r="AQ25" s="103">
        <v>21</v>
      </c>
      <c r="AR25" s="103">
        <v>22</v>
      </c>
      <c r="AS25" s="103">
        <v>23</v>
      </c>
      <c r="AT25" s="103">
        <v>24</v>
      </c>
      <c r="AU25" s="103">
        <v>25</v>
      </c>
      <c r="AV25" s="103">
        <v>26</v>
      </c>
      <c r="AW25" s="103"/>
      <c r="AX25" s="103"/>
      <c r="AY25" s="103"/>
      <c r="AZ25" s="103"/>
      <c r="BA25" s="103"/>
      <c r="BB25" s="103"/>
      <c r="BC25" s="106"/>
      <c r="BD25" s="108"/>
      <c r="BE25" s="108"/>
      <c r="BF25" s="108"/>
      <c r="BG25" s="108"/>
      <c r="BH25" s="108"/>
      <c r="BI25" s="108"/>
      <c r="BJ25" s="108"/>
    </row>
    <row r="26" spans="1:105" ht="23.25" customHeight="1" x14ac:dyDescent="0.6">
      <c r="A26" s="7"/>
      <c r="B26" s="49"/>
      <c r="C26" s="7"/>
      <c r="D26" s="7"/>
      <c r="E26" s="7"/>
      <c r="F26" s="7"/>
      <c r="G26" s="98" t="s">
        <v>150</v>
      </c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>
        <v>1</v>
      </c>
      <c r="Z26" s="102">
        <v>2</v>
      </c>
      <c r="AA26" s="102">
        <v>3</v>
      </c>
      <c r="AB26" s="102">
        <v>4</v>
      </c>
      <c r="AC26" s="102">
        <v>5</v>
      </c>
      <c r="AD26" s="102">
        <v>6</v>
      </c>
      <c r="AE26" s="102">
        <v>7</v>
      </c>
      <c r="AF26" s="102">
        <v>8</v>
      </c>
      <c r="AG26" s="102">
        <v>9</v>
      </c>
      <c r="AH26" s="102">
        <v>10</v>
      </c>
      <c r="AI26" s="102">
        <v>11</v>
      </c>
      <c r="AJ26" s="102">
        <v>12</v>
      </c>
      <c r="AK26" s="102">
        <v>13</v>
      </c>
      <c r="AL26" s="102">
        <v>14</v>
      </c>
      <c r="AM26" s="102">
        <v>15</v>
      </c>
      <c r="AN26" s="102">
        <v>16</v>
      </c>
      <c r="AO26" s="102">
        <v>17</v>
      </c>
      <c r="AP26" s="102">
        <v>18</v>
      </c>
      <c r="AQ26" s="102">
        <v>19</v>
      </c>
      <c r="AR26" s="102">
        <v>20</v>
      </c>
      <c r="AS26" s="102">
        <v>21</v>
      </c>
      <c r="AT26" s="102">
        <v>22</v>
      </c>
      <c r="AU26" s="102">
        <v>23</v>
      </c>
      <c r="AV26" s="102">
        <v>24</v>
      </c>
      <c r="AW26" s="102">
        <v>25</v>
      </c>
      <c r="AX26" s="102">
        <v>26</v>
      </c>
      <c r="AY26" s="102">
        <v>27</v>
      </c>
      <c r="AZ26" s="102">
        <v>28</v>
      </c>
      <c r="BA26" s="102">
        <v>29</v>
      </c>
      <c r="BB26" s="102"/>
      <c r="BC26" s="105"/>
      <c r="BD26" s="108"/>
      <c r="BE26" s="108"/>
      <c r="BF26" s="108"/>
      <c r="BG26" s="108"/>
      <c r="BH26" s="108"/>
      <c r="BI26" s="108"/>
      <c r="BJ26" s="108"/>
    </row>
    <row r="27" spans="1:105" ht="23.25" customHeight="1" x14ac:dyDescent="0.6">
      <c r="A27" s="7"/>
      <c r="B27" s="49"/>
      <c r="C27" s="7"/>
      <c r="D27" s="7"/>
      <c r="E27" s="7"/>
      <c r="F27" s="7"/>
      <c r="G27" s="97" t="s">
        <v>152</v>
      </c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>
        <v>1</v>
      </c>
      <c r="AR27" s="103">
        <v>2</v>
      </c>
      <c r="AS27" s="103">
        <v>3</v>
      </c>
      <c r="AT27" s="103">
        <v>4</v>
      </c>
      <c r="AU27" s="103">
        <v>5</v>
      </c>
      <c r="AV27" s="103">
        <v>6</v>
      </c>
      <c r="AW27" s="103">
        <v>7</v>
      </c>
      <c r="AX27" s="103">
        <v>8</v>
      </c>
      <c r="AY27" s="103">
        <v>9</v>
      </c>
      <c r="AZ27" s="103">
        <v>10</v>
      </c>
      <c r="BA27" s="103">
        <v>11</v>
      </c>
      <c r="BB27" s="103"/>
      <c r="BC27" s="106"/>
      <c r="BD27" s="108"/>
      <c r="BE27" s="108"/>
      <c r="BF27" s="108"/>
      <c r="BG27" s="108"/>
      <c r="BH27" s="108"/>
      <c r="BI27" s="108"/>
      <c r="BJ27" s="108"/>
    </row>
    <row r="28" spans="1:105" ht="23.25" customHeight="1" x14ac:dyDescent="0.6">
      <c r="A28" s="7"/>
      <c r="B28" s="49"/>
      <c r="C28" s="7"/>
      <c r="D28" s="7"/>
      <c r="E28" s="7"/>
      <c r="F28" s="7"/>
      <c r="G28" s="98" t="s">
        <v>154</v>
      </c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>
        <v>1</v>
      </c>
      <c r="AY28" s="102">
        <v>2</v>
      </c>
      <c r="AZ28" s="102">
        <v>3</v>
      </c>
      <c r="BA28" s="102"/>
      <c r="BB28" s="102"/>
      <c r="BC28" s="105"/>
      <c r="BD28" s="108"/>
      <c r="BE28" s="108"/>
      <c r="BF28" s="108"/>
      <c r="BG28" s="108"/>
      <c r="BH28" s="108"/>
      <c r="BI28" s="108"/>
      <c r="BJ28" s="108"/>
    </row>
    <row r="29" spans="1:105" ht="23.25" customHeight="1" x14ac:dyDescent="0.6">
      <c r="A29" s="7"/>
      <c r="B29" s="49"/>
      <c r="C29" s="7"/>
      <c r="D29" s="7"/>
      <c r="E29" s="7"/>
      <c r="F29" s="7"/>
      <c r="G29" s="97" t="s">
        <v>155</v>
      </c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>
        <v>1</v>
      </c>
      <c r="AN29" s="103">
        <v>2</v>
      </c>
      <c r="AO29" s="103">
        <v>3</v>
      </c>
      <c r="AP29" s="103">
        <v>4</v>
      </c>
      <c r="AQ29" s="103">
        <v>5</v>
      </c>
      <c r="AR29" s="103">
        <v>6</v>
      </c>
      <c r="AS29" s="103">
        <v>7</v>
      </c>
      <c r="AT29" s="103">
        <v>8</v>
      </c>
      <c r="AU29" s="103">
        <v>9</v>
      </c>
      <c r="AV29" s="103">
        <v>10</v>
      </c>
      <c r="AW29" s="103">
        <v>11</v>
      </c>
      <c r="AX29" s="103">
        <v>12</v>
      </c>
      <c r="AY29" s="103"/>
      <c r="AZ29" s="103"/>
      <c r="BA29" s="103"/>
      <c r="BB29" s="103"/>
      <c r="BC29" s="106"/>
      <c r="BD29" s="108"/>
      <c r="BE29" s="108"/>
      <c r="BF29" s="108"/>
      <c r="BG29" s="108"/>
      <c r="BH29" s="108"/>
      <c r="BI29" s="108"/>
      <c r="BJ29" s="108"/>
    </row>
    <row r="30" spans="1:105" ht="23.25" customHeight="1" x14ac:dyDescent="0.6">
      <c r="A30" s="7"/>
      <c r="B30" s="49"/>
      <c r="C30" s="7"/>
      <c r="D30" s="7"/>
      <c r="E30" s="7"/>
      <c r="F30" s="7"/>
      <c r="G30" s="99" t="s">
        <v>156</v>
      </c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>
        <v>1</v>
      </c>
      <c r="AT30" s="102">
        <v>2</v>
      </c>
      <c r="AU30" s="102">
        <v>3</v>
      </c>
      <c r="AV30" s="102">
        <v>4</v>
      </c>
      <c r="AW30" s="102">
        <v>5</v>
      </c>
      <c r="AX30" s="102">
        <v>6</v>
      </c>
      <c r="AY30" s="102">
        <v>7</v>
      </c>
      <c r="AZ30" s="102">
        <v>8</v>
      </c>
      <c r="BA30" s="102">
        <v>9</v>
      </c>
      <c r="BB30" s="102">
        <v>10</v>
      </c>
      <c r="BC30" s="102">
        <v>11</v>
      </c>
      <c r="BD30" s="108"/>
      <c r="BE30" s="108"/>
      <c r="BF30" s="108"/>
      <c r="BG30" s="108"/>
      <c r="BH30" s="108"/>
      <c r="BI30" s="108"/>
      <c r="BJ30" s="108"/>
      <c r="BK30" s="95"/>
    </row>
    <row r="31" spans="1:105" ht="23.25" customHeight="1" x14ac:dyDescent="0.6">
      <c r="A31" s="7"/>
      <c r="B31" s="49"/>
      <c r="C31" s="7"/>
      <c r="D31" s="7"/>
      <c r="E31" s="7"/>
      <c r="F31" s="7"/>
      <c r="BK31" s="95"/>
    </row>
    <row r="32" spans="1:105" ht="23.25" customHeight="1" x14ac:dyDescent="0.6">
      <c r="A32" s="7"/>
      <c r="B32" s="49"/>
      <c r="C32" s="7"/>
      <c r="D32" s="7"/>
      <c r="E32" s="7"/>
      <c r="F32" s="7"/>
      <c r="BK32" s="95"/>
    </row>
    <row r="33" spans="1:63" ht="21.75" customHeight="1" x14ac:dyDescent="0.6">
      <c r="A33" s="7"/>
      <c r="B33" s="49"/>
      <c r="C33" s="7"/>
      <c r="D33" s="7"/>
      <c r="E33" s="7"/>
      <c r="F33" s="7"/>
      <c r="BK33" s="95"/>
    </row>
    <row r="34" spans="1:63" ht="21.75" customHeight="1" x14ac:dyDescent="0.6">
      <c r="A34" s="7"/>
      <c r="B34" s="49"/>
      <c r="C34" s="7"/>
      <c r="D34" s="7"/>
      <c r="E34" s="7"/>
      <c r="F34" s="7"/>
      <c r="BK34" s="95"/>
    </row>
    <row r="35" spans="1:63" ht="21.75" customHeight="1" x14ac:dyDescent="0.6">
      <c r="A35" s="7"/>
      <c r="B35" s="49"/>
      <c r="C35" s="7"/>
      <c r="D35" s="7"/>
      <c r="E35" s="7"/>
      <c r="F35" s="7"/>
      <c r="BK35" s="95"/>
    </row>
    <row r="36" spans="1:63" ht="21.75" customHeight="1" x14ac:dyDescent="0.6">
      <c r="A36" s="7"/>
      <c r="B36" s="49"/>
      <c r="C36" s="7"/>
      <c r="D36" s="7"/>
      <c r="E36" s="7"/>
      <c r="F36" s="7"/>
      <c r="BK36" s="95"/>
    </row>
    <row r="37" spans="1:63" ht="21.75" customHeight="1" x14ac:dyDescent="0.6">
      <c r="A37" s="7"/>
      <c r="B37" s="49"/>
      <c r="C37" s="7"/>
      <c r="D37" s="7"/>
      <c r="E37" s="7"/>
      <c r="F37" s="7"/>
      <c r="BK37" s="95"/>
    </row>
    <row r="38" spans="1:63" ht="21.75" customHeight="1" x14ac:dyDescent="0.6">
      <c r="A38" s="7"/>
      <c r="B38" s="49"/>
      <c r="C38" s="7"/>
      <c r="D38" s="7"/>
      <c r="E38" s="7"/>
      <c r="F38" s="7"/>
      <c r="BK38" s="95"/>
    </row>
    <row r="39" spans="1:63" ht="21.75" customHeight="1" x14ac:dyDescent="0.6">
      <c r="A39" s="7"/>
      <c r="B39" s="49"/>
      <c r="C39" s="7"/>
      <c r="D39" s="7"/>
      <c r="E39" s="7"/>
      <c r="F39" s="7"/>
    </row>
    <row r="40" spans="1:63" ht="21.75" customHeight="1" x14ac:dyDescent="0.6">
      <c r="A40" s="7"/>
      <c r="B40" s="49"/>
      <c r="C40" s="7"/>
      <c r="D40" s="7"/>
      <c r="E40" s="7"/>
      <c r="F40" s="7"/>
    </row>
    <row r="41" spans="1:63" ht="21.75" customHeight="1" x14ac:dyDescent="0.6">
      <c r="A41" s="7"/>
      <c r="B41" s="49"/>
      <c r="C41" s="7"/>
      <c r="D41" s="7"/>
      <c r="E41" s="7"/>
      <c r="F41" s="7"/>
    </row>
    <row r="42" spans="1:63" ht="21.75" customHeight="1" x14ac:dyDescent="0.6">
      <c r="A42" s="7"/>
      <c r="B42" s="4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  <c r="S42" s="8"/>
    </row>
    <row r="43" spans="1:63" ht="21.75" customHeight="1" x14ac:dyDescent="0.6">
      <c r="A43" s="7"/>
      <c r="B43" s="4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</row>
    <row r="44" spans="1:63" ht="21.75" customHeight="1" x14ac:dyDescent="0.6">
      <c r="A44" s="7"/>
      <c r="B44" s="4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  <c r="S44" s="8"/>
    </row>
    <row r="45" spans="1:63" ht="21.75" customHeight="1" x14ac:dyDescent="0.6">
      <c r="A45" s="7"/>
      <c r="B45" s="4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  <c r="S45" s="8"/>
    </row>
    <row r="46" spans="1:63" ht="21.75" customHeight="1" x14ac:dyDescent="0.6">
      <c r="A46" s="7"/>
      <c r="B46" s="4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  <c r="S46" s="8"/>
    </row>
    <row r="47" spans="1:63" ht="21.75" customHeight="1" x14ac:dyDescent="0.6">
      <c r="A47" s="7"/>
      <c r="B47" s="4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  <c r="S47" s="8"/>
    </row>
    <row r="48" spans="1:63" ht="21.75" customHeight="1" x14ac:dyDescent="0.6">
      <c r="A48" s="7"/>
      <c r="B48" s="4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  <c r="S48" s="8"/>
    </row>
    <row r="49" spans="1:19" ht="21.75" customHeight="1" x14ac:dyDescent="0.6">
      <c r="A49" s="7"/>
      <c r="B49" s="4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  <c r="S49" s="8"/>
    </row>
    <row r="50" spans="1:19" ht="21.75" customHeight="1" x14ac:dyDescent="0.6">
      <c r="A50" s="7"/>
      <c r="B50" s="4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  <c r="S50" s="8"/>
    </row>
    <row r="51" spans="1:19" ht="21.75" customHeight="1" x14ac:dyDescent="0.6">
      <c r="A51" s="7"/>
      <c r="B51" s="4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  <c r="S51" s="8"/>
    </row>
    <row r="52" spans="1:19" ht="21.75" customHeight="1" x14ac:dyDescent="0.6">
      <c r="A52" s="7"/>
      <c r="B52" s="4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  <c r="S52" s="8"/>
    </row>
    <row r="53" spans="1:19" ht="21.75" customHeight="1" x14ac:dyDescent="0.6">
      <c r="A53" s="7"/>
      <c r="B53" s="4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  <c r="S53" s="8"/>
    </row>
    <row r="54" spans="1:19" ht="21.75" customHeight="1" x14ac:dyDescent="0.6">
      <c r="A54" s="7"/>
      <c r="B54" s="4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  <c r="S54" s="8"/>
    </row>
    <row r="55" spans="1:19" ht="21.75" customHeight="1" x14ac:dyDescent="0.6">
      <c r="A55" s="7"/>
      <c r="B55" s="4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  <c r="S55" s="8"/>
    </row>
    <row r="56" spans="1:19" ht="21.75" customHeight="1" x14ac:dyDescent="0.6">
      <c r="A56" s="7"/>
      <c r="B56" s="4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  <c r="S56" s="8"/>
    </row>
    <row r="57" spans="1:19" ht="21.75" customHeight="1" x14ac:dyDescent="0.6">
      <c r="A57" s="7"/>
      <c r="B57" s="4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  <c r="S57" s="8"/>
    </row>
    <row r="58" spans="1:19" ht="21.75" customHeight="1" x14ac:dyDescent="0.6">
      <c r="A58" s="7"/>
      <c r="B58" s="4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  <c r="S58" s="8"/>
    </row>
    <row r="59" spans="1:19" ht="21.75" customHeight="1" x14ac:dyDescent="0.6">
      <c r="A59" s="7"/>
      <c r="B59" s="4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  <c r="S59" s="8"/>
    </row>
    <row r="60" spans="1:19" ht="21.75" customHeight="1" x14ac:dyDescent="0.6">
      <c r="A60" s="7"/>
      <c r="B60" s="4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  <c r="S60" s="8"/>
    </row>
    <row r="61" spans="1:19" ht="21.75" customHeight="1" x14ac:dyDescent="0.6">
      <c r="A61" s="7"/>
      <c r="B61" s="4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  <c r="S61" s="8"/>
    </row>
    <row r="62" spans="1:19" ht="21.75" customHeight="1" x14ac:dyDescent="0.6">
      <c r="A62" s="7"/>
      <c r="B62" s="4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  <c r="S62" s="8"/>
    </row>
    <row r="63" spans="1:19" ht="21.75" customHeight="1" x14ac:dyDescent="0.6">
      <c r="A63" s="7"/>
      <c r="B63" s="4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  <c r="S63" s="8"/>
    </row>
    <row r="64" spans="1:19" ht="21.75" customHeight="1" x14ac:dyDescent="0.6">
      <c r="A64" s="7"/>
      <c r="B64" s="4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  <c r="S64" s="8"/>
    </row>
    <row r="65" spans="1:19" ht="21.75" customHeight="1" x14ac:dyDescent="0.6">
      <c r="A65" s="7"/>
      <c r="B65" s="4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  <c r="S65" s="8"/>
    </row>
    <row r="66" spans="1:19" ht="21.75" customHeight="1" x14ac:dyDescent="0.6">
      <c r="A66" s="7"/>
      <c r="B66" s="4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  <c r="S66" s="8"/>
    </row>
    <row r="67" spans="1:19" ht="21.75" customHeight="1" x14ac:dyDescent="0.6">
      <c r="A67" s="7"/>
      <c r="B67" s="4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  <c r="S67" s="8"/>
    </row>
    <row r="68" spans="1:19" ht="21.75" customHeight="1" x14ac:dyDescent="0.6">
      <c r="A68" s="7"/>
      <c r="B68" s="4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  <c r="S68" s="8"/>
    </row>
    <row r="69" spans="1:19" ht="21.75" customHeight="1" x14ac:dyDescent="0.6">
      <c r="A69" s="7"/>
      <c r="B69" s="4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  <c r="S69" s="8"/>
    </row>
    <row r="70" spans="1:19" ht="21.75" customHeight="1" x14ac:dyDescent="0.6">
      <c r="A70" s="7"/>
      <c r="B70" s="4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  <c r="S70" s="8"/>
    </row>
    <row r="71" spans="1:19" ht="21.75" customHeight="1" x14ac:dyDescent="0.6">
      <c r="A71" s="7"/>
      <c r="B71" s="4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  <c r="S71" s="8"/>
    </row>
    <row r="72" spans="1:19" ht="21.75" customHeight="1" x14ac:dyDescent="0.6">
      <c r="A72" s="7"/>
      <c r="B72" s="4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  <c r="S72" s="8"/>
    </row>
    <row r="73" spans="1:19" ht="21.75" customHeight="1" x14ac:dyDescent="0.6">
      <c r="A73" s="7"/>
      <c r="B73" s="4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  <c r="S73" s="8"/>
    </row>
    <row r="74" spans="1:19" ht="21.75" customHeight="1" x14ac:dyDescent="0.6">
      <c r="A74" s="7"/>
      <c r="B74" s="4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  <c r="S74" s="8"/>
    </row>
    <row r="75" spans="1:19" ht="21.75" customHeight="1" x14ac:dyDescent="0.6">
      <c r="A75" s="7"/>
      <c r="B75" s="4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  <c r="S75" s="8"/>
    </row>
    <row r="76" spans="1:19" ht="21.75" customHeight="1" x14ac:dyDescent="0.6">
      <c r="A76" s="7"/>
      <c r="B76" s="4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  <c r="S76" s="8"/>
    </row>
    <row r="77" spans="1:19" ht="21.75" customHeight="1" x14ac:dyDescent="0.6">
      <c r="A77" s="7"/>
      <c r="B77" s="4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  <c r="S77" s="8"/>
    </row>
    <row r="78" spans="1:19" ht="21.75" customHeight="1" x14ac:dyDescent="0.6">
      <c r="A78" s="7"/>
      <c r="B78" s="4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  <c r="S78" s="8"/>
    </row>
    <row r="79" spans="1:19" ht="21.75" customHeight="1" x14ac:dyDescent="0.6">
      <c r="A79" s="7"/>
      <c r="B79" s="4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  <c r="S79" s="8"/>
    </row>
    <row r="80" spans="1:19" ht="21.75" customHeight="1" x14ac:dyDescent="0.6">
      <c r="A80" s="7"/>
      <c r="B80" s="4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  <c r="S80" s="8"/>
    </row>
    <row r="81" spans="1:19" ht="21.75" customHeight="1" x14ac:dyDescent="0.6">
      <c r="A81" s="7"/>
      <c r="B81" s="4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  <c r="S81" s="8"/>
    </row>
    <row r="82" spans="1:19" ht="21.75" customHeight="1" x14ac:dyDescent="0.6">
      <c r="A82" s="7"/>
      <c r="B82" s="4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  <c r="S82" s="8"/>
    </row>
    <row r="83" spans="1:19" ht="21.75" customHeight="1" x14ac:dyDescent="0.6">
      <c r="A83" s="7"/>
      <c r="B83" s="4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  <c r="S83" s="8"/>
    </row>
    <row r="84" spans="1:19" ht="21.75" customHeight="1" x14ac:dyDescent="0.6">
      <c r="A84" s="7"/>
      <c r="B84" s="4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  <c r="S84" s="8"/>
    </row>
    <row r="85" spans="1:19" ht="21.75" customHeight="1" x14ac:dyDescent="0.6">
      <c r="A85" s="7"/>
      <c r="B85" s="4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  <c r="S85" s="8"/>
    </row>
    <row r="86" spans="1:19" ht="21.75" customHeight="1" x14ac:dyDescent="0.6">
      <c r="A86" s="7"/>
      <c r="B86" s="4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  <c r="S86" s="8"/>
    </row>
    <row r="87" spans="1:19" ht="21.75" customHeight="1" x14ac:dyDescent="0.6">
      <c r="A87" s="7"/>
      <c r="B87" s="4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  <c r="S87" s="8"/>
    </row>
    <row r="88" spans="1:19" ht="21.75" customHeight="1" x14ac:dyDescent="0.6">
      <c r="A88" s="7"/>
      <c r="B88" s="4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  <c r="S88" s="8"/>
    </row>
    <row r="89" spans="1:19" ht="21.75" customHeight="1" x14ac:dyDescent="0.6">
      <c r="A89" s="7"/>
      <c r="B89" s="4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  <c r="S89" s="8"/>
    </row>
    <row r="90" spans="1:19" ht="21.75" customHeight="1" x14ac:dyDescent="0.6">
      <c r="A90" s="7"/>
      <c r="B90" s="4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  <c r="S90" s="8"/>
    </row>
    <row r="91" spans="1:19" ht="21.75" customHeight="1" x14ac:dyDescent="0.6">
      <c r="A91" s="7"/>
      <c r="B91" s="4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  <c r="S91" s="8"/>
    </row>
    <row r="92" spans="1:19" ht="21.75" customHeight="1" x14ac:dyDescent="0.6">
      <c r="A92" s="7"/>
      <c r="B92" s="4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  <c r="S92" s="8"/>
    </row>
    <row r="93" spans="1:19" ht="21.75" customHeight="1" x14ac:dyDescent="0.6">
      <c r="A93" s="7"/>
      <c r="B93" s="4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  <c r="S93" s="8"/>
    </row>
    <row r="94" spans="1:19" ht="21.75" customHeight="1" x14ac:dyDescent="0.6">
      <c r="A94" s="7"/>
      <c r="B94" s="4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  <c r="S94" s="8"/>
    </row>
    <row r="95" spans="1:19" ht="21.75" customHeight="1" x14ac:dyDescent="0.6">
      <c r="A95" s="7"/>
      <c r="B95" s="4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  <c r="S95" s="8"/>
    </row>
    <row r="96" spans="1:19" ht="21.75" customHeight="1" x14ac:dyDescent="0.6">
      <c r="A96" s="7"/>
      <c r="B96" s="4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  <c r="S96" s="8"/>
    </row>
    <row r="97" spans="1:19" ht="21.75" customHeight="1" x14ac:dyDescent="0.6">
      <c r="A97" s="7"/>
      <c r="B97" s="4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  <c r="S97" s="8"/>
    </row>
    <row r="98" spans="1:19" ht="21.75" customHeight="1" x14ac:dyDescent="0.6">
      <c r="A98" s="7"/>
      <c r="B98" s="4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  <c r="S98" s="8"/>
    </row>
    <row r="99" spans="1:19" ht="21.75" customHeight="1" x14ac:dyDescent="0.6">
      <c r="A99" s="7"/>
      <c r="B99" s="4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  <c r="S99" s="8"/>
    </row>
    <row r="100" spans="1:19" ht="21.75" customHeight="1" x14ac:dyDescent="0.6">
      <c r="A100" s="7"/>
      <c r="B100" s="4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  <c r="S100" s="8"/>
    </row>
    <row r="101" spans="1:19" ht="21.75" customHeight="1" x14ac:dyDescent="0.6">
      <c r="A101" s="7"/>
      <c r="B101" s="4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  <c r="S101" s="8"/>
    </row>
    <row r="102" spans="1:19" ht="21.75" customHeight="1" x14ac:dyDescent="0.6">
      <c r="A102" s="7"/>
      <c r="B102" s="4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  <c r="S102" s="8"/>
    </row>
    <row r="103" spans="1:19" ht="21.75" customHeight="1" x14ac:dyDescent="0.6">
      <c r="A103" s="7"/>
      <c r="B103" s="4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  <c r="S103" s="8"/>
    </row>
    <row r="104" spans="1:19" ht="21.75" customHeight="1" x14ac:dyDescent="0.6">
      <c r="A104" s="7"/>
      <c r="B104" s="4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  <c r="S104" s="8"/>
    </row>
    <row r="105" spans="1:19" ht="21.75" customHeight="1" x14ac:dyDescent="0.6">
      <c r="A105" s="7"/>
      <c r="B105" s="4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  <c r="S105" s="8"/>
    </row>
    <row r="106" spans="1:19" ht="21.75" customHeight="1" x14ac:dyDescent="0.6">
      <c r="A106" s="7"/>
      <c r="B106" s="4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  <c r="S106" s="8"/>
    </row>
    <row r="107" spans="1:19" ht="21.75" customHeight="1" x14ac:dyDescent="0.6">
      <c r="A107" s="7"/>
      <c r="B107" s="4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  <c r="S107" s="8"/>
    </row>
    <row r="108" spans="1:19" ht="21.75" customHeight="1" x14ac:dyDescent="0.6">
      <c r="A108" s="7"/>
      <c r="B108" s="4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  <c r="S108" s="8"/>
    </row>
    <row r="109" spans="1:19" ht="21.75" customHeight="1" x14ac:dyDescent="0.6">
      <c r="A109" s="7"/>
      <c r="B109" s="4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  <c r="S109" s="8"/>
    </row>
    <row r="110" spans="1:19" ht="21.75" customHeight="1" x14ac:dyDescent="0.6">
      <c r="A110" s="7"/>
      <c r="B110" s="4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  <c r="S110" s="8"/>
    </row>
    <row r="111" spans="1:19" ht="21.75" customHeight="1" x14ac:dyDescent="0.6">
      <c r="A111" s="7"/>
      <c r="B111" s="4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  <c r="S111" s="8"/>
    </row>
    <row r="112" spans="1:19" ht="21.75" customHeight="1" x14ac:dyDescent="0.6">
      <c r="A112" s="7"/>
      <c r="B112" s="4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  <c r="S112" s="8"/>
    </row>
    <row r="113" spans="1:19" ht="21.75" customHeight="1" x14ac:dyDescent="0.6">
      <c r="A113" s="7"/>
      <c r="B113" s="4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  <c r="S113" s="8"/>
    </row>
    <row r="114" spans="1:19" ht="21.75" customHeight="1" x14ac:dyDescent="0.6">
      <c r="A114" s="7"/>
      <c r="B114" s="4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  <c r="S114" s="8"/>
    </row>
    <row r="115" spans="1:19" ht="21.75" customHeight="1" x14ac:dyDescent="0.6">
      <c r="A115" s="7"/>
      <c r="B115" s="4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  <c r="S115" s="8"/>
    </row>
    <row r="116" spans="1:19" ht="21.75" customHeight="1" x14ac:dyDescent="0.6">
      <c r="A116" s="7"/>
      <c r="B116" s="4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  <c r="S116" s="8"/>
    </row>
    <row r="117" spans="1:19" ht="21.75" customHeight="1" x14ac:dyDescent="0.6">
      <c r="A117" s="7"/>
      <c r="B117" s="4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  <c r="S117" s="8"/>
    </row>
    <row r="118" spans="1:19" ht="21.75" customHeight="1" x14ac:dyDescent="0.6">
      <c r="A118" s="7"/>
      <c r="B118" s="4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  <c r="S118" s="8"/>
    </row>
    <row r="119" spans="1:19" ht="21.75" customHeight="1" x14ac:dyDescent="0.6">
      <c r="A119" s="7"/>
      <c r="B119" s="4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  <c r="S119" s="8"/>
    </row>
    <row r="120" spans="1:19" ht="21.75" customHeight="1" x14ac:dyDescent="0.6">
      <c r="A120" s="7"/>
      <c r="B120" s="4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  <c r="S120" s="8"/>
    </row>
    <row r="121" spans="1:19" ht="21.75" customHeight="1" x14ac:dyDescent="0.6">
      <c r="A121" s="7"/>
      <c r="B121" s="4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  <c r="S121" s="8"/>
    </row>
    <row r="122" spans="1:19" ht="21.75" customHeight="1" x14ac:dyDescent="0.6">
      <c r="A122" s="7"/>
      <c r="B122" s="4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  <c r="S122" s="8"/>
    </row>
    <row r="123" spans="1:19" ht="21.75" customHeight="1" x14ac:dyDescent="0.6">
      <c r="A123" s="7"/>
      <c r="B123" s="4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  <c r="S123" s="8"/>
    </row>
    <row r="124" spans="1:19" ht="21.75" customHeight="1" x14ac:dyDescent="0.6">
      <c r="A124" s="7"/>
      <c r="B124" s="4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  <c r="S124" s="8"/>
    </row>
    <row r="125" spans="1:19" ht="21.75" customHeight="1" x14ac:dyDescent="0.6">
      <c r="A125" s="7"/>
      <c r="B125" s="4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  <c r="S125" s="8"/>
    </row>
    <row r="126" spans="1:19" ht="21.75" customHeight="1" x14ac:dyDescent="0.6">
      <c r="A126" s="7"/>
      <c r="B126" s="4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  <c r="S126" s="8"/>
    </row>
    <row r="127" spans="1:19" ht="21.75" customHeight="1" x14ac:dyDescent="0.6">
      <c r="A127" s="7"/>
      <c r="B127" s="4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  <c r="S127" s="8"/>
    </row>
    <row r="128" spans="1:19" ht="21.75" customHeight="1" x14ac:dyDescent="0.6">
      <c r="A128" s="7"/>
      <c r="B128" s="4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  <c r="S128" s="8"/>
    </row>
    <row r="129" spans="1:19" ht="21.75" customHeight="1" x14ac:dyDescent="0.6">
      <c r="A129" s="7"/>
      <c r="B129" s="4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  <c r="S129" s="8"/>
    </row>
    <row r="130" spans="1:19" ht="21.75" customHeight="1" x14ac:dyDescent="0.6">
      <c r="A130" s="7"/>
      <c r="B130" s="4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  <c r="S130" s="8"/>
    </row>
    <row r="131" spans="1:19" ht="21.75" customHeight="1" x14ac:dyDescent="0.6">
      <c r="A131" s="7"/>
      <c r="B131" s="4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  <c r="S131" s="8"/>
    </row>
    <row r="132" spans="1:19" ht="21.75" customHeight="1" x14ac:dyDescent="0.6">
      <c r="A132" s="7"/>
      <c r="B132" s="4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  <c r="S132" s="8"/>
    </row>
    <row r="133" spans="1:19" ht="21.75" customHeight="1" x14ac:dyDescent="0.6">
      <c r="A133" s="7"/>
      <c r="B133" s="4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  <c r="S133" s="8"/>
    </row>
    <row r="134" spans="1:19" ht="21.75" customHeight="1" x14ac:dyDescent="0.6">
      <c r="A134" s="7"/>
      <c r="B134" s="4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  <c r="S134" s="8"/>
    </row>
    <row r="135" spans="1:19" ht="21.75" customHeight="1" x14ac:dyDescent="0.6">
      <c r="A135" s="7"/>
      <c r="B135" s="4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  <c r="S135" s="8"/>
    </row>
    <row r="136" spans="1:19" ht="21.75" customHeight="1" x14ac:dyDescent="0.6">
      <c r="A136" s="7"/>
      <c r="B136" s="4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  <c r="S136" s="8"/>
    </row>
    <row r="137" spans="1:19" ht="21.75" customHeight="1" x14ac:dyDescent="0.6">
      <c r="A137" s="7"/>
      <c r="B137" s="4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  <c r="S137" s="8"/>
    </row>
    <row r="138" spans="1:19" ht="21.75" customHeight="1" x14ac:dyDescent="0.6">
      <c r="A138" s="7"/>
      <c r="B138" s="4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  <c r="S138" s="8"/>
    </row>
    <row r="139" spans="1:19" ht="21.75" customHeight="1" x14ac:dyDescent="0.6">
      <c r="A139" s="7"/>
      <c r="B139" s="4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  <c r="S139" s="8"/>
    </row>
    <row r="140" spans="1:19" ht="21.75" customHeight="1" x14ac:dyDescent="0.6">
      <c r="A140" s="7"/>
      <c r="B140" s="4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  <c r="S140" s="8"/>
    </row>
    <row r="141" spans="1:19" ht="21.75" customHeight="1" x14ac:dyDescent="0.6">
      <c r="A141" s="7"/>
      <c r="B141" s="4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  <c r="S141" s="8"/>
    </row>
    <row r="142" spans="1:19" ht="21.75" customHeight="1" x14ac:dyDescent="0.6">
      <c r="A142" s="7"/>
      <c r="B142" s="4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  <c r="S142" s="8"/>
    </row>
    <row r="143" spans="1:19" ht="21.75" customHeight="1" x14ac:dyDescent="0.6">
      <c r="A143" s="7"/>
      <c r="B143" s="4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  <c r="S143" s="8"/>
    </row>
    <row r="144" spans="1:19" ht="21.75" customHeight="1" x14ac:dyDescent="0.6">
      <c r="A144" s="7"/>
      <c r="B144" s="4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  <c r="S144" s="8"/>
    </row>
    <row r="145" spans="1:19" ht="21.75" customHeight="1" x14ac:dyDescent="0.6">
      <c r="A145" s="7"/>
      <c r="B145" s="4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  <c r="S145" s="8"/>
    </row>
    <row r="146" spans="1:19" ht="21.75" customHeight="1" x14ac:dyDescent="0.6">
      <c r="A146" s="7"/>
      <c r="B146" s="4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  <c r="S146" s="8"/>
    </row>
    <row r="147" spans="1:19" ht="21.75" customHeight="1" x14ac:dyDescent="0.6">
      <c r="A147" s="7"/>
      <c r="B147" s="4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</row>
    <row r="148" spans="1:19" ht="21.75" customHeight="1" x14ac:dyDescent="0.6">
      <c r="A148" s="7"/>
      <c r="B148" s="4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  <c r="S148" s="8"/>
    </row>
    <row r="149" spans="1:19" ht="21.75" customHeight="1" x14ac:dyDescent="0.6">
      <c r="A149" s="7"/>
      <c r="B149" s="4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  <c r="S149" s="8"/>
    </row>
    <row r="150" spans="1:19" ht="21.75" customHeight="1" x14ac:dyDescent="0.6">
      <c r="A150" s="7"/>
      <c r="B150" s="4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  <c r="S150" s="8"/>
    </row>
    <row r="151" spans="1:19" ht="21.75" customHeight="1" x14ac:dyDescent="0.6">
      <c r="A151" s="7"/>
      <c r="B151" s="4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  <c r="S151" s="8"/>
    </row>
    <row r="152" spans="1:19" ht="21.75" customHeight="1" x14ac:dyDescent="0.6">
      <c r="A152" s="7"/>
      <c r="B152" s="4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  <c r="S152" s="8"/>
    </row>
    <row r="153" spans="1:19" ht="21.75" customHeight="1" x14ac:dyDescent="0.6">
      <c r="A153" s="7"/>
      <c r="B153" s="4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  <c r="S153" s="8"/>
    </row>
    <row r="154" spans="1:19" ht="21.75" customHeight="1" x14ac:dyDescent="0.6">
      <c r="A154" s="7"/>
      <c r="B154" s="4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  <c r="S154" s="8"/>
    </row>
    <row r="155" spans="1:19" ht="21.75" customHeight="1" x14ac:dyDescent="0.6">
      <c r="A155" s="7"/>
      <c r="B155" s="4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  <c r="S155" s="8"/>
    </row>
    <row r="156" spans="1:19" ht="21.75" customHeight="1" x14ac:dyDescent="0.6">
      <c r="A156" s="7"/>
      <c r="B156" s="4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  <c r="S156" s="8"/>
    </row>
    <row r="157" spans="1:19" ht="21.75" customHeight="1" x14ac:dyDescent="0.6">
      <c r="A157" s="7"/>
      <c r="B157" s="4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  <c r="S157" s="8"/>
    </row>
    <row r="158" spans="1:19" ht="21.75" customHeight="1" x14ac:dyDescent="0.6">
      <c r="A158" s="7"/>
      <c r="B158" s="4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  <c r="S158" s="8"/>
    </row>
    <row r="159" spans="1:19" ht="21.75" customHeight="1" x14ac:dyDescent="0.6">
      <c r="A159" s="7"/>
      <c r="B159" s="4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  <c r="S159" s="8"/>
    </row>
    <row r="160" spans="1:19" ht="21.75" customHeight="1" x14ac:dyDescent="0.6">
      <c r="A160" s="7"/>
      <c r="B160" s="4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  <c r="S160" s="8"/>
    </row>
    <row r="161" spans="1:19" ht="21.75" customHeight="1" x14ac:dyDescent="0.6">
      <c r="A161" s="7"/>
      <c r="B161" s="4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  <c r="S161" s="8"/>
    </row>
    <row r="162" spans="1:19" ht="21.75" customHeight="1" x14ac:dyDescent="0.6">
      <c r="A162" s="7"/>
      <c r="B162" s="4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  <c r="S162" s="8"/>
    </row>
    <row r="163" spans="1:19" ht="21.75" customHeight="1" x14ac:dyDescent="0.6">
      <c r="A163" s="7"/>
      <c r="B163" s="4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  <c r="S163" s="8"/>
    </row>
    <row r="164" spans="1:19" ht="21.75" customHeight="1" x14ac:dyDescent="0.6">
      <c r="A164" s="7"/>
      <c r="B164" s="4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  <c r="S164" s="8"/>
    </row>
    <row r="165" spans="1:19" ht="21.75" customHeight="1" x14ac:dyDescent="0.6">
      <c r="A165" s="7"/>
      <c r="B165" s="4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  <c r="S165" s="8"/>
    </row>
    <row r="166" spans="1:19" ht="21.75" customHeight="1" x14ac:dyDescent="0.6">
      <c r="A166" s="7"/>
      <c r="B166" s="4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  <c r="S166" s="8"/>
    </row>
    <row r="167" spans="1:19" ht="21.75" customHeight="1" x14ac:dyDescent="0.6">
      <c r="A167" s="7"/>
      <c r="B167" s="4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  <c r="S167" s="8"/>
    </row>
    <row r="168" spans="1:19" ht="21.75" customHeight="1" x14ac:dyDescent="0.6">
      <c r="A168" s="7"/>
      <c r="B168" s="4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  <c r="S168" s="8"/>
    </row>
    <row r="169" spans="1:19" ht="21.75" customHeight="1" x14ac:dyDescent="0.6">
      <c r="A169" s="7"/>
      <c r="B169" s="4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  <c r="S169" s="8"/>
    </row>
    <row r="170" spans="1:19" ht="21.75" customHeight="1" x14ac:dyDescent="0.6">
      <c r="A170" s="7"/>
      <c r="B170" s="4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  <c r="S170" s="8"/>
    </row>
    <row r="171" spans="1:19" ht="21.75" customHeight="1" x14ac:dyDescent="0.6">
      <c r="A171" s="7"/>
      <c r="B171" s="4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  <c r="S171" s="8"/>
    </row>
    <row r="172" spans="1:19" ht="21.75" customHeight="1" x14ac:dyDescent="0.6">
      <c r="A172" s="7"/>
      <c r="B172" s="4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  <c r="S172" s="8"/>
    </row>
    <row r="173" spans="1:19" ht="21.75" customHeight="1" x14ac:dyDescent="0.6">
      <c r="A173" s="7"/>
      <c r="B173" s="4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  <c r="S173" s="8"/>
    </row>
    <row r="174" spans="1:19" ht="21.75" customHeight="1" x14ac:dyDescent="0.6">
      <c r="A174" s="7"/>
      <c r="B174" s="4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  <c r="S174" s="8"/>
    </row>
    <row r="175" spans="1:19" ht="21.75" customHeight="1" x14ac:dyDescent="0.6">
      <c r="A175" s="7"/>
      <c r="B175" s="4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  <c r="S175" s="8"/>
    </row>
    <row r="176" spans="1:19" ht="21.75" customHeight="1" x14ac:dyDescent="0.6">
      <c r="A176" s="7"/>
      <c r="B176" s="4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  <c r="S176" s="8"/>
    </row>
    <row r="177" spans="1:19" ht="21.75" customHeight="1" x14ac:dyDescent="0.6">
      <c r="A177" s="7"/>
      <c r="B177" s="4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  <c r="S177" s="8"/>
    </row>
    <row r="178" spans="1:19" ht="21.75" customHeight="1" x14ac:dyDescent="0.6">
      <c r="A178" s="7"/>
      <c r="B178" s="4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  <c r="S178" s="8"/>
    </row>
    <row r="179" spans="1:19" ht="21.75" customHeight="1" x14ac:dyDescent="0.6">
      <c r="A179" s="7"/>
      <c r="B179" s="4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  <c r="S179" s="8"/>
    </row>
    <row r="180" spans="1:19" ht="21.75" customHeight="1" x14ac:dyDescent="0.6">
      <c r="A180" s="7"/>
      <c r="B180" s="4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  <c r="S180" s="8"/>
    </row>
    <row r="181" spans="1:19" ht="21.75" customHeight="1" x14ac:dyDescent="0.6">
      <c r="A181" s="7"/>
      <c r="B181" s="4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  <c r="S181" s="8"/>
    </row>
    <row r="182" spans="1:19" ht="21.75" customHeight="1" x14ac:dyDescent="0.6">
      <c r="A182" s="7"/>
      <c r="B182" s="4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</row>
    <row r="183" spans="1:19" ht="21.75" customHeight="1" x14ac:dyDescent="0.6">
      <c r="A183" s="7"/>
      <c r="B183" s="4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  <c r="S183" s="8"/>
    </row>
    <row r="184" spans="1:19" ht="21.75" customHeight="1" x14ac:dyDescent="0.6">
      <c r="A184" s="7"/>
      <c r="B184" s="4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  <c r="S184" s="8"/>
    </row>
    <row r="185" spans="1:19" ht="21.75" customHeight="1" x14ac:dyDescent="0.6">
      <c r="A185" s="7"/>
      <c r="B185" s="4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  <c r="S185" s="8"/>
    </row>
    <row r="186" spans="1:19" ht="21.75" customHeight="1" x14ac:dyDescent="0.6">
      <c r="A186" s="7"/>
      <c r="B186" s="4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  <c r="S186" s="8"/>
    </row>
    <row r="187" spans="1:19" ht="21.75" customHeight="1" x14ac:dyDescent="0.6">
      <c r="A187" s="7"/>
      <c r="B187" s="4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  <c r="S187" s="8"/>
    </row>
    <row r="188" spans="1:19" ht="21.75" customHeight="1" x14ac:dyDescent="0.6">
      <c r="A188" s="7"/>
      <c r="B188" s="4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  <c r="S188" s="8"/>
    </row>
    <row r="189" spans="1:19" ht="21.75" customHeight="1" x14ac:dyDescent="0.6">
      <c r="A189" s="7"/>
      <c r="B189" s="4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  <c r="S189" s="8"/>
    </row>
    <row r="190" spans="1:19" ht="21.75" customHeight="1" x14ac:dyDescent="0.6">
      <c r="A190" s="7"/>
      <c r="B190" s="4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  <c r="S190" s="8"/>
    </row>
    <row r="191" spans="1:19" ht="21.75" customHeight="1" x14ac:dyDescent="0.6">
      <c r="A191" s="7"/>
      <c r="B191" s="4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  <c r="S191" s="8"/>
    </row>
    <row r="192" spans="1:19" ht="21.75" customHeight="1" x14ac:dyDescent="0.6">
      <c r="A192" s="7"/>
      <c r="B192" s="4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  <c r="S192" s="8"/>
    </row>
    <row r="193" spans="1:19" ht="21.75" customHeight="1" x14ac:dyDescent="0.6">
      <c r="A193" s="7"/>
      <c r="B193" s="4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  <c r="S193" s="8"/>
    </row>
    <row r="194" spans="1:19" ht="21.75" customHeight="1" x14ac:dyDescent="0.6">
      <c r="A194" s="7"/>
      <c r="B194" s="4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  <c r="S194" s="8"/>
    </row>
    <row r="195" spans="1:19" ht="21.75" customHeight="1" x14ac:dyDescent="0.6">
      <c r="A195" s="7"/>
      <c r="B195" s="4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  <c r="S195" s="8"/>
    </row>
    <row r="196" spans="1:19" ht="21.75" customHeight="1" x14ac:dyDescent="0.6">
      <c r="A196" s="7"/>
      <c r="B196" s="4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  <c r="S196" s="8"/>
    </row>
    <row r="197" spans="1:19" ht="21.75" customHeight="1" x14ac:dyDescent="0.6">
      <c r="A197" s="7"/>
      <c r="B197" s="4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  <c r="S197" s="8"/>
    </row>
    <row r="198" spans="1:19" ht="21.75" customHeight="1" x14ac:dyDescent="0.6">
      <c r="A198" s="7"/>
      <c r="B198" s="4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  <c r="S198" s="8"/>
    </row>
    <row r="199" spans="1:19" ht="21.75" customHeight="1" x14ac:dyDescent="0.6">
      <c r="A199" s="7"/>
      <c r="B199" s="4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  <c r="S199" s="8"/>
    </row>
    <row r="200" spans="1:19" ht="21.75" customHeight="1" x14ac:dyDescent="0.6">
      <c r="A200" s="7"/>
      <c r="B200" s="4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  <c r="S200" s="8"/>
    </row>
    <row r="201" spans="1:19" ht="21.75" customHeight="1" x14ac:dyDescent="0.6">
      <c r="A201" s="7"/>
      <c r="B201" s="4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  <c r="S201" s="8"/>
    </row>
    <row r="202" spans="1:19" ht="21.75" customHeight="1" x14ac:dyDescent="0.6">
      <c r="A202" s="7"/>
      <c r="B202" s="4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  <c r="S202" s="8"/>
    </row>
    <row r="203" spans="1:19" ht="21.75" customHeight="1" x14ac:dyDescent="0.6">
      <c r="A203" s="7"/>
      <c r="B203" s="4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  <c r="S203" s="8"/>
    </row>
    <row r="204" spans="1:19" ht="21.75" customHeight="1" x14ac:dyDescent="0.6">
      <c r="A204" s="7"/>
      <c r="B204" s="4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  <c r="S204" s="8"/>
    </row>
    <row r="205" spans="1:19" ht="21.75" customHeight="1" x14ac:dyDescent="0.6">
      <c r="A205" s="7"/>
      <c r="B205" s="4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  <c r="S205" s="8"/>
    </row>
    <row r="206" spans="1:19" ht="21.75" customHeight="1" x14ac:dyDescent="0.6">
      <c r="A206" s="7"/>
      <c r="B206" s="4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  <c r="S206" s="8"/>
    </row>
    <row r="207" spans="1:19" ht="21.75" customHeight="1" x14ac:dyDescent="0.6">
      <c r="A207" s="7"/>
      <c r="B207" s="4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  <c r="S207" s="8"/>
    </row>
    <row r="208" spans="1:19" ht="21.75" customHeight="1" x14ac:dyDescent="0.6">
      <c r="A208" s="7"/>
      <c r="B208" s="4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  <c r="S208" s="8"/>
    </row>
    <row r="209" spans="1:19" ht="21.75" customHeight="1" x14ac:dyDescent="0.6">
      <c r="A209" s="7"/>
      <c r="B209" s="4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  <c r="S209" s="8"/>
    </row>
    <row r="210" spans="1:19" ht="21.75" customHeight="1" x14ac:dyDescent="0.6">
      <c r="A210" s="7"/>
      <c r="B210" s="4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  <c r="S210" s="8"/>
    </row>
    <row r="211" spans="1:19" ht="21.75" customHeight="1" x14ac:dyDescent="0.6">
      <c r="A211" s="7"/>
      <c r="B211" s="4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  <c r="S211" s="8"/>
    </row>
    <row r="212" spans="1:19" ht="21.75" customHeight="1" x14ac:dyDescent="0.6">
      <c r="A212" s="7"/>
      <c r="B212" s="4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  <c r="S212" s="8"/>
    </row>
    <row r="213" spans="1:19" ht="21.75" customHeight="1" x14ac:dyDescent="0.6">
      <c r="A213" s="7"/>
      <c r="B213" s="4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  <c r="S213" s="8"/>
    </row>
    <row r="214" spans="1:19" ht="21.75" customHeight="1" x14ac:dyDescent="0.6">
      <c r="A214" s="7"/>
      <c r="B214" s="4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  <c r="S214" s="8"/>
    </row>
    <row r="215" spans="1:19" ht="21.75" customHeight="1" x14ac:dyDescent="0.6">
      <c r="A215" s="7"/>
      <c r="B215" s="4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  <c r="S215" s="8"/>
    </row>
    <row r="216" spans="1:19" ht="21.75" customHeight="1" x14ac:dyDescent="0.6">
      <c r="A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  <c r="S216" s="8"/>
    </row>
    <row r="217" spans="1:19" ht="21.75" customHeight="1" x14ac:dyDescent="0.6">
      <c r="A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</row>
    <row r="218" spans="1:19" ht="21.75" customHeight="1" x14ac:dyDescent="0.6">
      <c r="A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  <c r="S218" s="8"/>
    </row>
    <row r="219" spans="1:19" ht="21.75" customHeight="1" x14ac:dyDescent="0.6">
      <c r="A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  <c r="S219" s="8"/>
    </row>
    <row r="220" spans="1:19" ht="21.75" customHeight="1" x14ac:dyDescent="0.6">
      <c r="A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  <c r="S220" s="8"/>
    </row>
    <row r="221" spans="1:19" ht="21.75" customHeight="1" x14ac:dyDescent="0.6">
      <c r="A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  <c r="S221" s="8"/>
    </row>
    <row r="222" spans="1:19" ht="21.75" customHeight="1" x14ac:dyDescent="0.6">
      <c r="A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  <c r="S222" s="8"/>
    </row>
    <row r="223" spans="1:19" ht="21.75" customHeight="1" x14ac:dyDescent="0.6">
      <c r="A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  <c r="S223" s="8"/>
    </row>
    <row r="224" spans="1:1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3:E4"/>
    <mergeCell ref="H5:BI5"/>
    <mergeCell ref="BL5:DA5"/>
  </mergeCells>
  <phoneticPr fontId="17" type="noConversion"/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CUSTOS_INDIRETOS</vt:lpstr>
      <vt:lpstr>a. COMPARATIVOS OBRAS</vt:lpstr>
      <vt:lpstr>b. Fundação</vt:lpstr>
      <vt:lpstr>c. Supraestrutura</vt:lpstr>
      <vt:lpstr>d. Fachada</vt:lpstr>
      <vt:lpstr>e. ESTIMATIVA PRAZO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valquiria vansquelhe de oliveira</cp:lastModifiedBy>
  <dcterms:created xsi:type="dcterms:W3CDTF">2023-09-12T11:23:37Z</dcterms:created>
  <dcterms:modified xsi:type="dcterms:W3CDTF">2025-10-10T13:06:45Z</dcterms:modified>
</cp:coreProperties>
</file>