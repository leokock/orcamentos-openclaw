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2. Indiretos\"/>
    </mc:Choice>
  </mc:AlternateContent>
  <xr:revisionPtr revIDLastSave="0" documentId="13_ncr:1_{B0A8A9A7-7985-4BC6-BB12-11155C068B12}" xr6:coauthVersionLast="47" xr6:coauthVersionMax="47" xr10:uidLastSave="{00000000-0000-0000-0000-000000000000}"/>
  <bookViews>
    <workbookView xWindow="20370" yWindow="-120" windowWidth="20730" windowHeight="11040" xr2:uid="{7D576F2E-51A1-4758-9615-AD65E0C3CC56}"/>
  </bookViews>
  <sheets>
    <sheet name="DISTRIBUIÇÃO PRAZO" sheetId="14" r:id="rId1"/>
    <sheet name="DISTRIBUIÇÃO CUSTO" sheetId="11" state="hidden" r:id="rId2"/>
    <sheet name="CURVA TEÓRICA" sheetId="13" state="hidden" r:id="rId3"/>
  </sheets>
  <definedNames>
    <definedName name="_xlnm._FilterDatabase" localSheetId="1" hidden="1">'DISTRIBUIÇÃO CUSTO'!$B$29:$E$71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4" l="1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C30" i="14"/>
  <c r="EB24" i="11"/>
  <c r="DZ24" i="11"/>
  <c r="DX24" i="11"/>
  <c r="DV24" i="11"/>
  <c r="DT24" i="11"/>
  <c r="DR24" i="11"/>
  <c r="DP24" i="11"/>
  <c r="DN24" i="11"/>
  <c r="DL24" i="11"/>
  <c r="DJ24" i="11"/>
  <c r="DH24" i="11"/>
  <c r="DF24" i="11"/>
  <c r="DD24" i="11"/>
  <c r="DB24" i="11"/>
  <c r="CZ24" i="11"/>
  <c r="CX24" i="11"/>
  <c r="CV24" i="11"/>
  <c r="CT24" i="11"/>
  <c r="CR24" i="11"/>
  <c r="CP24" i="11"/>
  <c r="CN24" i="11"/>
  <c r="CL24" i="11"/>
  <c r="CJ24" i="11"/>
  <c r="CH24" i="11"/>
  <c r="CF24" i="11"/>
  <c r="CD24" i="11"/>
  <c r="CB24" i="11"/>
  <c r="BZ24" i="11"/>
  <c r="BX24" i="11"/>
  <c r="BV24" i="11"/>
  <c r="BT24" i="11"/>
  <c r="BR24" i="11"/>
  <c r="BP24" i="11"/>
  <c r="BN24" i="11"/>
  <c r="BL24" i="11"/>
  <c r="BJ24" i="11"/>
  <c r="BH24" i="11"/>
  <c r="BF24" i="11"/>
  <c r="BD24" i="11"/>
  <c r="BB24" i="11"/>
  <c r="AZ24" i="11"/>
  <c r="AX24" i="11"/>
  <c r="AV24" i="11"/>
  <c r="AT24" i="11"/>
  <c r="AR24" i="11"/>
  <c r="AP24" i="11"/>
  <c r="AN24" i="11"/>
  <c r="AL24" i="11"/>
  <c r="AJ24" i="11"/>
  <c r="AH24" i="11"/>
  <c r="AF24" i="11"/>
  <c r="AD24" i="11"/>
  <c r="AB24" i="11"/>
  <c r="Z24" i="11"/>
  <c r="X24" i="11"/>
  <c r="V24" i="11"/>
  <c r="T24" i="11"/>
  <c r="R24" i="11"/>
  <c r="P24" i="11"/>
  <c r="N24" i="11"/>
  <c r="L24" i="11"/>
  <c r="J24" i="11"/>
  <c r="EB23" i="11"/>
  <c r="DZ23" i="11"/>
  <c r="DX23" i="11"/>
  <c r="DV23" i="11"/>
  <c r="DT23" i="11"/>
  <c r="DR23" i="11"/>
  <c r="DP23" i="11"/>
  <c r="DN23" i="11"/>
  <c r="DL23" i="11"/>
  <c r="DJ23" i="11"/>
  <c r="DH23" i="11"/>
  <c r="DF23" i="11"/>
  <c r="DD23" i="11"/>
  <c r="DB23" i="11"/>
  <c r="CZ23" i="11"/>
  <c r="CX23" i="11"/>
  <c r="CV23" i="11"/>
  <c r="CT23" i="11"/>
  <c r="CR23" i="11"/>
  <c r="CP23" i="11"/>
  <c r="CN23" i="11"/>
  <c r="CL23" i="11"/>
  <c r="CJ23" i="11"/>
  <c r="CH23" i="11"/>
  <c r="CF23" i="11"/>
  <c r="CD23" i="11"/>
  <c r="CB23" i="11"/>
  <c r="BZ23" i="11"/>
  <c r="BX23" i="11"/>
  <c r="BV23" i="11"/>
  <c r="BT23" i="11"/>
  <c r="BR23" i="11"/>
  <c r="BP23" i="11"/>
  <c r="BN23" i="11"/>
  <c r="BL23" i="11"/>
  <c r="BJ23" i="11"/>
  <c r="BH23" i="11"/>
  <c r="BF23" i="11"/>
  <c r="BD23" i="11"/>
  <c r="BB23" i="11"/>
  <c r="AZ23" i="11"/>
  <c r="AX23" i="11"/>
  <c r="AV23" i="11"/>
  <c r="AT23" i="11"/>
  <c r="AR23" i="11"/>
  <c r="AP23" i="11"/>
  <c r="AN23" i="11"/>
  <c r="AL23" i="11"/>
  <c r="AJ23" i="11"/>
  <c r="AH23" i="11"/>
  <c r="AF23" i="11"/>
  <c r="AD23" i="11"/>
  <c r="AB23" i="11"/>
  <c r="Z23" i="11"/>
  <c r="X23" i="11"/>
  <c r="V23" i="11"/>
  <c r="T23" i="11"/>
  <c r="R23" i="11"/>
  <c r="P23" i="11"/>
  <c r="N23" i="11"/>
  <c r="L23" i="11"/>
  <c r="J23" i="11"/>
  <c r="EB22" i="11"/>
  <c r="DZ22" i="11"/>
  <c r="DX22" i="11"/>
  <c r="DV22" i="11"/>
  <c r="DT22" i="11"/>
  <c r="DR22" i="11"/>
  <c r="DP22" i="11"/>
  <c r="DN22" i="11"/>
  <c r="DL22" i="11"/>
  <c r="DJ22" i="11"/>
  <c r="DH22" i="11"/>
  <c r="DF22" i="11"/>
  <c r="DD22" i="11"/>
  <c r="DB22" i="11"/>
  <c r="CZ22" i="11"/>
  <c r="CX22" i="11"/>
  <c r="CV22" i="11"/>
  <c r="CT22" i="11"/>
  <c r="CR22" i="11"/>
  <c r="CP22" i="11"/>
  <c r="CN22" i="11"/>
  <c r="CL22" i="11"/>
  <c r="CJ22" i="11"/>
  <c r="CH22" i="11"/>
  <c r="CF22" i="11"/>
  <c r="CD22" i="11"/>
  <c r="CB22" i="11"/>
  <c r="BZ22" i="11"/>
  <c r="BX22" i="11"/>
  <c r="BV22" i="11"/>
  <c r="BT22" i="11"/>
  <c r="BR22" i="11"/>
  <c r="BP22" i="11"/>
  <c r="BN22" i="11"/>
  <c r="BL22" i="11"/>
  <c r="BJ22" i="11"/>
  <c r="BH22" i="11"/>
  <c r="BF22" i="11"/>
  <c r="BD22" i="11"/>
  <c r="BB22" i="11"/>
  <c r="AZ22" i="11"/>
  <c r="AX22" i="11"/>
  <c r="AV22" i="11"/>
  <c r="AT22" i="11"/>
  <c r="AR22" i="11"/>
  <c r="AP22" i="11"/>
  <c r="AN22" i="11"/>
  <c r="AL22" i="11"/>
  <c r="AJ22" i="11"/>
  <c r="AH22" i="11"/>
  <c r="AF22" i="11"/>
  <c r="AD22" i="11"/>
  <c r="AB22" i="11"/>
  <c r="Z22" i="11"/>
  <c r="X22" i="11"/>
  <c r="V22" i="11"/>
  <c r="T22" i="11"/>
  <c r="R22" i="11"/>
  <c r="P22" i="11"/>
  <c r="N22" i="11"/>
  <c r="L22" i="11"/>
  <c r="J22" i="11"/>
  <c r="EB21" i="11"/>
  <c r="DZ21" i="11"/>
  <c r="DX21" i="11"/>
  <c r="DV21" i="11"/>
  <c r="DT21" i="11"/>
  <c r="DR21" i="11"/>
  <c r="DP21" i="11"/>
  <c r="DN21" i="11"/>
  <c r="DL21" i="11"/>
  <c r="DJ21" i="11"/>
  <c r="DH21" i="11"/>
  <c r="DF21" i="11"/>
  <c r="DD21" i="11"/>
  <c r="DB21" i="11"/>
  <c r="CZ21" i="11"/>
  <c r="CX21" i="11"/>
  <c r="CV21" i="11"/>
  <c r="CT21" i="11"/>
  <c r="CR21" i="11"/>
  <c r="CP21" i="11"/>
  <c r="CN21" i="11"/>
  <c r="CL21" i="11"/>
  <c r="CJ21" i="11"/>
  <c r="CH21" i="11"/>
  <c r="CF21" i="11"/>
  <c r="CD21" i="11"/>
  <c r="CB21" i="11"/>
  <c r="BZ21" i="11"/>
  <c r="BX21" i="11"/>
  <c r="BV21" i="11"/>
  <c r="BT21" i="11"/>
  <c r="BR21" i="11"/>
  <c r="BP21" i="11"/>
  <c r="BN21" i="11"/>
  <c r="BL21" i="11"/>
  <c r="BJ21" i="11"/>
  <c r="BH21" i="11"/>
  <c r="BF21" i="11"/>
  <c r="BD21" i="11"/>
  <c r="BB21" i="11"/>
  <c r="AZ21" i="11"/>
  <c r="AX21" i="11"/>
  <c r="AV21" i="11"/>
  <c r="AT21" i="11"/>
  <c r="AR21" i="11"/>
  <c r="AP21" i="11"/>
  <c r="AN21" i="11"/>
  <c r="AL21" i="11"/>
  <c r="AJ21" i="11"/>
  <c r="AH21" i="11"/>
  <c r="AF21" i="11"/>
  <c r="AD21" i="11"/>
  <c r="AB21" i="11"/>
  <c r="Z21" i="11"/>
  <c r="X21" i="11"/>
  <c r="V21" i="11"/>
  <c r="T21" i="11"/>
  <c r="R21" i="11"/>
  <c r="P21" i="11"/>
  <c r="N21" i="11"/>
  <c r="L21" i="11"/>
  <c r="J21" i="11"/>
  <c r="EB20" i="11"/>
  <c r="DZ20" i="11"/>
  <c r="DX20" i="11"/>
  <c r="DV20" i="11"/>
  <c r="DT20" i="11"/>
  <c r="DR20" i="11"/>
  <c r="DP20" i="11"/>
  <c r="DN20" i="11"/>
  <c r="DL20" i="11"/>
  <c r="DJ20" i="11"/>
  <c r="DH20" i="11"/>
  <c r="DF20" i="11"/>
  <c r="DD20" i="11"/>
  <c r="DB20" i="11"/>
  <c r="CZ20" i="11"/>
  <c r="CX20" i="11"/>
  <c r="CV20" i="11"/>
  <c r="CT20" i="11"/>
  <c r="CR20" i="11"/>
  <c r="CP20" i="11"/>
  <c r="CN20" i="11"/>
  <c r="CL20" i="11"/>
  <c r="CJ20" i="11"/>
  <c r="CH20" i="11"/>
  <c r="CF20" i="11"/>
  <c r="CD20" i="11"/>
  <c r="CB20" i="11"/>
  <c r="BZ20" i="11"/>
  <c r="BX20" i="11"/>
  <c r="BV20" i="11"/>
  <c r="BT20" i="11"/>
  <c r="BR20" i="11"/>
  <c r="BP20" i="11"/>
  <c r="BN20" i="11"/>
  <c r="BL20" i="11"/>
  <c r="BJ20" i="11"/>
  <c r="BH20" i="11"/>
  <c r="BF20" i="11"/>
  <c r="BD20" i="11"/>
  <c r="BB20" i="11"/>
  <c r="AZ20" i="11"/>
  <c r="AX20" i="11"/>
  <c r="AV20" i="11"/>
  <c r="AT20" i="11"/>
  <c r="AR20" i="11"/>
  <c r="AP20" i="11"/>
  <c r="AN20" i="11"/>
  <c r="AL20" i="11"/>
  <c r="AJ20" i="11"/>
  <c r="AH20" i="11"/>
  <c r="AF20" i="11"/>
  <c r="AD20" i="11"/>
  <c r="AB20" i="11"/>
  <c r="Z20" i="11"/>
  <c r="X20" i="11"/>
  <c r="V20" i="11"/>
  <c r="T20" i="11"/>
  <c r="R20" i="11"/>
  <c r="P20" i="11"/>
  <c r="N20" i="11"/>
  <c r="L20" i="11"/>
  <c r="J20" i="11"/>
  <c r="EB19" i="11"/>
  <c r="DZ19" i="11"/>
  <c r="DX19" i="11"/>
  <c r="DV19" i="11"/>
  <c r="DT19" i="11"/>
  <c r="DR19" i="11"/>
  <c r="DP19" i="11"/>
  <c r="DN19" i="11"/>
  <c r="DL19" i="11"/>
  <c r="DJ19" i="11"/>
  <c r="DH19" i="11"/>
  <c r="DF19" i="11"/>
  <c r="DD19" i="11"/>
  <c r="DB19" i="11"/>
  <c r="CZ19" i="11"/>
  <c r="CX19" i="11"/>
  <c r="CV19" i="11"/>
  <c r="CT19" i="11"/>
  <c r="CR19" i="11"/>
  <c r="CP19" i="11"/>
  <c r="CN19" i="11"/>
  <c r="CL19" i="11"/>
  <c r="CJ19" i="11"/>
  <c r="CH19" i="11"/>
  <c r="CF19" i="11"/>
  <c r="CD19" i="11"/>
  <c r="CB19" i="11"/>
  <c r="BZ19" i="11"/>
  <c r="BX19" i="11"/>
  <c r="BV19" i="11"/>
  <c r="BT19" i="11"/>
  <c r="BR19" i="11"/>
  <c r="BP19" i="11"/>
  <c r="BN19" i="11"/>
  <c r="BL19" i="11"/>
  <c r="BJ19" i="11"/>
  <c r="BH19" i="11"/>
  <c r="BF19" i="11"/>
  <c r="BD19" i="11"/>
  <c r="BB19" i="11"/>
  <c r="AZ19" i="11"/>
  <c r="AX19" i="11"/>
  <c r="AV19" i="11"/>
  <c r="AT19" i="11"/>
  <c r="AR19" i="11"/>
  <c r="AP19" i="11"/>
  <c r="AN19" i="11"/>
  <c r="AL19" i="11"/>
  <c r="AJ19" i="11"/>
  <c r="AH19" i="11"/>
  <c r="AF19" i="11"/>
  <c r="AD19" i="11"/>
  <c r="AB19" i="11"/>
  <c r="Z19" i="11"/>
  <c r="X19" i="11"/>
  <c r="V19" i="11"/>
  <c r="T19" i="11"/>
  <c r="R19" i="11"/>
  <c r="P19" i="11"/>
  <c r="N19" i="11"/>
  <c r="L19" i="11"/>
  <c r="J19" i="11"/>
  <c r="EB18" i="11"/>
  <c r="DZ18" i="11"/>
  <c r="DX18" i="11"/>
  <c r="DV18" i="11"/>
  <c r="DT18" i="11"/>
  <c r="DR18" i="11"/>
  <c r="DP18" i="11"/>
  <c r="DN18" i="11"/>
  <c r="DL18" i="11"/>
  <c r="DJ18" i="11"/>
  <c r="DH18" i="11"/>
  <c r="DF18" i="11"/>
  <c r="DD18" i="11"/>
  <c r="DB18" i="11"/>
  <c r="CZ18" i="11"/>
  <c r="CX18" i="11"/>
  <c r="CV18" i="11"/>
  <c r="CT18" i="11"/>
  <c r="CR18" i="11"/>
  <c r="CP18" i="11"/>
  <c r="CN18" i="11"/>
  <c r="CL18" i="11"/>
  <c r="CJ18" i="11"/>
  <c r="CH18" i="11"/>
  <c r="CF18" i="11"/>
  <c r="CD18" i="11"/>
  <c r="CB18" i="11"/>
  <c r="BZ18" i="11"/>
  <c r="BX18" i="11"/>
  <c r="BV18" i="11"/>
  <c r="BT18" i="11"/>
  <c r="BR18" i="11"/>
  <c r="BP18" i="11"/>
  <c r="BN18" i="11"/>
  <c r="BL18" i="11"/>
  <c r="BJ18" i="11"/>
  <c r="BH18" i="11"/>
  <c r="BF18" i="11"/>
  <c r="BD18" i="11"/>
  <c r="BB18" i="11"/>
  <c r="AZ18" i="11"/>
  <c r="AX18" i="11"/>
  <c r="AV18" i="11"/>
  <c r="AT18" i="11"/>
  <c r="AR18" i="11"/>
  <c r="AP18" i="11"/>
  <c r="AN18" i="11"/>
  <c r="AL18" i="11"/>
  <c r="AJ18" i="11"/>
  <c r="AH18" i="11"/>
  <c r="AF18" i="11"/>
  <c r="AD18" i="11"/>
  <c r="AB18" i="11"/>
  <c r="Z18" i="11"/>
  <c r="X18" i="11"/>
  <c r="V18" i="11"/>
  <c r="T18" i="11"/>
  <c r="R18" i="11"/>
  <c r="P18" i="11"/>
  <c r="N18" i="11"/>
  <c r="L18" i="11"/>
  <c r="J18" i="11"/>
  <c r="EB17" i="11"/>
  <c r="DZ17" i="11"/>
  <c r="DX17" i="11"/>
  <c r="DV17" i="11"/>
  <c r="DT17" i="11"/>
  <c r="DR17" i="11"/>
  <c r="DP17" i="11"/>
  <c r="DN17" i="11"/>
  <c r="DL17" i="11"/>
  <c r="DJ17" i="11"/>
  <c r="DH17" i="11"/>
  <c r="DF17" i="11"/>
  <c r="DD17" i="11"/>
  <c r="DB17" i="11"/>
  <c r="CZ17" i="11"/>
  <c r="CX17" i="11"/>
  <c r="CV17" i="11"/>
  <c r="CT17" i="11"/>
  <c r="CR17" i="11"/>
  <c r="CP17" i="11"/>
  <c r="CN17" i="11"/>
  <c r="CL17" i="11"/>
  <c r="CJ17" i="11"/>
  <c r="CH17" i="11"/>
  <c r="CF17" i="11"/>
  <c r="CD17" i="11"/>
  <c r="CB17" i="11"/>
  <c r="BZ17" i="11"/>
  <c r="BX17" i="11"/>
  <c r="BV17" i="11"/>
  <c r="BT17" i="11"/>
  <c r="BR17" i="11"/>
  <c r="BP17" i="11"/>
  <c r="BN17" i="11"/>
  <c r="BL17" i="11"/>
  <c r="BJ17" i="11"/>
  <c r="BH17" i="11"/>
  <c r="BF17" i="11"/>
  <c r="BD17" i="11"/>
  <c r="BB17" i="11"/>
  <c r="AZ17" i="11"/>
  <c r="AX17" i="11"/>
  <c r="AV17" i="11"/>
  <c r="AT17" i="11"/>
  <c r="AR17" i="11"/>
  <c r="AP17" i="11"/>
  <c r="AN17" i="11"/>
  <c r="AL17" i="11"/>
  <c r="AJ17" i="11"/>
  <c r="AH17" i="11"/>
  <c r="AF17" i="11"/>
  <c r="AD17" i="11"/>
  <c r="AB17" i="11"/>
  <c r="Z17" i="11"/>
  <c r="X17" i="11"/>
  <c r="V17" i="11"/>
  <c r="T17" i="11"/>
  <c r="R17" i="11"/>
  <c r="P17" i="11"/>
  <c r="N17" i="11"/>
  <c r="L17" i="11"/>
  <c r="J17" i="11"/>
  <c r="EB16" i="11"/>
  <c r="DZ16" i="11"/>
  <c r="DX16" i="11"/>
  <c r="DV16" i="11"/>
  <c r="DT16" i="11"/>
  <c r="DR16" i="11"/>
  <c r="DP16" i="11"/>
  <c r="DN16" i="11"/>
  <c r="DL16" i="11"/>
  <c r="DJ16" i="11"/>
  <c r="DH16" i="11"/>
  <c r="DF16" i="11"/>
  <c r="DD16" i="11"/>
  <c r="DB16" i="11"/>
  <c r="CZ16" i="11"/>
  <c r="CX16" i="11"/>
  <c r="CV16" i="11"/>
  <c r="CT16" i="11"/>
  <c r="CR16" i="11"/>
  <c r="CP16" i="11"/>
  <c r="CN16" i="11"/>
  <c r="CL16" i="11"/>
  <c r="CJ16" i="11"/>
  <c r="CH16" i="11"/>
  <c r="CF16" i="11"/>
  <c r="CD16" i="11"/>
  <c r="CB16" i="11"/>
  <c r="BZ16" i="11"/>
  <c r="BX16" i="11"/>
  <c r="BV16" i="11"/>
  <c r="BT16" i="11"/>
  <c r="BR16" i="11"/>
  <c r="BP16" i="11"/>
  <c r="BN16" i="11"/>
  <c r="BL16" i="11"/>
  <c r="BJ16" i="11"/>
  <c r="BH16" i="11"/>
  <c r="BF16" i="11"/>
  <c r="BD16" i="11"/>
  <c r="BB16" i="11"/>
  <c r="AZ16" i="11"/>
  <c r="AX16" i="11"/>
  <c r="AV16" i="11"/>
  <c r="AT16" i="11"/>
  <c r="AR16" i="11"/>
  <c r="AP16" i="11"/>
  <c r="AN16" i="11"/>
  <c r="AL16" i="11"/>
  <c r="AJ16" i="11"/>
  <c r="AH16" i="11"/>
  <c r="AF16" i="11"/>
  <c r="AD16" i="11"/>
  <c r="AB16" i="11"/>
  <c r="Z16" i="11"/>
  <c r="X16" i="11"/>
  <c r="V16" i="11"/>
  <c r="T16" i="11"/>
  <c r="R16" i="11"/>
  <c r="P16" i="11"/>
  <c r="N16" i="11"/>
  <c r="L16" i="11"/>
  <c r="J16" i="11"/>
  <c r="EB15" i="11"/>
  <c r="DZ15" i="11"/>
  <c r="DX15" i="11"/>
  <c r="DV15" i="11"/>
  <c r="DT15" i="11"/>
  <c r="DR15" i="11"/>
  <c r="DP15" i="11"/>
  <c r="DN15" i="11"/>
  <c r="DL15" i="11"/>
  <c r="DJ15" i="11"/>
  <c r="DH15" i="11"/>
  <c r="DF15" i="11"/>
  <c r="DD15" i="11"/>
  <c r="DB15" i="11"/>
  <c r="CZ15" i="11"/>
  <c r="CX15" i="11"/>
  <c r="CV15" i="11"/>
  <c r="CT15" i="11"/>
  <c r="CR15" i="11"/>
  <c r="CP15" i="11"/>
  <c r="CN15" i="11"/>
  <c r="CL15" i="11"/>
  <c r="CJ15" i="11"/>
  <c r="CH15" i="11"/>
  <c r="CF15" i="11"/>
  <c r="CD15" i="11"/>
  <c r="CB15" i="11"/>
  <c r="BZ15" i="11"/>
  <c r="BX15" i="11"/>
  <c r="BV15" i="11"/>
  <c r="BT15" i="11"/>
  <c r="BR15" i="11"/>
  <c r="BP15" i="11"/>
  <c r="BN15" i="11"/>
  <c r="BL15" i="11"/>
  <c r="BJ15" i="11"/>
  <c r="BH15" i="11"/>
  <c r="BF15" i="11"/>
  <c r="BD15" i="11"/>
  <c r="BB15" i="11"/>
  <c r="AZ15" i="11"/>
  <c r="AX15" i="11"/>
  <c r="AV15" i="11"/>
  <c r="AT15" i="11"/>
  <c r="AR15" i="11"/>
  <c r="AP15" i="11"/>
  <c r="AN15" i="11"/>
  <c r="AL15" i="11"/>
  <c r="AJ15" i="11"/>
  <c r="AH15" i="11"/>
  <c r="AF15" i="11"/>
  <c r="AD15" i="11"/>
  <c r="AB15" i="11"/>
  <c r="Z15" i="11"/>
  <c r="X15" i="11"/>
  <c r="V15" i="11"/>
  <c r="T15" i="11"/>
  <c r="R15" i="11"/>
  <c r="P15" i="11"/>
  <c r="N15" i="11"/>
  <c r="L15" i="11"/>
  <c r="J15" i="11"/>
  <c r="EB14" i="11"/>
  <c r="DZ14" i="11"/>
  <c r="DX14" i="11"/>
  <c r="DV14" i="11"/>
  <c r="DT14" i="11"/>
  <c r="DR14" i="11"/>
  <c r="DP14" i="11"/>
  <c r="DN14" i="11"/>
  <c r="DL14" i="11"/>
  <c r="DJ14" i="11"/>
  <c r="DH14" i="11"/>
  <c r="DF14" i="11"/>
  <c r="DD14" i="11"/>
  <c r="DB14" i="11"/>
  <c r="CZ14" i="11"/>
  <c r="CX14" i="11"/>
  <c r="CV14" i="11"/>
  <c r="CT14" i="11"/>
  <c r="CR14" i="11"/>
  <c r="CP14" i="11"/>
  <c r="CN14" i="11"/>
  <c r="CL14" i="11"/>
  <c r="CJ14" i="11"/>
  <c r="CH14" i="11"/>
  <c r="CF14" i="11"/>
  <c r="CD14" i="11"/>
  <c r="CB14" i="11"/>
  <c r="BZ14" i="11"/>
  <c r="BX14" i="11"/>
  <c r="BV14" i="11"/>
  <c r="BT14" i="11"/>
  <c r="BR14" i="11"/>
  <c r="BP14" i="11"/>
  <c r="BN14" i="11"/>
  <c r="BL14" i="11"/>
  <c r="BJ14" i="11"/>
  <c r="BH14" i="11"/>
  <c r="BF14" i="11"/>
  <c r="BD14" i="11"/>
  <c r="BB14" i="11"/>
  <c r="AZ14" i="11"/>
  <c r="AX14" i="11"/>
  <c r="AV14" i="11"/>
  <c r="AT14" i="11"/>
  <c r="AR14" i="11"/>
  <c r="AP14" i="11"/>
  <c r="AN14" i="11"/>
  <c r="AL14" i="11"/>
  <c r="AJ14" i="11"/>
  <c r="AH14" i="11"/>
  <c r="AF14" i="11"/>
  <c r="AD14" i="11"/>
  <c r="AB14" i="11"/>
  <c r="Z14" i="11"/>
  <c r="X14" i="11"/>
  <c r="V14" i="11"/>
  <c r="T14" i="11"/>
  <c r="R14" i="11"/>
  <c r="P14" i="11"/>
  <c r="N14" i="11"/>
  <c r="L14" i="11"/>
  <c r="J14" i="11"/>
  <c r="EB13" i="11"/>
  <c r="DZ13" i="11"/>
  <c r="DX13" i="11"/>
  <c r="DV13" i="11"/>
  <c r="DT13" i="11"/>
  <c r="DR13" i="11"/>
  <c r="DP13" i="11"/>
  <c r="DN13" i="11"/>
  <c r="DL13" i="11"/>
  <c r="DJ13" i="11"/>
  <c r="DH13" i="11"/>
  <c r="DF13" i="11"/>
  <c r="DD13" i="11"/>
  <c r="DB13" i="11"/>
  <c r="CZ13" i="11"/>
  <c r="CX13" i="11"/>
  <c r="CV13" i="11"/>
  <c r="CT13" i="11"/>
  <c r="CR13" i="11"/>
  <c r="CP13" i="11"/>
  <c r="CN13" i="11"/>
  <c r="CL13" i="11"/>
  <c r="CJ13" i="11"/>
  <c r="CH13" i="11"/>
  <c r="CF13" i="11"/>
  <c r="CD13" i="11"/>
  <c r="CB13" i="11"/>
  <c r="BZ13" i="11"/>
  <c r="BX13" i="11"/>
  <c r="BV13" i="11"/>
  <c r="BT13" i="11"/>
  <c r="BR13" i="11"/>
  <c r="BP13" i="11"/>
  <c r="BN13" i="11"/>
  <c r="BL13" i="11"/>
  <c r="BJ13" i="11"/>
  <c r="BH13" i="11"/>
  <c r="BF13" i="11"/>
  <c r="BD13" i="11"/>
  <c r="BB13" i="11"/>
  <c r="AZ13" i="11"/>
  <c r="AX13" i="11"/>
  <c r="AV13" i="11"/>
  <c r="AT13" i="11"/>
  <c r="AR13" i="11"/>
  <c r="AP13" i="11"/>
  <c r="AN13" i="11"/>
  <c r="AL13" i="11"/>
  <c r="AJ13" i="11"/>
  <c r="AH13" i="11"/>
  <c r="AF13" i="11"/>
  <c r="AD13" i="11"/>
  <c r="AB13" i="11"/>
  <c r="Z13" i="11"/>
  <c r="X13" i="11"/>
  <c r="V13" i="11"/>
  <c r="T13" i="11"/>
  <c r="R13" i="11"/>
  <c r="P13" i="11"/>
  <c r="N13" i="11"/>
  <c r="L13" i="11"/>
  <c r="J13" i="11"/>
  <c r="EB12" i="11"/>
  <c r="DZ12" i="11"/>
  <c r="DX12" i="11"/>
  <c r="DV12" i="11"/>
  <c r="DT12" i="11"/>
  <c r="DR12" i="11"/>
  <c r="DP12" i="11"/>
  <c r="DN12" i="11"/>
  <c r="DL12" i="11"/>
  <c r="DJ12" i="11"/>
  <c r="DH12" i="11"/>
  <c r="DF12" i="11"/>
  <c r="DD12" i="11"/>
  <c r="DB12" i="11"/>
  <c r="CZ12" i="11"/>
  <c r="CX12" i="11"/>
  <c r="CV12" i="11"/>
  <c r="CT12" i="11"/>
  <c r="CR12" i="11"/>
  <c r="CP12" i="11"/>
  <c r="CN12" i="11"/>
  <c r="CL12" i="11"/>
  <c r="CJ12" i="11"/>
  <c r="CH12" i="11"/>
  <c r="CF12" i="11"/>
  <c r="CD12" i="11"/>
  <c r="CB12" i="11"/>
  <c r="BZ12" i="11"/>
  <c r="BX12" i="11"/>
  <c r="BV12" i="11"/>
  <c r="BT12" i="11"/>
  <c r="BR12" i="11"/>
  <c r="BP12" i="11"/>
  <c r="BN12" i="11"/>
  <c r="BL12" i="11"/>
  <c r="BJ12" i="11"/>
  <c r="BH12" i="11"/>
  <c r="BF12" i="11"/>
  <c r="BD12" i="11"/>
  <c r="BB12" i="11"/>
  <c r="AZ12" i="11"/>
  <c r="AX12" i="11"/>
  <c r="AV12" i="11"/>
  <c r="AT12" i="11"/>
  <c r="AR12" i="11"/>
  <c r="AP12" i="11"/>
  <c r="AN12" i="11"/>
  <c r="AL12" i="11"/>
  <c r="AJ12" i="11"/>
  <c r="AH12" i="11"/>
  <c r="AF12" i="11"/>
  <c r="AD12" i="11"/>
  <c r="AB12" i="11"/>
  <c r="Z12" i="11"/>
  <c r="X12" i="11"/>
  <c r="V12" i="11"/>
  <c r="T12" i="11"/>
  <c r="R12" i="11"/>
  <c r="P12" i="11"/>
  <c r="N12" i="11"/>
  <c r="L12" i="11"/>
  <c r="J12" i="11"/>
  <c r="EB11" i="11"/>
  <c r="DZ11" i="11"/>
  <c r="DX11" i="11"/>
  <c r="DV11" i="11"/>
  <c r="DT11" i="11"/>
  <c r="DR11" i="11"/>
  <c r="DP11" i="11"/>
  <c r="DN11" i="11"/>
  <c r="DL11" i="11"/>
  <c r="DJ11" i="11"/>
  <c r="DH11" i="11"/>
  <c r="DF11" i="11"/>
  <c r="DD11" i="11"/>
  <c r="DB11" i="11"/>
  <c r="CZ11" i="11"/>
  <c r="CX11" i="11"/>
  <c r="CV11" i="11"/>
  <c r="CT11" i="11"/>
  <c r="CR11" i="11"/>
  <c r="CP11" i="11"/>
  <c r="CN11" i="11"/>
  <c r="CL11" i="11"/>
  <c r="CJ11" i="11"/>
  <c r="CH11" i="11"/>
  <c r="CF11" i="11"/>
  <c r="CD11" i="11"/>
  <c r="CB11" i="11"/>
  <c r="BZ11" i="11"/>
  <c r="BX11" i="11"/>
  <c r="BV11" i="11"/>
  <c r="BT11" i="11"/>
  <c r="BR11" i="11"/>
  <c r="BP11" i="11"/>
  <c r="BN11" i="11"/>
  <c r="BL11" i="11"/>
  <c r="BJ11" i="11"/>
  <c r="BH11" i="11"/>
  <c r="BF11" i="11"/>
  <c r="BD11" i="11"/>
  <c r="BB11" i="11"/>
  <c r="AZ11" i="11"/>
  <c r="AX11" i="11"/>
  <c r="AV11" i="11"/>
  <c r="AT11" i="11"/>
  <c r="AR11" i="11"/>
  <c r="AP11" i="11"/>
  <c r="AN11" i="11"/>
  <c r="AL11" i="11"/>
  <c r="AJ11" i="11"/>
  <c r="AH11" i="11"/>
  <c r="AF11" i="11"/>
  <c r="AD11" i="11"/>
  <c r="AB11" i="11"/>
  <c r="Z11" i="11"/>
  <c r="X11" i="11"/>
  <c r="V11" i="11"/>
  <c r="T11" i="11"/>
  <c r="R11" i="11"/>
  <c r="P11" i="11"/>
  <c r="N11" i="11"/>
  <c r="L11" i="11"/>
  <c r="J11" i="11"/>
  <c r="EB10" i="11"/>
  <c r="DZ10" i="11"/>
  <c r="DX10" i="11"/>
  <c r="DV10" i="11"/>
  <c r="DT10" i="11"/>
  <c r="DR10" i="11"/>
  <c r="DP10" i="11"/>
  <c r="DN10" i="11"/>
  <c r="DL10" i="11"/>
  <c r="DJ10" i="11"/>
  <c r="DH10" i="11"/>
  <c r="DF10" i="11"/>
  <c r="DD10" i="11"/>
  <c r="DB10" i="11"/>
  <c r="CZ10" i="11"/>
  <c r="CX10" i="11"/>
  <c r="CV10" i="11"/>
  <c r="CT10" i="11"/>
  <c r="CR10" i="11"/>
  <c r="CP10" i="11"/>
  <c r="CN10" i="11"/>
  <c r="CL10" i="11"/>
  <c r="CJ10" i="11"/>
  <c r="CH10" i="11"/>
  <c r="CF10" i="11"/>
  <c r="CD10" i="11"/>
  <c r="CB10" i="11"/>
  <c r="BZ10" i="11"/>
  <c r="BX10" i="11"/>
  <c r="BV10" i="11"/>
  <c r="BT10" i="11"/>
  <c r="BR10" i="11"/>
  <c r="BP10" i="11"/>
  <c r="BN10" i="11"/>
  <c r="BL10" i="11"/>
  <c r="BJ10" i="11"/>
  <c r="BH10" i="11"/>
  <c r="BF10" i="11"/>
  <c r="BD10" i="11"/>
  <c r="BB10" i="11"/>
  <c r="AZ10" i="11"/>
  <c r="AX10" i="11"/>
  <c r="AV10" i="11"/>
  <c r="AT10" i="11"/>
  <c r="AR10" i="11"/>
  <c r="AP10" i="11"/>
  <c r="AN10" i="11"/>
  <c r="AL10" i="11"/>
  <c r="AJ10" i="11"/>
  <c r="AH10" i="11"/>
  <c r="AF10" i="11"/>
  <c r="AD10" i="11"/>
  <c r="AB10" i="11"/>
  <c r="Z10" i="11"/>
  <c r="X10" i="11"/>
  <c r="V10" i="11"/>
  <c r="T10" i="11"/>
  <c r="R10" i="11"/>
  <c r="P10" i="11"/>
  <c r="N10" i="11"/>
  <c r="L10" i="11"/>
  <c r="J10" i="11"/>
  <c r="EB9" i="11"/>
  <c r="DZ9" i="11"/>
  <c r="DX9" i="11"/>
  <c r="DV9" i="11"/>
  <c r="DT9" i="11"/>
  <c r="DR9" i="11"/>
  <c r="DP9" i="11"/>
  <c r="DN9" i="11"/>
  <c r="DL9" i="11"/>
  <c r="DJ9" i="11"/>
  <c r="DH9" i="11"/>
  <c r="DF9" i="11"/>
  <c r="DD9" i="11"/>
  <c r="DB9" i="11"/>
  <c r="CZ9" i="11"/>
  <c r="CX9" i="11"/>
  <c r="CV9" i="11"/>
  <c r="CT9" i="11"/>
  <c r="CR9" i="11"/>
  <c r="CP9" i="11"/>
  <c r="CN9" i="11"/>
  <c r="CL9" i="11"/>
  <c r="CJ9" i="11"/>
  <c r="CH9" i="11"/>
  <c r="CF9" i="11"/>
  <c r="CD9" i="11"/>
  <c r="CB9" i="11"/>
  <c r="BZ9" i="11"/>
  <c r="BX9" i="11"/>
  <c r="BV9" i="11"/>
  <c r="BT9" i="11"/>
  <c r="BR9" i="11"/>
  <c r="BP9" i="11"/>
  <c r="BN9" i="11"/>
  <c r="BL9" i="11"/>
  <c r="BJ9" i="11"/>
  <c r="BH9" i="11"/>
  <c r="BF9" i="11"/>
  <c r="BD9" i="11"/>
  <c r="BB9" i="11"/>
  <c r="AZ9" i="11"/>
  <c r="AX9" i="11"/>
  <c r="AV9" i="11"/>
  <c r="AT9" i="11"/>
  <c r="AR9" i="11"/>
  <c r="AP9" i="11"/>
  <c r="AN9" i="11"/>
  <c r="AL9" i="11"/>
  <c r="AJ9" i="11"/>
  <c r="AH9" i="11"/>
  <c r="AF9" i="11"/>
  <c r="AD9" i="11"/>
  <c r="AB9" i="11"/>
  <c r="Z9" i="11"/>
  <c r="X9" i="11"/>
  <c r="V9" i="11"/>
  <c r="T9" i="11"/>
  <c r="R9" i="11"/>
  <c r="P9" i="11"/>
  <c r="N9" i="11"/>
  <c r="L9" i="11"/>
  <c r="J9" i="11"/>
  <c r="EA25" i="11" l="1"/>
  <c r="DY25" i="11"/>
  <c r="DW25" i="11"/>
  <c r="DU25" i="11"/>
  <c r="DS25" i="11"/>
  <c r="DQ25" i="11"/>
  <c r="DO25" i="11"/>
  <c r="DM25" i="11"/>
  <c r="DK25" i="11"/>
  <c r="DI25" i="11"/>
  <c r="DG25" i="11"/>
  <c r="DE25" i="11"/>
  <c r="DC25" i="11"/>
  <c r="DA25" i="11"/>
  <c r="CY25" i="11"/>
  <c r="CW25" i="11"/>
  <c r="CU25" i="11"/>
  <c r="CS25" i="11"/>
  <c r="CQ25" i="11"/>
  <c r="CO25" i="11"/>
  <c r="CM25" i="11"/>
  <c r="CK25" i="11"/>
  <c r="CI25" i="11"/>
  <c r="CG25" i="11"/>
  <c r="CE25" i="11"/>
  <c r="CC25" i="11"/>
  <c r="CA25" i="11"/>
  <c r="BY25" i="11"/>
  <c r="BW25" i="11"/>
  <c r="BU25" i="11"/>
  <c r="BS25" i="11"/>
  <c r="BQ25" i="11"/>
  <c r="BO25" i="11"/>
  <c r="BM25" i="11"/>
  <c r="BK25" i="11"/>
  <c r="BI25" i="11"/>
  <c r="BG25" i="11"/>
  <c r="BE25" i="11"/>
  <c r="BC25" i="11"/>
  <c r="BA25" i="11"/>
  <c r="AY25" i="11"/>
  <c r="AW25" i="11"/>
  <c r="AU25" i="11"/>
  <c r="AS25" i="11"/>
  <c r="AQ25" i="11"/>
  <c r="AO25" i="11"/>
  <c r="AM25" i="11"/>
  <c r="AK25" i="11"/>
  <c r="AI25" i="11"/>
  <c r="AG25" i="11"/>
  <c r="AE25" i="11"/>
  <c r="AC25" i="11"/>
  <c r="AA25" i="11"/>
  <c r="Y25" i="11"/>
  <c r="W25" i="11"/>
  <c r="U25" i="11"/>
  <c r="S25" i="11"/>
  <c r="Q25" i="11"/>
  <c r="O25" i="11"/>
  <c r="M25" i="11"/>
  <c r="K25" i="11"/>
  <c r="I25" i="11"/>
  <c r="G25" i="11"/>
  <c r="E25" i="11"/>
  <c r="H12" i="11"/>
  <c r="E9" i="11"/>
  <c r="H9" i="11" l="1"/>
  <c r="E12" i="11"/>
  <c r="E20" i="11"/>
  <c r="H20" i="11"/>
  <c r="H22" i="11"/>
  <c r="E22" i="11"/>
  <c r="E21" i="11"/>
  <c r="H21" i="11"/>
  <c r="H24" i="11"/>
  <c r="E24" i="11"/>
  <c r="H13" i="11"/>
  <c r="E15" i="11"/>
  <c r="H15" i="11"/>
  <c r="E16" i="11"/>
  <c r="H16" i="11"/>
  <c r="H10" i="11"/>
  <c r="E14" i="11"/>
  <c r="H14" i="11"/>
  <c r="H23" i="11"/>
  <c r="E23" i="11"/>
  <c r="E17" i="11"/>
  <c r="H17" i="11"/>
  <c r="E10" i="11"/>
  <c r="E18" i="11"/>
  <c r="H18" i="11"/>
  <c r="E13" i="11"/>
  <c r="E11" i="11"/>
  <c r="H11" i="11"/>
  <c r="E19" i="11"/>
  <c r="H19" i="11"/>
  <c r="P25" i="11"/>
  <c r="AF25" i="11"/>
  <c r="AV25" i="11"/>
  <c r="BL25" i="11"/>
  <c r="CB25" i="11"/>
  <c r="CR25" i="11"/>
  <c r="DH25" i="11"/>
  <c r="DX25" i="11"/>
  <c r="H25" i="11"/>
  <c r="X25" i="11"/>
  <c r="AN25" i="11"/>
  <c r="BD25" i="11"/>
  <c r="BT25" i="11"/>
  <c r="CJ25" i="11"/>
  <c r="CZ25" i="11"/>
  <c r="DP25" i="11"/>
  <c r="J25" i="11"/>
  <c r="Z25" i="11"/>
  <c r="AP25" i="11"/>
  <c r="BF25" i="11"/>
  <c r="BV25" i="11"/>
  <c r="CL25" i="11"/>
  <c r="DB25" i="11"/>
  <c r="DR25" i="11"/>
  <c r="L25" i="11"/>
  <c r="AB25" i="11"/>
  <c r="AR25" i="11"/>
  <c r="BH25" i="11"/>
  <c r="BX25" i="11"/>
  <c r="CN25" i="11"/>
  <c r="DD25" i="11"/>
  <c r="DT25" i="11"/>
  <c r="N25" i="11"/>
  <c r="AD25" i="11"/>
  <c r="AT25" i="11"/>
  <c r="BJ25" i="11"/>
  <c r="BZ25" i="11"/>
  <c r="CP25" i="11"/>
  <c r="DF25" i="11"/>
  <c r="DV25" i="11"/>
  <c r="R25" i="11"/>
  <c r="AH25" i="11"/>
  <c r="AX25" i="11"/>
  <c r="BN25" i="11"/>
  <c r="CD25" i="11"/>
  <c r="CT25" i="11"/>
  <c r="DJ25" i="11"/>
  <c r="DZ25" i="11"/>
  <c r="T25" i="11"/>
  <c r="AJ25" i="11"/>
  <c r="AZ25" i="11"/>
  <c r="BP25" i="11"/>
  <c r="CF25" i="11"/>
  <c r="CV25" i="11"/>
  <c r="DL25" i="11"/>
  <c r="EB25" i="11"/>
  <c r="V25" i="11"/>
  <c r="AL25" i="11"/>
  <c r="BB25" i="11"/>
  <c r="BR25" i="11"/>
  <c r="CH25" i="11"/>
  <c r="CX25" i="11"/>
  <c r="DN25" i="11"/>
  <c r="C26" i="11"/>
  <c r="CR26" i="11" l="1"/>
  <c r="AR26" i="11"/>
  <c r="DT26" i="11"/>
  <c r="CD26" i="11"/>
  <c r="DH26" i="11"/>
  <c r="DH27" i="11" s="1"/>
  <c r="BN26" i="11"/>
  <c r="BL26" i="11"/>
  <c r="AB26" i="11"/>
  <c r="BR26" i="11"/>
  <c r="CH26" i="11"/>
  <c r="DV26" i="11"/>
  <c r="AP26" i="11"/>
  <c r="EB26" i="11"/>
  <c r="AN26" i="11"/>
  <c r="AD26" i="11"/>
  <c r="CT26" i="11"/>
  <c r="CT27" i="11" s="1"/>
  <c r="Z26" i="11"/>
  <c r="BH26" i="11"/>
  <c r="CB26" i="11"/>
  <c r="BD26" i="11"/>
  <c r="T26" i="11"/>
  <c r="CZ26" i="11"/>
  <c r="CZ27" i="11" s="1"/>
  <c r="BV26" i="11"/>
  <c r="BT26" i="11"/>
  <c r="CL26" i="11"/>
  <c r="CL27" i="11" s="1"/>
  <c r="AL26" i="11"/>
  <c r="AV26" i="11"/>
  <c r="X26" i="11"/>
  <c r="AZ26" i="11"/>
  <c r="DP26" i="11"/>
  <c r="DP27" i="11" s="1"/>
  <c r="J26" i="11"/>
  <c r="DF26" i="11"/>
  <c r="DF27" i="11" s="1"/>
  <c r="DJ26" i="11"/>
  <c r="DJ27" i="11" s="1"/>
  <c r="CP26" i="11"/>
  <c r="CF26" i="11"/>
  <c r="CX26" i="11"/>
  <c r="CX27" i="11" s="1"/>
  <c r="DB26" i="11"/>
  <c r="DB27" i="11" s="1"/>
  <c r="CV26" i="11"/>
  <c r="CV27" i="11" s="1"/>
  <c r="AJ26" i="11"/>
  <c r="DN26" i="11"/>
  <c r="DN27" i="11" s="1"/>
  <c r="BB26" i="11"/>
  <c r="BF26" i="11"/>
  <c r="L26" i="11"/>
  <c r="V26" i="11"/>
  <c r="CN26" i="11"/>
  <c r="CN27" i="11" s="1"/>
  <c r="DL26" i="11"/>
  <c r="BZ26" i="11"/>
  <c r="DR26" i="11"/>
  <c r="DR27" i="11" s="1"/>
  <c r="DZ26" i="11"/>
  <c r="DZ27" i="11" s="1"/>
  <c r="BX26" i="11"/>
  <c r="BP26" i="11"/>
  <c r="DD26" i="11"/>
  <c r="DD27" i="11" s="1"/>
  <c r="AH26" i="11"/>
  <c r="CJ26" i="11"/>
  <c r="CJ27" i="11" s="1"/>
  <c r="AX26" i="11"/>
  <c r="AF26" i="11"/>
  <c r="DX26" i="11"/>
  <c r="DX27" i="11" s="1"/>
  <c r="P26" i="11"/>
  <c r="AT26" i="11"/>
  <c r="BJ26" i="11"/>
  <c r="N26" i="11"/>
  <c r="R26" i="11"/>
  <c r="H26" i="11"/>
  <c r="DL27" i="11"/>
  <c r="CR27" i="11"/>
  <c r="CP27" i="11"/>
  <c r="DT27" i="11"/>
  <c r="DV27" i="11"/>
  <c r="EB27" i="11"/>
  <c r="D22" i="11"/>
  <c r="F72" i="13"/>
  <c r="D23" i="11"/>
  <c r="D25" i="11"/>
  <c r="D9" i="11"/>
  <c r="D12" i="11"/>
  <c r="D20" i="11"/>
  <c r="D18" i="11"/>
  <c r="D10" i="11"/>
  <c r="D19" i="11"/>
  <c r="D17" i="11"/>
  <c r="D16" i="11"/>
  <c r="D11" i="11"/>
  <c r="D15" i="11"/>
  <c r="D14" i="11"/>
  <c r="D13" i="11"/>
  <c r="D21" i="11"/>
  <c r="D24" i="11"/>
  <c r="E26" i="11"/>
  <c r="E27" i="11" s="1"/>
  <c r="EC27" i="11" l="1"/>
  <c r="E17" i="13"/>
  <c r="E25" i="13"/>
  <c r="E33" i="13"/>
  <c r="E41" i="13"/>
  <c r="E49" i="13"/>
  <c r="E57" i="13"/>
  <c r="E65" i="13"/>
  <c r="E10" i="13"/>
  <c r="E18" i="13"/>
  <c r="E26" i="13"/>
  <c r="E34" i="13"/>
  <c r="E42" i="13"/>
  <c r="E50" i="13"/>
  <c r="E58" i="13"/>
  <c r="E66" i="13"/>
  <c r="E11" i="13"/>
  <c r="E19" i="13"/>
  <c r="E27" i="13"/>
  <c r="E35" i="13"/>
  <c r="E43" i="13"/>
  <c r="E51" i="13"/>
  <c r="E59" i="13"/>
  <c r="E67" i="13"/>
  <c r="E13" i="13"/>
  <c r="E21" i="13"/>
  <c r="E29" i="13"/>
  <c r="E37" i="13"/>
  <c r="E45" i="13"/>
  <c r="E53" i="13"/>
  <c r="E61" i="13"/>
  <c r="E69" i="13"/>
  <c r="E14" i="13"/>
  <c r="E22" i="13"/>
  <c r="E30" i="13"/>
  <c r="E38" i="13"/>
  <c r="E46" i="13"/>
  <c r="E54" i="13"/>
  <c r="E62" i="13"/>
  <c r="E70" i="13"/>
  <c r="E15" i="13"/>
  <c r="E23" i="13"/>
  <c r="E31" i="13"/>
  <c r="E39" i="13"/>
  <c r="E47" i="13"/>
  <c r="E55" i="13"/>
  <c r="E63" i="13"/>
  <c r="E71" i="13"/>
  <c r="E16" i="13"/>
  <c r="E24" i="13"/>
  <c r="E32" i="13"/>
  <c r="E40" i="13"/>
  <c r="E48" i="13"/>
  <c r="E56" i="13"/>
  <c r="E64" i="13"/>
  <c r="E12" i="13"/>
  <c r="E20" i="13"/>
  <c r="E28" i="13"/>
  <c r="E36" i="13"/>
  <c r="E44" i="13"/>
  <c r="E52" i="13"/>
  <c r="E60" i="13"/>
  <c r="E68" i="13"/>
  <c r="D26" i="11"/>
  <c r="BP27" i="11" l="1"/>
  <c r="AD27" i="11"/>
  <c r="BR27" i="11"/>
  <c r="AN27" i="11"/>
  <c r="BT27" i="11"/>
  <c r="BH27" i="11"/>
  <c r="X27" i="11"/>
  <c r="BL27" i="11"/>
  <c r="AV27" i="11"/>
  <c r="CH27" i="11"/>
  <c r="R27" i="11"/>
  <c r="L27" i="11"/>
  <c r="T27" i="11"/>
  <c r="AP27" i="11"/>
  <c r="AB27" i="11"/>
  <c r="N27" i="11"/>
  <c r="J27" i="11"/>
  <c r="AH27" i="11"/>
  <c r="Z27" i="11"/>
  <c r="BX27" i="11"/>
  <c r="BD27" i="11"/>
  <c r="BN27" i="11"/>
  <c r="AR27" i="11"/>
  <c r="AJ27" i="11"/>
  <c r="BZ27" i="11"/>
  <c r="CF27" i="11"/>
  <c r="CB27" i="11"/>
  <c r="CD27" i="11"/>
  <c r="P27" i="11"/>
  <c r="AL27" i="11"/>
  <c r="V27" i="11"/>
  <c r="AZ27" i="11"/>
  <c r="AX27" i="11"/>
  <c r="BF27" i="11"/>
  <c r="BV27" i="11"/>
  <c r="AF27" i="11"/>
  <c r="AT27" i="11"/>
  <c r="BB27" i="11"/>
  <c r="BJ27" i="11"/>
  <c r="H27" i="11" l="1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E9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l="1"/>
  <c r="F71" i="13" s="1"/>
  <c r="D70" i="13"/>
  <c r="D71" i="13" s="1"/>
</calcChain>
</file>

<file path=xl/sharedStrings.xml><?xml version="1.0" encoding="utf-8"?>
<sst xmlns="http://schemas.openxmlformats.org/spreadsheetml/2006/main" count="390" uniqueCount="105">
  <si>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</si>
  <si>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</si>
  <si>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</si>
  <si>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</si>
  <si>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</si>
  <si>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</si>
  <si>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</si>
  <si>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</si>
  <si>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</si>
  <si>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</si>
  <si>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</si>
  <si>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</si>
  <si>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</si>
  <si>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</si>
  <si>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</si>
  <si>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</si>
  <si>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</si>
  <si>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</si>
  <si>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</si>
  <si>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</si>
  <si>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</si>
  <si>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</si>
  <si>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</si>
  <si>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</si>
  <si>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</si>
  <si>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</si>
  <si>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</si>
  <si>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</si>
  <si>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</si>
  <si>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</si>
  <si>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</si>
  <si>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</si>
  <si>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</si>
  <si>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</si>
  <si>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</si>
  <si>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</si>
  <si>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</si>
  <si>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</si>
  <si>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</si>
  <si>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</si>
  <si>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</si>
  <si>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</si>
  <si>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</si>
  <si>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</si>
  <si>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</si>
  <si>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</si>
  <si>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</si>
  <si>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</si>
  <si>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</si>
  <si>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</si>
  <si>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</si>
  <si>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</si>
  <si>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</si>
  <si>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</si>
  <si>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</si>
  <si>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</si>
  <si>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</si>
  <si>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</si>
  <si>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</si>
  <si>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</si>
  <si>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</si>
  <si>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</si>
  <si>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</si>
  <si>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</si>
  <si>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</si>
  <si>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</si>
  <si>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</si>
  <si>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</si>
  <si>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</si>
  <si>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</si>
  <si>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</si>
  <si>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</si>
  <si>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</si>
  <si>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</si>
  <si>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</si>
  <si>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</si>
  <si>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</si>
  <si>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</si>
  <si>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</si>
  <si>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</si>
  <si>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</si>
  <si>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</si>
  <si>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</si>
  <si>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</si>
  <si>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</si>
  <si>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</si>
  <si>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</si>
  <si>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</si>
  <si>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</si>
  <si>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</si>
  <si>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</si>
  <si>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</si>
  <si>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</si>
  <si>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</si>
  <si>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</si>
  <si>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</si>
  <si>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</si>
  <si>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</si>
  <si>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SUPRAESTRUTURA - EMBASAMENTO</t>
  </si>
  <si>
    <t>SUPRAESTRUTURA - TORRE 1</t>
  </si>
  <si>
    <t>SUPRAESTRUTURA - TORRE 2</t>
  </si>
  <si>
    <t>SERVIÇO</t>
  </si>
  <si>
    <t>HOTEL</t>
  </si>
  <si>
    <t>Colline de France</t>
  </si>
  <si>
    <t>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</si>
</sst>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20"/>
      <color rgb="FFFF0000"/>
      <name val="Calibri Light"/>
      <family val="2"/>
      <scheme val="major"/>
    </font>
    <font>
      <sz val="28"/>
      <color rgb="FFFF0000"/>
      <name val="Calibri Light"/>
      <family val="2"/>
      <scheme val="major"/>
    </font>
    <font>
      <sz val="11"/>
      <name val="Poppins"/>
    </font>
    <font>
      <sz val="20"/>
      <name val="Calibri Light"/>
      <family val="2"/>
      <scheme val="major"/>
    </font>
    <font>
      <sz val="28"/>
      <name val="Calibri Light"/>
      <family val="2"/>
      <scheme val="major"/>
    </font>
    <font>
      <sz val="18"/>
      <color theme="1"/>
      <name val="Poppins"/>
    </font>
    <font>
      <sz val="18"/>
      <color theme="1"/>
      <name val="Calibri"/>
      <family val="2"/>
      <scheme val="minor"/>
    </font>
    <font>
      <b/>
      <sz val="11"/>
      <color theme="1"/>
      <name val="Poppins"/>
    </font>
    <font>
      <sz val="11"/>
      <color rgb="FF255AE5"/>
      <name val="Poppins"/>
    </font>
    <font>
      <b/>
      <sz val="18"/>
      <color theme="0"/>
      <name val="Poppins"/>
    </font>
    <font>
      <b/>
      <sz val="18"/>
      <name val="Poppins"/>
    </font>
    <font>
      <sz val="24"/>
      <name val="Calibri Light"/>
      <family val="2"/>
      <scheme val="major"/>
    </font>
    <font>
      <b/>
      <sz val="22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77111117893"/>
      </top>
      <bottom style="thin">
        <color theme="2" tint="-0.249977111117893"/>
      </bottom>
      <diagonal/>
    </border>
    <border>
      <left style="medium">
        <color theme="0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0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2" tint="-0.249977111117893"/>
      </left>
      <right style="medium">
        <color theme="0" tint="-0.249977111117893"/>
      </right>
      <top style="thin">
        <color theme="2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2" tint="-9.9978637043366805E-2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9.9978637043366805E-2"/>
      </right>
      <top style="medium">
        <color theme="0" tint="-0.249977111117893"/>
      </top>
      <bottom style="thin">
        <color theme="2" tint="-0.249977111117893"/>
      </bottom>
      <diagonal/>
    </border>
    <border>
      <left style="medium">
        <color theme="2" tint="-9.9978637043366805E-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9.9978637043366805E-2"/>
      </left>
      <right style="thin">
        <color theme="2" tint="-0.249977111117893"/>
      </right>
      <top style="thin">
        <color theme="2" tint="-0.249977111117893"/>
      </top>
      <bottom style="medium">
        <color theme="2" tint="-9.9978637043366805E-2"/>
      </bottom>
      <diagonal/>
    </border>
    <border>
      <left style="thin">
        <color theme="2" tint="-0.249977111117893"/>
      </left>
      <right style="medium">
        <color theme="2" tint="-9.9978637043366805E-2"/>
      </right>
      <top style="thin">
        <color theme="2" tint="-0.249977111117893"/>
      </top>
      <bottom style="medium">
        <color theme="2" tint="-9.9978637043366805E-2"/>
      </bottom>
      <diagonal/>
    </border>
    <border>
      <left/>
      <right style="thin">
        <color theme="2" tint="-0.249977111117893"/>
      </right>
      <top style="medium">
        <color theme="0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4" fontId="5" fillId="0" borderId="0" xfId="1" applyFont="1"/>
    <xf numFmtId="44" fontId="5" fillId="0" borderId="0" xfId="1" applyFont="1" applyBorder="1"/>
    <xf numFmtId="0" fontId="7" fillId="2" borderId="9" xfId="0" applyFont="1" applyFill="1" applyBorder="1" applyAlignment="1">
      <alignment horizontal="center" vertical="center" wrapText="1"/>
    </xf>
    <xf numFmtId="44" fontId="7" fillId="2" borderId="9" xfId="1" applyFont="1" applyFill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/>
    </xf>
    <xf numFmtId="10" fontId="8" fillId="0" borderId="9" xfId="2" applyNumberFormat="1" applyFont="1" applyFill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44" fontId="8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0" fontId="8" fillId="0" borderId="0" xfId="2" applyNumberFormat="1" applyFont="1" applyFill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44" fontId="9" fillId="0" borderId="0" xfId="1" applyFont="1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12" fillId="0" borderId="0" xfId="0" applyFont="1"/>
    <xf numFmtId="0" fontId="12" fillId="0" borderId="0" xfId="0" applyFont="1" applyAlignment="1">
      <alignment vertical="center"/>
    </xf>
    <xf numFmtId="0" fontId="3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2" fillId="0" borderId="0" xfId="0" applyNumberFormat="1" applyFont="1"/>
    <xf numFmtId="10" fontId="2" fillId="0" borderId="0" xfId="2" applyNumberFormat="1" applyFont="1" applyFill="1"/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0" fontId="12" fillId="0" borderId="12" xfId="2" applyNumberFormat="1" applyFont="1" applyFill="1" applyBorder="1" applyAlignment="1">
      <alignment horizontal="center" vertical="center"/>
    </xf>
    <xf numFmtId="10" fontId="12" fillId="0" borderId="10" xfId="0" applyNumberFormat="1" applyFont="1" applyBorder="1" applyAlignment="1">
      <alignment horizontal="center" vertical="center"/>
    </xf>
    <xf numFmtId="10" fontId="12" fillId="5" borderId="10" xfId="0" applyNumberFormat="1" applyFont="1" applyFill="1" applyBorder="1" applyAlignment="1">
      <alignment horizontal="center" vertical="center"/>
    </xf>
    <xf numFmtId="44" fontId="13" fillId="4" borderId="10" xfId="1" applyFont="1" applyFill="1" applyBorder="1" applyAlignment="1">
      <alignment horizontal="center" vertical="center"/>
    </xf>
    <xf numFmtId="9" fontId="13" fillId="4" borderId="10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3" fillId="2" borderId="10" xfId="0" applyFont="1" applyFill="1" applyBorder="1" applyAlignment="1">
      <alignment horizontal="center" vertical="center"/>
    </xf>
    <xf numFmtId="44" fontId="12" fillId="0" borderId="10" xfId="0" applyNumberFormat="1" applyFont="1" applyBorder="1" applyAlignment="1">
      <alignment horizontal="center" vertical="center"/>
    </xf>
    <xf numFmtId="44" fontId="13" fillId="2" borderId="10" xfId="0" applyNumberFormat="1" applyFont="1" applyFill="1" applyBorder="1" applyAlignment="1">
      <alignment horizontal="center" vertical="center"/>
    </xf>
    <xf numFmtId="44" fontId="13" fillId="2" borderId="13" xfId="0" applyNumberFormat="1" applyFont="1" applyFill="1" applyBorder="1" applyAlignment="1">
      <alignment horizontal="center" vertical="center"/>
    </xf>
    <xf numFmtId="164" fontId="13" fillId="2" borderId="14" xfId="0" applyNumberFormat="1" applyFont="1" applyFill="1" applyBorder="1" applyAlignment="1">
      <alignment horizontal="center" vertical="center"/>
    </xf>
    <xf numFmtId="10" fontId="13" fillId="2" borderId="22" xfId="2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3" fillId="2" borderId="15" xfId="2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164" fontId="13" fillId="4" borderId="13" xfId="0" applyNumberFormat="1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left" vertical="center"/>
    </xf>
    <xf numFmtId="2" fontId="13" fillId="4" borderId="15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left" vertical="center"/>
    </xf>
    <xf numFmtId="10" fontId="12" fillId="6" borderId="10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left" vertical="center"/>
    </xf>
    <xf numFmtId="10" fontId="12" fillId="7" borderId="10" xfId="0" applyNumberFormat="1" applyFont="1" applyFill="1" applyBorder="1" applyAlignment="1">
      <alignment horizontal="center" vertical="center"/>
    </xf>
    <xf numFmtId="10" fontId="12" fillId="7" borderId="12" xfId="2" applyNumberFormat="1" applyFont="1" applyFill="1" applyBorder="1" applyAlignment="1">
      <alignment horizontal="center" vertical="center"/>
    </xf>
    <xf numFmtId="44" fontId="12" fillId="7" borderId="10" xfId="0" applyNumberFormat="1" applyFont="1" applyFill="1" applyBorder="1" applyAlignment="1">
      <alignment horizontal="center" vertical="center"/>
    </xf>
    <xf numFmtId="10" fontId="12" fillId="7" borderId="10" xfId="2" applyNumberFormat="1" applyFont="1" applyFill="1" applyBorder="1" applyAlignment="1">
      <alignment horizontal="center" vertical="center"/>
    </xf>
    <xf numFmtId="44" fontId="12" fillId="7" borderId="13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4" fillId="0" borderId="31" xfId="0" applyFont="1" applyBorder="1" applyAlignment="1">
      <alignment vertical="center"/>
    </xf>
    <xf numFmtId="164" fontId="13" fillId="4" borderId="29" xfId="0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64" fontId="13" fillId="4" borderId="22" xfId="0" applyNumberFormat="1" applyFont="1" applyFill="1" applyBorder="1" applyAlignment="1">
      <alignment horizontal="center" vertical="center"/>
    </xf>
    <xf numFmtId="17" fontId="13" fillId="4" borderId="22" xfId="0" applyNumberFormat="1" applyFont="1" applyFill="1" applyBorder="1" applyAlignment="1">
      <alignment horizontal="center" vertical="center"/>
    </xf>
    <xf numFmtId="44" fontId="19" fillId="7" borderId="10" xfId="1" applyFont="1" applyFill="1" applyBorder="1" applyAlignment="1">
      <alignment horizontal="center" vertical="center"/>
    </xf>
    <xf numFmtId="44" fontId="19" fillId="0" borderId="10" xfId="1" applyFont="1" applyBorder="1" applyAlignment="1">
      <alignment horizontal="center" vertical="center"/>
    </xf>
    <xf numFmtId="44" fontId="19" fillId="6" borderId="10" xfId="1" applyFont="1" applyFill="1" applyBorder="1" applyAlignment="1">
      <alignment horizontal="center" vertical="center"/>
    </xf>
    <xf numFmtId="44" fontId="19" fillId="5" borderId="10" xfId="1" applyFont="1" applyFill="1" applyBorder="1" applyAlignment="1">
      <alignment horizontal="center" vertical="center"/>
    </xf>
    <xf numFmtId="44" fontId="12" fillId="7" borderId="13" xfId="1" applyFont="1" applyFill="1" applyBorder="1" applyAlignment="1">
      <alignment horizontal="center" vertical="center"/>
    </xf>
    <xf numFmtId="44" fontId="12" fillId="0" borderId="13" xfId="1" applyFont="1" applyBorder="1" applyAlignment="1">
      <alignment horizontal="center" vertical="center"/>
    </xf>
    <xf numFmtId="44" fontId="12" fillId="6" borderId="13" xfId="1" applyFont="1" applyFill="1" applyBorder="1" applyAlignment="1">
      <alignment horizontal="center" vertical="center"/>
    </xf>
    <xf numFmtId="44" fontId="12" fillId="5" borderId="13" xfId="1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/>
    <xf numFmtId="0" fontId="0" fillId="0" borderId="44" xfId="0" applyBorder="1"/>
    <xf numFmtId="0" fontId="22" fillId="0" borderId="0" xfId="0" applyFont="1"/>
    <xf numFmtId="0" fontId="23" fillId="0" borderId="0" xfId="0" applyFont="1"/>
    <xf numFmtId="0" fontId="13" fillId="2" borderId="32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2" borderId="36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17" fontId="13" fillId="2" borderId="49" xfId="3" applyNumberFormat="1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/>
    </xf>
    <xf numFmtId="0" fontId="27" fillId="9" borderId="45" xfId="0" applyFont="1" applyFill="1" applyBorder="1" applyAlignment="1">
      <alignment horizontal="center" vertical="center"/>
    </xf>
    <xf numFmtId="0" fontId="27" fillId="9" borderId="46" xfId="0" applyFont="1" applyFill="1" applyBorder="1" applyAlignment="1">
      <alignment horizontal="center" vertical="center"/>
    </xf>
    <xf numFmtId="0" fontId="27" fillId="9" borderId="47" xfId="0" applyFont="1" applyFill="1" applyBorder="1" applyAlignment="1">
      <alignment horizontal="center" vertical="center"/>
    </xf>
    <xf numFmtId="164" fontId="13" fillId="4" borderId="27" xfId="0" applyNumberFormat="1" applyFont="1" applyFill="1" applyBorder="1" applyAlignment="1">
      <alignment horizontal="center" vertical="center"/>
    </xf>
    <xf numFmtId="164" fontId="13" fillId="4" borderId="28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4" borderId="23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28" fillId="0" borderId="4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17" fontId="13" fillId="2" borderId="56" xfId="3" applyNumberFormat="1" applyFont="1" applyFill="1" applyBorder="1" applyAlignment="1">
      <alignment horizontal="center" vertical="center" textRotation="90"/>
    </xf>
    <xf numFmtId="0" fontId="27" fillId="9" borderId="48" xfId="0" applyFont="1" applyFill="1" applyBorder="1" applyAlignment="1">
      <alignment horizontal="center" vertical="center"/>
    </xf>
    <xf numFmtId="0" fontId="26" fillId="2" borderId="57" xfId="0" applyFont="1" applyFill="1" applyBorder="1" applyAlignment="1">
      <alignment horizontal="center" vertical="center"/>
    </xf>
    <xf numFmtId="0" fontId="26" fillId="2" borderId="58" xfId="0" applyFont="1" applyFill="1" applyBorder="1" applyAlignment="1">
      <alignment horizontal="center" vertical="center"/>
    </xf>
    <xf numFmtId="0" fontId="26" fillId="2" borderId="25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/>
    </xf>
    <xf numFmtId="0" fontId="29" fillId="0" borderId="39" xfId="0" applyFont="1" applyBorder="1" applyAlignment="1">
      <alignment horizontal="center"/>
    </xf>
    <xf numFmtId="0" fontId="29" fillId="0" borderId="40" xfId="0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42" xfId="0" applyFont="1" applyBorder="1" applyAlignment="1">
      <alignment horizontal="center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TEÓRICA'!$B$9:$B$71</c:f>
              <c:numCache>
                <c:formatCode>0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xVal>
          <c:yVal>
            <c:numRef>
              <c:f>'CURVA TEÓRICA'!$D$9:$D$71</c:f>
              <c:numCache>
                <c:formatCode>0.00%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6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TEÓRICA'!$B$9:$B$71</c:f>
              <c:numCache>
                <c:formatCode>0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cat>
          <c:val>
            <c:numRef>
              <c:f>'CURVA TEÓRICA'!$C$9:$C$71</c:f>
              <c:numCache>
                <c:formatCode>0.00%</c:formatCode>
                <c:ptCount val="63"/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TEÓRICA'!$B$9:$B$71</c:f>
              <c:numCache>
                <c:formatCode>0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cat>
          <c:val>
            <c:numRef>
              <c:f>'CURVA TEÓRICA'!$E$9:$E$71</c:f>
              <c:numCache>
                <c:formatCode>_("R$"* #,##0.00_);_("R$"* \(#,##0.00\);_("R$"* "-"??_);_(@_)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TEÓRICA'!$B$9:$B$71</c:f>
              <c:numCache>
                <c:formatCode>0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xVal>
          <c:yVal>
            <c:numRef>
              <c:f>'CURVA TEÓRICA'!$F$9:$F$71</c:f>
              <c:numCache>
                <c:formatCode>_("R$"* #,##0.00_);_("R$"* \(#,##0.00\);_("R$"* "-"??_);_(@_)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6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2367262" cy="380234"/>
    <xdr:pic>
      <xdr:nvPicPr>
        <xdr:cNvPr id="2" name="image1.png">
          <a:extLst>
            <a:ext uri="{FF2B5EF4-FFF2-40B4-BE49-F238E27FC236}">
              <a16:creationId xmlns:a16="http://schemas.microsoft.com/office/drawing/2014/main" id="{3217A614-5BD6-40D0-9E2B-E76AB545AC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2367262" cy="38023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4" name="image1.png">
          <a:extLst>
            <a:ext uri="{FF2B5EF4-FFF2-40B4-BE49-F238E27FC236}">
              <a16:creationId xmlns:a16="http://schemas.microsoft.com/office/drawing/2014/main" id="{E975F94B-455A-4E01-9B44-BADB7E9401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35</xdr:row>
      <xdr:rowOff>76200</xdr:rowOff>
    </xdr:from>
    <xdr:to>
      <xdr:col>45</xdr:col>
      <xdr:colOff>38117</xdr:colOff>
      <xdr:row>64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34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34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35</xdr:row>
      <xdr:rowOff>76199</xdr:rowOff>
    </xdr:from>
    <xdr:to>
      <xdr:col>85</xdr:col>
      <xdr:colOff>0</xdr:colOff>
      <xdr:row>64</xdr:row>
      <xdr:rowOff>36599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652B-C8D0-4A01-83F7-B5C225249524}">
  <dimension ref="A1:AR1005"/>
  <sheetViews>
    <sheetView showGridLines="0" tabSelected="1" zoomScale="55" zoomScaleNormal="55" workbookViewId="0">
      <selection activeCell="G13" sqref="G13"/>
    </sheetView>
  </sheetViews>
  <sheetFormatPr defaultColWidth="14.42578125" defaultRowHeight="15" x14ac:dyDescent="0.25"/>
  <cols>
    <col min="1" max="1" width="1.28515625" customWidth="1"/>
    <col min="2" max="2" width="88.7109375" bestFit="1" customWidth="1"/>
    <col min="3" max="44" width="7.28515625" customWidth="1"/>
  </cols>
  <sheetData>
    <row r="1" spans="1:44" ht="7.5" customHeight="1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4" ht="9.75" customHeight="1" x14ac:dyDescent="0.25">
      <c r="A2" s="19"/>
      <c r="B2" s="151" t="s">
        <v>73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3"/>
    </row>
    <row r="3" spans="1:44" s="84" customFormat="1" ht="30.75" customHeight="1" x14ac:dyDescent="0.95">
      <c r="A3" s="83"/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6"/>
    </row>
    <row r="4" spans="1:44" ht="39" customHeight="1" x14ac:dyDescent="0.25">
      <c r="A4" s="19"/>
      <c r="B4" s="138" t="s">
        <v>103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40"/>
    </row>
    <row r="5" spans="1:44" ht="9.75" customHeight="1" x14ac:dyDescent="0.35">
      <c r="A5" s="19"/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1"/>
      <c r="AR5" s="82"/>
    </row>
    <row r="6" spans="1:44" ht="21.75" customHeight="1" thickBot="1" x14ac:dyDescent="0.3"/>
    <row r="7" spans="1:44" ht="35.25" thickBot="1" x14ac:dyDescent="0.3">
      <c r="A7" s="19"/>
      <c r="B7" s="146" t="s">
        <v>102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8"/>
    </row>
    <row r="8" spans="1:44" ht="21.75" customHeight="1" x14ac:dyDescent="0.25">
      <c r="B8" s="147" t="s">
        <v>101</v>
      </c>
      <c r="C8" s="144" t="s">
        <v>1</v>
      </c>
      <c r="D8" s="85" t="s">
        <v>2</v>
      </c>
      <c r="E8" s="85" t="s">
        <v>3</v>
      </c>
      <c r="F8" s="85" t="s">
        <v>4</v>
      </c>
      <c r="G8" s="85" t="s">
        <v>5</v>
      </c>
      <c r="H8" s="85" t="s">
        <v>6</v>
      </c>
      <c r="I8" s="85" t="s">
        <v>7</v>
      </c>
      <c r="J8" s="85" t="s">
        <v>8</v>
      </c>
      <c r="K8" s="85" t="s">
        <v>9</v>
      </c>
      <c r="L8" s="85" t="s">
        <v>10</v>
      </c>
      <c r="M8" s="85" t="s">
        <v>11</v>
      </c>
      <c r="N8" s="85" t="s">
        <v>12</v>
      </c>
      <c r="O8" s="85" t="s">
        <v>13</v>
      </c>
      <c r="P8" s="85" t="s">
        <v>14</v>
      </c>
      <c r="Q8" s="85" t="s">
        <v>15</v>
      </c>
      <c r="R8" s="85" t="s">
        <v>16</v>
      </c>
      <c r="S8" s="85" t="s">
        <v>17</v>
      </c>
      <c r="T8" s="85" t="s">
        <v>18</v>
      </c>
      <c r="U8" s="85" t="s">
        <v>19</v>
      </c>
      <c r="V8" s="85" t="s">
        <v>20</v>
      </c>
      <c r="W8" s="85" t="s">
        <v>21</v>
      </c>
      <c r="X8" s="85" t="s">
        <v>22</v>
      </c>
      <c r="Y8" s="85" t="s">
        <v>23</v>
      </c>
      <c r="Z8" s="85" t="s">
        <v>24</v>
      </c>
      <c r="AA8" s="85" t="s">
        <v>25</v>
      </c>
      <c r="AB8" s="85" t="s">
        <v>26</v>
      </c>
      <c r="AC8" s="85" t="s">
        <v>27</v>
      </c>
      <c r="AD8" s="85" t="s">
        <v>28</v>
      </c>
      <c r="AE8" s="85" t="s">
        <v>29</v>
      </c>
      <c r="AF8" s="85" t="s">
        <v>30</v>
      </c>
      <c r="AG8" s="85" t="s">
        <v>31</v>
      </c>
      <c r="AH8" s="85" t="s">
        <v>32</v>
      </c>
      <c r="AI8" s="85" t="s">
        <v>33</v>
      </c>
      <c r="AJ8" s="85" t="s">
        <v>34</v>
      </c>
      <c r="AK8" s="85" t="s">
        <v>35</v>
      </c>
      <c r="AL8" s="85" t="s">
        <v>36</v>
      </c>
      <c r="AM8" s="85" t="s">
        <v>37</v>
      </c>
      <c r="AN8" s="85" t="s">
        <v>38</v>
      </c>
      <c r="AO8" s="85" t="s">
        <v>39</v>
      </c>
      <c r="AP8" s="85" t="s">
        <v>40</v>
      </c>
      <c r="AQ8" s="85" t="s">
        <v>75</v>
      </c>
      <c r="AR8" s="85" t="s">
        <v>76</v>
      </c>
    </row>
    <row r="9" spans="1:44" ht="21.75" customHeight="1" x14ac:dyDescent="0.25">
      <c r="B9" s="148"/>
      <c r="C9" s="142"/>
      <c r="D9" s="142"/>
      <c r="E9" s="142"/>
      <c r="F9" s="142"/>
      <c r="G9" s="142"/>
      <c r="H9" s="142"/>
      <c r="I9" s="142" t="s">
        <v>1</v>
      </c>
      <c r="J9" s="142" t="s">
        <v>2</v>
      </c>
      <c r="K9" s="142" t="s">
        <v>3</v>
      </c>
      <c r="L9" s="142" t="s">
        <v>4</v>
      </c>
      <c r="M9" s="142" t="s">
        <v>5</v>
      </c>
      <c r="N9" s="142" t="s">
        <v>6</v>
      </c>
      <c r="O9" s="142" t="s">
        <v>7</v>
      </c>
      <c r="P9" s="142" t="s">
        <v>8</v>
      </c>
      <c r="Q9" s="142" t="s">
        <v>9</v>
      </c>
      <c r="R9" s="142" t="s">
        <v>10</v>
      </c>
      <c r="S9" s="142" t="s">
        <v>11</v>
      </c>
      <c r="T9" s="142" t="s">
        <v>12</v>
      </c>
      <c r="U9" s="142" t="s">
        <v>13</v>
      </c>
      <c r="V9" s="142" t="s">
        <v>14</v>
      </c>
      <c r="W9" s="142" t="s">
        <v>15</v>
      </c>
      <c r="X9" s="142" t="s">
        <v>16</v>
      </c>
      <c r="Y9" s="142" t="s">
        <v>17</v>
      </c>
      <c r="Z9" s="142" t="s">
        <v>18</v>
      </c>
      <c r="AA9" s="142" t="s">
        <v>19</v>
      </c>
      <c r="AB9" s="142" t="s">
        <v>20</v>
      </c>
      <c r="AC9" s="142" t="s">
        <v>21</v>
      </c>
      <c r="AD9" s="142" t="s">
        <v>22</v>
      </c>
      <c r="AE9" s="142" t="s">
        <v>23</v>
      </c>
      <c r="AF9" s="142" t="s">
        <v>24</v>
      </c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3"/>
    </row>
    <row r="10" spans="1:44" ht="60" customHeight="1" x14ac:dyDescent="0.25">
      <c r="B10" s="149"/>
      <c r="C10" s="145">
        <v>45658</v>
      </c>
      <c r="D10" s="102">
        <v>45689</v>
      </c>
      <c r="E10" s="102">
        <v>45717</v>
      </c>
      <c r="F10" s="102">
        <v>45748</v>
      </c>
      <c r="G10" s="102">
        <v>45778</v>
      </c>
      <c r="H10" s="102">
        <v>45809</v>
      </c>
      <c r="I10" s="102">
        <v>45839</v>
      </c>
      <c r="J10" s="102">
        <v>45870</v>
      </c>
      <c r="K10" s="102">
        <v>45901</v>
      </c>
      <c r="L10" s="102">
        <v>45931</v>
      </c>
      <c r="M10" s="102">
        <v>45962</v>
      </c>
      <c r="N10" s="102">
        <v>45992</v>
      </c>
      <c r="O10" s="102">
        <v>46023</v>
      </c>
      <c r="P10" s="102">
        <v>46054</v>
      </c>
      <c r="Q10" s="102">
        <v>46082</v>
      </c>
      <c r="R10" s="102">
        <v>46113</v>
      </c>
      <c r="S10" s="102">
        <v>46143</v>
      </c>
      <c r="T10" s="102">
        <v>46174</v>
      </c>
      <c r="U10" s="102">
        <v>46204</v>
      </c>
      <c r="V10" s="102">
        <v>46235</v>
      </c>
      <c r="W10" s="102">
        <v>46266</v>
      </c>
      <c r="X10" s="102">
        <v>46296</v>
      </c>
      <c r="Y10" s="102">
        <v>46327</v>
      </c>
      <c r="Z10" s="102">
        <v>46357</v>
      </c>
      <c r="AA10" s="102">
        <v>46388</v>
      </c>
      <c r="AB10" s="102">
        <v>46419</v>
      </c>
      <c r="AC10" s="102">
        <v>46447</v>
      </c>
      <c r="AD10" s="102">
        <v>46478</v>
      </c>
      <c r="AE10" s="102">
        <v>46508</v>
      </c>
      <c r="AF10" s="102">
        <v>46539</v>
      </c>
      <c r="AG10" s="102">
        <v>46569</v>
      </c>
      <c r="AH10" s="102">
        <v>46600</v>
      </c>
      <c r="AI10" s="102">
        <v>46631</v>
      </c>
      <c r="AJ10" s="102">
        <v>46661</v>
      </c>
      <c r="AK10" s="102">
        <v>46692</v>
      </c>
      <c r="AL10" s="102">
        <v>46722</v>
      </c>
      <c r="AM10" s="102">
        <v>46753</v>
      </c>
      <c r="AN10" s="102">
        <v>46784</v>
      </c>
      <c r="AO10" s="102">
        <v>46813</v>
      </c>
      <c r="AP10" s="102">
        <v>46844</v>
      </c>
      <c r="AQ10" s="102">
        <v>46874</v>
      </c>
      <c r="AR10" s="102">
        <v>47543</v>
      </c>
    </row>
    <row r="11" spans="1:44" ht="21.75" customHeight="1" x14ac:dyDescent="0.25">
      <c r="A11" s="19"/>
      <c r="B11" s="97" t="s">
        <v>53</v>
      </c>
      <c r="C11" s="150"/>
      <c r="D11" s="150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98"/>
    </row>
    <row r="12" spans="1:44" ht="21.75" customHeight="1" x14ac:dyDescent="0.25">
      <c r="A12" s="19"/>
      <c r="B12" s="99" t="s">
        <v>54</v>
      </c>
      <c r="C12" s="150"/>
      <c r="D12" s="150"/>
      <c r="E12" s="150"/>
      <c r="F12" s="150"/>
      <c r="G12" s="150"/>
      <c r="H12" s="150"/>
      <c r="I12" s="87">
        <v>1</v>
      </c>
      <c r="J12" s="87">
        <v>2</v>
      </c>
      <c r="K12" s="87">
        <v>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98"/>
    </row>
    <row r="13" spans="1:44" ht="21.75" customHeight="1" x14ac:dyDescent="0.25">
      <c r="A13" s="19"/>
      <c r="B13" s="86" t="s">
        <v>55</v>
      </c>
      <c r="C13" s="88"/>
      <c r="D13" s="88"/>
      <c r="E13" s="88"/>
      <c r="F13" s="88"/>
      <c r="G13" s="88"/>
      <c r="H13" s="88"/>
      <c r="I13" s="88"/>
      <c r="J13" s="88"/>
      <c r="K13" s="88"/>
      <c r="L13" s="87">
        <v>1</v>
      </c>
      <c r="M13" s="87">
        <v>2</v>
      </c>
      <c r="N13" s="87">
        <v>3</v>
      </c>
      <c r="O13" s="87">
        <v>4</v>
      </c>
      <c r="P13" s="87">
        <v>5</v>
      </c>
      <c r="Q13" s="87">
        <v>6</v>
      </c>
      <c r="R13" s="87">
        <v>7</v>
      </c>
      <c r="S13" s="87">
        <v>8</v>
      </c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9"/>
    </row>
    <row r="14" spans="1:44" ht="21.75" customHeight="1" x14ac:dyDescent="0.25">
      <c r="A14" s="19" t="s">
        <v>100</v>
      </c>
      <c r="B14" s="94" t="s">
        <v>56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7">
        <v>1</v>
      </c>
      <c r="O14" s="87">
        <v>1</v>
      </c>
      <c r="P14" s="87">
        <v>1</v>
      </c>
      <c r="Q14" s="87">
        <v>1</v>
      </c>
      <c r="R14" s="87">
        <v>1</v>
      </c>
      <c r="S14" s="87">
        <v>1</v>
      </c>
      <c r="T14" s="87">
        <v>1</v>
      </c>
      <c r="U14" s="87">
        <v>2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9"/>
    </row>
    <row r="15" spans="1:44" ht="21.75" customHeight="1" x14ac:dyDescent="0.25">
      <c r="A15" s="19"/>
      <c r="B15" s="86" t="s">
        <v>57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7">
        <v>1</v>
      </c>
      <c r="P15" s="87">
        <v>1</v>
      </c>
      <c r="Q15" s="87">
        <v>1</v>
      </c>
      <c r="R15" s="87">
        <v>1</v>
      </c>
      <c r="S15" s="87">
        <v>1</v>
      </c>
      <c r="T15" s="87">
        <v>1</v>
      </c>
      <c r="U15" s="87">
        <v>1</v>
      </c>
      <c r="V15" s="87">
        <v>1</v>
      </c>
      <c r="W15" s="87">
        <v>2</v>
      </c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9"/>
    </row>
    <row r="16" spans="1:44" ht="21.75" customHeight="1" x14ac:dyDescent="0.25">
      <c r="A16" s="19"/>
      <c r="B16" s="94" t="s">
        <v>58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7">
        <v>1</v>
      </c>
      <c r="W16" s="87">
        <v>2</v>
      </c>
      <c r="X16" s="87">
        <v>3</v>
      </c>
      <c r="Y16" s="87">
        <v>4</v>
      </c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9"/>
    </row>
    <row r="17" spans="1:44" ht="23.25" customHeight="1" x14ac:dyDescent="0.25">
      <c r="A17" s="19"/>
      <c r="B17" s="86" t="s">
        <v>59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7">
        <v>1</v>
      </c>
      <c r="R17" s="87">
        <v>1</v>
      </c>
      <c r="S17" s="87">
        <v>1</v>
      </c>
      <c r="T17" s="87">
        <v>1</v>
      </c>
      <c r="U17" s="87">
        <v>1</v>
      </c>
      <c r="V17" s="87">
        <v>1</v>
      </c>
      <c r="W17" s="87">
        <v>1</v>
      </c>
      <c r="X17" s="87">
        <v>1</v>
      </c>
      <c r="Y17" s="87">
        <v>1</v>
      </c>
      <c r="Z17" s="87">
        <v>1</v>
      </c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9"/>
    </row>
    <row r="18" spans="1:44" ht="23.25" customHeight="1" x14ac:dyDescent="0.25">
      <c r="A18" s="19"/>
      <c r="B18" s="94" t="s">
        <v>60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7">
        <v>1</v>
      </c>
      <c r="Q18" s="87">
        <v>1</v>
      </c>
      <c r="R18" s="87">
        <v>1</v>
      </c>
      <c r="S18" s="87">
        <v>1</v>
      </c>
      <c r="T18" s="87">
        <v>1</v>
      </c>
      <c r="U18" s="87">
        <v>1</v>
      </c>
      <c r="V18" s="87">
        <v>1</v>
      </c>
      <c r="W18" s="87">
        <v>1</v>
      </c>
      <c r="X18" s="87">
        <v>1</v>
      </c>
      <c r="Y18" s="87">
        <v>1</v>
      </c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9"/>
    </row>
    <row r="19" spans="1:44" ht="23.25" customHeight="1" x14ac:dyDescent="0.25">
      <c r="A19" s="19"/>
      <c r="B19" s="86" t="s">
        <v>61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7">
        <v>1</v>
      </c>
      <c r="T19" s="87">
        <v>1</v>
      </c>
      <c r="U19" s="87">
        <v>1</v>
      </c>
      <c r="V19" s="87">
        <v>1</v>
      </c>
      <c r="W19" s="87">
        <v>1</v>
      </c>
      <c r="X19" s="87">
        <v>1</v>
      </c>
      <c r="Y19" s="87">
        <v>1</v>
      </c>
      <c r="Z19" s="87">
        <v>1</v>
      </c>
      <c r="AA19" s="87">
        <v>1</v>
      </c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9"/>
    </row>
    <row r="20" spans="1:44" ht="23.25" customHeight="1" x14ac:dyDescent="0.25">
      <c r="A20" s="19"/>
      <c r="B20" s="94" t="s">
        <v>62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7">
        <v>1</v>
      </c>
      <c r="S20" s="87">
        <v>1</v>
      </c>
      <c r="T20" s="87">
        <v>1</v>
      </c>
      <c r="U20" s="87">
        <v>1</v>
      </c>
      <c r="V20" s="87">
        <v>1</v>
      </c>
      <c r="W20" s="87">
        <v>1</v>
      </c>
      <c r="X20" s="87">
        <v>1</v>
      </c>
      <c r="Y20" s="87">
        <v>1</v>
      </c>
      <c r="Z20" s="87">
        <v>1</v>
      </c>
      <c r="AA20" s="87">
        <v>1</v>
      </c>
      <c r="AB20" s="87">
        <v>1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9"/>
    </row>
    <row r="21" spans="1:44" ht="21.75" customHeight="1" x14ac:dyDescent="0.25">
      <c r="A21" s="19"/>
      <c r="B21" s="86" t="s">
        <v>63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7">
        <v>1</v>
      </c>
      <c r="U21" s="87">
        <v>1</v>
      </c>
      <c r="V21" s="87">
        <v>1</v>
      </c>
      <c r="W21" s="87">
        <v>1</v>
      </c>
      <c r="X21" s="87">
        <v>1</v>
      </c>
      <c r="Y21" s="87">
        <v>1</v>
      </c>
      <c r="Z21" s="87">
        <v>1</v>
      </c>
      <c r="AA21" s="87">
        <v>1</v>
      </c>
      <c r="AB21" s="87">
        <v>1</v>
      </c>
      <c r="AC21" s="87">
        <v>1</v>
      </c>
      <c r="AD21" s="87">
        <v>1</v>
      </c>
      <c r="AE21" s="87">
        <v>1</v>
      </c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9"/>
    </row>
    <row r="22" spans="1:44" ht="21.75" customHeight="1" x14ac:dyDescent="0.25">
      <c r="A22" s="19"/>
      <c r="B22" s="94" t="s">
        <v>64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7">
        <v>1</v>
      </c>
      <c r="X22" s="87">
        <v>2</v>
      </c>
      <c r="Y22" s="87">
        <v>3</v>
      </c>
      <c r="Z22" s="87">
        <v>4</v>
      </c>
      <c r="AA22" s="87">
        <v>5</v>
      </c>
      <c r="AB22" s="87">
        <v>6</v>
      </c>
      <c r="AC22" s="87">
        <v>7</v>
      </c>
      <c r="AD22" s="87">
        <v>8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9"/>
    </row>
    <row r="23" spans="1:44" ht="21.75" customHeight="1" x14ac:dyDescent="0.25">
      <c r="A23" s="19"/>
      <c r="B23" s="86" t="s">
        <v>65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7">
        <v>1</v>
      </c>
      <c r="Y23" s="87">
        <v>2</v>
      </c>
      <c r="Z23" s="87">
        <v>3</v>
      </c>
      <c r="AA23" s="87">
        <v>4</v>
      </c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9"/>
    </row>
    <row r="24" spans="1:44" ht="21.75" customHeight="1" x14ac:dyDescent="0.25">
      <c r="A24" s="19"/>
      <c r="B24" s="94" t="s">
        <v>66</v>
      </c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7">
        <v>1</v>
      </c>
      <c r="U24" s="87">
        <v>2</v>
      </c>
      <c r="V24" s="87">
        <v>3</v>
      </c>
      <c r="W24" s="87">
        <v>4</v>
      </c>
      <c r="X24" s="87">
        <v>5</v>
      </c>
      <c r="Y24" s="87">
        <v>6</v>
      </c>
      <c r="Z24" s="87">
        <v>7</v>
      </c>
      <c r="AA24" s="87">
        <v>8</v>
      </c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9"/>
    </row>
    <row r="25" spans="1:44" ht="21.75" customHeight="1" thickBot="1" x14ac:dyDescent="0.3">
      <c r="A25" s="19"/>
      <c r="B25" s="90" t="s">
        <v>67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2">
        <v>6</v>
      </c>
      <c r="Z25" s="92">
        <v>6</v>
      </c>
      <c r="AA25" s="92">
        <v>6</v>
      </c>
      <c r="AB25" s="92">
        <v>7</v>
      </c>
      <c r="AC25" s="92">
        <v>8</v>
      </c>
      <c r="AD25" s="92">
        <v>9</v>
      </c>
      <c r="AE25" s="92">
        <v>10</v>
      </c>
      <c r="AF25" s="92">
        <v>11</v>
      </c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3"/>
    </row>
    <row r="26" spans="1:44" ht="21.75" customHeight="1" thickBot="1" x14ac:dyDescent="0.3"/>
    <row r="27" spans="1:44" ht="35.25" thickBot="1" x14ac:dyDescent="0.3">
      <c r="A27" s="19"/>
      <c r="B27" s="106" t="s">
        <v>104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8"/>
    </row>
    <row r="28" spans="1:44" ht="21.75" customHeight="1" x14ac:dyDescent="0.25">
      <c r="A28" s="19"/>
      <c r="B28" s="147" t="s">
        <v>101</v>
      </c>
      <c r="C28" s="85" t="s">
        <v>1</v>
      </c>
      <c r="D28" s="85" t="s">
        <v>2</v>
      </c>
      <c r="E28" s="85" t="s">
        <v>3</v>
      </c>
      <c r="F28" s="85" t="s">
        <v>4</v>
      </c>
      <c r="G28" s="85" t="s">
        <v>5</v>
      </c>
      <c r="H28" s="85" t="s">
        <v>6</v>
      </c>
      <c r="I28" s="85" t="s">
        <v>7</v>
      </c>
      <c r="J28" s="85" t="s">
        <v>8</v>
      </c>
      <c r="K28" s="85" t="s">
        <v>9</v>
      </c>
      <c r="L28" s="85" t="s">
        <v>10</v>
      </c>
      <c r="M28" s="85" t="s">
        <v>11</v>
      </c>
      <c r="N28" s="85" t="s">
        <v>12</v>
      </c>
      <c r="O28" s="85" t="s">
        <v>13</v>
      </c>
      <c r="P28" s="85" t="s">
        <v>14</v>
      </c>
      <c r="Q28" s="85" t="s">
        <v>15</v>
      </c>
      <c r="R28" s="85" t="s">
        <v>16</v>
      </c>
      <c r="S28" s="85" t="s">
        <v>17</v>
      </c>
      <c r="T28" s="85" t="s">
        <v>18</v>
      </c>
      <c r="U28" s="85" t="s">
        <v>19</v>
      </c>
      <c r="V28" s="85" t="s">
        <v>20</v>
      </c>
      <c r="W28" s="85" t="s">
        <v>21</v>
      </c>
      <c r="X28" s="85" t="s">
        <v>22</v>
      </c>
      <c r="Y28" s="85" t="s">
        <v>23</v>
      </c>
      <c r="Z28" s="85" t="s">
        <v>24</v>
      </c>
      <c r="AA28" s="85" t="s">
        <v>25</v>
      </c>
      <c r="AB28" s="85" t="s">
        <v>26</v>
      </c>
      <c r="AC28" s="85" t="s">
        <v>27</v>
      </c>
      <c r="AD28" s="85" t="s">
        <v>28</v>
      </c>
      <c r="AE28" s="85" t="s">
        <v>29</v>
      </c>
      <c r="AF28" s="85" t="s">
        <v>30</v>
      </c>
      <c r="AG28" s="85" t="s">
        <v>31</v>
      </c>
      <c r="AH28" s="85" t="s">
        <v>32</v>
      </c>
      <c r="AI28" s="85" t="s">
        <v>33</v>
      </c>
      <c r="AJ28" s="85" t="s">
        <v>34</v>
      </c>
      <c r="AK28" s="85" t="s">
        <v>35</v>
      </c>
      <c r="AL28" s="85" t="s">
        <v>36</v>
      </c>
      <c r="AM28" s="85" t="s">
        <v>37</v>
      </c>
      <c r="AN28" s="85" t="s">
        <v>38</v>
      </c>
      <c r="AO28" s="85" t="s">
        <v>39</v>
      </c>
      <c r="AP28" s="85" t="s">
        <v>40</v>
      </c>
      <c r="AQ28" s="85" t="s">
        <v>75</v>
      </c>
      <c r="AR28" s="96" t="s">
        <v>76</v>
      </c>
    </row>
    <row r="29" spans="1:44" ht="21.75" customHeight="1" x14ac:dyDescent="0.25">
      <c r="A29" s="19"/>
      <c r="B29" s="148"/>
      <c r="C29" s="142"/>
      <c r="D29" s="142"/>
      <c r="E29" s="142"/>
      <c r="F29" s="142"/>
      <c r="G29" s="142"/>
      <c r="H29" s="142"/>
      <c r="I29" s="142" t="s">
        <v>1</v>
      </c>
      <c r="J29" s="142" t="s">
        <v>2</v>
      </c>
      <c r="K29" s="142" t="s">
        <v>3</v>
      </c>
      <c r="L29" s="142" t="s">
        <v>4</v>
      </c>
      <c r="M29" s="142" t="s">
        <v>5</v>
      </c>
      <c r="N29" s="142" t="s">
        <v>6</v>
      </c>
      <c r="O29" s="142" t="s">
        <v>7</v>
      </c>
      <c r="P29" s="142" t="s">
        <v>8</v>
      </c>
      <c r="Q29" s="142" t="s">
        <v>9</v>
      </c>
      <c r="R29" s="142" t="s">
        <v>10</v>
      </c>
      <c r="S29" s="142" t="s">
        <v>11</v>
      </c>
      <c r="T29" s="142" t="s">
        <v>12</v>
      </c>
      <c r="U29" s="142" t="s">
        <v>13</v>
      </c>
      <c r="V29" s="142" t="s">
        <v>14</v>
      </c>
      <c r="W29" s="142" t="s">
        <v>15</v>
      </c>
      <c r="X29" s="142" t="s">
        <v>16</v>
      </c>
      <c r="Y29" s="142" t="s">
        <v>17</v>
      </c>
      <c r="Z29" s="142" t="s">
        <v>18</v>
      </c>
      <c r="AA29" s="142" t="s">
        <v>19</v>
      </c>
      <c r="AB29" s="142" t="s">
        <v>20</v>
      </c>
      <c r="AC29" s="142" t="s">
        <v>21</v>
      </c>
      <c r="AD29" s="142" t="s">
        <v>22</v>
      </c>
      <c r="AE29" s="142" t="s">
        <v>23</v>
      </c>
      <c r="AF29" s="142" t="s">
        <v>24</v>
      </c>
      <c r="AG29" s="142" t="s">
        <v>25</v>
      </c>
      <c r="AH29" s="142" t="s">
        <v>26</v>
      </c>
      <c r="AI29" s="142" t="s">
        <v>27</v>
      </c>
      <c r="AJ29" s="142" t="s">
        <v>28</v>
      </c>
      <c r="AK29" s="142" t="s">
        <v>29</v>
      </c>
      <c r="AL29" s="142" t="s">
        <v>30</v>
      </c>
      <c r="AM29" s="142" t="s">
        <v>31</v>
      </c>
      <c r="AN29" s="142" t="s">
        <v>32</v>
      </c>
      <c r="AO29" s="142" t="s">
        <v>33</v>
      </c>
      <c r="AP29" s="142" t="s">
        <v>34</v>
      </c>
      <c r="AQ29" s="142" t="s">
        <v>35</v>
      </c>
      <c r="AR29" s="143" t="s">
        <v>36</v>
      </c>
    </row>
    <row r="30" spans="1:44" s="104" customFormat="1" ht="60" customHeight="1" x14ac:dyDescent="0.25">
      <c r="A30" s="103"/>
      <c r="B30" s="149"/>
      <c r="C30" s="102">
        <f>C10</f>
        <v>45658</v>
      </c>
      <c r="D30" s="102">
        <f t="shared" ref="D30:AR30" si="0">D10</f>
        <v>45689</v>
      </c>
      <c r="E30" s="102">
        <f t="shared" si="0"/>
        <v>45717</v>
      </c>
      <c r="F30" s="102">
        <f t="shared" si="0"/>
        <v>45748</v>
      </c>
      <c r="G30" s="102">
        <f t="shared" si="0"/>
        <v>45778</v>
      </c>
      <c r="H30" s="102">
        <f t="shared" si="0"/>
        <v>45809</v>
      </c>
      <c r="I30" s="102">
        <f t="shared" si="0"/>
        <v>45839</v>
      </c>
      <c r="J30" s="102">
        <f t="shared" si="0"/>
        <v>45870</v>
      </c>
      <c r="K30" s="102">
        <f t="shared" si="0"/>
        <v>45901</v>
      </c>
      <c r="L30" s="102">
        <f t="shared" si="0"/>
        <v>45931</v>
      </c>
      <c r="M30" s="102">
        <f t="shared" si="0"/>
        <v>45962</v>
      </c>
      <c r="N30" s="102">
        <f t="shared" si="0"/>
        <v>45992</v>
      </c>
      <c r="O30" s="102">
        <f t="shared" si="0"/>
        <v>46023</v>
      </c>
      <c r="P30" s="102">
        <f t="shared" si="0"/>
        <v>46054</v>
      </c>
      <c r="Q30" s="102">
        <f t="shared" si="0"/>
        <v>46082</v>
      </c>
      <c r="R30" s="102">
        <f t="shared" si="0"/>
        <v>46113</v>
      </c>
      <c r="S30" s="102">
        <f t="shared" si="0"/>
        <v>46143</v>
      </c>
      <c r="T30" s="102">
        <f t="shared" si="0"/>
        <v>46174</v>
      </c>
      <c r="U30" s="102">
        <f t="shared" si="0"/>
        <v>46204</v>
      </c>
      <c r="V30" s="102">
        <f t="shared" si="0"/>
        <v>46235</v>
      </c>
      <c r="W30" s="102">
        <f t="shared" si="0"/>
        <v>46266</v>
      </c>
      <c r="X30" s="102">
        <f t="shared" si="0"/>
        <v>46296</v>
      </c>
      <c r="Y30" s="102">
        <f t="shared" si="0"/>
        <v>46327</v>
      </c>
      <c r="Z30" s="102">
        <f t="shared" si="0"/>
        <v>46357</v>
      </c>
      <c r="AA30" s="102">
        <f t="shared" si="0"/>
        <v>46388</v>
      </c>
      <c r="AB30" s="102">
        <f t="shared" si="0"/>
        <v>46419</v>
      </c>
      <c r="AC30" s="102">
        <f t="shared" si="0"/>
        <v>46447</v>
      </c>
      <c r="AD30" s="102">
        <f t="shared" si="0"/>
        <v>46478</v>
      </c>
      <c r="AE30" s="102">
        <f t="shared" si="0"/>
        <v>46508</v>
      </c>
      <c r="AF30" s="102">
        <f t="shared" si="0"/>
        <v>46539</v>
      </c>
      <c r="AG30" s="102">
        <f t="shared" si="0"/>
        <v>46569</v>
      </c>
      <c r="AH30" s="102">
        <f t="shared" si="0"/>
        <v>46600</v>
      </c>
      <c r="AI30" s="102">
        <f t="shared" si="0"/>
        <v>46631</v>
      </c>
      <c r="AJ30" s="102">
        <f t="shared" si="0"/>
        <v>46661</v>
      </c>
      <c r="AK30" s="102">
        <f t="shared" si="0"/>
        <v>46692</v>
      </c>
      <c r="AL30" s="102">
        <f t="shared" si="0"/>
        <v>46722</v>
      </c>
      <c r="AM30" s="102">
        <f t="shared" si="0"/>
        <v>46753</v>
      </c>
      <c r="AN30" s="102">
        <f t="shared" si="0"/>
        <v>46784</v>
      </c>
      <c r="AO30" s="102">
        <f t="shared" si="0"/>
        <v>46813</v>
      </c>
      <c r="AP30" s="102">
        <f t="shared" si="0"/>
        <v>46844</v>
      </c>
      <c r="AQ30" s="102">
        <f t="shared" si="0"/>
        <v>46874</v>
      </c>
      <c r="AR30" s="102">
        <f t="shared" si="0"/>
        <v>47543</v>
      </c>
    </row>
    <row r="31" spans="1:44" ht="21.75" customHeight="1" x14ac:dyDescent="0.25">
      <c r="A31" s="19"/>
      <c r="B31" s="97" t="s">
        <v>53</v>
      </c>
      <c r="C31" s="150"/>
      <c r="D31" s="150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98"/>
    </row>
    <row r="32" spans="1:44" ht="21.75" customHeight="1" x14ac:dyDescent="0.25">
      <c r="A32" s="19"/>
      <c r="B32" s="99" t="s">
        <v>54</v>
      </c>
      <c r="C32" s="150"/>
      <c r="D32" s="150"/>
      <c r="E32" s="150"/>
      <c r="F32" s="150"/>
      <c r="G32" s="150"/>
      <c r="H32" s="150"/>
      <c r="I32" s="87">
        <v>1</v>
      </c>
      <c r="J32" s="87">
        <v>2</v>
      </c>
      <c r="K32" s="87">
        <v>3</v>
      </c>
      <c r="L32" s="87">
        <v>4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98"/>
    </row>
    <row r="33" spans="1:44" ht="21.75" customHeight="1" x14ac:dyDescent="0.25">
      <c r="A33" s="19"/>
      <c r="B33" s="97" t="s">
        <v>98</v>
      </c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141"/>
      <c r="N33" s="141"/>
      <c r="O33" s="141"/>
      <c r="P33" s="141"/>
      <c r="Q33" s="141"/>
      <c r="R33" s="141"/>
      <c r="S33" s="141"/>
      <c r="T33" s="141"/>
      <c r="U33" s="141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98"/>
    </row>
    <row r="34" spans="1:44" ht="21.75" customHeight="1" x14ac:dyDescent="0.25">
      <c r="A34" s="19"/>
      <c r="B34" s="99" t="s">
        <v>99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7">
        <v>1</v>
      </c>
      <c r="W34" s="87">
        <v>2</v>
      </c>
      <c r="X34" s="87">
        <v>3</v>
      </c>
      <c r="Y34" s="87">
        <v>4</v>
      </c>
      <c r="Z34" s="87">
        <v>5</v>
      </c>
      <c r="AA34" s="87">
        <v>6</v>
      </c>
      <c r="AB34" s="87">
        <v>7</v>
      </c>
      <c r="AC34" s="87">
        <v>8</v>
      </c>
      <c r="AD34" s="87">
        <v>9</v>
      </c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98"/>
    </row>
    <row r="35" spans="1:44" ht="21.75" customHeight="1" thickBot="1" x14ac:dyDescent="0.3">
      <c r="A35" s="19"/>
      <c r="B35" s="100" t="s">
        <v>100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7">
        <v>1</v>
      </c>
      <c r="W35" s="87">
        <v>2</v>
      </c>
      <c r="X35" s="87">
        <v>3</v>
      </c>
      <c r="Y35" s="87">
        <v>4</v>
      </c>
      <c r="Z35" s="87">
        <v>5</v>
      </c>
      <c r="AA35" s="87">
        <v>6</v>
      </c>
      <c r="AB35" s="87">
        <v>7</v>
      </c>
      <c r="AC35" s="87">
        <v>8</v>
      </c>
      <c r="AD35" s="87">
        <v>9</v>
      </c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101"/>
    </row>
    <row r="36" spans="1:44" ht="21.75" customHeight="1" x14ac:dyDescent="0.25">
      <c r="A36" s="19"/>
      <c r="B36" s="94" t="s">
        <v>56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7">
        <v>1</v>
      </c>
      <c r="S36" s="87">
        <v>1</v>
      </c>
      <c r="T36" s="87">
        <v>1</v>
      </c>
      <c r="U36" s="87">
        <v>1</v>
      </c>
      <c r="V36" s="87">
        <v>1</v>
      </c>
      <c r="W36" s="87">
        <v>1</v>
      </c>
      <c r="X36" s="87">
        <v>1</v>
      </c>
      <c r="Y36" s="87">
        <v>1</v>
      </c>
      <c r="Z36" s="87">
        <v>1</v>
      </c>
      <c r="AA36" s="87">
        <v>1</v>
      </c>
      <c r="AB36" s="87">
        <v>1</v>
      </c>
      <c r="AC36" s="87">
        <v>1</v>
      </c>
      <c r="AD36" s="87">
        <v>1</v>
      </c>
      <c r="AE36" s="87">
        <v>1</v>
      </c>
      <c r="AF36" s="87">
        <v>2</v>
      </c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9"/>
    </row>
    <row r="37" spans="1:44" ht="21.75" customHeight="1" x14ac:dyDescent="0.25">
      <c r="A37" s="19"/>
      <c r="B37" s="86" t="s">
        <v>57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7">
        <v>2</v>
      </c>
      <c r="U37" s="87">
        <v>2</v>
      </c>
      <c r="V37" s="87">
        <v>2</v>
      </c>
      <c r="W37" s="87">
        <v>2</v>
      </c>
      <c r="X37" s="87">
        <v>2</v>
      </c>
      <c r="Y37" s="87">
        <v>2</v>
      </c>
      <c r="Z37" s="87">
        <v>2</v>
      </c>
      <c r="AA37" s="87">
        <v>2</v>
      </c>
      <c r="AB37" s="87">
        <v>2</v>
      </c>
      <c r="AC37" s="87">
        <v>2</v>
      </c>
      <c r="AD37" s="87">
        <v>2</v>
      </c>
      <c r="AE37" s="87">
        <v>2</v>
      </c>
      <c r="AF37" s="87">
        <v>2</v>
      </c>
      <c r="AG37" s="87">
        <v>2</v>
      </c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9"/>
    </row>
    <row r="38" spans="1:44" ht="23.25" customHeight="1" x14ac:dyDescent="0.25">
      <c r="A38" s="19"/>
      <c r="B38" s="94" t="s">
        <v>58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7">
        <v>1</v>
      </c>
      <c r="AH38" s="87">
        <v>2</v>
      </c>
      <c r="AI38" s="87">
        <v>3</v>
      </c>
      <c r="AJ38" s="87">
        <v>4</v>
      </c>
      <c r="AK38" s="87">
        <v>5</v>
      </c>
      <c r="AL38" s="88"/>
      <c r="AM38" s="88"/>
      <c r="AN38" s="88"/>
      <c r="AO38" s="88"/>
      <c r="AP38" s="88"/>
      <c r="AQ38" s="88"/>
      <c r="AR38" s="89"/>
    </row>
    <row r="39" spans="1:44" ht="23.25" customHeight="1" x14ac:dyDescent="0.25">
      <c r="A39" s="19"/>
      <c r="B39" s="86" t="s">
        <v>59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7">
        <v>2</v>
      </c>
      <c r="W39" s="87">
        <v>2</v>
      </c>
      <c r="X39" s="87">
        <v>2</v>
      </c>
      <c r="Y39" s="87">
        <v>2</v>
      </c>
      <c r="Z39" s="87">
        <v>2</v>
      </c>
      <c r="AA39" s="87">
        <v>2</v>
      </c>
      <c r="AB39" s="87">
        <v>2</v>
      </c>
      <c r="AC39" s="87">
        <v>2</v>
      </c>
      <c r="AD39" s="87">
        <v>2</v>
      </c>
      <c r="AE39" s="87">
        <v>2</v>
      </c>
      <c r="AF39" s="87">
        <v>2</v>
      </c>
      <c r="AG39" s="87">
        <v>2</v>
      </c>
      <c r="AH39" s="87">
        <v>2</v>
      </c>
      <c r="AI39" s="87">
        <v>2</v>
      </c>
      <c r="AJ39" s="88"/>
      <c r="AK39" s="88"/>
      <c r="AL39" s="88"/>
      <c r="AM39" s="88"/>
      <c r="AN39" s="88"/>
      <c r="AO39" s="88"/>
      <c r="AP39" s="88"/>
      <c r="AQ39" s="88"/>
      <c r="AR39" s="89"/>
    </row>
    <row r="40" spans="1:44" ht="23.25" customHeight="1" x14ac:dyDescent="0.25">
      <c r="A40" s="19"/>
      <c r="B40" s="94" t="s">
        <v>60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7">
        <v>2</v>
      </c>
      <c r="V40" s="87">
        <v>2</v>
      </c>
      <c r="W40" s="87">
        <v>2</v>
      </c>
      <c r="X40" s="87">
        <v>2</v>
      </c>
      <c r="Y40" s="87">
        <v>2</v>
      </c>
      <c r="Z40" s="87">
        <v>2</v>
      </c>
      <c r="AA40" s="87">
        <v>2</v>
      </c>
      <c r="AB40" s="87">
        <v>2</v>
      </c>
      <c r="AC40" s="87">
        <v>2</v>
      </c>
      <c r="AD40" s="87">
        <v>2</v>
      </c>
      <c r="AE40" s="87">
        <v>2</v>
      </c>
      <c r="AF40" s="87">
        <v>2</v>
      </c>
      <c r="AG40" s="87">
        <v>2</v>
      </c>
      <c r="AH40" s="87">
        <v>2</v>
      </c>
      <c r="AI40" s="88"/>
      <c r="AJ40" s="88"/>
      <c r="AK40" s="88"/>
      <c r="AL40" s="88"/>
      <c r="AM40" s="88"/>
      <c r="AN40" s="88"/>
      <c r="AO40" s="88"/>
      <c r="AP40" s="88"/>
      <c r="AQ40" s="88"/>
      <c r="AR40" s="89"/>
    </row>
    <row r="41" spans="1:44" ht="23.25" customHeight="1" x14ac:dyDescent="0.25">
      <c r="A41" s="19"/>
      <c r="B41" s="86" t="s">
        <v>61</v>
      </c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7">
        <v>2</v>
      </c>
      <c r="Y41" s="87">
        <v>2</v>
      </c>
      <c r="Z41" s="87">
        <v>2</v>
      </c>
      <c r="AA41" s="87">
        <v>2</v>
      </c>
      <c r="AB41" s="87">
        <v>2</v>
      </c>
      <c r="AC41" s="87">
        <v>2</v>
      </c>
      <c r="AD41" s="87">
        <v>2</v>
      </c>
      <c r="AE41" s="87">
        <v>2</v>
      </c>
      <c r="AF41" s="87">
        <v>2</v>
      </c>
      <c r="AG41" s="87">
        <v>2</v>
      </c>
      <c r="AH41" s="87">
        <v>2</v>
      </c>
      <c r="AI41" s="87">
        <v>2</v>
      </c>
      <c r="AJ41" s="87">
        <v>2</v>
      </c>
      <c r="AK41" s="88"/>
      <c r="AL41" s="88"/>
      <c r="AM41" s="88"/>
      <c r="AN41" s="88"/>
      <c r="AO41" s="88"/>
      <c r="AP41" s="88"/>
      <c r="AQ41" s="88"/>
      <c r="AR41" s="89"/>
    </row>
    <row r="42" spans="1:44" ht="21.75" customHeight="1" x14ac:dyDescent="0.25">
      <c r="A42" s="19"/>
      <c r="B42" s="94" t="s">
        <v>62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7">
        <v>2</v>
      </c>
      <c r="X42" s="87">
        <v>2</v>
      </c>
      <c r="Y42" s="87">
        <v>2</v>
      </c>
      <c r="Z42" s="87">
        <v>2</v>
      </c>
      <c r="AA42" s="87">
        <v>2</v>
      </c>
      <c r="AB42" s="87">
        <v>2</v>
      </c>
      <c r="AC42" s="87">
        <v>2</v>
      </c>
      <c r="AD42" s="87">
        <v>2</v>
      </c>
      <c r="AE42" s="87">
        <v>2</v>
      </c>
      <c r="AF42" s="87">
        <v>2</v>
      </c>
      <c r="AG42" s="87">
        <v>2</v>
      </c>
      <c r="AH42" s="87">
        <v>2</v>
      </c>
      <c r="AI42" s="87">
        <v>2</v>
      </c>
      <c r="AJ42" s="87">
        <v>2</v>
      </c>
      <c r="AK42" s="87">
        <v>2</v>
      </c>
      <c r="AL42" s="87">
        <v>2</v>
      </c>
      <c r="AM42" s="87">
        <v>2</v>
      </c>
      <c r="AN42" s="88"/>
      <c r="AO42" s="88"/>
      <c r="AP42" s="88"/>
      <c r="AQ42" s="88"/>
      <c r="AR42" s="89"/>
    </row>
    <row r="43" spans="1:44" ht="21.75" customHeight="1" x14ac:dyDescent="0.25">
      <c r="A43" s="19"/>
      <c r="B43" s="86" t="s">
        <v>63</v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7">
        <v>2</v>
      </c>
      <c r="Z43" s="87">
        <v>2</v>
      </c>
      <c r="AA43" s="87">
        <v>2</v>
      </c>
      <c r="AB43" s="87">
        <v>2</v>
      </c>
      <c r="AC43" s="87">
        <v>2</v>
      </c>
      <c r="AD43" s="87">
        <v>2</v>
      </c>
      <c r="AE43" s="87">
        <v>2</v>
      </c>
      <c r="AF43" s="87">
        <v>2</v>
      </c>
      <c r="AG43" s="87">
        <v>2</v>
      </c>
      <c r="AH43" s="87">
        <v>2</v>
      </c>
      <c r="AI43" s="87">
        <v>2</v>
      </c>
      <c r="AJ43" s="87">
        <v>2</v>
      </c>
      <c r="AK43" s="87">
        <v>2</v>
      </c>
      <c r="AL43" s="87">
        <v>2</v>
      </c>
      <c r="AM43" s="87">
        <v>2</v>
      </c>
      <c r="AN43" s="87">
        <v>2</v>
      </c>
      <c r="AO43" s="87">
        <v>2</v>
      </c>
      <c r="AP43" s="87">
        <v>2</v>
      </c>
      <c r="AQ43" s="88"/>
      <c r="AR43" s="89"/>
    </row>
    <row r="44" spans="1:44" ht="21.75" customHeight="1" x14ac:dyDescent="0.25">
      <c r="A44" s="19"/>
      <c r="B44" s="94" t="s">
        <v>64</v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7">
        <v>2</v>
      </c>
      <c r="AI44" s="87">
        <v>3</v>
      </c>
      <c r="AJ44" s="87">
        <v>4</v>
      </c>
      <c r="AK44" s="87">
        <v>5</v>
      </c>
      <c r="AL44" s="87">
        <v>6</v>
      </c>
      <c r="AM44" s="87">
        <v>7</v>
      </c>
      <c r="AN44" s="87">
        <v>8</v>
      </c>
      <c r="AO44" s="87">
        <v>9</v>
      </c>
      <c r="AP44" s="88"/>
      <c r="AQ44" s="88"/>
      <c r="AR44" s="89"/>
    </row>
    <row r="45" spans="1:44" ht="21.75" customHeight="1" x14ac:dyDescent="0.25">
      <c r="A45" s="19"/>
      <c r="B45" s="86" t="s">
        <v>65</v>
      </c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7">
        <v>9</v>
      </c>
      <c r="AL45" s="87">
        <v>10</v>
      </c>
      <c r="AM45" s="87">
        <v>11</v>
      </c>
      <c r="AN45" s="88"/>
      <c r="AO45" s="88"/>
      <c r="AP45" s="88"/>
      <c r="AQ45" s="88"/>
      <c r="AR45" s="89"/>
    </row>
    <row r="46" spans="1:44" ht="21.75" customHeight="1" x14ac:dyDescent="0.25">
      <c r="A46" s="19"/>
      <c r="B46" s="94" t="s">
        <v>66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141"/>
      <c r="AD46" s="141"/>
      <c r="AE46" s="141"/>
      <c r="AF46" s="141"/>
      <c r="AG46" s="87">
        <v>5</v>
      </c>
      <c r="AH46" s="87">
        <v>6</v>
      </c>
      <c r="AI46" s="87">
        <v>7</v>
      </c>
      <c r="AJ46" s="87">
        <v>8</v>
      </c>
      <c r="AK46" s="87">
        <v>9</v>
      </c>
      <c r="AL46" s="87">
        <v>10</v>
      </c>
      <c r="AM46" s="87">
        <v>11</v>
      </c>
      <c r="AN46" s="88"/>
      <c r="AO46" s="88"/>
      <c r="AP46" s="88"/>
      <c r="AQ46" s="88"/>
      <c r="AR46" s="89"/>
    </row>
    <row r="47" spans="1:44" ht="21.75" customHeight="1" thickBot="1" x14ac:dyDescent="0.3">
      <c r="A47" s="19"/>
      <c r="B47" s="90" t="s">
        <v>67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87">
        <v>1</v>
      </c>
      <c r="AM47" s="87">
        <v>2</v>
      </c>
      <c r="AN47" s="87">
        <v>3</v>
      </c>
      <c r="AO47" s="87">
        <v>4</v>
      </c>
      <c r="AP47" s="87">
        <v>5</v>
      </c>
      <c r="AQ47" s="87">
        <v>6</v>
      </c>
      <c r="AR47" s="95"/>
    </row>
    <row r="48" spans="1:44" ht="21.7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25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25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25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25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25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25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25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25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25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25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25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25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25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25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25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25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25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25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25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25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25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25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25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25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25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25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25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25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25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25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25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25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25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25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25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25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25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25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25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25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25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25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25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25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25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25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25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25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25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25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25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25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25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25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25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25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25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25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25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25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25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25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25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25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25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25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25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25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25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25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25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25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25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25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25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25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25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25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25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25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25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25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25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25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25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25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25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25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25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25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25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25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25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25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25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25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25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25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25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25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25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25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25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25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25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25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25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25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25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25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25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25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25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25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25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25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</sheetData>
  <mergeCells count="6">
    <mergeCell ref="B28:B30"/>
    <mergeCell ref="B2:AR3"/>
    <mergeCell ref="B4:AR4"/>
    <mergeCell ref="B7:AR7"/>
    <mergeCell ref="B27:AR27"/>
    <mergeCell ref="B8:B10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7B23-2ACC-44BA-9AB1-A67FF3418618}">
  <dimension ref="B1:EC968"/>
  <sheetViews>
    <sheetView showGridLines="0" zoomScale="60" zoomScaleNormal="60" workbookViewId="0">
      <pane xSplit="2" ySplit="8" topLeftCell="C12" activePane="bottomRight" state="frozen"/>
      <selection pane="topRight" activeCell="B1" sqref="B1"/>
      <selection pane="bottomLeft" activeCell="A4" sqref="A4"/>
      <selection pane="bottomRight" activeCell="I9" sqref="I9:EB24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7" customWidth="1"/>
    <col min="7" max="7" width="8.42578125" bestFit="1" customWidth="1"/>
    <col min="8" max="8" width="22.28515625" bestFit="1" customWidth="1"/>
    <col min="9" max="9" width="8.42578125" bestFit="1" customWidth="1"/>
    <col min="10" max="10" width="20.85546875" bestFit="1" customWidth="1"/>
    <col min="11" max="11" width="8" bestFit="1" customWidth="1"/>
    <col min="12" max="12" width="20.85546875" bestFit="1" customWidth="1"/>
    <col min="13" max="13" width="8" bestFit="1" customWidth="1"/>
    <col min="14" max="14" width="20.85546875" bestFit="1" customWidth="1"/>
    <col min="15" max="15" width="8" bestFit="1" customWidth="1"/>
    <col min="16" max="16" width="20.85546875" bestFit="1" customWidth="1"/>
    <col min="17" max="17" width="8" bestFit="1" customWidth="1"/>
    <col min="18" max="18" width="20.85546875" bestFit="1" customWidth="1"/>
    <col min="19" max="19" width="8" bestFit="1" customWidth="1"/>
    <col min="20" max="20" width="21.5703125" bestFit="1" customWidth="1"/>
    <col min="21" max="21" width="7.28515625" bestFit="1" customWidth="1"/>
    <col min="22" max="22" width="21.5703125" bestFit="1" customWidth="1"/>
    <col min="23" max="23" width="7.28515625" bestFit="1" customWidth="1"/>
    <col min="24" max="24" width="21.5703125" bestFit="1" customWidth="1"/>
    <col min="25" max="25" width="7.28515625" bestFit="1" customWidth="1"/>
    <col min="26" max="26" width="21.5703125" bestFit="1" customWidth="1"/>
    <col min="27" max="27" width="7.28515625" bestFit="1" customWidth="1"/>
    <col min="28" max="28" width="21.5703125" bestFit="1" customWidth="1"/>
    <col min="29" max="29" width="7.28515625" bestFit="1" customWidth="1"/>
    <col min="30" max="30" width="21.5703125" bestFit="1" customWidth="1"/>
    <col min="31" max="31" width="7.28515625" bestFit="1" customWidth="1"/>
    <col min="32" max="32" width="21.5703125" bestFit="1" customWidth="1"/>
    <col min="33" max="33" width="7.28515625" bestFit="1" customWidth="1"/>
    <col min="34" max="34" width="21.5703125" bestFit="1" customWidth="1"/>
    <col min="35" max="35" width="7.28515625" bestFit="1" customWidth="1"/>
    <col min="36" max="36" width="21.5703125" bestFit="1" customWidth="1"/>
    <col min="37" max="37" width="7.28515625" bestFit="1" customWidth="1"/>
    <col min="38" max="38" width="21.5703125" bestFit="1" customWidth="1"/>
    <col min="39" max="39" width="7.28515625" bestFit="1" customWidth="1"/>
    <col min="40" max="40" width="21.5703125" bestFit="1" customWidth="1"/>
    <col min="41" max="41" width="7.28515625" bestFit="1" customWidth="1"/>
    <col min="42" max="42" width="21.5703125" bestFit="1" customWidth="1"/>
    <col min="43" max="43" width="7.28515625" bestFit="1" customWidth="1"/>
    <col min="44" max="44" width="21.5703125" bestFit="1" customWidth="1"/>
    <col min="45" max="45" width="7.28515625" bestFit="1" customWidth="1"/>
    <col min="46" max="46" width="21.5703125" bestFit="1" customWidth="1"/>
    <col min="47" max="47" width="7.28515625" bestFit="1" customWidth="1"/>
    <col min="48" max="48" width="21.5703125" bestFit="1" customWidth="1"/>
    <col min="49" max="49" width="7.28515625" bestFit="1" customWidth="1"/>
    <col min="50" max="50" width="20.42578125" bestFit="1" customWidth="1"/>
    <col min="51" max="51" width="7.28515625" bestFit="1" customWidth="1"/>
    <col min="52" max="52" width="20.42578125" bestFit="1" customWidth="1"/>
    <col min="53" max="53" width="7.28515625" bestFit="1" customWidth="1"/>
    <col min="54" max="54" width="20.42578125" bestFit="1" customWidth="1"/>
    <col min="55" max="55" width="7.28515625" bestFit="1" customWidth="1"/>
    <col min="56" max="56" width="20.42578125" bestFit="1" customWidth="1"/>
    <col min="57" max="57" width="7.28515625" bestFit="1" customWidth="1"/>
    <col min="58" max="58" width="20.42578125" bestFit="1" customWidth="1"/>
    <col min="59" max="59" width="7.28515625" bestFit="1" customWidth="1"/>
    <col min="60" max="60" width="20.42578125" bestFit="1" customWidth="1"/>
    <col min="61" max="61" width="7.28515625" bestFit="1" customWidth="1"/>
    <col min="62" max="62" width="22.28515625" bestFit="1" customWidth="1"/>
    <col min="63" max="63" width="7.28515625" bestFit="1" customWidth="1"/>
    <col min="64" max="64" width="23.28515625" bestFit="1" customWidth="1"/>
    <col min="65" max="65" width="7.28515625" bestFit="1" customWidth="1"/>
    <col min="66" max="66" width="23.28515625" bestFit="1" customWidth="1"/>
    <col min="67" max="67" width="7.28515625" bestFit="1" customWidth="1"/>
    <col min="68" max="68" width="22.7109375" bestFit="1" customWidth="1"/>
    <col min="69" max="69" width="7.28515625" bestFit="1" customWidth="1"/>
    <col min="70" max="70" width="22.7109375" bestFit="1" customWidth="1"/>
    <col min="71" max="71" width="7.28515625" bestFit="1" customWidth="1"/>
    <col min="72" max="72" width="22.7109375" bestFit="1" customWidth="1"/>
    <col min="73" max="73" width="7.28515625" bestFit="1" customWidth="1"/>
    <col min="74" max="74" width="22.28515625" bestFit="1" customWidth="1"/>
    <col min="75" max="75" width="7.28515625" bestFit="1" customWidth="1"/>
    <col min="76" max="76" width="22.28515625" bestFit="1" customWidth="1"/>
    <col min="77" max="77" width="7.28515625" bestFit="1" customWidth="1"/>
    <col min="78" max="78" width="23.28515625" bestFit="1" customWidth="1"/>
    <col min="79" max="79" width="7.28515625" bestFit="1" customWidth="1"/>
    <col min="80" max="80" width="23.28515625" bestFit="1" customWidth="1"/>
    <col min="81" max="81" width="7.28515625" bestFit="1" customWidth="1"/>
    <col min="82" max="82" width="22.7109375" bestFit="1" customWidth="1"/>
    <col min="83" max="83" width="7.28515625" bestFit="1" customWidth="1"/>
    <col min="84" max="84" width="23.28515625" bestFit="1" customWidth="1"/>
    <col min="85" max="85" width="7.28515625" bestFit="1" customWidth="1"/>
    <col min="86" max="86" width="23.28515625" bestFit="1" customWidth="1"/>
    <col min="87" max="87" width="7.28515625" bestFit="1" customWidth="1"/>
    <col min="88" max="88" width="23.28515625" bestFit="1" customWidth="1"/>
    <col min="89" max="89" width="7.28515625" bestFit="1" customWidth="1"/>
    <col min="90" max="90" width="22.7109375" bestFit="1" customWidth="1"/>
    <col min="91" max="91" width="7.28515625" bestFit="1" customWidth="1"/>
    <col min="92" max="92" width="23.7109375" bestFit="1" customWidth="1"/>
    <col min="93" max="93" width="7.28515625" bestFit="1" customWidth="1"/>
    <col min="94" max="94" width="22.7109375" bestFit="1" customWidth="1"/>
    <col min="95" max="95" width="7.28515625" bestFit="1" customWidth="1"/>
    <col min="96" max="96" width="22.7109375" bestFit="1" customWidth="1"/>
    <col min="97" max="97" width="8" bestFit="1" customWidth="1"/>
    <col min="98" max="98" width="23.7109375" bestFit="1" customWidth="1"/>
    <col min="99" max="99" width="8" bestFit="1" customWidth="1"/>
    <col min="100" max="100" width="22.7109375" bestFit="1" customWidth="1"/>
    <col min="101" max="101" width="8" bestFit="1" customWidth="1"/>
    <col min="102" max="102" width="23.28515625" bestFit="1" customWidth="1"/>
    <col min="103" max="103" width="8" bestFit="1" customWidth="1"/>
    <col min="104" max="104" width="23.28515625" bestFit="1" customWidth="1"/>
    <col min="105" max="105" width="7.28515625" bestFit="1" customWidth="1"/>
    <col min="106" max="106" width="22.28515625" bestFit="1" customWidth="1"/>
    <col min="107" max="107" width="7.28515625" bestFit="1" customWidth="1"/>
    <col min="108" max="108" width="23.28515625" bestFit="1" customWidth="1"/>
    <col min="109" max="109" width="7.28515625" bestFit="1" customWidth="1"/>
    <col min="110" max="110" width="22.28515625" bestFit="1" customWidth="1"/>
    <col min="111" max="111" width="7.28515625" bestFit="1" customWidth="1"/>
    <col min="112" max="112" width="22.7109375" bestFit="1" customWidth="1"/>
    <col min="113" max="113" width="7.28515625" bestFit="1" customWidth="1"/>
    <col min="114" max="114" width="23.28515625" bestFit="1" customWidth="1"/>
    <col min="115" max="115" width="7.28515625" bestFit="1" customWidth="1"/>
    <col min="116" max="116" width="22.7109375" bestFit="1" customWidth="1"/>
    <col min="117" max="117" width="7.28515625" bestFit="1" customWidth="1"/>
    <col min="118" max="118" width="23.28515625" bestFit="1" customWidth="1"/>
    <col min="119" max="119" width="7.28515625" bestFit="1" customWidth="1"/>
    <col min="120" max="120" width="22.28515625" bestFit="1" customWidth="1"/>
    <col min="121" max="121" width="7.5703125" bestFit="1" customWidth="1"/>
    <col min="122" max="122" width="22.7109375" bestFit="1" customWidth="1"/>
    <col min="123" max="123" width="7.5703125" bestFit="1" customWidth="1"/>
    <col min="124" max="124" width="23.28515625" bestFit="1" customWidth="1"/>
    <col min="125" max="125" width="7.5703125" bestFit="1" customWidth="1"/>
    <col min="126" max="126" width="23.28515625" bestFit="1" customWidth="1"/>
    <col min="127" max="127" width="7.5703125" bestFit="1" customWidth="1"/>
    <col min="128" max="128" width="23.28515625" bestFit="1" customWidth="1"/>
    <col min="129" max="129" width="7.28515625" bestFit="1" customWidth="1"/>
    <col min="130" max="130" width="21.5703125" bestFit="1" customWidth="1"/>
    <col min="131" max="131" width="7.28515625" bestFit="1" customWidth="1"/>
    <col min="132" max="132" width="20.85546875" customWidth="1"/>
    <col min="133" max="133" width="19.42578125" bestFit="1" customWidth="1"/>
  </cols>
  <sheetData>
    <row r="1" spans="2:132" ht="8.25" customHeight="1" x14ac:dyDescent="0.25"/>
    <row r="2" spans="2:132" ht="15" customHeight="1" x14ac:dyDescent="0.25">
      <c r="B2" s="114" t="s">
        <v>74</v>
      </c>
      <c r="C2" s="115"/>
      <c r="D2" s="115"/>
      <c r="E2" s="115"/>
      <c r="F2" s="115"/>
      <c r="G2" s="115"/>
      <c r="H2" s="116"/>
    </row>
    <row r="3" spans="2:132" ht="22.5" customHeight="1" x14ac:dyDescent="0.25">
      <c r="B3" s="117"/>
      <c r="C3" s="105"/>
      <c r="D3" s="105"/>
      <c r="E3" s="105"/>
      <c r="F3" s="105"/>
      <c r="G3" s="105"/>
      <c r="H3" s="118"/>
    </row>
    <row r="4" spans="2:132" ht="26.25" customHeight="1" x14ac:dyDescent="0.4">
      <c r="B4" s="119"/>
      <c r="C4" s="120"/>
      <c r="D4" s="120"/>
      <c r="E4" s="120"/>
      <c r="F4" s="120"/>
      <c r="G4" s="120"/>
      <c r="H4" s="121"/>
    </row>
    <row r="5" spans="2:132" ht="13.5" customHeight="1" x14ac:dyDescent="0.25">
      <c r="B5" s="61"/>
      <c r="C5" s="62"/>
      <c r="D5" s="62"/>
      <c r="E5" s="62"/>
      <c r="F5" s="62"/>
      <c r="G5" s="63"/>
      <c r="H5" s="64"/>
    </row>
    <row r="6" spans="2:132" ht="22.5" customHeight="1" thickBot="1" x14ac:dyDescent="0.3"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2:132" ht="19.5" customHeight="1" x14ac:dyDescent="0.25">
      <c r="B7" s="122" t="s">
        <v>47</v>
      </c>
      <c r="C7" s="124" t="s">
        <v>48</v>
      </c>
      <c r="D7" s="124" t="s">
        <v>49</v>
      </c>
      <c r="E7" s="126" t="s">
        <v>50</v>
      </c>
      <c r="G7" s="112" t="s">
        <v>1</v>
      </c>
      <c r="H7" s="111"/>
      <c r="I7" s="111" t="s">
        <v>2</v>
      </c>
      <c r="J7" s="111"/>
      <c r="K7" s="111" t="s">
        <v>3</v>
      </c>
      <c r="L7" s="111"/>
      <c r="M7" s="111" t="s">
        <v>4</v>
      </c>
      <c r="N7" s="111"/>
      <c r="O7" s="111" t="s">
        <v>5</v>
      </c>
      <c r="P7" s="111"/>
      <c r="Q7" s="111" t="s">
        <v>6</v>
      </c>
      <c r="R7" s="111"/>
      <c r="S7" s="111" t="s">
        <v>7</v>
      </c>
      <c r="T7" s="111"/>
      <c r="U7" s="111" t="s">
        <v>8</v>
      </c>
      <c r="V7" s="111"/>
      <c r="W7" s="111" t="s">
        <v>9</v>
      </c>
      <c r="X7" s="111"/>
      <c r="Y7" s="111" t="s">
        <v>10</v>
      </c>
      <c r="Z7" s="111"/>
      <c r="AA7" s="111" t="s">
        <v>11</v>
      </c>
      <c r="AB7" s="111"/>
      <c r="AC7" s="111" t="s">
        <v>12</v>
      </c>
      <c r="AD7" s="111"/>
      <c r="AE7" s="111" t="s">
        <v>13</v>
      </c>
      <c r="AF7" s="111"/>
      <c r="AG7" s="111" t="s">
        <v>14</v>
      </c>
      <c r="AH7" s="111"/>
      <c r="AI7" s="111" t="s">
        <v>15</v>
      </c>
      <c r="AJ7" s="111"/>
      <c r="AK7" s="111" t="s">
        <v>16</v>
      </c>
      <c r="AL7" s="111"/>
      <c r="AM7" s="111" t="s">
        <v>17</v>
      </c>
      <c r="AN7" s="111"/>
      <c r="AO7" s="111" t="s">
        <v>18</v>
      </c>
      <c r="AP7" s="111"/>
      <c r="AQ7" s="111" t="s">
        <v>19</v>
      </c>
      <c r="AR7" s="111"/>
      <c r="AS7" s="111" t="s">
        <v>20</v>
      </c>
      <c r="AT7" s="111"/>
      <c r="AU7" s="111" t="s">
        <v>21</v>
      </c>
      <c r="AV7" s="111"/>
      <c r="AW7" s="111" t="s">
        <v>22</v>
      </c>
      <c r="AX7" s="111"/>
      <c r="AY7" s="111" t="s">
        <v>23</v>
      </c>
      <c r="AZ7" s="111"/>
      <c r="BA7" s="111" t="s">
        <v>24</v>
      </c>
      <c r="BB7" s="111"/>
      <c r="BC7" s="111" t="s">
        <v>25</v>
      </c>
      <c r="BD7" s="111"/>
      <c r="BE7" s="111" t="s">
        <v>26</v>
      </c>
      <c r="BF7" s="111"/>
      <c r="BG7" s="111" t="s">
        <v>27</v>
      </c>
      <c r="BH7" s="111"/>
      <c r="BI7" s="111" t="s">
        <v>28</v>
      </c>
      <c r="BJ7" s="111"/>
      <c r="BK7" s="111" t="s">
        <v>29</v>
      </c>
      <c r="BL7" s="111"/>
      <c r="BM7" s="111" t="s">
        <v>30</v>
      </c>
      <c r="BN7" s="111"/>
      <c r="BO7" s="111" t="s">
        <v>31</v>
      </c>
      <c r="BP7" s="111"/>
      <c r="BQ7" s="111" t="s">
        <v>32</v>
      </c>
      <c r="BR7" s="111"/>
      <c r="BS7" s="111" t="s">
        <v>33</v>
      </c>
      <c r="BT7" s="111"/>
      <c r="BU7" s="111" t="s">
        <v>34</v>
      </c>
      <c r="BV7" s="111"/>
      <c r="BW7" s="111" t="s">
        <v>35</v>
      </c>
      <c r="BX7" s="111"/>
      <c r="BY7" s="111" t="s">
        <v>36</v>
      </c>
      <c r="BZ7" s="111"/>
      <c r="CA7" s="111" t="s">
        <v>37</v>
      </c>
      <c r="CB7" s="111"/>
      <c r="CC7" s="111" t="s">
        <v>38</v>
      </c>
      <c r="CD7" s="111"/>
      <c r="CE7" s="111" t="s">
        <v>39</v>
      </c>
      <c r="CF7" s="111"/>
      <c r="CG7" s="111" t="s">
        <v>40</v>
      </c>
      <c r="CH7" s="113"/>
      <c r="CI7" s="111" t="s">
        <v>75</v>
      </c>
      <c r="CJ7" s="113"/>
      <c r="CK7" s="111" t="s">
        <v>76</v>
      </c>
      <c r="CL7" s="113"/>
      <c r="CM7" s="111" t="s">
        <v>77</v>
      </c>
      <c r="CN7" s="113"/>
      <c r="CO7" s="111" t="s">
        <v>78</v>
      </c>
      <c r="CP7" s="113"/>
      <c r="CQ7" s="111" t="s">
        <v>79</v>
      </c>
      <c r="CR7" s="113"/>
      <c r="CS7" s="111" t="s">
        <v>80</v>
      </c>
      <c r="CT7" s="113"/>
      <c r="CU7" s="111" t="s">
        <v>81</v>
      </c>
      <c r="CV7" s="113"/>
      <c r="CW7" s="111" t="s">
        <v>82</v>
      </c>
      <c r="CX7" s="113"/>
      <c r="CY7" s="111" t="s">
        <v>83</v>
      </c>
      <c r="CZ7" s="113"/>
      <c r="DA7" s="111" t="s">
        <v>84</v>
      </c>
      <c r="DB7" s="113"/>
      <c r="DC7" s="111" t="s">
        <v>85</v>
      </c>
      <c r="DD7" s="113"/>
      <c r="DE7" s="111" t="s">
        <v>86</v>
      </c>
      <c r="DF7" s="113"/>
      <c r="DG7" s="111" t="s">
        <v>87</v>
      </c>
      <c r="DH7" s="113"/>
      <c r="DI7" s="111" t="s">
        <v>88</v>
      </c>
      <c r="DJ7" s="113"/>
      <c r="DK7" s="111" t="s">
        <v>89</v>
      </c>
      <c r="DL7" s="113"/>
      <c r="DM7" s="111" t="s">
        <v>90</v>
      </c>
      <c r="DN7" s="113"/>
      <c r="DO7" s="111" t="s">
        <v>91</v>
      </c>
      <c r="DP7" s="113"/>
      <c r="DQ7" s="111" t="s">
        <v>92</v>
      </c>
      <c r="DR7" s="113"/>
      <c r="DS7" s="111" t="s">
        <v>93</v>
      </c>
      <c r="DT7" s="113"/>
      <c r="DU7" s="111" t="s">
        <v>94</v>
      </c>
      <c r="DV7" s="113"/>
      <c r="DW7" s="111" t="s">
        <v>95</v>
      </c>
      <c r="DX7" s="113"/>
      <c r="DY7" s="111" t="s">
        <v>96</v>
      </c>
      <c r="DZ7" s="113"/>
      <c r="EA7" s="111" t="s">
        <v>97</v>
      </c>
      <c r="EB7" s="113"/>
    </row>
    <row r="8" spans="2:132" ht="19.5" customHeight="1" x14ac:dyDescent="0.25">
      <c r="B8" s="123"/>
      <c r="C8" s="125"/>
      <c r="D8" s="125"/>
      <c r="E8" s="127"/>
      <c r="G8" s="29" t="s">
        <v>49</v>
      </c>
      <c r="H8" s="38" t="s">
        <v>70</v>
      </c>
      <c r="I8" s="38" t="s">
        <v>49</v>
      </c>
      <c r="J8" s="38" t="s">
        <v>70</v>
      </c>
      <c r="K8" s="38" t="s">
        <v>49</v>
      </c>
      <c r="L8" s="38" t="s">
        <v>70</v>
      </c>
      <c r="M8" s="38" t="s">
        <v>49</v>
      </c>
      <c r="N8" s="38" t="s">
        <v>70</v>
      </c>
      <c r="O8" s="38" t="s">
        <v>49</v>
      </c>
      <c r="P8" s="38" t="s">
        <v>70</v>
      </c>
      <c r="Q8" s="38" t="s">
        <v>49</v>
      </c>
      <c r="R8" s="38" t="s">
        <v>70</v>
      </c>
      <c r="S8" s="38" t="s">
        <v>49</v>
      </c>
      <c r="T8" s="38" t="s">
        <v>70</v>
      </c>
      <c r="U8" s="38" t="s">
        <v>49</v>
      </c>
      <c r="V8" s="38" t="s">
        <v>70</v>
      </c>
      <c r="W8" s="38" t="s">
        <v>49</v>
      </c>
      <c r="X8" s="38" t="s">
        <v>70</v>
      </c>
      <c r="Y8" s="38" t="s">
        <v>49</v>
      </c>
      <c r="Z8" s="38" t="s">
        <v>70</v>
      </c>
      <c r="AA8" s="38" t="s">
        <v>49</v>
      </c>
      <c r="AB8" s="38" t="s">
        <v>70</v>
      </c>
      <c r="AC8" s="38" t="s">
        <v>49</v>
      </c>
      <c r="AD8" s="38" t="s">
        <v>70</v>
      </c>
      <c r="AE8" s="38" t="s">
        <v>49</v>
      </c>
      <c r="AF8" s="38" t="s">
        <v>70</v>
      </c>
      <c r="AG8" s="38" t="s">
        <v>49</v>
      </c>
      <c r="AH8" s="38" t="s">
        <v>70</v>
      </c>
      <c r="AI8" s="38" t="s">
        <v>49</v>
      </c>
      <c r="AJ8" s="38" t="s">
        <v>70</v>
      </c>
      <c r="AK8" s="38" t="s">
        <v>49</v>
      </c>
      <c r="AL8" s="38" t="s">
        <v>70</v>
      </c>
      <c r="AM8" s="38" t="s">
        <v>49</v>
      </c>
      <c r="AN8" s="38" t="s">
        <v>70</v>
      </c>
      <c r="AO8" s="38" t="s">
        <v>49</v>
      </c>
      <c r="AP8" s="38" t="s">
        <v>70</v>
      </c>
      <c r="AQ8" s="38" t="s">
        <v>49</v>
      </c>
      <c r="AR8" s="38" t="s">
        <v>70</v>
      </c>
      <c r="AS8" s="38" t="s">
        <v>49</v>
      </c>
      <c r="AT8" s="38" t="s">
        <v>70</v>
      </c>
      <c r="AU8" s="38" t="s">
        <v>49</v>
      </c>
      <c r="AV8" s="38" t="s">
        <v>70</v>
      </c>
      <c r="AW8" s="38" t="s">
        <v>49</v>
      </c>
      <c r="AX8" s="38" t="s">
        <v>70</v>
      </c>
      <c r="AY8" s="38" t="s">
        <v>49</v>
      </c>
      <c r="AZ8" s="38" t="s">
        <v>70</v>
      </c>
      <c r="BA8" s="38" t="s">
        <v>49</v>
      </c>
      <c r="BB8" s="38" t="s">
        <v>70</v>
      </c>
      <c r="BC8" s="38" t="s">
        <v>49</v>
      </c>
      <c r="BD8" s="38" t="s">
        <v>70</v>
      </c>
      <c r="BE8" s="38" t="s">
        <v>49</v>
      </c>
      <c r="BF8" s="38" t="s">
        <v>70</v>
      </c>
      <c r="BG8" s="38" t="s">
        <v>49</v>
      </c>
      <c r="BH8" s="38" t="s">
        <v>70</v>
      </c>
      <c r="BI8" s="38" t="s">
        <v>49</v>
      </c>
      <c r="BJ8" s="38" t="s">
        <v>70</v>
      </c>
      <c r="BK8" s="38" t="s">
        <v>49</v>
      </c>
      <c r="BL8" s="38" t="s">
        <v>70</v>
      </c>
      <c r="BM8" s="38" t="s">
        <v>49</v>
      </c>
      <c r="BN8" s="38" t="s">
        <v>70</v>
      </c>
      <c r="BO8" s="38" t="s">
        <v>49</v>
      </c>
      <c r="BP8" s="38" t="s">
        <v>70</v>
      </c>
      <c r="BQ8" s="38" t="s">
        <v>49</v>
      </c>
      <c r="BR8" s="38" t="s">
        <v>70</v>
      </c>
      <c r="BS8" s="38" t="s">
        <v>49</v>
      </c>
      <c r="BT8" s="38" t="s">
        <v>70</v>
      </c>
      <c r="BU8" s="38" t="s">
        <v>49</v>
      </c>
      <c r="BV8" s="38" t="s">
        <v>70</v>
      </c>
      <c r="BW8" s="38" t="s">
        <v>49</v>
      </c>
      <c r="BX8" s="38" t="s">
        <v>70</v>
      </c>
      <c r="BY8" s="38" t="s">
        <v>49</v>
      </c>
      <c r="BZ8" s="38" t="s">
        <v>70</v>
      </c>
      <c r="CA8" s="38" t="s">
        <v>49</v>
      </c>
      <c r="CB8" s="38" t="s">
        <v>70</v>
      </c>
      <c r="CC8" s="38" t="s">
        <v>49</v>
      </c>
      <c r="CD8" s="38" t="s">
        <v>70</v>
      </c>
      <c r="CE8" s="38" t="s">
        <v>49</v>
      </c>
      <c r="CF8" s="38" t="s">
        <v>70</v>
      </c>
      <c r="CG8" s="38" t="s">
        <v>49</v>
      </c>
      <c r="CH8" s="30" t="s">
        <v>70</v>
      </c>
      <c r="CI8" s="38" t="s">
        <v>49</v>
      </c>
      <c r="CJ8" s="30" t="s">
        <v>70</v>
      </c>
      <c r="CK8" s="38" t="s">
        <v>49</v>
      </c>
      <c r="CL8" s="30" t="s">
        <v>70</v>
      </c>
      <c r="CM8" s="38" t="s">
        <v>49</v>
      </c>
      <c r="CN8" s="30" t="s">
        <v>70</v>
      </c>
      <c r="CO8" s="38" t="s">
        <v>49</v>
      </c>
      <c r="CP8" s="30" t="s">
        <v>70</v>
      </c>
      <c r="CQ8" s="38" t="s">
        <v>49</v>
      </c>
      <c r="CR8" s="30" t="s">
        <v>70</v>
      </c>
      <c r="CS8" s="38" t="s">
        <v>49</v>
      </c>
      <c r="CT8" s="30" t="s">
        <v>70</v>
      </c>
      <c r="CU8" s="38" t="s">
        <v>49</v>
      </c>
      <c r="CV8" s="30" t="s">
        <v>70</v>
      </c>
      <c r="CW8" s="38" t="s">
        <v>49</v>
      </c>
      <c r="CX8" s="30" t="s">
        <v>70</v>
      </c>
      <c r="CY8" s="38" t="s">
        <v>49</v>
      </c>
      <c r="CZ8" s="30" t="s">
        <v>70</v>
      </c>
      <c r="DA8" s="38" t="s">
        <v>49</v>
      </c>
      <c r="DB8" s="30" t="s">
        <v>70</v>
      </c>
      <c r="DC8" s="38" t="s">
        <v>49</v>
      </c>
      <c r="DD8" s="30" t="s">
        <v>70</v>
      </c>
      <c r="DE8" s="38" t="s">
        <v>49</v>
      </c>
      <c r="DF8" s="30" t="s">
        <v>70</v>
      </c>
      <c r="DG8" s="38" t="s">
        <v>49</v>
      </c>
      <c r="DH8" s="30" t="s">
        <v>70</v>
      </c>
      <c r="DI8" s="38" t="s">
        <v>49</v>
      </c>
      <c r="DJ8" s="30" t="s">
        <v>70</v>
      </c>
      <c r="DK8" s="38" t="s">
        <v>49</v>
      </c>
      <c r="DL8" s="30" t="s">
        <v>70</v>
      </c>
      <c r="DM8" s="38" t="s">
        <v>49</v>
      </c>
      <c r="DN8" s="30" t="s">
        <v>70</v>
      </c>
      <c r="DO8" s="38" t="s">
        <v>49</v>
      </c>
      <c r="DP8" s="30" t="s">
        <v>70</v>
      </c>
      <c r="DQ8" s="38" t="s">
        <v>49</v>
      </c>
      <c r="DR8" s="30" t="s">
        <v>70</v>
      </c>
      <c r="DS8" s="38" t="s">
        <v>49</v>
      </c>
      <c r="DT8" s="30" t="s">
        <v>70</v>
      </c>
      <c r="DU8" s="38" t="s">
        <v>49</v>
      </c>
      <c r="DV8" s="30" t="s">
        <v>70</v>
      </c>
      <c r="DW8" s="38" t="s">
        <v>49</v>
      </c>
      <c r="DX8" s="30" t="s">
        <v>70</v>
      </c>
      <c r="DY8" s="38" t="s">
        <v>49</v>
      </c>
      <c r="DZ8" s="30" t="s">
        <v>70</v>
      </c>
      <c r="EA8" s="38" t="s">
        <v>49</v>
      </c>
      <c r="EB8" s="30" t="s">
        <v>70</v>
      </c>
    </row>
    <row r="9" spans="2:132" ht="19.5" customHeight="1" x14ac:dyDescent="0.25">
      <c r="B9" s="55"/>
      <c r="C9" s="71"/>
      <c r="D9" s="56" t="e">
        <f>C9/$C$26</f>
        <v>#DIV/0!</v>
      </c>
      <c r="E9" s="75" t="e">
        <f>C9/'DISTRIBUIÇÃO CUSTO'!C$31</f>
        <v>#DIV/0!</v>
      </c>
      <c r="F9" s="26"/>
      <c r="G9" s="57"/>
      <c r="H9" s="58">
        <f t="shared" ref="H9:H25" si="0">$C9*G9</f>
        <v>0</v>
      </c>
      <c r="I9" s="57"/>
      <c r="J9" s="58">
        <f t="shared" ref="J9:J24" si="1">$C9*I9</f>
        <v>0</v>
      </c>
      <c r="K9" s="57"/>
      <c r="L9" s="58">
        <f t="shared" ref="L9:L24" si="2">$C9*K9</f>
        <v>0</v>
      </c>
      <c r="M9" s="57"/>
      <c r="N9" s="58">
        <f t="shared" ref="N9:N24" si="3">$C9*M9</f>
        <v>0</v>
      </c>
      <c r="O9" s="57"/>
      <c r="P9" s="58">
        <f t="shared" ref="P9:P24" si="4">$C9*O9</f>
        <v>0</v>
      </c>
      <c r="Q9" s="57"/>
      <c r="R9" s="58">
        <f t="shared" ref="R9:R24" si="5">$C9*Q9</f>
        <v>0</v>
      </c>
      <c r="S9" s="57"/>
      <c r="T9" s="58">
        <f t="shared" ref="T9:T24" si="6">$C9*S9</f>
        <v>0</v>
      </c>
      <c r="U9" s="57"/>
      <c r="V9" s="58">
        <f t="shared" ref="V9:V24" si="7">$C9*U9</f>
        <v>0</v>
      </c>
      <c r="W9" s="57"/>
      <c r="X9" s="58">
        <f t="shared" ref="X9:X24" si="8">$C9*W9</f>
        <v>0</v>
      </c>
      <c r="Y9" s="57"/>
      <c r="Z9" s="58">
        <f t="shared" ref="Z9:Z24" si="9">$C9*Y9</f>
        <v>0</v>
      </c>
      <c r="AA9" s="57"/>
      <c r="AB9" s="58">
        <f t="shared" ref="AB9:AB24" si="10">$C9*AA9</f>
        <v>0</v>
      </c>
      <c r="AC9" s="57"/>
      <c r="AD9" s="58">
        <f t="shared" ref="AD9:AD24" si="11">$C9*AC9</f>
        <v>0</v>
      </c>
      <c r="AE9" s="57"/>
      <c r="AF9" s="58">
        <f t="shared" ref="AF9:AF24" si="12">$C9*AE9</f>
        <v>0</v>
      </c>
      <c r="AG9" s="57"/>
      <c r="AH9" s="58">
        <f t="shared" ref="AH9:AH24" si="13">$C9*AG9</f>
        <v>0</v>
      </c>
      <c r="AI9" s="57"/>
      <c r="AJ9" s="58">
        <f t="shared" ref="AJ9:AJ24" si="14">$C9*AI9</f>
        <v>0</v>
      </c>
      <c r="AK9" s="57"/>
      <c r="AL9" s="58">
        <f t="shared" ref="AL9:AL24" si="15">$C9*AK9</f>
        <v>0</v>
      </c>
      <c r="AM9" s="57"/>
      <c r="AN9" s="58">
        <f t="shared" ref="AN9:AN24" si="16">$C9*AM9</f>
        <v>0</v>
      </c>
      <c r="AO9" s="57"/>
      <c r="AP9" s="58">
        <f t="shared" ref="AP9:AP24" si="17">$C9*AO9</f>
        <v>0</v>
      </c>
      <c r="AQ9" s="57"/>
      <c r="AR9" s="58">
        <f t="shared" ref="AR9:AR24" si="18">$C9*AQ9</f>
        <v>0</v>
      </c>
      <c r="AS9" s="57"/>
      <c r="AT9" s="58">
        <f t="shared" ref="AT9:AT24" si="19">$C9*AS9</f>
        <v>0</v>
      </c>
      <c r="AU9" s="57"/>
      <c r="AV9" s="58">
        <f t="shared" ref="AV9:AV24" si="20">$C9*AU9</f>
        <v>0</v>
      </c>
      <c r="AW9" s="57"/>
      <c r="AX9" s="58">
        <f t="shared" ref="AX9:AX24" si="21">$C9*AW9</f>
        <v>0</v>
      </c>
      <c r="AY9" s="57"/>
      <c r="AZ9" s="58">
        <f t="shared" ref="AZ9:AZ24" si="22">$C9*AY9</f>
        <v>0</v>
      </c>
      <c r="BA9" s="57"/>
      <c r="BB9" s="58">
        <f t="shared" ref="BB9:BB24" si="23">$C9*BA9</f>
        <v>0</v>
      </c>
      <c r="BC9" s="57"/>
      <c r="BD9" s="58">
        <f t="shared" ref="BD9:BD24" si="24">$C9*BC9</f>
        <v>0</v>
      </c>
      <c r="BE9" s="57"/>
      <c r="BF9" s="58">
        <f t="shared" ref="BF9:BF24" si="25">$C9*BE9</f>
        <v>0</v>
      </c>
      <c r="BG9" s="57"/>
      <c r="BH9" s="58">
        <f t="shared" ref="BH9:BH24" si="26">$C9*BG9</f>
        <v>0</v>
      </c>
      <c r="BI9" s="57"/>
      <c r="BJ9" s="58">
        <f t="shared" ref="BJ9:BJ24" si="27">$C9*BI9</f>
        <v>0</v>
      </c>
      <c r="BK9" s="57"/>
      <c r="BL9" s="58">
        <f t="shared" ref="BL9:BL24" si="28">$C9*BK9</f>
        <v>0</v>
      </c>
      <c r="BM9" s="57"/>
      <c r="BN9" s="58">
        <f t="shared" ref="BN9:BN24" si="29">$C9*BM9</f>
        <v>0</v>
      </c>
      <c r="BO9" s="57"/>
      <c r="BP9" s="58">
        <f t="shared" ref="BP9:BP24" si="30">$C9*BO9</f>
        <v>0</v>
      </c>
      <c r="BQ9" s="57"/>
      <c r="BR9" s="58">
        <f t="shared" ref="BR9:BR24" si="31">$C9*BQ9</f>
        <v>0</v>
      </c>
      <c r="BS9" s="57"/>
      <c r="BT9" s="58">
        <f t="shared" ref="BT9:BT24" si="32">$C9*BS9</f>
        <v>0</v>
      </c>
      <c r="BU9" s="57"/>
      <c r="BV9" s="58">
        <f t="shared" ref="BV9:BV24" si="33">$C9*BU9</f>
        <v>0</v>
      </c>
      <c r="BW9" s="57"/>
      <c r="BX9" s="58">
        <f t="shared" ref="BX9:BX24" si="34">$C9*BW9</f>
        <v>0</v>
      </c>
      <c r="BY9" s="57"/>
      <c r="BZ9" s="58">
        <f t="shared" ref="BZ9:BZ24" si="35">$C9*BY9</f>
        <v>0</v>
      </c>
      <c r="CA9" s="57"/>
      <c r="CB9" s="58">
        <f t="shared" ref="CB9:CB24" si="36">$C9*CA9</f>
        <v>0</v>
      </c>
      <c r="CC9" s="57"/>
      <c r="CD9" s="58">
        <f t="shared" ref="CD9:CD24" si="37">$C9*CC9</f>
        <v>0</v>
      </c>
      <c r="CE9" s="57"/>
      <c r="CF9" s="58">
        <f t="shared" ref="CF9:CF24" si="38">$C9*CE9</f>
        <v>0</v>
      </c>
      <c r="CG9" s="57"/>
      <c r="CH9" s="58">
        <f t="shared" ref="CH9:CH24" si="39">$C9*CG9</f>
        <v>0</v>
      </c>
      <c r="CI9" s="57"/>
      <c r="CJ9" s="58">
        <f t="shared" ref="CJ9:CJ24" si="40">$C9*CI9</f>
        <v>0</v>
      </c>
      <c r="CK9" s="57"/>
      <c r="CL9" s="58">
        <f t="shared" ref="CL9:CL24" si="41">$C9*CK9</f>
        <v>0</v>
      </c>
      <c r="CM9" s="57"/>
      <c r="CN9" s="58">
        <f t="shared" ref="CN9:CN24" si="42">$C9*CM9</f>
        <v>0</v>
      </c>
      <c r="CO9" s="57"/>
      <c r="CP9" s="58">
        <f t="shared" ref="CP9:CP24" si="43">$C9*CO9</f>
        <v>0</v>
      </c>
      <c r="CQ9" s="57"/>
      <c r="CR9" s="58">
        <f t="shared" ref="CR9:CR24" si="44">$C9*CQ9</f>
        <v>0</v>
      </c>
      <c r="CS9" s="57"/>
      <c r="CT9" s="58">
        <f t="shared" ref="CT9:CT24" si="45">$C9*CS9</f>
        <v>0</v>
      </c>
      <c r="CU9" s="57"/>
      <c r="CV9" s="58">
        <f t="shared" ref="CV9:CV24" si="46">$C9*CU9</f>
        <v>0</v>
      </c>
      <c r="CW9" s="57"/>
      <c r="CX9" s="58">
        <f t="shared" ref="CX9:CX24" si="47">$C9*CW9</f>
        <v>0</v>
      </c>
      <c r="CY9" s="57"/>
      <c r="CZ9" s="58">
        <f t="shared" ref="CZ9:CZ24" si="48">$C9*CY9</f>
        <v>0</v>
      </c>
      <c r="DA9" s="57"/>
      <c r="DB9" s="58">
        <f t="shared" ref="DB9:DB24" si="49">$C9*DA9</f>
        <v>0</v>
      </c>
      <c r="DC9" s="57"/>
      <c r="DD9" s="58">
        <f t="shared" ref="DD9:DD24" si="50">$C9*DC9</f>
        <v>0</v>
      </c>
      <c r="DE9" s="57"/>
      <c r="DF9" s="58">
        <f t="shared" ref="DF9:DF24" si="51">$C9*DE9</f>
        <v>0</v>
      </c>
      <c r="DG9" s="57"/>
      <c r="DH9" s="58">
        <f t="shared" ref="DH9:DH24" si="52">$C9*DG9</f>
        <v>0</v>
      </c>
      <c r="DI9" s="57"/>
      <c r="DJ9" s="58">
        <f t="shared" ref="DJ9:DJ24" si="53">$C9*DI9</f>
        <v>0</v>
      </c>
      <c r="DK9" s="57"/>
      <c r="DL9" s="58">
        <f t="shared" ref="DL9:DL24" si="54">$C9*DK9</f>
        <v>0</v>
      </c>
      <c r="DM9" s="57"/>
      <c r="DN9" s="58">
        <f t="shared" ref="DN9:DN24" si="55">$C9*DM9</f>
        <v>0</v>
      </c>
      <c r="DO9" s="57"/>
      <c r="DP9" s="58">
        <f t="shared" ref="DP9:DP24" si="56">$C9*DO9</f>
        <v>0</v>
      </c>
      <c r="DQ9" s="57"/>
      <c r="DR9" s="58">
        <f t="shared" ref="DR9:DR24" si="57">$C9*DQ9</f>
        <v>0</v>
      </c>
      <c r="DS9" s="57"/>
      <c r="DT9" s="58">
        <f t="shared" ref="DT9:DT24" si="58">$C9*DS9</f>
        <v>0</v>
      </c>
      <c r="DU9" s="57"/>
      <c r="DV9" s="58">
        <f t="shared" ref="DV9:DV24" si="59">$C9*DU9</f>
        <v>0</v>
      </c>
      <c r="DW9" s="57"/>
      <c r="DX9" s="58">
        <f t="shared" ref="DX9:DX24" si="60">$C9*DW9</f>
        <v>0</v>
      </c>
      <c r="DY9" s="57"/>
      <c r="DZ9" s="58">
        <f t="shared" ref="DZ9:DZ24" si="61">$C9*DY9</f>
        <v>0</v>
      </c>
      <c r="EA9" s="57"/>
      <c r="EB9" s="58">
        <f t="shared" ref="EB9:EB24" si="62">$C9*EA9</f>
        <v>0</v>
      </c>
    </row>
    <row r="10" spans="2:132" ht="19.5" customHeight="1" x14ac:dyDescent="0.25">
      <c r="B10" s="48"/>
      <c r="C10" s="72"/>
      <c r="D10" s="32" t="e">
        <f t="shared" ref="D10:D25" si="63">C10/$C$26</f>
        <v>#DIV/0!</v>
      </c>
      <c r="E10" s="76" t="e">
        <f>C10/'DISTRIBUIÇÃO CUSTO'!C$31</f>
        <v>#DIV/0!</v>
      </c>
      <c r="F10" s="26"/>
      <c r="G10" s="31"/>
      <c r="H10" s="39">
        <f t="shared" si="0"/>
        <v>0</v>
      </c>
      <c r="I10" s="31"/>
      <c r="J10" s="39">
        <f t="shared" si="1"/>
        <v>0</v>
      </c>
      <c r="K10" s="31"/>
      <c r="L10" s="39">
        <f t="shared" si="2"/>
        <v>0</v>
      </c>
      <c r="M10" s="31"/>
      <c r="N10" s="39">
        <f t="shared" si="3"/>
        <v>0</v>
      </c>
      <c r="O10" s="31"/>
      <c r="P10" s="39">
        <f t="shared" si="4"/>
        <v>0</v>
      </c>
      <c r="Q10" s="31"/>
      <c r="R10" s="39">
        <f t="shared" si="5"/>
        <v>0</v>
      </c>
      <c r="S10" s="31"/>
      <c r="T10" s="39">
        <f t="shared" si="6"/>
        <v>0</v>
      </c>
      <c r="U10" s="31"/>
      <c r="V10" s="39">
        <f t="shared" si="7"/>
        <v>0</v>
      </c>
      <c r="W10" s="31"/>
      <c r="X10" s="39">
        <f t="shared" si="8"/>
        <v>0</v>
      </c>
      <c r="Y10" s="31"/>
      <c r="Z10" s="39">
        <f t="shared" si="9"/>
        <v>0</v>
      </c>
      <c r="AA10" s="31"/>
      <c r="AB10" s="39">
        <f t="shared" si="10"/>
        <v>0</v>
      </c>
      <c r="AC10" s="31"/>
      <c r="AD10" s="39">
        <f t="shared" si="11"/>
        <v>0</v>
      </c>
      <c r="AE10" s="31"/>
      <c r="AF10" s="39">
        <f t="shared" si="12"/>
        <v>0</v>
      </c>
      <c r="AG10" s="31"/>
      <c r="AH10" s="39">
        <f t="shared" si="13"/>
        <v>0</v>
      </c>
      <c r="AI10" s="31"/>
      <c r="AJ10" s="39">
        <f t="shared" si="14"/>
        <v>0</v>
      </c>
      <c r="AK10" s="31"/>
      <c r="AL10" s="39">
        <f t="shared" si="15"/>
        <v>0</v>
      </c>
      <c r="AM10" s="31"/>
      <c r="AN10" s="39">
        <f t="shared" si="16"/>
        <v>0</v>
      </c>
      <c r="AO10" s="31"/>
      <c r="AP10" s="39">
        <f t="shared" si="17"/>
        <v>0</v>
      </c>
      <c r="AQ10" s="31"/>
      <c r="AR10" s="39">
        <f t="shared" si="18"/>
        <v>0</v>
      </c>
      <c r="AS10" s="31"/>
      <c r="AT10" s="39">
        <f t="shared" si="19"/>
        <v>0</v>
      </c>
      <c r="AU10" s="31"/>
      <c r="AV10" s="39">
        <f t="shared" si="20"/>
        <v>0</v>
      </c>
      <c r="AW10" s="31"/>
      <c r="AX10" s="39">
        <f t="shared" si="21"/>
        <v>0</v>
      </c>
      <c r="AY10" s="31"/>
      <c r="AZ10" s="39">
        <f t="shared" si="22"/>
        <v>0</v>
      </c>
      <c r="BA10" s="31"/>
      <c r="BB10" s="39">
        <f t="shared" si="23"/>
        <v>0</v>
      </c>
      <c r="BC10" s="31"/>
      <c r="BD10" s="39">
        <f t="shared" si="24"/>
        <v>0</v>
      </c>
      <c r="BE10" s="31"/>
      <c r="BF10" s="39">
        <f t="shared" si="25"/>
        <v>0</v>
      </c>
      <c r="BG10" s="31"/>
      <c r="BH10" s="39">
        <f t="shared" si="26"/>
        <v>0</v>
      </c>
      <c r="BI10" s="31"/>
      <c r="BJ10" s="39">
        <f t="shared" si="27"/>
        <v>0</v>
      </c>
      <c r="BK10" s="31"/>
      <c r="BL10" s="39">
        <f t="shared" si="28"/>
        <v>0</v>
      </c>
      <c r="BM10" s="31"/>
      <c r="BN10" s="39">
        <f t="shared" si="29"/>
        <v>0</v>
      </c>
      <c r="BO10" s="31"/>
      <c r="BP10" s="39">
        <f t="shared" si="30"/>
        <v>0</v>
      </c>
      <c r="BQ10" s="31"/>
      <c r="BR10" s="39">
        <f t="shared" si="31"/>
        <v>0</v>
      </c>
      <c r="BS10" s="31"/>
      <c r="BT10" s="39">
        <f t="shared" si="32"/>
        <v>0</v>
      </c>
      <c r="BU10" s="31"/>
      <c r="BV10" s="39">
        <f t="shared" si="33"/>
        <v>0</v>
      </c>
      <c r="BW10" s="31"/>
      <c r="BX10" s="39">
        <f t="shared" si="34"/>
        <v>0</v>
      </c>
      <c r="BY10" s="31"/>
      <c r="BZ10" s="39">
        <f t="shared" si="35"/>
        <v>0</v>
      </c>
      <c r="CA10" s="31"/>
      <c r="CB10" s="39">
        <f t="shared" si="36"/>
        <v>0</v>
      </c>
      <c r="CC10" s="31"/>
      <c r="CD10" s="39">
        <f t="shared" si="37"/>
        <v>0</v>
      </c>
      <c r="CE10" s="31"/>
      <c r="CF10" s="39">
        <f t="shared" si="38"/>
        <v>0</v>
      </c>
      <c r="CG10" s="31"/>
      <c r="CH10" s="39">
        <f t="shared" si="39"/>
        <v>0</v>
      </c>
      <c r="CI10" s="31"/>
      <c r="CJ10" s="39">
        <f t="shared" si="40"/>
        <v>0</v>
      </c>
      <c r="CK10" s="31"/>
      <c r="CL10" s="39">
        <f t="shared" si="41"/>
        <v>0</v>
      </c>
      <c r="CM10" s="31"/>
      <c r="CN10" s="39">
        <f t="shared" si="42"/>
        <v>0</v>
      </c>
      <c r="CO10" s="31"/>
      <c r="CP10" s="39">
        <f t="shared" si="43"/>
        <v>0</v>
      </c>
      <c r="CQ10" s="31"/>
      <c r="CR10" s="39">
        <f t="shared" si="44"/>
        <v>0</v>
      </c>
      <c r="CS10" s="31"/>
      <c r="CT10" s="39">
        <f t="shared" si="45"/>
        <v>0</v>
      </c>
      <c r="CU10" s="31"/>
      <c r="CV10" s="39">
        <f t="shared" si="46"/>
        <v>0</v>
      </c>
      <c r="CW10" s="31"/>
      <c r="CX10" s="39">
        <f t="shared" si="47"/>
        <v>0</v>
      </c>
      <c r="CY10" s="31"/>
      <c r="CZ10" s="39">
        <f t="shared" si="48"/>
        <v>0</v>
      </c>
      <c r="DA10" s="31"/>
      <c r="DB10" s="39">
        <f t="shared" si="49"/>
        <v>0</v>
      </c>
      <c r="DC10" s="31"/>
      <c r="DD10" s="39">
        <f t="shared" si="50"/>
        <v>0</v>
      </c>
      <c r="DE10" s="31"/>
      <c r="DF10" s="39">
        <f t="shared" si="51"/>
        <v>0</v>
      </c>
      <c r="DG10" s="31"/>
      <c r="DH10" s="39">
        <f t="shared" si="52"/>
        <v>0</v>
      </c>
      <c r="DI10" s="31"/>
      <c r="DJ10" s="39">
        <f t="shared" si="53"/>
        <v>0</v>
      </c>
      <c r="DK10" s="31"/>
      <c r="DL10" s="39">
        <f t="shared" si="54"/>
        <v>0</v>
      </c>
      <c r="DM10" s="31"/>
      <c r="DN10" s="39">
        <f t="shared" si="55"/>
        <v>0</v>
      </c>
      <c r="DO10" s="31"/>
      <c r="DP10" s="39">
        <f t="shared" si="56"/>
        <v>0</v>
      </c>
      <c r="DQ10" s="31"/>
      <c r="DR10" s="39">
        <f t="shared" si="57"/>
        <v>0</v>
      </c>
      <c r="DS10" s="31"/>
      <c r="DT10" s="39">
        <f t="shared" si="58"/>
        <v>0</v>
      </c>
      <c r="DU10" s="31"/>
      <c r="DV10" s="39">
        <f t="shared" si="59"/>
        <v>0</v>
      </c>
      <c r="DW10" s="31"/>
      <c r="DX10" s="39">
        <f t="shared" si="60"/>
        <v>0</v>
      </c>
      <c r="DY10" s="31"/>
      <c r="DZ10" s="39">
        <f t="shared" si="61"/>
        <v>0</v>
      </c>
      <c r="EA10" s="31"/>
      <c r="EB10" s="39">
        <f t="shared" si="62"/>
        <v>0</v>
      </c>
    </row>
    <row r="11" spans="2:132" ht="19.5" customHeight="1" x14ac:dyDescent="0.25">
      <c r="B11" s="55"/>
      <c r="C11" s="71"/>
      <c r="D11" s="56" t="e">
        <f t="shared" si="63"/>
        <v>#DIV/0!</v>
      </c>
      <c r="E11" s="75" t="e">
        <f>C11/'DISTRIBUIÇÃO CUSTO'!C$31</f>
        <v>#DIV/0!</v>
      </c>
      <c r="F11" s="26"/>
      <c r="G11" s="57"/>
      <c r="H11" s="58">
        <f t="shared" si="0"/>
        <v>0</v>
      </c>
      <c r="I11" s="57"/>
      <c r="J11" s="58">
        <f t="shared" si="1"/>
        <v>0</v>
      </c>
      <c r="K11" s="57"/>
      <c r="L11" s="58">
        <f t="shared" si="2"/>
        <v>0</v>
      </c>
      <c r="M11" s="57"/>
      <c r="N11" s="58">
        <f t="shared" si="3"/>
        <v>0</v>
      </c>
      <c r="O11" s="57"/>
      <c r="P11" s="58">
        <f t="shared" si="4"/>
        <v>0</v>
      </c>
      <c r="Q11" s="57"/>
      <c r="R11" s="58">
        <f t="shared" si="5"/>
        <v>0</v>
      </c>
      <c r="S11" s="57"/>
      <c r="T11" s="58">
        <f t="shared" si="6"/>
        <v>0</v>
      </c>
      <c r="U11" s="57"/>
      <c r="V11" s="58">
        <f t="shared" si="7"/>
        <v>0</v>
      </c>
      <c r="W11" s="57"/>
      <c r="X11" s="58">
        <f t="shared" si="8"/>
        <v>0</v>
      </c>
      <c r="Y11" s="57"/>
      <c r="Z11" s="58">
        <f t="shared" si="9"/>
        <v>0</v>
      </c>
      <c r="AA11" s="57"/>
      <c r="AB11" s="58">
        <f t="shared" si="10"/>
        <v>0</v>
      </c>
      <c r="AC11" s="57"/>
      <c r="AD11" s="58">
        <f t="shared" si="11"/>
        <v>0</v>
      </c>
      <c r="AE11" s="57"/>
      <c r="AF11" s="58">
        <f t="shared" si="12"/>
        <v>0</v>
      </c>
      <c r="AG11" s="57"/>
      <c r="AH11" s="58">
        <f t="shared" si="13"/>
        <v>0</v>
      </c>
      <c r="AI11" s="57"/>
      <c r="AJ11" s="58">
        <f t="shared" si="14"/>
        <v>0</v>
      </c>
      <c r="AK11" s="57"/>
      <c r="AL11" s="58">
        <f t="shared" si="15"/>
        <v>0</v>
      </c>
      <c r="AM11" s="57"/>
      <c r="AN11" s="58">
        <f t="shared" si="16"/>
        <v>0</v>
      </c>
      <c r="AO11" s="57"/>
      <c r="AP11" s="58">
        <f t="shared" si="17"/>
        <v>0</v>
      </c>
      <c r="AQ11" s="57"/>
      <c r="AR11" s="58">
        <f t="shared" si="18"/>
        <v>0</v>
      </c>
      <c r="AS11" s="57"/>
      <c r="AT11" s="58">
        <f t="shared" si="19"/>
        <v>0</v>
      </c>
      <c r="AU11" s="57"/>
      <c r="AV11" s="58">
        <f t="shared" si="20"/>
        <v>0</v>
      </c>
      <c r="AW11" s="57"/>
      <c r="AX11" s="58">
        <f t="shared" si="21"/>
        <v>0</v>
      </c>
      <c r="AY11" s="57"/>
      <c r="AZ11" s="58">
        <f t="shared" si="22"/>
        <v>0</v>
      </c>
      <c r="BA11" s="57"/>
      <c r="BB11" s="58">
        <f t="shared" si="23"/>
        <v>0</v>
      </c>
      <c r="BC11" s="57"/>
      <c r="BD11" s="58">
        <f t="shared" si="24"/>
        <v>0</v>
      </c>
      <c r="BE11" s="57"/>
      <c r="BF11" s="58">
        <f t="shared" si="25"/>
        <v>0</v>
      </c>
      <c r="BG11" s="57"/>
      <c r="BH11" s="58">
        <f t="shared" si="26"/>
        <v>0</v>
      </c>
      <c r="BI11" s="57"/>
      <c r="BJ11" s="58">
        <f t="shared" si="27"/>
        <v>0</v>
      </c>
      <c r="BK11" s="57"/>
      <c r="BL11" s="58">
        <f t="shared" si="28"/>
        <v>0</v>
      </c>
      <c r="BM11" s="57"/>
      <c r="BN11" s="58">
        <f t="shared" si="29"/>
        <v>0</v>
      </c>
      <c r="BO11" s="57"/>
      <c r="BP11" s="58">
        <f t="shared" si="30"/>
        <v>0</v>
      </c>
      <c r="BQ11" s="57"/>
      <c r="BR11" s="58">
        <f t="shared" si="31"/>
        <v>0</v>
      </c>
      <c r="BS11" s="57"/>
      <c r="BT11" s="58">
        <f t="shared" si="32"/>
        <v>0</v>
      </c>
      <c r="BU11" s="57"/>
      <c r="BV11" s="58">
        <f t="shared" si="33"/>
        <v>0</v>
      </c>
      <c r="BW11" s="57"/>
      <c r="BX11" s="58">
        <f t="shared" si="34"/>
        <v>0</v>
      </c>
      <c r="BY11" s="57"/>
      <c r="BZ11" s="58">
        <f t="shared" si="35"/>
        <v>0</v>
      </c>
      <c r="CA11" s="57"/>
      <c r="CB11" s="58">
        <f t="shared" si="36"/>
        <v>0</v>
      </c>
      <c r="CC11" s="57"/>
      <c r="CD11" s="58">
        <f t="shared" si="37"/>
        <v>0</v>
      </c>
      <c r="CE11" s="57"/>
      <c r="CF11" s="58">
        <f t="shared" si="38"/>
        <v>0</v>
      </c>
      <c r="CG11" s="57"/>
      <c r="CH11" s="58">
        <f t="shared" si="39"/>
        <v>0</v>
      </c>
      <c r="CI11" s="57"/>
      <c r="CJ11" s="58">
        <f t="shared" si="40"/>
        <v>0</v>
      </c>
      <c r="CK11" s="57"/>
      <c r="CL11" s="58">
        <f t="shared" si="41"/>
        <v>0</v>
      </c>
      <c r="CM11" s="57"/>
      <c r="CN11" s="58">
        <f t="shared" si="42"/>
        <v>0</v>
      </c>
      <c r="CO11" s="57"/>
      <c r="CP11" s="58">
        <f t="shared" si="43"/>
        <v>0</v>
      </c>
      <c r="CQ11" s="57"/>
      <c r="CR11" s="58">
        <f t="shared" si="44"/>
        <v>0</v>
      </c>
      <c r="CS11" s="57"/>
      <c r="CT11" s="58">
        <f t="shared" si="45"/>
        <v>0</v>
      </c>
      <c r="CU11" s="57"/>
      <c r="CV11" s="58">
        <f t="shared" si="46"/>
        <v>0</v>
      </c>
      <c r="CW11" s="57"/>
      <c r="CX11" s="58">
        <f t="shared" si="47"/>
        <v>0</v>
      </c>
      <c r="CY11" s="57"/>
      <c r="CZ11" s="58">
        <f t="shared" si="48"/>
        <v>0</v>
      </c>
      <c r="DA11" s="57"/>
      <c r="DB11" s="58">
        <f t="shared" si="49"/>
        <v>0</v>
      </c>
      <c r="DC11" s="57"/>
      <c r="DD11" s="58">
        <f t="shared" si="50"/>
        <v>0</v>
      </c>
      <c r="DE11" s="57"/>
      <c r="DF11" s="58">
        <f t="shared" si="51"/>
        <v>0</v>
      </c>
      <c r="DG11" s="57"/>
      <c r="DH11" s="58">
        <f t="shared" si="52"/>
        <v>0</v>
      </c>
      <c r="DI11" s="57"/>
      <c r="DJ11" s="58">
        <f t="shared" si="53"/>
        <v>0</v>
      </c>
      <c r="DK11" s="57"/>
      <c r="DL11" s="58">
        <f t="shared" si="54"/>
        <v>0</v>
      </c>
      <c r="DM11" s="57"/>
      <c r="DN11" s="58">
        <f t="shared" si="55"/>
        <v>0</v>
      </c>
      <c r="DO11" s="57"/>
      <c r="DP11" s="58">
        <f t="shared" si="56"/>
        <v>0</v>
      </c>
      <c r="DQ11" s="57"/>
      <c r="DR11" s="58">
        <f t="shared" si="57"/>
        <v>0</v>
      </c>
      <c r="DS11" s="57"/>
      <c r="DT11" s="58">
        <f t="shared" si="58"/>
        <v>0</v>
      </c>
      <c r="DU11" s="57"/>
      <c r="DV11" s="58">
        <f t="shared" si="59"/>
        <v>0</v>
      </c>
      <c r="DW11" s="57"/>
      <c r="DX11" s="58">
        <f t="shared" si="60"/>
        <v>0</v>
      </c>
      <c r="DY11" s="57"/>
      <c r="DZ11" s="58">
        <f t="shared" si="61"/>
        <v>0</v>
      </c>
      <c r="EA11" s="57"/>
      <c r="EB11" s="58">
        <f t="shared" si="62"/>
        <v>0</v>
      </c>
    </row>
    <row r="12" spans="2:132" ht="19.5" customHeight="1" x14ac:dyDescent="0.25">
      <c r="B12" s="48"/>
      <c r="C12" s="72"/>
      <c r="D12" s="32" t="e">
        <f t="shared" si="63"/>
        <v>#DIV/0!</v>
      </c>
      <c r="E12" s="76" t="e">
        <f>C12/'DISTRIBUIÇÃO CUSTO'!C$31</f>
        <v>#DIV/0!</v>
      </c>
      <c r="F12" s="26"/>
      <c r="G12" s="31"/>
      <c r="H12" s="39">
        <f t="shared" si="0"/>
        <v>0</v>
      </c>
      <c r="I12" s="31"/>
      <c r="J12" s="39">
        <f t="shared" si="1"/>
        <v>0</v>
      </c>
      <c r="K12" s="31"/>
      <c r="L12" s="39">
        <f t="shared" si="2"/>
        <v>0</v>
      </c>
      <c r="M12" s="31"/>
      <c r="N12" s="39">
        <f t="shared" si="3"/>
        <v>0</v>
      </c>
      <c r="O12" s="31"/>
      <c r="P12" s="39">
        <f t="shared" si="4"/>
        <v>0</v>
      </c>
      <c r="Q12" s="31"/>
      <c r="R12" s="39">
        <f t="shared" si="5"/>
        <v>0</v>
      </c>
      <c r="S12" s="31"/>
      <c r="T12" s="39">
        <f t="shared" si="6"/>
        <v>0</v>
      </c>
      <c r="U12" s="31"/>
      <c r="V12" s="39">
        <f t="shared" si="7"/>
        <v>0</v>
      </c>
      <c r="W12" s="31"/>
      <c r="X12" s="39">
        <f t="shared" si="8"/>
        <v>0</v>
      </c>
      <c r="Y12" s="31"/>
      <c r="Z12" s="39">
        <f t="shared" si="9"/>
        <v>0</v>
      </c>
      <c r="AA12" s="31"/>
      <c r="AB12" s="39">
        <f t="shared" si="10"/>
        <v>0</v>
      </c>
      <c r="AC12" s="31"/>
      <c r="AD12" s="39">
        <f t="shared" si="11"/>
        <v>0</v>
      </c>
      <c r="AE12" s="31"/>
      <c r="AF12" s="39">
        <f t="shared" si="12"/>
        <v>0</v>
      </c>
      <c r="AG12" s="31"/>
      <c r="AH12" s="39">
        <f t="shared" si="13"/>
        <v>0</v>
      </c>
      <c r="AI12" s="31"/>
      <c r="AJ12" s="39">
        <f t="shared" si="14"/>
        <v>0</v>
      </c>
      <c r="AK12" s="31"/>
      <c r="AL12" s="39">
        <f t="shared" si="15"/>
        <v>0</v>
      </c>
      <c r="AM12" s="31"/>
      <c r="AN12" s="39">
        <f t="shared" si="16"/>
        <v>0</v>
      </c>
      <c r="AO12" s="31"/>
      <c r="AP12" s="39">
        <f t="shared" si="17"/>
        <v>0</v>
      </c>
      <c r="AQ12" s="31"/>
      <c r="AR12" s="39">
        <f t="shared" si="18"/>
        <v>0</v>
      </c>
      <c r="AS12" s="31"/>
      <c r="AT12" s="39">
        <f t="shared" si="19"/>
        <v>0</v>
      </c>
      <c r="AU12" s="31"/>
      <c r="AV12" s="39">
        <f t="shared" si="20"/>
        <v>0</v>
      </c>
      <c r="AW12" s="31"/>
      <c r="AX12" s="39">
        <f t="shared" si="21"/>
        <v>0</v>
      </c>
      <c r="AY12" s="31"/>
      <c r="AZ12" s="39">
        <f t="shared" si="22"/>
        <v>0</v>
      </c>
      <c r="BA12" s="31"/>
      <c r="BB12" s="39">
        <f t="shared" si="23"/>
        <v>0</v>
      </c>
      <c r="BC12" s="31"/>
      <c r="BD12" s="39">
        <f t="shared" si="24"/>
        <v>0</v>
      </c>
      <c r="BE12" s="31"/>
      <c r="BF12" s="39">
        <f t="shared" si="25"/>
        <v>0</v>
      </c>
      <c r="BG12" s="31"/>
      <c r="BH12" s="39">
        <f t="shared" si="26"/>
        <v>0</v>
      </c>
      <c r="BI12" s="31"/>
      <c r="BJ12" s="39">
        <f t="shared" si="27"/>
        <v>0</v>
      </c>
      <c r="BK12" s="31"/>
      <c r="BL12" s="39">
        <f t="shared" si="28"/>
        <v>0</v>
      </c>
      <c r="BM12" s="31"/>
      <c r="BN12" s="39">
        <f t="shared" si="29"/>
        <v>0</v>
      </c>
      <c r="BO12" s="31"/>
      <c r="BP12" s="39">
        <f t="shared" si="30"/>
        <v>0</v>
      </c>
      <c r="BQ12" s="31"/>
      <c r="BR12" s="39">
        <f t="shared" si="31"/>
        <v>0</v>
      </c>
      <c r="BS12" s="31"/>
      <c r="BT12" s="39">
        <f t="shared" si="32"/>
        <v>0</v>
      </c>
      <c r="BU12" s="31"/>
      <c r="BV12" s="39">
        <f t="shared" si="33"/>
        <v>0</v>
      </c>
      <c r="BW12" s="31"/>
      <c r="BX12" s="39">
        <f t="shared" si="34"/>
        <v>0</v>
      </c>
      <c r="BY12" s="31"/>
      <c r="BZ12" s="39">
        <f t="shared" si="35"/>
        <v>0</v>
      </c>
      <c r="CA12" s="31"/>
      <c r="CB12" s="39">
        <f t="shared" si="36"/>
        <v>0</v>
      </c>
      <c r="CC12" s="31"/>
      <c r="CD12" s="39">
        <f t="shared" si="37"/>
        <v>0</v>
      </c>
      <c r="CE12" s="31"/>
      <c r="CF12" s="39">
        <f t="shared" si="38"/>
        <v>0</v>
      </c>
      <c r="CG12" s="31"/>
      <c r="CH12" s="39">
        <f t="shared" si="39"/>
        <v>0</v>
      </c>
      <c r="CI12" s="31"/>
      <c r="CJ12" s="39">
        <f t="shared" si="40"/>
        <v>0</v>
      </c>
      <c r="CK12" s="31"/>
      <c r="CL12" s="39">
        <f t="shared" si="41"/>
        <v>0</v>
      </c>
      <c r="CM12" s="31"/>
      <c r="CN12" s="39">
        <f t="shared" si="42"/>
        <v>0</v>
      </c>
      <c r="CO12" s="31"/>
      <c r="CP12" s="39">
        <f t="shared" si="43"/>
        <v>0</v>
      </c>
      <c r="CQ12" s="31"/>
      <c r="CR12" s="39">
        <f t="shared" si="44"/>
        <v>0</v>
      </c>
      <c r="CS12" s="31"/>
      <c r="CT12" s="39">
        <f t="shared" si="45"/>
        <v>0</v>
      </c>
      <c r="CU12" s="31"/>
      <c r="CV12" s="39">
        <f t="shared" si="46"/>
        <v>0</v>
      </c>
      <c r="CW12" s="31"/>
      <c r="CX12" s="39">
        <f t="shared" si="47"/>
        <v>0</v>
      </c>
      <c r="CY12" s="31"/>
      <c r="CZ12" s="39">
        <f t="shared" si="48"/>
        <v>0</v>
      </c>
      <c r="DA12" s="31"/>
      <c r="DB12" s="39">
        <f t="shared" si="49"/>
        <v>0</v>
      </c>
      <c r="DC12" s="31"/>
      <c r="DD12" s="39">
        <f t="shared" si="50"/>
        <v>0</v>
      </c>
      <c r="DE12" s="31"/>
      <c r="DF12" s="39">
        <f t="shared" si="51"/>
        <v>0</v>
      </c>
      <c r="DG12" s="31"/>
      <c r="DH12" s="39">
        <f t="shared" si="52"/>
        <v>0</v>
      </c>
      <c r="DI12" s="31"/>
      <c r="DJ12" s="39">
        <f t="shared" si="53"/>
        <v>0</v>
      </c>
      <c r="DK12" s="31"/>
      <c r="DL12" s="39">
        <f t="shared" si="54"/>
        <v>0</v>
      </c>
      <c r="DM12" s="31"/>
      <c r="DN12" s="39">
        <f t="shared" si="55"/>
        <v>0</v>
      </c>
      <c r="DO12" s="31"/>
      <c r="DP12" s="39">
        <f t="shared" si="56"/>
        <v>0</v>
      </c>
      <c r="DQ12" s="31"/>
      <c r="DR12" s="39">
        <f t="shared" si="57"/>
        <v>0</v>
      </c>
      <c r="DS12" s="31"/>
      <c r="DT12" s="39">
        <f t="shared" si="58"/>
        <v>0</v>
      </c>
      <c r="DU12" s="31"/>
      <c r="DV12" s="39">
        <f t="shared" si="59"/>
        <v>0</v>
      </c>
      <c r="DW12" s="31"/>
      <c r="DX12" s="39">
        <f t="shared" si="60"/>
        <v>0</v>
      </c>
      <c r="DY12" s="31"/>
      <c r="DZ12" s="39">
        <f t="shared" si="61"/>
        <v>0</v>
      </c>
      <c r="EA12" s="31"/>
      <c r="EB12" s="39">
        <f t="shared" si="62"/>
        <v>0</v>
      </c>
    </row>
    <row r="13" spans="2:132" ht="19.5" customHeight="1" x14ac:dyDescent="0.25">
      <c r="B13" s="55"/>
      <c r="C13" s="71"/>
      <c r="D13" s="56" t="e">
        <f t="shared" si="63"/>
        <v>#DIV/0!</v>
      </c>
      <c r="E13" s="75" t="e">
        <f>C13/'DISTRIBUIÇÃO CUSTO'!C$31</f>
        <v>#DIV/0!</v>
      </c>
      <c r="F13" s="26"/>
      <c r="G13" s="57"/>
      <c r="H13" s="58">
        <f t="shared" si="0"/>
        <v>0</v>
      </c>
      <c r="I13" s="57"/>
      <c r="J13" s="58">
        <f t="shared" si="1"/>
        <v>0</v>
      </c>
      <c r="K13" s="57"/>
      <c r="L13" s="58">
        <f t="shared" si="2"/>
        <v>0</v>
      </c>
      <c r="M13" s="57"/>
      <c r="N13" s="58">
        <f t="shared" si="3"/>
        <v>0</v>
      </c>
      <c r="O13" s="57"/>
      <c r="P13" s="58">
        <f t="shared" si="4"/>
        <v>0</v>
      </c>
      <c r="Q13" s="57"/>
      <c r="R13" s="58">
        <f t="shared" si="5"/>
        <v>0</v>
      </c>
      <c r="S13" s="57"/>
      <c r="T13" s="58">
        <f t="shared" si="6"/>
        <v>0</v>
      </c>
      <c r="U13" s="57"/>
      <c r="V13" s="58">
        <f t="shared" si="7"/>
        <v>0</v>
      </c>
      <c r="W13" s="57"/>
      <c r="X13" s="58">
        <f t="shared" si="8"/>
        <v>0</v>
      </c>
      <c r="Y13" s="57"/>
      <c r="Z13" s="58">
        <f t="shared" si="9"/>
        <v>0</v>
      </c>
      <c r="AA13" s="57"/>
      <c r="AB13" s="58">
        <f t="shared" si="10"/>
        <v>0</v>
      </c>
      <c r="AC13" s="57"/>
      <c r="AD13" s="58">
        <f t="shared" si="11"/>
        <v>0</v>
      </c>
      <c r="AE13" s="57"/>
      <c r="AF13" s="58">
        <f t="shared" si="12"/>
        <v>0</v>
      </c>
      <c r="AG13" s="57"/>
      <c r="AH13" s="58">
        <f t="shared" si="13"/>
        <v>0</v>
      </c>
      <c r="AI13" s="57"/>
      <c r="AJ13" s="58">
        <f t="shared" si="14"/>
        <v>0</v>
      </c>
      <c r="AK13" s="57"/>
      <c r="AL13" s="58">
        <f t="shared" si="15"/>
        <v>0</v>
      </c>
      <c r="AM13" s="57"/>
      <c r="AN13" s="58">
        <f t="shared" si="16"/>
        <v>0</v>
      </c>
      <c r="AO13" s="57"/>
      <c r="AP13" s="58">
        <f t="shared" si="17"/>
        <v>0</v>
      </c>
      <c r="AQ13" s="57"/>
      <c r="AR13" s="58">
        <f t="shared" si="18"/>
        <v>0</v>
      </c>
      <c r="AS13" s="57"/>
      <c r="AT13" s="58">
        <f t="shared" si="19"/>
        <v>0</v>
      </c>
      <c r="AU13" s="57"/>
      <c r="AV13" s="58">
        <f t="shared" si="20"/>
        <v>0</v>
      </c>
      <c r="AW13" s="57"/>
      <c r="AX13" s="58">
        <f t="shared" si="21"/>
        <v>0</v>
      </c>
      <c r="AY13" s="57"/>
      <c r="AZ13" s="58">
        <f t="shared" si="22"/>
        <v>0</v>
      </c>
      <c r="BA13" s="57"/>
      <c r="BB13" s="58">
        <f t="shared" si="23"/>
        <v>0</v>
      </c>
      <c r="BC13" s="57"/>
      <c r="BD13" s="58">
        <f t="shared" si="24"/>
        <v>0</v>
      </c>
      <c r="BE13" s="57"/>
      <c r="BF13" s="58">
        <f t="shared" si="25"/>
        <v>0</v>
      </c>
      <c r="BG13" s="57"/>
      <c r="BH13" s="58">
        <f t="shared" si="26"/>
        <v>0</v>
      </c>
      <c r="BI13" s="57"/>
      <c r="BJ13" s="58">
        <f t="shared" si="27"/>
        <v>0</v>
      </c>
      <c r="BK13" s="57"/>
      <c r="BL13" s="58">
        <f t="shared" si="28"/>
        <v>0</v>
      </c>
      <c r="BM13" s="57"/>
      <c r="BN13" s="58">
        <f t="shared" si="29"/>
        <v>0</v>
      </c>
      <c r="BO13" s="57"/>
      <c r="BP13" s="58">
        <f t="shared" si="30"/>
        <v>0</v>
      </c>
      <c r="BQ13" s="57"/>
      <c r="BR13" s="58">
        <f t="shared" si="31"/>
        <v>0</v>
      </c>
      <c r="BS13" s="57"/>
      <c r="BT13" s="58">
        <f t="shared" si="32"/>
        <v>0</v>
      </c>
      <c r="BU13" s="57"/>
      <c r="BV13" s="58">
        <f t="shared" si="33"/>
        <v>0</v>
      </c>
      <c r="BW13" s="57"/>
      <c r="BX13" s="58">
        <f t="shared" si="34"/>
        <v>0</v>
      </c>
      <c r="BY13" s="57"/>
      <c r="BZ13" s="58">
        <f t="shared" si="35"/>
        <v>0</v>
      </c>
      <c r="CA13" s="57"/>
      <c r="CB13" s="58">
        <f t="shared" si="36"/>
        <v>0</v>
      </c>
      <c r="CC13" s="57"/>
      <c r="CD13" s="58">
        <f t="shared" si="37"/>
        <v>0</v>
      </c>
      <c r="CE13" s="57"/>
      <c r="CF13" s="58">
        <f t="shared" si="38"/>
        <v>0</v>
      </c>
      <c r="CG13" s="57"/>
      <c r="CH13" s="58">
        <f t="shared" si="39"/>
        <v>0</v>
      </c>
      <c r="CI13" s="57"/>
      <c r="CJ13" s="58">
        <f t="shared" si="40"/>
        <v>0</v>
      </c>
      <c r="CK13" s="57"/>
      <c r="CL13" s="58">
        <f t="shared" si="41"/>
        <v>0</v>
      </c>
      <c r="CM13" s="57"/>
      <c r="CN13" s="58">
        <f t="shared" si="42"/>
        <v>0</v>
      </c>
      <c r="CO13" s="57"/>
      <c r="CP13" s="58">
        <f t="shared" si="43"/>
        <v>0</v>
      </c>
      <c r="CQ13" s="57"/>
      <c r="CR13" s="58">
        <f t="shared" si="44"/>
        <v>0</v>
      </c>
      <c r="CS13" s="57"/>
      <c r="CT13" s="58">
        <f t="shared" si="45"/>
        <v>0</v>
      </c>
      <c r="CU13" s="57"/>
      <c r="CV13" s="58">
        <f t="shared" si="46"/>
        <v>0</v>
      </c>
      <c r="CW13" s="57"/>
      <c r="CX13" s="58">
        <f t="shared" si="47"/>
        <v>0</v>
      </c>
      <c r="CY13" s="57"/>
      <c r="CZ13" s="58">
        <f t="shared" si="48"/>
        <v>0</v>
      </c>
      <c r="DA13" s="57"/>
      <c r="DB13" s="58">
        <f t="shared" si="49"/>
        <v>0</v>
      </c>
      <c r="DC13" s="57"/>
      <c r="DD13" s="58">
        <f t="shared" si="50"/>
        <v>0</v>
      </c>
      <c r="DE13" s="57"/>
      <c r="DF13" s="58">
        <f t="shared" si="51"/>
        <v>0</v>
      </c>
      <c r="DG13" s="57"/>
      <c r="DH13" s="58">
        <f t="shared" si="52"/>
        <v>0</v>
      </c>
      <c r="DI13" s="57"/>
      <c r="DJ13" s="58">
        <f t="shared" si="53"/>
        <v>0</v>
      </c>
      <c r="DK13" s="57"/>
      <c r="DL13" s="58">
        <f t="shared" si="54"/>
        <v>0</v>
      </c>
      <c r="DM13" s="57"/>
      <c r="DN13" s="58">
        <f t="shared" si="55"/>
        <v>0</v>
      </c>
      <c r="DO13" s="57"/>
      <c r="DP13" s="58">
        <f t="shared" si="56"/>
        <v>0</v>
      </c>
      <c r="DQ13" s="57"/>
      <c r="DR13" s="58">
        <f t="shared" si="57"/>
        <v>0</v>
      </c>
      <c r="DS13" s="57"/>
      <c r="DT13" s="58">
        <f t="shared" si="58"/>
        <v>0</v>
      </c>
      <c r="DU13" s="57"/>
      <c r="DV13" s="58">
        <f t="shared" si="59"/>
        <v>0</v>
      </c>
      <c r="DW13" s="57"/>
      <c r="DX13" s="58">
        <f t="shared" si="60"/>
        <v>0</v>
      </c>
      <c r="DY13" s="57"/>
      <c r="DZ13" s="58">
        <f t="shared" si="61"/>
        <v>0</v>
      </c>
      <c r="EA13" s="57"/>
      <c r="EB13" s="58">
        <f t="shared" si="62"/>
        <v>0</v>
      </c>
    </row>
    <row r="14" spans="2:132" ht="19.5" customHeight="1" x14ac:dyDescent="0.25">
      <c r="B14" s="48"/>
      <c r="C14" s="72"/>
      <c r="D14" s="32" t="e">
        <f t="shared" si="63"/>
        <v>#DIV/0!</v>
      </c>
      <c r="E14" s="76" t="e">
        <f>C14/'DISTRIBUIÇÃO CUSTO'!C$31</f>
        <v>#DIV/0!</v>
      </c>
      <c r="F14" s="26"/>
      <c r="G14" s="31"/>
      <c r="H14" s="39">
        <f t="shared" si="0"/>
        <v>0</v>
      </c>
      <c r="I14" s="31"/>
      <c r="J14" s="39">
        <f t="shared" si="1"/>
        <v>0</v>
      </c>
      <c r="K14" s="31"/>
      <c r="L14" s="39">
        <f t="shared" si="2"/>
        <v>0</v>
      </c>
      <c r="M14" s="31"/>
      <c r="N14" s="39">
        <f t="shared" si="3"/>
        <v>0</v>
      </c>
      <c r="O14" s="31"/>
      <c r="P14" s="39">
        <f t="shared" si="4"/>
        <v>0</v>
      </c>
      <c r="Q14" s="31"/>
      <c r="R14" s="39">
        <f t="shared" si="5"/>
        <v>0</v>
      </c>
      <c r="S14" s="31"/>
      <c r="T14" s="39">
        <f t="shared" si="6"/>
        <v>0</v>
      </c>
      <c r="U14" s="31"/>
      <c r="V14" s="39">
        <f t="shared" si="7"/>
        <v>0</v>
      </c>
      <c r="W14" s="31"/>
      <c r="X14" s="39">
        <f t="shared" si="8"/>
        <v>0</v>
      </c>
      <c r="Y14" s="31"/>
      <c r="Z14" s="39">
        <f t="shared" si="9"/>
        <v>0</v>
      </c>
      <c r="AA14" s="31"/>
      <c r="AB14" s="39">
        <f t="shared" si="10"/>
        <v>0</v>
      </c>
      <c r="AC14" s="31"/>
      <c r="AD14" s="39">
        <f t="shared" si="11"/>
        <v>0</v>
      </c>
      <c r="AE14" s="31"/>
      <c r="AF14" s="39">
        <f t="shared" si="12"/>
        <v>0</v>
      </c>
      <c r="AG14" s="31"/>
      <c r="AH14" s="39">
        <f t="shared" si="13"/>
        <v>0</v>
      </c>
      <c r="AI14" s="31"/>
      <c r="AJ14" s="39">
        <f t="shared" si="14"/>
        <v>0</v>
      </c>
      <c r="AK14" s="31"/>
      <c r="AL14" s="39">
        <f t="shared" si="15"/>
        <v>0</v>
      </c>
      <c r="AM14" s="31"/>
      <c r="AN14" s="39">
        <f t="shared" si="16"/>
        <v>0</v>
      </c>
      <c r="AO14" s="31"/>
      <c r="AP14" s="39">
        <f t="shared" si="17"/>
        <v>0</v>
      </c>
      <c r="AQ14" s="31"/>
      <c r="AR14" s="39">
        <f t="shared" si="18"/>
        <v>0</v>
      </c>
      <c r="AS14" s="31"/>
      <c r="AT14" s="39">
        <f t="shared" si="19"/>
        <v>0</v>
      </c>
      <c r="AU14" s="31"/>
      <c r="AV14" s="39">
        <f t="shared" si="20"/>
        <v>0</v>
      </c>
      <c r="AW14" s="31"/>
      <c r="AX14" s="39">
        <f t="shared" si="21"/>
        <v>0</v>
      </c>
      <c r="AY14" s="31"/>
      <c r="AZ14" s="39">
        <f t="shared" si="22"/>
        <v>0</v>
      </c>
      <c r="BA14" s="31"/>
      <c r="BB14" s="39">
        <f t="shared" si="23"/>
        <v>0</v>
      </c>
      <c r="BC14" s="31"/>
      <c r="BD14" s="39">
        <f t="shared" si="24"/>
        <v>0</v>
      </c>
      <c r="BE14" s="31"/>
      <c r="BF14" s="39">
        <f t="shared" si="25"/>
        <v>0</v>
      </c>
      <c r="BG14" s="31"/>
      <c r="BH14" s="39">
        <f t="shared" si="26"/>
        <v>0</v>
      </c>
      <c r="BI14" s="31"/>
      <c r="BJ14" s="39">
        <f t="shared" si="27"/>
        <v>0</v>
      </c>
      <c r="BK14" s="31"/>
      <c r="BL14" s="39">
        <f t="shared" si="28"/>
        <v>0</v>
      </c>
      <c r="BM14" s="31"/>
      <c r="BN14" s="39">
        <f t="shared" si="29"/>
        <v>0</v>
      </c>
      <c r="BO14" s="31"/>
      <c r="BP14" s="39">
        <f t="shared" si="30"/>
        <v>0</v>
      </c>
      <c r="BQ14" s="31"/>
      <c r="BR14" s="39">
        <f t="shared" si="31"/>
        <v>0</v>
      </c>
      <c r="BS14" s="31"/>
      <c r="BT14" s="39">
        <f t="shared" si="32"/>
        <v>0</v>
      </c>
      <c r="BU14" s="31"/>
      <c r="BV14" s="39">
        <f t="shared" si="33"/>
        <v>0</v>
      </c>
      <c r="BW14" s="31"/>
      <c r="BX14" s="39">
        <f t="shared" si="34"/>
        <v>0</v>
      </c>
      <c r="BY14" s="31"/>
      <c r="BZ14" s="39">
        <f t="shared" si="35"/>
        <v>0</v>
      </c>
      <c r="CA14" s="31"/>
      <c r="CB14" s="39">
        <f t="shared" si="36"/>
        <v>0</v>
      </c>
      <c r="CC14" s="31"/>
      <c r="CD14" s="39">
        <f t="shared" si="37"/>
        <v>0</v>
      </c>
      <c r="CE14" s="31"/>
      <c r="CF14" s="39">
        <f t="shared" si="38"/>
        <v>0</v>
      </c>
      <c r="CG14" s="31"/>
      <c r="CH14" s="39">
        <f t="shared" si="39"/>
        <v>0</v>
      </c>
      <c r="CI14" s="31"/>
      <c r="CJ14" s="39">
        <f t="shared" si="40"/>
        <v>0</v>
      </c>
      <c r="CK14" s="31"/>
      <c r="CL14" s="39">
        <f t="shared" si="41"/>
        <v>0</v>
      </c>
      <c r="CM14" s="31"/>
      <c r="CN14" s="39">
        <f t="shared" si="42"/>
        <v>0</v>
      </c>
      <c r="CO14" s="31"/>
      <c r="CP14" s="39">
        <f t="shared" si="43"/>
        <v>0</v>
      </c>
      <c r="CQ14" s="31"/>
      <c r="CR14" s="39">
        <f t="shared" si="44"/>
        <v>0</v>
      </c>
      <c r="CS14" s="31"/>
      <c r="CT14" s="39">
        <f t="shared" si="45"/>
        <v>0</v>
      </c>
      <c r="CU14" s="31"/>
      <c r="CV14" s="39">
        <f t="shared" si="46"/>
        <v>0</v>
      </c>
      <c r="CW14" s="31"/>
      <c r="CX14" s="39">
        <f t="shared" si="47"/>
        <v>0</v>
      </c>
      <c r="CY14" s="31"/>
      <c r="CZ14" s="39">
        <f t="shared" si="48"/>
        <v>0</v>
      </c>
      <c r="DA14" s="31"/>
      <c r="DB14" s="39">
        <f t="shared" si="49"/>
        <v>0</v>
      </c>
      <c r="DC14" s="31"/>
      <c r="DD14" s="39">
        <f t="shared" si="50"/>
        <v>0</v>
      </c>
      <c r="DE14" s="31"/>
      <c r="DF14" s="39">
        <f t="shared" si="51"/>
        <v>0</v>
      </c>
      <c r="DG14" s="31"/>
      <c r="DH14" s="39">
        <f t="shared" si="52"/>
        <v>0</v>
      </c>
      <c r="DI14" s="31"/>
      <c r="DJ14" s="39">
        <f t="shared" si="53"/>
        <v>0</v>
      </c>
      <c r="DK14" s="31"/>
      <c r="DL14" s="39">
        <f t="shared" si="54"/>
        <v>0</v>
      </c>
      <c r="DM14" s="31"/>
      <c r="DN14" s="39">
        <f t="shared" si="55"/>
        <v>0</v>
      </c>
      <c r="DO14" s="31"/>
      <c r="DP14" s="39">
        <f t="shared" si="56"/>
        <v>0</v>
      </c>
      <c r="DQ14" s="31"/>
      <c r="DR14" s="39">
        <f t="shared" si="57"/>
        <v>0</v>
      </c>
      <c r="DS14" s="31"/>
      <c r="DT14" s="39">
        <f t="shared" si="58"/>
        <v>0</v>
      </c>
      <c r="DU14" s="31"/>
      <c r="DV14" s="39">
        <f t="shared" si="59"/>
        <v>0</v>
      </c>
      <c r="DW14" s="31"/>
      <c r="DX14" s="39">
        <f t="shared" si="60"/>
        <v>0</v>
      </c>
      <c r="DY14" s="31"/>
      <c r="DZ14" s="39">
        <f t="shared" si="61"/>
        <v>0</v>
      </c>
      <c r="EA14" s="31"/>
      <c r="EB14" s="39">
        <f t="shared" si="62"/>
        <v>0</v>
      </c>
    </row>
    <row r="15" spans="2:132" ht="19.5" customHeight="1" x14ac:dyDescent="0.25">
      <c r="B15" s="55"/>
      <c r="C15" s="71"/>
      <c r="D15" s="56" t="e">
        <f t="shared" si="63"/>
        <v>#DIV/0!</v>
      </c>
      <c r="E15" s="75" t="e">
        <f>C15/'DISTRIBUIÇÃO CUSTO'!C$31</f>
        <v>#DIV/0!</v>
      </c>
      <c r="F15" s="26"/>
      <c r="G15" s="57"/>
      <c r="H15" s="58">
        <f t="shared" si="0"/>
        <v>0</v>
      </c>
      <c r="I15" s="57"/>
      <c r="J15" s="58">
        <f t="shared" si="1"/>
        <v>0</v>
      </c>
      <c r="K15" s="57"/>
      <c r="L15" s="58">
        <f t="shared" si="2"/>
        <v>0</v>
      </c>
      <c r="M15" s="57"/>
      <c r="N15" s="58">
        <f t="shared" si="3"/>
        <v>0</v>
      </c>
      <c r="O15" s="57"/>
      <c r="P15" s="58">
        <f t="shared" si="4"/>
        <v>0</v>
      </c>
      <c r="Q15" s="57"/>
      <c r="R15" s="58">
        <f t="shared" si="5"/>
        <v>0</v>
      </c>
      <c r="S15" s="57"/>
      <c r="T15" s="58">
        <f t="shared" si="6"/>
        <v>0</v>
      </c>
      <c r="U15" s="57"/>
      <c r="V15" s="58">
        <f t="shared" si="7"/>
        <v>0</v>
      </c>
      <c r="W15" s="57"/>
      <c r="X15" s="58">
        <f t="shared" si="8"/>
        <v>0</v>
      </c>
      <c r="Y15" s="57"/>
      <c r="Z15" s="58">
        <f t="shared" si="9"/>
        <v>0</v>
      </c>
      <c r="AA15" s="57"/>
      <c r="AB15" s="58">
        <f t="shared" si="10"/>
        <v>0</v>
      </c>
      <c r="AC15" s="57"/>
      <c r="AD15" s="58">
        <f t="shared" si="11"/>
        <v>0</v>
      </c>
      <c r="AE15" s="57"/>
      <c r="AF15" s="58">
        <f t="shared" si="12"/>
        <v>0</v>
      </c>
      <c r="AG15" s="57"/>
      <c r="AH15" s="58">
        <f t="shared" si="13"/>
        <v>0</v>
      </c>
      <c r="AI15" s="57"/>
      <c r="AJ15" s="58">
        <f t="shared" si="14"/>
        <v>0</v>
      </c>
      <c r="AK15" s="57"/>
      <c r="AL15" s="58">
        <f t="shared" si="15"/>
        <v>0</v>
      </c>
      <c r="AM15" s="57"/>
      <c r="AN15" s="58">
        <f t="shared" si="16"/>
        <v>0</v>
      </c>
      <c r="AO15" s="57"/>
      <c r="AP15" s="58">
        <f t="shared" si="17"/>
        <v>0</v>
      </c>
      <c r="AQ15" s="57"/>
      <c r="AR15" s="58">
        <f t="shared" si="18"/>
        <v>0</v>
      </c>
      <c r="AS15" s="57"/>
      <c r="AT15" s="58">
        <f t="shared" si="19"/>
        <v>0</v>
      </c>
      <c r="AU15" s="57"/>
      <c r="AV15" s="58">
        <f t="shared" si="20"/>
        <v>0</v>
      </c>
      <c r="AW15" s="57"/>
      <c r="AX15" s="58">
        <f t="shared" si="21"/>
        <v>0</v>
      </c>
      <c r="AY15" s="57"/>
      <c r="AZ15" s="58">
        <f t="shared" si="22"/>
        <v>0</v>
      </c>
      <c r="BA15" s="57"/>
      <c r="BB15" s="58">
        <f t="shared" si="23"/>
        <v>0</v>
      </c>
      <c r="BC15" s="57"/>
      <c r="BD15" s="58">
        <f t="shared" si="24"/>
        <v>0</v>
      </c>
      <c r="BE15" s="57"/>
      <c r="BF15" s="58">
        <f t="shared" si="25"/>
        <v>0</v>
      </c>
      <c r="BG15" s="57"/>
      <c r="BH15" s="58">
        <f t="shared" si="26"/>
        <v>0</v>
      </c>
      <c r="BI15" s="57"/>
      <c r="BJ15" s="58">
        <f t="shared" si="27"/>
        <v>0</v>
      </c>
      <c r="BK15" s="57"/>
      <c r="BL15" s="58">
        <f t="shared" si="28"/>
        <v>0</v>
      </c>
      <c r="BM15" s="57"/>
      <c r="BN15" s="58">
        <f t="shared" si="29"/>
        <v>0</v>
      </c>
      <c r="BO15" s="57"/>
      <c r="BP15" s="58">
        <f t="shared" si="30"/>
        <v>0</v>
      </c>
      <c r="BQ15" s="57"/>
      <c r="BR15" s="58">
        <f t="shared" si="31"/>
        <v>0</v>
      </c>
      <c r="BS15" s="57"/>
      <c r="BT15" s="58">
        <f t="shared" si="32"/>
        <v>0</v>
      </c>
      <c r="BU15" s="57"/>
      <c r="BV15" s="58">
        <f t="shared" si="33"/>
        <v>0</v>
      </c>
      <c r="BW15" s="57"/>
      <c r="BX15" s="58">
        <f t="shared" si="34"/>
        <v>0</v>
      </c>
      <c r="BY15" s="57"/>
      <c r="BZ15" s="58">
        <f t="shared" si="35"/>
        <v>0</v>
      </c>
      <c r="CA15" s="57"/>
      <c r="CB15" s="58">
        <f t="shared" si="36"/>
        <v>0</v>
      </c>
      <c r="CC15" s="57"/>
      <c r="CD15" s="58">
        <f t="shared" si="37"/>
        <v>0</v>
      </c>
      <c r="CE15" s="57"/>
      <c r="CF15" s="58">
        <f t="shared" si="38"/>
        <v>0</v>
      </c>
      <c r="CG15" s="57"/>
      <c r="CH15" s="58">
        <f t="shared" si="39"/>
        <v>0</v>
      </c>
      <c r="CI15" s="57"/>
      <c r="CJ15" s="58">
        <f t="shared" si="40"/>
        <v>0</v>
      </c>
      <c r="CK15" s="57"/>
      <c r="CL15" s="58">
        <f t="shared" si="41"/>
        <v>0</v>
      </c>
      <c r="CM15" s="57"/>
      <c r="CN15" s="58">
        <f t="shared" si="42"/>
        <v>0</v>
      </c>
      <c r="CO15" s="57"/>
      <c r="CP15" s="58">
        <f t="shared" si="43"/>
        <v>0</v>
      </c>
      <c r="CQ15" s="57"/>
      <c r="CR15" s="58">
        <f t="shared" si="44"/>
        <v>0</v>
      </c>
      <c r="CS15" s="57"/>
      <c r="CT15" s="58">
        <f t="shared" si="45"/>
        <v>0</v>
      </c>
      <c r="CU15" s="57"/>
      <c r="CV15" s="58">
        <f t="shared" si="46"/>
        <v>0</v>
      </c>
      <c r="CW15" s="57"/>
      <c r="CX15" s="58">
        <f t="shared" si="47"/>
        <v>0</v>
      </c>
      <c r="CY15" s="57"/>
      <c r="CZ15" s="58">
        <f t="shared" si="48"/>
        <v>0</v>
      </c>
      <c r="DA15" s="57"/>
      <c r="DB15" s="58">
        <f t="shared" si="49"/>
        <v>0</v>
      </c>
      <c r="DC15" s="57"/>
      <c r="DD15" s="58">
        <f t="shared" si="50"/>
        <v>0</v>
      </c>
      <c r="DE15" s="57"/>
      <c r="DF15" s="58">
        <f t="shared" si="51"/>
        <v>0</v>
      </c>
      <c r="DG15" s="57"/>
      <c r="DH15" s="58">
        <f t="shared" si="52"/>
        <v>0</v>
      </c>
      <c r="DI15" s="57"/>
      <c r="DJ15" s="58">
        <f t="shared" si="53"/>
        <v>0</v>
      </c>
      <c r="DK15" s="57"/>
      <c r="DL15" s="58">
        <f t="shared" si="54"/>
        <v>0</v>
      </c>
      <c r="DM15" s="57"/>
      <c r="DN15" s="58">
        <f t="shared" si="55"/>
        <v>0</v>
      </c>
      <c r="DO15" s="57"/>
      <c r="DP15" s="58">
        <f t="shared" si="56"/>
        <v>0</v>
      </c>
      <c r="DQ15" s="57"/>
      <c r="DR15" s="58">
        <f t="shared" si="57"/>
        <v>0</v>
      </c>
      <c r="DS15" s="57"/>
      <c r="DT15" s="58">
        <f t="shared" si="58"/>
        <v>0</v>
      </c>
      <c r="DU15" s="57"/>
      <c r="DV15" s="58">
        <f t="shared" si="59"/>
        <v>0</v>
      </c>
      <c r="DW15" s="57"/>
      <c r="DX15" s="58">
        <f t="shared" si="60"/>
        <v>0</v>
      </c>
      <c r="DY15" s="57"/>
      <c r="DZ15" s="58">
        <f t="shared" si="61"/>
        <v>0</v>
      </c>
      <c r="EA15" s="57"/>
      <c r="EB15" s="58">
        <f t="shared" si="62"/>
        <v>0</v>
      </c>
    </row>
    <row r="16" spans="2:132" ht="19.5" customHeight="1" x14ac:dyDescent="0.25">
      <c r="B16" s="48"/>
      <c r="C16" s="72"/>
      <c r="D16" s="32" t="e">
        <f t="shared" si="63"/>
        <v>#DIV/0!</v>
      </c>
      <c r="E16" s="76" t="e">
        <f>C16/'DISTRIBUIÇÃO CUSTO'!C$31</f>
        <v>#DIV/0!</v>
      </c>
      <c r="F16" s="26"/>
      <c r="G16" s="31"/>
      <c r="H16" s="39">
        <f t="shared" si="0"/>
        <v>0</v>
      </c>
      <c r="I16" s="31"/>
      <c r="J16" s="39">
        <f t="shared" si="1"/>
        <v>0</v>
      </c>
      <c r="K16" s="31"/>
      <c r="L16" s="39">
        <f t="shared" si="2"/>
        <v>0</v>
      </c>
      <c r="M16" s="31"/>
      <c r="N16" s="39">
        <f t="shared" si="3"/>
        <v>0</v>
      </c>
      <c r="O16" s="31"/>
      <c r="P16" s="39">
        <f t="shared" si="4"/>
        <v>0</v>
      </c>
      <c r="Q16" s="31"/>
      <c r="R16" s="39">
        <f t="shared" si="5"/>
        <v>0</v>
      </c>
      <c r="S16" s="31"/>
      <c r="T16" s="39">
        <f t="shared" si="6"/>
        <v>0</v>
      </c>
      <c r="U16" s="31"/>
      <c r="V16" s="39">
        <f t="shared" si="7"/>
        <v>0</v>
      </c>
      <c r="W16" s="31"/>
      <c r="X16" s="39">
        <f t="shared" si="8"/>
        <v>0</v>
      </c>
      <c r="Y16" s="31"/>
      <c r="Z16" s="39">
        <f t="shared" si="9"/>
        <v>0</v>
      </c>
      <c r="AA16" s="31"/>
      <c r="AB16" s="39">
        <f t="shared" si="10"/>
        <v>0</v>
      </c>
      <c r="AC16" s="31"/>
      <c r="AD16" s="39">
        <f t="shared" si="11"/>
        <v>0</v>
      </c>
      <c r="AE16" s="31"/>
      <c r="AF16" s="39">
        <f t="shared" si="12"/>
        <v>0</v>
      </c>
      <c r="AG16" s="31"/>
      <c r="AH16" s="39">
        <f t="shared" si="13"/>
        <v>0</v>
      </c>
      <c r="AI16" s="31"/>
      <c r="AJ16" s="39">
        <f t="shared" si="14"/>
        <v>0</v>
      </c>
      <c r="AK16" s="31"/>
      <c r="AL16" s="39">
        <f t="shared" si="15"/>
        <v>0</v>
      </c>
      <c r="AM16" s="31"/>
      <c r="AN16" s="39">
        <f t="shared" si="16"/>
        <v>0</v>
      </c>
      <c r="AO16" s="31"/>
      <c r="AP16" s="39">
        <f t="shared" si="17"/>
        <v>0</v>
      </c>
      <c r="AQ16" s="31"/>
      <c r="AR16" s="39">
        <f t="shared" si="18"/>
        <v>0</v>
      </c>
      <c r="AS16" s="31"/>
      <c r="AT16" s="39">
        <f t="shared" si="19"/>
        <v>0</v>
      </c>
      <c r="AU16" s="31"/>
      <c r="AV16" s="39">
        <f t="shared" si="20"/>
        <v>0</v>
      </c>
      <c r="AW16" s="31"/>
      <c r="AX16" s="39">
        <f t="shared" si="21"/>
        <v>0</v>
      </c>
      <c r="AY16" s="31"/>
      <c r="AZ16" s="39">
        <f t="shared" si="22"/>
        <v>0</v>
      </c>
      <c r="BA16" s="31"/>
      <c r="BB16" s="39">
        <f t="shared" si="23"/>
        <v>0</v>
      </c>
      <c r="BC16" s="31"/>
      <c r="BD16" s="39">
        <f t="shared" si="24"/>
        <v>0</v>
      </c>
      <c r="BE16" s="31"/>
      <c r="BF16" s="39">
        <f t="shared" si="25"/>
        <v>0</v>
      </c>
      <c r="BG16" s="31"/>
      <c r="BH16" s="39">
        <f t="shared" si="26"/>
        <v>0</v>
      </c>
      <c r="BI16" s="31"/>
      <c r="BJ16" s="39">
        <f t="shared" si="27"/>
        <v>0</v>
      </c>
      <c r="BK16" s="31"/>
      <c r="BL16" s="39">
        <f t="shared" si="28"/>
        <v>0</v>
      </c>
      <c r="BM16" s="31"/>
      <c r="BN16" s="39">
        <f t="shared" si="29"/>
        <v>0</v>
      </c>
      <c r="BO16" s="31"/>
      <c r="BP16" s="39">
        <f t="shared" si="30"/>
        <v>0</v>
      </c>
      <c r="BQ16" s="31"/>
      <c r="BR16" s="39">
        <f t="shared" si="31"/>
        <v>0</v>
      </c>
      <c r="BS16" s="31"/>
      <c r="BT16" s="39">
        <f t="shared" si="32"/>
        <v>0</v>
      </c>
      <c r="BU16" s="31"/>
      <c r="BV16" s="39">
        <f t="shared" si="33"/>
        <v>0</v>
      </c>
      <c r="BW16" s="31"/>
      <c r="BX16" s="39">
        <f t="shared" si="34"/>
        <v>0</v>
      </c>
      <c r="BY16" s="31"/>
      <c r="BZ16" s="39">
        <f t="shared" si="35"/>
        <v>0</v>
      </c>
      <c r="CA16" s="31"/>
      <c r="CB16" s="39">
        <f t="shared" si="36"/>
        <v>0</v>
      </c>
      <c r="CC16" s="31"/>
      <c r="CD16" s="39">
        <f t="shared" si="37"/>
        <v>0</v>
      </c>
      <c r="CE16" s="31"/>
      <c r="CF16" s="39">
        <f t="shared" si="38"/>
        <v>0</v>
      </c>
      <c r="CG16" s="31"/>
      <c r="CH16" s="39">
        <f t="shared" si="39"/>
        <v>0</v>
      </c>
      <c r="CI16" s="31"/>
      <c r="CJ16" s="39">
        <f t="shared" si="40"/>
        <v>0</v>
      </c>
      <c r="CK16" s="31"/>
      <c r="CL16" s="39">
        <f t="shared" si="41"/>
        <v>0</v>
      </c>
      <c r="CM16" s="31"/>
      <c r="CN16" s="39">
        <f t="shared" si="42"/>
        <v>0</v>
      </c>
      <c r="CO16" s="31"/>
      <c r="CP16" s="39">
        <f t="shared" si="43"/>
        <v>0</v>
      </c>
      <c r="CQ16" s="31"/>
      <c r="CR16" s="39">
        <f t="shared" si="44"/>
        <v>0</v>
      </c>
      <c r="CS16" s="31"/>
      <c r="CT16" s="39">
        <f t="shared" si="45"/>
        <v>0</v>
      </c>
      <c r="CU16" s="31"/>
      <c r="CV16" s="39">
        <f t="shared" si="46"/>
        <v>0</v>
      </c>
      <c r="CW16" s="31"/>
      <c r="CX16" s="39">
        <f t="shared" si="47"/>
        <v>0</v>
      </c>
      <c r="CY16" s="31"/>
      <c r="CZ16" s="39">
        <f t="shared" si="48"/>
        <v>0</v>
      </c>
      <c r="DA16" s="31"/>
      <c r="DB16" s="39">
        <f t="shared" si="49"/>
        <v>0</v>
      </c>
      <c r="DC16" s="31"/>
      <c r="DD16" s="39">
        <f t="shared" si="50"/>
        <v>0</v>
      </c>
      <c r="DE16" s="31"/>
      <c r="DF16" s="39">
        <f t="shared" si="51"/>
        <v>0</v>
      </c>
      <c r="DG16" s="31"/>
      <c r="DH16" s="39">
        <f t="shared" si="52"/>
        <v>0</v>
      </c>
      <c r="DI16" s="31"/>
      <c r="DJ16" s="39">
        <f t="shared" si="53"/>
        <v>0</v>
      </c>
      <c r="DK16" s="31"/>
      <c r="DL16" s="39">
        <f t="shared" si="54"/>
        <v>0</v>
      </c>
      <c r="DM16" s="31"/>
      <c r="DN16" s="39">
        <f t="shared" si="55"/>
        <v>0</v>
      </c>
      <c r="DO16" s="31"/>
      <c r="DP16" s="39">
        <f t="shared" si="56"/>
        <v>0</v>
      </c>
      <c r="DQ16" s="31"/>
      <c r="DR16" s="39">
        <f t="shared" si="57"/>
        <v>0</v>
      </c>
      <c r="DS16" s="31"/>
      <c r="DT16" s="39">
        <f t="shared" si="58"/>
        <v>0</v>
      </c>
      <c r="DU16" s="31"/>
      <c r="DV16" s="39">
        <f t="shared" si="59"/>
        <v>0</v>
      </c>
      <c r="DW16" s="31"/>
      <c r="DX16" s="39">
        <f t="shared" si="60"/>
        <v>0</v>
      </c>
      <c r="DY16" s="31"/>
      <c r="DZ16" s="39">
        <f t="shared" si="61"/>
        <v>0</v>
      </c>
      <c r="EA16" s="31"/>
      <c r="EB16" s="39">
        <f t="shared" si="62"/>
        <v>0</v>
      </c>
    </row>
    <row r="17" spans="2:133" ht="19.5" customHeight="1" x14ac:dyDescent="0.25">
      <c r="B17" s="53"/>
      <c r="C17" s="73"/>
      <c r="D17" s="54" t="e">
        <f t="shared" si="63"/>
        <v>#DIV/0!</v>
      </c>
      <c r="E17" s="77" t="e">
        <f>C17/'DISTRIBUIÇÃO CUSTO'!C$31</f>
        <v>#DIV/0!</v>
      </c>
      <c r="F17" s="25"/>
      <c r="G17" s="57"/>
      <c r="H17" s="58">
        <f t="shared" si="0"/>
        <v>0</v>
      </c>
      <c r="I17" s="57"/>
      <c r="J17" s="58">
        <f t="shared" si="1"/>
        <v>0</v>
      </c>
      <c r="K17" s="57"/>
      <c r="L17" s="58">
        <f t="shared" si="2"/>
        <v>0</v>
      </c>
      <c r="M17" s="57"/>
      <c r="N17" s="58">
        <f t="shared" si="3"/>
        <v>0</v>
      </c>
      <c r="O17" s="57"/>
      <c r="P17" s="58">
        <f t="shared" si="4"/>
        <v>0</v>
      </c>
      <c r="Q17" s="57"/>
      <c r="R17" s="58">
        <f t="shared" si="5"/>
        <v>0</v>
      </c>
      <c r="S17" s="57"/>
      <c r="T17" s="58">
        <f t="shared" si="6"/>
        <v>0</v>
      </c>
      <c r="U17" s="57"/>
      <c r="V17" s="58">
        <f t="shared" si="7"/>
        <v>0</v>
      </c>
      <c r="W17" s="57"/>
      <c r="X17" s="58">
        <f t="shared" si="8"/>
        <v>0</v>
      </c>
      <c r="Y17" s="57"/>
      <c r="Z17" s="58">
        <f t="shared" si="9"/>
        <v>0</v>
      </c>
      <c r="AA17" s="57"/>
      <c r="AB17" s="58">
        <f t="shared" si="10"/>
        <v>0</v>
      </c>
      <c r="AC17" s="57"/>
      <c r="AD17" s="58">
        <f t="shared" si="11"/>
        <v>0</v>
      </c>
      <c r="AE17" s="57"/>
      <c r="AF17" s="58">
        <f t="shared" si="12"/>
        <v>0</v>
      </c>
      <c r="AG17" s="57"/>
      <c r="AH17" s="58">
        <f t="shared" si="13"/>
        <v>0</v>
      </c>
      <c r="AI17" s="57"/>
      <c r="AJ17" s="58">
        <f t="shared" si="14"/>
        <v>0</v>
      </c>
      <c r="AK17" s="57"/>
      <c r="AL17" s="58">
        <f t="shared" si="15"/>
        <v>0</v>
      </c>
      <c r="AM17" s="57"/>
      <c r="AN17" s="58">
        <f t="shared" si="16"/>
        <v>0</v>
      </c>
      <c r="AO17" s="57"/>
      <c r="AP17" s="58">
        <f t="shared" si="17"/>
        <v>0</v>
      </c>
      <c r="AQ17" s="57"/>
      <c r="AR17" s="58">
        <f t="shared" si="18"/>
        <v>0</v>
      </c>
      <c r="AS17" s="57"/>
      <c r="AT17" s="58">
        <f t="shared" si="19"/>
        <v>0</v>
      </c>
      <c r="AU17" s="57"/>
      <c r="AV17" s="58">
        <f t="shared" si="20"/>
        <v>0</v>
      </c>
      <c r="AW17" s="57"/>
      <c r="AX17" s="58">
        <f t="shared" si="21"/>
        <v>0</v>
      </c>
      <c r="AY17" s="57"/>
      <c r="AZ17" s="58">
        <f t="shared" si="22"/>
        <v>0</v>
      </c>
      <c r="BA17" s="57"/>
      <c r="BB17" s="58">
        <f t="shared" si="23"/>
        <v>0</v>
      </c>
      <c r="BC17" s="57"/>
      <c r="BD17" s="58">
        <f t="shared" si="24"/>
        <v>0</v>
      </c>
      <c r="BE17" s="57"/>
      <c r="BF17" s="58">
        <f t="shared" si="25"/>
        <v>0</v>
      </c>
      <c r="BG17" s="57"/>
      <c r="BH17" s="58">
        <f t="shared" si="26"/>
        <v>0</v>
      </c>
      <c r="BI17" s="57"/>
      <c r="BJ17" s="58">
        <f t="shared" si="27"/>
        <v>0</v>
      </c>
      <c r="BK17" s="57"/>
      <c r="BL17" s="58">
        <f t="shared" si="28"/>
        <v>0</v>
      </c>
      <c r="BM17" s="57"/>
      <c r="BN17" s="58">
        <f t="shared" si="29"/>
        <v>0</v>
      </c>
      <c r="BO17" s="57"/>
      <c r="BP17" s="58">
        <f t="shared" si="30"/>
        <v>0</v>
      </c>
      <c r="BQ17" s="57"/>
      <c r="BR17" s="58">
        <f t="shared" si="31"/>
        <v>0</v>
      </c>
      <c r="BS17" s="57"/>
      <c r="BT17" s="58">
        <f t="shared" si="32"/>
        <v>0</v>
      </c>
      <c r="BU17" s="57"/>
      <c r="BV17" s="58">
        <f t="shared" si="33"/>
        <v>0</v>
      </c>
      <c r="BW17" s="57"/>
      <c r="BX17" s="58">
        <f t="shared" si="34"/>
        <v>0</v>
      </c>
      <c r="BY17" s="57"/>
      <c r="BZ17" s="58">
        <f t="shared" si="35"/>
        <v>0</v>
      </c>
      <c r="CA17" s="57"/>
      <c r="CB17" s="58">
        <f t="shared" si="36"/>
        <v>0</v>
      </c>
      <c r="CC17" s="57"/>
      <c r="CD17" s="58">
        <f t="shared" si="37"/>
        <v>0</v>
      </c>
      <c r="CE17" s="57"/>
      <c r="CF17" s="58">
        <f t="shared" si="38"/>
        <v>0</v>
      </c>
      <c r="CG17" s="57"/>
      <c r="CH17" s="58">
        <f t="shared" si="39"/>
        <v>0</v>
      </c>
      <c r="CI17" s="57"/>
      <c r="CJ17" s="58">
        <f t="shared" si="40"/>
        <v>0</v>
      </c>
      <c r="CK17" s="57"/>
      <c r="CL17" s="58">
        <f t="shared" si="41"/>
        <v>0</v>
      </c>
      <c r="CM17" s="57"/>
      <c r="CN17" s="58">
        <f t="shared" si="42"/>
        <v>0</v>
      </c>
      <c r="CO17" s="57"/>
      <c r="CP17" s="58">
        <f t="shared" si="43"/>
        <v>0</v>
      </c>
      <c r="CQ17" s="57"/>
      <c r="CR17" s="58">
        <f t="shared" si="44"/>
        <v>0</v>
      </c>
      <c r="CS17" s="57"/>
      <c r="CT17" s="58">
        <f t="shared" si="45"/>
        <v>0</v>
      </c>
      <c r="CU17" s="57"/>
      <c r="CV17" s="58">
        <f t="shared" si="46"/>
        <v>0</v>
      </c>
      <c r="CW17" s="57"/>
      <c r="CX17" s="58">
        <f t="shared" si="47"/>
        <v>0</v>
      </c>
      <c r="CY17" s="57"/>
      <c r="CZ17" s="58">
        <f t="shared" si="48"/>
        <v>0</v>
      </c>
      <c r="DA17" s="57"/>
      <c r="DB17" s="58">
        <f t="shared" si="49"/>
        <v>0</v>
      </c>
      <c r="DC17" s="57"/>
      <c r="DD17" s="58">
        <f t="shared" si="50"/>
        <v>0</v>
      </c>
      <c r="DE17" s="57"/>
      <c r="DF17" s="58">
        <f t="shared" si="51"/>
        <v>0</v>
      </c>
      <c r="DG17" s="57"/>
      <c r="DH17" s="58">
        <f t="shared" si="52"/>
        <v>0</v>
      </c>
      <c r="DI17" s="57"/>
      <c r="DJ17" s="58">
        <f t="shared" si="53"/>
        <v>0</v>
      </c>
      <c r="DK17" s="57"/>
      <c r="DL17" s="58">
        <f t="shared" si="54"/>
        <v>0</v>
      </c>
      <c r="DM17" s="57"/>
      <c r="DN17" s="58">
        <f t="shared" si="55"/>
        <v>0</v>
      </c>
      <c r="DO17" s="57"/>
      <c r="DP17" s="58">
        <f t="shared" si="56"/>
        <v>0</v>
      </c>
      <c r="DQ17" s="57"/>
      <c r="DR17" s="58">
        <f t="shared" si="57"/>
        <v>0</v>
      </c>
      <c r="DS17" s="57"/>
      <c r="DT17" s="58">
        <f t="shared" si="58"/>
        <v>0</v>
      </c>
      <c r="DU17" s="57"/>
      <c r="DV17" s="58">
        <f t="shared" si="59"/>
        <v>0</v>
      </c>
      <c r="DW17" s="57"/>
      <c r="DX17" s="58">
        <f t="shared" si="60"/>
        <v>0</v>
      </c>
      <c r="DY17" s="57"/>
      <c r="DZ17" s="58">
        <f t="shared" si="61"/>
        <v>0</v>
      </c>
      <c r="EA17" s="57"/>
      <c r="EB17" s="58">
        <f t="shared" si="62"/>
        <v>0</v>
      </c>
    </row>
    <row r="18" spans="2:133" ht="19.5" customHeight="1" x14ac:dyDescent="0.25">
      <c r="B18" s="49"/>
      <c r="C18" s="74"/>
      <c r="D18" s="33" t="e">
        <f t="shared" si="63"/>
        <v>#DIV/0!</v>
      </c>
      <c r="E18" s="78" t="e">
        <f>C18/'DISTRIBUIÇÃO CUSTO'!C$31</f>
        <v>#DIV/0!</v>
      </c>
      <c r="F18" s="25"/>
      <c r="G18" s="31"/>
      <c r="H18" s="39">
        <f t="shared" si="0"/>
        <v>0</v>
      </c>
      <c r="I18" s="31"/>
      <c r="J18" s="39">
        <f t="shared" si="1"/>
        <v>0</v>
      </c>
      <c r="K18" s="31"/>
      <c r="L18" s="39">
        <f t="shared" si="2"/>
        <v>0</v>
      </c>
      <c r="M18" s="31"/>
      <c r="N18" s="39">
        <f t="shared" si="3"/>
        <v>0</v>
      </c>
      <c r="O18" s="31"/>
      <c r="P18" s="39">
        <f t="shared" si="4"/>
        <v>0</v>
      </c>
      <c r="Q18" s="31"/>
      <c r="R18" s="39">
        <f t="shared" si="5"/>
        <v>0</v>
      </c>
      <c r="S18" s="31"/>
      <c r="T18" s="39">
        <f t="shared" si="6"/>
        <v>0</v>
      </c>
      <c r="U18" s="31"/>
      <c r="V18" s="39">
        <f t="shared" si="7"/>
        <v>0</v>
      </c>
      <c r="W18" s="31"/>
      <c r="X18" s="39">
        <f t="shared" si="8"/>
        <v>0</v>
      </c>
      <c r="Y18" s="31"/>
      <c r="Z18" s="39">
        <f t="shared" si="9"/>
        <v>0</v>
      </c>
      <c r="AA18" s="31"/>
      <c r="AB18" s="39">
        <f t="shared" si="10"/>
        <v>0</v>
      </c>
      <c r="AC18" s="31"/>
      <c r="AD18" s="39">
        <f t="shared" si="11"/>
        <v>0</v>
      </c>
      <c r="AE18" s="31"/>
      <c r="AF18" s="39">
        <f t="shared" si="12"/>
        <v>0</v>
      </c>
      <c r="AG18" s="31"/>
      <c r="AH18" s="39">
        <f t="shared" si="13"/>
        <v>0</v>
      </c>
      <c r="AI18" s="31"/>
      <c r="AJ18" s="39">
        <f t="shared" si="14"/>
        <v>0</v>
      </c>
      <c r="AK18" s="31"/>
      <c r="AL18" s="39">
        <f t="shared" si="15"/>
        <v>0</v>
      </c>
      <c r="AM18" s="31"/>
      <c r="AN18" s="39">
        <f t="shared" si="16"/>
        <v>0</v>
      </c>
      <c r="AO18" s="31"/>
      <c r="AP18" s="39">
        <f t="shared" si="17"/>
        <v>0</v>
      </c>
      <c r="AQ18" s="31"/>
      <c r="AR18" s="39">
        <f t="shared" si="18"/>
        <v>0</v>
      </c>
      <c r="AS18" s="31"/>
      <c r="AT18" s="39">
        <f t="shared" si="19"/>
        <v>0</v>
      </c>
      <c r="AU18" s="31"/>
      <c r="AV18" s="39">
        <f t="shared" si="20"/>
        <v>0</v>
      </c>
      <c r="AW18" s="31"/>
      <c r="AX18" s="39">
        <f t="shared" si="21"/>
        <v>0</v>
      </c>
      <c r="AY18" s="31"/>
      <c r="AZ18" s="39">
        <f t="shared" si="22"/>
        <v>0</v>
      </c>
      <c r="BA18" s="31"/>
      <c r="BB18" s="39">
        <f t="shared" si="23"/>
        <v>0</v>
      </c>
      <c r="BC18" s="31"/>
      <c r="BD18" s="39">
        <f t="shared" si="24"/>
        <v>0</v>
      </c>
      <c r="BE18" s="31"/>
      <c r="BF18" s="39">
        <f t="shared" si="25"/>
        <v>0</v>
      </c>
      <c r="BG18" s="31"/>
      <c r="BH18" s="39">
        <f t="shared" si="26"/>
        <v>0</v>
      </c>
      <c r="BI18" s="31"/>
      <c r="BJ18" s="39">
        <f t="shared" si="27"/>
        <v>0</v>
      </c>
      <c r="BK18" s="31"/>
      <c r="BL18" s="39">
        <f t="shared" si="28"/>
        <v>0</v>
      </c>
      <c r="BM18" s="31"/>
      <c r="BN18" s="39">
        <f t="shared" si="29"/>
        <v>0</v>
      </c>
      <c r="BO18" s="31"/>
      <c r="BP18" s="39">
        <f t="shared" si="30"/>
        <v>0</v>
      </c>
      <c r="BQ18" s="31"/>
      <c r="BR18" s="39">
        <f t="shared" si="31"/>
        <v>0</v>
      </c>
      <c r="BS18" s="31"/>
      <c r="BT18" s="39">
        <f t="shared" si="32"/>
        <v>0</v>
      </c>
      <c r="BU18" s="31"/>
      <c r="BV18" s="39">
        <f t="shared" si="33"/>
        <v>0</v>
      </c>
      <c r="BW18" s="31"/>
      <c r="BX18" s="39">
        <f t="shared" si="34"/>
        <v>0</v>
      </c>
      <c r="BY18" s="31"/>
      <c r="BZ18" s="39">
        <f t="shared" si="35"/>
        <v>0</v>
      </c>
      <c r="CA18" s="31"/>
      <c r="CB18" s="39">
        <f t="shared" si="36"/>
        <v>0</v>
      </c>
      <c r="CC18" s="31"/>
      <c r="CD18" s="39">
        <f t="shared" si="37"/>
        <v>0</v>
      </c>
      <c r="CE18" s="31"/>
      <c r="CF18" s="39">
        <f t="shared" si="38"/>
        <v>0</v>
      </c>
      <c r="CG18" s="31"/>
      <c r="CH18" s="39">
        <f t="shared" si="39"/>
        <v>0</v>
      </c>
      <c r="CI18" s="31"/>
      <c r="CJ18" s="39">
        <f t="shared" si="40"/>
        <v>0</v>
      </c>
      <c r="CK18" s="31"/>
      <c r="CL18" s="39">
        <f t="shared" si="41"/>
        <v>0</v>
      </c>
      <c r="CM18" s="31"/>
      <c r="CN18" s="39">
        <f t="shared" si="42"/>
        <v>0</v>
      </c>
      <c r="CO18" s="31"/>
      <c r="CP18" s="39">
        <f t="shared" si="43"/>
        <v>0</v>
      </c>
      <c r="CQ18" s="31"/>
      <c r="CR18" s="39">
        <f t="shared" si="44"/>
        <v>0</v>
      </c>
      <c r="CS18" s="31"/>
      <c r="CT18" s="39">
        <f t="shared" si="45"/>
        <v>0</v>
      </c>
      <c r="CU18" s="31"/>
      <c r="CV18" s="39">
        <f t="shared" si="46"/>
        <v>0</v>
      </c>
      <c r="CW18" s="31"/>
      <c r="CX18" s="39">
        <f t="shared" si="47"/>
        <v>0</v>
      </c>
      <c r="CY18" s="31"/>
      <c r="CZ18" s="39">
        <f t="shared" si="48"/>
        <v>0</v>
      </c>
      <c r="DA18" s="31"/>
      <c r="DB18" s="39">
        <f t="shared" si="49"/>
        <v>0</v>
      </c>
      <c r="DC18" s="31"/>
      <c r="DD18" s="39">
        <f t="shared" si="50"/>
        <v>0</v>
      </c>
      <c r="DE18" s="31"/>
      <c r="DF18" s="39">
        <f t="shared" si="51"/>
        <v>0</v>
      </c>
      <c r="DG18" s="31"/>
      <c r="DH18" s="39">
        <f t="shared" si="52"/>
        <v>0</v>
      </c>
      <c r="DI18" s="31"/>
      <c r="DJ18" s="39">
        <f t="shared" si="53"/>
        <v>0</v>
      </c>
      <c r="DK18" s="31"/>
      <c r="DL18" s="39">
        <f t="shared" si="54"/>
        <v>0</v>
      </c>
      <c r="DM18" s="31"/>
      <c r="DN18" s="39">
        <f t="shared" si="55"/>
        <v>0</v>
      </c>
      <c r="DO18" s="31"/>
      <c r="DP18" s="39">
        <f t="shared" si="56"/>
        <v>0</v>
      </c>
      <c r="DQ18" s="31"/>
      <c r="DR18" s="39">
        <f t="shared" si="57"/>
        <v>0</v>
      </c>
      <c r="DS18" s="31"/>
      <c r="DT18" s="39">
        <f t="shared" si="58"/>
        <v>0</v>
      </c>
      <c r="DU18" s="31"/>
      <c r="DV18" s="39">
        <f t="shared" si="59"/>
        <v>0</v>
      </c>
      <c r="DW18" s="31"/>
      <c r="DX18" s="39">
        <f t="shared" si="60"/>
        <v>0</v>
      </c>
      <c r="DY18" s="31"/>
      <c r="DZ18" s="39">
        <f t="shared" si="61"/>
        <v>0</v>
      </c>
      <c r="EA18" s="31"/>
      <c r="EB18" s="39">
        <f t="shared" si="62"/>
        <v>0</v>
      </c>
    </row>
    <row r="19" spans="2:133" ht="19.5" customHeight="1" x14ac:dyDescent="0.25">
      <c r="B19" s="53"/>
      <c r="C19" s="73"/>
      <c r="D19" s="54" t="e">
        <f t="shared" si="63"/>
        <v>#DIV/0!</v>
      </c>
      <c r="E19" s="77" t="e">
        <f>C19/'DISTRIBUIÇÃO CUSTO'!C$31</f>
        <v>#DIV/0!</v>
      </c>
      <c r="F19" s="25"/>
      <c r="G19" s="57"/>
      <c r="H19" s="58">
        <f t="shared" si="0"/>
        <v>0</v>
      </c>
      <c r="I19" s="57"/>
      <c r="J19" s="58">
        <f t="shared" si="1"/>
        <v>0</v>
      </c>
      <c r="K19" s="57"/>
      <c r="L19" s="58">
        <f t="shared" si="2"/>
        <v>0</v>
      </c>
      <c r="M19" s="57"/>
      <c r="N19" s="58">
        <f t="shared" si="3"/>
        <v>0</v>
      </c>
      <c r="O19" s="57"/>
      <c r="P19" s="58">
        <f t="shared" si="4"/>
        <v>0</v>
      </c>
      <c r="Q19" s="57"/>
      <c r="R19" s="58">
        <f t="shared" si="5"/>
        <v>0</v>
      </c>
      <c r="S19" s="57"/>
      <c r="T19" s="58">
        <f t="shared" si="6"/>
        <v>0</v>
      </c>
      <c r="U19" s="57"/>
      <c r="V19" s="58">
        <f t="shared" si="7"/>
        <v>0</v>
      </c>
      <c r="W19" s="57"/>
      <c r="X19" s="58">
        <f t="shared" si="8"/>
        <v>0</v>
      </c>
      <c r="Y19" s="57"/>
      <c r="Z19" s="58">
        <f t="shared" si="9"/>
        <v>0</v>
      </c>
      <c r="AA19" s="57"/>
      <c r="AB19" s="58">
        <f t="shared" si="10"/>
        <v>0</v>
      </c>
      <c r="AC19" s="57"/>
      <c r="AD19" s="58">
        <f t="shared" si="11"/>
        <v>0</v>
      </c>
      <c r="AE19" s="57"/>
      <c r="AF19" s="58">
        <f t="shared" si="12"/>
        <v>0</v>
      </c>
      <c r="AG19" s="57"/>
      <c r="AH19" s="58">
        <f t="shared" si="13"/>
        <v>0</v>
      </c>
      <c r="AI19" s="57"/>
      <c r="AJ19" s="58">
        <f t="shared" si="14"/>
        <v>0</v>
      </c>
      <c r="AK19" s="57"/>
      <c r="AL19" s="58">
        <f t="shared" si="15"/>
        <v>0</v>
      </c>
      <c r="AM19" s="57"/>
      <c r="AN19" s="58">
        <f t="shared" si="16"/>
        <v>0</v>
      </c>
      <c r="AO19" s="57"/>
      <c r="AP19" s="58">
        <f t="shared" si="17"/>
        <v>0</v>
      </c>
      <c r="AQ19" s="57"/>
      <c r="AR19" s="58">
        <f t="shared" si="18"/>
        <v>0</v>
      </c>
      <c r="AS19" s="57"/>
      <c r="AT19" s="58">
        <f t="shared" si="19"/>
        <v>0</v>
      </c>
      <c r="AU19" s="57"/>
      <c r="AV19" s="58">
        <f t="shared" si="20"/>
        <v>0</v>
      </c>
      <c r="AW19" s="57"/>
      <c r="AX19" s="58">
        <f t="shared" si="21"/>
        <v>0</v>
      </c>
      <c r="AY19" s="57"/>
      <c r="AZ19" s="58">
        <f t="shared" si="22"/>
        <v>0</v>
      </c>
      <c r="BA19" s="57"/>
      <c r="BB19" s="58">
        <f t="shared" si="23"/>
        <v>0</v>
      </c>
      <c r="BC19" s="57"/>
      <c r="BD19" s="58">
        <f t="shared" si="24"/>
        <v>0</v>
      </c>
      <c r="BE19" s="57"/>
      <c r="BF19" s="58">
        <f t="shared" si="25"/>
        <v>0</v>
      </c>
      <c r="BG19" s="57"/>
      <c r="BH19" s="58">
        <f t="shared" si="26"/>
        <v>0</v>
      </c>
      <c r="BI19" s="57"/>
      <c r="BJ19" s="58">
        <f t="shared" si="27"/>
        <v>0</v>
      </c>
      <c r="BK19" s="57"/>
      <c r="BL19" s="58">
        <f t="shared" si="28"/>
        <v>0</v>
      </c>
      <c r="BM19" s="57"/>
      <c r="BN19" s="58">
        <f t="shared" si="29"/>
        <v>0</v>
      </c>
      <c r="BO19" s="57"/>
      <c r="BP19" s="58">
        <f t="shared" si="30"/>
        <v>0</v>
      </c>
      <c r="BQ19" s="57"/>
      <c r="BR19" s="58">
        <f t="shared" si="31"/>
        <v>0</v>
      </c>
      <c r="BS19" s="57"/>
      <c r="BT19" s="58">
        <f t="shared" si="32"/>
        <v>0</v>
      </c>
      <c r="BU19" s="57"/>
      <c r="BV19" s="58">
        <f t="shared" si="33"/>
        <v>0</v>
      </c>
      <c r="BW19" s="57"/>
      <c r="BX19" s="58">
        <f t="shared" si="34"/>
        <v>0</v>
      </c>
      <c r="BY19" s="57"/>
      <c r="BZ19" s="58">
        <f t="shared" si="35"/>
        <v>0</v>
      </c>
      <c r="CA19" s="57"/>
      <c r="CB19" s="58">
        <f t="shared" si="36"/>
        <v>0</v>
      </c>
      <c r="CC19" s="57"/>
      <c r="CD19" s="58">
        <f t="shared" si="37"/>
        <v>0</v>
      </c>
      <c r="CE19" s="57"/>
      <c r="CF19" s="58">
        <f t="shared" si="38"/>
        <v>0</v>
      </c>
      <c r="CG19" s="57"/>
      <c r="CH19" s="58">
        <f t="shared" si="39"/>
        <v>0</v>
      </c>
      <c r="CI19" s="57"/>
      <c r="CJ19" s="58">
        <f t="shared" si="40"/>
        <v>0</v>
      </c>
      <c r="CK19" s="57"/>
      <c r="CL19" s="58">
        <f t="shared" si="41"/>
        <v>0</v>
      </c>
      <c r="CM19" s="57"/>
      <c r="CN19" s="58">
        <f t="shared" si="42"/>
        <v>0</v>
      </c>
      <c r="CO19" s="57"/>
      <c r="CP19" s="58">
        <f t="shared" si="43"/>
        <v>0</v>
      </c>
      <c r="CQ19" s="57"/>
      <c r="CR19" s="58">
        <f t="shared" si="44"/>
        <v>0</v>
      </c>
      <c r="CS19" s="57"/>
      <c r="CT19" s="58">
        <f t="shared" si="45"/>
        <v>0</v>
      </c>
      <c r="CU19" s="57"/>
      <c r="CV19" s="58">
        <f t="shared" si="46"/>
        <v>0</v>
      </c>
      <c r="CW19" s="57"/>
      <c r="CX19" s="58">
        <f t="shared" si="47"/>
        <v>0</v>
      </c>
      <c r="CY19" s="57"/>
      <c r="CZ19" s="58">
        <f t="shared" si="48"/>
        <v>0</v>
      </c>
      <c r="DA19" s="57"/>
      <c r="DB19" s="58">
        <f t="shared" si="49"/>
        <v>0</v>
      </c>
      <c r="DC19" s="57"/>
      <c r="DD19" s="58">
        <f t="shared" si="50"/>
        <v>0</v>
      </c>
      <c r="DE19" s="57"/>
      <c r="DF19" s="58">
        <f t="shared" si="51"/>
        <v>0</v>
      </c>
      <c r="DG19" s="57"/>
      <c r="DH19" s="58">
        <f t="shared" si="52"/>
        <v>0</v>
      </c>
      <c r="DI19" s="57"/>
      <c r="DJ19" s="58">
        <f t="shared" si="53"/>
        <v>0</v>
      </c>
      <c r="DK19" s="57"/>
      <c r="DL19" s="58">
        <f t="shared" si="54"/>
        <v>0</v>
      </c>
      <c r="DM19" s="57"/>
      <c r="DN19" s="58">
        <f t="shared" si="55"/>
        <v>0</v>
      </c>
      <c r="DO19" s="57"/>
      <c r="DP19" s="58">
        <f t="shared" si="56"/>
        <v>0</v>
      </c>
      <c r="DQ19" s="57"/>
      <c r="DR19" s="58">
        <f t="shared" si="57"/>
        <v>0</v>
      </c>
      <c r="DS19" s="57"/>
      <c r="DT19" s="58">
        <f t="shared" si="58"/>
        <v>0</v>
      </c>
      <c r="DU19" s="57"/>
      <c r="DV19" s="58">
        <f t="shared" si="59"/>
        <v>0</v>
      </c>
      <c r="DW19" s="57"/>
      <c r="DX19" s="58">
        <f t="shared" si="60"/>
        <v>0</v>
      </c>
      <c r="DY19" s="57"/>
      <c r="DZ19" s="58">
        <f t="shared" si="61"/>
        <v>0</v>
      </c>
      <c r="EA19" s="57"/>
      <c r="EB19" s="58">
        <f t="shared" si="62"/>
        <v>0</v>
      </c>
    </row>
    <row r="20" spans="2:133" ht="19.5" customHeight="1" x14ac:dyDescent="0.25">
      <c r="B20" s="49"/>
      <c r="C20" s="74"/>
      <c r="D20" s="33" t="e">
        <f t="shared" si="63"/>
        <v>#DIV/0!</v>
      </c>
      <c r="E20" s="78" t="e">
        <f>C20/'DISTRIBUIÇÃO CUSTO'!C$31</f>
        <v>#DIV/0!</v>
      </c>
      <c r="F20" s="25"/>
      <c r="G20" s="31"/>
      <c r="H20" s="39">
        <f t="shared" si="0"/>
        <v>0</v>
      </c>
      <c r="I20" s="31"/>
      <c r="J20" s="39">
        <f t="shared" si="1"/>
        <v>0</v>
      </c>
      <c r="K20" s="31"/>
      <c r="L20" s="39">
        <f t="shared" si="2"/>
        <v>0</v>
      </c>
      <c r="M20" s="31"/>
      <c r="N20" s="39">
        <f t="shared" si="3"/>
        <v>0</v>
      </c>
      <c r="O20" s="31"/>
      <c r="P20" s="39">
        <f t="shared" si="4"/>
        <v>0</v>
      </c>
      <c r="Q20" s="31"/>
      <c r="R20" s="39">
        <f t="shared" si="5"/>
        <v>0</v>
      </c>
      <c r="S20" s="31"/>
      <c r="T20" s="39">
        <f t="shared" si="6"/>
        <v>0</v>
      </c>
      <c r="U20" s="31"/>
      <c r="V20" s="39">
        <f t="shared" si="7"/>
        <v>0</v>
      </c>
      <c r="W20" s="31"/>
      <c r="X20" s="39">
        <f t="shared" si="8"/>
        <v>0</v>
      </c>
      <c r="Y20" s="31"/>
      <c r="Z20" s="39">
        <f t="shared" si="9"/>
        <v>0</v>
      </c>
      <c r="AA20" s="31"/>
      <c r="AB20" s="39">
        <f t="shared" si="10"/>
        <v>0</v>
      </c>
      <c r="AC20" s="31"/>
      <c r="AD20" s="39">
        <f t="shared" si="11"/>
        <v>0</v>
      </c>
      <c r="AE20" s="31"/>
      <c r="AF20" s="39">
        <f t="shared" si="12"/>
        <v>0</v>
      </c>
      <c r="AG20" s="31"/>
      <c r="AH20" s="39">
        <f t="shared" si="13"/>
        <v>0</v>
      </c>
      <c r="AI20" s="31"/>
      <c r="AJ20" s="39">
        <f t="shared" si="14"/>
        <v>0</v>
      </c>
      <c r="AK20" s="31"/>
      <c r="AL20" s="39">
        <f t="shared" si="15"/>
        <v>0</v>
      </c>
      <c r="AM20" s="31"/>
      <c r="AN20" s="39">
        <f t="shared" si="16"/>
        <v>0</v>
      </c>
      <c r="AO20" s="31"/>
      <c r="AP20" s="39">
        <f t="shared" si="17"/>
        <v>0</v>
      </c>
      <c r="AQ20" s="31"/>
      <c r="AR20" s="39">
        <f t="shared" si="18"/>
        <v>0</v>
      </c>
      <c r="AS20" s="31"/>
      <c r="AT20" s="39">
        <f t="shared" si="19"/>
        <v>0</v>
      </c>
      <c r="AU20" s="31"/>
      <c r="AV20" s="39">
        <f t="shared" si="20"/>
        <v>0</v>
      </c>
      <c r="AW20" s="31"/>
      <c r="AX20" s="39">
        <f t="shared" si="21"/>
        <v>0</v>
      </c>
      <c r="AY20" s="31"/>
      <c r="AZ20" s="39">
        <f t="shared" si="22"/>
        <v>0</v>
      </c>
      <c r="BA20" s="31"/>
      <c r="BB20" s="39">
        <f t="shared" si="23"/>
        <v>0</v>
      </c>
      <c r="BC20" s="31"/>
      <c r="BD20" s="39">
        <f t="shared" si="24"/>
        <v>0</v>
      </c>
      <c r="BE20" s="31"/>
      <c r="BF20" s="39">
        <f t="shared" si="25"/>
        <v>0</v>
      </c>
      <c r="BG20" s="31"/>
      <c r="BH20" s="39">
        <f t="shared" si="26"/>
        <v>0</v>
      </c>
      <c r="BI20" s="31"/>
      <c r="BJ20" s="39">
        <f t="shared" si="27"/>
        <v>0</v>
      </c>
      <c r="BK20" s="31"/>
      <c r="BL20" s="39">
        <f t="shared" si="28"/>
        <v>0</v>
      </c>
      <c r="BM20" s="31"/>
      <c r="BN20" s="39">
        <f t="shared" si="29"/>
        <v>0</v>
      </c>
      <c r="BO20" s="31"/>
      <c r="BP20" s="39">
        <f t="shared" si="30"/>
        <v>0</v>
      </c>
      <c r="BQ20" s="31"/>
      <c r="BR20" s="39">
        <f t="shared" si="31"/>
        <v>0</v>
      </c>
      <c r="BS20" s="31"/>
      <c r="BT20" s="39">
        <f t="shared" si="32"/>
        <v>0</v>
      </c>
      <c r="BU20" s="31"/>
      <c r="BV20" s="39">
        <f t="shared" si="33"/>
        <v>0</v>
      </c>
      <c r="BW20" s="31"/>
      <c r="BX20" s="39">
        <f t="shared" si="34"/>
        <v>0</v>
      </c>
      <c r="BY20" s="31"/>
      <c r="BZ20" s="39">
        <f t="shared" si="35"/>
        <v>0</v>
      </c>
      <c r="CA20" s="31"/>
      <c r="CB20" s="39">
        <f t="shared" si="36"/>
        <v>0</v>
      </c>
      <c r="CC20" s="31"/>
      <c r="CD20" s="39">
        <f t="shared" si="37"/>
        <v>0</v>
      </c>
      <c r="CE20" s="31"/>
      <c r="CF20" s="39">
        <f t="shared" si="38"/>
        <v>0</v>
      </c>
      <c r="CG20" s="31"/>
      <c r="CH20" s="39">
        <f t="shared" si="39"/>
        <v>0</v>
      </c>
      <c r="CI20" s="31"/>
      <c r="CJ20" s="39">
        <f t="shared" si="40"/>
        <v>0</v>
      </c>
      <c r="CK20" s="31"/>
      <c r="CL20" s="39">
        <f t="shared" si="41"/>
        <v>0</v>
      </c>
      <c r="CM20" s="31"/>
      <c r="CN20" s="39">
        <f t="shared" si="42"/>
        <v>0</v>
      </c>
      <c r="CO20" s="31"/>
      <c r="CP20" s="39">
        <f t="shared" si="43"/>
        <v>0</v>
      </c>
      <c r="CQ20" s="31"/>
      <c r="CR20" s="39">
        <f t="shared" si="44"/>
        <v>0</v>
      </c>
      <c r="CS20" s="31"/>
      <c r="CT20" s="39">
        <f t="shared" si="45"/>
        <v>0</v>
      </c>
      <c r="CU20" s="31"/>
      <c r="CV20" s="39">
        <f t="shared" si="46"/>
        <v>0</v>
      </c>
      <c r="CW20" s="31"/>
      <c r="CX20" s="39">
        <f t="shared" si="47"/>
        <v>0</v>
      </c>
      <c r="CY20" s="31"/>
      <c r="CZ20" s="39">
        <f t="shared" si="48"/>
        <v>0</v>
      </c>
      <c r="DA20" s="31"/>
      <c r="DB20" s="39">
        <f t="shared" si="49"/>
        <v>0</v>
      </c>
      <c r="DC20" s="31"/>
      <c r="DD20" s="39">
        <f t="shared" si="50"/>
        <v>0</v>
      </c>
      <c r="DE20" s="31"/>
      <c r="DF20" s="39">
        <f t="shared" si="51"/>
        <v>0</v>
      </c>
      <c r="DG20" s="31"/>
      <c r="DH20" s="39">
        <f t="shared" si="52"/>
        <v>0</v>
      </c>
      <c r="DI20" s="31"/>
      <c r="DJ20" s="39">
        <f t="shared" si="53"/>
        <v>0</v>
      </c>
      <c r="DK20" s="31"/>
      <c r="DL20" s="39">
        <f t="shared" si="54"/>
        <v>0</v>
      </c>
      <c r="DM20" s="31"/>
      <c r="DN20" s="39">
        <f t="shared" si="55"/>
        <v>0</v>
      </c>
      <c r="DO20" s="31"/>
      <c r="DP20" s="39">
        <f t="shared" si="56"/>
        <v>0</v>
      </c>
      <c r="DQ20" s="31"/>
      <c r="DR20" s="39">
        <f t="shared" si="57"/>
        <v>0</v>
      </c>
      <c r="DS20" s="31"/>
      <c r="DT20" s="39">
        <f t="shared" si="58"/>
        <v>0</v>
      </c>
      <c r="DU20" s="31"/>
      <c r="DV20" s="39">
        <f t="shared" si="59"/>
        <v>0</v>
      </c>
      <c r="DW20" s="31"/>
      <c r="DX20" s="39">
        <f t="shared" si="60"/>
        <v>0</v>
      </c>
      <c r="DY20" s="31"/>
      <c r="DZ20" s="39">
        <f t="shared" si="61"/>
        <v>0</v>
      </c>
      <c r="EA20" s="31"/>
      <c r="EB20" s="39">
        <f t="shared" si="62"/>
        <v>0</v>
      </c>
    </row>
    <row r="21" spans="2:133" ht="19.5" customHeight="1" x14ac:dyDescent="0.25">
      <c r="B21" s="53"/>
      <c r="C21" s="73"/>
      <c r="D21" s="54" t="e">
        <f t="shared" si="63"/>
        <v>#DIV/0!</v>
      </c>
      <c r="E21" s="77" t="e">
        <f>C21/'DISTRIBUIÇÃO CUSTO'!C$31</f>
        <v>#DIV/0!</v>
      </c>
      <c r="F21" s="25"/>
      <c r="G21" s="57"/>
      <c r="H21" s="58">
        <f t="shared" si="0"/>
        <v>0</v>
      </c>
      <c r="I21" s="57"/>
      <c r="J21" s="58">
        <f t="shared" si="1"/>
        <v>0</v>
      </c>
      <c r="K21" s="57"/>
      <c r="L21" s="58">
        <f t="shared" si="2"/>
        <v>0</v>
      </c>
      <c r="M21" s="57"/>
      <c r="N21" s="58">
        <f t="shared" si="3"/>
        <v>0</v>
      </c>
      <c r="O21" s="57"/>
      <c r="P21" s="58">
        <f t="shared" si="4"/>
        <v>0</v>
      </c>
      <c r="Q21" s="57"/>
      <c r="R21" s="58">
        <f t="shared" si="5"/>
        <v>0</v>
      </c>
      <c r="S21" s="57"/>
      <c r="T21" s="58">
        <f t="shared" si="6"/>
        <v>0</v>
      </c>
      <c r="U21" s="57"/>
      <c r="V21" s="58">
        <f t="shared" si="7"/>
        <v>0</v>
      </c>
      <c r="W21" s="57"/>
      <c r="X21" s="58">
        <f t="shared" si="8"/>
        <v>0</v>
      </c>
      <c r="Y21" s="57"/>
      <c r="Z21" s="58">
        <f t="shared" si="9"/>
        <v>0</v>
      </c>
      <c r="AA21" s="57"/>
      <c r="AB21" s="58">
        <f t="shared" si="10"/>
        <v>0</v>
      </c>
      <c r="AC21" s="57"/>
      <c r="AD21" s="58">
        <f t="shared" si="11"/>
        <v>0</v>
      </c>
      <c r="AE21" s="57"/>
      <c r="AF21" s="58">
        <f t="shared" si="12"/>
        <v>0</v>
      </c>
      <c r="AG21" s="57"/>
      <c r="AH21" s="58">
        <f t="shared" si="13"/>
        <v>0</v>
      </c>
      <c r="AI21" s="57"/>
      <c r="AJ21" s="58">
        <f t="shared" si="14"/>
        <v>0</v>
      </c>
      <c r="AK21" s="57"/>
      <c r="AL21" s="58">
        <f t="shared" si="15"/>
        <v>0</v>
      </c>
      <c r="AM21" s="57"/>
      <c r="AN21" s="58">
        <f t="shared" si="16"/>
        <v>0</v>
      </c>
      <c r="AO21" s="57"/>
      <c r="AP21" s="58">
        <f t="shared" si="17"/>
        <v>0</v>
      </c>
      <c r="AQ21" s="57"/>
      <c r="AR21" s="58">
        <f t="shared" si="18"/>
        <v>0</v>
      </c>
      <c r="AS21" s="57"/>
      <c r="AT21" s="58">
        <f t="shared" si="19"/>
        <v>0</v>
      </c>
      <c r="AU21" s="57"/>
      <c r="AV21" s="58">
        <f t="shared" si="20"/>
        <v>0</v>
      </c>
      <c r="AW21" s="57"/>
      <c r="AX21" s="58">
        <f t="shared" si="21"/>
        <v>0</v>
      </c>
      <c r="AY21" s="57"/>
      <c r="AZ21" s="58">
        <f t="shared" si="22"/>
        <v>0</v>
      </c>
      <c r="BA21" s="57"/>
      <c r="BB21" s="58">
        <f t="shared" si="23"/>
        <v>0</v>
      </c>
      <c r="BC21" s="57"/>
      <c r="BD21" s="58">
        <f t="shared" si="24"/>
        <v>0</v>
      </c>
      <c r="BE21" s="57"/>
      <c r="BF21" s="58">
        <f t="shared" si="25"/>
        <v>0</v>
      </c>
      <c r="BG21" s="57"/>
      <c r="BH21" s="58">
        <f t="shared" si="26"/>
        <v>0</v>
      </c>
      <c r="BI21" s="57"/>
      <c r="BJ21" s="58">
        <f t="shared" si="27"/>
        <v>0</v>
      </c>
      <c r="BK21" s="57"/>
      <c r="BL21" s="58">
        <f t="shared" si="28"/>
        <v>0</v>
      </c>
      <c r="BM21" s="57"/>
      <c r="BN21" s="58">
        <f t="shared" si="29"/>
        <v>0</v>
      </c>
      <c r="BO21" s="57"/>
      <c r="BP21" s="58">
        <f t="shared" si="30"/>
        <v>0</v>
      </c>
      <c r="BQ21" s="57"/>
      <c r="BR21" s="58">
        <f t="shared" si="31"/>
        <v>0</v>
      </c>
      <c r="BS21" s="57"/>
      <c r="BT21" s="58">
        <f t="shared" si="32"/>
        <v>0</v>
      </c>
      <c r="BU21" s="57"/>
      <c r="BV21" s="58">
        <f t="shared" si="33"/>
        <v>0</v>
      </c>
      <c r="BW21" s="57"/>
      <c r="BX21" s="58">
        <f t="shared" si="34"/>
        <v>0</v>
      </c>
      <c r="BY21" s="57"/>
      <c r="BZ21" s="58">
        <f t="shared" si="35"/>
        <v>0</v>
      </c>
      <c r="CA21" s="57"/>
      <c r="CB21" s="58">
        <f t="shared" si="36"/>
        <v>0</v>
      </c>
      <c r="CC21" s="57"/>
      <c r="CD21" s="58">
        <f t="shared" si="37"/>
        <v>0</v>
      </c>
      <c r="CE21" s="57"/>
      <c r="CF21" s="58">
        <f t="shared" si="38"/>
        <v>0</v>
      </c>
      <c r="CG21" s="57"/>
      <c r="CH21" s="58">
        <f t="shared" si="39"/>
        <v>0</v>
      </c>
      <c r="CI21" s="57"/>
      <c r="CJ21" s="58">
        <f t="shared" si="40"/>
        <v>0</v>
      </c>
      <c r="CK21" s="57"/>
      <c r="CL21" s="58">
        <f t="shared" si="41"/>
        <v>0</v>
      </c>
      <c r="CM21" s="57"/>
      <c r="CN21" s="58">
        <f t="shared" si="42"/>
        <v>0</v>
      </c>
      <c r="CO21" s="57"/>
      <c r="CP21" s="58">
        <f t="shared" si="43"/>
        <v>0</v>
      </c>
      <c r="CQ21" s="57"/>
      <c r="CR21" s="58">
        <f t="shared" si="44"/>
        <v>0</v>
      </c>
      <c r="CS21" s="57"/>
      <c r="CT21" s="58">
        <f t="shared" si="45"/>
        <v>0</v>
      </c>
      <c r="CU21" s="57"/>
      <c r="CV21" s="58">
        <f t="shared" si="46"/>
        <v>0</v>
      </c>
      <c r="CW21" s="57"/>
      <c r="CX21" s="58">
        <f t="shared" si="47"/>
        <v>0</v>
      </c>
      <c r="CY21" s="57"/>
      <c r="CZ21" s="58">
        <f t="shared" si="48"/>
        <v>0</v>
      </c>
      <c r="DA21" s="57"/>
      <c r="DB21" s="58">
        <f t="shared" si="49"/>
        <v>0</v>
      </c>
      <c r="DC21" s="57"/>
      <c r="DD21" s="58">
        <f t="shared" si="50"/>
        <v>0</v>
      </c>
      <c r="DE21" s="57"/>
      <c r="DF21" s="58">
        <f t="shared" si="51"/>
        <v>0</v>
      </c>
      <c r="DG21" s="57"/>
      <c r="DH21" s="58">
        <f t="shared" si="52"/>
        <v>0</v>
      </c>
      <c r="DI21" s="57"/>
      <c r="DJ21" s="58">
        <f t="shared" si="53"/>
        <v>0</v>
      </c>
      <c r="DK21" s="57"/>
      <c r="DL21" s="58">
        <f t="shared" si="54"/>
        <v>0</v>
      </c>
      <c r="DM21" s="57"/>
      <c r="DN21" s="58">
        <f t="shared" si="55"/>
        <v>0</v>
      </c>
      <c r="DO21" s="57"/>
      <c r="DP21" s="58">
        <f t="shared" si="56"/>
        <v>0</v>
      </c>
      <c r="DQ21" s="57"/>
      <c r="DR21" s="58">
        <f t="shared" si="57"/>
        <v>0</v>
      </c>
      <c r="DS21" s="57"/>
      <c r="DT21" s="58">
        <f t="shared" si="58"/>
        <v>0</v>
      </c>
      <c r="DU21" s="57"/>
      <c r="DV21" s="58">
        <f t="shared" si="59"/>
        <v>0</v>
      </c>
      <c r="DW21" s="57"/>
      <c r="DX21" s="58">
        <f t="shared" si="60"/>
        <v>0</v>
      </c>
      <c r="DY21" s="57"/>
      <c r="DZ21" s="58">
        <f t="shared" si="61"/>
        <v>0</v>
      </c>
      <c r="EA21" s="57"/>
      <c r="EB21" s="58">
        <f t="shared" si="62"/>
        <v>0</v>
      </c>
    </row>
    <row r="22" spans="2:133" ht="19.5" customHeight="1" x14ac:dyDescent="0.25">
      <c r="B22" s="49"/>
      <c r="C22" s="74"/>
      <c r="D22" s="33" t="e">
        <f t="shared" si="63"/>
        <v>#DIV/0!</v>
      </c>
      <c r="E22" s="78" t="e">
        <f>C22/'DISTRIBUIÇÃO CUSTO'!C$31</f>
        <v>#DIV/0!</v>
      </c>
      <c r="F22" s="25"/>
      <c r="G22" s="31"/>
      <c r="H22" s="39">
        <f t="shared" si="0"/>
        <v>0</v>
      </c>
      <c r="I22" s="31"/>
      <c r="J22" s="39">
        <f t="shared" si="1"/>
        <v>0</v>
      </c>
      <c r="K22" s="31"/>
      <c r="L22" s="39">
        <f t="shared" si="2"/>
        <v>0</v>
      </c>
      <c r="M22" s="31"/>
      <c r="N22" s="39">
        <f t="shared" si="3"/>
        <v>0</v>
      </c>
      <c r="O22" s="31"/>
      <c r="P22" s="39">
        <f t="shared" si="4"/>
        <v>0</v>
      </c>
      <c r="Q22" s="31"/>
      <c r="R22" s="39">
        <f t="shared" si="5"/>
        <v>0</v>
      </c>
      <c r="S22" s="31"/>
      <c r="T22" s="39">
        <f t="shared" si="6"/>
        <v>0</v>
      </c>
      <c r="U22" s="31"/>
      <c r="V22" s="39">
        <f t="shared" si="7"/>
        <v>0</v>
      </c>
      <c r="W22" s="31"/>
      <c r="X22" s="39">
        <f t="shared" si="8"/>
        <v>0</v>
      </c>
      <c r="Y22" s="31"/>
      <c r="Z22" s="39">
        <f t="shared" si="9"/>
        <v>0</v>
      </c>
      <c r="AA22" s="31"/>
      <c r="AB22" s="39">
        <f t="shared" si="10"/>
        <v>0</v>
      </c>
      <c r="AC22" s="31"/>
      <c r="AD22" s="39">
        <f t="shared" si="11"/>
        <v>0</v>
      </c>
      <c r="AE22" s="31"/>
      <c r="AF22" s="39">
        <f t="shared" si="12"/>
        <v>0</v>
      </c>
      <c r="AG22" s="31"/>
      <c r="AH22" s="39">
        <f t="shared" si="13"/>
        <v>0</v>
      </c>
      <c r="AI22" s="31"/>
      <c r="AJ22" s="39">
        <f t="shared" si="14"/>
        <v>0</v>
      </c>
      <c r="AK22" s="31"/>
      <c r="AL22" s="39">
        <f t="shared" si="15"/>
        <v>0</v>
      </c>
      <c r="AM22" s="31"/>
      <c r="AN22" s="39">
        <f t="shared" si="16"/>
        <v>0</v>
      </c>
      <c r="AO22" s="31"/>
      <c r="AP22" s="39">
        <f t="shared" si="17"/>
        <v>0</v>
      </c>
      <c r="AQ22" s="31"/>
      <c r="AR22" s="39">
        <f t="shared" si="18"/>
        <v>0</v>
      </c>
      <c r="AS22" s="31"/>
      <c r="AT22" s="39">
        <f t="shared" si="19"/>
        <v>0</v>
      </c>
      <c r="AU22" s="31"/>
      <c r="AV22" s="39">
        <f t="shared" si="20"/>
        <v>0</v>
      </c>
      <c r="AW22" s="31"/>
      <c r="AX22" s="39">
        <f t="shared" si="21"/>
        <v>0</v>
      </c>
      <c r="AY22" s="31"/>
      <c r="AZ22" s="39">
        <f t="shared" si="22"/>
        <v>0</v>
      </c>
      <c r="BA22" s="31"/>
      <c r="BB22" s="39">
        <f t="shared" si="23"/>
        <v>0</v>
      </c>
      <c r="BC22" s="31"/>
      <c r="BD22" s="39">
        <f t="shared" si="24"/>
        <v>0</v>
      </c>
      <c r="BE22" s="31"/>
      <c r="BF22" s="39">
        <f t="shared" si="25"/>
        <v>0</v>
      </c>
      <c r="BG22" s="31"/>
      <c r="BH22" s="39">
        <f t="shared" si="26"/>
        <v>0</v>
      </c>
      <c r="BI22" s="31"/>
      <c r="BJ22" s="39">
        <f t="shared" si="27"/>
        <v>0</v>
      </c>
      <c r="BK22" s="31"/>
      <c r="BL22" s="39">
        <f t="shared" si="28"/>
        <v>0</v>
      </c>
      <c r="BM22" s="31"/>
      <c r="BN22" s="39">
        <f t="shared" si="29"/>
        <v>0</v>
      </c>
      <c r="BO22" s="31"/>
      <c r="BP22" s="39">
        <f t="shared" si="30"/>
        <v>0</v>
      </c>
      <c r="BQ22" s="31"/>
      <c r="BR22" s="39">
        <f t="shared" si="31"/>
        <v>0</v>
      </c>
      <c r="BS22" s="31"/>
      <c r="BT22" s="39">
        <f t="shared" si="32"/>
        <v>0</v>
      </c>
      <c r="BU22" s="31"/>
      <c r="BV22" s="39">
        <f t="shared" si="33"/>
        <v>0</v>
      </c>
      <c r="BW22" s="31"/>
      <c r="BX22" s="39">
        <f t="shared" si="34"/>
        <v>0</v>
      </c>
      <c r="BY22" s="31"/>
      <c r="BZ22" s="39">
        <f t="shared" si="35"/>
        <v>0</v>
      </c>
      <c r="CA22" s="31"/>
      <c r="CB22" s="39">
        <f t="shared" si="36"/>
        <v>0</v>
      </c>
      <c r="CC22" s="31"/>
      <c r="CD22" s="39">
        <f t="shared" si="37"/>
        <v>0</v>
      </c>
      <c r="CE22" s="31"/>
      <c r="CF22" s="39">
        <f t="shared" si="38"/>
        <v>0</v>
      </c>
      <c r="CG22" s="31"/>
      <c r="CH22" s="39">
        <f t="shared" si="39"/>
        <v>0</v>
      </c>
      <c r="CI22" s="31"/>
      <c r="CJ22" s="39">
        <f t="shared" si="40"/>
        <v>0</v>
      </c>
      <c r="CK22" s="31"/>
      <c r="CL22" s="39">
        <f t="shared" si="41"/>
        <v>0</v>
      </c>
      <c r="CM22" s="31"/>
      <c r="CN22" s="39">
        <f t="shared" si="42"/>
        <v>0</v>
      </c>
      <c r="CO22" s="31"/>
      <c r="CP22" s="39">
        <f t="shared" si="43"/>
        <v>0</v>
      </c>
      <c r="CQ22" s="31"/>
      <c r="CR22" s="39">
        <f t="shared" si="44"/>
        <v>0</v>
      </c>
      <c r="CS22" s="31"/>
      <c r="CT22" s="39">
        <f t="shared" si="45"/>
        <v>0</v>
      </c>
      <c r="CU22" s="31"/>
      <c r="CV22" s="39">
        <f t="shared" si="46"/>
        <v>0</v>
      </c>
      <c r="CW22" s="31"/>
      <c r="CX22" s="39">
        <f t="shared" si="47"/>
        <v>0</v>
      </c>
      <c r="CY22" s="31"/>
      <c r="CZ22" s="39">
        <f t="shared" si="48"/>
        <v>0</v>
      </c>
      <c r="DA22" s="31"/>
      <c r="DB22" s="39">
        <f t="shared" si="49"/>
        <v>0</v>
      </c>
      <c r="DC22" s="31"/>
      <c r="DD22" s="39">
        <f t="shared" si="50"/>
        <v>0</v>
      </c>
      <c r="DE22" s="31"/>
      <c r="DF22" s="39">
        <f t="shared" si="51"/>
        <v>0</v>
      </c>
      <c r="DG22" s="31"/>
      <c r="DH22" s="39">
        <f t="shared" si="52"/>
        <v>0</v>
      </c>
      <c r="DI22" s="31"/>
      <c r="DJ22" s="39">
        <f t="shared" si="53"/>
        <v>0</v>
      </c>
      <c r="DK22" s="31"/>
      <c r="DL22" s="39">
        <f t="shared" si="54"/>
        <v>0</v>
      </c>
      <c r="DM22" s="31"/>
      <c r="DN22" s="39">
        <f t="shared" si="55"/>
        <v>0</v>
      </c>
      <c r="DO22" s="31"/>
      <c r="DP22" s="39">
        <f t="shared" si="56"/>
        <v>0</v>
      </c>
      <c r="DQ22" s="31"/>
      <c r="DR22" s="39">
        <f t="shared" si="57"/>
        <v>0</v>
      </c>
      <c r="DS22" s="31"/>
      <c r="DT22" s="39">
        <f t="shared" si="58"/>
        <v>0</v>
      </c>
      <c r="DU22" s="31"/>
      <c r="DV22" s="39">
        <f t="shared" si="59"/>
        <v>0</v>
      </c>
      <c r="DW22" s="31"/>
      <c r="DX22" s="39">
        <f t="shared" si="60"/>
        <v>0</v>
      </c>
      <c r="DY22" s="31"/>
      <c r="DZ22" s="39">
        <f t="shared" si="61"/>
        <v>0</v>
      </c>
      <c r="EA22" s="31"/>
      <c r="EB22" s="39">
        <f t="shared" si="62"/>
        <v>0</v>
      </c>
    </row>
    <row r="23" spans="2:133" ht="19.5" customHeight="1" x14ac:dyDescent="0.25">
      <c r="B23" s="53"/>
      <c r="C23" s="73"/>
      <c r="D23" s="54" t="e">
        <f t="shared" si="63"/>
        <v>#DIV/0!</v>
      </c>
      <c r="E23" s="77" t="e">
        <f>C23/'DISTRIBUIÇÃO CUSTO'!C$31</f>
        <v>#DIV/0!</v>
      </c>
      <c r="F23" s="25"/>
      <c r="G23" s="57"/>
      <c r="H23" s="58">
        <f t="shared" si="0"/>
        <v>0</v>
      </c>
      <c r="I23" s="57"/>
      <c r="J23" s="58">
        <f t="shared" si="1"/>
        <v>0</v>
      </c>
      <c r="K23" s="57"/>
      <c r="L23" s="58">
        <f t="shared" si="2"/>
        <v>0</v>
      </c>
      <c r="M23" s="57"/>
      <c r="N23" s="58">
        <f t="shared" si="3"/>
        <v>0</v>
      </c>
      <c r="O23" s="57"/>
      <c r="P23" s="58">
        <f t="shared" si="4"/>
        <v>0</v>
      </c>
      <c r="Q23" s="57"/>
      <c r="R23" s="58">
        <f t="shared" si="5"/>
        <v>0</v>
      </c>
      <c r="S23" s="57"/>
      <c r="T23" s="58">
        <f t="shared" si="6"/>
        <v>0</v>
      </c>
      <c r="U23" s="57"/>
      <c r="V23" s="58">
        <f t="shared" si="7"/>
        <v>0</v>
      </c>
      <c r="W23" s="57"/>
      <c r="X23" s="58">
        <f t="shared" si="8"/>
        <v>0</v>
      </c>
      <c r="Y23" s="57"/>
      <c r="Z23" s="58">
        <f t="shared" si="9"/>
        <v>0</v>
      </c>
      <c r="AA23" s="57"/>
      <c r="AB23" s="58">
        <f t="shared" si="10"/>
        <v>0</v>
      </c>
      <c r="AC23" s="57"/>
      <c r="AD23" s="58">
        <f t="shared" si="11"/>
        <v>0</v>
      </c>
      <c r="AE23" s="57"/>
      <c r="AF23" s="58">
        <f t="shared" si="12"/>
        <v>0</v>
      </c>
      <c r="AG23" s="57"/>
      <c r="AH23" s="58">
        <f t="shared" si="13"/>
        <v>0</v>
      </c>
      <c r="AI23" s="57"/>
      <c r="AJ23" s="58">
        <f t="shared" si="14"/>
        <v>0</v>
      </c>
      <c r="AK23" s="57"/>
      <c r="AL23" s="58">
        <f t="shared" si="15"/>
        <v>0</v>
      </c>
      <c r="AM23" s="57"/>
      <c r="AN23" s="58">
        <f t="shared" si="16"/>
        <v>0</v>
      </c>
      <c r="AO23" s="57"/>
      <c r="AP23" s="58">
        <f t="shared" si="17"/>
        <v>0</v>
      </c>
      <c r="AQ23" s="57"/>
      <c r="AR23" s="58">
        <f t="shared" si="18"/>
        <v>0</v>
      </c>
      <c r="AS23" s="57"/>
      <c r="AT23" s="58">
        <f t="shared" si="19"/>
        <v>0</v>
      </c>
      <c r="AU23" s="57"/>
      <c r="AV23" s="58">
        <f t="shared" si="20"/>
        <v>0</v>
      </c>
      <c r="AW23" s="57"/>
      <c r="AX23" s="58">
        <f t="shared" si="21"/>
        <v>0</v>
      </c>
      <c r="AY23" s="57"/>
      <c r="AZ23" s="58">
        <f t="shared" si="22"/>
        <v>0</v>
      </c>
      <c r="BA23" s="57"/>
      <c r="BB23" s="58">
        <f t="shared" si="23"/>
        <v>0</v>
      </c>
      <c r="BC23" s="57"/>
      <c r="BD23" s="58">
        <f t="shared" si="24"/>
        <v>0</v>
      </c>
      <c r="BE23" s="57"/>
      <c r="BF23" s="58">
        <f t="shared" si="25"/>
        <v>0</v>
      </c>
      <c r="BG23" s="57"/>
      <c r="BH23" s="58">
        <f t="shared" si="26"/>
        <v>0</v>
      </c>
      <c r="BI23" s="57"/>
      <c r="BJ23" s="58">
        <f t="shared" si="27"/>
        <v>0</v>
      </c>
      <c r="BK23" s="57"/>
      <c r="BL23" s="58">
        <f t="shared" si="28"/>
        <v>0</v>
      </c>
      <c r="BM23" s="57"/>
      <c r="BN23" s="58">
        <f t="shared" si="29"/>
        <v>0</v>
      </c>
      <c r="BO23" s="57"/>
      <c r="BP23" s="58">
        <f t="shared" si="30"/>
        <v>0</v>
      </c>
      <c r="BQ23" s="57"/>
      <c r="BR23" s="58">
        <f t="shared" si="31"/>
        <v>0</v>
      </c>
      <c r="BS23" s="57"/>
      <c r="BT23" s="58">
        <f t="shared" si="32"/>
        <v>0</v>
      </c>
      <c r="BU23" s="57"/>
      <c r="BV23" s="58">
        <f t="shared" si="33"/>
        <v>0</v>
      </c>
      <c r="BW23" s="57"/>
      <c r="BX23" s="58">
        <f t="shared" si="34"/>
        <v>0</v>
      </c>
      <c r="BY23" s="57"/>
      <c r="BZ23" s="58">
        <f t="shared" si="35"/>
        <v>0</v>
      </c>
      <c r="CA23" s="57"/>
      <c r="CB23" s="58">
        <f t="shared" si="36"/>
        <v>0</v>
      </c>
      <c r="CC23" s="57"/>
      <c r="CD23" s="58">
        <f t="shared" si="37"/>
        <v>0</v>
      </c>
      <c r="CE23" s="57"/>
      <c r="CF23" s="58">
        <f t="shared" si="38"/>
        <v>0</v>
      </c>
      <c r="CG23" s="57"/>
      <c r="CH23" s="58">
        <f t="shared" si="39"/>
        <v>0</v>
      </c>
      <c r="CI23" s="57"/>
      <c r="CJ23" s="58">
        <f t="shared" si="40"/>
        <v>0</v>
      </c>
      <c r="CK23" s="57"/>
      <c r="CL23" s="58">
        <f t="shared" si="41"/>
        <v>0</v>
      </c>
      <c r="CM23" s="57"/>
      <c r="CN23" s="58">
        <f t="shared" si="42"/>
        <v>0</v>
      </c>
      <c r="CO23" s="57"/>
      <c r="CP23" s="58">
        <f t="shared" si="43"/>
        <v>0</v>
      </c>
      <c r="CQ23" s="57"/>
      <c r="CR23" s="58">
        <f t="shared" si="44"/>
        <v>0</v>
      </c>
      <c r="CS23" s="57"/>
      <c r="CT23" s="58">
        <f t="shared" si="45"/>
        <v>0</v>
      </c>
      <c r="CU23" s="57"/>
      <c r="CV23" s="58">
        <f t="shared" si="46"/>
        <v>0</v>
      </c>
      <c r="CW23" s="57"/>
      <c r="CX23" s="58">
        <f t="shared" si="47"/>
        <v>0</v>
      </c>
      <c r="CY23" s="57"/>
      <c r="CZ23" s="58">
        <f t="shared" si="48"/>
        <v>0</v>
      </c>
      <c r="DA23" s="57"/>
      <c r="DB23" s="58">
        <f t="shared" si="49"/>
        <v>0</v>
      </c>
      <c r="DC23" s="57"/>
      <c r="DD23" s="58">
        <f t="shared" si="50"/>
        <v>0</v>
      </c>
      <c r="DE23" s="57"/>
      <c r="DF23" s="58">
        <f t="shared" si="51"/>
        <v>0</v>
      </c>
      <c r="DG23" s="57"/>
      <c r="DH23" s="58">
        <f t="shared" si="52"/>
        <v>0</v>
      </c>
      <c r="DI23" s="57"/>
      <c r="DJ23" s="58">
        <f t="shared" si="53"/>
        <v>0</v>
      </c>
      <c r="DK23" s="57"/>
      <c r="DL23" s="58">
        <f t="shared" si="54"/>
        <v>0</v>
      </c>
      <c r="DM23" s="57"/>
      <c r="DN23" s="58">
        <f t="shared" si="55"/>
        <v>0</v>
      </c>
      <c r="DO23" s="57"/>
      <c r="DP23" s="58">
        <f t="shared" si="56"/>
        <v>0</v>
      </c>
      <c r="DQ23" s="57"/>
      <c r="DR23" s="58">
        <f t="shared" si="57"/>
        <v>0</v>
      </c>
      <c r="DS23" s="57"/>
      <c r="DT23" s="58">
        <f t="shared" si="58"/>
        <v>0</v>
      </c>
      <c r="DU23" s="57"/>
      <c r="DV23" s="58">
        <f t="shared" si="59"/>
        <v>0</v>
      </c>
      <c r="DW23" s="57"/>
      <c r="DX23" s="58">
        <f t="shared" si="60"/>
        <v>0</v>
      </c>
      <c r="DY23" s="57"/>
      <c r="DZ23" s="58">
        <f t="shared" si="61"/>
        <v>0</v>
      </c>
      <c r="EA23" s="57"/>
      <c r="EB23" s="58">
        <f t="shared" si="62"/>
        <v>0</v>
      </c>
    </row>
    <row r="24" spans="2:133" ht="19.5" customHeight="1" x14ac:dyDescent="0.25">
      <c r="B24" s="49"/>
      <c r="C24" s="74"/>
      <c r="D24" s="33" t="e">
        <f t="shared" si="63"/>
        <v>#DIV/0!</v>
      </c>
      <c r="E24" s="78" t="e">
        <f>C24/'DISTRIBUIÇÃO CUSTO'!C$31</f>
        <v>#DIV/0!</v>
      </c>
      <c r="F24" s="25"/>
      <c r="G24" s="31"/>
      <c r="H24" s="39">
        <f t="shared" si="0"/>
        <v>0</v>
      </c>
      <c r="I24" s="31"/>
      <c r="J24" s="39">
        <f t="shared" si="1"/>
        <v>0</v>
      </c>
      <c r="K24" s="31"/>
      <c r="L24" s="39">
        <f t="shared" si="2"/>
        <v>0</v>
      </c>
      <c r="M24" s="31"/>
      <c r="N24" s="39">
        <f t="shared" si="3"/>
        <v>0</v>
      </c>
      <c r="O24" s="31"/>
      <c r="P24" s="39">
        <f t="shared" si="4"/>
        <v>0</v>
      </c>
      <c r="Q24" s="31"/>
      <c r="R24" s="39">
        <f t="shared" si="5"/>
        <v>0</v>
      </c>
      <c r="S24" s="31"/>
      <c r="T24" s="39">
        <f t="shared" si="6"/>
        <v>0</v>
      </c>
      <c r="U24" s="31"/>
      <c r="V24" s="39">
        <f t="shared" si="7"/>
        <v>0</v>
      </c>
      <c r="W24" s="31"/>
      <c r="X24" s="39">
        <f t="shared" si="8"/>
        <v>0</v>
      </c>
      <c r="Y24" s="31"/>
      <c r="Z24" s="39">
        <f t="shared" si="9"/>
        <v>0</v>
      </c>
      <c r="AA24" s="31"/>
      <c r="AB24" s="39">
        <f t="shared" si="10"/>
        <v>0</v>
      </c>
      <c r="AC24" s="31"/>
      <c r="AD24" s="39">
        <f t="shared" si="11"/>
        <v>0</v>
      </c>
      <c r="AE24" s="31"/>
      <c r="AF24" s="39">
        <f t="shared" si="12"/>
        <v>0</v>
      </c>
      <c r="AG24" s="31"/>
      <c r="AH24" s="39">
        <f t="shared" si="13"/>
        <v>0</v>
      </c>
      <c r="AI24" s="31"/>
      <c r="AJ24" s="39">
        <f t="shared" si="14"/>
        <v>0</v>
      </c>
      <c r="AK24" s="31"/>
      <c r="AL24" s="39">
        <f t="shared" si="15"/>
        <v>0</v>
      </c>
      <c r="AM24" s="31"/>
      <c r="AN24" s="39">
        <f t="shared" si="16"/>
        <v>0</v>
      </c>
      <c r="AO24" s="31"/>
      <c r="AP24" s="39">
        <f t="shared" si="17"/>
        <v>0</v>
      </c>
      <c r="AQ24" s="31"/>
      <c r="AR24" s="39">
        <f t="shared" si="18"/>
        <v>0</v>
      </c>
      <c r="AS24" s="31"/>
      <c r="AT24" s="39">
        <f t="shared" si="19"/>
        <v>0</v>
      </c>
      <c r="AU24" s="31"/>
      <c r="AV24" s="39">
        <f t="shared" si="20"/>
        <v>0</v>
      </c>
      <c r="AW24" s="31"/>
      <c r="AX24" s="39">
        <f t="shared" si="21"/>
        <v>0</v>
      </c>
      <c r="AY24" s="31"/>
      <c r="AZ24" s="39">
        <f t="shared" si="22"/>
        <v>0</v>
      </c>
      <c r="BA24" s="31"/>
      <c r="BB24" s="39">
        <f t="shared" si="23"/>
        <v>0</v>
      </c>
      <c r="BC24" s="31"/>
      <c r="BD24" s="39">
        <f t="shared" si="24"/>
        <v>0</v>
      </c>
      <c r="BE24" s="31"/>
      <c r="BF24" s="39">
        <f t="shared" si="25"/>
        <v>0</v>
      </c>
      <c r="BG24" s="31"/>
      <c r="BH24" s="39">
        <f t="shared" si="26"/>
        <v>0</v>
      </c>
      <c r="BI24" s="31"/>
      <c r="BJ24" s="39">
        <f t="shared" si="27"/>
        <v>0</v>
      </c>
      <c r="BK24" s="31"/>
      <c r="BL24" s="39">
        <f t="shared" si="28"/>
        <v>0</v>
      </c>
      <c r="BM24" s="31"/>
      <c r="BN24" s="39">
        <f t="shared" si="29"/>
        <v>0</v>
      </c>
      <c r="BO24" s="31"/>
      <c r="BP24" s="39">
        <f t="shared" si="30"/>
        <v>0</v>
      </c>
      <c r="BQ24" s="31"/>
      <c r="BR24" s="39">
        <f t="shared" si="31"/>
        <v>0</v>
      </c>
      <c r="BS24" s="31"/>
      <c r="BT24" s="39">
        <f t="shared" si="32"/>
        <v>0</v>
      </c>
      <c r="BU24" s="31"/>
      <c r="BV24" s="39">
        <f t="shared" si="33"/>
        <v>0</v>
      </c>
      <c r="BW24" s="31"/>
      <c r="BX24" s="39">
        <f t="shared" si="34"/>
        <v>0</v>
      </c>
      <c r="BY24" s="31"/>
      <c r="BZ24" s="39">
        <f t="shared" si="35"/>
        <v>0</v>
      </c>
      <c r="CA24" s="31"/>
      <c r="CB24" s="39">
        <f t="shared" si="36"/>
        <v>0</v>
      </c>
      <c r="CC24" s="31"/>
      <c r="CD24" s="39">
        <f t="shared" si="37"/>
        <v>0</v>
      </c>
      <c r="CE24" s="31"/>
      <c r="CF24" s="39">
        <f t="shared" si="38"/>
        <v>0</v>
      </c>
      <c r="CG24" s="31"/>
      <c r="CH24" s="39">
        <f t="shared" si="39"/>
        <v>0</v>
      </c>
      <c r="CI24" s="31"/>
      <c r="CJ24" s="39">
        <f t="shared" si="40"/>
        <v>0</v>
      </c>
      <c r="CK24" s="31"/>
      <c r="CL24" s="39">
        <f t="shared" si="41"/>
        <v>0</v>
      </c>
      <c r="CM24" s="31"/>
      <c r="CN24" s="39">
        <f t="shared" si="42"/>
        <v>0</v>
      </c>
      <c r="CO24" s="31"/>
      <c r="CP24" s="39">
        <f t="shared" si="43"/>
        <v>0</v>
      </c>
      <c r="CQ24" s="31"/>
      <c r="CR24" s="39">
        <f t="shared" si="44"/>
        <v>0</v>
      </c>
      <c r="CS24" s="31"/>
      <c r="CT24" s="39">
        <f t="shared" si="45"/>
        <v>0</v>
      </c>
      <c r="CU24" s="31"/>
      <c r="CV24" s="39">
        <f t="shared" si="46"/>
        <v>0</v>
      </c>
      <c r="CW24" s="31"/>
      <c r="CX24" s="39">
        <f t="shared" si="47"/>
        <v>0</v>
      </c>
      <c r="CY24" s="31"/>
      <c r="CZ24" s="39">
        <f t="shared" si="48"/>
        <v>0</v>
      </c>
      <c r="DA24" s="31"/>
      <c r="DB24" s="39">
        <f t="shared" si="49"/>
        <v>0</v>
      </c>
      <c r="DC24" s="31"/>
      <c r="DD24" s="39">
        <f t="shared" si="50"/>
        <v>0</v>
      </c>
      <c r="DE24" s="31"/>
      <c r="DF24" s="39">
        <f t="shared" si="51"/>
        <v>0</v>
      </c>
      <c r="DG24" s="31"/>
      <c r="DH24" s="39">
        <f t="shared" si="52"/>
        <v>0</v>
      </c>
      <c r="DI24" s="31"/>
      <c r="DJ24" s="39">
        <f t="shared" si="53"/>
        <v>0</v>
      </c>
      <c r="DK24" s="31"/>
      <c r="DL24" s="39">
        <f t="shared" si="54"/>
        <v>0</v>
      </c>
      <c r="DM24" s="31"/>
      <c r="DN24" s="39">
        <f t="shared" si="55"/>
        <v>0</v>
      </c>
      <c r="DO24" s="31"/>
      <c r="DP24" s="39">
        <f t="shared" si="56"/>
        <v>0</v>
      </c>
      <c r="DQ24" s="31"/>
      <c r="DR24" s="39">
        <f t="shared" si="57"/>
        <v>0</v>
      </c>
      <c r="DS24" s="31"/>
      <c r="DT24" s="39">
        <f t="shared" si="58"/>
        <v>0</v>
      </c>
      <c r="DU24" s="31"/>
      <c r="DV24" s="39">
        <f t="shared" si="59"/>
        <v>0</v>
      </c>
      <c r="DW24" s="31"/>
      <c r="DX24" s="39">
        <f t="shared" si="60"/>
        <v>0</v>
      </c>
      <c r="DY24" s="31"/>
      <c r="DZ24" s="39">
        <f t="shared" si="61"/>
        <v>0</v>
      </c>
      <c r="EA24" s="31"/>
      <c r="EB24" s="39">
        <f t="shared" si="62"/>
        <v>0</v>
      </c>
    </row>
    <row r="25" spans="2:133" ht="19.5" customHeight="1" thickBot="1" x14ac:dyDescent="0.3">
      <c r="B25" s="53"/>
      <c r="C25" s="73"/>
      <c r="D25" s="54" t="e">
        <f t="shared" si="63"/>
        <v>#DIV/0!</v>
      </c>
      <c r="E25" s="77" t="e">
        <f>C25/'DISTRIBUIÇÃO CUSTO'!C$31</f>
        <v>#DIV/0!</v>
      </c>
      <c r="F25" s="25"/>
      <c r="G25" s="57" t="e">
        <f>100%/$E$31</f>
        <v>#DIV/0!</v>
      </c>
      <c r="H25" s="58" t="e">
        <f t="shared" si="0"/>
        <v>#DIV/0!</v>
      </c>
      <c r="I25" s="59" t="e">
        <f>100%/$E$31</f>
        <v>#DIV/0!</v>
      </c>
      <c r="J25" s="58" t="e">
        <f t="shared" ref="J9:J25" si="64">$C25*I25</f>
        <v>#DIV/0!</v>
      </c>
      <c r="K25" s="59" t="e">
        <f>100%/$E$31</f>
        <v>#DIV/0!</v>
      </c>
      <c r="L25" s="58" t="e">
        <f t="shared" ref="L9:L25" si="65">$C25*K25</f>
        <v>#DIV/0!</v>
      </c>
      <c r="M25" s="59" t="e">
        <f>100%/$E$31</f>
        <v>#DIV/0!</v>
      </c>
      <c r="N25" s="58" t="e">
        <f t="shared" ref="N9:N25" si="66">$C25*M25</f>
        <v>#DIV/0!</v>
      </c>
      <c r="O25" s="59" t="e">
        <f>100%/$E$31</f>
        <v>#DIV/0!</v>
      </c>
      <c r="P25" s="58" t="e">
        <f t="shared" ref="P9:P25" si="67">$C25*O25</f>
        <v>#DIV/0!</v>
      </c>
      <c r="Q25" s="59" t="e">
        <f>100%/$E$31</f>
        <v>#DIV/0!</v>
      </c>
      <c r="R25" s="58" t="e">
        <f t="shared" ref="R9:R25" si="68">$C25*Q25</f>
        <v>#DIV/0!</v>
      </c>
      <c r="S25" s="59" t="e">
        <f>100%/$E$31</f>
        <v>#DIV/0!</v>
      </c>
      <c r="T25" s="58" t="e">
        <f t="shared" ref="T9:T25" si="69">$C25*S25</f>
        <v>#DIV/0!</v>
      </c>
      <c r="U25" s="59" t="e">
        <f>100%/$E$31</f>
        <v>#DIV/0!</v>
      </c>
      <c r="V25" s="58" t="e">
        <f t="shared" ref="V9:V25" si="70">$C25*U25</f>
        <v>#DIV/0!</v>
      </c>
      <c r="W25" s="59" t="e">
        <f>100%/$E$31</f>
        <v>#DIV/0!</v>
      </c>
      <c r="X25" s="58" t="e">
        <f t="shared" ref="X9:X25" si="71">$C25*W25</f>
        <v>#DIV/0!</v>
      </c>
      <c r="Y25" s="59" t="e">
        <f>100%/$E$31</f>
        <v>#DIV/0!</v>
      </c>
      <c r="Z25" s="58" t="e">
        <f t="shared" ref="Z9:Z25" si="72">$C25*Y25</f>
        <v>#DIV/0!</v>
      </c>
      <c r="AA25" s="59" t="e">
        <f>100%/$E$31</f>
        <v>#DIV/0!</v>
      </c>
      <c r="AB25" s="58" t="e">
        <f t="shared" ref="AB9:AB25" si="73">$C25*AA25</f>
        <v>#DIV/0!</v>
      </c>
      <c r="AC25" s="59" t="e">
        <f>100%/$E$31</f>
        <v>#DIV/0!</v>
      </c>
      <c r="AD25" s="58" t="e">
        <f t="shared" ref="AD9:AD25" si="74">$C25*AC25</f>
        <v>#DIV/0!</v>
      </c>
      <c r="AE25" s="59" t="e">
        <f>100%/$E$31</f>
        <v>#DIV/0!</v>
      </c>
      <c r="AF25" s="58" t="e">
        <f t="shared" ref="AF9:AF25" si="75">$C25*AE25</f>
        <v>#DIV/0!</v>
      </c>
      <c r="AG25" s="59" t="e">
        <f>100%/$E$31</f>
        <v>#DIV/0!</v>
      </c>
      <c r="AH25" s="58" t="e">
        <f t="shared" ref="AH9:AH25" si="76">$C25*AG25</f>
        <v>#DIV/0!</v>
      </c>
      <c r="AI25" s="59" t="e">
        <f>100%/$E$31</f>
        <v>#DIV/0!</v>
      </c>
      <c r="AJ25" s="58" t="e">
        <f t="shared" ref="AJ9:AJ25" si="77">$C25*AI25</f>
        <v>#DIV/0!</v>
      </c>
      <c r="AK25" s="59" t="e">
        <f>100%/$E$31</f>
        <v>#DIV/0!</v>
      </c>
      <c r="AL25" s="58" t="e">
        <f t="shared" ref="AL9:AL25" si="78">$C25*AK25</f>
        <v>#DIV/0!</v>
      </c>
      <c r="AM25" s="59" t="e">
        <f>100%/$E$31</f>
        <v>#DIV/0!</v>
      </c>
      <c r="AN25" s="58" t="e">
        <f t="shared" ref="AN9:AN25" si="79">$C25*AM25</f>
        <v>#DIV/0!</v>
      </c>
      <c r="AO25" s="59" t="e">
        <f>100%/$E$31</f>
        <v>#DIV/0!</v>
      </c>
      <c r="AP25" s="58" t="e">
        <f t="shared" ref="AP9:AP25" si="80">$C25*AO25</f>
        <v>#DIV/0!</v>
      </c>
      <c r="AQ25" s="59" t="e">
        <f>100%/$E$31</f>
        <v>#DIV/0!</v>
      </c>
      <c r="AR25" s="58" t="e">
        <f t="shared" ref="AR9:AR25" si="81">$C25*AQ25</f>
        <v>#DIV/0!</v>
      </c>
      <c r="AS25" s="59" t="e">
        <f>100%/$E$31</f>
        <v>#DIV/0!</v>
      </c>
      <c r="AT25" s="58" t="e">
        <f t="shared" ref="AT9:AT25" si="82">$C25*AS25</f>
        <v>#DIV/0!</v>
      </c>
      <c r="AU25" s="59" t="e">
        <f>100%/$E$31</f>
        <v>#DIV/0!</v>
      </c>
      <c r="AV25" s="58" t="e">
        <f t="shared" ref="AV9:AV25" si="83">$C25*AU25</f>
        <v>#DIV/0!</v>
      </c>
      <c r="AW25" s="59" t="e">
        <f>100%/$E$31</f>
        <v>#DIV/0!</v>
      </c>
      <c r="AX25" s="58" t="e">
        <f t="shared" ref="AX9:AX25" si="84">$C25*AW25</f>
        <v>#DIV/0!</v>
      </c>
      <c r="AY25" s="59" t="e">
        <f>100%/$E$31</f>
        <v>#DIV/0!</v>
      </c>
      <c r="AZ25" s="58" t="e">
        <f t="shared" ref="AZ9:AZ25" si="85">$C25*AY25</f>
        <v>#DIV/0!</v>
      </c>
      <c r="BA25" s="59" t="e">
        <f>100%/$E$31</f>
        <v>#DIV/0!</v>
      </c>
      <c r="BB25" s="58" t="e">
        <f t="shared" ref="BB9:BB25" si="86">$C25*BA25</f>
        <v>#DIV/0!</v>
      </c>
      <c r="BC25" s="59" t="e">
        <f>100%/$E$31</f>
        <v>#DIV/0!</v>
      </c>
      <c r="BD25" s="58" t="e">
        <f t="shared" ref="BD9:BD25" si="87">$C25*BC25</f>
        <v>#DIV/0!</v>
      </c>
      <c r="BE25" s="59" t="e">
        <f>100%/$E$31</f>
        <v>#DIV/0!</v>
      </c>
      <c r="BF25" s="58" t="e">
        <f t="shared" ref="BF9:BF25" si="88">$C25*BE25</f>
        <v>#DIV/0!</v>
      </c>
      <c r="BG25" s="59" t="e">
        <f>100%/$E$31</f>
        <v>#DIV/0!</v>
      </c>
      <c r="BH25" s="58" t="e">
        <f t="shared" ref="BH9:BH25" si="89">$C25*BG25</f>
        <v>#DIV/0!</v>
      </c>
      <c r="BI25" s="59" t="e">
        <f>100%/$E$31</f>
        <v>#DIV/0!</v>
      </c>
      <c r="BJ25" s="58" t="e">
        <f t="shared" ref="BJ9:BJ25" si="90">$C25*BI25</f>
        <v>#DIV/0!</v>
      </c>
      <c r="BK25" s="59" t="e">
        <f>100%/$E$31</f>
        <v>#DIV/0!</v>
      </c>
      <c r="BL25" s="58" t="e">
        <f t="shared" ref="BL9:BL25" si="91">$C25*BK25</f>
        <v>#DIV/0!</v>
      </c>
      <c r="BM25" s="59" t="e">
        <f>100%/$E$31</f>
        <v>#DIV/0!</v>
      </c>
      <c r="BN25" s="58" t="e">
        <f t="shared" ref="BN9:BN25" si="92">$C25*BM25</f>
        <v>#DIV/0!</v>
      </c>
      <c r="BO25" s="59" t="e">
        <f>100%/$E$31</f>
        <v>#DIV/0!</v>
      </c>
      <c r="BP25" s="58" t="e">
        <f t="shared" ref="BP9:BP25" si="93">$C25*BO25</f>
        <v>#DIV/0!</v>
      </c>
      <c r="BQ25" s="59" t="e">
        <f>100%/$E$31</f>
        <v>#DIV/0!</v>
      </c>
      <c r="BR25" s="58" t="e">
        <f t="shared" ref="BR9:BR25" si="94">$C25*BQ25</f>
        <v>#DIV/0!</v>
      </c>
      <c r="BS25" s="59" t="e">
        <f>100%/$E$31</f>
        <v>#DIV/0!</v>
      </c>
      <c r="BT25" s="58" t="e">
        <f t="shared" ref="BT9:BT25" si="95">$C25*BS25</f>
        <v>#DIV/0!</v>
      </c>
      <c r="BU25" s="59" t="e">
        <f>100%/$E$31</f>
        <v>#DIV/0!</v>
      </c>
      <c r="BV25" s="58" t="e">
        <f t="shared" ref="BV9:BV25" si="96">$C25*BU25</f>
        <v>#DIV/0!</v>
      </c>
      <c r="BW25" s="59" t="e">
        <f>100%/$E$31</f>
        <v>#DIV/0!</v>
      </c>
      <c r="BX25" s="58" t="e">
        <f t="shared" ref="BX9:BX25" si="97">$C25*BW25</f>
        <v>#DIV/0!</v>
      </c>
      <c r="BY25" s="59" t="e">
        <f>100%/$E$31</f>
        <v>#DIV/0!</v>
      </c>
      <c r="BZ25" s="58" t="e">
        <f t="shared" ref="BZ9:BZ25" si="98">$C25*BY25</f>
        <v>#DIV/0!</v>
      </c>
      <c r="CA25" s="59" t="e">
        <f>100%/$E$31</f>
        <v>#DIV/0!</v>
      </c>
      <c r="CB25" s="58" t="e">
        <f t="shared" ref="CB9:CB25" si="99">$C25*CA25</f>
        <v>#DIV/0!</v>
      </c>
      <c r="CC25" s="59" t="e">
        <f>100%/$E$31</f>
        <v>#DIV/0!</v>
      </c>
      <c r="CD25" s="58" t="e">
        <f t="shared" ref="CD9:CD25" si="100">$C25*CC25</f>
        <v>#DIV/0!</v>
      </c>
      <c r="CE25" s="59" t="e">
        <f>100%/$E$31</f>
        <v>#DIV/0!</v>
      </c>
      <c r="CF25" s="58" t="e">
        <f t="shared" ref="CF9:CF25" si="101">$C25*CE25</f>
        <v>#DIV/0!</v>
      </c>
      <c r="CG25" s="59" t="e">
        <f>100%/$E$31</f>
        <v>#DIV/0!</v>
      </c>
      <c r="CH25" s="60" t="e">
        <f t="shared" ref="CH9:CH25" si="102">$C25*CG25</f>
        <v>#DIV/0!</v>
      </c>
      <c r="CI25" s="59" t="e">
        <f>100%/$E$31</f>
        <v>#DIV/0!</v>
      </c>
      <c r="CJ25" s="60" t="e">
        <f t="shared" ref="CJ9:CJ25" si="103">$C25*CI25</f>
        <v>#DIV/0!</v>
      </c>
      <c r="CK25" s="59" t="e">
        <f>100%/$E$31</f>
        <v>#DIV/0!</v>
      </c>
      <c r="CL25" s="60" t="e">
        <f t="shared" ref="CL9:CL25" si="104">$C25*CK25</f>
        <v>#DIV/0!</v>
      </c>
      <c r="CM25" s="59" t="e">
        <f>100%/$E$31</f>
        <v>#DIV/0!</v>
      </c>
      <c r="CN25" s="60" t="e">
        <f t="shared" ref="CN9:CN25" si="105">$C25*CM25</f>
        <v>#DIV/0!</v>
      </c>
      <c r="CO25" s="59" t="e">
        <f>100%/$E$31</f>
        <v>#DIV/0!</v>
      </c>
      <c r="CP25" s="60" t="e">
        <f t="shared" ref="CP9:CP25" si="106">$C25*CO25</f>
        <v>#DIV/0!</v>
      </c>
      <c r="CQ25" s="59" t="e">
        <f>100%/$E$31</f>
        <v>#DIV/0!</v>
      </c>
      <c r="CR25" s="60" t="e">
        <f t="shared" ref="CR9:CR25" si="107">$C25*CQ25</f>
        <v>#DIV/0!</v>
      </c>
      <c r="CS25" s="59" t="e">
        <f>100%/$E$31</f>
        <v>#DIV/0!</v>
      </c>
      <c r="CT25" s="60" t="e">
        <f t="shared" ref="CT9:CT25" si="108">$C25*CS25</f>
        <v>#DIV/0!</v>
      </c>
      <c r="CU25" s="59" t="e">
        <f>100%/$E$31</f>
        <v>#DIV/0!</v>
      </c>
      <c r="CV25" s="60" t="e">
        <f t="shared" ref="CV9:CV25" si="109">$C25*CU25</f>
        <v>#DIV/0!</v>
      </c>
      <c r="CW25" s="59" t="e">
        <f>100%/$E$31</f>
        <v>#DIV/0!</v>
      </c>
      <c r="CX25" s="60" t="e">
        <f t="shared" ref="CX9:CX25" si="110">$C25*CW25</f>
        <v>#DIV/0!</v>
      </c>
      <c r="CY25" s="59" t="e">
        <f>100%/$E$31</f>
        <v>#DIV/0!</v>
      </c>
      <c r="CZ25" s="60" t="e">
        <f t="shared" ref="CZ9:CZ25" si="111">$C25*CY25</f>
        <v>#DIV/0!</v>
      </c>
      <c r="DA25" s="59" t="e">
        <f>100%/$E$31</f>
        <v>#DIV/0!</v>
      </c>
      <c r="DB25" s="60" t="e">
        <f t="shared" ref="DB9:DB25" si="112">$C25*DA25</f>
        <v>#DIV/0!</v>
      </c>
      <c r="DC25" s="59" t="e">
        <f>100%/$E$31</f>
        <v>#DIV/0!</v>
      </c>
      <c r="DD25" s="60" t="e">
        <f t="shared" ref="DD9:DD25" si="113">$C25*DC25</f>
        <v>#DIV/0!</v>
      </c>
      <c r="DE25" s="59" t="e">
        <f>100%/$E$31</f>
        <v>#DIV/0!</v>
      </c>
      <c r="DF25" s="60" t="e">
        <f t="shared" ref="DF9:DF25" si="114">$C25*DE25</f>
        <v>#DIV/0!</v>
      </c>
      <c r="DG25" s="59" t="e">
        <f>100%/$E$31</f>
        <v>#DIV/0!</v>
      </c>
      <c r="DH25" s="60" t="e">
        <f t="shared" ref="DH9:DH25" si="115">$C25*DG25</f>
        <v>#DIV/0!</v>
      </c>
      <c r="DI25" s="59" t="e">
        <f>100%/$E$31</f>
        <v>#DIV/0!</v>
      </c>
      <c r="DJ25" s="60" t="e">
        <f t="shared" ref="DJ9:DJ25" si="116">$C25*DI25</f>
        <v>#DIV/0!</v>
      </c>
      <c r="DK25" s="59" t="e">
        <f>100%/$E$31</f>
        <v>#DIV/0!</v>
      </c>
      <c r="DL25" s="60" t="e">
        <f t="shared" ref="DL9:DL25" si="117">$C25*DK25</f>
        <v>#DIV/0!</v>
      </c>
      <c r="DM25" s="59" t="e">
        <f>100%/$E$31</f>
        <v>#DIV/0!</v>
      </c>
      <c r="DN25" s="60" t="e">
        <f t="shared" ref="DN9:DN25" si="118">$C25*DM25</f>
        <v>#DIV/0!</v>
      </c>
      <c r="DO25" s="59" t="e">
        <f>100%/$E$31</f>
        <v>#DIV/0!</v>
      </c>
      <c r="DP25" s="60" t="e">
        <f t="shared" ref="DP9:DP25" si="119">$C25*DO25</f>
        <v>#DIV/0!</v>
      </c>
      <c r="DQ25" s="59" t="e">
        <f>100%/$E$31</f>
        <v>#DIV/0!</v>
      </c>
      <c r="DR25" s="60" t="e">
        <f t="shared" ref="DR9:DR25" si="120">$C25*DQ25</f>
        <v>#DIV/0!</v>
      </c>
      <c r="DS25" s="59" t="e">
        <f>100%/$E$31</f>
        <v>#DIV/0!</v>
      </c>
      <c r="DT25" s="60" t="e">
        <f t="shared" ref="DT9:DT25" si="121">$C25*DS25</f>
        <v>#DIV/0!</v>
      </c>
      <c r="DU25" s="59" t="e">
        <f>100%/$E$31</f>
        <v>#DIV/0!</v>
      </c>
      <c r="DV25" s="60" t="e">
        <f t="shared" ref="DV9:DV25" si="122">$C25*DU25</f>
        <v>#DIV/0!</v>
      </c>
      <c r="DW25" s="59" t="e">
        <f>100%/$E$31</f>
        <v>#DIV/0!</v>
      </c>
      <c r="DX25" s="60" t="e">
        <f t="shared" ref="DX9:DX25" si="123">$C25*DW25</f>
        <v>#DIV/0!</v>
      </c>
      <c r="DY25" s="59" t="e">
        <f>100%/$E$31</f>
        <v>#DIV/0!</v>
      </c>
      <c r="DZ25" s="60" t="e">
        <f t="shared" ref="DZ9:DZ25" si="124">$C25*DY25</f>
        <v>#DIV/0!</v>
      </c>
      <c r="EA25" s="59" t="e">
        <f>100%/$E$31</f>
        <v>#DIV/0!</v>
      </c>
      <c r="EB25" s="60" t="e">
        <f t="shared" ref="EB9:EB25" si="125">$C25*EA25</f>
        <v>#DIV/0!</v>
      </c>
    </row>
    <row r="26" spans="2:133" ht="19.5" customHeight="1" x14ac:dyDescent="0.25">
      <c r="B26" s="47" t="s">
        <v>68</v>
      </c>
      <c r="C26" s="34">
        <f>SUM(C9:C25)</f>
        <v>0</v>
      </c>
      <c r="D26" s="35" t="e">
        <f t="shared" ref="D26" si="126">SUM(D9:D25)</f>
        <v>#DIV/0!</v>
      </c>
      <c r="E26" s="50" t="e">
        <f>SUM(E9:E25)</f>
        <v>#DIV/0!</v>
      </c>
      <c r="F26" s="27"/>
      <c r="G26" s="29"/>
      <c r="H26" s="40" t="e">
        <f>SUM(H9:H25)</f>
        <v>#DIV/0!</v>
      </c>
      <c r="I26" s="38"/>
      <c r="J26" s="40" t="e">
        <f>SUM(J9:J25)</f>
        <v>#DIV/0!</v>
      </c>
      <c r="K26" s="38"/>
      <c r="L26" s="40" t="e">
        <f>SUM(L9:L25)</f>
        <v>#DIV/0!</v>
      </c>
      <c r="M26" s="38"/>
      <c r="N26" s="40" t="e">
        <f>SUM(N9:N25)</f>
        <v>#DIV/0!</v>
      </c>
      <c r="O26" s="38"/>
      <c r="P26" s="40" t="e">
        <f>SUM(P9:P25)</f>
        <v>#DIV/0!</v>
      </c>
      <c r="Q26" s="38"/>
      <c r="R26" s="40" t="e">
        <f>SUM(R9:R25)</f>
        <v>#DIV/0!</v>
      </c>
      <c r="S26" s="38"/>
      <c r="T26" s="40" t="e">
        <f>SUM(T9:T25)</f>
        <v>#DIV/0!</v>
      </c>
      <c r="U26" s="38"/>
      <c r="V26" s="40" t="e">
        <f>SUM(V9:V25)</f>
        <v>#DIV/0!</v>
      </c>
      <c r="W26" s="38"/>
      <c r="X26" s="40" t="e">
        <f>SUM(X9:X25)</f>
        <v>#DIV/0!</v>
      </c>
      <c r="Y26" s="38"/>
      <c r="Z26" s="40" t="e">
        <f>SUM(Z9:Z25)</f>
        <v>#DIV/0!</v>
      </c>
      <c r="AA26" s="38"/>
      <c r="AB26" s="40" t="e">
        <f>SUM(AB9:AB25)</f>
        <v>#DIV/0!</v>
      </c>
      <c r="AC26" s="38"/>
      <c r="AD26" s="40" t="e">
        <f>SUM(AD9:AD25)</f>
        <v>#DIV/0!</v>
      </c>
      <c r="AE26" s="38"/>
      <c r="AF26" s="40" t="e">
        <f>SUM(AF9:AF25)</f>
        <v>#DIV/0!</v>
      </c>
      <c r="AG26" s="38"/>
      <c r="AH26" s="40" t="e">
        <f>SUM(AH9:AH25)</f>
        <v>#DIV/0!</v>
      </c>
      <c r="AI26" s="38"/>
      <c r="AJ26" s="40" t="e">
        <f>SUM(AJ9:AJ25)</f>
        <v>#DIV/0!</v>
      </c>
      <c r="AK26" s="38"/>
      <c r="AL26" s="40" t="e">
        <f>SUM(AL9:AL25)</f>
        <v>#DIV/0!</v>
      </c>
      <c r="AM26" s="38"/>
      <c r="AN26" s="40" t="e">
        <f>SUM(AN9:AN25)</f>
        <v>#DIV/0!</v>
      </c>
      <c r="AO26" s="38"/>
      <c r="AP26" s="40" t="e">
        <f>SUM(AP9:AP25)</f>
        <v>#DIV/0!</v>
      </c>
      <c r="AQ26" s="38"/>
      <c r="AR26" s="40" t="e">
        <f>SUM(AR9:AR25)</f>
        <v>#DIV/0!</v>
      </c>
      <c r="AS26" s="38"/>
      <c r="AT26" s="40" t="e">
        <f>SUM(AT9:AT25)</f>
        <v>#DIV/0!</v>
      </c>
      <c r="AU26" s="38"/>
      <c r="AV26" s="40" t="e">
        <f>SUM(AV9:AV25)</f>
        <v>#DIV/0!</v>
      </c>
      <c r="AW26" s="38"/>
      <c r="AX26" s="40" t="e">
        <f>SUM(AX9:AX25)</f>
        <v>#DIV/0!</v>
      </c>
      <c r="AY26" s="38"/>
      <c r="AZ26" s="40" t="e">
        <f>SUM(AZ9:AZ25)</f>
        <v>#DIV/0!</v>
      </c>
      <c r="BA26" s="38"/>
      <c r="BB26" s="40" t="e">
        <f>SUM(BB9:BB25)</f>
        <v>#DIV/0!</v>
      </c>
      <c r="BC26" s="38"/>
      <c r="BD26" s="40" t="e">
        <f>SUM(BD9:BD25)</f>
        <v>#DIV/0!</v>
      </c>
      <c r="BE26" s="38"/>
      <c r="BF26" s="40" t="e">
        <f>SUM(BF9:BF25)</f>
        <v>#DIV/0!</v>
      </c>
      <c r="BG26" s="38"/>
      <c r="BH26" s="40" t="e">
        <f>SUM(BH9:BH25)</f>
        <v>#DIV/0!</v>
      </c>
      <c r="BI26" s="38"/>
      <c r="BJ26" s="40" t="e">
        <f>SUM(BJ9:BJ25)</f>
        <v>#DIV/0!</v>
      </c>
      <c r="BK26" s="38"/>
      <c r="BL26" s="40" t="e">
        <f>SUM(BL9:BL25)</f>
        <v>#DIV/0!</v>
      </c>
      <c r="BM26" s="38"/>
      <c r="BN26" s="40" t="e">
        <f>SUM(BN9:BN25)</f>
        <v>#DIV/0!</v>
      </c>
      <c r="BO26" s="38"/>
      <c r="BP26" s="40" t="e">
        <f>SUM(BP9:BP25)</f>
        <v>#DIV/0!</v>
      </c>
      <c r="BQ26" s="38"/>
      <c r="BR26" s="40" t="e">
        <f>SUM(BR9:BR25)</f>
        <v>#DIV/0!</v>
      </c>
      <c r="BS26" s="38"/>
      <c r="BT26" s="40" t="e">
        <f>SUM(BT9:BT25)</f>
        <v>#DIV/0!</v>
      </c>
      <c r="BU26" s="38"/>
      <c r="BV26" s="40" t="e">
        <f>SUM(BV9:BV25)</f>
        <v>#DIV/0!</v>
      </c>
      <c r="BW26" s="38"/>
      <c r="BX26" s="40" t="e">
        <f>SUM(BX9:BX25)</f>
        <v>#DIV/0!</v>
      </c>
      <c r="BY26" s="38"/>
      <c r="BZ26" s="40" t="e">
        <f>SUM(BZ9:BZ25)</f>
        <v>#DIV/0!</v>
      </c>
      <c r="CA26" s="38"/>
      <c r="CB26" s="40" t="e">
        <f>SUM(CB9:CB25)</f>
        <v>#DIV/0!</v>
      </c>
      <c r="CC26" s="38"/>
      <c r="CD26" s="40" t="e">
        <f>SUM(CD9:CD25)</f>
        <v>#DIV/0!</v>
      </c>
      <c r="CE26" s="38"/>
      <c r="CF26" s="40" t="e">
        <f>SUM(CF9:CF25)</f>
        <v>#DIV/0!</v>
      </c>
      <c r="CG26" s="38"/>
      <c r="CH26" s="41" t="e">
        <f>SUM(CH9:CH25)</f>
        <v>#DIV/0!</v>
      </c>
      <c r="CI26" s="38"/>
      <c r="CJ26" s="41" t="e">
        <f t="shared" ref="CJ26" si="127">SUM(CJ9:CJ25)</f>
        <v>#DIV/0!</v>
      </c>
      <c r="CK26" s="38"/>
      <c r="CL26" s="41" t="e">
        <f t="shared" ref="CL26" si="128">SUM(CL9:CL25)</f>
        <v>#DIV/0!</v>
      </c>
      <c r="CM26" s="38"/>
      <c r="CN26" s="41" t="e">
        <f t="shared" ref="CN26" si="129">SUM(CN9:CN25)</f>
        <v>#DIV/0!</v>
      </c>
      <c r="CO26" s="38"/>
      <c r="CP26" s="41" t="e">
        <f t="shared" ref="CP26" si="130">SUM(CP9:CP25)</f>
        <v>#DIV/0!</v>
      </c>
      <c r="CQ26" s="38"/>
      <c r="CR26" s="41" t="e">
        <f t="shared" ref="CR26" si="131">SUM(CR9:CR25)</f>
        <v>#DIV/0!</v>
      </c>
      <c r="CS26" s="38"/>
      <c r="CT26" s="41" t="e">
        <f t="shared" ref="CT26" si="132">SUM(CT9:CT25)</f>
        <v>#DIV/0!</v>
      </c>
      <c r="CU26" s="38"/>
      <c r="CV26" s="41" t="e">
        <f t="shared" ref="CV26" si="133">SUM(CV9:CV25)</f>
        <v>#DIV/0!</v>
      </c>
      <c r="CW26" s="38"/>
      <c r="CX26" s="41" t="e">
        <f t="shared" ref="CX26" si="134">SUM(CX9:CX25)</f>
        <v>#DIV/0!</v>
      </c>
      <c r="CY26" s="38"/>
      <c r="CZ26" s="41" t="e">
        <f t="shared" ref="CZ26" si="135">SUM(CZ9:CZ25)</f>
        <v>#DIV/0!</v>
      </c>
      <c r="DA26" s="38"/>
      <c r="DB26" s="41" t="e">
        <f t="shared" ref="DB26" si="136">SUM(DB9:DB25)</f>
        <v>#DIV/0!</v>
      </c>
      <c r="DC26" s="38"/>
      <c r="DD26" s="41" t="e">
        <f t="shared" ref="DD26" si="137">SUM(DD9:DD25)</f>
        <v>#DIV/0!</v>
      </c>
      <c r="DE26" s="38"/>
      <c r="DF26" s="41" t="e">
        <f t="shared" ref="DF26" si="138">SUM(DF9:DF25)</f>
        <v>#DIV/0!</v>
      </c>
      <c r="DG26" s="38"/>
      <c r="DH26" s="41" t="e">
        <f t="shared" ref="DH26" si="139">SUM(DH9:DH25)</f>
        <v>#DIV/0!</v>
      </c>
      <c r="DI26" s="38"/>
      <c r="DJ26" s="41" t="e">
        <f t="shared" ref="DJ26" si="140">SUM(DJ9:DJ25)</f>
        <v>#DIV/0!</v>
      </c>
      <c r="DK26" s="38"/>
      <c r="DL26" s="41" t="e">
        <f t="shared" ref="DL26" si="141">SUM(DL9:DL25)</f>
        <v>#DIV/0!</v>
      </c>
      <c r="DM26" s="38"/>
      <c r="DN26" s="41" t="e">
        <f t="shared" ref="DN26" si="142">SUM(DN9:DN25)</f>
        <v>#DIV/0!</v>
      </c>
      <c r="DO26" s="38"/>
      <c r="DP26" s="41" t="e">
        <f t="shared" ref="DP26" si="143">SUM(DP9:DP25)</f>
        <v>#DIV/0!</v>
      </c>
      <c r="DQ26" s="38"/>
      <c r="DR26" s="41" t="e">
        <f t="shared" ref="DR26" si="144">SUM(DR9:DR25)</f>
        <v>#DIV/0!</v>
      </c>
      <c r="DS26" s="38"/>
      <c r="DT26" s="41" t="e">
        <f t="shared" ref="DT26" si="145">SUM(DT9:DT25)</f>
        <v>#DIV/0!</v>
      </c>
      <c r="DU26" s="38"/>
      <c r="DV26" s="41" t="e">
        <f t="shared" ref="DV26" si="146">SUM(DV9:DV25)</f>
        <v>#DIV/0!</v>
      </c>
      <c r="DW26" s="38"/>
      <c r="DX26" s="41" t="e">
        <f t="shared" ref="DX26" si="147">SUM(DX9:DX25)</f>
        <v>#DIV/0!</v>
      </c>
      <c r="DY26" s="38"/>
      <c r="DZ26" s="41" t="e">
        <f t="shared" ref="DZ26" si="148">SUM(DZ9:DZ25)</f>
        <v>#DIV/0!</v>
      </c>
      <c r="EA26" s="38"/>
      <c r="EB26" s="41" t="e">
        <f t="shared" ref="EB26" si="149">SUM(EB9:EB25)</f>
        <v>#DIV/0!</v>
      </c>
      <c r="EC26" s="36" t="s">
        <v>71</v>
      </c>
    </row>
    <row r="27" spans="2:133" ht="22.5" customHeight="1" thickBot="1" x14ac:dyDescent="0.3">
      <c r="B27" s="51" t="s">
        <v>69</v>
      </c>
      <c r="C27" s="69">
        <v>2752.67</v>
      </c>
      <c r="D27" s="70">
        <v>45261</v>
      </c>
      <c r="E27" s="52" t="e">
        <f>+E26/C27</f>
        <v>#DIV/0!</v>
      </c>
      <c r="F27" s="28"/>
      <c r="G27" s="42"/>
      <c r="H27" s="43" t="e">
        <f>H26/$C$26</f>
        <v>#DIV/0!</v>
      </c>
      <c r="I27" s="44"/>
      <c r="J27" s="43" t="e">
        <f>J26/$C$26</f>
        <v>#DIV/0!</v>
      </c>
      <c r="K27" s="44"/>
      <c r="L27" s="43" t="e">
        <f>L26/$C$26</f>
        <v>#DIV/0!</v>
      </c>
      <c r="M27" s="44"/>
      <c r="N27" s="43" t="e">
        <f>N26/$C$26</f>
        <v>#DIV/0!</v>
      </c>
      <c r="O27" s="44"/>
      <c r="P27" s="43" t="e">
        <f>P26/$C$26</f>
        <v>#DIV/0!</v>
      </c>
      <c r="Q27" s="44"/>
      <c r="R27" s="43" t="e">
        <f>R26/$C$26</f>
        <v>#DIV/0!</v>
      </c>
      <c r="S27" s="44"/>
      <c r="T27" s="43" t="e">
        <f>T26/$C$26</f>
        <v>#DIV/0!</v>
      </c>
      <c r="U27" s="45"/>
      <c r="V27" s="43" t="e">
        <f>V26/$C$26</f>
        <v>#DIV/0!</v>
      </c>
      <c r="W27" s="45"/>
      <c r="X27" s="43" t="e">
        <f>X26/$C$26</f>
        <v>#DIV/0!</v>
      </c>
      <c r="Y27" s="45"/>
      <c r="Z27" s="43" t="e">
        <f>Z26/$C$26</f>
        <v>#DIV/0!</v>
      </c>
      <c r="AA27" s="45"/>
      <c r="AB27" s="43" t="e">
        <f>AB26/$C$26</f>
        <v>#DIV/0!</v>
      </c>
      <c r="AC27" s="45"/>
      <c r="AD27" s="43" t="e">
        <f>AD26/$C$26</f>
        <v>#DIV/0!</v>
      </c>
      <c r="AE27" s="45"/>
      <c r="AF27" s="43" t="e">
        <f>AF26/$C$26</f>
        <v>#DIV/0!</v>
      </c>
      <c r="AG27" s="45"/>
      <c r="AH27" s="43" t="e">
        <f>AH26/$C$26</f>
        <v>#DIV/0!</v>
      </c>
      <c r="AI27" s="45"/>
      <c r="AJ27" s="43" t="e">
        <f>AJ26/$C$26</f>
        <v>#DIV/0!</v>
      </c>
      <c r="AK27" s="45"/>
      <c r="AL27" s="43" t="e">
        <f>AL26/$C$26</f>
        <v>#DIV/0!</v>
      </c>
      <c r="AM27" s="45"/>
      <c r="AN27" s="43" t="e">
        <f>AN26/$C$26</f>
        <v>#DIV/0!</v>
      </c>
      <c r="AO27" s="45"/>
      <c r="AP27" s="43" t="e">
        <f>AP26/$C$26</f>
        <v>#DIV/0!</v>
      </c>
      <c r="AQ27" s="45"/>
      <c r="AR27" s="43" t="e">
        <f>AR26/$C$26</f>
        <v>#DIV/0!</v>
      </c>
      <c r="AS27" s="45"/>
      <c r="AT27" s="43" t="e">
        <f>AT26/$C$26</f>
        <v>#DIV/0!</v>
      </c>
      <c r="AU27" s="45"/>
      <c r="AV27" s="43" t="e">
        <f>AV26/$C$26</f>
        <v>#DIV/0!</v>
      </c>
      <c r="AW27" s="45"/>
      <c r="AX27" s="43" t="e">
        <f>AX26/$C$26</f>
        <v>#DIV/0!</v>
      </c>
      <c r="AY27" s="45"/>
      <c r="AZ27" s="43" t="e">
        <f>AZ26/$C$26</f>
        <v>#DIV/0!</v>
      </c>
      <c r="BA27" s="45"/>
      <c r="BB27" s="43" t="e">
        <f>BB26/$C$26</f>
        <v>#DIV/0!</v>
      </c>
      <c r="BC27" s="45"/>
      <c r="BD27" s="43" t="e">
        <f>BD26/$C$26</f>
        <v>#DIV/0!</v>
      </c>
      <c r="BE27" s="45"/>
      <c r="BF27" s="43" t="e">
        <f>BF26/$C$26</f>
        <v>#DIV/0!</v>
      </c>
      <c r="BG27" s="45"/>
      <c r="BH27" s="43" t="e">
        <f>BH26/$C$26</f>
        <v>#DIV/0!</v>
      </c>
      <c r="BI27" s="45"/>
      <c r="BJ27" s="43" t="e">
        <f>BJ26/$C$26</f>
        <v>#DIV/0!</v>
      </c>
      <c r="BK27" s="45"/>
      <c r="BL27" s="43" t="e">
        <f>BL26/$C$26</f>
        <v>#DIV/0!</v>
      </c>
      <c r="BM27" s="45"/>
      <c r="BN27" s="43" t="e">
        <f>BN26/$C$26</f>
        <v>#DIV/0!</v>
      </c>
      <c r="BO27" s="45"/>
      <c r="BP27" s="43" t="e">
        <f>BP26/$C$26</f>
        <v>#DIV/0!</v>
      </c>
      <c r="BQ27" s="45"/>
      <c r="BR27" s="43" t="e">
        <f>BR26/$C$26</f>
        <v>#DIV/0!</v>
      </c>
      <c r="BS27" s="45"/>
      <c r="BT27" s="43" t="e">
        <f>BT26/$C$26</f>
        <v>#DIV/0!</v>
      </c>
      <c r="BU27" s="45"/>
      <c r="BV27" s="43" t="e">
        <f>BV26/$C$26</f>
        <v>#DIV/0!</v>
      </c>
      <c r="BW27" s="45"/>
      <c r="BX27" s="43" t="e">
        <f>BX26/$C$26</f>
        <v>#DIV/0!</v>
      </c>
      <c r="BY27" s="45"/>
      <c r="BZ27" s="43" t="e">
        <f>BZ26/$C$26</f>
        <v>#DIV/0!</v>
      </c>
      <c r="CA27" s="45"/>
      <c r="CB27" s="43" t="e">
        <f>CB26/$C$26</f>
        <v>#DIV/0!</v>
      </c>
      <c r="CC27" s="45"/>
      <c r="CD27" s="43" t="e">
        <f>CD26/$C$26</f>
        <v>#DIV/0!</v>
      </c>
      <c r="CE27" s="45"/>
      <c r="CF27" s="43" t="e">
        <f>CF26/$C$26</f>
        <v>#DIV/0!</v>
      </c>
      <c r="CG27" s="45"/>
      <c r="CH27" s="46" t="e">
        <f>CH26/$C$26</f>
        <v>#DIV/0!</v>
      </c>
      <c r="CI27" s="45"/>
      <c r="CJ27" s="46" t="e">
        <f t="shared" ref="CJ27" si="150">CJ26/$C$26</f>
        <v>#DIV/0!</v>
      </c>
      <c r="CK27" s="45"/>
      <c r="CL27" s="46" t="e">
        <f t="shared" ref="CL27" si="151">CL26/$C$26</f>
        <v>#DIV/0!</v>
      </c>
      <c r="CM27" s="45"/>
      <c r="CN27" s="46" t="e">
        <f t="shared" ref="CN27" si="152">CN26/$C$26</f>
        <v>#DIV/0!</v>
      </c>
      <c r="CO27" s="45"/>
      <c r="CP27" s="46" t="e">
        <f t="shared" ref="CP27" si="153">CP26/$C$26</f>
        <v>#DIV/0!</v>
      </c>
      <c r="CQ27" s="45"/>
      <c r="CR27" s="46" t="e">
        <f t="shared" ref="CR27" si="154">CR26/$C$26</f>
        <v>#DIV/0!</v>
      </c>
      <c r="CS27" s="45"/>
      <c r="CT27" s="46" t="e">
        <f t="shared" ref="CT27" si="155">CT26/$C$26</f>
        <v>#DIV/0!</v>
      </c>
      <c r="CU27" s="45"/>
      <c r="CV27" s="46" t="e">
        <f t="shared" ref="CV27" si="156">CV26/$C$26</f>
        <v>#DIV/0!</v>
      </c>
      <c r="CW27" s="45"/>
      <c r="CX27" s="46" t="e">
        <f t="shared" ref="CX27" si="157">CX26/$C$26</f>
        <v>#DIV/0!</v>
      </c>
      <c r="CY27" s="45"/>
      <c r="CZ27" s="46" t="e">
        <f t="shared" ref="CZ27" si="158">CZ26/$C$26</f>
        <v>#DIV/0!</v>
      </c>
      <c r="DA27" s="45"/>
      <c r="DB27" s="46" t="e">
        <f t="shared" ref="DB27" si="159">DB26/$C$26</f>
        <v>#DIV/0!</v>
      </c>
      <c r="DC27" s="45"/>
      <c r="DD27" s="46" t="e">
        <f t="shared" ref="DD27" si="160">DD26/$C$26</f>
        <v>#DIV/0!</v>
      </c>
      <c r="DE27" s="45"/>
      <c r="DF27" s="46" t="e">
        <f t="shared" ref="DF27" si="161">DF26/$C$26</f>
        <v>#DIV/0!</v>
      </c>
      <c r="DG27" s="45"/>
      <c r="DH27" s="46" t="e">
        <f t="shared" ref="DH27" si="162">DH26/$C$26</f>
        <v>#DIV/0!</v>
      </c>
      <c r="DI27" s="45"/>
      <c r="DJ27" s="46" t="e">
        <f t="shared" ref="DJ27" si="163">DJ26/$C$26</f>
        <v>#DIV/0!</v>
      </c>
      <c r="DK27" s="45"/>
      <c r="DL27" s="46" t="e">
        <f t="shared" ref="DL27" si="164">DL26/$C$26</f>
        <v>#DIV/0!</v>
      </c>
      <c r="DM27" s="45"/>
      <c r="DN27" s="46" t="e">
        <f t="shared" ref="DN27" si="165">DN26/$C$26</f>
        <v>#DIV/0!</v>
      </c>
      <c r="DO27" s="45"/>
      <c r="DP27" s="46" t="e">
        <f t="shared" ref="DP27" si="166">DP26/$C$26</f>
        <v>#DIV/0!</v>
      </c>
      <c r="DQ27" s="45"/>
      <c r="DR27" s="46" t="e">
        <f t="shared" ref="DR27" si="167">DR26/$C$26</f>
        <v>#DIV/0!</v>
      </c>
      <c r="DS27" s="45"/>
      <c r="DT27" s="46" t="e">
        <f t="shared" ref="DT27" si="168">DT26/$C$26</f>
        <v>#DIV/0!</v>
      </c>
      <c r="DU27" s="45"/>
      <c r="DV27" s="46" t="e">
        <f t="shared" ref="DV27" si="169">DV26/$C$26</f>
        <v>#DIV/0!</v>
      </c>
      <c r="DW27" s="45"/>
      <c r="DX27" s="46" t="e">
        <f t="shared" ref="DX27" si="170">DX26/$C$26</f>
        <v>#DIV/0!</v>
      </c>
      <c r="DY27" s="45"/>
      <c r="DZ27" s="46" t="e">
        <f t="shared" ref="DZ27" si="171">DZ26/$C$26</f>
        <v>#DIV/0!</v>
      </c>
      <c r="EA27" s="45"/>
      <c r="EB27" s="46" t="e">
        <f t="shared" ref="EB27" si="172">EB26/$C$26</f>
        <v>#DIV/0!</v>
      </c>
      <c r="EC27" s="37" t="e">
        <f>SUM(H26:EB26)</f>
        <v>#DIV/0!</v>
      </c>
    </row>
    <row r="28" spans="2:133" ht="10.5" customHeight="1" x14ac:dyDescent="0.25">
      <c r="B28" s="22"/>
      <c r="C28" s="22"/>
      <c r="D28" s="23"/>
      <c r="E28" s="23"/>
      <c r="G28" s="24"/>
      <c r="H28" s="24"/>
      <c r="I28" s="22"/>
      <c r="J28" s="22"/>
      <c r="K28" s="22"/>
      <c r="L28" s="24"/>
      <c r="M28" s="22"/>
      <c r="N28" s="22"/>
      <c r="O28" s="24"/>
      <c r="P28" s="24"/>
      <c r="Q28" s="22"/>
      <c r="R28" s="22"/>
      <c r="S28" s="24"/>
      <c r="T28" s="24"/>
      <c r="U28" s="22"/>
      <c r="V28" s="22"/>
      <c r="W28" s="24"/>
      <c r="X28" s="24"/>
      <c r="Y28" s="22"/>
      <c r="Z28" s="22"/>
      <c r="AA28" s="24"/>
      <c r="AB28" s="24"/>
      <c r="AC28" s="22"/>
      <c r="AD28" s="22"/>
      <c r="AE28" s="24"/>
      <c r="AF28" s="24"/>
      <c r="AG28" s="22"/>
      <c r="AH28" s="22"/>
      <c r="AI28" s="24"/>
      <c r="AJ28" s="24"/>
      <c r="AK28" s="22"/>
      <c r="AL28" s="22"/>
      <c r="AM28" s="24"/>
      <c r="AN28" s="24"/>
      <c r="AO28" s="22"/>
      <c r="AP28" s="22"/>
      <c r="AQ28" s="24"/>
      <c r="AR28" s="24"/>
      <c r="AS28" s="22"/>
      <c r="AT28" s="22"/>
      <c r="AU28" s="24"/>
      <c r="AV28" s="24"/>
      <c r="AW28" s="22"/>
      <c r="AX28" s="22"/>
      <c r="AY28" s="24"/>
      <c r="AZ28" s="24"/>
      <c r="BA28" s="22"/>
      <c r="BB28" s="22"/>
      <c r="BC28" s="24"/>
      <c r="BD28" s="24"/>
      <c r="BE28" s="22"/>
      <c r="BF28" s="22"/>
      <c r="BG28" s="24"/>
      <c r="BH28" s="24"/>
      <c r="BI28" s="22"/>
      <c r="BJ28" s="22"/>
      <c r="BK28" s="24"/>
      <c r="BL28" s="24"/>
      <c r="BM28" s="22"/>
      <c r="BN28" s="22"/>
      <c r="BO28" s="24"/>
      <c r="BP28" s="24"/>
      <c r="BQ28" s="22"/>
      <c r="BR28" s="22"/>
      <c r="BS28" s="24"/>
      <c r="BT28" s="24"/>
      <c r="BU28" s="22"/>
      <c r="BV28" s="22"/>
      <c r="BW28" s="24"/>
      <c r="BX28" s="24"/>
      <c r="BY28" s="22"/>
      <c r="BZ28" s="22"/>
      <c r="CA28" s="24"/>
      <c r="CB28" s="24"/>
      <c r="CC28" s="22"/>
      <c r="CD28" s="22"/>
      <c r="CE28" s="24"/>
      <c r="CF28" s="24"/>
      <c r="CG28" s="22"/>
      <c r="CH28" s="22"/>
    </row>
    <row r="29" spans="2:133" ht="15" customHeight="1" thickBot="1" x14ac:dyDescent="0.3">
      <c r="B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</row>
    <row r="30" spans="2:133" ht="19.5" customHeight="1" thickBot="1" x14ac:dyDescent="0.3">
      <c r="C30" s="109" t="s">
        <v>51</v>
      </c>
      <c r="D30" s="110"/>
      <c r="E30" s="66" t="s">
        <v>72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2:133" ht="19.5" customHeight="1" thickBot="1" x14ac:dyDescent="0.3">
      <c r="C31" s="68"/>
      <c r="D31" s="65" t="s">
        <v>52</v>
      </c>
      <c r="E31" s="67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33" ht="19.5" customHeight="1" x14ac:dyDescent="0.25">
      <c r="B32" s="22"/>
      <c r="C32" s="22"/>
      <c r="D32" s="23"/>
      <c r="E32" s="23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2:19" ht="19.5" customHeight="1" x14ac:dyDescent="0.25">
      <c r="B33" s="22"/>
      <c r="C33" s="22"/>
      <c r="D33" s="23"/>
      <c r="E33" s="2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2:19" ht="19.5" customHeight="1" x14ac:dyDescent="0.25">
      <c r="B34" s="22"/>
      <c r="C34" s="22"/>
      <c r="D34" s="23"/>
      <c r="E34" s="23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2:19" ht="19.5" customHeight="1" x14ac:dyDescent="0.25">
      <c r="B35" s="22"/>
      <c r="C35" s="22"/>
      <c r="D35" s="23"/>
      <c r="E35" s="23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2:19" ht="19.5" customHeight="1" x14ac:dyDescent="0.25">
      <c r="B36" s="22"/>
      <c r="C36" s="22"/>
      <c r="D36" s="23"/>
      <c r="E36" s="23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2:19" ht="19.5" customHeight="1" x14ac:dyDescent="0.25">
      <c r="B37" s="22"/>
      <c r="C37" s="22"/>
      <c r="D37" s="23"/>
      <c r="E37" s="23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2:19" ht="19.5" customHeight="1" x14ac:dyDescent="0.25">
      <c r="B38" s="22"/>
      <c r="C38" s="22"/>
      <c r="D38" s="23"/>
      <c r="E38" s="23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2:19" ht="19.5" customHeight="1" x14ac:dyDescent="0.25">
      <c r="B39" s="22"/>
      <c r="C39" s="22"/>
      <c r="D39" s="23"/>
      <c r="E39" s="2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2:19" ht="19.5" customHeight="1" x14ac:dyDescent="0.25">
      <c r="B40" s="22"/>
      <c r="C40" s="22"/>
      <c r="D40" s="23"/>
      <c r="E40" s="23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2:19" ht="19.5" customHeight="1" x14ac:dyDescent="0.25">
      <c r="B41" s="22"/>
      <c r="C41" s="22"/>
      <c r="D41" s="23"/>
      <c r="E41" s="2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2:19" ht="19.5" customHeight="1" x14ac:dyDescent="0.25">
      <c r="B42" s="22"/>
      <c r="C42" s="22"/>
      <c r="D42" s="23"/>
      <c r="E42" s="2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2:19" ht="19.5" customHeight="1" x14ac:dyDescent="0.25">
      <c r="B43" s="22"/>
      <c r="C43" s="22"/>
      <c r="D43" s="23"/>
      <c r="E43" s="23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2:19" ht="19.5" customHeight="1" x14ac:dyDescent="0.25">
      <c r="B44" s="22"/>
      <c r="C44" s="22"/>
      <c r="D44" s="23"/>
      <c r="E44" s="23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2:19" ht="19.5" customHeight="1" x14ac:dyDescent="0.25">
      <c r="B45" s="22"/>
      <c r="C45" s="22"/>
      <c r="D45" s="23"/>
      <c r="E45" s="2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2:19" ht="19.5" customHeight="1" x14ac:dyDescent="0.25">
      <c r="B46" s="22"/>
      <c r="C46" s="22"/>
      <c r="D46" s="23"/>
      <c r="E46" s="2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2:19" ht="19.5" customHeight="1" x14ac:dyDescent="0.25">
      <c r="B47" s="22"/>
      <c r="C47" s="22"/>
      <c r="D47" s="23"/>
      <c r="E47" s="2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2:19" ht="19.5" customHeight="1" x14ac:dyDescent="0.25">
      <c r="B48" s="22"/>
      <c r="C48" s="22"/>
      <c r="D48" s="23"/>
      <c r="E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2:19" ht="19.5" customHeight="1" x14ac:dyDescent="0.25">
      <c r="B49" s="22"/>
      <c r="C49" s="22"/>
      <c r="D49" s="23"/>
      <c r="E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2:19" ht="19.5" customHeight="1" x14ac:dyDescent="0.25">
      <c r="B50" s="22"/>
      <c r="C50" s="22"/>
      <c r="D50" s="23"/>
      <c r="E50" s="23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2:19" ht="19.5" customHeight="1" x14ac:dyDescent="0.25">
      <c r="B51" s="22"/>
      <c r="C51" s="22"/>
      <c r="D51" s="23"/>
      <c r="E51" s="23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2:19" ht="19.5" customHeight="1" x14ac:dyDescent="0.25">
      <c r="B52" s="22"/>
      <c r="C52" s="22"/>
      <c r="D52" s="23"/>
      <c r="E52" s="23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 ht="19.5" customHeight="1" x14ac:dyDescent="0.25">
      <c r="B53" s="22"/>
      <c r="C53" s="22"/>
      <c r="D53" s="23"/>
      <c r="E53" s="23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2:19" ht="19.5" customHeight="1" x14ac:dyDescent="0.25">
      <c r="B54" s="22"/>
      <c r="C54" s="22"/>
      <c r="D54" s="23"/>
      <c r="E54" s="2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2:19" ht="19.5" customHeight="1" x14ac:dyDescent="0.25">
      <c r="B55" s="22"/>
      <c r="C55" s="22"/>
      <c r="D55" s="23"/>
      <c r="E55" s="23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2:19" ht="19.5" customHeight="1" x14ac:dyDescent="0.25">
      <c r="B56" s="22"/>
      <c r="C56" s="22"/>
      <c r="D56" s="23"/>
      <c r="E56" s="23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2:19" ht="19.5" customHeight="1" x14ac:dyDescent="0.25">
      <c r="B57" s="22"/>
      <c r="C57" s="22"/>
      <c r="D57" s="23"/>
      <c r="E57" s="2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2:19" ht="19.5" customHeight="1" x14ac:dyDescent="0.25">
      <c r="B58" s="22"/>
      <c r="C58" s="22"/>
      <c r="D58" s="23"/>
      <c r="E58" s="2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2:19" ht="19.5" customHeight="1" x14ac:dyDescent="0.25">
      <c r="B59" s="22"/>
      <c r="C59" s="22"/>
      <c r="D59" s="23"/>
      <c r="E59" s="2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 ht="19.5" customHeight="1" x14ac:dyDescent="0.25">
      <c r="B60" s="22"/>
      <c r="C60" s="22"/>
      <c r="D60" s="23"/>
      <c r="E60" s="2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2:19" ht="19.5" customHeight="1" x14ac:dyDescent="0.25">
      <c r="B61" s="22"/>
      <c r="C61" s="22"/>
      <c r="D61" s="23"/>
      <c r="E61" s="23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2:19" ht="19.5" customHeight="1" x14ac:dyDescent="0.25">
      <c r="B62" s="22"/>
      <c r="C62" s="22"/>
      <c r="D62" s="23"/>
      <c r="E62" s="23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2:19" ht="19.5" customHeight="1" x14ac:dyDescent="0.25">
      <c r="B63" s="22"/>
      <c r="C63" s="22"/>
      <c r="D63" s="23"/>
      <c r="E63" s="2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2:19" ht="19.5" customHeight="1" x14ac:dyDescent="0.25">
      <c r="B64" s="22"/>
      <c r="C64" s="22"/>
      <c r="D64" s="23"/>
      <c r="E64" s="23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2:19" ht="19.5" customHeight="1" x14ac:dyDescent="0.25">
      <c r="B65" s="22"/>
      <c r="C65" s="22"/>
      <c r="D65" s="23"/>
      <c r="E65" s="23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2:19" ht="19.5" customHeight="1" x14ac:dyDescent="0.25">
      <c r="B66" s="22"/>
      <c r="C66" s="22"/>
      <c r="D66" s="23"/>
      <c r="E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 ht="19.5" customHeight="1" x14ac:dyDescent="0.25">
      <c r="B67" s="22"/>
      <c r="C67" s="22"/>
      <c r="D67" s="23"/>
      <c r="E67" s="2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2:19" ht="19.5" customHeight="1" x14ac:dyDescent="0.25">
      <c r="B68" s="22"/>
      <c r="C68" s="22"/>
      <c r="D68" s="23"/>
      <c r="E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2:19" ht="19.5" customHeight="1" x14ac:dyDescent="0.25">
      <c r="B69" s="22"/>
      <c r="C69" s="22"/>
      <c r="D69" s="23"/>
      <c r="E69" s="23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2:19" ht="19.5" customHeight="1" x14ac:dyDescent="0.25">
      <c r="B70" s="22"/>
      <c r="C70" s="22"/>
      <c r="D70" s="23"/>
      <c r="E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2:19" ht="19.5" customHeight="1" x14ac:dyDescent="0.25">
      <c r="B71" s="22"/>
      <c r="C71" s="22"/>
      <c r="D71" s="23"/>
      <c r="E71" s="23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2:19" ht="19.5" customHeight="1" x14ac:dyDescent="0.25">
      <c r="B72" s="22"/>
      <c r="C72" s="22"/>
      <c r="D72" s="23"/>
      <c r="E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2:19" ht="19.5" customHeight="1" x14ac:dyDescent="0.25">
      <c r="B73" s="22"/>
      <c r="C73" s="22"/>
      <c r="D73" s="23"/>
      <c r="E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2:19" ht="19.5" customHeight="1" x14ac:dyDescent="0.25">
      <c r="B74" s="22"/>
      <c r="C74" s="22"/>
      <c r="D74" s="23"/>
      <c r="E74" s="23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2:19" ht="19.5" customHeight="1" x14ac:dyDescent="0.25">
      <c r="B75" s="22"/>
      <c r="C75" s="22"/>
      <c r="D75" s="23"/>
      <c r="E75" s="23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2:19" ht="19.5" customHeight="1" x14ac:dyDescent="0.25">
      <c r="B76" s="22"/>
      <c r="C76" s="22"/>
      <c r="D76" s="23"/>
      <c r="E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2:19" ht="19.5" customHeight="1" x14ac:dyDescent="0.25">
      <c r="B77" s="22"/>
      <c r="C77" s="22"/>
      <c r="D77" s="23"/>
      <c r="E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2:19" ht="19.5" customHeight="1" x14ac:dyDescent="0.25">
      <c r="B78" s="22"/>
      <c r="C78" s="22"/>
      <c r="D78" s="23"/>
      <c r="E78" s="23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2:19" ht="19.5" customHeight="1" x14ac:dyDescent="0.25">
      <c r="B79" s="22"/>
      <c r="C79" s="22"/>
      <c r="D79" s="23"/>
      <c r="E79" s="2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 ht="19.5" customHeight="1" x14ac:dyDescent="0.25">
      <c r="B80" s="22"/>
      <c r="C80" s="22"/>
      <c r="D80" s="23"/>
      <c r="E80" s="23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2:19" ht="19.5" customHeight="1" x14ac:dyDescent="0.25">
      <c r="B81" s="22"/>
      <c r="C81" s="22"/>
      <c r="D81" s="23"/>
      <c r="E81" s="23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2:19" ht="19.5" customHeight="1" x14ac:dyDescent="0.25">
      <c r="B82" s="22"/>
      <c r="C82" s="22"/>
      <c r="D82" s="23"/>
      <c r="E82" s="2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2:19" ht="19.5" customHeight="1" x14ac:dyDescent="0.25">
      <c r="B83" s="22"/>
      <c r="C83" s="22"/>
      <c r="D83" s="23"/>
      <c r="E83" s="2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 ht="19.5" customHeight="1" x14ac:dyDescent="0.25">
      <c r="B84" s="22"/>
      <c r="C84" s="22"/>
      <c r="D84" s="23"/>
      <c r="E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2:19" ht="19.5" customHeight="1" x14ac:dyDescent="0.25">
      <c r="B85" s="22"/>
      <c r="C85" s="22"/>
      <c r="D85" s="23"/>
      <c r="E85" s="2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2:19" ht="19.5" customHeight="1" x14ac:dyDescent="0.25">
      <c r="B86" s="22"/>
      <c r="C86" s="22"/>
      <c r="D86" s="23"/>
      <c r="E86" s="2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2:19" ht="19.5" customHeight="1" x14ac:dyDescent="0.25">
      <c r="B87" s="22"/>
      <c r="C87" s="22"/>
      <c r="D87" s="23"/>
      <c r="E87" s="23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2:19" ht="19.5" customHeight="1" x14ac:dyDescent="0.25">
      <c r="B88" s="22"/>
      <c r="C88" s="22"/>
      <c r="D88" s="23"/>
      <c r="E88" s="23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 ht="19.5" customHeight="1" x14ac:dyDescent="0.25">
      <c r="B89" s="22"/>
      <c r="C89" s="22"/>
      <c r="D89" s="23"/>
      <c r="E89" s="23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2:19" ht="19.5" customHeight="1" x14ac:dyDescent="0.25">
      <c r="B90" s="22"/>
      <c r="C90" s="22"/>
      <c r="D90" s="23"/>
      <c r="E90" s="2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2:19" ht="19.5" customHeight="1" x14ac:dyDescent="0.25">
      <c r="B91" s="22"/>
      <c r="C91" s="22"/>
      <c r="D91" s="23"/>
      <c r="E91" s="2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2:19" ht="19.5" customHeight="1" x14ac:dyDescent="0.25">
      <c r="B92" s="22"/>
      <c r="C92" s="22"/>
      <c r="D92" s="23"/>
      <c r="E92" s="2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2:19" ht="19.5" customHeight="1" x14ac:dyDescent="0.25">
      <c r="B93" s="22"/>
      <c r="C93" s="22"/>
      <c r="D93" s="23"/>
      <c r="E93" s="2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2:19" ht="19.5" customHeight="1" x14ac:dyDescent="0.25">
      <c r="B94" s="22"/>
      <c r="C94" s="22"/>
      <c r="D94" s="23"/>
      <c r="E94" s="23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2:19" ht="19.5" customHeight="1" x14ac:dyDescent="0.25">
      <c r="B95" s="22"/>
      <c r="C95" s="22"/>
      <c r="D95" s="23"/>
      <c r="E95" s="2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2:19" ht="19.5" customHeight="1" x14ac:dyDescent="0.25">
      <c r="B96" s="22"/>
      <c r="C96" s="22"/>
      <c r="D96" s="23"/>
      <c r="E96" s="23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2:19" ht="19.5" customHeight="1" x14ac:dyDescent="0.25">
      <c r="B97" s="22"/>
      <c r="C97" s="22"/>
      <c r="D97" s="23"/>
      <c r="E97" s="23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2:19" ht="19.5" customHeight="1" x14ac:dyDescent="0.25">
      <c r="B98" s="22"/>
      <c r="C98" s="22"/>
      <c r="D98" s="23"/>
      <c r="E98" s="23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2:19" ht="19.5" customHeight="1" x14ac:dyDescent="0.25">
      <c r="B99" s="22"/>
      <c r="C99" s="22"/>
      <c r="D99" s="23"/>
      <c r="E99" s="2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2:19" ht="19.5" customHeight="1" x14ac:dyDescent="0.25">
      <c r="B100" s="22"/>
      <c r="C100" s="22"/>
      <c r="D100" s="23"/>
      <c r="E100" s="23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2:19" ht="19.5" customHeight="1" x14ac:dyDescent="0.25">
      <c r="B101" s="22"/>
      <c r="C101" s="22"/>
      <c r="D101" s="23"/>
      <c r="E101" s="23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2:19" ht="19.5" customHeight="1" x14ac:dyDescent="0.25">
      <c r="B102" s="22"/>
      <c r="C102" s="22"/>
      <c r="D102" s="23"/>
      <c r="E102" s="23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2:19" ht="19.5" customHeight="1" x14ac:dyDescent="0.25">
      <c r="B103" s="22"/>
      <c r="C103" s="22"/>
      <c r="D103" s="23"/>
      <c r="E103" s="23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2:19" ht="19.5" customHeight="1" x14ac:dyDescent="0.25">
      <c r="B104" s="22"/>
      <c r="C104" s="22"/>
      <c r="D104" s="23"/>
      <c r="E104" s="23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2:19" ht="19.5" customHeight="1" x14ac:dyDescent="0.25">
      <c r="B105" s="22"/>
      <c r="C105" s="22"/>
      <c r="D105" s="23"/>
      <c r="E105" s="23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2:19" ht="19.5" customHeight="1" x14ac:dyDescent="0.25">
      <c r="B106" s="22"/>
      <c r="C106" s="22"/>
      <c r="D106" s="23"/>
      <c r="E106" s="23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2:19" ht="19.5" customHeight="1" x14ac:dyDescent="0.25">
      <c r="B107" s="22"/>
      <c r="C107" s="22"/>
      <c r="D107" s="23"/>
      <c r="E107" s="23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2:19" ht="19.5" customHeight="1" x14ac:dyDescent="0.25">
      <c r="B108" s="22"/>
      <c r="C108" s="22"/>
      <c r="D108" s="23"/>
      <c r="E108" s="23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2:19" ht="19.5" customHeight="1" x14ac:dyDescent="0.25">
      <c r="B109" s="22"/>
      <c r="C109" s="22"/>
      <c r="D109" s="23"/>
      <c r="E109" s="2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2:19" ht="19.5" customHeight="1" x14ac:dyDescent="0.25">
      <c r="B110" s="22"/>
      <c r="C110" s="22"/>
      <c r="D110" s="23"/>
      <c r="E110" s="23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2:19" ht="19.5" customHeight="1" x14ac:dyDescent="0.25">
      <c r="B111" s="22"/>
      <c r="C111" s="22"/>
      <c r="D111" s="23"/>
      <c r="E111" s="2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2:19" ht="19.5" customHeight="1" x14ac:dyDescent="0.25">
      <c r="B112" s="22"/>
      <c r="C112" s="22"/>
      <c r="D112" s="23"/>
      <c r="E112" s="23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2:19" ht="19.5" customHeight="1" x14ac:dyDescent="0.25">
      <c r="B113" s="22"/>
      <c r="C113" s="22"/>
      <c r="D113" s="23"/>
      <c r="E113" s="2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2:19" ht="19.5" customHeight="1" x14ac:dyDescent="0.25">
      <c r="B114" s="22"/>
      <c r="C114" s="22"/>
      <c r="D114" s="23"/>
      <c r="E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2:19" ht="19.5" customHeight="1" x14ac:dyDescent="0.25">
      <c r="B115" s="22"/>
      <c r="C115" s="22"/>
      <c r="D115" s="23"/>
      <c r="E115" s="2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2:19" ht="19.5" customHeight="1" x14ac:dyDescent="0.25">
      <c r="B116" s="22"/>
      <c r="C116" s="22"/>
      <c r="D116" s="23"/>
      <c r="E116" s="2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2:19" ht="19.5" customHeight="1" x14ac:dyDescent="0.25">
      <c r="B117" s="22"/>
      <c r="C117" s="22"/>
      <c r="D117" s="23"/>
      <c r="E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2:19" ht="19.5" customHeight="1" x14ac:dyDescent="0.25">
      <c r="B118" s="22"/>
      <c r="C118" s="22"/>
      <c r="D118" s="23"/>
      <c r="E118" s="2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2:19" ht="19.5" customHeight="1" x14ac:dyDescent="0.25">
      <c r="B119" s="22"/>
      <c r="C119" s="22"/>
      <c r="D119" s="23"/>
      <c r="E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2:19" ht="19.5" customHeight="1" x14ac:dyDescent="0.25">
      <c r="B120" s="22"/>
      <c r="C120" s="22"/>
      <c r="D120" s="23"/>
      <c r="E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2:19" ht="19.5" customHeight="1" x14ac:dyDescent="0.25">
      <c r="B121" s="22"/>
      <c r="C121" s="22"/>
      <c r="D121" s="23"/>
      <c r="E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2:19" ht="19.5" customHeight="1" x14ac:dyDescent="0.25">
      <c r="B122" s="22"/>
      <c r="C122" s="22"/>
      <c r="D122" s="23"/>
      <c r="E122" s="2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2:19" ht="19.5" customHeight="1" x14ac:dyDescent="0.25">
      <c r="B123" s="22"/>
      <c r="C123" s="22"/>
      <c r="D123" s="23"/>
      <c r="E123" s="2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2:19" ht="19.5" customHeight="1" x14ac:dyDescent="0.25">
      <c r="B124" s="22"/>
      <c r="C124" s="22"/>
      <c r="D124" s="23"/>
      <c r="E124" s="2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2:19" ht="19.5" customHeight="1" x14ac:dyDescent="0.25">
      <c r="B125" s="22"/>
      <c r="C125" s="22"/>
      <c r="D125" s="23"/>
      <c r="E125" s="23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2:19" ht="19.5" customHeight="1" x14ac:dyDescent="0.25">
      <c r="B126" s="22"/>
      <c r="C126" s="22"/>
      <c r="D126" s="23"/>
      <c r="E126" s="23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2:19" ht="19.5" customHeight="1" x14ac:dyDescent="0.25">
      <c r="B127" s="22"/>
      <c r="C127" s="22"/>
      <c r="D127" s="23"/>
      <c r="E127" s="23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2:19" ht="19.5" customHeight="1" x14ac:dyDescent="0.25">
      <c r="B128" s="22"/>
      <c r="C128" s="22"/>
      <c r="D128" s="23"/>
      <c r="E128" s="23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2:19" ht="19.5" customHeight="1" x14ac:dyDescent="0.25">
      <c r="B129" s="22"/>
      <c r="C129" s="22"/>
      <c r="D129" s="23"/>
      <c r="E129" s="23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2:19" ht="19.5" customHeight="1" x14ac:dyDescent="0.25">
      <c r="B130" s="22"/>
      <c r="C130" s="22"/>
      <c r="D130" s="23"/>
      <c r="E130" s="23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2:19" ht="19.5" customHeight="1" x14ac:dyDescent="0.25">
      <c r="B131" s="22"/>
      <c r="C131" s="22"/>
      <c r="D131" s="23"/>
      <c r="E131" s="23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2:19" ht="19.5" customHeight="1" x14ac:dyDescent="0.25">
      <c r="B132" s="22"/>
      <c r="C132" s="22"/>
      <c r="D132" s="23"/>
      <c r="E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2:19" ht="19.5" customHeight="1" x14ac:dyDescent="0.25">
      <c r="B133" s="22"/>
      <c r="C133" s="22"/>
      <c r="D133" s="23"/>
      <c r="E133" s="2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2:19" ht="19.5" customHeight="1" x14ac:dyDescent="0.25">
      <c r="B134" s="22"/>
      <c r="C134" s="22"/>
      <c r="D134" s="23"/>
      <c r="E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2:19" ht="19.5" customHeight="1" x14ac:dyDescent="0.25">
      <c r="B135" s="22"/>
      <c r="C135" s="22"/>
      <c r="D135" s="23"/>
      <c r="E135" s="23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2:19" ht="19.5" customHeight="1" x14ac:dyDescent="0.25">
      <c r="B136" s="22"/>
      <c r="C136" s="22"/>
      <c r="D136" s="23"/>
      <c r="E136" s="23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2:19" ht="19.5" customHeight="1" x14ac:dyDescent="0.25">
      <c r="B137" s="22"/>
      <c r="C137" s="22"/>
      <c r="D137" s="23"/>
      <c r="E137" s="23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2:19" ht="19.5" customHeight="1" x14ac:dyDescent="0.25">
      <c r="B138" s="22"/>
      <c r="C138" s="22"/>
      <c r="D138" s="23"/>
      <c r="E138" s="23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2:19" ht="19.5" customHeight="1" x14ac:dyDescent="0.25">
      <c r="B139" s="22"/>
      <c r="C139" s="22"/>
      <c r="D139" s="23"/>
      <c r="E139" s="23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2:19" ht="19.5" customHeight="1" x14ac:dyDescent="0.25">
      <c r="B140" s="22"/>
      <c r="C140" s="22"/>
      <c r="D140" s="23"/>
      <c r="E140" s="23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2:19" ht="19.5" customHeight="1" x14ac:dyDescent="0.25">
      <c r="B141" s="22"/>
      <c r="C141" s="22"/>
      <c r="D141" s="23"/>
      <c r="E141" s="23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2:19" ht="19.5" customHeight="1" x14ac:dyDescent="0.25">
      <c r="B142" s="22"/>
      <c r="C142" s="22"/>
      <c r="D142" s="23"/>
      <c r="E142" s="23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2:19" ht="19.5" customHeight="1" x14ac:dyDescent="0.25">
      <c r="B143" s="22"/>
      <c r="C143" s="22"/>
      <c r="D143" s="23"/>
      <c r="E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spans="2:19" ht="19.5" customHeight="1" x14ac:dyDescent="0.25">
      <c r="B144" s="22"/>
      <c r="C144" s="22"/>
      <c r="D144" s="23"/>
      <c r="E144" s="23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2:19" ht="19.5" customHeight="1" x14ac:dyDescent="0.25">
      <c r="B145" s="22"/>
      <c r="C145" s="22"/>
      <c r="D145" s="23"/>
      <c r="E145" s="23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 spans="2:19" ht="19.5" customHeight="1" x14ac:dyDescent="0.25">
      <c r="B146" s="22"/>
      <c r="C146" s="22"/>
      <c r="D146" s="23"/>
      <c r="E146" s="23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 spans="2:19" ht="19.5" customHeight="1" x14ac:dyDescent="0.25">
      <c r="B147" s="22"/>
      <c r="C147" s="22"/>
      <c r="D147" s="23"/>
      <c r="E147" s="23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 spans="2:19" ht="19.5" customHeight="1" x14ac:dyDescent="0.25">
      <c r="B148" s="22"/>
      <c r="C148" s="22"/>
      <c r="D148" s="23"/>
      <c r="E148" s="23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 spans="2:19" ht="19.5" customHeight="1" x14ac:dyDescent="0.25">
      <c r="B149" s="22"/>
      <c r="C149" s="22"/>
      <c r="D149" s="23"/>
      <c r="E149" s="23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 spans="2:19" ht="19.5" customHeight="1" x14ac:dyDescent="0.25">
      <c r="B150" s="22"/>
      <c r="C150" s="22"/>
      <c r="D150" s="23"/>
      <c r="E150" s="23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 spans="2:19" ht="19.5" customHeight="1" x14ac:dyDescent="0.25">
      <c r="B151" s="22"/>
      <c r="C151" s="22"/>
      <c r="D151" s="23"/>
      <c r="E151" s="23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 spans="2:19" ht="19.5" customHeight="1" x14ac:dyDescent="0.25">
      <c r="B152" s="22"/>
      <c r="C152" s="22"/>
      <c r="D152" s="23"/>
      <c r="E152" s="23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 spans="2:19" ht="19.5" customHeight="1" x14ac:dyDescent="0.25">
      <c r="B153" s="22"/>
      <c r="C153" s="22"/>
      <c r="D153" s="23"/>
      <c r="E153" s="23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 spans="2:19" ht="19.5" customHeight="1" x14ac:dyDescent="0.25">
      <c r="B154" s="22"/>
      <c r="C154" s="22"/>
      <c r="D154" s="23"/>
      <c r="E154" s="23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 spans="2:19" ht="19.5" customHeight="1" x14ac:dyDescent="0.25">
      <c r="B155" s="22"/>
      <c r="C155" s="22"/>
      <c r="D155" s="23"/>
      <c r="E155" s="23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 spans="2:19" ht="19.5" customHeight="1" x14ac:dyDescent="0.25">
      <c r="B156" s="22"/>
      <c r="C156" s="22"/>
      <c r="D156" s="23"/>
      <c r="E156" s="23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2:19" ht="19.5" customHeight="1" x14ac:dyDescent="0.25">
      <c r="B157" s="22"/>
      <c r="C157" s="22"/>
      <c r="D157" s="23"/>
      <c r="E157" s="2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 spans="2:19" ht="19.5" customHeight="1" x14ac:dyDescent="0.25">
      <c r="B158" s="22"/>
      <c r="C158" s="22"/>
      <c r="D158" s="23"/>
      <c r="E158" s="23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spans="2:19" ht="19.5" customHeight="1" x14ac:dyDescent="0.25">
      <c r="B159" s="22"/>
      <c r="C159" s="22"/>
      <c r="D159" s="23"/>
      <c r="E159" s="23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spans="2:19" ht="19.5" customHeight="1" x14ac:dyDescent="0.25">
      <c r="B160" s="22"/>
      <c r="C160" s="22"/>
      <c r="D160" s="23"/>
      <c r="E160" s="23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spans="2:19" ht="19.5" customHeight="1" x14ac:dyDescent="0.25">
      <c r="B161" s="22"/>
      <c r="C161" s="22"/>
      <c r="D161" s="23"/>
      <c r="E161" s="23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 spans="2:19" ht="19.5" customHeight="1" x14ac:dyDescent="0.25">
      <c r="B162" s="22"/>
      <c r="C162" s="22"/>
      <c r="D162" s="23"/>
      <c r="E162" s="23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 spans="2:19" ht="19.5" customHeight="1" x14ac:dyDescent="0.25">
      <c r="B163" s="22"/>
      <c r="C163" s="22"/>
      <c r="D163" s="23"/>
      <c r="E163" s="23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spans="2:19" ht="19.5" customHeight="1" x14ac:dyDescent="0.25">
      <c r="B164" s="22"/>
      <c r="C164" s="22"/>
      <c r="D164" s="23"/>
      <c r="E164" s="23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spans="2:19" ht="19.5" customHeight="1" x14ac:dyDescent="0.25">
      <c r="B165" s="22"/>
      <c r="C165" s="22"/>
      <c r="D165" s="23"/>
      <c r="E165" s="23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spans="2:19" ht="19.5" customHeight="1" x14ac:dyDescent="0.25">
      <c r="B166" s="22"/>
      <c r="C166" s="22"/>
      <c r="D166" s="23"/>
      <c r="E166" s="23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spans="2:19" ht="19.5" customHeight="1" x14ac:dyDescent="0.25">
      <c r="B167" s="22"/>
      <c r="C167" s="22"/>
      <c r="D167" s="23"/>
      <c r="E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spans="2:19" ht="19.5" customHeight="1" x14ac:dyDescent="0.25">
      <c r="B168" s="22"/>
      <c r="C168" s="22"/>
      <c r="D168" s="23"/>
      <c r="E168" s="23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 spans="2:19" ht="19.5" customHeight="1" x14ac:dyDescent="0.25">
      <c r="B169" s="22"/>
      <c r="C169" s="22"/>
      <c r="D169" s="23"/>
      <c r="E169" s="23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 spans="2:19" ht="19.5" customHeight="1" x14ac:dyDescent="0.25">
      <c r="B170" s="22"/>
      <c r="C170" s="22"/>
      <c r="D170" s="23"/>
      <c r="E170" s="23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spans="2:19" ht="19.5" customHeight="1" x14ac:dyDescent="0.25">
      <c r="B171" s="22"/>
      <c r="C171" s="22"/>
      <c r="D171" s="23"/>
      <c r="E171" s="23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spans="2:19" ht="19.5" customHeight="1" x14ac:dyDescent="0.25">
      <c r="B172" s="22"/>
      <c r="C172" s="22"/>
      <c r="D172" s="23"/>
      <c r="E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spans="2:19" ht="19.5" customHeight="1" x14ac:dyDescent="0.25">
      <c r="B173" s="22"/>
      <c r="C173" s="22"/>
      <c r="D173" s="23"/>
      <c r="E173" s="23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 spans="2:19" ht="19.5" customHeight="1" x14ac:dyDescent="0.25">
      <c r="B174" s="22"/>
      <c r="C174" s="22"/>
      <c r="D174" s="23"/>
      <c r="E174" s="23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 spans="2:19" ht="19.5" customHeight="1" x14ac:dyDescent="0.25">
      <c r="B175" s="22"/>
      <c r="C175" s="22"/>
      <c r="D175" s="23"/>
      <c r="E175" s="23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 spans="2:19" ht="19.5" customHeight="1" x14ac:dyDescent="0.25">
      <c r="B176" s="22"/>
      <c r="C176" s="22"/>
      <c r="D176" s="23"/>
      <c r="E176" s="23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 spans="2:19" ht="19.5" customHeight="1" x14ac:dyDescent="0.25">
      <c r="B177" s="22"/>
      <c r="C177" s="22"/>
      <c r="D177" s="23"/>
      <c r="E177" s="23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 spans="2:19" ht="19.5" customHeight="1" x14ac:dyDescent="0.25">
      <c r="B178" s="22"/>
      <c r="C178" s="22"/>
      <c r="D178" s="23"/>
      <c r="E178" s="2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 spans="2:19" ht="19.5" customHeight="1" x14ac:dyDescent="0.25">
      <c r="B179" s="22"/>
      <c r="C179" s="22"/>
      <c r="D179" s="23"/>
      <c r="E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 spans="2:19" ht="19.5" customHeight="1" x14ac:dyDescent="0.25">
      <c r="B180" s="22"/>
      <c r="C180" s="22"/>
      <c r="D180" s="23"/>
      <c r="E180" s="23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 spans="2:19" ht="19.5" customHeight="1" x14ac:dyDescent="0.25">
      <c r="B181" s="22"/>
      <c r="C181" s="22"/>
      <c r="D181" s="23"/>
      <c r="E181" s="23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 spans="2:19" ht="19.5" customHeight="1" x14ac:dyDescent="0.25">
      <c r="B182" s="22"/>
      <c r="C182" s="22"/>
      <c r="D182" s="23"/>
      <c r="E182" s="23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 spans="2:19" ht="19.5" customHeight="1" x14ac:dyDescent="0.25">
      <c r="B183" s="22"/>
      <c r="C183" s="22"/>
      <c r="D183" s="23"/>
      <c r="E183" s="23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 spans="2:19" ht="19.5" customHeight="1" x14ac:dyDescent="0.25">
      <c r="B184" s="22"/>
      <c r="C184" s="22"/>
      <c r="D184" s="23"/>
      <c r="E184" s="23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 spans="2:19" ht="19.5" customHeight="1" x14ac:dyDescent="0.25">
      <c r="B185" s="22"/>
      <c r="C185" s="22"/>
      <c r="D185" s="23"/>
      <c r="E185" s="23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 spans="2:19" ht="19.5" customHeight="1" x14ac:dyDescent="0.25">
      <c r="B186" s="22"/>
      <c r="C186" s="22"/>
      <c r="D186" s="23"/>
      <c r="E186" s="23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spans="2:19" ht="19.5" customHeight="1" x14ac:dyDescent="0.25">
      <c r="B187" s="22"/>
      <c r="C187" s="22"/>
      <c r="D187" s="23"/>
      <c r="E187" s="23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spans="2:19" ht="19.5" customHeight="1" x14ac:dyDescent="0.25">
      <c r="B188" s="22"/>
      <c r="C188" s="22"/>
      <c r="D188" s="23"/>
      <c r="E188" s="23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spans="2:19" ht="19.5" customHeight="1" x14ac:dyDescent="0.25">
      <c r="B189" s="22"/>
      <c r="C189" s="22"/>
      <c r="D189" s="23"/>
      <c r="E189" s="23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spans="2:19" ht="19.5" customHeight="1" x14ac:dyDescent="0.25">
      <c r="B190" s="22"/>
      <c r="C190" s="22"/>
      <c r="D190" s="23"/>
      <c r="E190" s="23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 spans="2:19" ht="19.5" customHeight="1" x14ac:dyDescent="0.25">
      <c r="B191" s="22"/>
      <c r="C191" s="22"/>
      <c r="D191" s="23"/>
      <c r="E191" s="23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 spans="2:19" ht="19.5" customHeight="1" x14ac:dyDescent="0.25">
      <c r="B192" s="22"/>
      <c r="C192" s="22"/>
      <c r="D192" s="23"/>
      <c r="E192" s="23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 spans="2:19" ht="19.5" customHeight="1" x14ac:dyDescent="0.25">
      <c r="B193" s="22"/>
      <c r="C193" s="22"/>
      <c r="D193" s="23"/>
      <c r="E193" s="23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 spans="2:19" ht="19.5" customHeight="1" x14ac:dyDescent="0.25">
      <c r="B194" s="22"/>
      <c r="C194" s="22"/>
      <c r="D194" s="23"/>
      <c r="E194" s="23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 spans="2:19" ht="19.5" customHeight="1" x14ac:dyDescent="0.25">
      <c r="B195" s="22"/>
      <c r="C195" s="22"/>
      <c r="D195" s="23"/>
      <c r="E195" s="23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 spans="2:19" ht="19.5" customHeight="1" x14ac:dyDescent="0.25">
      <c r="B196" s="22"/>
      <c r="C196" s="22"/>
      <c r="D196" s="23"/>
      <c r="E196" s="23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 spans="2:19" ht="19.5" customHeight="1" x14ac:dyDescent="0.25">
      <c r="B197" s="22"/>
      <c r="C197" s="22"/>
      <c r="D197" s="23"/>
      <c r="E197" s="23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 spans="2:19" ht="19.5" customHeight="1" x14ac:dyDescent="0.25">
      <c r="B198" s="22"/>
      <c r="C198" s="22"/>
      <c r="D198" s="23"/>
      <c r="E198" s="2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 spans="2:19" ht="19.5" customHeight="1" x14ac:dyDescent="0.25">
      <c r="B199" s="22"/>
      <c r="C199" s="22"/>
      <c r="D199" s="23"/>
      <c r="E199" s="23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 spans="2:19" ht="19.5" customHeight="1" x14ac:dyDescent="0.25">
      <c r="B200" s="22"/>
      <c r="C200" s="22"/>
      <c r="D200" s="23"/>
      <c r="E200" s="23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2:19" ht="19.5" customHeight="1" x14ac:dyDescent="0.25">
      <c r="B201" s="22"/>
      <c r="C201" s="22"/>
      <c r="D201" s="23"/>
      <c r="E201" s="23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 spans="2:19" ht="19.5" customHeight="1" x14ac:dyDescent="0.25">
      <c r="B202" s="22"/>
      <c r="C202" s="22"/>
      <c r="D202" s="23"/>
      <c r="E202" s="23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 spans="2:19" ht="19.5" customHeight="1" x14ac:dyDescent="0.25">
      <c r="B203" s="22"/>
      <c r="C203" s="22"/>
      <c r="D203" s="23"/>
      <c r="E203" s="23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 spans="2:19" ht="19.5" customHeight="1" x14ac:dyDescent="0.25">
      <c r="B204" s="22"/>
      <c r="C204" s="22"/>
      <c r="D204" s="23"/>
      <c r="E204" s="23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 spans="2:19" ht="19.5" customHeight="1" x14ac:dyDescent="0.25">
      <c r="B205" s="22"/>
      <c r="C205" s="22"/>
      <c r="D205" s="23"/>
      <c r="E205" s="23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 spans="2:19" ht="19.5" customHeight="1" x14ac:dyDescent="0.25">
      <c r="B206" s="22"/>
      <c r="C206" s="22"/>
      <c r="D206" s="23"/>
      <c r="E206" s="23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 spans="2:19" ht="19.5" customHeight="1" x14ac:dyDescent="0.25">
      <c r="B207" s="22"/>
      <c r="C207" s="22"/>
      <c r="D207" s="23"/>
      <c r="E207" s="23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 spans="2:19" ht="19.5" customHeight="1" x14ac:dyDescent="0.25">
      <c r="B208" s="22"/>
      <c r="C208" s="22"/>
      <c r="D208" s="23"/>
      <c r="E208" s="23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 spans="2:19" ht="19.5" customHeight="1" x14ac:dyDescent="0.25">
      <c r="B209" s="22"/>
      <c r="C209" s="22"/>
      <c r="D209" s="23"/>
      <c r="E209" s="23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 spans="2:19" ht="19.5" customHeight="1" x14ac:dyDescent="0.25">
      <c r="B210" s="22"/>
      <c r="C210" s="22"/>
      <c r="D210" s="23"/>
      <c r="E210" s="23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 spans="2:19" ht="19.5" customHeight="1" x14ac:dyDescent="0.25">
      <c r="B211" s="22"/>
      <c r="C211" s="22"/>
      <c r="D211" s="23"/>
      <c r="E211" s="23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 spans="2:19" ht="19.5" customHeight="1" x14ac:dyDescent="0.25">
      <c r="B212" s="22"/>
      <c r="C212" s="22"/>
      <c r="D212" s="23"/>
      <c r="E212" s="23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 spans="2:19" ht="19.5" customHeight="1" x14ac:dyDescent="0.25">
      <c r="B213" s="22"/>
      <c r="C213" s="22"/>
      <c r="D213" s="23"/>
      <c r="E213" s="23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 spans="2:19" ht="19.5" customHeight="1" x14ac:dyDescent="0.25">
      <c r="B214" s="22"/>
      <c r="C214" s="22"/>
      <c r="D214" s="23"/>
      <c r="E214" s="23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 spans="2:19" ht="19.5" customHeight="1" x14ac:dyDescent="0.25">
      <c r="B215" s="22"/>
      <c r="C215" s="22"/>
      <c r="D215" s="23"/>
      <c r="E215" s="23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 spans="2:19" ht="19.5" customHeight="1" x14ac:dyDescent="0.25">
      <c r="B216" s="22"/>
      <c r="C216" s="22"/>
      <c r="D216" s="23"/>
      <c r="E216" s="23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spans="2:19" ht="19.5" customHeight="1" x14ac:dyDescent="0.25">
      <c r="B217" s="22"/>
      <c r="C217" s="22"/>
      <c r="D217" s="23"/>
      <c r="E217" s="23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 spans="2:19" ht="19.5" customHeight="1" x14ac:dyDescent="0.25">
      <c r="B218" s="22"/>
      <c r="C218" s="22"/>
      <c r="D218" s="23"/>
      <c r="E218" s="23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spans="2:19" ht="19.5" customHeight="1" x14ac:dyDescent="0.25">
      <c r="B219" s="22"/>
      <c r="C219" s="22"/>
      <c r="D219" s="23"/>
      <c r="E219" s="23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 spans="2:19" ht="19.5" customHeight="1" x14ac:dyDescent="0.25">
      <c r="B220" s="22"/>
      <c r="C220" s="22"/>
      <c r="D220" s="23"/>
      <c r="E220" s="23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 spans="2:19" ht="19.5" customHeight="1" x14ac:dyDescent="0.25">
      <c r="B221" s="22"/>
      <c r="C221" s="22"/>
      <c r="D221" s="23"/>
      <c r="E221" s="23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</row>
    <row r="222" spans="2:19" ht="19.5" customHeight="1" x14ac:dyDescent="0.25">
      <c r="B222" s="22"/>
      <c r="C222" s="22"/>
      <c r="D222" s="23"/>
      <c r="E222" s="23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</row>
    <row r="223" spans="2:19" ht="19.5" customHeight="1" x14ac:dyDescent="0.25">
      <c r="B223" s="22"/>
      <c r="C223" s="22"/>
      <c r="D223" s="23"/>
      <c r="E223" s="23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</row>
    <row r="224" spans="2:19" ht="19.5" customHeight="1" x14ac:dyDescent="0.25">
      <c r="B224" s="22"/>
      <c r="C224" s="22"/>
      <c r="D224" s="23"/>
      <c r="E224" s="23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</row>
    <row r="225" spans="2:19" ht="19.5" customHeight="1" x14ac:dyDescent="0.25">
      <c r="B225" s="22"/>
      <c r="C225" s="22"/>
      <c r="D225" s="23"/>
      <c r="E225" s="23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</row>
    <row r="226" spans="2:19" ht="19.5" customHeight="1" x14ac:dyDescent="0.25">
      <c r="B226" s="22"/>
      <c r="C226" s="22"/>
      <c r="D226" s="23"/>
      <c r="E226" s="23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</row>
    <row r="227" spans="2:19" ht="19.5" customHeight="1" x14ac:dyDescent="0.25">
      <c r="B227" s="22"/>
      <c r="C227" s="22"/>
      <c r="D227" s="23"/>
      <c r="E227" s="23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</row>
    <row r="228" spans="2:19" ht="19.5" customHeight="1" x14ac:dyDescent="0.25">
      <c r="B228" s="22"/>
      <c r="C228" s="22"/>
      <c r="D228" s="23"/>
      <c r="E228" s="23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</row>
    <row r="229" spans="2:19" ht="19.5" customHeight="1" x14ac:dyDescent="0.25">
      <c r="B229" s="22"/>
      <c r="C229" s="22"/>
      <c r="D229" s="23"/>
      <c r="E229" s="23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</row>
    <row r="230" spans="2:19" ht="19.5" customHeight="1" x14ac:dyDescent="0.25">
      <c r="B230" s="22"/>
      <c r="C230" s="22"/>
      <c r="D230" s="23"/>
      <c r="E230" s="23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 spans="2:19" ht="19.5" customHeight="1" x14ac:dyDescent="0.25">
      <c r="B231" s="22"/>
      <c r="C231" s="22"/>
      <c r="D231" s="23"/>
      <c r="E231" s="23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</row>
    <row r="232" spans="2:19" ht="19.5" customHeight="1" x14ac:dyDescent="0.25">
      <c r="B232" s="22"/>
      <c r="C232" s="22"/>
      <c r="D232" s="23"/>
      <c r="E232" s="23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</row>
    <row r="233" spans="2:19" ht="19.5" customHeight="1" x14ac:dyDescent="0.25">
      <c r="B233" s="22"/>
      <c r="C233" s="22"/>
      <c r="D233" s="23"/>
      <c r="E233" s="23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</row>
    <row r="234" spans="2:19" ht="19.5" customHeight="1" x14ac:dyDescent="0.25">
      <c r="B234" s="22"/>
      <c r="C234" s="22"/>
      <c r="D234" s="23"/>
      <c r="E234" s="23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 spans="2:19" ht="19.5" customHeight="1" x14ac:dyDescent="0.25">
      <c r="B235" s="22"/>
      <c r="C235" s="22"/>
      <c r="D235" s="23"/>
      <c r="E235" s="23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</row>
    <row r="236" spans="2:19" ht="19.5" customHeight="1" x14ac:dyDescent="0.25">
      <c r="B236" s="22"/>
      <c r="C236" s="22"/>
      <c r="D236" s="23"/>
      <c r="E236" s="23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</row>
    <row r="237" spans="2:19" ht="19.5" customHeight="1" x14ac:dyDescent="0.25">
      <c r="B237" s="22"/>
      <c r="C237" s="22"/>
      <c r="D237" s="23"/>
      <c r="E237" s="23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</row>
    <row r="238" spans="2:19" ht="19.5" customHeight="1" x14ac:dyDescent="0.25">
      <c r="B238" s="22"/>
      <c r="C238" s="22"/>
      <c r="D238" s="23"/>
      <c r="E238" s="23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</row>
    <row r="239" spans="2:19" ht="19.5" customHeight="1" x14ac:dyDescent="0.25">
      <c r="B239" s="22"/>
      <c r="C239" s="22"/>
      <c r="D239" s="23"/>
      <c r="E239" s="23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</row>
    <row r="240" spans="2:19" ht="19.5" customHeight="1" x14ac:dyDescent="0.25">
      <c r="B240" s="22"/>
      <c r="C240" s="22"/>
      <c r="D240" s="23"/>
      <c r="E240" s="23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</row>
    <row r="241" spans="2:19" ht="19.5" customHeight="1" x14ac:dyDescent="0.25">
      <c r="B241" s="22"/>
      <c r="C241" s="22"/>
      <c r="D241" s="23"/>
      <c r="E241" s="23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2:19" ht="19.5" customHeight="1" x14ac:dyDescent="0.25">
      <c r="B242" s="22"/>
      <c r="C242" s="22"/>
      <c r="D242" s="23"/>
      <c r="E242" s="23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</row>
    <row r="243" spans="2:19" ht="19.5" customHeight="1" x14ac:dyDescent="0.25">
      <c r="B243" s="22"/>
      <c r="C243" s="22"/>
      <c r="D243" s="23"/>
      <c r="E243" s="23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</row>
    <row r="244" spans="2:19" ht="19.5" customHeight="1" x14ac:dyDescent="0.25">
      <c r="B244" s="22"/>
      <c r="C244" s="22"/>
      <c r="D244" s="23"/>
      <c r="E244" s="23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</row>
    <row r="245" spans="2:19" ht="19.5" customHeight="1" x14ac:dyDescent="0.25">
      <c r="B245" s="22"/>
      <c r="C245" s="22"/>
      <c r="D245" s="23"/>
      <c r="E245" s="23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</row>
    <row r="246" spans="2:19" ht="19.5" customHeight="1" x14ac:dyDescent="0.25">
      <c r="B246" s="22"/>
      <c r="C246" s="22"/>
      <c r="D246" s="23"/>
      <c r="E246" s="23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</row>
    <row r="247" spans="2:19" ht="19.5" customHeight="1" x14ac:dyDescent="0.25">
      <c r="B247" s="22"/>
      <c r="C247" s="22"/>
      <c r="D247" s="23"/>
      <c r="E247" s="23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</row>
    <row r="248" spans="2:19" ht="19.5" customHeight="1" x14ac:dyDescent="0.25">
      <c r="B248" s="22"/>
      <c r="C248" s="22"/>
      <c r="D248" s="23"/>
      <c r="E248" s="23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</row>
    <row r="249" spans="2:19" ht="19.5" customHeight="1" x14ac:dyDescent="0.25">
      <c r="B249" s="22"/>
      <c r="C249" s="22"/>
      <c r="D249" s="23"/>
      <c r="E249" s="23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</row>
    <row r="250" spans="2:19" ht="19.5" customHeight="1" x14ac:dyDescent="0.25">
      <c r="B250" s="22"/>
      <c r="C250" s="22"/>
      <c r="D250" s="23"/>
      <c r="E250" s="23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</row>
    <row r="251" spans="2:19" ht="19.5" customHeight="1" x14ac:dyDescent="0.25">
      <c r="B251" s="22"/>
      <c r="C251" s="22"/>
      <c r="D251" s="23"/>
      <c r="E251" s="23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 spans="2:19" ht="19.5" customHeight="1" x14ac:dyDescent="0.25">
      <c r="B252" s="22"/>
      <c r="C252" s="22"/>
      <c r="D252" s="23"/>
      <c r="E252" s="23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 spans="2:19" ht="19.5" customHeight="1" x14ac:dyDescent="0.25">
      <c r="B253" s="22"/>
      <c r="C253" s="22"/>
      <c r="D253" s="23"/>
      <c r="E253" s="23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</row>
    <row r="254" spans="2:19" ht="19.5" customHeight="1" x14ac:dyDescent="0.25">
      <c r="B254" s="22"/>
      <c r="C254" s="22"/>
      <c r="D254" s="23"/>
      <c r="E254" s="23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</row>
    <row r="255" spans="2:19" ht="19.5" customHeight="1" x14ac:dyDescent="0.25">
      <c r="B255" s="22"/>
      <c r="C255" s="22"/>
      <c r="D255" s="23"/>
      <c r="E255" s="23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</row>
    <row r="256" spans="2:19" ht="19.5" customHeight="1" x14ac:dyDescent="0.25">
      <c r="B256" s="22"/>
      <c r="C256" s="22"/>
      <c r="D256" s="23"/>
      <c r="E256" s="23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</row>
    <row r="257" spans="2:19" ht="19.5" customHeight="1" x14ac:dyDescent="0.25">
      <c r="B257" s="22"/>
      <c r="C257" s="22"/>
      <c r="D257" s="23"/>
      <c r="E257" s="23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</row>
    <row r="258" spans="2:19" ht="19.5" customHeight="1" x14ac:dyDescent="0.25">
      <c r="B258" s="22"/>
      <c r="C258" s="22"/>
      <c r="D258" s="23"/>
      <c r="E258" s="23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</row>
    <row r="259" spans="2:19" ht="19.5" customHeight="1" x14ac:dyDescent="0.25">
      <c r="B259" s="22"/>
      <c r="C259" s="22"/>
      <c r="D259" s="23"/>
      <c r="E259" s="23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</row>
    <row r="260" spans="2:19" ht="19.5" customHeight="1" x14ac:dyDescent="0.25">
      <c r="B260" s="22"/>
      <c r="C260" s="22"/>
      <c r="D260" s="23"/>
      <c r="E260" s="23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</row>
    <row r="261" spans="2:19" ht="19.5" customHeight="1" x14ac:dyDescent="0.25">
      <c r="B261" s="22"/>
      <c r="C261" s="22"/>
      <c r="D261" s="23"/>
      <c r="E261" s="23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</row>
    <row r="262" spans="2:19" ht="19.5" customHeight="1" x14ac:dyDescent="0.25">
      <c r="B262" s="22"/>
      <c r="C262" s="22"/>
      <c r="D262" s="23"/>
      <c r="E262" s="23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</row>
    <row r="263" spans="2:19" ht="19.5" customHeight="1" x14ac:dyDescent="0.25">
      <c r="B263" s="22"/>
      <c r="C263" s="22"/>
      <c r="D263" s="23"/>
      <c r="E263" s="23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</row>
    <row r="264" spans="2:19" ht="19.5" customHeight="1" x14ac:dyDescent="0.25">
      <c r="B264" s="22"/>
      <c r="C264" s="22"/>
      <c r="D264" s="23"/>
      <c r="E264" s="23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</row>
    <row r="265" spans="2:19" ht="19.5" customHeight="1" x14ac:dyDescent="0.25">
      <c r="B265" s="22"/>
      <c r="C265" s="22"/>
      <c r="D265" s="23"/>
      <c r="E265" s="23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</row>
    <row r="266" spans="2:19" ht="19.5" customHeight="1" x14ac:dyDescent="0.25">
      <c r="B266" s="22"/>
      <c r="C266" s="22"/>
      <c r="D266" s="23"/>
      <c r="E266" s="23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</row>
    <row r="267" spans="2:19" ht="19.5" customHeight="1" x14ac:dyDescent="0.25">
      <c r="B267" s="22"/>
      <c r="C267" s="22"/>
      <c r="D267" s="23"/>
      <c r="E267" s="23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</row>
    <row r="268" spans="2:19" ht="19.5" customHeight="1" x14ac:dyDescent="0.25">
      <c r="B268" s="22"/>
      <c r="C268" s="22"/>
      <c r="D268" s="23"/>
      <c r="E268" s="23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2:19" ht="19.5" customHeight="1" x14ac:dyDescent="0.25">
      <c r="B269" s="22"/>
      <c r="C269" s="22"/>
      <c r="D269" s="23"/>
      <c r="E269" s="23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</row>
    <row r="270" spans="2:19" ht="19.5" customHeight="1" x14ac:dyDescent="0.25">
      <c r="B270" s="22"/>
      <c r="C270" s="22"/>
      <c r="D270" s="23"/>
      <c r="E270" s="23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</row>
    <row r="271" spans="2:19" ht="19.5" customHeight="1" x14ac:dyDescent="0.25">
      <c r="B271" s="22"/>
      <c r="C271" s="22"/>
      <c r="D271" s="23"/>
      <c r="E271" s="23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</row>
    <row r="272" spans="2:19" ht="19.5" customHeight="1" x14ac:dyDescent="0.25">
      <c r="B272" s="22"/>
      <c r="C272" s="22"/>
      <c r="D272" s="23"/>
      <c r="E272" s="23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</row>
    <row r="273" spans="2:19" ht="19.5" customHeight="1" x14ac:dyDescent="0.25">
      <c r="B273" s="22"/>
      <c r="C273" s="22"/>
      <c r="D273" s="23"/>
      <c r="E273" s="23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</row>
    <row r="274" spans="2:19" ht="19.5" customHeight="1" x14ac:dyDescent="0.25">
      <c r="B274" s="22"/>
      <c r="C274" s="22"/>
      <c r="D274" s="23"/>
      <c r="E274" s="23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 spans="2:19" ht="19.5" customHeight="1" x14ac:dyDescent="0.25">
      <c r="B275" s="22"/>
      <c r="C275" s="22"/>
      <c r="D275" s="23"/>
      <c r="E275" s="23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</row>
    <row r="276" spans="2:19" ht="19.5" customHeight="1" x14ac:dyDescent="0.25">
      <c r="B276" s="22"/>
      <c r="C276" s="22"/>
      <c r="D276" s="23"/>
      <c r="E276" s="23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</row>
    <row r="277" spans="2:19" ht="19.5" customHeight="1" x14ac:dyDescent="0.25">
      <c r="B277" s="22"/>
      <c r="C277" s="22"/>
      <c r="D277" s="23"/>
      <c r="E277" s="23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</row>
    <row r="278" spans="2:19" ht="19.5" customHeight="1" x14ac:dyDescent="0.25">
      <c r="B278" s="22"/>
      <c r="C278" s="22"/>
      <c r="D278" s="23"/>
      <c r="E278" s="23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</row>
    <row r="279" spans="2:19" ht="19.5" customHeight="1" x14ac:dyDescent="0.25">
      <c r="B279" s="22"/>
      <c r="C279" s="22"/>
      <c r="D279" s="23"/>
      <c r="E279" s="23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</row>
    <row r="280" spans="2:19" ht="19.5" customHeight="1" x14ac:dyDescent="0.25">
      <c r="B280" s="22"/>
      <c r="C280" s="22"/>
      <c r="D280" s="23"/>
      <c r="E280" s="23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</row>
    <row r="281" spans="2:19" ht="19.5" customHeight="1" x14ac:dyDescent="0.25">
      <c r="B281" s="22"/>
      <c r="C281" s="22"/>
      <c r="D281" s="23"/>
      <c r="E281" s="23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</row>
    <row r="282" spans="2:19" ht="19.5" customHeight="1" x14ac:dyDescent="0.25">
      <c r="B282" s="22"/>
      <c r="C282" s="22"/>
      <c r="D282" s="23"/>
      <c r="E282" s="23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</row>
    <row r="283" spans="2:19" ht="19.5" customHeight="1" x14ac:dyDescent="0.25">
      <c r="B283" s="22"/>
      <c r="C283" s="22"/>
      <c r="D283" s="23"/>
      <c r="E283" s="23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</row>
    <row r="284" spans="2:19" ht="19.5" customHeight="1" x14ac:dyDescent="0.25">
      <c r="B284" s="22"/>
      <c r="C284" s="22"/>
      <c r="D284" s="23"/>
      <c r="E284" s="23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</row>
    <row r="285" spans="2:19" ht="19.5" customHeight="1" x14ac:dyDescent="0.25">
      <c r="B285" s="22"/>
      <c r="C285" s="22"/>
      <c r="D285" s="23"/>
      <c r="E285" s="23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</row>
    <row r="286" spans="2:19" ht="19.5" customHeight="1" x14ac:dyDescent="0.25">
      <c r="B286" s="22"/>
      <c r="C286" s="22"/>
      <c r="D286" s="23"/>
      <c r="E286" s="23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</row>
    <row r="287" spans="2:19" ht="19.5" customHeight="1" x14ac:dyDescent="0.25">
      <c r="B287" s="22"/>
      <c r="C287" s="22"/>
      <c r="D287" s="23"/>
      <c r="E287" s="23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</row>
    <row r="288" spans="2:19" ht="19.5" customHeight="1" x14ac:dyDescent="0.25">
      <c r="B288" s="22"/>
      <c r="C288" s="22"/>
      <c r="D288" s="23"/>
      <c r="E288" s="23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</row>
    <row r="289" spans="2:19" ht="19.5" customHeight="1" x14ac:dyDescent="0.25">
      <c r="B289" s="22"/>
      <c r="C289" s="22"/>
      <c r="D289" s="23"/>
      <c r="E289" s="23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</row>
    <row r="290" spans="2:19" ht="19.5" customHeight="1" x14ac:dyDescent="0.25">
      <c r="B290" s="22"/>
      <c r="C290" s="22"/>
      <c r="D290" s="23"/>
      <c r="E290" s="23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</row>
    <row r="291" spans="2:19" ht="19.5" customHeight="1" x14ac:dyDescent="0.25">
      <c r="B291" s="22"/>
      <c r="C291" s="22"/>
      <c r="D291" s="23"/>
      <c r="E291" s="23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</row>
    <row r="292" spans="2:19" ht="19.5" customHeight="1" x14ac:dyDescent="0.25">
      <c r="B292" s="22"/>
      <c r="C292" s="22"/>
      <c r="D292" s="23"/>
      <c r="E292" s="23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</row>
    <row r="293" spans="2:19" ht="19.5" customHeight="1" x14ac:dyDescent="0.25">
      <c r="B293" s="22"/>
      <c r="C293" s="22"/>
      <c r="D293" s="23"/>
      <c r="E293" s="23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</row>
    <row r="294" spans="2:19" ht="19.5" customHeight="1" x14ac:dyDescent="0.25">
      <c r="B294" s="22"/>
      <c r="C294" s="22"/>
      <c r="D294" s="23"/>
      <c r="E294" s="23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</row>
    <row r="295" spans="2:19" ht="19.5" customHeight="1" x14ac:dyDescent="0.25">
      <c r="B295" s="22"/>
      <c r="C295" s="22"/>
      <c r="D295" s="23"/>
      <c r="E295" s="23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</row>
    <row r="296" spans="2:19" ht="19.5" customHeight="1" x14ac:dyDescent="0.25">
      <c r="B296" s="22"/>
      <c r="C296" s="22"/>
      <c r="D296" s="23"/>
      <c r="E296" s="23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</row>
    <row r="297" spans="2:19" ht="19.5" customHeight="1" x14ac:dyDescent="0.25">
      <c r="B297" s="22"/>
      <c r="C297" s="22"/>
      <c r="D297" s="23"/>
      <c r="E297" s="23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</row>
    <row r="298" spans="2:19" ht="19.5" customHeight="1" x14ac:dyDescent="0.25">
      <c r="B298" s="22"/>
      <c r="C298" s="22"/>
      <c r="D298" s="23"/>
      <c r="E298" s="23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</row>
    <row r="299" spans="2:19" ht="19.5" customHeight="1" x14ac:dyDescent="0.25">
      <c r="B299" s="22"/>
      <c r="C299" s="22"/>
      <c r="D299" s="23"/>
      <c r="E299" s="23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</row>
    <row r="300" spans="2:19" ht="19.5" customHeight="1" x14ac:dyDescent="0.25">
      <c r="B300" s="22"/>
      <c r="C300" s="22"/>
      <c r="D300" s="23"/>
      <c r="E300" s="23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</row>
    <row r="301" spans="2:19" ht="19.5" customHeight="1" x14ac:dyDescent="0.25">
      <c r="B301" s="22"/>
      <c r="C301" s="22"/>
      <c r="D301" s="23"/>
      <c r="E301" s="23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</row>
    <row r="302" spans="2:19" ht="19.5" customHeight="1" x14ac:dyDescent="0.25">
      <c r="B302" s="22"/>
      <c r="C302" s="22"/>
      <c r="D302" s="23"/>
      <c r="E302" s="23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</row>
    <row r="303" spans="2:19" ht="19.5" customHeight="1" x14ac:dyDescent="0.25">
      <c r="B303" s="22"/>
      <c r="C303" s="22"/>
      <c r="D303" s="23"/>
      <c r="E303" s="23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</row>
    <row r="304" spans="2:19" ht="19.5" customHeight="1" x14ac:dyDescent="0.25">
      <c r="B304" s="22"/>
      <c r="C304" s="22"/>
      <c r="D304" s="23"/>
      <c r="E304" s="23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</row>
    <row r="305" spans="2:19" ht="19.5" customHeight="1" x14ac:dyDescent="0.25">
      <c r="B305" s="22"/>
      <c r="C305" s="22"/>
      <c r="D305" s="23"/>
      <c r="E305" s="23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</row>
    <row r="306" spans="2:19" ht="19.5" customHeight="1" x14ac:dyDescent="0.25">
      <c r="B306" s="22"/>
      <c r="C306" s="22"/>
      <c r="D306" s="23"/>
      <c r="E306" s="23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</row>
    <row r="307" spans="2:19" ht="19.5" customHeight="1" x14ac:dyDescent="0.25">
      <c r="B307" s="22"/>
      <c r="C307" s="22"/>
      <c r="D307" s="23"/>
      <c r="E307" s="23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</row>
    <row r="308" spans="2:19" ht="19.5" customHeight="1" x14ac:dyDescent="0.25">
      <c r="B308" s="22"/>
      <c r="C308" s="22"/>
      <c r="D308" s="23"/>
      <c r="E308" s="23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</row>
    <row r="309" spans="2:19" ht="19.5" customHeight="1" x14ac:dyDescent="0.25">
      <c r="B309" s="22"/>
      <c r="C309" s="22"/>
      <c r="D309" s="23"/>
      <c r="E309" s="23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</row>
    <row r="310" spans="2:19" ht="19.5" customHeight="1" x14ac:dyDescent="0.25">
      <c r="B310" s="22"/>
      <c r="C310" s="22"/>
      <c r="D310" s="23"/>
      <c r="E310" s="23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</row>
    <row r="311" spans="2:19" ht="19.5" customHeight="1" x14ac:dyDescent="0.25">
      <c r="B311" s="22"/>
      <c r="C311" s="22"/>
      <c r="D311" s="23"/>
      <c r="E311" s="23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</row>
    <row r="312" spans="2:19" ht="19.5" customHeight="1" x14ac:dyDescent="0.25">
      <c r="B312" s="22"/>
      <c r="C312" s="22"/>
      <c r="D312" s="23"/>
      <c r="E312" s="23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</row>
    <row r="313" spans="2:19" ht="19.5" customHeight="1" x14ac:dyDescent="0.25">
      <c r="B313" s="22"/>
      <c r="C313" s="22"/>
      <c r="D313" s="23"/>
      <c r="E313" s="23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</row>
    <row r="314" spans="2:19" ht="19.5" customHeight="1" x14ac:dyDescent="0.25">
      <c r="B314" s="22"/>
      <c r="C314" s="22"/>
      <c r="D314" s="23"/>
      <c r="E314" s="23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</row>
    <row r="315" spans="2:19" ht="19.5" customHeight="1" x14ac:dyDescent="0.25">
      <c r="B315" s="22"/>
      <c r="C315" s="22"/>
      <c r="D315" s="23"/>
      <c r="E315" s="23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</row>
    <row r="316" spans="2:19" ht="19.5" customHeight="1" x14ac:dyDescent="0.25">
      <c r="B316" s="22"/>
      <c r="C316" s="22"/>
      <c r="D316" s="23"/>
      <c r="E316" s="23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 spans="2:19" ht="19.5" customHeight="1" x14ac:dyDescent="0.25">
      <c r="B317" s="22"/>
      <c r="C317" s="22"/>
      <c r="D317" s="23"/>
      <c r="E317" s="23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</row>
    <row r="318" spans="2:19" ht="19.5" customHeight="1" x14ac:dyDescent="0.25">
      <c r="B318" s="22"/>
      <c r="C318" s="22"/>
      <c r="D318" s="23"/>
      <c r="E318" s="23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</row>
    <row r="319" spans="2:19" ht="19.5" customHeight="1" x14ac:dyDescent="0.25">
      <c r="B319" s="22"/>
      <c r="C319" s="22"/>
      <c r="D319" s="23"/>
      <c r="E319" s="23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</row>
    <row r="320" spans="2:19" ht="19.5" customHeight="1" x14ac:dyDescent="0.25">
      <c r="B320" s="22"/>
      <c r="C320" s="22"/>
      <c r="D320" s="23"/>
      <c r="E320" s="23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</row>
    <row r="321" spans="2:19" ht="19.5" customHeight="1" x14ac:dyDescent="0.25">
      <c r="B321" s="22"/>
      <c r="C321" s="22"/>
      <c r="D321" s="23"/>
      <c r="E321" s="23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</row>
    <row r="322" spans="2:19" ht="19.5" customHeight="1" x14ac:dyDescent="0.25">
      <c r="B322" s="22"/>
      <c r="C322" s="22"/>
      <c r="D322" s="23"/>
      <c r="E322" s="23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</row>
    <row r="323" spans="2:19" ht="19.5" customHeight="1" x14ac:dyDescent="0.25">
      <c r="B323" s="22"/>
      <c r="C323" s="22"/>
      <c r="D323" s="23"/>
      <c r="E323" s="23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</row>
    <row r="324" spans="2:19" ht="19.5" customHeight="1" x14ac:dyDescent="0.25">
      <c r="B324" s="22"/>
      <c r="C324" s="22"/>
      <c r="D324" s="23"/>
      <c r="E324" s="23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</row>
    <row r="325" spans="2:19" ht="19.5" customHeight="1" x14ac:dyDescent="0.25">
      <c r="B325" s="22"/>
      <c r="C325" s="22"/>
      <c r="D325" s="23"/>
      <c r="E325" s="23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</row>
    <row r="326" spans="2:19" ht="19.5" customHeight="1" x14ac:dyDescent="0.25">
      <c r="B326" s="22"/>
      <c r="C326" s="22"/>
      <c r="D326" s="23"/>
      <c r="E326" s="23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2:19" ht="19.5" customHeight="1" x14ac:dyDescent="0.25">
      <c r="B327" s="22"/>
      <c r="C327" s="22"/>
      <c r="D327" s="23"/>
      <c r="E327" s="23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</row>
    <row r="328" spans="2:19" ht="19.5" customHeight="1" x14ac:dyDescent="0.25">
      <c r="B328" s="22"/>
      <c r="C328" s="22"/>
      <c r="D328" s="23"/>
      <c r="E328" s="23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</row>
    <row r="329" spans="2:19" ht="19.5" customHeight="1" x14ac:dyDescent="0.25">
      <c r="B329" s="22"/>
      <c r="C329" s="22"/>
      <c r="D329" s="23"/>
      <c r="E329" s="23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</row>
    <row r="330" spans="2:19" ht="19.5" customHeight="1" x14ac:dyDescent="0.25">
      <c r="B330" s="22"/>
      <c r="C330" s="22"/>
      <c r="D330" s="23"/>
      <c r="E330" s="23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</row>
    <row r="331" spans="2:19" ht="19.5" customHeight="1" x14ac:dyDescent="0.25">
      <c r="B331" s="22"/>
      <c r="C331" s="22"/>
      <c r="D331" s="23"/>
      <c r="E331" s="23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</row>
    <row r="332" spans="2:19" ht="19.5" customHeight="1" x14ac:dyDescent="0.25">
      <c r="B332" s="22"/>
      <c r="C332" s="22"/>
      <c r="D332" s="23"/>
      <c r="E332" s="23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</row>
    <row r="333" spans="2:19" ht="19.5" customHeight="1" x14ac:dyDescent="0.25">
      <c r="B333" s="22"/>
      <c r="C333" s="22"/>
      <c r="D333" s="23"/>
      <c r="E333" s="23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</row>
    <row r="334" spans="2:19" ht="19.5" customHeight="1" x14ac:dyDescent="0.25">
      <c r="B334" s="22"/>
      <c r="C334" s="22"/>
      <c r="D334" s="23"/>
      <c r="E334" s="23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</row>
    <row r="335" spans="2:19" ht="19.5" customHeight="1" x14ac:dyDescent="0.25">
      <c r="B335" s="22"/>
      <c r="C335" s="22"/>
      <c r="D335" s="23"/>
      <c r="E335" s="23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</row>
    <row r="336" spans="2:19" ht="19.5" customHeight="1" x14ac:dyDescent="0.25">
      <c r="B336" s="22"/>
      <c r="C336" s="22"/>
      <c r="D336" s="23"/>
      <c r="E336" s="23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</row>
    <row r="337" spans="2:19" ht="19.5" customHeight="1" x14ac:dyDescent="0.25">
      <c r="B337" s="22"/>
      <c r="C337" s="22"/>
      <c r="D337" s="23"/>
      <c r="E337" s="23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</row>
    <row r="338" spans="2:19" ht="19.5" customHeight="1" x14ac:dyDescent="0.25">
      <c r="B338" s="22"/>
      <c r="C338" s="22"/>
      <c r="D338" s="23"/>
      <c r="E338" s="23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</row>
    <row r="339" spans="2:19" ht="19.5" customHeight="1" x14ac:dyDescent="0.25">
      <c r="B339" s="22"/>
      <c r="C339" s="22"/>
      <c r="D339" s="23"/>
      <c r="E339" s="23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</row>
    <row r="340" spans="2:19" ht="19.5" customHeight="1" x14ac:dyDescent="0.25">
      <c r="B340" s="22"/>
      <c r="C340" s="22"/>
      <c r="D340" s="23"/>
      <c r="E340" s="23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</row>
    <row r="341" spans="2:19" ht="19.5" customHeight="1" x14ac:dyDescent="0.25">
      <c r="B341" s="22"/>
      <c r="C341" s="22"/>
      <c r="D341" s="23"/>
      <c r="E341" s="23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</row>
    <row r="342" spans="2:19" ht="19.5" customHeight="1" x14ac:dyDescent="0.25">
      <c r="B342" s="22"/>
      <c r="C342" s="22"/>
      <c r="D342" s="23"/>
      <c r="E342" s="23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</row>
    <row r="343" spans="2:19" ht="19.5" customHeight="1" x14ac:dyDescent="0.25">
      <c r="B343" s="22"/>
      <c r="C343" s="22"/>
      <c r="D343" s="23"/>
      <c r="E343" s="23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</row>
    <row r="344" spans="2:19" ht="19.5" customHeight="1" x14ac:dyDescent="0.25">
      <c r="B344" s="22"/>
      <c r="C344" s="22"/>
      <c r="D344" s="23"/>
      <c r="E344" s="23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</row>
    <row r="345" spans="2:19" ht="19.5" customHeight="1" x14ac:dyDescent="0.25">
      <c r="B345" s="22"/>
      <c r="C345" s="22"/>
      <c r="D345" s="23"/>
      <c r="E345" s="23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</row>
    <row r="346" spans="2:19" ht="19.5" customHeight="1" x14ac:dyDescent="0.25">
      <c r="B346" s="22"/>
      <c r="C346" s="22"/>
      <c r="D346" s="23"/>
      <c r="E346" s="23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</row>
    <row r="347" spans="2:19" ht="19.5" customHeight="1" x14ac:dyDescent="0.25">
      <c r="B347" s="22"/>
      <c r="C347" s="22"/>
      <c r="D347" s="23"/>
      <c r="E347" s="23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</row>
    <row r="348" spans="2:19" ht="19.5" customHeight="1" x14ac:dyDescent="0.25">
      <c r="B348" s="22"/>
      <c r="C348" s="22"/>
      <c r="D348" s="23"/>
      <c r="E348" s="23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</row>
    <row r="349" spans="2:19" ht="19.5" customHeight="1" x14ac:dyDescent="0.25">
      <c r="B349" s="22"/>
      <c r="C349" s="22"/>
      <c r="D349" s="23"/>
      <c r="E349" s="23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</row>
    <row r="350" spans="2:19" ht="19.5" customHeight="1" x14ac:dyDescent="0.25">
      <c r="B350" s="22"/>
      <c r="C350" s="22"/>
      <c r="D350" s="23"/>
      <c r="E350" s="23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</row>
    <row r="351" spans="2:19" ht="19.5" customHeight="1" x14ac:dyDescent="0.25">
      <c r="B351" s="22"/>
      <c r="C351" s="22"/>
      <c r="D351" s="23"/>
      <c r="E351" s="23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</row>
    <row r="352" spans="2:19" ht="19.5" customHeight="1" x14ac:dyDescent="0.25">
      <c r="B352" s="22"/>
      <c r="C352" s="22"/>
      <c r="D352" s="23"/>
      <c r="E352" s="23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</row>
    <row r="353" spans="2:19" ht="19.5" customHeight="1" x14ac:dyDescent="0.25">
      <c r="B353" s="22"/>
      <c r="C353" s="22"/>
      <c r="D353" s="23"/>
      <c r="E353" s="23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</row>
    <row r="354" spans="2:19" ht="19.5" customHeight="1" x14ac:dyDescent="0.25">
      <c r="B354" s="22"/>
      <c r="C354" s="22"/>
      <c r="D354" s="23"/>
      <c r="E354" s="23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2:19" ht="19.5" customHeight="1" x14ac:dyDescent="0.25">
      <c r="B355" s="22"/>
      <c r="C355" s="22"/>
      <c r="D355" s="23"/>
      <c r="E355" s="23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</row>
    <row r="356" spans="2:19" ht="19.5" customHeight="1" x14ac:dyDescent="0.25">
      <c r="B356" s="22"/>
      <c r="C356" s="22"/>
      <c r="D356" s="23"/>
      <c r="E356" s="23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</row>
    <row r="357" spans="2:19" ht="19.5" customHeight="1" x14ac:dyDescent="0.25">
      <c r="B357" s="22"/>
      <c r="C357" s="22"/>
      <c r="D357" s="23"/>
      <c r="E357" s="23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</row>
    <row r="358" spans="2:19" ht="19.5" customHeight="1" x14ac:dyDescent="0.25">
      <c r="B358" s="22"/>
      <c r="C358" s="22"/>
      <c r="D358" s="23"/>
      <c r="E358" s="23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</row>
    <row r="359" spans="2:19" ht="19.5" customHeight="1" x14ac:dyDescent="0.25">
      <c r="B359" s="22"/>
      <c r="C359" s="22"/>
      <c r="D359" s="23"/>
      <c r="E359" s="23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</row>
    <row r="360" spans="2:19" ht="19.5" customHeight="1" x14ac:dyDescent="0.25">
      <c r="B360" s="22"/>
      <c r="C360" s="22"/>
      <c r="D360" s="23"/>
      <c r="E360" s="23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</row>
    <row r="361" spans="2:19" ht="19.5" customHeight="1" x14ac:dyDescent="0.25">
      <c r="B361" s="22"/>
      <c r="C361" s="22"/>
      <c r="D361" s="23"/>
      <c r="E361" s="23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</row>
    <row r="362" spans="2:19" ht="19.5" customHeight="1" x14ac:dyDescent="0.25">
      <c r="B362" s="22"/>
      <c r="C362" s="22"/>
      <c r="D362" s="23"/>
      <c r="E362" s="23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</row>
    <row r="363" spans="2:19" ht="19.5" customHeight="1" x14ac:dyDescent="0.25">
      <c r="B363" s="22"/>
      <c r="C363" s="22"/>
      <c r="D363" s="23"/>
      <c r="E363" s="23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</row>
    <row r="364" spans="2:19" ht="19.5" customHeight="1" x14ac:dyDescent="0.25">
      <c r="B364" s="22"/>
      <c r="C364" s="22"/>
      <c r="D364" s="23"/>
      <c r="E364" s="23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</row>
    <row r="365" spans="2:19" ht="19.5" customHeight="1" x14ac:dyDescent="0.25">
      <c r="B365" s="22"/>
      <c r="C365" s="22"/>
      <c r="D365" s="23"/>
      <c r="E365" s="23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</row>
    <row r="366" spans="2:19" ht="19.5" customHeight="1" x14ac:dyDescent="0.25">
      <c r="B366" s="22"/>
      <c r="C366" s="22"/>
      <c r="D366" s="23"/>
      <c r="E366" s="23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</row>
    <row r="367" spans="2:19" ht="19.5" customHeight="1" x14ac:dyDescent="0.25">
      <c r="B367" s="22"/>
      <c r="C367" s="22"/>
      <c r="D367" s="23"/>
      <c r="E367" s="23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 spans="2:19" ht="19.5" customHeight="1" x14ac:dyDescent="0.25">
      <c r="B368" s="22"/>
      <c r="C368" s="22"/>
      <c r="D368" s="23"/>
      <c r="E368" s="23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 spans="2:19" ht="19.5" customHeight="1" x14ac:dyDescent="0.25">
      <c r="B369" s="22"/>
      <c r="C369" s="22"/>
      <c r="D369" s="23"/>
      <c r="E369" s="23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 spans="2:19" ht="19.5" customHeight="1" x14ac:dyDescent="0.25">
      <c r="B370" s="22"/>
      <c r="C370" s="22"/>
      <c r="D370" s="23"/>
      <c r="E370" s="23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 spans="2:19" ht="19.5" customHeight="1" x14ac:dyDescent="0.25">
      <c r="B371" s="22"/>
      <c r="C371" s="22"/>
      <c r="D371" s="23"/>
      <c r="E371" s="23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 spans="2:19" ht="19.5" customHeight="1" x14ac:dyDescent="0.25">
      <c r="B372" s="22"/>
      <c r="C372" s="22"/>
      <c r="D372" s="23"/>
      <c r="E372" s="23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 spans="2:19" ht="19.5" customHeight="1" x14ac:dyDescent="0.25">
      <c r="B373" s="22"/>
      <c r="C373" s="22"/>
      <c r="D373" s="23"/>
      <c r="E373" s="23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 spans="2:19" ht="19.5" customHeight="1" x14ac:dyDescent="0.25">
      <c r="B374" s="22"/>
      <c r="C374" s="22"/>
      <c r="D374" s="23"/>
      <c r="E374" s="23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 spans="2:19" ht="19.5" customHeight="1" x14ac:dyDescent="0.25">
      <c r="B375" s="22"/>
      <c r="C375" s="22"/>
      <c r="D375" s="23"/>
      <c r="E375" s="23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 spans="2:19" ht="19.5" customHeight="1" x14ac:dyDescent="0.25">
      <c r="B376" s="22"/>
      <c r="C376" s="22"/>
      <c r="D376" s="23"/>
      <c r="E376" s="23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 spans="2:19" ht="19.5" customHeight="1" x14ac:dyDescent="0.25">
      <c r="B377" s="22"/>
      <c r="C377" s="22"/>
      <c r="D377" s="23"/>
      <c r="E377" s="23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 spans="2:19" ht="19.5" customHeight="1" x14ac:dyDescent="0.25">
      <c r="B378" s="22"/>
      <c r="C378" s="22"/>
      <c r="D378" s="23"/>
      <c r="E378" s="23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 spans="2:19" ht="19.5" customHeight="1" x14ac:dyDescent="0.25">
      <c r="B379" s="22"/>
      <c r="C379" s="22"/>
      <c r="D379" s="23"/>
      <c r="E379" s="23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 spans="2:19" ht="19.5" customHeight="1" x14ac:dyDescent="0.25">
      <c r="B380" s="22"/>
      <c r="C380" s="22"/>
      <c r="D380" s="23"/>
      <c r="E380" s="23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</row>
    <row r="381" spans="2:19" ht="19.5" customHeight="1" x14ac:dyDescent="0.25">
      <c r="B381" s="22"/>
      <c r="C381" s="22"/>
      <c r="D381" s="23"/>
      <c r="E381" s="23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</row>
    <row r="382" spans="2:19" ht="19.5" customHeight="1" x14ac:dyDescent="0.25">
      <c r="B382" s="22"/>
      <c r="C382" s="22"/>
      <c r="D382" s="23"/>
      <c r="E382" s="23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</row>
    <row r="383" spans="2:19" ht="19.5" customHeight="1" x14ac:dyDescent="0.25">
      <c r="B383" s="22"/>
      <c r="C383" s="22"/>
      <c r="D383" s="23"/>
      <c r="E383" s="23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</row>
    <row r="384" spans="2:19" ht="19.5" customHeight="1" x14ac:dyDescent="0.25">
      <c r="B384" s="22"/>
      <c r="C384" s="22"/>
      <c r="D384" s="23"/>
      <c r="E384" s="23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</row>
    <row r="385" spans="2:19" ht="19.5" customHeight="1" x14ac:dyDescent="0.25">
      <c r="B385" s="22"/>
      <c r="C385" s="22"/>
      <c r="D385" s="23"/>
      <c r="E385" s="23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</row>
    <row r="386" spans="2:19" ht="19.5" customHeight="1" x14ac:dyDescent="0.25">
      <c r="B386" s="22"/>
      <c r="C386" s="22"/>
      <c r="D386" s="23"/>
      <c r="E386" s="23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</row>
    <row r="387" spans="2:19" ht="19.5" customHeight="1" x14ac:dyDescent="0.25">
      <c r="B387" s="22"/>
      <c r="C387" s="22"/>
      <c r="D387" s="23"/>
      <c r="E387" s="23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</row>
    <row r="388" spans="2:19" ht="19.5" customHeight="1" x14ac:dyDescent="0.25">
      <c r="B388" s="22"/>
      <c r="C388" s="22"/>
      <c r="D388" s="23"/>
      <c r="E388" s="23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</row>
    <row r="389" spans="2:19" ht="19.5" customHeight="1" x14ac:dyDescent="0.25">
      <c r="B389" s="22"/>
      <c r="C389" s="22"/>
      <c r="D389" s="23"/>
      <c r="E389" s="23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</row>
    <row r="390" spans="2:19" ht="19.5" customHeight="1" x14ac:dyDescent="0.25">
      <c r="B390" s="22"/>
      <c r="C390" s="22"/>
      <c r="D390" s="23"/>
      <c r="E390" s="23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</row>
    <row r="391" spans="2:19" ht="19.5" customHeight="1" x14ac:dyDescent="0.25">
      <c r="B391" s="22"/>
      <c r="C391" s="22"/>
      <c r="D391" s="23"/>
      <c r="E391" s="23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</row>
    <row r="392" spans="2:19" ht="19.5" customHeight="1" x14ac:dyDescent="0.25">
      <c r="B392" s="22"/>
      <c r="C392" s="22"/>
      <c r="D392" s="23"/>
      <c r="E392" s="23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</row>
    <row r="393" spans="2:19" ht="19.5" customHeight="1" x14ac:dyDescent="0.25">
      <c r="B393" s="22"/>
      <c r="C393" s="22"/>
      <c r="D393" s="23"/>
      <c r="E393" s="23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</row>
    <row r="394" spans="2:19" ht="19.5" customHeight="1" x14ac:dyDescent="0.25">
      <c r="B394" s="22"/>
      <c r="C394" s="22"/>
      <c r="D394" s="23"/>
      <c r="E394" s="23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</row>
    <row r="395" spans="2:19" ht="19.5" customHeight="1" x14ac:dyDescent="0.25">
      <c r="B395" s="22"/>
      <c r="C395" s="22"/>
      <c r="D395" s="23"/>
      <c r="E395" s="23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</row>
    <row r="396" spans="2:19" ht="19.5" customHeight="1" x14ac:dyDescent="0.25">
      <c r="B396" s="22"/>
      <c r="C396" s="22"/>
      <c r="D396" s="23"/>
      <c r="E396" s="23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</row>
    <row r="397" spans="2:19" ht="19.5" customHeight="1" x14ac:dyDescent="0.25">
      <c r="B397" s="22"/>
      <c r="C397" s="22"/>
      <c r="D397" s="23"/>
      <c r="E397" s="23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</row>
    <row r="398" spans="2:19" ht="19.5" customHeight="1" x14ac:dyDescent="0.25">
      <c r="B398" s="22"/>
      <c r="C398" s="22"/>
      <c r="D398" s="23"/>
      <c r="E398" s="23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</row>
    <row r="399" spans="2:19" ht="19.5" customHeight="1" x14ac:dyDescent="0.25">
      <c r="B399" s="22"/>
      <c r="C399" s="22"/>
      <c r="D399" s="23"/>
      <c r="E399" s="23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</row>
    <row r="400" spans="2:19" ht="19.5" customHeight="1" x14ac:dyDescent="0.25">
      <c r="B400" s="22"/>
      <c r="C400" s="22"/>
      <c r="D400" s="23"/>
      <c r="E400" s="23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</row>
    <row r="401" spans="2:19" ht="19.5" customHeight="1" x14ac:dyDescent="0.25">
      <c r="B401" s="22"/>
      <c r="C401" s="22"/>
      <c r="D401" s="23"/>
      <c r="E401" s="23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</row>
    <row r="402" spans="2:19" ht="19.5" customHeight="1" x14ac:dyDescent="0.25">
      <c r="B402" s="22"/>
      <c r="C402" s="22"/>
      <c r="D402" s="23"/>
      <c r="E402" s="23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</row>
    <row r="403" spans="2:19" ht="19.5" customHeight="1" x14ac:dyDescent="0.25">
      <c r="B403" s="22"/>
      <c r="C403" s="22"/>
      <c r="D403" s="23"/>
      <c r="E403" s="23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</row>
    <row r="404" spans="2:19" ht="19.5" customHeight="1" x14ac:dyDescent="0.25">
      <c r="B404" s="22"/>
      <c r="C404" s="22"/>
      <c r="D404" s="23"/>
      <c r="E404" s="23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</row>
    <row r="405" spans="2:19" ht="19.5" customHeight="1" x14ac:dyDescent="0.25">
      <c r="B405" s="22"/>
      <c r="C405" s="22"/>
      <c r="D405" s="23"/>
      <c r="E405" s="23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</row>
    <row r="406" spans="2:19" ht="19.5" customHeight="1" x14ac:dyDescent="0.25">
      <c r="B406" s="22"/>
      <c r="C406" s="22"/>
      <c r="D406" s="23"/>
      <c r="E406" s="23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</row>
    <row r="407" spans="2:19" ht="19.5" customHeight="1" x14ac:dyDescent="0.25">
      <c r="B407" s="22"/>
      <c r="C407" s="22"/>
      <c r="D407" s="23"/>
      <c r="E407" s="23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</row>
    <row r="408" spans="2:19" ht="19.5" customHeight="1" x14ac:dyDescent="0.25">
      <c r="B408" s="22"/>
      <c r="C408" s="22"/>
      <c r="D408" s="23"/>
      <c r="E408" s="23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</row>
    <row r="409" spans="2:19" ht="19.5" customHeight="1" x14ac:dyDescent="0.25">
      <c r="B409" s="22"/>
      <c r="C409" s="22"/>
      <c r="D409" s="23"/>
      <c r="E409" s="23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</row>
    <row r="410" spans="2:19" ht="19.5" customHeight="1" x14ac:dyDescent="0.25">
      <c r="B410" s="22"/>
      <c r="C410" s="22"/>
      <c r="D410" s="23"/>
      <c r="E410" s="23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</row>
    <row r="411" spans="2:19" ht="19.5" customHeight="1" x14ac:dyDescent="0.25">
      <c r="B411" s="22"/>
      <c r="C411" s="22"/>
      <c r="D411" s="23"/>
      <c r="E411" s="23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</row>
    <row r="412" spans="2:19" ht="19.5" customHeight="1" x14ac:dyDescent="0.25">
      <c r="B412" s="22"/>
      <c r="C412" s="22"/>
      <c r="D412" s="23"/>
      <c r="E412" s="23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</row>
    <row r="413" spans="2:19" ht="19.5" customHeight="1" x14ac:dyDescent="0.25">
      <c r="B413" s="22"/>
      <c r="C413" s="22"/>
      <c r="D413" s="23"/>
      <c r="E413" s="23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</row>
    <row r="414" spans="2:19" ht="19.5" customHeight="1" x14ac:dyDescent="0.25">
      <c r="B414" s="22"/>
      <c r="C414" s="22"/>
      <c r="D414" s="23"/>
      <c r="E414" s="23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</row>
    <row r="415" spans="2:19" ht="19.5" customHeight="1" x14ac:dyDescent="0.25">
      <c r="B415" s="22"/>
      <c r="C415" s="22"/>
      <c r="D415" s="23"/>
      <c r="E415" s="23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</row>
    <row r="416" spans="2:19" ht="19.5" customHeight="1" x14ac:dyDescent="0.25">
      <c r="B416" s="22"/>
      <c r="C416" s="22"/>
      <c r="D416" s="23"/>
      <c r="E416" s="23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</row>
    <row r="417" spans="2:19" ht="19.5" customHeight="1" x14ac:dyDescent="0.25">
      <c r="B417" s="22"/>
      <c r="C417" s="22"/>
      <c r="D417" s="23"/>
      <c r="E417" s="23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</row>
    <row r="418" spans="2:19" ht="19.5" customHeight="1" x14ac:dyDescent="0.25">
      <c r="B418" s="22"/>
      <c r="C418" s="22"/>
      <c r="D418" s="23"/>
      <c r="E418" s="23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</row>
    <row r="419" spans="2:19" ht="19.5" customHeight="1" x14ac:dyDescent="0.25">
      <c r="B419" s="22"/>
      <c r="C419" s="22"/>
      <c r="D419" s="23"/>
      <c r="E419" s="23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</row>
    <row r="420" spans="2:19" ht="19.5" customHeight="1" x14ac:dyDescent="0.25">
      <c r="B420" s="22"/>
      <c r="C420" s="22"/>
      <c r="D420" s="23"/>
      <c r="E420" s="23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</row>
    <row r="421" spans="2:19" ht="19.5" customHeight="1" x14ac:dyDescent="0.25">
      <c r="B421" s="22"/>
      <c r="C421" s="22"/>
      <c r="D421" s="23"/>
      <c r="E421" s="23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</row>
    <row r="422" spans="2:19" ht="19.5" customHeight="1" x14ac:dyDescent="0.25">
      <c r="B422" s="22"/>
      <c r="C422" s="22"/>
      <c r="D422" s="23"/>
      <c r="E422" s="23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</row>
    <row r="423" spans="2:19" ht="19.5" customHeight="1" x14ac:dyDescent="0.25">
      <c r="B423" s="22"/>
      <c r="C423" s="22"/>
      <c r="D423" s="23"/>
      <c r="E423" s="23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</row>
    <row r="424" spans="2:19" ht="19.5" customHeight="1" x14ac:dyDescent="0.25">
      <c r="B424" s="22"/>
      <c r="C424" s="22"/>
      <c r="D424" s="23"/>
      <c r="E424" s="23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</row>
    <row r="425" spans="2:19" ht="19.5" customHeight="1" x14ac:dyDescent="0.25">
      <c r="B425" s="22"/>
      <c r="C425" s="22"/>
      <c r="D425" s="23"/>
      <c r="E425" s="23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</row>
    <row r="426" spans="2:19" ht="19.5" customHeight="1" x14ac:dyDescent="0.25">
      <c r="B426" s="22"/>
      <c r="C426" s="22"/>
      <c r="D426" s="23"/>
      <c r="E426" s="23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</row>
    <row r="427" spans="2:19" ht="19.5" customHeight="1" x14ac:dyDescent="0.25">
      <c r="B427" s="22"/>
      <c r="C427" s="22"/>
      <c r="D427" s="23"/>
      <c r="E427" s="23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</row>
    <row r="428" spans="2:19" ht="19.5" customHeight="1" x14ac:dyDescent="0.25">
      <c r="B428" s="22"/>
      <c r="C428" s="22"/>
      <c r="D428" s="23"/>
      <c r="E428" s="23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</row>
    <row r="429" spans="2:19" ht="19.5" customHeight="1" x14ac:dyDescent="0.25">
      <c r="B429" s="22"/>
      <c r="C429" s="22"/>
      <c r="D429" s="23"/>
      <c r="E429" s="23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</row>
    <row r="430" spans="2:19" ht="19.5" customHeight="1" x14ac:dyDescent="0.25">
      <c r="B430" s="22"/>
      <c r="C430" s="22"/>
      <c r="D430" s="23"/>
      <c r="E430" s="23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</row>
    <row r="431" spans="2:19" ht="19.5" customHeight="1" x14ac:dyDescent="0.25">
      <c r="B431" s="22"/>
      <c r="C431" s="22"/>
      <c r="D431" s="23"/>
      <c r="E431" s="23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</row>
    <row r="432" spans="2:19" ht="19.5" customHeight="1" x14ac:dyDescent="0.25">
      <c r="B432" s="22"/>
      <c r="C432" s="22"/>
      <c r="D432" s="23"/>
      <c r="E432" s="23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</row>
    <row r="433" spans="2:19" ht="19.5" customHeight="1" x14ac:dyDescent="0.25">
      <c r="B433" s="22"/>
      <c r="C433" s="22"/>
      <c r="D433" s="23"/>
      <c r="E433" s="23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</row>
    <row r="434" spans="2:19" ht="19.5" customHeight="1" x14ac:dyDescent="0.25">
      <c r="B434" s="22"/>
      <c r="C434" s="22"/>
      <c r="D434" s="23"/>
      <c r="E434" s="23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</row>
    <row r="435" spans="2:19" ht="19.5" customHeight="1" x14ac:dyDescent="0.25">
      <c r="B435" s="22"/>
      <c r="C435" s="22"/>
      <c r="D435" s="23"/>
      <c r="E435" s="23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</row>
    <row r="436" spans="2:19" ht="19.5" customHeight="1" x14ac:dyDescent="0.25">
      <c r="B436" s="22"/>
      <c r="C436" s="22"/>
      <c r="D436" s="23"/>
      <c r="E436" s="23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</row>
    <row r="437" spans="2:19" ht="19.5" customHeight="1" x14ac:dyDescent="0.25">
      <c r="B437" s="22"/>
      <c r="C437" s="22"/>
      <c r="D437" s="23"/>
      <c r="E437" s="23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</row>
    <row r="438" spans="2:19" ht="19.5" customHeight="1" x14ac:dyDescent="0.25">
      <c r="B438" s="22"/>
      <c r="C438" s="22"/>
      <c r="D438" s="23"/>
      <c r="E438" s="23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</row>
    <row r="439" spans="2:19" ht="19.5" customHeight="1" x14ac:dyDescent="0.25">
      <c r="B439" s="22"/>
      <c r="C439" s="22"/>
      <c r="D439" s="23"/>
      <c r="E439" s="23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</row>
    <row r="440" spans="2:19" ht="19.5" customHeight="1" x14ac:dyDescent="0.25">
      <c r="B440" s="22"/>
      <c r="C440" s="22"/>
      <c r="D440" s="23"/>
      <c r="E440" s="23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</row>
    <row r="441" spans="2:19" ht="19.5" customHeight="1" x14ac:dyDescent="0.25">
      <c r="B441" s="22"/>
      <c r="C441" s="22"/>
      <c r="D441" s="23"/>
      <c r="E441" s="23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</row>
    <row r="442" spans="2:19" ht="19.5" customHeight="1" x14ac:dyDescent="0.25">
      <c r="B442" s="22"/>
      <c r="C442" s="22"/>
      <c r="D442" s="23"/>
      <c r="E442" s="23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</row>
    <row r="443" spans="2:19" ht="19.5" customHeight="1" x14ac:dyDescent="0.25">
      <c r="B443" s="22"/>
      <c r="C443" s="22"/>
      <c r="D443" s="23"/>
      <c r="E443" s="23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</row>
    <row r="444" spans="2:19" ht="19.5" customHeight="1" x14ac:dyDescent="0.25">
      <c r="B444" s="22"/>
      <c r="C444" s="22"/>
      <c r="D444" s="23"/>
      <c r="E444" s="23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</row>
    <row r="445" spans="2:19" ht="19.5" customHeight="1" x14ac:dyDescent="0.25">
      <c r="B445" s="22"/>
      <c r="C445" s="22"/>
      <c r="D445" s="23"/>
      <c r="E445" s="23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</row>
    <row r="446" spans="2:19" ht="19.5" customHeight="1" x14ac:dyDescent="0.25">
      <c r="B446" s="22"/>
      <c r="C446" s="22"/>
      <c r="D446" s="23"/>
      <c r="E446" s="23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</row>
    <row r="447" spans="2:19" ht="19.5" customHeight="1" x14ac:dyDescent="0.25">
      <c r="B447" s="22"/>
      <c r="C447" s="22"/>
      <c r="D447" s="23"/>
      <c r="E447" s="23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</row>
    <row r="448" spans="2:19" ht="19.5" customHeight="1" x14ac:dyDescent="0.25">
      <c r="B448" s="22"/>
      <c r="C448" s="22"/>
      <c r="D448" s="23"/>
      <c r="E448" s="23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</row>
    <row r="449" spans="2:19" ht="19.5" customHeight="1" x14ac:dyDescent="0.25">
      <c r="B449" s="22"/>
      <c r="C449" s="22"/>
      <c r="D449" s="23"/>
      <c r="E449" s="23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</row>
    <row r="450" spans="2:19" ht="19.5" customHeight="1" x14ac:dyDescent="0.25">
      <c r="B450" s="22"/>
      <c r="C450" s="22"/>
      <c r="D450" s="23"/>
      <c r="E450" s="23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</row>
    <row r="451" spans="2:19" ht="19.5" customHeight="1" x14ac:dyDescent="0.25">
      <c r="B451" s="22"/>
      <c r="C451" s="22"/>
      <c r="D451" s="23"/>
      <c r="E451" s="23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</row>
    <row r="452" spans="2:19" ht="19.5" customHeight="1" x14ac:dyDescent="0.25">
      <c r="B452" s="22"/>
      <c r="C452" s="22"/>
      <c r="D452" s="23"/>
      <c r="E452" s="23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</row>
    <row r="453" spans="2:19" ht="19.5" customHeight="1" x14ac:dyDescent="0.25">
      <c r="B453" s="22"/>
      <c r="C453" s="22"/>
      <c r="D453" s="23"/>
      <c r="E453" s="23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</row>
    <row r="454" spans="2:19" ht="19.5" customHeight="1" x14ac:dyDescent="0.25">
      <c r="B454" s="22"/>
      <c r="C454" s="22"/>
      <c r="D454" s="23"/>
      <c r="E454" s="23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</row>
    <row r="455" spans="2:19" ht="19.5" customHeight="1" x14ac:dyDescent="0.25">
      <c r="B455" s="22"/>
      <c r="C455" s="22"/>
      <c r="D455" s="23"/>
      <c r="E455" s="23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</row>
    <row r="456" spans="2:19" ht="19.5" customHeight="1" x14ac:dyDescent="0.25">
      <c r="B456" s="22"/>
      <c r="C456" s="22"/>
      <c r="D456" s="23"/>
      <c r="E456" s="23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</row>
    <row r="457" spans="2:19" ht="19.5" customHeight="1" x14ac:dyDescent="0.25">
      <c r="B457" s="22"/>
      <c r="C457" s="22"/>
      <c r="D457" s="23"/>
      <c r="E457" s="23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</row>
    <row r="458" spans="2:19" ht="19.5" customHeight="1" x14ac:dyDescent="0.25">
      <c r="B458" s="22"/>
      <c r="C458" s="22"/>
      <c r="D458" s="23"/>
      <c r="E458" s="23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</row>
    <row r="459" spans="2:19" ht="19.5" customHeight="1" x14ac:dyDescent="0.25">
      <c r="B459" s="22"/>
      <c r="C459" s="22"/>
      <c r="D459" s="23"/>
      <c r="E459" s="23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</row>
    <row r="460" spans="2:19" ht="19.5" customHeight="1" x14ac:dyDescent="0.25">
      <c r="B460" s="22"/>
      <c r="C460" s="22"/>
      <c r="D460" s="23"/>
      <c r="E460" s="23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</row>
    <row r="461" spans="2:19" ht="19.5" customHeight="1" x14ac:dyDescent="0.25">
      <c r="B461" s="22"/>
      <c r="C461" s="22"/>
      <c r="D461" s="23"/>
      <c r="E461" s="23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</row>
    <row r="462" spans="2:19" ht="19.5" customHeight="1" x14ac:dyDescent="0.25">
      <c r="B462" s="22"/>
      <c r="C462" s="22"/>
      <c r="D462" s="23"/>
      <c r="E462" s="23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</row>
    <row r="463" spans="2:19" ht="19.5" customHeight="1" x14ac:dyDescent="0.25">
      <c r="B463" s="22"/>
      <c r="C463" s="22"/>
      <c r="D463" s="23"/>
      <c r="E463" s="23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</row>
    <row r="464" spans="2:19" ht="19.5" customHeight="1" x14ac:dyDescent="0.25">
      <c r="B464" s="22"/>
      <c r="C464" s="22"/>
      <c r="D464" s="23"/>
      <c r="E464" s="23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</row>
    <row r="465" spans="2:19" ht="19.5" customHeight="1" x14ac:dyDescent="0.25">
      <c r="B465" s="22"/>
      <c r="C465" s="22"/>
      <c r="D465" s="23"/>
      <c r="E465" s="23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</row>
    <row r="466" spans="2:19" ht="19.5" customHeight="1" x14ac:dyDescent="0.25">
      <c r="B466" s="22"/>
      <c r="C466" s="22"/>
      <c r="D466" s="23"/>
      <c r="E466" s="23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</row>
    <row r="467" spans="2:19" ht="19.5" customHeight="1" x14ac:dyDescent="0.25">
      <c r="B467" s="22"/>
      <c r="C467" s="22"/>
      <c r="D467" s="23"/>
      <c r="E467" s="23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</row>
    <row r="468" spans="2:19" ht="19.5" customHeight="1" x14ac:dyDescent="0.25">
      <c r="B468" s="22"/>
      <c r="C468" s="22"/>
      <c r="D468" s="23"/>
      <c r="E468" s="23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</row>
    <row r="469" spans="2:19" ht="19.5" customHeight="1" x14ac:dyDescent="0.25">
      <c r="B469" s="22"/>
      <c r="C469" s="22"/>
      <c r="D469" s="23"/>
      <c r="E469" s="23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</row>
    <row r="470" spans="2:19" ht="19.5" customHeight="1" x14ac:dyDescent="0.25">
      <c r="B470" s="22"/>
      <c r="C470" s="22"/>
      <c r="D470" s="23"/>
      <c r="E470" s="23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</row>
    <row r="471" spans="2:19" ht="19.5" customHeight="1" x14ac:dyDescent="0.25">
      <c r="B471" s="22"/>
      <c r="C471" s="22"/>
      <c r="D471" s="23"/>
      <c r="E471" s="23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</row>
    <row r="472" spans="2:19" ht="19.5" customHeight="1" x14ac:dyDescent="0.25">
      <c r="B472" s="22"/>
      <c r="C472" s="22"/>
      <c r="D472" s="23"/>
      <c r="E472" s="23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</row>
    <row r="473" spans="2:19" ht="19.5" customHeight="1" x14ac:dyDescent="0.25">
      <c r="B473" s="22"/>
      <c r="C473" s="22"/>
      <c r="D473" s="23"/>
      <c r="E473" s="23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</row>
    <row r="474" spans="2:19" ht="19.5" customHeight="1" x14ac:dyDescent="0.25">
      <c r="B474" s="22"/>
      <c r="C474" s="22"/>
      <c r="D474" s="23"/>
      <c r="E474" s="23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</row>
    <row r="475" spans="2:19" ht="19.5" customHeight="1" x14ac:dyDescent="0.25">
      <c r="B475" s="22"/>
      <c r="C475" s="22"/>
      <c r="D475" s="23"/>
      <c r="E475" s="23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</row>
    <row r="476" spans="2:19" ht="19.5" customHeight="1" x14ac:dyDescent="0.25">
      <c r="B476" s="22"/>
      <c r="C476" s="22"/>
      <c r="D476" s="23"/>
      <c r="E476" s="23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</row>
    <row r="477" spans="2:19" ht="19.5" customHeight="1" x14ac:dyDescent="0.25">
      <c r="B477" s="22"/>
      <c r="C477" s="22"/>
      <c r="D477" s="23"/>
      <c r="E477" s="23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</row>
    <row r="478" spans="2:19" ht="19.5" customHeight="1" x14ac:dyDescent="0.25">
      <c r="B478" s="22"/>
      <c r="C478" s="22"/>
      <c r="D478" s="23"/>
      <c r="E478" s="23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</row>
    <row r="479" spans="2:19" ht="19.5" customHeight="1" x14ac:dyDescent="0.25">
      <c r="B479" s="22"/>
      <c r="C479" s="22"/>
      <c r="D479" s="23"/>
      <c r="E479" s="23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</row>
    <row r="480" spans="2:19" ht="19.5" customHeight="1" x14ac:dyDescent="0.25">
      <c r="B480" s="22"/>
      <c r="C480" s="22"/>
      <c r="D480" s="23"/>
      <c r="E480" s="23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</row>
    <row r="481" spans="2:19" ht="19.5" customHeight="1" x14ac:dyDescent="0.25">
      <c r="B481" s="22"/>
      <c r="C481" s="22"/>
      <c r="D481" s="23"/>
      <c r="E481" s="23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</row>
    <row r="482" spans="2:19" ht="19.5" customHeight="1" x14ac:dyDescent="0.25">
      <c r="B482" s="22"/>
      <c r="C482" s="22"/>
      <c r="D482" s="23"/>
      <c r="E482" s="23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</row>
    <row r="483" spans="2:19" ht="19.5" customHeight="1" x14ac:dyDescent="0.25">
      <c r="B483" s="22"/>
      <c r="C483" s="22"/>
      <c r="D483" s="23"/>
      <c r="E483" s="23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</row>
    <row r="484" spans="2:19" ht="19.5" customHeight="1" x14ac:dyDescent="0.25">
      <c r="B484" s="22"/>
      <c r="C484" s="22"/>
      <c r="D484" s="23"/>
      <c r="E484" s="23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</row>
    <row r="485" spans="2:19" ht="19.5" customHeight="1" x14ac:dyDescent="0.25">
      <c r="B485" s="22"/>
      <c r="C485" s="22"/>
      <c r="D485" s="23"/>
      <c r="E485" s="23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</row>
    <row r="486" spans="2:19" ht="19.5" customHeight="1" x14ac:dyDescent="0.25">
      <c r="B486" s="22"/>
      <c r="C486" s="22"/>
      <c r="D486" s="23"/>
      <c r="E486" s="23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</row>
    <row r="487" spans="2:19" ht="19.5" customHeight="1" x14ac:dyDescent="0.25">
      <c r="B487" s="22"/>
      <c r="C487" s="22"/>
      <c r="D487" s="23"/>
      <c r="E487" s="23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</row>
    <row r="488" spans="2:19" ht="19.5" customHeight="1" x14ac:dyDescent="0.25">
      <c r="B488" s="22"/>
      <c r="C488" s="22"/>
      <c r="D488" s="23"/>
      <c r="E488" s="23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</row>
    <row r="489" spans="2:19" ht="19.5" customHeight="1" x14ac:dyDescent="0.25">
      <c r="B489" s="22"/>
      <c r="C489" s="22"/>
      <c r="D489" s="23"/>
      <c r="E489" s="23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</row>
    <row r="490" spans="2:19" ht="19.5" customHeight="1" x14ac:dyDescent="0.25">
      <c r="B490" s="22"/>
      <c r="C490" s="22"/>
      <c r="D490" s="23"/>
      <c r="E490" s="23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</row>
    <row r="491" spans="2:19" ht="19.5" customHeight="1" x14ac:dyDescent="0.25">
      <c r="B491" s="22"/>
      <c r="C491" s="22"/>
      <c r="D491" s="23"/>
      <c r="E491" s="23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</row>
    <row r="492" spans="2:19" ht="19.5" customHeight="1" x14ac:dyDescent="0.25">
      <c r="B492" s="22"/>
      <c r="C492" s="22"/>
      <c r="D492" s="23"/>
      <c r="E492" s="23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</row>
    <row r="493" spans="2:19" ht="19.5" customHeight="1" x14ac:dyDescent="0.25">
      <c r="B493" s="22"/>
      <c r="C493" s="22"/>
      <c r="D493" s="23"/>
      <c r="E493" s="23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</row>
    <row r="494" spans="2:19" ht="19.5" customHeight="1" x14ac:dyDescent="0.25">
      <c r="B494" s="22"/>
      <c r="C494" s="22"/>
      <c r="D494" s="23"/>
      <c r="E494" s="23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</row>
    <row r="495" spans="2:19" ht="19.5" customHeight="1" x14ac:dyDescent="0.25">
      <c r="B495" s="22"/>
      <c r="C495" s="22"/>
      <c r="D495" s="23"/>
      <c r="E495" s="23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</row>
    <row r="496" spans="2:19" ht="19.5" customHeight="1" x14ac:dyDescent="0.25">
      <c r="B496" s="22"/>
      <c r="C496" s="22"/>
      <c r="D496" s="23"/>
      <c r="E496" s="23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</row>
    <row r="497" spans="2:19" ht="19.5" customHeight="1" x14ac:dyDescent="0.25">
      <c r="B497" s="22"/>
      <c r="C497" s="22"/>
      <c r="D497" s="23"/>
      <c r="E497" s="23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</row>
    <row r="498" spans="2:19" ht="19.5" customHeight="1" x14ac:dyDescent="0.25">
      <c r="B498" s="22"/>
      <c r="C498" s="22"/>
      <c r="D498" s="23"/>
      <c r="E498" s="23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</row>
    <row r="499" spans="2:19" ht="19.5" customHeight="1" x14ac:dyDescent="0.25">
      <c r="B499" s="22"/>
      <c r="C499" s="22"/>
      <c r="D499" s="23"/>
      <c r="E499" s="23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</row>
    <row r="500" spans="2:19" ht="19.5" customHeight="1" x14ac:dyDescent="0.25">
      <c r="B500" s="22"/>
      <c r="C500" s="22"/>
      <c r="D500" s="23"/>
      <c r="E500" s="23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</row>
    <row r="501" spans="2:19" ht="19.5" customHeight="1" x14ac:dyDescent="0.25">
      <c r="B501" s="22"/>
      <c r="C501" s="22"/>
      <c r="D501" s="23"/>
      <c r="E501" s="23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</row>
    <row r="502" spans="2:19" ht="19.5" customHeight="1" x14ac:dyDescent="0.25">
      <c r="B502" s="22"/>
      <c r="C502" s="22"/>
      <c r="D502" s="23"/>
      <c r="E502" s="23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</row>
    <row r="503" spans="2:19" ht="19.5" customHeight="1" x14ac:dyDescent="0.25">
      <c r="B503" s="22"/>
      <c r="C503" s="22"/>
      <c r="D503" s="23"/>
      <c r="E503" s="23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</row>
    <row r="504" spans="2:19" ht="19.5" customHeight="1" x14ac:dyDescent="0.25">
      <c r="B504" s="22"/>
      <c r="C504" s="22"/>
      <c r="D504" s="23"/>
      <c r="E504" s="23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</row>
    <row r="505" spans="2:19" ht="19.5" customHeight="1" x14ac:dyDescent="0.25">
      <c r="B505" s="22"/>
      <c r="C505" s="22"/>
      <c r="D505" s="23"/>
      <c r="E505" s="23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</row>
    <row r="506" spans="2:19" ht="19.5" customHeight="1" x14ac:dyDescent="0.25">
      <c r="B506" s="22"/>
      <c r="C506" s="22"/>
      <c r="D506" s="23"/>
      <c r="E506" s="23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</row>
    <row r="507" spans="2:19" ht="19.5" customHeight="1" x14ac:dyDescent="0.25">
      <c r="B507" s="22"/>
      <c r="C507" s="22"/>
      <c r="D507" s="23"/>
      <c r="E507" s="23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</row>
    <row r="508" spans="2:19" ht="19.5" customHeight="1" x14ac:dyDescent="0.25">
      <c r="B508" s="22"/>
      <c r="C508" s="22"/>
      <c r="D508" s="23"/>
      <c r="E508" s="23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</row>
    <row r="509" spans="2:19" ht="19.5" customHeight="1" x14ac:dyDescent="0.25">
      <c r="B509" s="22"/>
      <c r="C509" s="22"/>
      <c r="D509" s="23"/>
      <c r="E509" s="23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</row>
    <row r="510" spans="2:19" ht="19.5" customHeight="1" x14ac:dyDescent="0.25">
      <c r="B510" s="22"/>
      <c r="C510" s="22"/>
      <c r="D510" s="23"/>
      <c r="E510" s="23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</row>
    <row r="511" spans="2:19" ht="19.5" customHeight="1" x14ac:dyDescent="0.25">
      <c r="B511" s="22"/>
      <c r="C511" s="22"/>
      <c r="D511" s="23"/>
      <c r="E511" s="23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</row>
    <row r="512" spans="2:19" ht="19.5" customHeight="1" x14ac:dyDescent="0.25">
      <c r="B512" s="22"/>
      <c r="C512" s="22"/>
      <c r="D512" s="23"/>
      <c r="E512" s="23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</row>
    <row r="513" spans="2:19" ht="19.5" customHeight="1" x14ac:dyDescent="0.25">
      <c r="B513" s="22"/>
      <c r="C513" s="22"/>
      <c r="D513" s="23"/>
      <c r="E513" s="23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</row>
    <row r="514" spans="2:19" ht="19.5" customHeight="1" x14ac:dyDescent="0.25">
      <c r="B514" s="22"/>
      <c r="C514" s="22"/>
      <c r="D514" s="23"/>
      <c r="E514" s="23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</row>
    <row r="515" spans="2:19" ht="19.5" customHeight="1" x14ac:dyDescent="0.25">
      <c r="B515" s="22"/>
      <c r="C515" s="22"/>
      <c r="D515" s="23"/>
      <c r="E515" s="23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</row>
    <row r="516" spans="2:19" ht="19.5" customHeight="1" x14ac:dyDescent="0.25">
      <c r="B516" s="22"/>
      <c r="C516" s="22"/>
      <c r="D516" s="23"/>
      <c r="E516" s="23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</row>
    <row r="517" spans="2:19" ht="19.5" customHeight="1" x14ac:dyDescent="0.25">
      <c r="B517" s="22"/>
      <c r="C517" s="22"/>
      <c r="D517" s="23"/>
      <c r="E517" s="23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</row>
    <row r="518" spans="2:19" ht="19.5" customHeight="1" x14ac:dyDescent="0.25">
      <c r="B518" s="22"/>
      <c r="C518" s="22"/>
      <c r="D518" s="23"/>
      <c r="E518" s="23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</row>
    <row r="519" spans="2:19" ht="19.5" customHeight="1" x14ac:dyDescent="0.25">
      <c r="B519" s="22"/>
      <c r="C519" s="22"/>
      <c r="D519" s="23"/>
      <c r="E519" s="23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</row>
    <row r="520" spans="2:19" ht="19.5" customHeight="1" x14ac:dyDescent="0.25">
      <c r="B520" s="22"/>
      <c r="C520" s="22"/>
      <c r="D520" s="23"/>
      <c r="E520" s="23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</row>
    <row r="521" spans="2:19" ht="19.5" customHeight="1" x14ac:dyDescent="0.25">
      <c r="B521" s="22"/>
      <c r="C521" s="22"/>
      <c r="D521" s="23"/>
      <c r="E521" s="23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</row>
    <row r="522" spans="2:19" ht="19.5" customHeight="1" x14ac:dyDescent="0.25">
      <c r="B522" s="22"/>
      <c r="C522" s="22"/>
      <c r="D522" s="23"/>
      <c r="E522" s="23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</row>
    <row r="523" spans="2:19" ht="19.5" customHeight="1" x14ac:dyDescent="0.25">
      <c r="B523" s="22"/>
      <c r="C523" s="22"/>
      <c r="D523" s="23"/>
      <c r="E523" s="23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</row>
    <row r="524" spans="2:19" ht="19.5" customHeight="1" x14ac:dyDescent="0.25">
      <c r="B524" s="22"/>
      <c r="C524" s="22"/>
      <c r="D524" s="23"/>
      <c r="E524" s="23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</row>
    <row r="525" spans="2:19" ht="19.5" customHeight="1" x14ac:dyDescent="0.25">
      <c r="B525" s="22"/>
      <c r="C525" s="22"/>
      <c r="D525" s="23"/>
      <c r="E525" s="23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</row>
    <row r="526" spans="2:19" ht="19.5" customHeight="1" x14ac:dyDescent="0.25">
      <c r="B526" s="22"/>
      <c r="C526" s="22"/>
      <c r="D526" s="23"/>
      <c r="E526" s="23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</row>
    <row r="527" spans="2:19" ht="19.5" customHeight="1" x14ac:dyDescent="0.25">
      <c r="B527" s="22"/>
      <c r="C527" s="22"/>
      <c r="D527" s="23"/>
      <c r="E527" s="23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</row>
    <row r="528" spans="2:19" ht="19.5" customHeight="1" x14ac:dyDescent="0.25">
      <c r="B528" s="22"/>
      <c r="C528" s="22"/>
      <c r="D528" s="23"/>
      <c r="E528" s="23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</row>
    <row r="529" spans="2:19" ht="19.5" customHeight="1" x14ac:dyDescent="0.25">
      <c r="B529" s="22"/>
      <c r="C529" s="22"/>
      <c r="D529" s="23"/>
      <c r="E529" s="23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</row>
    <row r="530" spans="2:19" ht="19.5" customHeight="1" x14ac:dyDescent="0.25">
      <c r="B530" s="22"/>
      <c r="C530" s="22"/>
      <c r="D530" s="23"/>
      <c r="E530" s="23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</row>
    <row r="531" spans="2:19" ht="19.5" customHeight="1" x14ac:dyDescent="0.25">
      <c r="B531" s="22"/>
      <c r="C531" s="22"/>
      <c r="D531" s="23"/>
      <c r="E531" s="23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</row>
    <row r="532" spans="2:19" ht="19.5" customHeight="1" x14ac:dyDescent="0.25">
      <c r="B532" s="22"/>
      <c r="C532" s="22"/>
      <c r="D532" s="23"/>
      <c r="E532" s="23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</row>
    <row r="533" spans="2:19" ht="19.5" customHeight="1" x14ac:dyDescent="0.25">
      <c r="B533" s="22"/>
      <c r="C533" s="22"/>
      <c r="D533" s="23"/>
      <c r="E533" s="23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</row>
    <row r="534" spans="2:19" ht="19.5" customHeight="1" x14ac:dyDescent="0.25">
      <c r="B534" s="22"/>
      <c r="C534" s="22"/>
      <c r="D534" s="23"/>
      <c r="E534" s="23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</row>
    <row r="535" spans="2:19" ht="19.5" customHeight="1" x14ac:dyDescent="0.25">
      <c r="B535" s="22"/>
      <c r="C535" s="22"/>
      <c r="D535" s="23"/>
      <c r="E535" s="23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</row>
    <row r="536" spans="2:19" ht="19.5" customHeight="1" x14ac:dyDescent="0.25">
      <c r="B536" s="22"/>
      <c r="C536" s="22"/>
      <c r="D536" s="23"/>
      <c r="E536" s="23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</row>
    <row r="537" spans="2:19" ht="19.5" customHeight="1" x14ac:dyDescent="0.25">
      <c r="B537" s="22"/>
      <c r="C537" s="22"/>
      <c r="D537" s="23"/>
      <c r="E537" s="23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</row>
    <row r="538" spans="2:19" ht="19.5" customHeight="1" x14ac:dyDescent="0.25">
      <c r="B538" s="22"/>
      <c r="C538" s="22"/>
      <c r="D538" s="23"/>
      <c r="E538" s="23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</row>
    <row r="539" spans="2:19" ht="19.5" customHeight="1" x14ac:dyDescent="0.25">
      <c r="B539" s="22"/>
      <c r="C539" s="22"/>
      <c r="D539" s="23"/>
      <c r="E539" s="23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</row>
    <row r="540" spans="2:19" ht="19.5" customHeight="1" x14ac:dyDescent="0.25">
      <c r="B540" s="22"/>
      <c r="C540" s="22"/>
      <c r="D540" s="23"/>
      <c r="E540" s="23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</row>
    <row r="541" spans="2:19" ht="19.5" customHeight="1" x14ac:dyDescent="0.25">
      <c r="B541" s="22"/>
      <c r="C541" s="22"/>
      <c r="D541" s="23"/>
      <c r="E541" s="23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</row>
    <row r="542" spans="2:19" ht="19.5" customHeight="1" x14ac:dyDescent="0.25">
      <c r="B542" s="22"/>
      <c r="C542" s="22"/>
      <c r="D542" s="23"/>
      <c r="E542" s="23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</row>
    <row r="543" spans="2:19" ht="19.5" customHeight="1" x14ac:dyDescent="0.25">
      <c r="B543" s="22"/>
      <c r="C543" s="22"/>
      <c r="D543" s="23"/>
      <c r="E543" s="23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</row>
    <row r="544" spans="2:19" ht="19.5" customHeight="1" x14ac:dyDescent="0.25">
      <c r="B544" s="22"/>
      <c r="C544" s="22"/>
      <c r="D544" s="23"/>
      <c r="E544" s="23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</row>
    <row r="545" spans="2:19" ht="19.5" customHeight="1" x14ac:dyDescent="0.25">
      <c r="B545" s="22"/>
      <c r="C545" s="22"/>
      <c r="D545" s="23"/>
      <c r="E545" s="23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</row>
    <row r="546" spans="2:19" ht="19.5" customHeight="1" x14ac:dyDescent="0.25">
      <c r="B546" s="22"/>
      <c r="C546" s="22"/>
      <c r="D546" s="23"/>
      <c r="E546" s="23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</row>
    <row r="547" spans="2:19" ht="19.5" customHeight="1" x14ac:dyDescent="0.25">
      <c r="B547" s="22"/>
      <c r="C547" s="22"/>
      <c r="D547" s="23"/>
      <c r="E547" s="23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</row>
    <row r="548" spans="2:19" ht="19.5" customHeight="1" x14ac:dyDescent="0.25">
      <c r="B548" s="22"/>
      <c r="C548" s="22"/>
      <c r="D548" s="23"/>
      <c r="E548" s="23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</row>
    <row r="549" spans="2:19" ht="19.5" customHeight="1" x14ac:dyDescent="0.25">
      <c r="B549" s="22"/>
      <c r="C549" s="22"/>
      <c r="D549" s="23"/>
      <c r="E549" s="23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</row>
    <row r="550" spans="2:19" ht="19.5" customHeight="1" x14ac:dyDescent="0.25">
      <c r="B550" s="22"/>
      <c r="C550" s="22"/>
      <c r="D550" s="23"/>
      <c r="E550" s="23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</row>
    <row r="551" spans="2:19" ht="19.5" customHeight="1" x14ac:dyDescent="0.25">
      <c r="B551" s="22"/>
      <c r="C551" s="22"/>
      <c r="D551" s="23"/>
      <c r="E551" s="23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</row>
    <row r="552" spans="2:19" ht="19.5" customHeight="1" x14ac:dyDescent="0.25">
      <c r="B552" s="22"/>
      <c r="C552" s="22"/>
      <c r="D552" s="23"/>
      <c r="E552" s="23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</row>
    <row r="553" spans="2:19" ht="19.5" customHeight="1" x14ac:dyDescent="0.25">
      <c r="B553" s="22"/>
      <c r="C553" s="22"/>
      <c r="D553" s="23"/>
      <c r="E553" s="23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</row>
    <row r="554" spans="2:19" ht="19.5" customHeight="1" x14ac:dyDescent="0.25">
      <c r="B554" s="22"/>
      <c r="C554" s="22"/>
      <c r="D554" s="23"/>
      <c r="E554" s="23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</row>
    <row r="555" spans="2:19" ht="19.5" customHeight="1" x14ac:dyDescent="0.25">
      <c r="B555" s="22"/>
      <c r="C555" s="22"/>
      <c r="D555" s="23"/>
      <c r="E555" s="23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</row>
    <row r="556" spans="2:19" ht="19.5" customHeight="1" x14ac:dyDescent="0.25">
      <c r="B556" s="22"/>
      <c r="C556" s="22"/>
      <c r="D556" s="23"/>
      <c r="E556" s="23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</row>
    <row r="557" spans="2:19" ht="19.5" customHeight="1" x14ac:dyDescent="0.25">
      <c r="B557" s="22"/>
      <c r="C557" s="22"/>
      <c r="D557" s="23"/>
      <c r="E557" s="23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</row>
    <row r="558" spans="2:19" ht="19.5" customHeight="1" x14ac:dyDescent="0.25">
      <c r="B558" s="22"/>
      <c r="C558" s="22"/>
      <c r="D558" s="23"/>
      <c r="E558" s="23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</row>
    <row r="559" spans="2:19" ht="19.5" customHeight="1" x14ac:dyDescent="0.25">
      <c r="B559" s="22"/>
      <c r="C559" s="22"/>
      <c r="D559" s="23"/>
      <c r="E559" s="23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</row>
    <row r="560" spans="2:19" ht="19.5" customHeight="1" x14ac:dyDescent="0.25">
      <c r="B560" s="22"/>
      <c r="C560" s="22"/>
      <c r="D560" s="23"/>
      <c r="E560" s="23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</row>
    <row r="561" spans="2:19" ht="19.5" customHeight="1" x14ac:dyDescent="0.25">
      <c r="B561" s="22"/>
      <c r="C561" s="22"/>
      <c r="D561" s="23"/>
      <c r="E561" s="23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</row>
    <row r="562" spans="2:19" ht="19.5" customHeight="1" x14ac:dyDescent="0.25">
      <c r="B562" s="22"/>
      <c r="C562" s="22"/>
      <c r="D562" s="23"/>
      <c r="E562" s="23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</row>
    <row r="563" spans="2:19" ht="19.5" customHeight="1" x14ac:dyDescent="0.25">
      <c r="B563" s="22"/>
      <c r="C563" s="22"/>
      <c r="D563" s="23"/>
      <c r="E563" s="23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</row>
    <row r="564" spans="2:19" ht="19.5" customHeight="1" x14ac:dyDescent="0.25">
      <c r="B564" s="22"/>
      <c r="C564" s="22"/>
      <c r="D564" s="23"/>
      <c r="E564" s="23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</row>
    <row r="565" spans="2:19" ht="19.5" customHeight="1" x14ac:dyDescent="0.25">
      <c r="B565" s="22"/>
      <c r="C565" s="22"/>
      <c r="D565" s="23"/>
      <c r="E565" s="23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</row>
    <row r="566" spans="2:19" ht="19.5" customHeight="1" x14ac:dyDescent="0.25">
      <c r="B566" s="22"/>
      <c r="C566" s="22"/>
      <c r="D566" s="23"/>
      <c r="E566" s="23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</row>
    <row r="567" spans="2:19" ht="19.5" customHeight="1" x14ac:dyDescent="0.25">
      <c r="B567" s="22"/>
      <c r="C567" s="22"/>
      <c r="D567" s="23"/>
      <c r="E567" s="23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</row>
    <row r="568" spans="2:19" ht="19.5" customHeight="1" x14ac:dyDescent="0.25">
      <c r="B568" s="22"/>
      <c r="C568" s="22"/>
      <c r="D568" s="23"/>
      <c r="E568" s="23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</row>
    <row r="569" spans="2:19" ht="19.5" customHeight="1" x14ac:dyDescent="0.25">
      <c r="B569" s="22"/>
      <c r="C569" s="22"/>
      <c r="D569" s="23"/>
      <c r="E569" s="23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</row>
    <row r="570" spans="2:19" ht="19.5" customHeight="1" x14ac:dyDescent="0.25">
      <c r="B570" s="22"/>
      <c r="C570" s="22"/>
      <c r="D570" s="23"/>
      <c r="E570" s="23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</row>
    <row r="571" spans="2:19" ht="19.5" customHeight="1" x14ac:dyDescent="0.25">
      <c r="B571" s="22"/>
      <c r="C571" s="22"/>
      <c r="D571" s="23"/>
      <c r="E571" s="23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</row>
    <row r="572" spans="2:19" ht="19.5" customHeight="1" x14ac:dyDescent="0.25">
      <c r="B572" s="22"/>
      <c r="C572" s="22"/>
      <c r="D572" s="23"/>
      <c r="E572" s="23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</row>
    <row r="573" spans="2:19" ht="19.5" customHeight="1" x14ac:dyDescent="0.25">
      <c r="B573" s="22"/>
      <c r="C573" s="22"/>
      <c r="D573" s="23"/>
      <c r="E573" s="23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</row>
    <row r="574" spans="2:19" ht="19.5" customHeight="1" x14ac:dyDescent="0.25">
      <c r="B574" s="22"/>
      <c r="C574" s="22"/>
      <c r="D574" s="23"/>
      <c r="E574" s="23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</row>
    <row r="575" spans="2:19" ht="19.5" customHeight="1" x14ac:dyDescent="0.25">
      <c r="B575" s="22"/>
      <c r="C575" s="22"/>
      <c r="D575" s="23"/>
      <c r="E575" s="23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</row>
    <row r="576" spans="2:19" ht="19.5" customHeight="1" x14ac:dyDescent="0.25">
      <c r="B576" s="22"/>
      <c r="C576" s="22"/>
      <c r="D576" s="23"/>
      <c r="E576" s="23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</row>
    <row r="577" spans="2:19" ht="19.5" customHeight="1" x14ac:dyDescent="0.25">
      <c r="B577" s="22"/>
      <c r="C577" s="22"/>
      <c r="D577" s="23"/>
      <c r="E577" s="23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</row>
    <row r="578" spans="2:19" ht="19.5" customHeight="1" x14ac:dyDescent="0.25">
      <c r="B578" s="22"/>
      <c r="C578" s="22"/>
      <c r="D578" s="23"/>
      <c r="E578" s="23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</row>
    <row r="579" spans="2:19" ht="19.5" customHeight="1" x14ac:dyDescent="0.25">
      <c r="B579" s="22"/>
      <c r="C579" s="22"/>
      <c r="D579" s="23"/>
      <c r="E579" s="23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</row>
    <row r="580" spans="2:19" ht="19.5" customHeight="1" x14ac:dyDescent="0.25">
      <c r="B580" s="22"/>
      <c r="C580" s="22"/>
      <c r="D580" s="23"/>
      <c r="E580" s="23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</row>
    <row r="581" spans="2:19" ht="19.5" customHeight="1" x14ac:dyDescent="0.25">
      <c r="B581" s="22"/>
      <c r="C581" s="22"/>
      <c r="D581" s="23"/>
      <c r="E581" s="23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</row>
    <row r="582" spans="2:19" ht="19.5" customHeight="1" x14ac:dyDescent="0.25">
      <c r="B582" s="22"/>
      <c r="C582" s="22"/>
      <c r="D582" s="23"/>
      <c r="E582" s="23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</row>
    <row r="583" spans="2:19" ht="19.5" customHeight="1" x14ac:dyDescent="0.25">
      <c r="B583" s="22"/>
      <c r="C583" s="22"/>
      <c r="D583" s="23"/>
      <c r="E583" s="23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</row>
    <row r="584" spans="2:19" ht="19.5" customHeight="1" x14ac:dyDescent="0.25">
      <c r="B584" s="22"/>
      <c r="C584" s="22"/>
      <c r="D584" s="23"/>
      <c r="E584" s="23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</row>
    <row r="585" spans="2:19" ht="19.5" customHeight="1" x14ac:dyDescent="0.25">
      <c r="B585" s="22"/>
      <c r="C585" s="22"/>
      <c r="D585" s="23"/>
      <c r="E585" s="23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</row>
    <row r="586" spans="2:19" ht="19.5" customHeight="1" x14ac:dyDescent="0.25">
      <c r="B586" s="22"/>
      <c r="C586" s="22"/>
      <c r="D586" s="23"/>
      <c r="E586" s="23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</row>
    <row r="587" spans="2:19" ht="19.5" customHeight="1" x14ac:dyDescent="0.25">
      <c r="B587" s="22"/>
      <c r="C587" s="22"/>
      <c r="D587" s="23"/>
      <c r="E587" s="23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</row>
    <row r="588" spans="2:19" ht="19.5" customHeight="1" x14ac:dyDescent="0.25">
      <c r="B588" s="22"/>
      <c r="C588" s="22"/>
      <c r="D588" s="23"/>
      <c r="E588" s="23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</row>
    <row r="589" spans="2:19" ht="19.5" customHeight="1" x14ac:dyDescent="0.25">
      <c r="B589" s="22"/>
      <c r="C589" s="22"/>
      <c r="D589" s="23"/>
      <c r="E589" s="23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</row>
    <row r="590" spans="2:19" ht="19.5" customHeight="1" x14ac:dyDescent="0.25">
      <c r="B590" s="22"/>
      <c r="C590" s="22"/>
      <c r="D590" s="23"/>
      <c r="E590" s="23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</row>
    <row r="591" spans="2:19" ht="19.5" customHeight="1" x14ac:dyDescent="0.25">
      <c r="B591" s="22"/>
      <c r="C591" s="22"/>
      <c r="D591" s="23"/>
      <c r="E591" s="23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</row>
    <row r="592" spans="2:19" ht="19.5" customHeight="1" x14ac:dyDescent="0.25">
      <c r="B592" s="22"/>
      <c r="C592" s="22"/>
      <c r="D592" s="23"/>
      <c r="E592" s="23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</row>
    <row r="593" spans="2:19" ht="19.5" customHeight="1" x14ac:dyDescent="0.25">
      <c r="B593" s="22"/>
      <c r="C593" s="22"/>
      <c r="D593" s="23"/>
      <c r="E593" s="23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</row>
    <row r="594" spans="2:19" ht="19.5" customHeight="1" x14ac:dyDescent="0.25">
      <c r="B594" s="22"/>
      <c r="C594" s="22"/>
      <c r="D594" s="23"/>
      <c r="E594" s="23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</row>
    <row r="595" spans="2:19" ht="19.5" customHeight="1" x14ac:dyDescent="0.25">
      <c r="B595" s="22"/>
      <c r="C595" s="22"/>
      <c r="D595" s="23"/>
      <c r="E595" s="23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</row>
    <row r="596" spans="2:19" ht="19.5" customHeight="1" x14ac:dyDescent="0.25">
      <c r="B596" s="22"/>
      <c r="C596" s="22"/>
      <c r="D596" s="23"/>
      <c r="E596" s="23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</row>
    <row r="597" spans="2:19" ht="19.5" customHeight="1" x14ac:dyDescent="0.25">
      <c r="B597" s="22"/>
      <c r="C597" s="22"/>
      <c r="D597" s="23"/>
      <c r="E597" s="23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</row>
    <row r="598" spans="2:19" ht="19.5" customHeight="1" x14ac:dyDescent="0.25">
      <c r="B598" s="22"/>
      <c r="C598" s="22"/>
      <c r="D598" s="23"/>
      <c r="E598" s="23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</row>
    <row r="599" spans="2:19" ht="19.5" customHeight="1" x14ac:dyDescent="0.25">
      <c r="B599" s="22"/>
      <c r="C599" s="22"/>
      <c r="D599" s="23"/>
      <c r="E599" s="23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</row>
    <row r="600" spans="2:19" ht="19.5" customHeight="1" x14ac:dyDescent="0.25">
      <c r="B600" s="22"/>
      <c r="C600" s="22"/>
      <c r="D600" s="23"/>
      <c r="E600" s="23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</row>
    <row r="601" spans="2:19" ht="19.5" customHeight="1" x14ac:dyDescent="0.25">
      <c r="B601" s="22"/>
      <c r="C601" s="22"/>
      <c r="D601" s="23"/>
      <c r="E601" s="23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</row>
    <row r="602" spans="2:19" ht="19.5" customHeight="1" x14ac:dyDescent="0.25">
      <c r="B602" s="22"/>
      <c r="C602" s="22"/>
      <c r="D602" s="23"/>
      <c r="E602" s="23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</row>
    <row r="603" spans="2:19" ht="19.5" customHeight="1" x14ac:dyDescent="0.25">
      <c r="B603" s="22"/>
      <c r="C603" s="22"/>
      <c r="D603" s="23"/>
      <c r="E603" s="23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</row>
    <row r="604" spans="2:19" ht="19.5" customHeight="1" x14ac:dyDescent="0.25">
      <c r="B604" s="22"/>
      <c r="C604" s="22"/>
      <c r="D604" s="23"/>
      <c r="E604" s="23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</row>
    <row r="605" spans="2:19" ht="19.5" customHeight="1" x14ac:dyDescent="0.25">
      <c r="B605" s="22"/>
      <c r="C605" s="22"/>
      <c r="D605" s="23"/>
      <c r="E605" s="23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</row>
    <row r="606" spans="2:19" ht="19.5" customHeight="1" x14ac:dyDescent="0.25">
      <c r="B606" s="22"/>
      <c r="C606" s="22"/>
      <c r="D606" s="23"/>
      <c r="E606" s="23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</row>
    <row r="607" spans="2:19" ht="19.5" customHeight="1" x14ac:dyDescent="0.25">
      <c r="B607" s="22"/>
      <c r="C607" s="22"/>
      <c r="D607" s="23"/>
      <c r="E607" s="23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</row>
    <row r="608" spans="2:19" ht="19.5" customHeight="1" x14ac:dyDescent="0.25">
      <c r="B608" s="22"/>
      <c r="C608" s="22"/>
      <c r="D608" s="23"/>
      <c r="E608" s="23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</row>
    <row r="609" spans="2:19" ht="19.5" customHeight="1" x14ac:dyDescent="0.25">
      <c r="B609" s="22"/>
      <c r="C609" s="22"/>
      <c r="D609" s="23"/>
      <c r="E609" s="23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</row>
    <row r="610" spans="2:19" ht="19.5" customHeight="1" x14ac:dyDescent="0.25">
      <c r="B610" s="22"/>
      <c r="C610" s="22"/>
      <c r="D610" s="23"/>
      <c r="E610" s="23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</row>
    <row r="611" spans="2:19" ht="19.5" customHeight="1" x14ac:dyDescent="0.25">
      <c r="B611" s="22"/>
      <c r="C611" s="22"/>
      <c r="D611" s="23"/>
      <c r="E611" s="23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</row>
    <row r="612" spans="2:19" ht="19.5" customHeight="1" x14ac:dyDescent="0.25">
      <c r="B612" s="22"/>
      <c r="C612" s="22"/>
      <c r="D612" s="23"/>
      <c r="E612" s="23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</row>
    <row r="613" spans="2:19" ht="19.5" customHeight="1" x14ac:dyDescent="0.25">
      <c r="B613" s="22"/>
      <c r="C613" s="22"/>
      <c r="D613" s="23"/>
      <c r="E613" s="23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</row>
    <row r="614" spans="2:19" ht="19.5" customHeight="1" x14ac:dyDescent="0.25">
      <c r="B614" s="22"/>
      <c r="C614" s="22"/>
      <c r="D614" s="23"/>
      <c r="E614" s="23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</row>
    <row r="615" spans="2:19" ht="19.5" customHeight="1" x14ac:dyDescent="0.25">
      <c r="B615" s="22"/>
      <c r="C615" s="22"/>
      <c r="D615" s="23"/>
      <c r="E615" s="23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</row>
    <row r="616" spans="2:19" ht="19.5" customHeight="1" x14ac:dyDescent="0.25">
      <c r="B616" s="22"/>
      <c r="C616" s="22"/>
      <c r="D616" s="23"/>
      <c r="E616" s="23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</row>
    <row r="617" spans="2:19" ht="19.5" customHeight="1" x14ac:dyDescent="0.25">
      <c r="B617" s="22"/>
      <c r="C617" s="22"/>
      <c r="D617" s="23"/>
      <c r="E617" s="23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</row>
    <row r="618" spans="2:19" ht="19.5" customHeight="1" x14ac:dyDescent="0.25">
      <c r="B618" s="22"/>
      <c r="C618" s="22"/>
      <c r="D618" s="23"/>
      <c r="E618" s="23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</row>
    <row r="619" spans="2:19" ht="19.5" customHeight="1" x14ac:dyDescent="0.25">
      <c r="B619" s="22"/>
      <c r="C619" s="22"/>
      <c r="D619" s="23"/>
      <c r="E619" s="23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</row>
    <row r="620" spans="2:19" ht="19.5" customHeight="1" x14ac:dyDescent="0.25">
      <c r="B620" s="22"/>
      <c r="C620" s="22"/>
      <c r="D620" s="23"/>
      <c r="E620" s="23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</row>
    <row r="621" spans="2:19" ht="19.5" customHeight="1" x14ac:dyDescent="0.25">
      <c r="B621" s="22"/>
      <c r="C621" s="22"/>
      <c r="D621" s="23"/>
      <c r="E621" s="23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</row>
    <row r="622" spans="2:19" ht="19.5" customHeight="1" x14ac:dyDescent="0.25">
      <c r="B622" s="22"/>
      <c r="C622" s="22"/>
      <c r="D622" s="23"/>
      <c r="E622" s="23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</row>
    <row r="623" spans="2:19" ht="19.5" customHeight="1" x14ac:dyDescent="0.25">
      <c r="B623" s="22"/>
      <c r="C623" s="22"/>
      <c r="D623" s="23"/>
      <c r="E623" s="23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</row>
    <row r="624" spans="2:19" ht="19.5" customHeight="1" x14ac:dyDescent="0.25">
      <c r="B624" s="22"/>
      <c r="C624" s="22"/>
      <c r="D624" s="23"/>
      <c r="E624" s="23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</row>
    <row r="625" spans="2:19" ht="19.5" customHeight="1" x14ac:dyDescent="0.25">
      <c r="B625" s="22"/>
      <c r="C625" s="22"/>
      <c r="D625" s="23"/>
      <c r="E625" s="23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</row>
    <row r="626" spans="2:19" ht="19.5" customHeight="1" x14ac:dyDescent="0.25">
      <c r="B626" s="22"/>
      <c r="C626" s="22"/>
      <c r="D626" s="23"/>
      <c r="E626" s="23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</row>
    <row r="627" spans="2:19" ht="19.5" customHeight="1" x14ac:dyDescent="0.25">
      <c r="B627" s="22"/>
      <c r="C627" s="22"/>
      <c r="D627" s="23"/>
      <c r="E627" s="23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</row>
    <row r="628" spans="2:19" ht="19.5" customHeight="1" x14ac:dyDescent="0.25">
      <c r="B628" s="22"/>
      <c r="C628" s="22"/>
      <c r="D628" s="23"/>
      <c r="E628" s="23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</row>
    <row r="629" spans="2:19" ht="19.5" customHeight="1" x14ac:dyDescent="0.25">
      <c r="B629" s="22"/>
      <c r="C629" s="22"/>
      <c r="D629" s="23"/>
      <c r="E629" s="23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</row>
    <row r="630" spans="2:19" ht="19.5" customHeight="1" x14ac:dyDescent="0.25">
      <c r="B630" s="22"/>
      <c r="C630" s="22"/>
      <c r="D630" s="23"/>
      <c r="E630" s="23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</row>
    <row r="631" spans="2:19" ht="19.5" customHeight="1" x14ac:dyDescent="0.25">
      <c r="B631" s="22"/>
      <c r="C631" s="22"/>
      <c r="D631" s="23"/>
      <c r="E631" s="23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</row>
    <row r="632" spans="2:19" ht="19.5" customHeight="1" x14ac:dyDescent="0.25">
      <c r="B632" s="22"/>
      <c r="C632" s="22"/>
      <c r="D632" s="23"/>
      <c r="E632" s="23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</row>
    <row r="633" spans="2:19" ht="19.5" customHeight="1" x14ac:dyDescent="0.25">
      <c r="B633" s="22"/>
      <c r="C633" s="22"/>
      <c r="D633" s="23"/>
      <c r="E633" s="23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</row>
    <row r="634" spans="2:19" ht="19.5" customHeight="1" x14ac:dyDescent="0.25">
      <c r="B634" s="22"/>
      <c r="C634" s="22"/>
      <c r="D634" s="23"/>
      <c r="E634" s="23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</row>
    <row r="635" spans="2:19" ht="19.5" customHeight="1" x14ac:dyDescent="0.25">
      <c r="B635" s="22"/>
      <c r="C635" s="22"/>
      <c r="D635" s="23"/>
      <c r="E635" s="23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</row>
    <row r="636" spans="2:19" ht="19.5" customHeight="1" x14ac:dyDescent="0.25">
      <c r="B636" s="22"/>
      <c r="C636" s="22"/>
      <c r="D636" s="23"/>
      <c r="E636" s="23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</row>
    <row r="637" spans="2:19" ht="19.5" customHeight="1" x14ac:dyDescent="0.25">
      <c r="B637" s="22"/>
      <c r="C637" s="22"/>
      <c r="D637" s="23"/>
      <c r="E637" s="23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</row>
    <row r="638" spans="2:19" ht="19.5" customHeight="1" x14ac:dyDescent="0.25">
      <c r="B638" s="22"/>
      <c r="C638" s="22"/>
      <c r="D638" s="23"/>
      <c r="E638" s="23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</row>
    <row r="639" spans="2:19" ht="19.5" customHeight="1" x14ac:dyDescent="0.25">
      <c r="B639" s="22"/>
      <c r="C639" s="22"/>
      <c r="D639" s="23"/>
      <c r="E639" s="23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</row>
    <row r="640" spans="2:19" ht="19.5" customHeight="1" x14ac:dyDescent="0.25">
      <c r="B640" s="22"/>
      <c r="C640" s="22"/>
      <c r="D640" s="23"/>
      <c r="E640" s="23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</row>
    <row r="641" spans="2:19" ht="19.5" customHeight="1" x14ac:dyDescent="0.25">
      <c r="B641" s="22"/>
      <c r="C641" s="22"/>
      <c r="D641" s="23"/>
      <c r="E641" s="23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</row>
    <row r="642" spans="2:19" ht="19.5" customHeight="1" x14ac:dyDescent="0.25">
      <c r="B642" s="22"/>
      <c r="C642" s="22"/>
      <c r="D642" s="23"/>
      <c r="E642" s="23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</row>
    <row r="643" spans="2:19" ht="19.5" customHeight="1" x14ac:dyDescent="0.25">
      <c r="B643" s="22"/>
      <c r="C643" s="22"/>
      <c r="D643" s="23"/>
      <c r="E643" s="23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</row>
    <row r="644" spans="2:19" ht="19.5" customHeight="1" x14ac:dyDescent="0.25">
      <c r="B644" s="22"/>
      <c r="C644" s="22"/>
      <c r="D644" s="23"/>
      <c r="E644" s="23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</row>
    <row r="645" spans="2:19" ht="19.5" customHeight="1" x14ac:dyDescent="0.25">
      <c r="B645" s="22"/>
      <c r="C645" s="22"/>
      <c r="D645" s="23"/>
      <c r="E645" s="23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</row>
    <row r="646" spans="2:19" ht="19.5" customHeight="1" x14ac:dyDescent="0.25">
      <c r="B646" s="22"/>
      <c r="C646" s="22"/>
      <c r="D646" s="23"/>
      <c r="E646" s="23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</row>
    <row r="647" spans="2:19" ht="19.5" customHeight="1" x14ac:dyDescent="0.25">
      <c r="B647" s="22"/>
      <c r="C647" s="22"/>
      <c r="D647" s="23"/>
      <c r="E647" s="23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</row>
    <row r="648" spans="2:19" ht="19.5" customHeight="1" x14ac:dyDescent="0.25">
      <c r="B648" s="22"/>
      <c r="C648" s="22"/>
      <c r="D648" s="23"/>
      <c r="E648" s="23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</row>
    <row r="649" spans="2:19" ht="19.5" customHeight="1" x14ac:dyDescent="0.25">
      <c r="B649" s="22"/>
      <c r="C649" s="22"/>
      <c r="D649" s="23"/>
      <c r="E649" s="23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</row>
    <row r="650" spans="2:19" ht="19.5" customHeight="1" x14ac:dyDescent="0.25">
      <c r="B650" s="22"/>
      <c r="C650" s="22"/>
      <c r="D650" s="23"/>
      <c r="E650" s="23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</row>
    <row r="651" spans="2:19" ht="19.5" customHeight="1" x14ac:dyDescent="0.25">
      <c r="B651" s="22"/>
      <c r="C651" s="22"/>
      <c r="D651" s="23"/>
      <c r="E651" s="23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</row>
    <row r="652" spans="2:19" ht="19.5" customHeight="1" x14ac:dyDescent="0.25">
      <c r="B652" s="22"/>
      <c r="C652" s="22"/>
      <c r="D652" s="23"/>
      <c r="E652" s="23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</row>
    <row r="653" spans="2:19" ht="19.5" customHeight="1" x14ac:dyDescent="0.25">
      <c r="B653" s="22"/>
      <c r="C653" s="22"/>
      <c r="D653" s="23"/>
      <c r="E653" s="23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</row>
    <row r="654" spans="2:19" ht="19.5" customHeight="1" x14ac:dyDescent="0.25">
      <c r="B654" s="22"/>
      <c r="C654" s="22"/>
      <c r="D654" s="23"/>
      <c r="E654" s="23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</row>
    <row r="655" spans="2:19" ht="19.5" customHeight="1" x14ac:dyDescent="0.25">
      <c r="B655" s="22"/>
      <c r="C655" s="22"/>
      <c r="D655" s="23"/>
      <c r="E655" s="23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</row>
    <row r="656" spans="2:19" ht="19.5" customHeight="1" x14ac:dyDescent="0.25">
      <c r="B656" s="22"/>
      <c r="C656" s="22"/>
      <c r="D656" s="23"/>
      <c r="E656" s="23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</row>
    <row r="657" spans="2:19" ht="19.5" customHeight="1" x14ac:dyDescent="0.25">
      <c r="B657" s="22"/>
      <c r="C657" s="22"/>
      <c r="D657" s="23"/>
      <c r="E657" s="23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</row>
    <row r="658" spans="2:19" ht="19.5" customHeight="1" x14ac:dyDescent="0.25">
      <c r="B658" s="22"/>
      <c r="C658" s="22"/>
      <c r="D658" s="23"/>
      <c r="E658" s="23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</row>
    <row r="659" spans="2:19" ht="19.5" customHeight="1" x14ac:dyDescent="0.25">
      <c r="B659" s="22"/>
      <c r="C659" s="22"/>
      <c r="D659" s="23"/>
      <c r="E659" s="23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</row>
    <row r="660" spans="2:19" ht="19.5" customHeight="1" x14ac:dyDescent="0.25">
      <c r="B660" s="22"/>
      <c r="C660" s="22"/>
      <c r="D660" s="23"/>
      <c r="E660" s="23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</row>
    <row r="661" spans="2:19" ht="19.5" customHeight="1" x14ac:dyDescent="0.25">
      <c r="B661" s="22"/>
      <c r="C661" s="22"/>
      <c r="D661" s="23"/>
      <c r="E661" s="23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</row>
    <row r="662" spans="2:19" ht="19.5" customHeight="1" x14ac:dyDescent="0.25">
      <c r="B662" s="22"/>
      <c r="C662" s="22"/>
      <c r="D662" s="23"/>
      <c r="E662" s="23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</row>
    <row r="663" spans="2:19" ht="19.5" customHeight="1" x14ac:dyDescent="0.25">
      <c r="B663" s="22"/>
      <c r="C663" s="22"/>
      <c r="D663" s="23"/>
      <c r="E663" s="23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</row>
    <row r="664" spans="2:19" ht="19.5" customHeight="1" x14ac:dyDescent="0.25">
      <c r="B664" s="22"/>
      <c r="C664" s="22"/>
      <c r="D664" s="23"/>
      <c r="E664" s="23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</row>
    <row r="665" spans="2:19" ht="19.5" customHeight="1" x14ac:dyDescent="0.25">
      <c r="B665" s="22"/>
      <c r="C665" s="22"/>
      <c r="D665" s="23"/>
      <c r="E665" s="23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</row>
    <row r="666" spans="2:19" ht="19.5" customHeight="1" x14ac:dyDescent="0.25">
      <c r="B666" s="22"/>
      <c r="C666" s="22"/>
      <c r="D666" s="23"/>
      <c r="E666" s="23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</row>
    <row r="667" spans="2:19" ht="19.5" customHeight="1" x14ac:dyDescent="0.25">
      <c r="B667" s="22"/>
      <c r="C667" s="22"/>
      <c r="D667" s="23"/>
      <c r="E667" s="23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</row>
    <row r="668" spans="2:19" ht="19.5" customHeight="1" x14ac:dyDescent="0.25">
      <c r="B668" s="22"/>
      <c r="C668" s="22"/>
      <c r="D668" s="23"/>
      <c r="E668" s="23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</row>
    <row r="669" spans="2:19" ht="19.5" customHeight="1" x14ac:dyDescent="0.25">
      <c r="B669" s="22"/>
      <c r="C669" s="22"/>
      <c r="D669" s="23"/>
      <c r="E669" s="23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</row>
    <row r="670" spans="2:19" ht="19.5" customHeight="1" x14ac:dyDescent="0.25">
      <c r="B670" s="22"/>
      <c r="C670" s="22"/>
      <c r="D670" s="23"/>
      <c r="E670" s="23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</row>
    <row r="671" spans="2:19" ht="19.5" customHeight="1" x14ac:dyDescent="0.25">
      <c r="B671" s="22"/>
      <c r="C671" s="22"/>
      <c r="D671" s="23"/>
      <c r="E671" s="23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</row>
    <row r="672" spans="2:19" ht="19.5" customHeight="1" x14ac:dyDescent="0.25">
      <c r="B672" s="22"/>
      <c r="C672" s="22"/>
      <c r="D672" s="23"/>
      <c r="E672" s="23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</row>
    <row r="673" spans="2:19" ht="19.5" customHeight="1" x14ac:dyDescent="0.25">
      <c r="B673" s="22"/>
      <c r="C673" s="22"/>
      <c r="D673" s="23"/>
      <c r="E673" s="23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</row>
    <row r="674" spans="2:19" ht="19.5" customHeight="1" x14ac:dyDescent="0.25">
      <c r="B674" s="22"/>
      <c r="C674" s="22"/>
      <c r="D674" s="23"/>
      <c r="E674" s="23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</row>
    <row r="675" spans="2:19" ht="19.5" customHeight="1" x14ac:dyDescent="0.25">
      <c r="B675" s="22"/>
      <c r="C675" s="22"/>
      <c r="D675" s="23"/>
      <c r="E675" s="23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2:19" ht="19.5" customHeight="1" x14ac:dyDescent="0.25">
      <c r="B676" s="22"/>
      <c r="C676" s="22"/>
      <c r="D676" s="23"/>
      <c r="E676" s="23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</row>
    <row r="677" spans="2:19" ht="19.5" customHeight="1" x14ac:dyDescent="0.25">
      <c r="B677" s="22"/>
      <c r="C677" s="22"/>
      <c r="D677" s="23"/>
      <c r="E677" s="23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</row>
    <row r="678" spans="2:19" ht="19.5" customHeight="1" x14ac:dyDescent="0.25">
      <c r="B678" s="22"/>
      <c r="C678" s="22"/>
      <c r="D678" s="23"/>
      <c r="E678" s="23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</row>
    <row r="679" spans="2:19" ht="19.5" customHeight="1" x14ac:dyDescent="0.25">
      <c r="B679" s="22"/>
      <c r="C679" s="22"/>
      <c r="D679" s="23"/>
      <c r="E679" s="23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</row>
    <row r="680" spans="2:19" ht="19.5" customHeight="1" x14ac:dyDescent="0.25">
      <c r="B680" s="22"/>
      <c r="C680" s="22"/>
      <c r="D680" s="23"/>
      <c r="E680" s="23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</row>
    <row r="681" spans="2:19" ht="19.5" customHeight="1" x14ac:dyDescent="0.25">
      <c r="B681" s="22"/>
      <c r="C681" s="22"/>
      <c r="D681" s="23"/>
      <c r="E681" s="23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</row>
    <row r="682" spans="2:19" ht="19.5" customHeight="1" x14ac:dyDescent="0.25">
      <c r="B682" s="22"/>
      <c r="C682" s="22"/>
      <c r="D682" s="23"/>
      <c r="E682" s="23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</row>
    <row r="683" spans="2:19" ht="19.5" customHeight="1" x14ac:dyDescent="0.25">
      <c r="B683" s="22"/>
      <c r="C683" s="22"/>
      <c r="D683" s="23"/>
      <c r="E683" s="23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</row>
    <row r="684" spans="2:19" ht="19.5" customHeight="1" x14ac:dyDescent="0.25">
      <c r="B684" s="22"/>
      <c r="C684" s="22"/>
      <c r="D684" s="23"/>
      <c r="E684" s="23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</row>
    <row r="685" spans="2:19" ht="19.5" customHeight="1" x14ac:dyDescent="0.25">
      <c r="B685" s="22"/>
      <c r="C685" s="22"/>
      <c r="D685" s="23"/>
      <c r="E685" s="23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</row>
    <row r="686" spans="2:19" ht="19.5" customHeight="1" x14ac:dyDescent="0.25">
      <c r="B686" s="22"/>
      <c r="C686" s="22"/>
      <c r="D686" s="23"/>
      <c r="E686" s="23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</row>
    <row r="687" spans="2:19" ht="19.5" customHeight="1" x14ac:dyDescent="0.25">
      <c r="B687" s="22"/>
      <c r="C687" s="22"/>
      <c r="D687" s="23"/>
      <c r="E687" s="23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</row>
    <row r="688" spans="2:19" ht="19.5" customHeight="1" x14ac:dyDescent="0.25">
      <c r="B688" s="22"/>
      <c r="C688" s="22"/>
      <c r="D688" s="23"/>
      <c r="E688" s="23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</row>
    <row r="689" spans="2:19" ht="19.5" customHeight="1" x14ac:dyDescent="0.25">
      <c r="B689" s="22"/>
      <c r="C689" s="22"/>
      <c r="D689" s="23"/>
      <c r="E689" s="23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</row>
    <row r="690" spans="2:19" ht="19.5" customHeight="1" x14ac:dyDescent="0.25">
      <c r="B690" s="22"/>
      <c r="C690" s="22"/>
      <c r="D690" s="23"/>
      <c r="E690" s="23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</row>
    <row r="691" spans="2:19" ht="19.5" customHeight="1" x14ac:dyDescent="0.25">
      <c r="B691" s="22"/>
      <c r="C691" s="22"/>
      <c r="D691" s="23"/>
      <c r="E691" s="23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</row>
    <row r="692" spans="2:19" ht="19.5" customHeight="1" x14ac:dyDescent="0.25">
      <c r="B692" s="22"/>
      <c r="C692" s="22"/>
      <c r="D692" s="23"/>
      <c r="E692" s="23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</row>
    <row r="693" spans="2:19" ht="19.5" customHeight="1" x14ac:dyDescent="0.25">
      <c r="B693" s="22"/>
      <c r="C693" s="22"/>
      <c r="D693" s="23"/>
      <c r="E693" s="23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</row>
    <row r="694" spans="2:19" ht="19.5" customHeight="1" x14ac:dyDescent="0.25">
      <c r="B694" s="22"/>
      <c r="C694" s="22"/>
      <c r="D694" s="23"/>
      <c r="E694" s="23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</row>
    <row r="695" spans="2:19" ht="19.5" customHeight="1" x14ac:dyDescent="0.25">
      <c r="B695" s="22"/>
      <c r="C695" s="22"/>
      <c r="D695" s="23"/>
      <c r="E695" s="23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</row>
    <row r="696" spans="2:19" ht="19.5" customHeight="1" x14ac:dyDescent="0.25">
      <c r="B696" s="22"/>
      <c r="C696" s="22"/>
      <c r="D696" s="23"/>
      <c r="E696" s="23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</row>
    <row r="697" spans="2:19" ht="19.5" customHeight="1" x14ac:dyDescent="0.25">
      <c r="B697" s="22"/>
      <c r="C697" s="22"/>
      <c r="D697" s="23"/>
      <c r="E697" s="23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</row>
    <row r="698" spans="2:19" ht="19.5" customHeight="1" x14ac:dyDescent="0.25">
      <c r="B698" s="22"/>
      <c r="C698" s="22"/>
      <c r="D698" s="23"/>
      <c r="E698" s="23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</row>
    <row r="699" spans="2:19" ht="19.5" customHeight="1" x14ac:dyDescent="0.25">
      <c r="B699" s="22"/>
      <c r="C699" s="22"/>
      <c r="D699" s="23"/>
      <c r="E699" s="23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</row>
    <row r="700" spans="2:19" ht="19.5" customHeight="1" x14ac:dyDescent="0.25">
      <c r="B700" s="22"/>
      <c r="C700" s="22"/>
      <c r="D700" s="23"/>
      <c r="E700" s="23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</row>
    <row r="701" spans="2:19" ht="19.5" customHeight="1" x14ac:dyDescent="0.25">
      <c r="B701" s="22"/>
      <c r="C701" s="22"/>
      <c r="D701" s="23"/>
      <c r="E701" s="23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</row>
    <row r="702" spans="2:19" ht="19.5" customHeight="1" x14ac:dyDescent="0.25">
      <c r="B702" s="22"/>
      <c r="C702" s="22"/>
      <c r="D702" s="23"/>
      <c r="E702" s="23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</row>
    <row r="703" spans="2:19" ht="19.5" customHeight="1" x14ac:dyDescent="0.25">
      <c r="B703" s="22"/>
      <c r="C703" s="22"/>
      <c r="D703" s="23"/>
      <c r="E703" s="23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</row>
    <row r="704" spans="2:19" ht="19.5" customHeight="1" x14ac:dyDescent="0.25">
      <c r="B704" s="22"/>
      <c r="C704" s="22"/>
      <c r="D704" s="23"/>
      <c r="E704" s="23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</row>
    <row r="705" spans="2:19" ht="19.5" customHeight="1" x14ac:dyDescent="0.25">
      <c r="B705" s="22"/>
      <c r="C705" s="22"/>
      <c r="D705" s="23"/>
      <c r="E705" s="23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</row>
    <row r="706" spans="2:19" ht="19.5" customHeight="1" x14ac:dyDescent="0.25">
      <c r="B706" s="22"/>
      <c r="C706" s="22"/>
      <c r="D706" s="23"/>
      <c r="E706" s="23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</row>
    <row r="707" spans="2:19" ht="19.5" customHeight="1" x14ac:dyDescent="0.25">
      <c r="B707" s="22"/>
      <c r="C707" s="22"/>
      <c r="D707" s="23"/>
      <c r="E707" s="23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</row>
    <row r="708" spans="2:19" ht="19.5" customHeight="1" x14ac:dyDescent="0.25">
      <c r="B708" s="22"/>
      <c r="C708" s="22"/>
      <c r="D708" s="23"/>
      <c r="E708" s="23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</row>
    <row r="709" spans="2:19" ht="19.5" customHeight="1" x14ac:dyDescent="0.25">
      <c r="B709" s="22"/>
      <c r="C709" s="22"/>
      <c r="D709" s="23"/>
      <c r="E709" s="23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</row>
    <row r="710" spans="2:19" ht="19.5" customHeight="1" x14ac:dyDescent="0.25">
      <c r="B710" s="22"/>
      <c r="C710" s="22"/>
      <c r="D710" s="23"/>
      <c r="E710" s="23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</row>
    <row r="711" spans="2:19" ht="19.5" customHeight="1" x14ac:dyDescent="0.25">
      <c r="B711" s="22"/>
      <c r="C711" s="22"/>
      <c r="D711" s="23"/>
      <c r="E711" s="23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</row>
    <row r="712" spans="2:19" ht="19.5" customHeight="1" x14ac:dyDescent="0.25">
      <c r="B712" s="22"/>
      <c r="C712" s="22"/>
      <c r="D712" s="23"/>
      <c r="E712" s="23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</row>
    <row r="713" spans="2:19" ht="19.5" customHeight="1" x14ac:dyDescent="0.25">
      <c r="B713" s="22"/>
      <c r="C713" s="22"/>
      <c r="D713" s="23"/>
      <c r="E713" s="23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</row>
    <row r="714" spans="2:19" ht="19.5" customHeight="1" x14ac:dyDescent="0.25">
      <c r="B714" s="22"/>
      <c r="C714" s="22"/>
      <c r="D714" s="23"/>
      <c r="E714" s="23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</row>
    <row r="715" spans="2:19" ht="19.5" customHeight="1" x14ac:dyDescent="0.25">
      <c r="B715" s="22"/>
      <c r="C715" s="22"/>
      <c r="D715" s="23"/>
      <c r="E715" s="23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</row>
    <row r="716" spans="2:19" ht="19.5" customHeight="1" x14ac:dyDescent="0.25">
      <c r="B716" s="22"/>
      <c r="C716" s="22"/>
      <c r="D716" s="23"/>
      <c r="E716" s="23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</row>
    <row r="717" spans="2:19" ht="19.5" customHeight="1" x14ac:dyDescent="0.25">
      <c r="B717" s="22"/>
      <c r="C717" s="22"/>
      <c r="D717" s="23"/>
      <c r="E717" s="23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</row>
    <row r="718" spans="2:19" ht="19.5" customHeight="1" x14ac:dyDescent="0.25">
      <c r="B718" s="22"/>
      <c r="C718" s="22"/>
      <c r="D718" s="23"/>
      <c r="E718" s="23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</row>
    <row r="719" spans="2:19" ht="19.5" customHeight="1" x14ac:dyDescent="0.25">
      <c r="B719" s="22"/>
      <c r="C719" s="22"/>
      <c r="D719" s="23"/>
      <c r="E719" s="23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</row>
    <row r="720" spans="2:19" ht="19.5" customHeight="1" x14ac:dyDescent="0.25">
      <c r="B720" s="22"/>
      <c r="C720" s="22"/>
      <c r="D720" s="23"/>
      <c r="E720" s="23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</row>
    <row r="721" spans="2:19" ht="19.5" customHeight="1" x14ac:dyDescent="0.25">
      <c r="B721" s="22"/>
      <c r="C721" s="22"/>
      <c r="D721" s="23"/>
      <c r="E721" s="23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</row>
    <row r="722" spans="2:19" ht="19.5" customHeight="1" x14ac:dyDescent="0.25">
      <c r="B722" s="22"/>
      <c r="C722" s="22"/>
      <c r="D722" s="23"/>
      <c r="E722" s="23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</row>
    <row r="723" spans="2:19" ht="19.5" customHeight="1" x14ac:dyDescent="0.25">
      <c r="B723" s="22"/>
      <c r="C723" s="22"/>
      <c r="D723" s="23"/>
      <c r="E723" s="23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</row>
    <row r="724" spans="2:19" ht="19.5" customHeight="1" x14ac:dyDescent="0.25">
      <c r="B724" s="22"/>
      <c r="C724" s="22"/>
      <c r="D724" s="23"/>
      <c r="E724" s="23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</row>
    <row r="725" spans="2:19" ht="19.5" customHeight="1" x14ac:dyDescent="0.25">
      <c r="B725" s="22"/>
      <c r="C725" s="22"/>
      <c r="D725" s="23"/>
      <c r="E725" s="23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</row>
    <row r="726" spans="2:19" ht="19.5" customHeight="1" x14ac:dyDescent="0.25">
      <c r="B726" s="22"/>
      <c r="C726" s="22"/>
      <c r="D726" s="23"/>
      <c r="E726" s="23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</row>
    <row r="727" spans="2:19" ht="19.5" customHeight="1" x14ac:dyDescent="0.25">
      <c r="B727" s="22"/>
      <c r="C727" s="22"/>
      <c r="D727" s="23"/>
      <c r="E727" s="23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</row>
    <row r="728" spans="2:19" ht="19.5" customHeight="1" x14ac:dyDescent="0.25">
      <c r="B728" s="22"/>
      <c r="C728" s="22"/>
      <c r="D728" s="23"/>
      <c r="E728" s="23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</row>
    <row r="729" spans="2:19" ht="19.5" customHeight="1" x14ac:dyDescent="0.25">
      <c r="B729" s="22"/>
      <c r="C729" s="22"/>
      <c r="D729" s="23"/>
      <c r="E729" s="23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</row>
    <row r="730" spans="2:19" ht="19.5" customHeight="1" x14ac:dyDescent="0.25">
      <c r="B730" s="22"/>
      <c r="C730" s="22"/>
      <c r="D730" s="23"/>
      <c r="E730" s="23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</row>
    <row r="731" spans="2:19" ht="19.5" customHeight="1" x14ac:dyDescent="0.25">
      <c r="B731" s="22"/>
      <c r="C731" s="22"/>
      <c r="D731" s="23"/>
      <c r="E731" s="23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</row>
    <row r="732" spans="2:19" ht="19.5" customHeight="1" x14ac:dyDescent="0.25">
      <c r="B732" s="22"/>
      <c r="C732" s="22"/>
      <c r="D732" s="23"/>
      <c r="E732" s="23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</row>
    <row r="733" spans="2:19" ht="19.5" customHeight="1" x14ac:dyDescent="0.25">
      <c r="B733" s="22"/>
      <c r="C733" s="22"/>
      <c r="D733" s="23"/>
      <c r="E733" s="23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</row>
    <row r="734" spans="2:19" ht="19.5" customHeight="1" x14ac:dyDescent="0.25">
      <c r="B734" s="22"/>
      <c r="C734" s="22"/>
      <c r="D734" s="23"/>
      <c r="E734" s="23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</row>
    <row r="735" spans="2:19" ht="19.5" customHeight="1" x14ac:dyDescent="0.25">
      <c r="B735" s="22"/>
      <c r="C735" s="22"/>
      <c r="D735" s="23"/>
      <c r="E735" s="23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</row>
    <row r="736" spans="2:19" ht="19.5" customHeight="1" x14ac:dyDescent="0.25">
      <c r="B736" s="22"/>
      <c r="C736" s="22"/>
      <c r="D736" s="23"/>
      <c r="E736" s="23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</row>
    <row r="737" spans="2:19" ht="19.5" customHeight="1" x14ac:dyDescent="0.25">
      <c r="B737" s="22"/>
      <c r="C737" s="22"/>
      <c r="D737" s="23"/>
      <c r="E737" s="23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</row>
    <row r="738" spans="2:19" ht="19.5" customHeight="1" x14ac:dyDescent="0.25">
      <c r="B738" s="22"/>
      <c r="C738" s="22"/>
      <c r="D738" s="23"/>
      <c r="E738" s="23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</row>
    <row r="739" spans="2:19" ht="19.5" customHeight="1" x14ac:dyDescent="0.25">
      <c r="B739" s="22"/>
      <c r="C739" s="22"/>
      <c r="D739" s="23"/>
      <c r="E739" s="23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</row>
    <row r="740" spans="2:19" ht="19.5" customHeight="1" x14ac:dyDescent="0.25">
      <c r="B740" s="22"/>
      <c r="C740" s="22"/>
      <c r="D740" s="23"/>
      <c r="E740" s="23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</row>
    <row r="741" spans="2:19" ht="19.5" customHeight="1" x14ac:dyDescent="0.25">
      <c r="B741" s="22"/>
      <c r="C741" s="22"/>
      <c r="D741" s="23"/>
      <c r="E741" s="23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</row>
    <row r="742" spans="2:19" ht="19.5" customHeight="1" x14ac:dyDescent="0.25">
      <c r="B742" s="22"/>
      <c r="C742" s="22"/>
      <c r="D742" s="23"/>
      <c r="E742" s="23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</row>
    <row r="743" spans="2:19" ht="19.5" customHeight="1" x14ac:dyDescent="0.25">
      <c r="B743" s="22"/>
      <c r="C743" s="22"/>
      <c r="D743" s="23"/>
      <c r="E743" s="23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</row>
    <row r="744" spans="2:19" ht="19.5" customHeight="1" x14ac:dyDescent="0.25">
      <c r="B744" s="22"/>
      <c r="C744" s="22"/>
      <c r="D744" s="23"/>
      <c r="E744" s="23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</row>
    <row r="745" spans="2:19" ht="19.5" customHeight="1" x14ac:dyDescent="0.25">
      <c r="B745" s="22"/>
      <c r="C745" s="22"/>
      <c r="D745" s="23"/>
      <c r="E745" s="23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</row>
    <row r="746" spans="2:19" ht="19.5" customHeight="1" x14ac:dyDescent="0.25">
      <c r="B746" s="22"/>
      <c r="C746" s="22"/>
      <c r="D746" s="23"/>
      <c r="E746" s="23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</row>
    <row r="747" spans="2:19" ht="19.5" customHeight="1" x14ac:dyDescent="0.25">
      <c r="B747" s="22"/>
      <c r="C747" s="22"/>
      <c r="D747" s="23"/>
      <c r="E747" s="23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</row>
    <row r="748" spans="2:19" ht="19.5" customHeight="1" x14ac:dyDescent="0.25">
      <c r="B748" s="22"/>
      <c r="C748" s="22"/>
      <c r="D748" s="23"/>
      <c r="E748" s="23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</row>
    <row r="749" spans="2:19" ht="19.5" customHeight="1" x14ac:dyDescent="0.25">
      <c r="B749" s="22"/>
      <c r="C749" s="22"/>
      <c r="D749" s="23"/>
      <c r="E749" s="23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</row>
    <row r="750" spans="2:19" ht="19.5" customHeight="1" x14ac:dyDescent="0.25">
      <c r="B750" s="22"/>
      <c r="C750" s="22"/>
      <c r="D750" s="23"/>
      <c r="E750" s="23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</row>
    <row r="751" spans="2:19" ht="19.5" customHeight="1" x14ac:dyDescent="0.25">
      <c r="B751" s="22"/>
      <c r="C751" s="22"/>
      <c r="D751" s="23"/>
      <c r="E751" s="23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</row>
    <row r="752" spans="2:19" ht="19.5" customHeight="1" x14ac:dyDescent="0.25">
      <c r="B752" s="22"/>
      <c r="C752" s="22"/>
      <c r="D752" s="23"/>
      <c r="E752" s="23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</row>
    <row r="753" spans="2:19" ht="19.5" customHeight="1" x14ac:dyDescent="0.25">
      <c r="B753" s="22"/>
      <c r="C753" s="22"/>
      <c r="D753" s="23"/>
      <c r="E753" s="23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</row>
    <row r="754" spans="2:19" ht="19.5" customHeight="1" x14ac:dyDescent="0.25">
      <c r="B754" s="22"/>
      <c r="C754" s="22"/>
      <c r="D754" s="23"/>
      <c r="E754" s="23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</row>
    <row r="755" spans="2:19" ht="19.5" customHeight="1" x14ac:dyDescent="0.25">
      <c r="B755" s="22"/>
      <c r="C755" s="22"/>
      <c r="D755" s="23"/>
      <c r="E755" s="23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</row>
    <row r="756" spans="2:19" ht="19.5" customHeight="1" x14ac:dyDescent="0.25">
      <c r="B756" s="22"/>
      <c r="C756" s="22"/>
      <c r="D756" s="23"/>
      <c r="E756" s="23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</row>
    <row r="757" spans="2:19" ht="19.5" customHeight="1" x14ac:dyDescent="0.25">
      <c r="B757" s="22"/>
      <c r="C757" s="22"/>
      <c r="D757" s="23"/>
      <c r="E757" s="23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</row>
    <row r="758" spans="2:19" ht="19.5" customHeight="1" x14ac:dyDescent="0.25">
      <c r="B758" s="22"/>
      <c r="C758" s="22"/>
      <c r="D758" s="23"/>
      <c r="E758" s="23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</row>
    <row r="759" spans="2:19" ht="19.5" customHeight="1" x14ac:dyDescent="0.25">
      <c r="B759" s="22"/>
      <c r="C759" s="22"/>
      <c r="D759" s="23"/>
      <c r="E759" s="23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</row>
    <row r="760" spans="2:19" ht="19.5" customHeight="1" x14ac:dyDescent="0.25">
      <c r="B760" s="22"/>
      <c r="C760" s="22"/>
      <c r="D760" s="23"/>
      <c r="E760" s="23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</row>
    <row r="761" spans="2:19" ht="19.5" customHeight="1" x14ac:dyDescent="0.25">
      <c r="B761" s="22"/>
      <c r="C761" s="22"/>
      <c r="D761" s="23"/>
      <c r="E761" s="23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</row>
    <row r="762" spans="2:19" ht="19.5" customHeight="1" x14ac:dyDescent="0.25">
      <c r="B762" s="22"/>
      <c r="C762" s="22"/>
      <c r="D762" s="23"/>
      <c r="E762" s="23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</row>
    <row r="763" spans="2:19" ht="19.5" customHeight="1" x14ac:dyDescent="0.25">
      <c r="B763" s="22"/>
      <c r="C763" s="22"/>
      <c r="D763" s="23"/>
      <c r="E763" s="23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</row>
    <row r="764" spans="2:19" ht="19.5" customHeight="1" x14ac:dyDescent="0.25">
      <c r="B764" s="22"/>
      <c r="C764" s="22"/>
      <c r="D764" s="23"/>
      <c r="E764" s="23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</row>
    <row r="765" spans="2:19" ht="19.5" customHeight="1" x14ac:dyDescent="0.25">
      <c r="B765" s="22"/>
      <c r="C765" s="22"/>
      <c r="D765" s="23"/>
      <c r="E765" s="23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</row>
    <row r="766" spans="2:19" ht="19.5" customHeight="1" x14ac:dyDescent="0.25">
      <c r="B766" s="22"/>
      <c r="C766" s="22"/>
      <c r="D766" s="23"/>
      <c r="E766" s="23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</row>
    <row r="767" spans="2:19" ht="19.5" customHeight="1" x14ac:dyDescent="0.25">
      <c r="B767" s="22"/>
      <c r="C767" s="22"/>
      <c r="D767" s="23"/>
      <c r="E767" s="23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</row>
    <row r="768" spans="2:19" ht="19.5" customHeight="1" x14ac:dyDescent="0.25">
      <c r="B768" s="22"/>
      <c r="C768" s="22"/>
      <c r="D768" s="23"/>
      <c r="E768" s="23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</row>
    <row r="769" spans="2:19" ht="19.5" customHeight="1" x14ac:dyDescent="0.25">
      <c r="B769" s="22"/>
      <c r="C769" s="22"/>
      <c r="D769" s="23"/>
      <c r="E769" s="23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</row>
    <row r="770" spans="2:19" ht="19.5" customHeight="1" x14ac:dyDescent="0.25">
      <c r="B770" s="22"/>
      <c r="C770" s="22"/>
      <c r="D770" s="23"/>
      <c r="E770" s="23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</row>
    <row r="771" spans="2:19" ht="19.5" customHeight="1" x14ac:dyDescent="0.25">
      <c r="B771" s="22"/>
      <c r="C771" s="22"/>
      <c r="D771" s="23"/>
      <c r="E771" s="23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</row>
    <row r="772" spans="2:19" ht="19.5" customHeight="1" x14ac:dyDescent="0.25">
      <c r="B772" s="22"/>
      <c r="C772" s="22"/>
      <c r="D772" s="23"/>
      <c r="E772" s="23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</row>
    <row r="773" spans="2:19" ht="19.5" customHeight="1" x14ac:dyDescent="0.25">
      <c r="B773" s="22"/>
      <c r="C773" s="22"/>
      <c r="D773" s="23"/>
      <c r="E773" s="23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</row>
    <row r="774" spans="2:19" ht="19.5" customHeight="1" x14ac:dyDescent="0.25">
      <c r="B774" s="22"/>
      <c r="C774" s="22"/>
      <c r="D774" s="23"/>
      <c r="E774" s="23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</row>
    <row r="775" spans="2:19" ht="19.5" customHeight="1" x14ac:dyDescent="0.25">
      <c r="B775" s="22"/>
      <c r="C775" s="22"/>
      <c r="D775" s="23"/>
      <c r="E775" s="23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</row>
    <row r="776" spans="2:19" ht="19.5" customHeight="1" x14ac:dyDescent="0.25">
      <c r="B776" s="22"/>
      <c r="C776" s="22"/>
      <c r="D776" s="23"/>
      <c r="E776" s="23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</row>
    <row r="777" spans="2:19" ht="19.5" customHeight="1" x14ac:dyDescent="0.25">
      <c r="B777" s="22"/>
      <c r="C777" s="22"/>
      <c r="D777" s="23"/>
      <c r="E777" s="23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</row>
    <row r="778" spans="2:19" ht="19.5" customHeight="1" x14ac:dyDescent="0.25">
      <c r="B778" s="22"/>
      <c r="C778" s="22"/>
      <c r="D778" s="23"/>
      <c r="E778" s="23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</row>
    <row r="779" spans="2:19" ht="19.5" customHeight="1" x14ac:dyDescent="0.25">
      <c r="B779" s="22"/>
      <c r="C779" s="22"/>
      <c r="D779" s="23"/>
      <c r="E779" s="23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</row>
    <row r="780" spans="2:19" ht="19.5" customHeight="1" x14ac:dyDescent="0.25">
      <c r="B780" s="22"/>
      <c r="C780" s="22"/>
      <c r="D780" s="23"/>
      <c r="E780" s="23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</row>
    <row r="781" spans="2:19" ht="19.5" customHeight="1" x14ac:dyDescent="0.25">
      <c r="B781" s="22"/>
      <c r="C781" s="22"/>
      <c r="D781" s="23"/>
      <c r="E781" s="23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</row>
    <row r="782" spans="2:19" ht="19.5" customHeight="1" x14ac:dyDescent="0.25">
      <c r="B782" s="22"/>
      <c r="C782" s="22"/>
      <c r="D782" s="23"/>
      <c r="E782" s="23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</row>
    <row r="783" spans="2:19" ht="19.5" customHeight="1" x14ac:dyDescent="0.25">
      <c r="B783" s="22"/>
      <c r="C783" s="22"/>
      <c r="D783" s="23"/>
      <c r="E783" s="23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</row>
    <row r="784" spans="2:19" ht="19.5" customHeight="1" x14ac:dyDescent="0.25">
      <c r="B784" s="22"/>
      <c r="C784" s="22"/>
      <c r="D784" s="23"/>
      <c r="E784" s="23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</row>
    <row r="785" spans="2:19" ht="19.5" customHeight="1" x14ac:dyDescent="0.25">
      <c r="B785" s="22"/>
      <c r="C785" s="22"/>
      <c r="D785" s="23"/>
      <c r="E785" s="23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</row>
    <row r="786" spans="2:19" ht="19.5" customHeight="1" x14ac:dyDescent="0.25">
      <c r="B786" s="22"/>
      <c r="C786" s="22"/>
      <c r="D786" s="23"/>
      <c r="E786" s="23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</row>
    <row r="787" spans="2:19" ht="19.5" customHeight="1" x14ac:dyDescent="0.25">
      <c r="B787" s="22"/>
      <c r="C787" s="22"/>
      <c r="D787" s="23"/>
      <c r="E787" s="23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</row>
    <row r="788" spans="2:19" ht="19.5" customHeight="1" x14ac:dyDescent="0.25">
      <c r="B788" s="22"/>
      <c r="C788" s="22"/>
      <c r="D788" s="23"/>
      <c r="E788" s="23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</row>
    <row r="789" spans="2:19" ht="19.5" customHeight="1" x14ac:dyDescent="0.25">
      <c r="B789" s="22"/>
      <c r="C789" s="22"/>
      <c r="D789" s="23"/>
      <c r="E789" s="23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</row>
    <row r="790" spans="2:19" ht="19.5" customHeight="1" x14ac:dyDescent="0.25">
      <c r="B790" s="22"/>
      <c r="C790" s="22"/>
      <c r="D790" s="23"/>
      <c r="E790" s="23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</row>
    <row r="791" spans="2:19" ht="19.5" customHeight="1" x14ac:dyDescent="0.25">
      <c r="B791" s="22"/>
      <c r="C791" s="22"/>
      <c r="D791" s="23"/>
      <c r="E791" s="23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</row>
    <row r="792" spans="2:19" ht="19.5" customHeight="1" x14ac:dyDescent="0.25">
      <c r="B792" s="22"/>
      <c r="C792" s="22"/>
      <c r="D792" s="23"/>
      <c r="E792" s="23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</row>
    <row r="793" spans="2:19" ht="19.5" customHeight="1" x14ac:dyDescent="0.25">
      <c r="B793" s="22"/>
      <c r="C793" s="22"/>
      <c r="D793" s="23"/>
      <c r="E793" s="23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</row>
    <row r="794" spans="2:19" ht="19.5" customHeight="1" x14ac:dyDescent="0.25">
      <c r="B794" s="22"/>
      <c r="C794" s="22"/>
      <c r="D794" s="23"/>
      <c r="E794" s="23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</row>
    <row r="795" spans="2:19" ht="19.5" customHeight="1" x14ac:dyDescent="0.25">
      <c r="B795" s="22"/>
      <c r="C795" s="22"/>
      <c r="D795" s="23"/>
      <c r="E795" s="23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</row>
    <row r="796" spans="2:19" ht="19.5" customHeight="1" x14ac:dyDescent="0.25">
      <c r="B796" s="22"/>
      <c r="C796" s="22"/>
      <c r="D796" s="23"/>
      <c r="E796" s="23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</row>
    <row r="797" spans="2:19" ht="19.5" customHeight="1" x14ac:dyDescent="0.25">
      <c r="B797" s="22"/>
      <c r="C797" s="22"/>
      <c r="D797" s="23"/>
      <c r="E797" s="23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</row>
    <row r="798" spans="2:19" ht="19.5" customHeight="1" x14ac:dyDescent="0.25">
      <c r="B798" s="22"/>
      <c r="C798" s="22"/>
      <c r="D798" s="23"/>
      <c r="E798" s="23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</row>
    <row r="799" spans="2:19" ht="19.5" customHeight="1" x14ac:dyDescent="0.25">
      <c r="B799" s="22"/>
      <c r="C799" s="22"/>
      <c r="D799" s="23"/>
      <c r="E799" s="23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</row>
    <row r="800" spans="2:19" ht="19.5" customHeight="1" x14ac:dyDescent="0.25">
      <c r="B800" s="22"/>
      <c r="C800" s="22"/>
      <c r="D800" s="23"/>
      <c r="E800" s="23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</row>
    <row r="801" spans="2:19" ht="19.5" customHeight="1" x14ac:dyDescent="0.25">
      <c r="B801" s="22"/>
      <c r="C801" s="22"/>
      <c r="D801" s="23"/>
      <c r="E801" s="23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</row>
    <row r="802" spans="2:19" ht="19.5" customHeight="1" x14ac:dyDescent="0.25">
      <c r="B802" s="22"/>
      <c r="C802" s="22"/>
      <c r="D802" s="23"/>
      <c r="E802" s="23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</row>
    <row r="803" spans="2:19" ht="19.5" customHeight="1" x14ac:dyDescent="0.25">
      <c r="B803" s="22"/>
      <c r="C803" s="22"/>
      <c r="D803" s="23"/>
      <c r="E803" s="23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</row>
    <row r="804" spans="2:19" ht="19.5" customHeight="1" x14ac:dyDescent="0.25">
      <c r="B804" s="22"/>
      <c r="C804" s="22"/>
      <c r="D804" s="23"/>
      <c r="E804" s="23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</row>
    <row r="805" spans="2:19" ht="19.5" customHeight="1" x14ac:dyDescent="0.25">
      <c r="B805" s="22"/>
      <c r="C805" s="22"/>
      <c r="D805" s="23"/>
      <c r="E805" s="23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</row>
    <row r="806" spans="2:19" ht="19.5" customHeight="1" x14ac:dyDescent="0.25">
      <c r="B806" s="22"/>
      <c r="C806" s="22"/>
      <c r="D806" s="23"/>
      <c r="E806" s="23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</row>
    <row r="807" spans="2:19" ht="19.5" customHeight="1" x14ac:dyDescent="0.25">
      <c r="B807" s="22"/>
      <c r="C807" s="22"/>
      <c r="D807" s="23"/>
      <c r="E807" s="23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</row>
    <row r="808" spans="2:19" ht="19.5" customHeight="1" x14ac:dyDescent="0.25">
      <c r="B808" s="22"/>
      <c r="C808" s="22"/>
      <c r="D808" s="23"/>
      <c r="E808" s="23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</row>
    <row r="809" spans="2:19" ht="19.5" customHeight="1" x14ac:dyDescent="0.25">
      <c r="B809" s="22"/>
      <c r="C809" s="22"/>
      <c r="D809" s="23"/>
      <c r="E809" s="23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</row>
    <row r="810" spans="2:19" ht="19.5" customHeight="1" x14ac:dyDescent="0.25">
      <c r="B810" s="22"/>
      <c r="C810" s="22"/>
      <c r="D810" s="23"/>
      <c r="E810" s="23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</row>
    <row r="811" spans="2:19" ht="19.5" customHeight="1" x14ac:dyDescent="0.25">
      <c r="B811" s="22"/>
      <c r="C811" s="22"/>
      <c r="D811" s="23"/>
      <c r="E811" s="23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</row>
    <row r="812" spans="2:19" ht="19.5" customHeight="1" x14ac:dyDescent="0.25">
      <c r="B812" s="22"/>
      <c r="C812" s="22"/>
      <c r="D812" s="23"/>
      <c r="E812" s="23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</row>
    <row r="813" spans="2:19" ht="19.5" customHeight="1" x14ac:dyDescent="0.25">
      <c r="B813" s="22"/>
      <c r="C813" s="22"/>
      <c r="D813" s="23"/>
      <c r="E813" s="23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</row>
    <row r="814" spans="2:19" ht="19.5" customHeight="1" x14ac:dyDescent="0.25">
      <c r="B814" s="22"/>
      <c r="C814" s="22"/>
      <c r="D814" s="23"/>
      <c r="E814" s="23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</row>
    <row r="815" spans="2:19" ht="19.5" customHeight="1" x14ac:dyDescent="0.25">
      <c r="B815" s="22"/>
      <c r="C815" s="22"/>
      <c r="D815" s="23"/>
      <c r="E815" s="23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</row>
    <row r="816" spans="2:19" ht="19.5" customHeight="1" x14ac:dyDescent="0.25">
      <c r="B816" s="22"/>
      <c r="C816" s="22"/>
      <c r="D816" s="23"/>
      <c r="E816" s="23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</row>
    <row r="817" spans="2:19" ht="19.5" customHeight="1" x14ac:dyDescent="0.25">
      <c r="B817" s="22"/>
      <c r="C817" s="22"/>
      <c r="D817" s="23"/>
      <c r="E817" s="23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</row>
    <row r="818" spans="2:19" ht="19.5" customHeight="1" x14ac:dyDescent="0.25">
      <c r="B818" s="22"/>
      <c r="C818" s="22"/>
      <c r="D818" s="23"/>
      <c r="E818" s="23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</row>
    <row r="819" spans="2:19" ht="19.5" customHeight="1" x14ac:dyDescent="0.25">
      <c r="B819" s="22"/>
      <c r="C819" s="22"/>
      <c r="D819" s="23"/>
      <c r="E819" s="23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</row>
    <row r="820" spans="2:19" ht="19.5" customHeight="1" x14ac:dyDescent="0.25">
      <c r="B820" s="22"/>
      <c r="C820" s="22"/>
      <c r="D820" s="23"/>
      <c r="E820" s="23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</row>
    <row r="821" spans="2:19" ht="19.5" customHeight="1" x14ac:dyDescent="0.25">
      <c r="B821" s="22"/>
      <c r="C821" s="22"/>
      <c r="D821" s="23"/>
      <c r="E821" s="23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</row>
    <row r="822" spans="2:19" ht="19.5" customHeight="1" x14ac:dyDescent="0.25">
      <c r="B822" s="22"/>
      <c r="C822" s="22"/>
      <c r="D822" s="23"/>
      <c r="E822" s="23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</row>
    <row r="823" spans="2:19" ht="19.5" customHeight="1" x14ac:dyDescent="0.25">
      <c r="B823" s="22"/>
      <c r="C823" s="22"/>
      <c r="D823" s="23"/>
      <c r="E823" s="23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</row>
    <row r="824" spans="2:19" ht="19.5" customHeight="1" x14ac:dyDescent="0.25">
      <c r="B824" s="22"/>
      <c r="C824" s="22"/>
      <c r="D824" s="23"/>
      <c r="E824" s="23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</row>
    <row r="825" spans="2:19" ht="19.5" customHeight="1" x14ac:dyDescent="0.25">
      <c r="B825" s="22"/>
      <c r="C825" s="22"/>
      <c r="D825" s="23"/>
      <c r="E825" s="23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</row>
    <row r="826" spans="2:19" ht="19.5" customHeight="1" x14ac:dyDescent="0.25">
      <c r="B826" s="22"/>
      <c r="C826" s="22"/>
      <c r="D826" s="23"/>
      <c r="E826" s="23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</row>
    <row r="827" spans="2:19" ht="19.5" customHeight="1" x14ac:dyDescent="0.25">
      <c r="B827" s="22"/>
      <c r="C827" s="22"/>
      <c r="D827" s="23"/>
      <c r="E827" s="23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</row>
    <row r="828" spans="2:19" ht="19.5" customHeight="1" x14ac:dyDescent="0.25">
      <c r="B828" s="22"/>
      <c r="C828" s="22"/>
      <c r="D828" s="23"/>
      <c r="E828" s="23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</row>
    <row r="829" spans="2:19" ht="19.5" customHeight="1" x14ac:dyDescent="0.25">
      <c r="B829" s="22"/>
      <c r="C829" s="22"/>
      <c r="D829" s="23"/>
      <c r="E829" s="23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</row>
    <row r="830" spans="2:19" ht="19.5" customHeight="1" x14ac:dyDescent="0.25">
      <c r="B830" s="22"/>
      <c r="C830" s="22"/>
      <c r="D830" s="23"/>
      <c r="E830" s="23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</row>
    <row r="831" spans="2:19" ht="19.5" customHeight="1" x14ac:dyDescent="0.25">
      <c r="B831" s="22"/>
      <c r="C831" s="22"/>
      <c r="D831" s="23"/>
      <c r="E831" s="23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</row>
    <row r="832" spans="2:19" ht="19.5" customHeight="1" x14ac:dyDescent="0.25">
      <c r="B832" s="22"/>
      <c r="C832" s="22"/>
      <c r="D832" s="23"/>
      <c r="E832" s="23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</row>
    <row r="833" spans="2:19" ht="19.5" customHeight="1" x14ac:dyDescent="0.25">
      <c r="B833" s="22"/>
      <c r="C833" s="22"/>
      <c r="D833" s="23"/>
      <c r="E833" s="23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</row>
    <row r="834" spans="2:19" ht="19.5" customHeight="1" x14ac:dyDescent="0.25">
      <c r="B834" s="22"/>
      <c r="C834" s="22"/>
      <c r="D834" s="23"/>
      <c r="E834" s="23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</row>
    <row r="835" spans="2:19" ht="19.5" customHeight="1" x14ac:dyDescent="0.25">
      <c r="B835" s="22"/>
      <c r="C835" s="22"/>
      <c r="D835" s="23"/>
      <c r="E835" s="23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</row>
    <row r="836" spans="2:19" ht="19.5" customHeight="1" x14ac:dyDescent="0.25">
      <c r="B836" s="22"/>
      <c r="C836" s="22"/>
      <c r="D836" s="23"/>
      <c r="E836" s="23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</row>
    <row r="837" spans="2:19" ht="19.5" customHeight="1" x14ac:dyDescent="0.25">
      <c r="B837" s="22"/>
      <c r="C837" s="22"/>
      <c r="D837" s="23"/>
      <c r="E837" s="23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</row>
    <row r="838" spans="2:19" ht="19.5" customHeight="1" x14ac:dyDescent="0.25">
      <c r="B838" s="22"/>
      <c r="C838" s="22"/>
      <c r="D838" s="23"/>
      <c r="E838" s="23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</row>
    <row r="839" spans="2:19" ht="19.5" customHeight="1" x14ac:dyDescent="0.25">
      <c r="B839" s="22"/>
      <c r="C839" s="22"/>
      <c r="D839" s="23"/>
      <c r="E839" s="23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</row>
    <row r="840" spans="2:19" ht="19.5" customHeight="1" x14ac:dyDescent="0.25">
      <c r="B840" s="22"/>
      <c r="C840" s="22"/>
      <c r="D840" s="23"/>
      <c r="E840" s="23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</row>
    <row r="841" spans="2:19" ht="19.5" customHeight="1" x14ac:dyDescent="0.25">
      <c r="B841" s="22"/>
      <c r="C841" s="22"/>
      <c r="D841" s="23"/>
      <c r="E841" s="23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</row>
    <row r="842" spans="2:19" ht="19.5" customHeight="1" x14ac:dyDescent="0.25">
      <c r="B842" s="22"/>
      <c r="C842" s="22"/>
      <c r="D842" s="23"/>
      <c r="E842" s="23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</row>
    <row r="843" spans="2:19" ht="19.5" customHeight="1" x14ac:dyDescent="0.25">
      <c r="B843" s="22"/>
      <c r="C843" s="22"/>
      <c r="D843" s="23"/>
      <c r="E843" s="23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</row>
    <row r="844" spans="2:19" ht="19.5" customHeight="1" x14ac:dyDescent="0.25">
      <c r="B844" s="22"/>
      <c r="C844" s="22"/>
      <c r="D844" s="23"/>
      <c r="E844" s="23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</row>
    <row r="845" spans="2:19" ht="19.5" customHeight="1" x14ac:dyDescent="0.25">
      <c r="B845" s="22"/>
      <c r="C845" s="22"/>
      <c r="D845" s="23"/>
      <c r="E845" s="23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</row>
    <row r="846" spans="2:19" ht="19.5" customHeight="1" x14ac:dyDescent="0.25">
      <c r="B846" s="22"/>
      <c r="C846" s="22"/>
      <c r="D846" s="23"/>
      <c r="E846" s="23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</row>
    <row r="847" spans="2:19" ht="19.5" customHeight="1" x14ac:dyDescent="0.25">
      <c r="B847" s="22"/>
      <c r="C847" s="22"/>
      <c r="D847" s="23"/>
      <c r="E847" s="23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</row>
    <row r="848" spans="2:19" ht="19.5" customHeight="1" x14ac:dyDescent="0.25">
      <c r="B848" s="22"/>
      <c r="C848" s="22"/>
      <c r="D848" s="23"/>
      <c r="E848" s="23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</row>
    <row r="849" spans="2:19" ht="19.5" customHeight="1" x14ac:dyDescent="0.25">
      <c r="B849" s="22"/>
      <c r="C849" s="22"/>
      <c r="D849" s="23"/>
      <c r="E849" s="23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</row>
    <row r="850" spans="2:19" ht="19.5" customHeight="1" x14ac:dyDescent="0.25">
      <c r="B850" s="22"/>
      <c r="C850" s="22"/>
      <c r="D850" s="23"/>
      <c r="E850" s="23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</row>
    <row r="851" spans="2:19" ht="19.5" customHeight="1" x14ac:dyDescent="0.25">
      <c r="B851" s="22"/>
      <c r="C851" s="22"/>
      <c r="D851" s="23"/>
      <c r="E851" s="23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</row>
    <row r="852" spans="2:19" ht="19.5" customHeight="1" x14ac:dyDescent="0.25">
      <c r="B852" s="22"/>
      <c r="C852" s="22"/>
      <c r="D852" s="23"/>
      <c r="E852" s="23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</row>
    <row r="853" spans="2:19" ht="19.5" customHeight="1" x14ac:dyDescent="0.25">
      <c r="B853" s="22"/>
      <c r="C853" s="22"/>
      <c r="D853" s="23"/>
      <c r="E853" s="23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</row>
    <row r="854" spans="2:19" ht="19.5" customHeight="1" x14ac:dyDescent="0.25">
      <c r="B854" s="22"/>
      <c r="C854" s="22"/>
      <c r="D854" s="23"/>
      <c r="E854" s="23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</row>
    <row r="855" spans="2:19" ht="19.5" customHeight="1" x14ac:dyDescent="0.25">
      <c r="B855" s="22"/>
      <c r="C855" s="22"/>
      <c r="D855" s="23"/>
      <c r="E855" s="23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</row>
    <row r="856" spans="2:19" ht="19.5" customHeight="1" x14ac:dyDescent="0.25">
      <c r="B856" s="22"/>
      <c r="C856" s="22"/>
      <c r="D856" s="23"/>
      <c r="E856" s="23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</row>
    <row r="857" spans="2:19" ht="19.5" customHeight="1" x14ac:dyDescent="0.25">
      <c r="B857" s="22"/>
      <c r="C857" s="22"/>
      <c r="D857" s="23"/>
      <c r="E857" s="23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</row>
    <row r="858" spans="2:19" ht="19.5" customHeight="1" x14ac:dyDescent="0.25">
      <c r="B858" s="22"/>
      <c r="C858" s="22"/>
      <c r="D858" s="23"/>
      <c r="E858" s="23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</row>
    <row r="859" spans="2:19" ht="19.5" customHeight="1" x14ac:dyDescent="0.25">
      <c r="B859" s="22"/>
      <c r="C859" s="22"/>
      <c r="D859" s="23"/>
      <c r="E859" s="23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</row>
    <row r="860" spans="2:19" ht="19.5" customHeight="1" x14ac:dyDescent="0.25">
      <c r="B860" s="22"/>
      <c r="C860" s="22"/>
      <c r="D860" s="23"/>
      <c r="E860" s="23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</row>
    <row r="861" spans="2:19" ht="19.5" customHeight="1" x14ac:dyDescent="0.25">
      <c r="B861" s="22"/>
      <c r="C861" s="22"/>
      <c r="D861" s="23"/>
      <c r="E861" s="23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</row>
    <row r="862" spans="2:19" ht="19.5" customHeight="1" x14ac:dyDescent="0.25">
      <c r="B862" s="22"/>
      <c r="C862" s="22"/>
      <c r="D862" s="23"/>
      <c r="E862" s="23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</row>
    <row r="863" spans="2:19" ht="19.5" customHeight="1" x14ac:dyDescent="0.25">
      <c r="B863" s="22"/>
      <c r="C863" s="22"/>
      <c r="D863" s="23"/>
      <c r="E863" s="23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</row>
    <row r="864" spans="2:19" ht="19.5" customHeight="1" x14ac:dyDescent="0.25">
      <c r="B864" s="22"/>
      <c r="C864" s="22"/>
      <c r="D864" s="23"/>
      <c r="E864" s="23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</row>
    <row r="865" spans="2:19" ht="19.5" customHeight="1" x14ac:dyDescent="0.25">
      <c r="B865" s="22"/>
      <c r="C865" s="22"/>
      <c r="D865" s="23"/>
      <c r="E865" s="23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</row>
    <row r="866" spans="2:19" ht="19.5" customHeight="1" x14ac:dyDescent="0.25">
      <c r="B866" s="22"/>
      <c r="C866" s="22"/>
      <c r="D866" s="23"/>
      <c r="E866" s="23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</row>
    <row r="867" spans="2:19" ht="19.5" customHeight="1" x14ac:dyDescent="0.25">
      <c r="B867" s="22"/>
      <c r="C867" s="22"/>
      <c r="D867" s="23"/>
      <c r="E867" s="23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</row>
    <row r="868" spans="2:19" ht="19.5" customHeight="1" x14ac:dyDescent="0.25">
      <c r="B868" s="22"/>
      <c r="C868" s="22"/>
      <c r="D868" s="23"/>
      <c r="E868" s="23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</row>
    <row r="869" spans="2:19" ht="19.5" customHeight="1" x14ac:dyDescent="0.25">
      <c r="B869" s="22"/>
      <c r="C869" s="22"/>
      <c r="D869" s="23"/>
      <c r="E869" s="23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</row>
    <row r="870" spans="2:19" ht="19.5" customHeight="1" x14ac:dyDescent="0.25">
      <c r="B870" s="22"/>
      <c r="C870" s="22"/>
      <c r="D870" s="23"/>
      <c r="E870" s="23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</row>
    <row r="871" spans="2:19" ht="19.5" customHeight="1" x14ac:dyDescent="0.25">
      <c r="B871" s="22"/>
      <c r="C871" s="22"/>
      <c r="D871" s="23"/>
      <c r="E871" s="23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</row>
    <row r="872" spans="2:19" ht="19.5" customHeight="1" x14ac:dyDescent="0.25">
      <c r="B872" s="22"/>
      <c r="C872" s="22"/>
      <c r="D872" s="23"/>
      <c r="E872" s="23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</row>
    <row r="873" spans="2:19" ht="19.5" customHeight="1" x14ac:dyDescent="0.25">
      <c r="B873" s="22"/>
      <c r="C873" s="22"/>
      <c r="D873" s="23"/>
      <c r="E873" s="23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</row>
    <row r="874" spans="2:19" ht="19.5" customHeight="1" x14ac:dyDescent="0.25">
      <c r="B874" s="22"/>
      <c r="C874" s="22"/>
      <c r="D874" s="23"/>
      <c r="E874" s="23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</row>
    <row r="875" spans="2:19" ht="19.5" customHeight="1" x14ac:dyDescent="0.25">
      <c r="B875" s="22"/>
      <c r="C875" s="22"/>
      <c r="D875" s="23"/>
      <c r="E875" s="23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</row>
    <row r="876" spans="2:19" ht="19.5" customHeight="1" x14ac:dyDescent="0.25">
      <c r="B876" s="22"/>
      <c r="C876" s="22"/>
      <c r="D876" s="23"/>
      <c r="E876" s="23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</row>
    <row r="877" spans="2:19" ht="19.5" customHeight="1" x14ac:dyDescent="0.25">
      <c r="B877" s="22"/>
      <c r="C877" s="22"/>
      <c r="D877" s="23"/>
      <c r="E877" s="23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</row>
    <row r="878" spans="2:19" ht="19.5" customHeight="1" x14ac:dyDescent="0.25">
      <c r="B878" s="22"/>
      <c r="C878" s="22"/>
      <c r="D878" s="23"/>
      <c r="E878" s="23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</row>
    <row r="879" spans="2:19" ht="19.5" customHeight="1" x14ac:dyDescent="0.25">
      <c r="B879" s="22"/>
      <c r="C879" s="22"/>
      <c r="D879" s="23"/>
      <c r="E879" s="23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</row>
    <row r="880" spans="2:19" ht="19.5" customHeight="1" x14ac:dyDescent="0.25">
      <c r="B880" s="22"/>
      <c r="C880" s="22"/>
      <c r="D880" s="23"/>
      <c r="E880" s="23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</row>
    <row r="881" spans="2:19" ht="19.5" customHeight="1" x14ac:dyDescent="0.25">
      <c r="B881" s="22"/>
      <c r="C881" s="22"/>
      <c r="D881" s="23"/>
      <c r="E881" s="23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</row>
    <row r="882" spans="2:19" ht="19.5" customHeight="1" x14ac:dyDescent="0.25">
      <c r="B882" s="22"/>
      <c r="C882" s="22"/>
      <c r="D882" s="23"/>
      <c r="E882" s="23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</row>
    <row r="883" spans="2:19" ht="19.5" customHeight="1" x14ac:dyDescent="0.25">
      <c r="B883" s="22"/>
      <c r="C883" s="22"/>
      <c r="D883" s="23"/>
      <c r="E883" s="23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</row>
    <row r="884" spans="2:19" ht="19.5" customHeight="1" x14ac:dyDescent="0.25">
      <c r="B884" s="22"/>
      <c r="C884" s="22"/>
      <c r="D884" s="23"/>
      <c r="E884" s="23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</row>
    <row r="885" spans="2:19" ht="19.5" customHeight="1" x14ac:dyDescent="0.25">
      <c r="B885" s="22"/>
      <c r="C885" s="22"/>
      <c r="D885" s="23"/>
      <c r="E885" s="23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</row>
    <row r="886" spans="2:19" ht="19.5" customHeight="1" x14ac:dyDescent="0.25">
      <c r="B886" s="22"/>
      <c r="C886" s="22"/>
      <c r="D886" s="23"/>
      <c r="E886" s="23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</row>
    <row r="887" spans="2:19" ht="19.5" customHeight="1" x14ac:dyDescent="0.25">
      <c r="B887" s="22"/>
      <c r="C887" s="22"/>
      <c r="D887" s="23"/>
      <c r="E887" s="23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</row>
    <row r="888" spans="2:19" ht="19.5" customHeight="1" x14ac:dyDescent="0.25">
      <c r="B888" s="22"/>
      <c r="C888" s="22"/>
      <c r="D888" s="23"/>
      <c r="E888" s="23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</row>
    <row r="889" spans="2:19" ht="19.5" customHeight="1" x14ac:dyDescent="0.25">
      <c r="B889" s="22"/>
      <c r="C889" s="22"/>
      <c r="D889" s="23"/>
      <c r="E889" s="23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</row>
    <row r="890" spans="2:19" ht="19.5" customHeight="1" x14ac:dyDescent="0.25">
      <c r="B890" s="22"/>
      <c r="C890" s="22"/>
      <c r="D890" s="23"/>
      <c r="E890" s="23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</row>
    <row r="891" spans="2:19" ht="19.5" customHeight="1" x14ac:dyDescent="0.25">
      <c r="B891" s="22"/>
      <c r="C891" s="22"/>
      <c r="D891" s="23"/>
      <c r="E891" s="23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</row>
    <row r="892" spans="2:19" ht="19.5" customHeight="1" x14ac:dyDescent="0.25">
      <c r="B892" s="22"/>
      <c r="C892" s="22"/>
      <c r="D892" s="23"/>
      <c r="E892" s="23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</row>
    <row r="893" spans="2:19" ht="19.5" customHeight="1" x14ac:dyDescent="0.25">
      <c r="B893" s="22"/>
      <c r="C893" s="22"/>
      <c r="D893" s="23"/>
      <c r="E893" s="23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</row>
    <row r="894" spans="2:19" ht="19.5" customHeight="1" x14ac:dyDescent="0.25">
      <c r="B894" s="22"/>
      <c r="C894" s="22"/>
      <c r="D894" s="23"/>
      <c r="E894" s="23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</row>
    <row r="895" spans="2:19" ht="19.5" customHeight="1" x14ac:dyDescent="0.25">
      <c r="B895" s="22"/>
      <c r="C895" s="22"/>
      <c r="D895" s="23"/>
      <c r="E895" s="23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</row>
    <row r="896" spans="2:19" ht="19.5" customHeight="1" x14ac:dyDescent="0.25">
      <c r="B896" s="22"/>
      <c r="C896" s="22"/>
      <c r="D896" s="23"/>
      <c r="E896" s="23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</row>
    <row r="897" spans="2:19" ht="19.5" customHeight="1" x14ac:dyDescent="0.25">
      <c r="B897" s="22"/>
      <c r="C897" s="22"/>
      <c r="D897" s="23"/>
      <c r="E897" s="23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</row>
    <row r="898" spans="2:19" ht="19.5" customHeight="1" x14ac:dyDescent="0.25">
      <c r="B898" s="22"/>
      <c r="C898" s="22"/>
      <c r="D898" s="23"/>
      <c r="E898" s="23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</row>
    <row r="899" spans="2:19" ht="19.5" customHeight="1" x14ac:dyDescent="0.25">
      <c r="B899" s="22"/>
      <c r="C899" s="22"/>
      <c r="D899" s="23"/>
      <c r="E899" s="23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</row>
    <row r="900" spans="2:19" ht="19.5" customHeight="1" x14ac:dyDescent="0.25">
      <c r="B900" s="22"/>
      <c r="C900" s="22"/>
      <c r="D900" s="23"/>
      <c r="E900" s="23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</row>
    <row r="901" spans="2:19" ht="19.5" customHeight="1" x14ac:dyDescent="0.25">
      <c r="B901" s="22"/>
      <c r="C901" s="22"/>
      <c r="D901" s="23"/>
      <c r="E901" s="23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</row>
    <row r="902" spans="2:19" ht="19.5" customHeight="1" x14ac:dyDescent="0.25">
      <c r="B902" s="22"/>
      <c r="C902" s="22"/>
      <c r="D902" s="23"/>
      <c r="E902" s="23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</row>
    <row r="903" spans="2:19" ht="19.5" customHeight="1" x14ac:dyDescent="0.25">
      <c r="B903" s="22"/>
      <c r="C903" s="22"/>
      <c r="D903" s="23"/>
      <c r="E903" s="23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</row>
    <row r="904" spans="2:19" ht="19.5" customHeight="1" x14ac:dyDescent="0.25">
      <c r="B904" s="22"/>
      <c r="C904" s="22"/>
      <c r="D904" s="23"/>
      <c r="E904" s="23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</row>
    <row r="905" spans="2:19" ht="19.5" customHeight="1" x14ac:dyDescent="0.25">
      <c r="B905" s="22"/>
      <c r="C905" s="22"/>
      <c r="D905" s="23"/>
      <c r="E905" s="23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</row>
    <row r="906" spans="2:19" ht="19.5" customHeight="1" x14ac:dyDescent="0.25">
      <c r="B906" s="22"/>
      <c r="C906" s="22"/>
      <c r="D906" s="23"/>
      <c r="E906" s="23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</row>
    <row r="907" spans="2:19" ht="19.5" customHeight="1" x14ac:dyDescent="0.25">
      <c r="B907" s="22"/>
      <c r="C907" s="22"/>
      <c r="D907" s="23"/>
      <c r="E907" s="23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</row>
    <row r="908" spans="2:19" ht="19.5" customHeight="1" x14ac:dyDescent="0.25">
      <c r="B908" s="22"/>
      <c r="C908" s="22"/>
      <c r="D908" s="23"/>
      <c r="E908" s="23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</row>
    <row r="909" spans="2:19" ht="19.5" customHeight="1" x14ac:dyDescent="0.25">
      <c r="B909" s="22"/>
      <c r="C909" s="22"/>
      <c r="D909" s="23"/>
      <c r="E909" s="23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</row>
    <row r="910" spans="2:19" ht="19.5" customHeight="1" x14ac:dyDescent="0.25">
      <c r="B910" s="22"/>
      <c r="C910" s="22"/>
      <c r="D910" s="23"/>
      <c r="E910" s="23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</row>
    <row r="911" spans="2:19" ht="19.5" customHeight="1" x14ac:dyDescent="0.25">
      <c r="B911" s="22"/>
      <c r="C911" s="22"/>
      <c r="D911" s="23"/>
      <c r="E911" s="23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</row>
    <row r="912" spans="2:19" ht="19.5" customHeight="1" x14ac:dyDescent="0.25">
      <c r="B912" s="22"/>
      <c r="C912" s="22"/>
      <c r="D912" s="23"/>
      <c r="E912" s="23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</row>
    <row r="913" spans="2:19" ht="19.5" customHeight="1" x14ac:dyDescent="0.25">
      <c r="B913" s="22"/>
      <c r="C913" s="22"/>
      <c r="D913" s="23"/>
      <c r="E913" s="23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</row>
    <row r="914" spans="2:19" ht="19.5" customHeight="1" x14ac:dyDescent="0.25">
      <c r="B914" s="22"/>
      <c r="C914" s="22"/>
      <c r="D914" s="23"/>
      <c r="E914" s="23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</row>
    <row r="915" spans="2:19" ht="19.5" customHeight="1" x14ac:dyDescent="0.25">
      <c r="B915" s="22"/>
      <c r="C915" s="22"/>
      <c r="D915" s="23"/>
      <c r="E915" s="23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</row>
    <row r="916" spans="2:19" ht="19.5" customHeight="1" x14ac:dyDescent="0.25">
      <c r="B916" s="22"/>
      <c r="C916" s="22"/>
      <c r="D916" s="23"/>
      <c r="E916" s="23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</row>
    <row r="917" spans="2:19" ht="19.5" customHeight="1" x14ac:dyDescent="0.25">
      <c r="B917" s="22"/>
      <c r="C917" s="22"/>
      <c r="D917" s="23"/>
      <c r="E917" s="23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</row>
    <row r="918" spans="2:19" ht="19.5" customHeight="1" x14ac:dyDescent="0.25">
      <c r="B918" s="22"/>
      <c r="C918" s="22"/>
      <c r="D918" s="23"/>
      <c r="E918" s="23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</row>
    <row r="919" spans="2:19" ht="19.5" customHeight="1" x14ac:dyDescent="0.25">
      <c r="B919" s="22"/>
      <c r="C919" s="22"/>
      <c r="D919" s="23"/>
      <c r="E919" s="23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</row>
    <row r="920" spans="2:19" ht="19.5" customHeight="1" x14ac:dyDescent="0.25">
      <c r="B920" s="22"/>
      <c r="C920" s="22"/>
      <c r="D920" s="23"/>
      <c r="E920" s="23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</row>
    <row r="921" spans="2:19" ht="19.5" customHeight="1" x14ac:dyDescent="0.25">
      <c r="B921" s="22"/>
      <c r="C921" s="22"/>
      <c r="D921" s="23"/>
      <c r="E921" s="23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</row>
    <row r="922" spans="2:19" ht="19.5" customHeight="1" x14ac:dyDescent="0.25">
      <c r="B922" s="22"/>
      <c r="C922" s="22"/>
      <c r="D922" s="23"/>
      <c r="E922" s="23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</row>
    <row r="923" spans="2:19" ht="19.5" customHeight="1" x14ac:dyDescent="0.25">
      <c r="B923" s="22"/>
      <c r="C923" s="22"/>
      <c r="D923" s="23"/>
      <c r="E923" s="23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</row>
    <row r="924" spans="2:19" ht="19.5" customHeight="1" x14ac:dyDescent="0.25">
      <c r="B924" s="22"/>
      <c r="C924" s="22"/>
      <c r="D924" s="23"/>
      <c r="E924" s="23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</row>
    <row r="925" spans="2:19" ht="19.5" customHeight="1" x14ac:dyDescent="0.25">
      <c r="B925" s="22"/>
      <c r="C925" s="22"/>
      <c r="D925" s="23"/>
      <c r="E925" s="23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</row>
    <row r="926" spans="2:19" ht="19.5" customHeight="1" x14ac:dyDescent="0.25">
      <c r="B926" s="22"/>
      <c r="C926" s="22"/>
      <c r="D926" s="23"/>
      <c r="E926" s="23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</row>
    <row r="927" spans="2:19" ht="19.5" customHeight="1" x14ac:dyDescent="0.25">
      <c r="B927" s="22"/>
      <c r="C927" s="22"/>
      <c r="D927" s="23"/>
      <c r="E927" s="23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</row>
    <row r="928" spans="2:19" ht="19.5" customHeight="1" x14ac:dyDescent="0.25">
      <c r="B928" s="22"/>
      <c r="E928" s="23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</row>
    <row r="929" spans="2:19" ht="19.5" customHeight="1" x14ac:dyDescent="0.25">
      <c r="B929" s="22"/>
      <c r="E929" s="23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</row>
    <row r="930" spans="2:19" ht="19.5" customHeight="1" x14ac:dyDescent="0.25">
      <c r="B930" s="22"/>
      <c r="E930" s="23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</row>
    <row r="931" spans="2:19" ht="19.5" customHeight="1" x14ac:dyDescent="0.25">
      <c r="B931" s="22"/>
      <c r="E931" s="23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</row>
    <row r="932" spans="2:19" ht="19.5" customHeight="1" x14ac:dyDescent="0.25">
      <c r="B932" s="22"/>
      <c r="E932" s="23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</row>
    <row r="933" spans="2:19" ht="19.5" customHeight="1" x14ac:dyDescent="0.25">
      <c r="B933" s="22"/>
      <c r="E933" s="23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</row>
    <row r="934" spans="2:19" ht="19.5" customHeight="1" x14ac:dyDescent="0.25">
      <c r="B934" s="22"/>
      <c r="E934" s="23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</row>
    <row r="935" spans="2:19" ht="19.5" customHeight="1" x14ac:dyDescent="0.25">
      <c r="B935" s="22"/>
      <c r="E935" s="23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</row>
    <row r="936" spans="2:19" ht="19.5" customHeight="1" x14ac:dyDescent="0.25">
      <c r="B936" s="22"/>
      <c r="E936" s="23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</row>
    <row r="937" spans="2:19" ht="19.5" customHeight="1" x14ac:dyDescent="0.25">
      <c r="B937" s="22"/>
      <c r="E937" s="23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</row>
    <row r="938" spans="2:19" ht="19.5" customHeight="1" x14ac:dyDescent="0.25">
      <c r="B938" s="22"/>
      <c r="E938" s="23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</row>
    <row r="939" spans="2:19" ht="19.5" customHeight="1" x14ac:dyDescent="0.25">
      <c r="B939" s="22"/>
      <c r="E939" s="23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</row>
    <row r="940" spans="2:19" ht="19.5" customHeight="1" x14ac:dyDescent="0.25">
      <c r="B940" s="22"/>
      <c r="E940" s="23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</row>
    <row r="941" spans="2:19" ht="19.5" customHeight="1" x14ac:dyDescent="0.25">
      <c r="B941" s="22"/>
      <c r="E941" s="23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</row>
    <row r="942" spans="2:19" ht="19.5" customHeight="1" x14ac:dyDescent="0.25">
      <c r="B942" s="22"/>
      <c r="E942" s="23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</row>
    <row r="943" spans="2:19" ht="19.5" customHeight="1" x14ac:dyDescent="0.25">
      <c r="B943" s="22"/>
      <c r="E943" s="23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</row>
    <row r="944" spans="2:19" ht="19.5" customHeight="1" x14ac:dyDescent="0.25">
      <c r="B944" s="22"/>
      <c r="E944" s="23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</row>
    <row r="945" spans="2:19" ht="19.5" customHeight="1" x14ac:dyDescent="0.25">
      <c r="B945" s="22"/>
      <c r="E945" s="23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</row>
    <row r="946" spans="2:19" ht="19.5" customHeight="1" x14ac:dyDescent="0.25">
      <c r="B946" s="22"/>
      <c r="E946" s="23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</row>
    <row r="947" spans="2:19" ht="19.5" customHeight="1" x14ac:dyDescent="0.25">
      <c r="B947" s="22"/>
      <c r="E947" s="23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</row>
    <row r="948" spans="2:19" ht="19.5" customHeight="1" x14ac:dyDescent="0.25">
      <c r="B948" s="22"/>
      <c r="E948" s="23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</row>
    <row r="949" spans="2:19" ht="19.5" customHeight="1" x14ac:dyDescent="0.25">
      <c r="B949" s="22"/>
      <c r="E949" s="23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</row>
    <row r="950" spans="2:19" ht="19.5" customHeight="1" x14ac:dyDescent="0.25">
      <c r="B950" s="22"/>
      <c r="E950" s="23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</row>
    <row r="951" spans="2:19" ht="19.5" customHeight="1" x14ac:dyDescent="0.25">
      <c r="B951" s="22"/>
      <c r="E951" s="23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</row>
    <row r="952" spans="2:19" ht="19.5" customHeight="1" x14ac:dyDescent="0.25">
      <c r="B952" s="22"/>
      <c r="E952" s="23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</row>
    <row r="953" spans="2:19" ht="19.5" customHeight="1" x14ac:dyDescent="0.25">
      <c r="B953" s="22"/>
      <c r="E953" s="23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</row>
    <row r="954" spans="2:19" ht="19.5" customHeight="1" x14ac:dyDescent="0.25">
      <c r="B954" s="22"/>
      <c r="E954" s="23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</row>
    <row r="955" spans="2:19" ht="19.5" customHeight="1" x14ac:dyDescent="0.25">
      <c r="B955" s="22"/>
      <c r="E955" s="23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</row>
    <row r="956" spans="2:19" ht="19.5" customHeight="1" x14ac:dyDescent="0.25">
      <c r="B956" s="22"/>
      <c r="E956" s="23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</row>
    <row r="957" spans="2:19" ht="19.5" customHeight="1" x14ac:dyDescent="0.25">
      <c r="B957" s="22"/>
      <c r="E957" s="23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</row>
    <row r="958" spans="2:19" ht="19.5" customHeight="1" x14ac:dyDescent="0.25">
      <c r="B958" s="22"/>
      <c r="E958" s="23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</row>
    <row r="959" spans="2:19" ht="19.5" customHeight="1" x14ac:dyDescent="0.25">
      <c r="B959" s="22"/>
      <c r="E959" s="23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</row>
    <row r="960" spans="2:19" ht="19.5" customHeight="1" x14ac:dyDescent="0.25">
      <c r="B960" s="22"/>
      <c r="E960" s="23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</row>
    <row r="961" spans="2:19" ht="19.5" customHeight="1" x14ac:dyDescent="0.25">
      <c r="B961" s="22"/>
      <c r="E961" s="23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</row>
    <row r="962" spans="2:19" ht="19.5" customHeight="1" x14ac:dyDescent="0.25">
      <c r="B962" s="22"/>
      <c r="E962" s="23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</row>
    <row r="963" spans="2:19" ht="19.5" customHeight="1" x14ac:dyDescent="0.25">
      <c r="B963" s="22"/>
      <c r="E963" s="23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</row>
    <row r="964" spans="2:19" ht="19.5" customHeight="1" x14ac:dyDescent="0.25">
      <c r="B964" s="22"/>
      <c r="E964" s="23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</row>
    <row r="965" spans="2:19" ht="19.5" customHeight="1" x14ac:dyDescent="0.25">
      <c r="B965" s="22"/>
      <c r="E965" s="23"/>
    </row>
    <row r="966" spans="2:19" ht="19.5" customHeight="1" x14ac:dyDescent="0.25">
      <c r="B966" s="22"/>
      <c r="E966" s="23"/>
    </row>
    <row r="967" spans="2:19" ht="19.5" customHeight="1" x14ac:dyDescent="0.25">
      <c r="B967" s="22"/>
      <c r="E967" s="23"/>
    </row>
    <row r="968" spans="2:19" ht="15" customHeight="1" x14ac:dyDescent="0.25">
      <c r="B968" s="22"/>
      <c r="E968" s="23"/>
    </row>
  </sheetData>
  <mergeCells count="70">
    <mergeCell ref="DW7:DX7"/>
    <mergeCell ref="DY7:DZ7"/>
    <mergeCell ref="EA7:EB7"/>
    <mergeCell ref="DM7:DN7"/>
    <mergeCell ref="DO7:DP7"/>
    <mergeCell ref="DQ7:DR7"/>
    <mergeCell ref="DS7:DT7"/>
    <mergeCell ref="DU7:DV7"/>
    <mergeCell ref="DC7:DD7"/>
    <mergeCell ref="DE7:DF7"/>
    <mergeCell ref="DG7:DH7"/>
    <mergeCell ref="DI7:DJ7"/>
    <mergeCell ref="DK7:DL7"/>
    <mergeCell ref="CS7:CT7"/>
    <mergeCell ref="CU7:CV7"/>
    <mergeCell ref="CW7:CX7"/>
    <mergeCell ref="CY7:CZ7"/>
    <mergeCell ref="DA7:DB7"/>
    <mergeCell ref="CI7:CJ7"/>
    <mergeCell ref="CK7:CL7"/>
    <mergeCell ref="CM7:CN7"/>
    <mergeCell ref="CO7:CP7"/>
    <mergeCell ref="CQ7:CR7"/>
    <mergeCell ref="B2:H3"/>
    <mergeCell ref="B4:H4"/>
    <mergeCell ref="B7:B8"/>
    <mergeCell ref="C7:C8"/>
    <mergeCell ref="D7:D8"/>
    <mergeCell ref="E7:E8"/>
    <mergeCell ref="CA7:CB7"/>
    <mergeCell ref="CC7:CD7"/>
    <mergeCell ref="CE7:CF7"/>
    <mergeCell ref="CG7:CH7"/>
    <mergeCell ref="BO7:BP7"/>
    <mergeCell ref="BQ7:BR7"/>
    <mergeCell ref="BS7:BT7"/>
    <mergeCell ref="BU7:BV7"/>
    <mergeCell ref="BW7:BX7"/>
    <mergeCell ref="BY7:BZ7"/>
    <mergeCell ref="BM7:BN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AO7:AP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C30:D30"/>
    <mergeCell ref="Q7:R7"/>
    <mergeCell ref="G7:H7"/>
    <mergeCell ref="I7:J7"/>
    <mergeCell ref="K7:L7"/>
    <mergeCell ref="M7:N7"/>
    <mergeCell ref="O7:P7"/>
  </mergeCells>
  <phoneticPr fontId="4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79"/>
  <sheetViews>
    <sheetView showGridLines="0" topLeftCell="B1" zoomScale="40" zoomScaleNormal="40" workbookViewId="0">
      <selection activeCell="C71" sqref="C9:C71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28" t="s">
        <v>46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30"/>
    </row>
    <row r="3" spans="2:86" ht="10.5" customHeight="1" x14ac:dyDescent="0.25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3"/>
    </row>
    <row r="4" spans="2:86" ht="51.75" customHeight="1" x14ac:dyDescent="0.25"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3"/>
    </row>
    <row r="5" spans="2:86" ht="49.5" customHeight="1" x14ac:dyDescent="0.25">
      <c r="B5" s="134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  <c r="BX5" s="135"/>
      <c r="BY5" s="135"/>
      <c r="BZ5" s="135"/>
      <c r="CA5" s="135"/>
      <c r="CB5" s="135"/>
      <c r="CC5" s="135"/>
      <c r="CD5" s="135"/>
      <c r="CE5" s="135"/>
      <c r="CF5" s="135"/>
      <c r="CG5" s="135"/>
      <c r="CH5" s="136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/>
      <c r="D9" s="10">
        <f>C9</f>
        <v>0</v>
      </c>
      <c r="E9" s="11">
        <f>C9*$F$72</f>
        <v>0</v>
      </c>
      <c r="F9" s="11">
        <f>E9</f>
        <v>0</v>
      </c>
      <c r="G9" s="2"/>
    </row>
    <row r="10" spans="2:86" ht="27" customHeight="1" x14ac:dyDescent="0.25">
      <c r="B10" s="8">
        <v>2</v>
      </c>
      <c r="C10" s="9"/>
      <c r="D10" s="10">
        <f>C10+D9</f>
        <v>0</v>
      </c>
      <c r="E10" s="11">
        <f t="shared" ref="E10:E71" si="0">C10*$F$72</f>
        <v>0</v>
      </c>
      <c r="F10" s="11">
        <f>F9+E10</f>
        <v>0</v>
      </c>
      <c r="G10" s="2"/>
    </row>
    <row r="11" spans="2:86" ht="27" customHeight="1" x14ac:dyDescent="0.25">
      <c r="B11" s="8">
        <v>3</v>
      </c>
      <c r="C11" s="9"/>
      <c r="D11" s="10">
        <f t="shared" ref="D11:D69" si="1">C11+D10</f>
        <v>0</v>
      </c>
      <c r="E11" s="11">
        <f t="shared" si="0"/>
        <v>0</v>
      </c>
      <c r="F11" s="11">
        <f>F10+E11</f>
        <v>0</v>
      </c>
      <c r="G11" s="2"/>
    </row>
    <row r="12" spans="2:86" ht="27" customHeight="1" x14ac:dyDescent="0.25">
      <c r="B12" s="8">
        <v>4</v>
      </c>
      <c r="C12" s="9"/>
      <c r="D12" s="10">
        <f t="shared" si="1"/>
        <v>0</v>
      </c>
      <c r="E12" s="11">
        <f t="shared" si="0"/>
        <v>0</v>
      </c>
      <c r="F12" s="11">
        <f t="shared" ref="F12:F70" si="2">F11+E12</f>
        <v>0</v>
      </c>
      <c r="G12" s="2"/>
    </row>
    <row r="13" spans="2:86" ht="27" customHeight="1" x14ac:dyDescent="0.25">
      <c r="B13" s="8">
        <v>5</v>
      </c>
      <c r="C13" s="9"/>
      <c r="D13" s="10">
        <f t="shared" si="1"/>
        <v>0</v>
      </c>
      <c r="E13" s="11">
        <f t="shared" si="0"/>
        <v>0</v>
      </c>
      <c r="F13" s="11">
        <f t="shared" si="2"/>
        <v>0</v>
      </c>
      <c r="G13" s="2"/>
    </row>
    <row r="14" spans="2:86" ht="27" customHeight="1" x14ac:dyDescent="0.25">
      <c r="B14" s="8">
        <v>6</v>
      </c>
      <c r="C14" s="9"/>
      <c r="D14" s="10">
        <f t="shared" si="1"/>
        <v>0</v>
      </c>
      <c r="E14" s="11">
        <f t="shared" si="0"/>
        <v>0</v>
      </c>
      <c r="F14" s="11">
        <f t="shared" si="2"/>
        <v>0</v>
      </c>
      <c r="G14" s="2"/>
    </row>
    <row r="15" spans="2:86" ht="27" customHeight="1" x14ac:dyDescent="0.25">
      <c r="B15" s="8">
        <v>7</v>
      </c>
      <c r="C15" s="9"/>
      <c r="D15" s="10">
        <f t="shared" si="1"/>
        <v>0</v>
      </c>
      <c r="E15" s="11">
        <f t="shared" si="0"/>
        <v>0</v>
      </c>
      <c r="F15" s="11">
        <f t="shared" si="2"/>
        <v>0</v>
      </c>
      <c r="G15" s="2"/>
    </row>
    <row r="16" spans="2:86" ht="27" customHeight="1" x14ac:dyDescent="0.25">
      <c r="B16" s="8">
        <v>8</v>
      </c>
      <c r="C16" s="9"/>
      <c r="D16" s="10">
        <f t="shared" si="1"/>
        <v>0</v>
      </c>
      <c r="E16" s="11">
        <f t="shared" si="0"/>
        <v>0</v>
      </c>
      <c r="F16" s="11">
        <f t="shared" si="2"/>
        <v>0</v>
      </c>
      <c r="G16" s="2"/>
    </row>
    <row r="17" spans="2:7" ht="27" customHeight="1" x14ac:dyDescent="0.25">
      <c r="B17" s="8">
        <v>9</v>
      </c>
      <c r="C17" s="9"/>
      <c r="D17" s="10">
        <f t="shared" si="1"/>
        <v>0</v>
      </c>
      <c r="E17" s="11">
        <f t="shared" si="0"/>
        <v>0</v>
      </c>
      <c r="F17" s="11">
        <f t="shared" si="2"/>
        <v>0</v>
      </c>
      <c r="G17" s="2"/>
    </row>
    <row r="18" spans="2:7" ht="27" customHeight="1" x14ac:dyDescent="0.25">
      <c r="B18" s="8">
        <v>10</v>
      </c>
      <c r="C18" s="9"/>
      <c r="D18" s="10">
        <f t="shared" si="1"/>
        <v>0</v>
      </c>
      <c r="E18" s="11">
        <f t="shared" si="0"/>
        <v>0</v>
      </c>
      <c r="F18" s="11">
        <f t="shared" si="2"/>
        <v>0</v>
      </c>
      <c r="G18" s="2"/>
    </row>
    <row r="19" spans="2:7" ht="27" customHeight="1" x14ac:dyDescent="0.25">
      <c r="B19" s="8">
        <v>11</v>
      </c>
      <c r="C19" s="9"/>
      <c r="D19" s="10">
        <f t="shared" si="1"/>
        <v>0</v>
      </c>
      <c r="E19" s="11">
        <f t="shared" si="0"/>
        <v>0</v>
      </c>
      <c r="F19" s="11">
        <f t="shared" si="2"/>
        <v>0</v>
      </c>
      <c r="G19" s="2"/>
    </row>
    <row r="20" spans="2:7" ht="27" customHeight="1" x14ac:dyDescent="0.25">
      <c r="B20" s="8">
        <v>12</v>
      </c>
      <c r="C20" s="9"/>
      <c r="D20" s="10">
        <f t="shared" si="1"/>
        <v>0</v>
      </c>
      <c r="E20" s="11">
        <f t="shared" si="0"/>
        <v>0</v>
      </c>
      <c r="F20" s="11">
        <f t="shared" si="2"/>
        <v>0</v>
      </c>
      <c r="G20" s="2"/>
    </row>
    <row r="21" spans="2:7" ht="27" customHeight="1" x14ac:dyDescent="0.25">
      <c r="B21" s="8">
        <v>13</v>
      </c>
      <c r="C21" s="9"/>
      <c r="D21" s="10">
        <f t="shared" si="1"/>
        <v>0</v>
      </c>
      <c r="E21" s="11">
        <f t="shared" si="0"/>
        <v>0</v>
      </c>
      <c r="F21" s="11">
        <f t="shared" si="2"/>
        <v>0</v>
      </c>
      <c r="G21" s="2"/>
    </row>
    <row r="22" spans="2:7" ht="27" customHeight="1" x14ac:dyDescent="0.25">
      <c r="B22" s="8">
        <v>14</v>
      </c>
      <c r="C22" s="9"/>
      <c r="D22" s="10">
        <f t="shared" si="1"/>
        <v>0</v>
      </c>
      <c r="E22" s="11">
        <f t="shared" si="0"/>
        <v>0</v>
      </c>
      <c r="F22" s="11">
        <f t="shared" si="2"/>
        <v>0</v>
      </c>
      <c r="G22" s="2"/>
    </row>
    <row r="23" spans="2:7" ht="27" customHeight="1" x14ac:dyDescent="0.25">
      <c r="B23" s="8">
        <v>15</v>
      </c>
      <c r="C23" s="9"/>
      <c r="D23" s="10">
        <f t="shared" si="1"/>
        <v>0</v>
      </c>
      <c r="E23" s="11">
        <f t="shared" si="0"/>
        <v>0</v>
      </c>
      <c r="F23" s="11">
        <f t="shared" si="2"/>
        <v>0</v>
      </c>
      <c r="G23" s="2"/>
    </row>
    <row r="24" spans="2:7" ht="27" customHeight="1" x14ac:dyDescent="0.25">
      <c r="B24" s="8">
        <v>16</v>
      </c>
      <c r="C24" s="9"/>
      <c r="D24" s="10">
        <f t="shared" si="1"/>
        <v>0</v>
      </c>
      <c r="E24" s="11">
        <f t="shared" si="0"/>
        <v>0</v>
      </c>
      <c r="F24" s="11">
        <f t="shared" si="2"/>
        <v>0</v>
      </c>
      <c r="G24" s="2"/>
    </row>
    <row r="25" spans="2:7" ht="27" customHeight="1" x14ac:dyDescent="0.25">
      <c r="B25" s="8">
        <v>17</v>
      </c>
      <c r="C25" s="9"/>
      <c r="D25" s="10">
        <f t="shared" si="1"/>
        <v>0</v>
      </c>
      <c r="E25" s="11">
        <f t="shared" si="0"/>
        <v>0</v>
      </c>
      <c r="F25" s="11">
        <f t="shared" si="2"/>
        <v>0</v>
      </c>
      <c r="G25" s="2"/>
    </row>
    <row r="26" spans="2:7" ht="27" customHeight="1" x14ac:dyDescent="0.25">
      <c r="B26" s="8">
        <v>18</v>
      </c>
      <c r="C26" s="9"/>
      <c r="D26" s="10">
        <f t="shared" si="1"/>
        <v>0</v>
      </c>
      <c r="E26" s="11">
        <f t="shared" si="0"/>
        <v>0</v>
      </c>
      <c r="F26" s="11">
        <f t="shared" si="2"/>
        <v>0</v>
      </c>
      <c r="G26" s="2"/>
    </row>
    <row r="27" spans="2:7" ht="27" customHeight="1" x14ac:dyDescent="0.25">
      <c r="B27" s="8">
        <v>19</v>
      </c>
      <c r="C27" s="9"/>
      <c r="D27" s="10">
        <f t="shared" si="1"/>
        <v>0</v>
      </c>
      <c r="E27" s="11">
        <f t="shared" si="0"/>
        <v>0</v>
      </c>
      <c r="F27" s="11">
        <f>F26+E27</f>
        <v>0</v>
      </c>
      <c r="G27" s="2"/>
    </row>
    <row r="28" spans="2:7" ht="27" customHeight="1" x14ac:dyDescent="0.25">
      <c r="B28" s="8">
        <v>20</v>
      </c>
      <c r="C28" s="9"/>
      <c r="D28" s="10">
        <f t="shared" si="1"/>
        <v>0</v>
      </c>
      <c r="E28" s="11">
        <f t="shared" si="0"/>
        <v>0</v>
      </c>
      <c r="F28" s="11">
        <f t="shared" si="2"/>
        <v>0</v>
      </c>
      <c r="G28" s="2"/>
    </row>
    <row r="29" spans="2:7" ht="27" customHeight="1" x14ac:dyDescent="0.25">
      <c r="B29" s="8">
        <v>21</v>
      </c>
      <c r="C29" s="9"/>
      <c r="D29" s="10">
        <f t="shared" si="1"/>
        <v>0</v>
      </c>
      <c r="E29" s="11">
        <f t="shared" si="0"/>
        <v>0</v>
      </c>
      <c r="F29" s="11">
        <f t="shared" si="2"/>
        <v>0</v>
      </c>
      <c r="G29" s="2"/>
    </row>
    <row r="30" spans="2:7" ht="27" customHeight="1" x14ac:dyDescent="0.25">
      <c r="B30" s="8">
        <v>22</v>
      </c>
      <c r="C30" s="9"/>
      <c r="D30" s="10">
        <f t="shared" si="1"/>
        <v>0</v>
      </c>
      <c r="E30" s="11">
        <f t="shared" si="0"/>
        <v>0</v>
      </c>
      <c r="F30" s="11">
        <f t="shared" si="2"/>
        <v>0</v>
      </c>
      <c r="G30" s="2"/>
    </row>
    <row r="31" spans="2:7" ht="27" customHeight="1" x14ac:dyDescent="0.25">
      <c r="B31" s="8">
        <v>23</v>
      </c>
      <c r="C31" s="9"/>
      <c r="D31" s="10">
        <f t="shared" si="1"/>
        <v>0</v>
      </c>
      <c r="E31" s="11">
        <f t="shared" si="0"/>
        <v>0</v>
      </c>
      <c r="F31" s="11">
        <f t="shared" si="2"/>
        <v>0</v>
      </c>
      <c r="G31" s="2"/>
    </row>
    <row r="32" spans="2:7" ht="27" customHeight="1" x14ac:dyDescent="0.25">
      <c r="B32" s="8">
        <v>24</v>
      </c>
      <c r="C32" s="9"/>
      <c r="D32" s="10">
        <f t="shared" si="1"/>
        <v>0</v>
      </c>
      <c r="E32" s="11">
        <f t="shared" si="0"/>
        <v>0</v>
      </c>
      <c r="F32" s="11">
        <f t="shared" si="2"/>
        <v>0</v>
      </c>
      <c r="G32" s="2"/>
    </row>
    <row r="33" spans="2:7" ht="27" customHeight="1" x14ac:dyDescent="0.25">
      <c r="B33" s="8">
        <v>25</v>
      </c>
      <c r="C33" s="9"/>
      <c r="D33" s="10">
        <f t="shared" si="1"/>
        <v>0</v>
      </c>
      <c r="E33" s="11">
        <f t="shared" si="0"/>
        <v>0</v>
      </c>
      <c r="F33" s="11">
        <f t="shared" si="2"/>
        <v>0</v>
      </c>
      <c r="G33" s="2"/>
    </row>
    <row r="34" spans="2:7" ht="27" customHeight="1" x14ac:dyDescent="0.25">
      <c r="B34" s="8">
        <v>26</v>
      </c>
      <c r="C34" s="9"/>
      <c r="D34" s="10">
        <f t="shared" si="1"/>
        <v>0</v>
      </c>
      <c r="E34" s="11">
        <f t="shared" si="0"/>
        <v>0</v>
      </c>
      <c r="F34" s="11">
        <f t="shared" si="2"/>
        <v>0</v>
      </c>
      <c r="G34" s="2"/>
    </row>
    <row r="35" spans="2:7" ht="27" customHeight="1" x14ac:dyDescent="0.25">
      <c r="B35" s="8">
        <v>27</v>
      </c>
      <c r="C35" s="9"/>
      <c r="D35" s="10">
        <f t="shared" si="1"/>
        <v>0</v>
      </c>
      <c r="E35" s="11">
        <f t="shared" si="0"/>
        <v>0</v>
      </c>
      <c r="F35" s="11">
        <f t="shared" si="2"/>
        <v>0</v>
      </c>
      <c r="G35" s="2"/>
    </row>
    <row r="36" spans="2:7" ht="27" customHeight="1" x14ac:dyDescent="0.25">
      <c r="B36" s="8">
        <v>28</v>
      </c>
      <c r="C36" s="9"/>
      <c r="D36" s="10">
        <f t="shared" si="1"/>
        <v>0</v>
      </c>
      <c r="E36" s="11">
        <f t="shared" si="0"/>
        <v>0</v>
      </c>
      <c r="F36" s="11">
        <f t="shared" si="2"/>
        <v>0</v>
      </c>
      <c r="G36" s="2"/>
    </row>
    <row r="37" spans="2:7" ht="27" customHeight="1" x14ac:dyDescent="0.25">
      <c r="B37" s="8">
        <v>29</v>
      </c>
      <c r="C37" s="9"/>
      <c r="D37" s="10">
        <f t="shared" si="1"/>
        <v>0</v>
      </c>
      <c r="E37" s="11">
        <f t="shared" si="0"/>
        <v>0</v>
      </c>
      <c r="F37" s="11">
        <f t="shared" si="2"/>
        <v>0</v>
      </c>
      <c r="G37" s="2"/>
    </row>
    <row r="38" spans="2:7" ht="27" customHeight="1" x14ac:dyDescent="0.25">
      <c r="B38" s="8">
        <v>30</v>
      </c>
      <c r="C38" s="9"/>
      <c r="D38" s="10">
        <f t="shared" si="1"/>
        <v>0</v>
      </c>
      <c r="E38" s="11">
        <f t="shared" si="0"/>
        <v>0</v>
      </c>
      <c r="F38" s="11">
        <f t="shared" si="2"/>
        <v>0</v>
      </c>
      <c r="G38" s="2"/>
    </row>
    <row r="39" spans="2:7" ht="27" customHeight="1" x14ac:dyDescent="0.25">
      <c r="B39" s="8">
        <v>31</v>
      </c>
      <c r="C39" s="9"/>
      <c r="D39" s="10">
        <f t="shared" si="1"/>
        <v>0</v>
      </c>
      <c r="E39" s="11">
        <f t="shared" si="0"/>
        <v>0</v>
      </c>
      <c r="F39" s="11">
        <f t="shared" si="2"/>
        <v>0</v>
      </c>
      <c r="G39" s="2"/>
    </row>
    <row r="40" spans="2:7" ht="27" customHeight="1" x14ac:dyDescent="0.25">
      <c r="B40" s="8">
        <v>32</v>
      </c>
      <c r="C40" s="9"/>
      <c r="D40" s="10">
        <f t="shared" si="1"/>
        <v>0</v>
      </c>
      <c r="E40" s="11">
        <f t="shared" si="0"/>
        <v>0</v>
      </c>
      <c r="F40" s="11">
        <f t="shared" si="2"/>
        <v>0</v>
      </c>
      <c r="G40" s="2"/>
    </row>
    <row r="41" spans="2:7" ht="27" customHeight="1" x14ac:dyDescent="0.25">
      <c r="B41" s="8">
        <v>33</v>
      </c>
      <c r="C41" s="9"/>
      <c r="D41" s="10">
        <f t="shared" si="1"/>
        <v>0</v>
      </c>
      <c r="E41" s="11">
        <f t="shared" si="0"/>
        <v>0</v>
      </c>
      <c r="F41" s="11">
        <f t="shared" si="2"/>
        <v>0</v>
      </c>
      <c r="G41" s="2"/>
    </row>
    <row r="42" spans="2:7" ht="27" customHeight="1" x14ac:dyDescent="0.25">
      <c r="B42" s="8">
        <v>34</v>
      </c>
      <c r="C42" s="9"/>
      <c r="D42" s="10">
        <f t="shared" si="1"/>
        <v>0</v>
      </c>
      <c r="E42" s="11">
        <f t="shared" si="0"/>
        <v>0</v>
      </c>
      <c r="F42" s="11">
        <f t="shared" si="2"/>
        <v>0</v>
      </c>
      <c r="G42" s="2"/>
    </row>
    <row r="43" spans="2:7" ht="27" customHeight="1" x14ac:dyDescent="0.25">
      <c r="B43" s="8">
        <v>35</v>
      </c>
      <c r="C43" s="9"/>
      <c r="D43" s="10">
        <f t="shared" si="1"/>
        <v>0</v>
      </c>
      <c r="E43" s="11">
        <f t="shared" si="0"/>
        <v>0</v>
      </c>
      <c r="F43" s="11">
        <f t="shared" si="2"/>
        <v>0</v>
      </c>
      <c r="G43" s="2"/>
    </row>
    <row r="44" spans="2:7" ht="27" customHeight="1" x14ac:dyDescent="0.25">
      <c r="B44" s="8">
        <v>36</v>
      </c>
      <c r="C44" s="9"/>
      <c r="D44" s="10">
        <f t="shared" si="1"/>
        <v>0</v>
      </c>
      <c r="E44" s="11">
        <f t="shared" si="0"/>
        <v>0</v>
      </c>
      <c r="F44" s="11">
        <f t="shared" si="2"/>
        <v>0</v>
      </c>
      <c r="G44" s="2"/>
    </row>
    <row r="45" spans="2:7" ht="27" customHeight="1" x14ac:dyDescent="0.25">
      <c r="B45" s="8">
        <v>37</v>
      </c>
      <c r="C45" s="9"/>
      <c r="D45" s="10">
        <f t="shared" si="1"/>
        <v>0</v>
      </c>
      <c r="E45" s="11">
        <f t="shared" si="0"/>
        <v>0</v>
      </c>
      <c r="F45" s="11">
        <f t="shared" si="2"/>
        <v>0</v>
      </c>
      <c r="G45" s="2"/>
    </row>
    <row r="46" spans="2:7" ht="27" customHeight="1" x14ac:dyDescent="0.25">
      <c r="B46" s="8">
        <v>38</v>
      </c>
      <c r="C46" s="9"/>
      <c r="D46" s="10">
        <f t="shared" si="1"/>
        <v>0</v>
      </c>
      <c r="E46" s="11">
        <f t="shared" si="0"/>
        <v>0</v>
      </c>
      <c r="F46" s="11">
        <f t="shared" si="2"/>
        <v>0</v>
      </c>
      <c r="G46" s="2"/>
    </row>
    <row r="47" spans="2:7" ht="27" customHeight="1" x14ac:dyDescent="0.25">
      <c r="B47" s="8">
        <v>39</v>
      </c>
      <c r="C47" s="9"/>
      <c r="D47" s="10">
        <f t="shared" si="1"/>
        <v>0</v>
      </c>
      <c r="E47" s="11">
        <f t="shared" si="0"/>
        <v>0</v>
      </c>
      <c r="F47" s="11">
        <f t="shared" si="2"/>
        <v>0</v>
      </c>
      <c r="G47" s="2"/>
    </row>
    <row r="48" spans="2:7" ht="27" customHeight="1" x14ac:dyDescent="0.25">
      <c r="B48" s="8">
        <v>40</v>
      </c>
      <c r="C48" s="9"/>
      <c r="D48" s="10">
        <f t="shared" si="1"/>
        <v>0</v>
      </c>
      <c r="E48" s="11">
        <f t="shared" si="0"/>
        <v>0</v>
      </c>
      <c r="F48" s="11">
        <f t="shared" si="2"/>
        <v>0</v>
      </c>
      <c r="G48" s="2"/>
    </row>
    <row r="49" spans="2:7" ht="27" customHeight="1" x14ac:dyDescent="0.25">
      <c r="B49" s="8">
        <v>41</v>
      </c>
      <c r="C49" s="9"/>
      <c r="D49" s="10">
        <f t="shared" si="1"/>
        <v>0</v>
      </c>
      <c r="E49" s="11">
        <f t="shared" si="0"/>
        <v>0</v>
      </c>
      <c r="F49" s="11">
        <f t="shared" si="2"/>
        <v>0</v>
      </c>
      <c r="G49" s="2"/>
    </row>
    <row r="50" spans="2:7" ht="27" customHeight="1" x14ac:dyDescent="0.25">
      <c r="B50" s="8">
        <v>42</v>
      </c>
      <c r="C50" s="9"/>
      <c r="D50" s="10">
        <f t="shared" si="1"/>
        <v>0</v>
      </c>
      <c r="E50" s="11">
        <f t="shared" si="0"/>
        <v>0</v>
      </c>
      <c r="F50" s="11">
        <f t="shared" si="2"/>
        <v>0</v>
      </c>
      <c r="G50" s="2"/>
    </row>
    <row r="51" spans="2:7" ht="27" customHeight="1" x14ac:dyDescent="0.25">
      <c r="B51" s="8">
        <v>43</v>
      </c>
      <c r="C51" s="9"/>
      <c r="D51" s="10">
        <f t="shared" si="1"/>
        <v>0</v>
      </c>
      <c r="E51" s="11">
        <f t="shared" si="0"/>
        <v>0</v>
      </c>
      <c r="F51" s="11">
        <f t="shared" si="2"/>
        <v>0</v>
      </c>
      <c r="G51" s="2"/>
    </row>
    <row r="52" spans="2:7" ht="27" customHeight="1" x14ac:dyDescent="0.25">
      <c r="B52" s="8">
        <v>44</v>
      </c>
      <c r="C52" s="9"/>
      <c r="D52" s="10">
        <f t="shared" si="1"/>
        <v>0</v>
      </c>
      <c r="E52" s="11">
        <f t="shared" si="0"/>
        <v>0</v>
      </c>
      <c r="F52" s="11">
        <f t="shared" si="2"/>
        <v>0</v>
      </c>
      <c r="G52" s="2"/>
    </row>
    <row r="53" spans="2:7" ht="27" customHeight="1" x14ac:dyDescent="0.25">
      <c r="B53" s="8">
        <v>45</v>
      </c>
      <c r="C53" s="9"/>
      <c r="D53" s="10">
        <f t="shared" si="1"/>
        <v>0</v>
      </c>
      <c r="E53" s="11">
        <f t="shared" si="0"/>
        <v>0</v>
      </c>
      <c r="F53" s="11">
        <f t="shared" si="2"/>
        <v>0</v>
      </c>
      <c r="G53" s="2"/>
    </row>
    <row r="54" spans="2:7" ht="27" customHeight="1" x14ac:dyDescent="0.25">
      <c r="B54" s="8">
        <v>46</v>
      </c>
      <c r="C54" s="9"/>
      <c r="D54" s="10">
        <f t="shared" si="1"/>
        <v>0</v>
      </c>
      <c r="E54" s="11">
        <f t="shared" si="0"/>
        <v>0</v>
      </c>
      <c r="F54" s="11">
        <f t="shared" si="2"/>
        <v>0</v>
      </c>
      <c r="G54" s="2"/>
    </row>
    <row r="55" spans="2:7" ht="27" customHeight="1" x14ac:dyDescent="0.25">
      <c r="B55" s="8">
        <v>47</v>
      </c>
      <c r="C55" s="9"/>
      <c r="D55" s="10">
        <f t="shared" si="1"/>
        <v>0</v>
      </c>
      <c r="E55" s="11">
        <f t="shared" si="0"/>
        <v>0</v>
      </c>
      <c r="F55" s="11">
        <f t="shared" si="2"/>
        <v>0</v>
      </c>
      <c r="G55" s="2"/>
    </row>
    <row r="56" spans="2:7" ht="27" customHeight="1" x14ac:dyDescent="0.25">
      <c r="B56" s="8">
        <v>48</v>
      </c>
      <c r="C56" s="9"/>
      <c r="D56" s="10">
        <f t="shared" si="1"/>
        <v>0</v>
      </c>
      <c r="E56" s="11">
        <f t="shared" si="0"/>
        <v>0</v>
      </c>
      <c r="F56" s="11">
        <f t="shared" si="2"/>
        <v>0</v>
      </c>
      <c r="G56" s="2"/>
    </row>
    <row r="57" spans="2:7" ht="27" customHeight="1" x14ac:dyDescent="0.25">
      <c r="B57" s="8">
        <v>49</v>
      </c>
      <c r="C57" s="9"/>
      <c r="D57" s="10">
        <f t="shared" si="1"/>
        <v>0</v>
      </c>
      <c r="E57" s="11">
        <f t="shared" si="0"/>
        <v>0</v>
      </c>
      <c r="F57" s="11">
        <f t="shared" si="2"/>
        <v>0</v>
      </c>
      <c r="G57" s="2"/>
    </row>
    <row r="58" spans="2:7" ht="27" customHeight="1" x14ac:dyDescent="0.25">
      <c r="B58" s="8">
        <v>50</v>
      </c>
      <c r="C58" s="9"/>
      <c r="D58" s="10">
        <f t="shared" si="1"/>
        <v>0</v>
      </c>
      <c r="E58" s="11">
        <f t="shared" si="0"/>
        <v>0</v>
      </c>
      <c r="F58" s="11">
        <f t="shared" si="2"/>
        <v>0</v>
      </c>
      <c r="G58" s="2"/>
    </row>
    <row r="59" spans="2:7" ht="27" customHeight="1" x14ac:dyDescent="0.25">
      <c r="B59" s="8">
        <v>51</v>
      </c>
      <c r="C59" s="9"/>
      <c r="D59" s="10">
        <f t="shared" si="1"/>
        <v>0</v>
      </c>
      <c r="E59" s="11">
        <f t="shared" si="0"/>
        <v>0</v>
      </c>
      <c r="F59" s="11">
        <f t="shared" si="2"/>
        <v>0</v>
      </c>
      <c r="G59" s="2"/>
    </row>
    <row r="60" spans="2:7" ht="27" customHeight="1" x14ac:dyDescent="0.25">
      <c r="B60" s="8">
        <v>52</v>
      </c>
      <c r="C60" s="9"/>
      <c r="D60" s="10">
        <f t="shared" si="1"/>
        <v>0</v>
      </c>
      <c r="E60" s="11">
        <f t="shared" si="0"/>
        <v>0</v>
      </c>
      <c r="F60" s="11">
        <f t="shared" si="2"/>
        <v>0</v>
      </c>
      <c r="G60" s="2"/>
    </row>
    <row r="61" spans="2:7" ht="27" customHeight="1" x14ac:dyDescent="0.25">
      <c r="B61" s="8">
        <v>53</v>
      </c>
      <c r="C61" s="9"/>
      <c r="D61" s="10">
        <f t="shared" si="1"/>
        <v>0</v>
      </c>
      <c r="E61" s="11">
        <f t="shared" si="0"/>
        <v>0</v>
      </c>
      <c r="F61" s="11">
        <f t="shared" si="2"/>
        <v>0</v>
      </c>
      <c r="G61" s="2"/>
    </row>
    <row r="62" spans="2:7" ht="27" customHeight="1" x14ac:dyDescent="0.25">
      <c r="B62" s="8">
        <v>54</v>
      </c>
      <c r="C62" s="9"/>
      <c r="D62" s="10">
        <f t="shared" si="1"/>
        <v>0</v>
      </c>
      <c r="E62" s="11">
        <f t="shared" si="0"/>
        <v>0</v>
      </c>
      <c r="F62" s="11">
        <f t="shared" si="2"/>
        <v>0</v>
      </c>
      <c r="G62" s="2"/>
    </row>
    <row r="63" spans="2:7" ht="27" customHeight="1" x14ac:dyDescent="0.25">
      <c r="B63" s="8">
        <v>55</v>
      </c>
      <c r="C63" s="9"/>
      <c r="D63" s="10">
        <f t="shared" si="1"/>
        <v>0</v>
      </c>
      <c r="E63" s="11">
        <f t="shared" si="0"/>
        <v>0</v>
      </c>
      <c r="F63" s="11">
        <f t="shared" si="2"/>
        <v>0</v>
      </c>
      <c r="G63" s="2"/>
    </row>
    <row r="64" spans="2:7" ht="27" customHeight="1" x14ac:dyDescent="0.25">
      <c r="B64" s="8">
        <v>56</v>
      </c>
      <c r="C64" s="9"/>
      <c r="D64" s="10">
        <f t="shared" si="1"/>
        <v>0</v>
      </c>
      <c r="E64" s="11">
        <f t="shared" si="0"/>
        <v>0</v>
      </c>
      <c r="F64" s="11">
        <f t="shared" si="2"/>
        <v>0</v>
      </c>
      <c r="G64" s="2"/>
    </row>
    <row r="65" spans="2:86" ht="27" customHeight="1" x14ac:dyDescent="0.25">
      <c r="B65" s="8">
        <v>57</v>
      </c>
      <c r="C65" s="9"/>
      <c r="D65" s="10">
        <f t="shared" si="1"/>
        <v>0</v>
      </c>
      <c r="E65" s="11">
        <f t="shared" si="0"/>
        <v>0</v>
      </c>
      <c r="F65" s="11">
        <f t="shared" si="2"/>
        <v>0</v>
      </c>
      <c r="G65" s="2"/>
    </row>
    <row r="66" spans="2:86" ht="27" customHeight="1" x14ac:dyDescent="0.25">
      <c r="B66" s="8">
        <v>58</v>
      </c>
      <c r="C66" s="9"/>
      <c r="D66" s="10">
        <f t="shared" si="1"/>
        <v>0</v>
      </c>
      <c r="E66" s="11">
        <f t="shared" si="0"/>
        <v>0</v>
      </c>
      <c r="F66" s="11">
        <f t="shared" si="2"/>
        <v>0</v>
      </c>
    </row>
    <row r="67" spans="2:86" ht="27" customHeight="1" x14ac:dyDescent="0.25">
      <c r="B67" s="8">
        <v>59</v>
      </c>
      <c r="C67" s="9"/>
      <c r="D67" s="10">
        <f t="shared" si="1"/>
        <v>0</v>
      </c>
      <c r="E67" s="11">
        <f t="shared" si="0"/>
        <v>0</v>
      </c>
      <c r="F67" s="11">
        <f t="shared" si="2"/>
        <v>0</v>
      </c>
    </row>
    <row r="68" spans="2:86" ht="27" customHeight="1" x14ac:dyDescent="0.25">
      <c r="B68" s="8">
        <v>60</v>
      </c>
      <c r="C68" s="9"/>
      <c r="D68" s="10">
        <f t="shared" si="1"/>
        <v>0</v>
      </c>
      <c r="E68" s="11">
        <f t="shared" si="0"/>
        <v>0</v>
      </c>
      <c r="F68" s="11">
        <f t="shared" si="2"/>
        <v>0</v>
      </c>
    </row>
    <row r="69" spans="2:86" ht="27" customHeight="1" x14ac:dyDescent="0.25">
      <c r="B69" s="8">
        <v>61</v>
      </c>
      <c r="C69" s="9"/>
      <c r="D69" s="10">
        <f t="shared" si="1"/>
        <v>0</v>
      </c>
      <c r="E69" s="11">
        <f t="shared" si="0"/>
        <v>0</v>
      </c>
      <c r="F69" s="11">
        <f t="shared" si="2"/>
        <v>0</v>
      </c>
    </row>
    <row r="70" spans="2:86" ht="27" customHeight="1" x14ac:dyDescent="0.25">
      <c r="B70" s="8">
        <v>62</v>
      </c>
      <c r="C70" s="9"/>
      <c r="D70" s="10">
        <f t="shared" ref="D70" si="3">C70+D69</f>
        <v>0</v>
      </c>
      <c r="E70" s="11">
        <f t="shared" si="0"/>
        <v>0</v>
      </c>
      <c r="F70" s="11">
        <f t="shared" si="2"/>
        <v>0</v>
      </c>
    </row>
    <row r="71" spans="2:86" ht="28.5" customHeight="1" x14ac:dyDescent="0.25">
      <c r="B71" s="8">
        <v>63</v>
      </c>
      <c r="C71" s="9"/>
      <c r="D71" s="10">
        <f>C71+D70</f>
        <v>0</v>
      </c>
      <c r="E71" s="11">
        <f t="shared" si="0"/>
        <v>0</v>
      </c>
      <c r="F71" s="12">
        <f>F70+E71</f>
        <v>0</v>
      </c>
    </row>
    <row r="72" spans="2:86" ht="27" customHeight="1" x14ac:dyDescent="0.25">
      <c r="B72" s="13"/>
      <c r="C72" s="14"/>
      <c r="D72" s="15"/>
      <c r="E72" s="16" t="s">
        <v>45</v>
      </c>
      <c r="F72" s="12">
        <f>'DISTRIBUIÇÃO CUSTO'!C26</f>
        <v>0</v>
      </c>
    </row>
    <row r="73" spans="2:86" ht="15" customHeight="1" x14ac:dyDescent="0.25">
      <c r="B73" s="17"/>
    </row>
    <row r="74" spans="2:86" ht="15" customHeight="1" x14ac:dyDescent="0.25"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</row>
    <row r="75" spans="2:86" ht="9.9499999999999993" customHeight="1" x14ac:dyDescent="0.25">
      <c r="H75" s="18"/>
      <c r="I75" s="18"/>
    </row>
    <row r="76" spans="2:86" x14ac:dyDescent="0.25">
      <c r="H76" s="18"/>
    </row>
    <row r="79" spans="2:86" ht="65.45" customHeight="1" x14ac:dyDescent="0.25"/>
  </sheetData>
  <mergeCells count="3">
    <mergeCell ref="B2:CH4"/>
    <mergeCell ref="B5:CH5"/>
    <mergeCell ref="B74:CH74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DISTRIBUIÇÃO 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caroline n</cp:lastModifiedBy>
  <dcterms:created xsi:type="dcterms:W3CDTF">2023-09-12T11:23:37Z</dcterms:created>
  <dcterms:modified xsi:type="dcterms:W3CDTF">2025-05-05T15:33:42Z</dcterms:modified>
</cp:coreProperties>
</file>