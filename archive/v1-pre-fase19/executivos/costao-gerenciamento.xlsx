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postas Fechadas\Costão do Santinho - 12.2022\03. Custo\03.0 Custo - Orçamento Paramétrico\"/>
    </mc:Choice>
  </mc:AlternateContent>
  <xr:revisionPtr revIDLastSave="0" documentId="13_ncr:1_{A450881A-4B06-4103-8216-8D850F64C3A3}" xr6:coauthVersionLast="47" xr6:coauthVersionMax="47" xr10:uidLastSave="{00000000-0000-0000-0000-000000000000}"/>
  <bookViews>
    <workbookView xWindow="22932" yWindow="1524" windowWidth="23256" windowHeight="12456" tabRatio="831" firstSheet="3" activeTab="6" xr2:uid="{00000000-000D-0000-FFFF-FFFF00000000}"/>
  </bookViews>
  <sheets>
    <sheet name="Dados Gerais" sheetId="14" r:id="rId1"/>
    <sheet name="Resumo" sheetId="35" r:id="rId2"/>
    <sheet name="Movimentação de Terra" sheetId="13" r:id="rId3"/>
    <sheet name="Conteções" sheetId="39" r:id="rId4"/>
    <sheet name="Infraestrutura" sheetId="21" r:id="rId5"/>
    <sheet name="Supraestrutura" sheetId="22" r:id="rId6"/>
    <sheet name="Alvenaria" sheetId="23" r:id="rId7"/>
    <sheet name="Instalações" sheetId="24" r:id="rId8"/>
    <sheet name="Sistemas especiais" sheetId="38" r:id="rId9"/>
    <sheet name="Impermeabilização" sheetId="25" r:id="rId10"/>
    <sheet name="Rev. Internos Piso e Parede" sheetId="26" r:id="rId11"/>
    <sheet name="Acabamentos de Teto" sheetId="27" r:id="rId12"/>
    <sheet name="Acabamentos de Piso e Parede" sheetId="28" r:id="rId13"/>
    <sheet name="Pintura Interna" sheetId="29" r:id="rId14"/>
    <sheet name="Esquadrias" sheetId="30" r:id="rId15"/>
    <sheet name="Auxiliar" sheetId="36" state="hidden" r:id="rId16"/>
    <sheet name="Rev. Fachada" sheetId="31" r:id="rId17"/>
    <sheet name="Cobertura" sheetId="33" r:id="rId18"/>
    <sheet name="Complementares" sheetId="34" r:id="rId19"/>
  </sheets>
  <externalReferences>
    <externalReference r:id="rId20"/>
    <externalReference r:id="rId21"/>
  </externalReferences>
  <definedNames>
    <definedName name="_xlnm._FilterDatabase" localSheetId="15" hidden="1">Auxiliar!$A$1:$D$68</definedName>
    <definedName name="_xlnm._FilterDatabase" localSheetId="14" hidden="1">Esquadrias!$A$28:$H$105</definedName>
    <definedName name="_xlnm.Print_Area" localSheetId="12">'Acabamentos de Piso e Parede'!$A$1:$K$28</definedName>
    <definedName name="_xlnm.Print_Area" localSheetId="11">'Acabamentos de Teto'!$A$1:$K$19</definedName>
    <definedName name="_xlnm.Print_Area" localSheetId="6">Alvenaria!$A$1:$K$26</definedName>
    <definedName name="_xlnm.Print_Area" localSheetId="17">Cobertura!$A$1:$K$22</definedName>
    <definedName name="_xlnm.Print_Area" localSheetId="18">Complementares!$A$1:$K$21</definedName>
    <definedName name="_xlnm.Print_Area" localSheetId="3">Conteções!$A$1:$K$28</definedName>
    <definedName name="_xlnm.Print_Area" localSheetId="14">Esquadrias!$A$1:$K$25</definedName>
    <definedName name="_xlnm.Print_Area" localSheetId="9">Impermeabilização!$A$1:$K$25</definedName>
    <definedName name="_xlnm.Print_Area" localSheetId="4">Infraestrutura!$A$1:$K$36</definedName>
    <definedName name="_xlnm.Print_Area" localSheetId="7">Instalações!$A$1:$K$24</definedName>
    <definedName name="_xlnm.Print_Area" localSheetId="2">'Movimentação de Terra'!$A$1:$K$48</definedName>
    <definedName name="_xlnm.Print_Area" localSheetId="13">'Pintura Interna'!$A$1:$K$19</definedName>
    <definedName name="_xlnm.Print_Area" localSheetId="1">Resumo!$A$1:$I$43</definedName>
    <definedName name="_xlnm.Print_Area" localSheetId="16">'Rev. Fachada'!$A$1:$K$24</definedName>
    <definedName name="_xlnm.Print_Area" localSheetId="10">'Rev. Internos Piso e Parede'!$A$1:$K$22</definedName>
    <definedName name="_xlnm.Print_Area" localSheetId="8">'Sistemas especiais'!$A$1:$K$11</definedName>
    <definedName name="_xlnm.Print_Area" localSheetId="5">Supraestrutura!$A$1:$K$23</definedName>
    <definedName name="_xlnm.Print_Titles" localSheetId="12">'Acabamentos de Piso e Parede'!$7:$11</definedName>
    <definedName name="_xlnm.Print_Titles" localSheetId="11">'Acabamentos de Teto'!$7:$11</definedName>
    <definedName name="_xlnm.Print_Titles" localSheetId="6">Alvenaria!$7:$11</definedName>
    <definedName name="_xlnm.Print_Titles" localSheetId="17">Cobertura!$7:$11</definedName>
    <definedName name="_xlnm.Print_Titles" localSheetId="18">Complementares!$7:$11</definedName>
    <definedName name="_xlnm.Print_Titles" localSheetId="3">Conteções!$7:$11</definedName>
    <definedName name="_xlnm.Print_Titles" localSheetId="0">'Dados Gerais'!$7:$11</definedName>
    <definedName name="_xlnm.Print_Titles" localSheetId="14">Esquadrias!$7:$11</definedName>
    <definedName name="_xlnm.Print_Titles" localSheetId="9">Impermeabilização!$7:$11</definedName>
    <definedName name="_xlnm.Print_Titles" localSheetId="4">Infraestrutura!$7:$11</definedName>
    <definedName name="_xlnm.Print_Titles" localSheetId="7">Instalações!$7:$11</definedName>
    <definedName name="_xlnm.Print_Titles" localSheetId="2">'Movimentação de Terra'!$7:$11</definedName>
    <definedName name="_xlnm.Print_Titles" localSheetId="13">'Pintura Interna'!$7:$11</definedName>
    <definedName name="_xlnm.Print_Titles" localSheetId="1">Resumo!$7:$11</definedName>
    <definedName name="_xlnm.Print_Titles" localSheetId="16">'Rev. Fachada'!$7:$11</definedName>
    <definedName name="_xlnm.Print_Titles" localSheetId="10">'Rev. Internos Piso e Parede'!$7:$11</definedName>
    <definedName name="_xlnm.Print_Titles" localSheetId="8">'Sistemas especiais'!$7:$11</definedName>
    <definedName name="_xlnm.Print_Titles" localSheetId="5">Supraestrutura!$7:$11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23" l="1"/>
  <c r="I15" i="23"/>
  <c r="I18" i="23"/>
  <c r="I17" i="23"/>
  <c r="D19" i="23"/>
  <c r="D18" i="26"/>
  <c r="D21" i="23"/>
  <c r="D20" i="23"/>
  <c r="D22" i="23"/>
  <c r="F20" i="23" l="1"/>
  <c r="I15" i="34"/>
  <c r="I15" i="26" l="1"/>
  <c r="I16" i="26"/>
  <c r="I18" i="27"/>
  <c r="I17" i="26"/>
  <c r="D26" i="39"/>
  <c r="D24" i="39"/>
  <c r="D23" i="39" l="1"/>
  <c r="D17" i="25" l="1"/>
  <c r="D46" i="25"/>
  <c r="B44" i="25"/>
  <c r="B43" i="25"/>
  <c r="D43" i="25" s="1"/>
  <c r="B42" i="25"/>
  <c r="D42" i="25" s="1"/>
  <c r="B41" i="25"/>
  <c r="B40" i="25"/>
  <c r="D40" i="25" s="1"/>
  <c r="D39" i="25"/>
  <c r="D41" i="25"/>
  <c r="D44" i="25"/>
  <c r="D45" i="25"/>
  <c r="B39" i="25"/>
  <c r="D38" i="25"/>
  <c r="A35" i="25"/>
  <c r="D27" i="30"/>
  <c r="I17" i="25"/>
  <c r="I19" i="34"/>
  <c r="I18" i="34"/>
  <c r="I17" i="34"/>
  <c r="A27" i="34"/>
  <c r="I30" i="31"/>
  <c r="F28" i="31"/>
  <c r="I28" i="31" s="1"/>
  <c r="D15" i="31"/>
  <c r="F16" i="33"/>
  <c r="D19" i="33"/>
  <c r="I19" i="33" s="1"/>
  <c r="D17" i="33"/>
  <c r="I17" i="33" s="1"/>
  <c r="D20" i="33"/>
  <c r="I20" i="33" s="1"/>
  <c r="D16" i="33"/>
  <c r="D15" i="33"/>
  <c r="I15" i="33" s="1"/>
  <c r="D18" i="33"/>
  <c r="I18" i="33" s="1"/>
  <c r="D19" i="30"/>
  <c r="A40" i="30"/>
  <c r="A32" i="30"/>
  <c r="A34" i="30" s="1"/>
  <c r="D20" i="30" s="1"/>
  <c r="D22" i="30"/>
  <c r="I22" i="30" s="1"/>
  <c r="I21" i="33" l="1"/>
  <c r="I16" i="33"/>
  <c r="D15" i="29" l="1"/>
  <c r="I15" i="29" s="1"/>
  <c r="A26" i="29"/>
  <c r="A24" i="29"/>
  <c r="A22" i="29"/>
  <c r="I26" i="28"/>
  <c r="D26" i="28"/>
  <c r="I25" i="28"/>
  <c r="B39" i="28"/>
  <c r="B37" i="28"/>
  <c r="I24" i="28" l="1"/>
  <c r="I23" i="28"/>
  <c r="I22" i="28"/>
  <c r="I21" i="28"/>
  <c r="I20" i="28"/>
  <c r="I19" i="28"/>
  <c r="I18" i="28"/>
  <c r="I17" i="28"/>
  <c r="I16" i="28"/>
  <c r="B33" i="28"/>
  <c r="B32" i="28"/>
  <c r="B31" i="28"/>
  <c r="D18" i="28"/>
  <c r="D17" i="28"/>
  <c r="I16" i="27" l="1"/>
  <c r="I15" i="27"/>
  <c r="D16" i="27"/>
  <c r="B24" i="27"/>
  <c r="I20" i="26"/>
  <c r="D16" i="25" l="1"/>
  <c r="D18" i="25"/>
  <c r="I19" i="25"/>
  <c r="D21" i="25"/>
  <c r="I21" i="25" s="1"/>
  <c r="D20" i="25" l="1"/>
  <c r="D15" i="25" s="1"/>
  <c r="I15" i="25" s="1"/>
  <c r="I38" i="38"/>
  <c r="I37" i="38"/>
  <c r="I35" i="38"/>
  <c r="I34" i="38"/>
  <c r="I33" i="38"/>
  <c r="I32" i="38"/>
  <c r="I16" i="38"/>
  <c r="D62" i="24" l="1"/>
  <c r="D53" i="24"/>
  <c r="C59" i="24"/>
  <c r="C60" i="24"/>
  <c r="C62" i="24"/>
  <c r="C63" i="24"/>
  <c r="C64" i="24"/>
  <c r="C65" i="24"/>
  <c r="C66" i="24"/>
  <c r="C68" i="24"/>
  <c r="C69" i="24"/>
  <c r="C70" i="24"/>
  <c r="C71" i="24"/>
  <c r="C72" i="24"/>
  <c r="C51" i="24"/>
  <c r="C52" i="24"/>
  <c r="C53" i="24"/>
  <c r="C54" i="24"/>
  <c r="C55" i="24"/>
  <c r="C56" i="24"/>
  <c r="C57" i="24"/>
  <c r="C58" i="24"/>
  <c r="C50" i="24"/>
  <c r="B53" i="24"/>
  <c r="C27" i="22"/>
  <c r="C28" i="22"/>
  <c r="C26" i="22"/>
  <c r="D19" i="22" l="1"/>
  <c r="I19" i="22" s="1"/>
  <c r="D17" i="22"/>
  <c r="I34" i="21"/>
  <c r="B56" i="21"/>
  <c r="B55" i="21"/>
  <c r="B54" i="21"/>
  <c r="B50" i="21"/>
  <c r="B49" i="21"/>
  <c r="D32" i="21"/>
  <c r="I32" i="21"/>
  <c r="I30" i="21"/>
  <c r="D30" i="21"/>
  <c r="B47" i="21"/>
  <c r="B45" i="21"/>
  <c r="D15" i="21"/>
  <c r="D18" i="21" s="1"/>
  <c r="I24" i="39"/>
  <c r="I25" i="39"/>
  <c r="D25" i="39"/>
  <c r="D47" i="39"/>
  <c r="B47" i="39"/>
  <c r="I23" i="39"/>
  <c r="I15" i="39"/>
  <c r="D41" i="39"/>
  <c r="B41" i="39"/>
  <c r="D37" i="39"/>
  <c r="D33" i="39"/>
  <c r="D34" i="39"/>
  <c r="D32" i="39"/>
  <c r="F22" i="13"/>
  <c r="I22" i="13" s="1"/>
  <c r="D16" i="39"/>
  <c r="D17" i="39"/>
  <c r="B37" i="39"/>
  <c r="B34" i="39"/>
  <c r="B33" i="39"/>
  <c r="B32" i="39"/>
  <c r="D37" i="13"/>
  <c r="D38" i="13" s="1"/>
  <c r="D29" i="13"/>
  <c r="D46" i="13"/>
  <c r="D30" i="13" l="1"/>
  <c r="D16" i="21"/>
  <c r="I37" i="13"/>
  <c r="D18" i="23"/>
  <c r="D16" i="23"/>
  <c r="D15" i="23"/>
  <c r="D17" i="29" l="1"/>
  <c r="I17" i="29" s="1"/>
  <c r="I19" i="23"/>
  <c r="D19" i="26"/>
  <c r="I19" i="26" s="1"/>
  <c r="I20" i="23"/>
  <c r="I21" i="23"/>
  <c r="D23" i="23"/>
  <c r="I26" i="39" l="1"/>
  <c r="I17" i="39"/>
  <c r="I16" i="39"/>
  <c r="D15" i="39"/>
  <c r="I18" i="39" l="1"/>
  <c r="I27" i="39"/>
  <c r="J30" i="39" l="1"/>
  <c r="L30" i="39" s="1"/>
  <c r="E28" i="14"/>
  <c r="E27" i="14"/>
  <c r="E24" i="14"/>
  <c r="E23" i="14"/>
  <c r="I17" i="27"/>
  <c r="I39" i="38" l="1"/>
  <c r="I29" i="31" l="1"/>
  <c r="C24" i="26"/>
  <c r="A24" i="26"/>
  <c r="I19" i="30"/>
  <c r="I20" i="30"/>
  <c r="D148" i="30"/>
  <c r="D147" i="30"/>
  <c r="D144" i="30"/>
  <c r="D143" i="30"/>
  <c r="D140" i="30"/>
  <c r="D137" i="30"/>
  <c r="D136" i="30"/>
  <c r="D135" i="30"/>
  <c r="D134" i="30"/>
  <c r="D133" i="30"/>
  <c r="D132" i="30"/>
  <c r="D131" i="30"/>
  <c r="D130" i="30"/>
  <c r="D127" i="30"/>
  <c r="D126" i="30"/>
  <c r="D125" i="30"/>
  <c r="D124" i="30"/>
  <c r="D123" i="30"/>
  <c r="D122" i="30"/>
  <c r="D121" i="30"/>
  <c r="D120" i="30"/>
  <c r="D119" i="30"/>
  <c r="D118" i="30"/>
  <c r="D117" i="30"/>
  <c r="D116" i="30"/>
  <c r="D114" i="30"/>
  <c r="D113" i="30"/>
  <c r="D112" i="30"/>
  <c r="D111" i="30"/>
  <c r="D110" i="30"/>
  <c r="D109" i="30"/>
  <c r="D106" i="30"/>
  <c r="D71" i="30"/>
  <c r="D70" i="30"/>
  <c r="D69" i="30"/>
  <c r="D16" i="30" l="1"/>
  <c r="N18" i="29"/>
  <c r="O21" i="29"/>
  <c r="P21" i="29" s="1"/>
  <c r="N12" i="29" s="1"/>
  <c r="N13" i="29" s="1"/>
  <c r="O12" i="29" s="1"/>
  <c r="I36" i="38"/>
  <c r="D20" i="21" l="1"/>
  <c r="D21" i="21" s="1"/>
  <c r="I21" i="21" s="1"/>
  <c r="M15" i="21"/>
  <c r="I29" i="13"/>
  <c r="D59" i="30"/>
  <c r="D60" i="30"/>
  <c r="D61" i="30"/>
  <c r="D62" i="30"/>
  <c r="D63" i="30"/>
  <c r="D65" i="30"/>
  <c r="D67" i="30"/>
  <c r="D72" i="30"/>
  <c r="D74" i="30"/>
  <c r="D75" i="30"/>
  <c r="D76" i="30"/>
  <c r="D77" i="30"/>
  <c r="D79" i="30"/>
  <c r="D80" i="30"/>
  <c r="D81" i="30"/>
  <c r="D82" i="30"/>
  <c r="D83" i="30"/>
  <c r="D84" i="30"/>
  <c r="D85" i="30"/>
  <c r="D86" i="30"/>
  <c r="D87" i="30"/>
  <c r="D88" i="30"/>
  <c r="D90" i="30"/>
  <c r="D91" i="30"/>
  <c r="D92" i="30"/>
  <c r="D93" i="30"/>
  <c r="D94" i="30"/>
  <c r="D95" i="30"/>
  <c r="D96" i="30"/>
  <c r="D97" i="30"/>
  <c r="D98" i="30"/>
  <c r="D100" i="30"/>
  <c r="D101" i="30"/>
  <c r="D103" i="30"/>
  <c r="D104" i="30"/>
  <c r="D150" i="30" l="1"/>
  <c r="E151" i="30"/>
  <c r="D64" i="30"/>
  <c r="E150" i="30" l="1"/>
  <c r="E152" i="30" s="1"/>
  <c r="I16" i="30" l="1"/>
  <c r="I30" i="13"/>
  <c r="I31" i="13" s="1"/>
  <c r="I16" i="29" l="1"/>
  <c r="I18" i="29" s="1"/>
  <c r="G108" i="30" l="1"/>
  <c r="I15" i="30" s="1"/>
  <c r="I15" i="31" l="1"/>
  <c r="D22" i="31" l="1"/>
  <c r="I22" i="31" s="1"/>
  <c r="I23" i="31" s="1"/>
  <c r="I15" i="28"/>
  <c r="I25" i="38" l="1"/>
  <c r="I26" i="38" l="1"/>
  <c r="I17" i="38"/>
  <c r="I15" i="38"/>
  <c r="I40" i="38" l="1"/>
  <c r="I18" i="38"/>
  <c r="I41" i="38" l="1"/>
  <c r="J45" i="38" l="1"/>
  <c r="D16" i="22"/>
  <c r="I16" i="22" l="1"/>
  <c r="D15" i="22"/>
  <c r="I15" i="22" s="1"/>
  <c r="K45" i="38"/>
  <c r="D18" i="22"/>
  <c r="I18" i="22" s="1"/>
  <c r="I46" i="13" l="1"/>
  <c r="I38" i="13"/>
  <c r="H11" i="36" l="1"/>
  <c r="H10" i="36"/>
  <c r="H9" i="36"/>
  <c r="H8" i="36"/>
  <c r="I17" i="30" s="1"/>
  <c r="H7" i="36"/>
  <c r="I23" i="30" s="1"/>
  <c r="H6" i="36"/>
  <c r="H12" i="36"/>
  <c r="H5" i="36"/>
  <c r="I32" i="24" l="1"/>
  <c r="I21" i="30"/>
  <c r="I16" i="31" l="1"/>
  <c r="I43" i="24" l="1"/>
  <c r="I42" i="24"/>
  <c r="I19" i="24" l="1"/>
  <c r="D31" i="21" l="1"/>
  <c r="I31" i="21" s="1"/>
  <c r="D27" i="35" l="1"/>
  <c r="I16" i="34" l="1"/>
  <c r="I18" i="30" l="1"/>
  <c r="I15" i="24" l="1"/>
  <c r="I32" i="31" l="1"/>
  <c r="J32" i="31" s="1"/>
  <c r="A100" i="35"/>
  <c r="A102" i="35"/>
  <c r="A101" i="35"/>
  <c r="D101" i="35" l="1"/>
  <c r="D102" i="35"/>
  <c r="I18" i="26" l="1"/>
  <c r="I20" i="25"/>
  <c r="D23" i="25" l="1"/>
  <c r="I23" i="25" s="1"/>
  <c r="I21" i="26" l="1"/>
  <c r="D17" i="21"/>
  <c r="I17" i="21" s="1"/>
  <c r="D19" i="21" l="1"/>
  <c r="I19" i="21" s="1"/>
  <c r="D23" i="21" l="1"/>
  <c r="I23" i="21" s="1"/>
  <c r="D100" i="35"/>
  <c r="D39" i="13" l="1"/>
  <c r="D22" i="21"/>
  <c r="I22" i="21" s="1"/>
  <c r="I39" i="13" l="1"/>
  <c r="I40" i="13" s="1"/>
  <c r="I23" i="23"/>
  <c r="I24" i="21"/>
  <c r="N24" i="21" s="1"/>
  <c r="A123" i="35"/>
  <c r="A109" i="35"/>
  <c r="A116" i="35"/>
  <c r="A93" i="35"/>
  <c r="A79" i="35"/>
  <c r="A86" i="35"/>
  <c r="A72" i="35"/>
  <c r="A65" i="35"/>
  <c r="A58" i="35"/>
  <c r="A51" i="35"/>
  <c r="A50" i="35"/>
  <c r="A49" i="35"/>
  <c r="A48" i="35"/>
  <c r="A41" i="35"/>
  <c r="A34" i="35"/>
  <c r="A26" i="35"/>
  <c r="A25" i="35"/>
  <c r="A17" i="35"/>
  <c r="A16" i="35"/>
  <c r="A15" i="35"/>
  <c r="I20" i="34" l="1"/>
  <c r="J24" i="33"/>
  <c r="D103" i="35"/>
  <c r="K24" i="33" l="1"/>
  <c r="D123" i="35"/>
  <c r="D124" i="35" s="1"/>
  <c r="J23" i="34"/>
  <c r="D109" i="35"/>
  <c r="D110" i="35" s="1"/>
  <c r="I24" i="30"/>
  <c r="K27" i="30" s="1"/>
  <c r="L23" i="34" l="1"/>
  <c r="L27" i="30"/>
  <c r="D86" i="35"/>
  <c r="D87" i="35" s="1"/>
  <c r="J21" i="29"/>
  <c r="D93" i="35"/>
  <c r="D94" i="35" s="1"/>
  <c r="I27" i="28"/>
  <c r="J30" i="28" s="1"/>
  <c r="K30" i="28" l="1"/>
  <c r="K21" i="29"/>
  <c r="D79" i="35"/>
  <c r="D80" i="35" s="1"/>
  <c r="I16" i="25"/>
  <c r="I18" i="25"/>
  <c r="I22" i="25"/>
  <c r="I41" i="24"/>
  <c r="I40" i="24"/>
  <c r="I44" i="24" l="1"/>
  <c r="D50" i="35" s="1"/>
  <c r="I24" i="25"/>
  <c r="K24" i="26"/>
  <c r="L24" i="26" l="1"/>
  <c r="D58" i="35"/>
  <c r="D59" i="35" s="1"/>
  <c r="J27" i="25"/>
  <c r="J23" i="27"/>
  <c r="D72" i="35"/>
  <c r="D73" i="35" s="1"/>
  <c r="D51" i="35"/>
  <c r="D65" i="35"/>
  <c r="D66" i="35" s="1"/>
  <c r="I33" i="24"/>
  <c r="I31" i="24"/>
  <c r="I30" i="24"/>
  <c r="I29" i="24"/>
  <c r="I28" i="24"/>
  <c r="I27" i="24"/>
  <c r="L23" i="27" l="1"/>
  <c r="K27" i="25"/>
  <c r="I34" i="24"/>
  <c r="D49" i="35" s="1"/>
  <c r="D116" i="35"/>
  <c r="D117" i="35" s="1"/>
  <c r="I16" i="24" l="1"/>
  <c r="I17" i="24"/>
  <c r="I18" i="24"/>
  <c r="I20" i="24"/>
  <c r="I21" i="24"/>
  <c r="I22" i="24" l="1"/>
  <c r="M44" i="24" s="1"/>
  <c r="I24" i="23"/>
  <c r="J28" i="23" s="1"/>
  <c r="N44" i="24" l="1"/>
  <c r="K28" i="23"/>
  <c r="D48" i="35"/>
  <c r="D52" i="35" s="1"/>
  <c r="D41" i="35"/>
  <c r="I17" i="22"/>
  <c r="I33" i="21"/>
  <c r="I23" i="13"/>
  <c r="D15" i="13"/>
  <c r="I15" i="13" s="1"/>
  <c r="D15" i="35" l="1"/>
  <c r="D42" i="35"/>
  <c r="I16" i="13"/>
  <c r="D25" i="35"/>
  <c r="I37" i="21" l="1"/>
  <c r="D26" i="35"/>
  <c r="D28" i="35" s="1"/>
  <c r="I47" i="13"/>
  <c r="I50" i="13" s="1"/>
  <c r="J37" i="21" l="1"/>
  <c r="J50" i="13"/>
  <c r="D17" i="35"/>
  <c r="D16" i="35"/>
  <c r="D18" i="35" l="1"/>
  <c r="I21" i="22"/>
  <c r="K25" i="22" s="1"/>
  <c r="L25" i="22" l="1"/>
  <c r="D34" i="35"/>
  <c r="D35" i="35" s="1"/>
</calcChain>
</file>

<file path=xl/sharedStrings.xml><?xml version="1.0" encoding="utf-8"?>
<sst xmlns="http://schemas.openxmlformats.org/spreadsheetml/2006/main" count="1355" uniqueCount="435">
  <si>
    <t>Documento</t>
  </si>
  <si>
    <t>Cliente</t>
  </si>
  <si>
    <t>Obra</t>
  </si>
  <si>
    <t>Data</t>
  </si>
  <si>
    <t>Revisão</t>
  </si>
  <si>
    <t>R00</t>
  </si>
  <si>
    <t>Status</t>
  </si>
  <si>
    <t>Responsável</t>
  </si>
  <si>
    <t>Kelen</t>
  </si>
  <si>
    <t>01</t>
  </si>
  <si>
    <t>UC</t>
  </si>
  <si>
    <t>Em andamento</t>
  </si>
  <si>
    <t>N° total de pavimentos</t>
  </si>
  <si>
    <t>Área do terreno</t>
  </si>
  <si>
    <t>N° de pavimentos tipo</t>
  </si>
  <si>
    <t>Área de projeção da torre</t>
  </si>
  <si>
    <t>Perímetro de projeção da torre</t>
  </si>
  <si>
    <t>Área total construída</t>
  </si>
  <si>
    <t>m²</t>
  </si>
  <si>
    <t>un</t>
  </si>
  <si>
    <t>m</t>
  </si>
  <si>
    <t>Área de subsolos</t>
  </si>
  <si>
    <t>N° de subsolos</t>
  </si>
  <si>
    <t>Locação da obra</t>
  </si>
  <si>
    <t>Parâmetro</t>
  </si>
  <si>
    <t>R$ / AC</t>
  </si>
  <si>
    <t>AT</t>
  </si>
  <si>
    <t>AC</t>
  </si>
  <si>
    <t>NP</t>
  </si>
  <si>
    <t>NPT</t>
  </si>
  <si>
    <t>APT</t>
  </si>
  <si>
    <t>PPT</t>
  </si>
  <si>
    <t>LC</t>
  </si>
  <si>
    <t>AS</t>
  </si>
  <si>
    <t>NS</t>
  </si>
  <si>
    <t>Descrição</t>
  </si>
  <si>
    <t>Identificador</t>
  </si>
  <si>
    <t>Informação</t>
  </si>
  <si>
    <t>R$ / AT</t>
  </si>
  <si>
    <t>Valor total</t>
  </si>
  <si>
    <t>Referência</t>
  </si>
  <si>
    <t>Resp.</t>
  </si>
  <si>
    <t>-</t>
  </si>
  <si>
    <t>TOTAL</t>
  </si>
  <si>
    <t>Concluído</t>
  </si>
  <si>
    <t>EQUIPAMENTOS</t>
  </si>
  <si>
    <r>
      <t xml:space="preserve">ORÇAMENTO PARAMÉTRICO
</t>
    </r>
    <r>
      <rPr>
        <b/>
        <sz val="11"/>
        <color rgb="FF003C66"/>
        <rFont val="Roboto"/>
      </rPr>
      <t>GERENCIAMENTO EXECUTIVO</t>
    </r>
  </si>
  <si>
    <r>
      <t xml:space="preserve">ORÇAMENTO PARAMÉTRICO 
</t>
    </r>
    <r>
      <rPr>
        <b/>
        <sz val="11"/>
        <color rgb="FF003C66"/>
        <rFont val="Roboto"/>
      </rPr>
      <t>GERENCIAMENTO EXECUTIVO</t>
    </r>
  </si>
  <si>
    <r>
      <t xml:space="preserve">ORÇAMENTO PARAMÉTRICO
</t>
    </r>
    <r>
      <rPr>
        <b/>
        <sz val="11"/>
        <color rgb="FF003C66"/>
        <rFont val="Roboto"/>
      </rPr>
      <t>MOVIMENTAÇÃO DE TERRA</t>
    </r>
  </si>
  <si>
    <t>02</t>
  </si>
  <si>
    <t>Escavação</t>
  </si>
  <si>
    <t>R$ / m³</t>
  </si>
  <si>
    <t>Quantidade</t>
  </si>
  <si>
    <t>Pedro Chaves</t>
  </si>
  <si>
    <t>ESCAVAÇÃO E REATERRO DE VALAS</t>
  </si>
  <si>
    <t>REBAIXAMENTO DE LENÇOL</t>
  </si>
  <si>
    <t>Rebaixamento de Lençol</t>
  </si>
  <si>
    <t>Escavação mecanizada para blocos e baldrames</t>
  </si>
  <si>
    <t>Reaterro para blocos e baldrames</t>
  </si>
  <si>
    <t>m³ / AT</t>
  </si>
  <si>
    <t>m³</t>
  </si>
  <si>
    <t xml:space="preserve">Lastro de concreto magro e= 10cm - Blocos </t>
  </si>
  <si>
    <t>Armação</t>
  </si>
  <si>
    <t>Concreto</t>
  </si>
  <si>
    <t>Mão de obra</t>
  </si>
  <si>
    <t>ESCAVAÇÃO</t>
  </si>
  <si>
    <t>kg</t>
  </si>
  <si>
    <t>vb</t>
  </si>
  <si>
    <t>R$ / m²</t>
  </si>
  <si>
    <t>Estaca Hélice Continua Diâmetro 60</t>
  </si>
  <si>
    <t>FUNDAÇÃO PROFUNDA</t>
  </si>
  <si>
    <t>FUNDAÇÃO RASA</t>
  </si>
  <si>
    <t>Fabricação, montagem e desmontagem de forma para blocos e baldrames</t>
  </si>
  <si>
    <r>
      <t xml:space="preserve">ORÇAMENTO PARAMÉTRICO
</t>
    </r>
    <r>
      <rPr>
        <b/>
        <sz val="11"/>
        <color rgb="FF003C66"/>
        <rFont val="Roboto"/>
      </rPr>
      <t>INFRAESTRUTURA</t>
    </r>
  </si>
  <si>
    <r>
      <t xml:space="preserve">ORÇAMENTO PARAMÉTRICO
</t>
    </r>
    <r>
      <rPr>
        <b/>
        <sz val="11"/>
        <color rgb="FF003C66"/>
        <rFont val="Roboto"/>
      </rPr>
      <t>SUPRAESTRUTURA</t>
    </r>
  </si>
  <si>
    <t>SUPRAESTRUTURA</t>
  </si>
  <si>
    <t>Fabricação forma</t>
  </si>
  <si>
    <t>Montagem de forma</t>
  </si>
  <si>
    <t>Armadura Convencional para Estrutura</t>
  </si>
  <si>
    <t>Escoramento - Torre</t>
  </si>
  <si>
    <r>
      <t xml:space="preserve">ORÇAMENTO PARAMÉTRICO
</t>
    </r>
    <r>
      <rPr>
        <b/>
        <sz val="11"/>
        <color rgb="FF003C66"/>
        <rFont val="Roboto"/>
      </rPr>
      <t>ALVENARIA</t>
    </r>
  </si>
  <si>
    <t>ALVENARIA</t>
  </si>
  <si>
    <t>m² / APT</t>
  </si>
  <si>
    <t>Alvenaria embasamento</t>
  </si>
  <si>
    <t>Alvenaria cobertura / reservatório</t>
  </si>
  <si>
    <r>
      <t xml:space="preserve">ORÇAMENTO PARAMÉTRICO
</t>
    </r>
    <r>
      <rPr>
        <b/>
        <sz val="11"/>
        <color rgb="FF003C66"/>
        <rFont val="Roboto"/>
      </rPr>
      <t>INSTALAÇÕES</t>
    </r>
  </si>
  <si>
    <t>INSTALAÇÕES ELÉTRICAS</t>
  </si>
  <si>
    <t>Entrada de Energia</t>
  </si>
  <si>
    <t>Eletrodutos e Eletrocalhas</t>
  </si>
  <si>
    <t>Cabos e Fiações</t>
  </si>
  <si>
    <t>Quadros e Disjuntores</t>
  </si>
  <si>
    <t>Equipamentos e Iluminação</t>
  </si>
  <si>
    <t>Mão de Obra para Instalações Elétricas</t>
  </si>
  <si>
    <t>INSTALAÇÕES HIDRÁULICAS</t>
  </si>
  <si>
    <t>Instalações de Água Fria</t>
  </si>
  <si>
    <t>Instalações de Água Quente</t>
  </si>
  <si>
    <t>Instalações de Águas Pluviais</t>
  </si>
  <si>
    <t>Instalações Sanitárias</t>
  </si>
  <si>
    <t>Suportes</t>
  </si>
  <si>
    <t>Louças e Metais</t>
  </si>
  <si>
    <t>Mão de Obra para Instalações Hidráulicas</t>
  </si>
  <si>
    <t>INSTALAÇÕES PREVENTIVAS E GLP</t>
  </si>
  <si>
    <t>Instalações Preventivas</t>
  </si>
  <si>
    <t>Instalações de GLP</t>
  </si>
  <si>
    <t>CLIMATIZAÇÃO, EXAUSTÃO MECÂNICA E PRESSURIZAÇÃO</t>
  </si>
  <si>
    <t>IMPERMEABILIZAÇÃO</t>
  </si>
  <si>
    <t>Poço do elevador</t>
  </si>
  <si>
    <t>Baldrames</t>
  </si>
  <si>
    <t>Ralos</t>
  </si>
  <si>
    <t>Impermeabilizações cimenticias</t>
  </si>
  <si>
    <t>Impermeabilização de peitoril</t>
  </si>
  <si>
    <t>Regularização de Superfície</t>
  </si>
  <si>
    <r>
      <t xml:space="preserve">ORÇAMENTO PARAMÉTRICO
</t>
    </r>
    <r>
      <rPr>
        <b/>
        <sz val="11"/>
        <color rgb="FF003C66"/>
        <rFont val="Roboto"/>
      </rPr>
      <t>IMPERMEABILIZAÇÃO</t>
    </r>
  </si>
  <si>
    <t>R$ / NP</t>
  </si>
  <si>
    <t>Impermeabilizações com manta asfaltica</t>
  </si>
  <si>
    <t>Proteção Mecânica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</si>
  <si>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</si>
  <si>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Chapisco</t>
  </si>
  <si>
    <t>Reboco</t>
  </si>
  <si>
    <t>Contrapiso</t>
  </si>
  <si>
    <t>Negativo</t>
  </si>
  <si>
    <t>kg / m³</t>
  </si>
  <si>
    <t>%</t>
  </si>
  <si>
    <r>
      <t xml:space="preserve">ORÇAMENTO PARAMÉTRICO
</t>
    </r>
    <r>
      <rPr>
        <b/>
        <sz val="11"/>
        <color rgb="FF003C66"/>
        <rFont val="Roboto"/>
      </rPr>
      <t>REVESTIMENTOS E ACABAMENTOS INTERNOS EM TETO</t>
    </r>
  </si>
  <si>
    <r>
      <t xml:space="preserve">ORÇAMENTO PARAMÉTRICO
</t>
    </r>
    <r>
      <rPr>
        <b/>
        <sz val="11"/>
        <color rgb="FF003C66"/>
        <rFont val="Roboto"/>
      </rPr>
      <t>REVESTIMENTOS INTERNOS EM PISO E PAREDE</t>
    </r>
  </si>
  <si>
    <r>
      <t xml:space="preserve">ORÇAMENTO PARAMÉTRICO
</t>
    </r>
    <r>
      <rPr>
        <b/>
        <sz val="11"/>
        <color rgb="FF003C66"/>
        <rFont val="Roboto"/>
      </rPr>
      <t>ACABAMENTOS EM PISO E PAREDE</t>
    </r>
  </si>
  <si>
    <t>ACABAMENTOS DE TETO</t>
  </si>
  <si>
    <t>Estucamento</t>
  </si>
  <si>
    <t>ACABAMENTOS EM PISO E PAREDE</t>
  </si>
  <si>
    <t>Revestimentos de Parede</t>
  </si>
  <si>
    <r>
      <t xml:space="preserve">ORÇAMENTO PARAMÉTRICO
</t>
    </r>
    <r>
      <rPr>
        <b/>
        <sz val="11"/>
        <color rgb="FF003C66"/>
        <rFont val="Roboto"/>
      </rPr>
      <t>PINTURA INTERNA</t>
    </r>
  </si>
  <si>
    <t>PINTURA INTERNA</t>
  </si>
  <si>
    <t>Pintura Interna</t>
  </si>
  <si>
    <r>
      <t xml:space="preserve">ORÇAMENTO PARAMÉTRICO
</t>
    </r>
    <r>
      <rPr>
        <b/>
        <sz val="11"/>
        <color rgb="FF003C66"/>
        <rFont val="Roboto"/>
      </rPr>
      <t>ESQUADRIAS</t>
    </r>
  </si>
  <si>
    <t>ESQUADRIAS</t>
  </si>
  <si>
    <t>Esquadrias de Alumínio</t>
  </si>
  <si>
    <t>Esquadrias de Madeira</t>
  </si>
  <si>
    <t>Rodapés</t>
  </si>
  <si>
    <r>
      <t xml:space="preserve">ORÇAMENTO PARAMÉTRICO
</t>
    </r>
    <r>
      <rPr>
        <b/>
        <sz val="11"/>
        <color rgb="FF003C66"/>
        <rFont val="Roboto"/>
      </rPr>
      <t>REVESTIMENTOS E ACABAMENTOS DE FACHADA</t>
    </r>
  </si>
  <si>
    <t>REVESTIMENTOS ARGAMASSADOS</t>
  </si>
  <si>
    <t>PINTURA</t>
  </si>
  <si>
    <t>REVESTIMENTOS ESPECIAIS</t>
  </si>
  <si>
    <r>
      <t xml:space="preserve">ORÇAMENTO PARAMÉTRICO
</t>
    </r>
    <r>
      <rPr>
        <b/>
        <sz val="11"/>
        <color rgb="FF003C66"/>
        <rFont val="Roboto"/>
      </rPr>
      <t>EQUIPAMENTOS</t>
    </r>
  </si>
  <si>
    <t>Equipamentos para Piscina</t>
  </si>
  <si>
    <r>
      <t xml:space="preserve">ORÇAMENTO PARAMÉTRICO
</t>
    </r>
    <r>
      <rPr>
        <b/>
        <sz val="11"/>
        <color rgb="FF003C66"/>
        <rFont val="Roboto"/>
      </rPr>
      <t>COBERTURA</t>
    </r>
  </si>
  <si>
    <t>R$</t>
  </si>
  <si>
    <t>SERVIÇOS COMPLEMENTARES</t>
  </si>
  <si>
    <t>Móveis e decoração</t>
  </si>
  <si>
    <t>Comunicação visual</t>
  </si>
  <si>
    <t>Paisagismo</t>
  </si>
  <si>
    <t>Limpeza</t>
  </si>
  <si>
    <t>MOVIMENTAÇÃO DE TERRA</t>
  </si>
  <si>
    <t>INFRAESTRUTURA</t>
  </si>
  <si>
    <t>INSTALAÇÕES</t>
  </si>
  <si>
    <t>REVESTIMENTOS INTERNOS EM PISO E PAREDE</t>
  </si>
  <si>
    <t>REVESTIMENTOS E ACABAMENTOS INTERNOS EM TETO</t>
  </si>
  <si>
    <t>REVESTIMENTOS DE FACHADA</t>
  </si>
  <si>
    <t>COBERTURA</t>
  </si>
  <si>
    <t>Alvenaria lazer</t>
  </si>
  <si>
    <t>Área do embasamento</t>
  </si>
  <si>
    <t>AE</t>
  </si>
  <si>
    <t>Área Lazer</t>
  </si>
  <si>
    <t>AL</t>
  </si>
  <si>
    <t>m² / AE</t>
  </si>
  <si>
    <t>m² / AL</t>
  </si>
  <si>
    <t>PASS-E</t>
  </si>
  <si>
    <t>m² / AT</t>
  </si>
  <si>
    <t>Número de Estacas</t>
  </si>
  <si>
    <t>Média</t>
  </si>
  <si>
    <t>m / un</t>
  </si>
  <si>
    <t>m³ / m³</t>
  </si>
  <si>
    <t>m² / AC</t>
  </si>
  <si>
    <t>m³ / AC</t>
  </si>
  <si>
    <t>m² / APT*NPT</t>
  </si>
  <si>
    <r>
      <t>m</t>
    </r>
    <r>
      <rPr>
        <sz val="10"/>
        <color theme="1"/>
        <rFont val="Roboto"/>
      </rPr>
      <t xml:space="preserve"> / AC</t>
    </r>
  </si>
  <si>
    <t>PPE</t>
  </si>
  <si>
    <t>Perímetro de projeção embasamento</t>
  </si>
  <si>
    <t>Área de projeção do embasamento</t>
  </si>
  <si>
    <t>N° de pavimentos de embasamento</t>
  </si>
  <si>
    <t>NPE</t>
  </si>
  <si>
    <t>APE</t>
  </si>
  <si>
    <t>REGULARIZAÇÃO E APILOAmENTO DE FUNDO DE VALAS</t>
  </si>
  <si>
    <t>MTH_INC-RES Orçamento Paramétrico</t>
  </si>
  <si>
    <t>Reserva</t>
  </si>
  <si>
    <t>Testada do terreno</t>
  </si>
  <si>
    <t>TT</t>
  </si>
  <si>
    <t>N° de pavimentos duplex</t>
  </si>
  <si>
    <t>NPD</t>
  </si>
  <si>
    <t>un / m²</t>
  </si>
  <si>
    <t>N° de pavimentos tipo diferenciado</t>
  </si>
  <si>
    <t>ND</t>
  </si>
  <si>
    <t>R$ / AL</t>
  </si>
  <si>
    <t>Estaca Hélice Continua Diâmetro 70</t>
  </si>
  <si>
    <t>Mão de obra - estrutura em concreto armado</t>
  </si>
  <si>
    <t>CONTENÇÃO</t>
  </si>
  <si>
    <t>Acabamentos Elétricos</t>
  </si>
  <si>
    <t>Instalações de Proteção e Aterramento - SPDA</t>
  </si>
  <si>
    <t>Mão de Obra</t>
  </si>
  <si>
    <t>Serralherias</t>
  </si>
  <si>
    <t xml:space="preserve">m² </t>
  </si>
  <si>
    <t>Estaca Hélice Continua Diâmetro 50</t>
  </si>
  <si>
    <t xml:space="preserve"> 2 Portões acesso garagem - Área: 9,2m² x 2 = 18,4m²</t>
  </si>
  <si>
    <t>2 portas corta-fogo 1 folha</t>
  </si>
  <si>
    <t>1 porta de correr alumínio 2 folhas – Área: 3,465m²</t>
  </si>
  <si>
    <t>1 porta de correr alumínio 2 folhas – Área: 1,7325m²</t>
  </si>
  <si>
    <t>2 portas de abrir alumínio 2 folhas – Área: 2,6376m² x 2 = 5,2752m²</t>
  </si>
  <si>
    <t>1 porta de abrir alumínio 2 folhas – Área: 4,1916m²</t>
  </si>
  <si>
    <t>1 porta pivotante</t>
  </si>
  <si>
    <t>19 portas de abrir madeira 1 folha</t>
  </si>
  <si>
    <t>3 portas de abrir vidro 1 folha – Área: 2,1m² x 3 = 6,3m²</t>
  </si>
  <si>
    <t>2 portas de abrir vidro 1 folha – Área: 1,89m² x 2 = 3,78m²</t>
  </si>
  <si>
    <t>1 porta de abrir alumínio 1 folha – Área: 2,0076m²</t>
  </si>
  <si>
    <t>Janelas – Área: 3,75 + 4,875 + 2,5 + 1,1 + 1,2 + 5,5402 + 4,4874 = 23,4526m²</t>
  </si>
  <si>
    <t>Muro de vidro – Área: 7,0774 + 5,485 + 3,43 + 4,8138 = 20,8062m²</t>
  </si>
  <si>
    <t>8 portas corta-fogo 1 folha</t>
  </si>
  <si>
    <t xml:space="preserve"> Janelas – Area: (1,1 + 1,2 + 28,7391) x 4 = 124,1564m²</t>
  </si>
  <si>
    <t xml:space="preserve"> 2 portas corta-fogo 1 folha</t>
  </si>
  <si>
    <t xml:space="preserve"> 2 portas de abrir alumínio 1 folha – Área: 1,47m² x 2 = 2,94m²</t>
  </si>
  <si>
    <t xml:space="preserve"> 2 portas de abrir vidro 1 folha – Área: 1,89m² x 2 = 3,78m²</t>
  </si>
  <si>
    <t xml:space="preserve"> 5 portas de abrir madeira 1 folha  </t>
  </si>
  <si>
    <t xml:space="preserve"> 1 janela-porta de correr vidro – Área: 14,7348m²</t>
  </si>
  <si>
    <t xml:space="preserve"> Janelas – Área: 1,2894 + 1,2894 + 23,46 + 1,854 + 5,562 + 5,562 + 1,854 + 1,854 + 1,1 + 1,2 = 45,0248m²</t>
  </si>
  <si>
    <t xml:space="preserve"> Guarda corpo vidro – Área: 7,5299 + 5,7955 + 6,5555 = 19,8809m²</t>
  </si>
  <si>
    <t xml:space="preserve"> 38 portas corta-fogo 1 folha</t>
  </si>
  <si>
    <t xml:space="preserve"> 171 portas de abrir madeira 1 folha</t>
  </si>
  <si>
    <t xml:space="preserve"> 19 porta de abrir alumínio 1 folha – Área: 1,26m² x 19 = 23,94m²</t>
  </si>
  <si>
    <t xml:space="preserve"> 19 janela-porta de correr vidro 5 folhas - Área: 25,4205m² x 19 = 482,9895m²</t>
  </si>
  <si>
    <t xml:space="preserve"> 19 janela-porta de correr vidro 5 folhas - Área: 17,8284m² x 19 = 338,7396m²</t>
  </si>
  <si>
    <t xml:space="preserve"> Janelas – Área: 1,1 + 1,1 + 1,2 + 1,92 + 0,36 + 2,781 + 2,781 + 1,854 + 1,854 + 5,562 + 5,562 + 1,854 = 27,928m² x 19 = 530,632m²</t>
  </si>
  <si>
    <t xml:space="preserve"> Guarda corpo metálico – Área: 4,745m² x 19 = 90,155m² - Perímetro: 3,65m x 19 = 69,35m</t>
  </si>
  <si>
    <t xml:space="preserve"> Guarda corpo vidro – Área: 15,645m² x 19 = 297,255m² - Perímetro: 14,9m x 19 = 283,1m</t>
  </si>
  <si>
    <t xml:space="preserve"> 2 portas de abrir madeira 1 folha</t>
  </si>
  <si>
    <t xml:space="preserve"> 1 porta de abrir alumínio 1 folha – Área: 1,26m²</t>
  </si>
  <si>
    <t xml:space="preserve"> 1 janela-porta de correr vidro 3 folhas - Área: 15,21m²</t>
  </si>
  <si>
    <t xml:space="preserve"> 1 janela-porta de correr vidro 5 folhas - Área: 25,4205m²</t>
  </si>
  <si>
    <t xml:space="preserve"> 1 janela-porta de correr vidro 5 folhas - Área: 17,8284m²</t>
  </si>
  <si>
    <t xml:space="preserve"> Janelas – Área: 1,1 + 1,2 + 1,1 + 1,92 + 0,36 + 2,781 + 2,781 + 1,854 + 1,854 + 5,562 + 5,562 + 1,854 = 27,928m²</t>
  </si>
  <si>
    <t xml:space="preserve"> Guarda corpo metálico – Área: 4,745m² - Perímetro: 3,65m</t>
  </si>
  <si>
    <t xml:space="preserve"> Guarda corpo vidro – Área: 15,645m² - Perímetro: 14,9m</t>
  </si>
  <si>
    <t xml:space="preserve"> 7 portas de abrir madeira 1 folha</t>
  </si>
  <si>
    <t xml:space="preserve"> 2 portas de correr madeira 1 folha</t>
  </si>
  <si>
    <t xml:space="preserve"> Janelas – Área: 1,1 + 1,2 + 1,92 + 0,36 + 2,781 + 2,781 + 1,854 + 1,854 + 5,562 + 5,562 + 1,854 = 26,828m²</t>
  </si>
  <si>
    <t xml:space="preserve"> 4 portas de abrir madeira 1 folha</t>
  </si>
  <si>
    <t xml:space="preserve"> 1 porta de correr madeira 1 folha</t>
  </si>
  <si>
    <t xml:space="preserve"> 1 porta de correr vidro 3 folhas – Área: 10,5m²</t>
  </si>
  <si>
    <t xml:space="preserve"> 1 janela-porta de correr vidro – Área: 5,61m²</t>
  </si>
  <si>
    <t xml:space="preserve"> Janela – Área: 1,1 + 1,2 + 1,92 + 0,36 + 2,781 + 2,781 + 1,854 + 1,854 + 5,562 + 5,562 + 1,854 + 25,0512 + 17,8284 = 69,7076m²</t>
  </si>
  <si>
    <t xml:space="preserve"> Janelas – Area: 1,1 + 1,2 + 0,84 + 0,84 + 3,549 + 3,549 + 10,647 + 10,647 = 32,372m²</t>
  </si>
  <si>
    <t>portão</t>
  </si>
  <si>
    <t>pcf</t>
  </si>
  <si>
    <t xml:space="preserve">porta alumínio </t>
  </si>
  <si>
    <t>porta alumínio</t>
  </si>
  <si>
    <t>madeira</t>
  </si>
  <si>
    <t>pivotante</t>
  </si>
  <si>
    <t>Guarda  alumínio</t>
  </si>
  <si>
    <t>janela</t>
  </si>
  <si>
    <t xml:space="preserve">gradil </t>
  </si>
  <si>
    <t>Brise</t>
  </si>
  <si>
    <t>R$ / un</t>
  </si>
  <si>
    <t>Portão de alumínio</t>
  </si>
  <si>
    <t xml:space="preserve">Concreto </t>
  </si>
  <si>
    <t>MTH_COTA-AFP Orçamento Paramétrico</t>
  </si>
  <si>
    <t>COTA</t>
  </si>
  <si>
    <t>AFONSO PENA</t>
  </si>
  <si>
    <t>OUTROS SISTEMAS ESPECIAIS</t>
  </si>
  <si>
    <t>Outros sistemas</t>
  </si>
  <si>
    <t>Instalação de Ar Condicionado</t>
  </si>
  <si>
    <t>Ventokit</t>
  </si>
  <si>
    <t>PCF</t>
  </si>
  <si>
    <t>Chapisco e reboco</t>
  </si>
  <si>
    <t>m² / PT * (NPT+NPD+ND)</t>
  </si>
  <si>
    <t>Textura</t>
  </si>
  <si>
    <t>Manta acústica</t>
  </si>
  <si>
    <t>Cimentício</t>
  </si>
  <si>
    <t>m2</t>
  </si>
  <si>
    <t>ÁREA</t>
  </si>
  <si>
    <t>LAZER</t>
  </si>
  <si>
    <t>Altura</t>
  </si>
  <si>
    <t>Área</t>
  </si>
  <si>
    <t>Ático</t>
  </si>
  <si>
    <t>ESCAVAÇÃO VERTICAL</t>
  </si>
  <si>
    <t>Escavação vertical</t>
  </si>
  <si>
    <t xml:space="preserve">Bota fora </t>
  </si>
  <si>
    <t>MEZANINO</t>
  </si>
  <si>
    <t>m³ / APE</t>
  </si>
  <si>
    <t>Movimentação de terra de bota - fora</t>
  </si>
  <si>
    <t>Complementares</t>
  </si>
  <si>
    <t xml:space="preserve">Piso de concreto polido </t>
  </si>
  <si>
    <t xml:space="preserve">Forro de Gesso mineral </t>
  </si>
  <si>
    <t>Guarda corpo - alumínio e vidro</t>
  </si>
  <si>
    <t>persiana</t>
  </si>
  <si>
    <t>PORTA</t>
  </si>
  <si>
    <t>MEIO FIO</t>
  </si>
  <si>
    <t>PELE DE VIDRO</t>
  </si>
  <si>
    <t>TÉRREO</t>
  </si>
  <si>
    <t>EST. PÚBLICO</t>
  </si>
  <si>
    <t>GARAGEM 1</t>
  </si>
  <si>
    <t>GARAGEM 2</t>
  </si>
  <si>
    <t>GARAGEM 3</t>
  </si>
  <si>
    <t>TIPO DIFERENCIADO 1</t>
  </si>
  <si>
    <t>TIPO DIFERENCIADO 2</t>
  </si>
  <si>
    <t>COBERTURA LAZER</t>
  </si>
  <si>
    <t>CASA MÁQUINAS</t>
  </si>
  <si>
    <t>total</t>
  </si>
  <si>
    <t>com persiana</t>
  </si>
  <si>
    <t>sem persiana</t>
  </si>
  <si>
    <t>Pele de vidro</t>
  </si>
  <si>
    <r>
      <t xml:space="preserve">ORÇAMENTO PARAMÉTRICO
</t>
    </r>
    <r>
      <rPr>
        <b/>
        <sz val="11"/>
        <color rgb="FF003C66"/>
        <rFont val="Roboto"/>
      </rPr>
      <t>CONTENÇÕES</t>
    </r>
  </si>
  <si>
    <t>MTH_MEN BRM Dados Gerais</t>
  </si>
  <si>
    <t>MENDES</t>
  </si>
  <si>
    <t>Brava Mundo</t>
  </si>
  <si>
    <t>R01</t>
  </si>
  <si>
    <t>MURETA GUIA</t>
  </si>
  <si>
    <r>
      <t>kg / m</t>
    </r>
    <r>
      <rPr>
        <i/>
        <sz val="10"/>
        <color theme="1"/>
        <rFont val="Roboto"/>
      </rPr>
      <t>³</t>
    </r>
  </si>
  <si>
    <t xml:space="preserve">Forma </t>
  </si>
  <si>
    <t>PAREDE DIAFRAGMA</t>
  </si>
  <si>
    <t>m³ / m²</t>
  </si>
  <si>
    <t>Tirantes</t>
  </si>
  <si>
    <t>Alvenaria tipo</t>
  </si>
  <si>
    <t>R$ / mês</t>
  </si>
  <si>
    <t>Perímetro de contenção</t>
  </si>
  <si>
    <t>SUBSOLO</t>
  </si>
  <si>
    <t>*6 equipamentos de rebaixamento de lençol</t>
  </si>
  <si>
    <t>Extensão x profundidade</t>
  </si>
  <si>
    <t>Custo - referência</t>
  </si>
  <si>
    <t>Valor por m2</t>
  </si>
  <si>
    <t>EXECUÇÃO DIAFRAGMA</t>
  </si>
  <si>
    <t>EXECUÇÃO TIRANTES</t>
  </si>
  <si>
    <t>Extensão</t>
  </si>
  <si>
    <t>Valor por m</t>
  </si>
  <si>
    <t>R$ / m</t>
  </si>
  <si>
    <t>*fck 25MPa</t>
  </si>
  <si>
    <t>*fck 40MPa</t>
  </si>
  <si>
    <t xml:space="preserve">MENDES </t>
  </si>
  <si>
    <t>Perfuração 60</t>
  </si>
  <si>
    <t>Unidades</t>
  </si>
  <si>
    <t>Perfuração unitária</t>
  </si>
  <si>
    <t>Aço</t>
  </si>
  <si>
    <t>kg/m3</t>
  </si>
  <si>
    <t>Fundação rasa</t>
  </si>
  <si>
    <t>LIVE</t>
  </si>
  <si>
    <t>FORMA</t>
  </si>
  <si>
    <t>AÇO</t>
  </si>
  <si>
    <t>CONCRETO</t>
  </si>
  <si>
    <t>ÁREA CONSTRUÍDA</t>
  </si>
  <si>
    <t>Eletrodutos e eletrocalhas</t>
  </si>
  <si>
    <t>Fios e cabos</t>
  </si>
  <si>
    <t>Itens não orçados</t>
  </si>
  <si>
    <t>Luminárias</t>
  </si>
  <si>
    <t>Pontos de tomadas e interruptores</t>
  </si>
  <si>
    <t>Prumadas</t>
  </si>
  <si>
    <t>Quadros elétricos e disjuntores</t>
  </si>
  <si>
    <t>HIDRO</t>
  </si>
  <si>
    <t>Água quente e fria</t>
  </si>
  <si>
    <t>Louças</t>
  </si>
  <si>
    <t>Sanitárias</t>
  </si>
  <si>
    <t>PREVENTIVAS</t>
  </si>
  <si>
    <t>Gás</t>
  </si>
  <si>
    <t>SPDA</t>
  </si>
  <si>
    <t>Preventivas</t>
  </si>
  <si>
    <t xml:space="preserve">Não orçados </t>
  </si>
  <si>
    <t>VALOR/M2</t>
  </si>
  <si>
    <t>Subestação</t>
  </si>
  <si>
    <t xml:space="preserve">Ar condicionado central </t>
  </si>
  <si>
    <t>Elevadores - Subsolo - Sociais</t>
  </si>
  <si>
    <t>Elevadores - Térreo - Sociais</t>
  </si>
  <si>
    <t>Elevadores - mezanino - Sociais</t>
  </si>
  <si>
    <t>Elevadores - Subsolo - Serviço</t>
  </si>
  <si>
    <t xml:space="preserve">Gerador </t>
  </si>
  <si>
    <t>Equipamentos para Sauna</t>
  </si>
  <si>
    <t>Escada pré moldada</t>
  </si>
  <si>
    <t>Laje impermeabilizada</t>
  </si>
  <si>
    <t>Relação forro e negativo</t>
  </si>
  <si>
    <t>Forro</t>
  </si>
  <si>
    <t>Relação</t>
  </si>
  <si>
    <t>Cerâmica</t>
  </si>
  <si>
    <t>Porcelanato 80x80</t>
  </si>
  <si>
    <t>Pastilha</t>
  </si>
  <si>
    <t>Piso emborrachado</t>
  </si>
  <si>
    <t xml:space="preserve">Piso vinílico </t>
  </si>
  <si>
    <t>Piso antiderrapante de pedra</t>
  </si>
  <si>
    <t>Paver</t>
  </si>
  <si>
    <t>Varanda e deck molhado</t>
  </si>
  <si>
    <t>BOX</t>
  </si>
  <si>
    <t>Total</t>
  </si>
  <si>
    <t>RODAPÉ MENDES</t>
  </si>
  <si>
    <t>Total custo</t>
  </si>
  <si>
    <t xml:space="preserve">Valor/m2 </t>
  </si>
  <si>
    <t>Demarcação de faixas</t>
  </si>
  <si>
    <t>Pintura piso escadaria</t>
  </si>
  <si>
    <t>Número de vagas</t>
  </si>
  <si>
    <t>Área de pintura</t>
  </si>
  <si>
    <t>DRYWALL DUPLO</t>
  </si>
  <si>
    <t>DRYWALL SIMPLES</t>
  </si>
  <si>
    <t>Fechadura eletrônica</t>
  </si>
  <si>
    <t>GUARDA CORPO</t>
  </si>
  <si>
    <t>Gardens</t>
  </si>
  <si>
    <t>metros</t>
  </si>
  <si>
    <t>perímetro</t>
  </si>
  <si>
    <t>altura</t>
  </si>
  <si>
    <t>por dupla de ap.</t>
  </si>
  <si>
    <t>unidades</t>
  </si>
  <si>
    <t>par de apartamento</t>
  </si>
  <si>
    <t>guarda corpo</t>
  </si>
  <si>
    <t xml:space="preserve">m2 </t>
  </si>
  <si>
    <t>uma unidade</t>
  </si>
  <si>
    <t>brise</t>
  </si>
  <si>
    <t>Telha sanduíche</t>
  </si>
  <si>
    <t>Estrutura telha</t>
  </si>
  <si>
    <t xml:space="preserve">Calha </t>
  </si>
  <si>
    <t>Rufo</t>
  </si>
  <si>
    <t>Contra rufo</t>
  </si>
  <si>
    <t>Cobertura de vidro</t>
  </si>
  <si>
    <t>Alumínio</t>
  </si>
  <si>
    <t>Detalhes especiais</t>
  </si>
  <si>
    <t>R$/m2</t>
  </si>
  <si>
    <t>Parede verde</t>
  </si>
  <si>
    <t>R$ / m2</t>
  </si>
  <si>
    <t>Junta de dilatação</t>
  </si>
  <si>
    <t>Junta dilatação</t>
  </si>
  <si>
    <t>Subsolo</t>
  </si>
  <si>
    <t>Comprimento</t>
  </si>
  <si>
    <t>Repetição</t>
  </si>
  <si>
    <t>Térreo</t>
  </si>
  <si>
    <t>Mezanino</t>
  </si>
  <si>
    <t>2º Pavimento</t>
  </si>
  <si>
    <t>3º Pavimento</t>
  </si>
  <si>
    <t>4º Pavimento</t>
  </si>
  <si>
    <t>5º Pavimento</t>
  </si>
  <si>
    <t>Técnico</t>
  </si>
  <si>
    <t>Drywall ST/ST sem isolamento</t>
  </si>
  <si>
    <t>Drywall ST/RU sem isolamento</t>
  </si>
  <si>
    <t xml:space="preserve"> </t>
  </si>
  <si>
    <t>Alvenaria divisórias</t>
  </si>
  <si>
    <t>Pisoporcelanato 90x90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</si>
</sst>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D_M_-;\-* #,##0.00\ _D_M_-;_-* &quot;-&quot;??\ _D_M_-;_-@_-"/>
    <numFmt numFmtId="165" formatCode="_-* #,##0.0000_-;\-* #,##0.0000_-;_-* &quot;-&quot;??_-;_-@_-"/>
    <numFmt numFmtId="166" formatCode="_-* #,##0.0000_-;\-* #,##0.0000_-;_-* &quot;-&quot;??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oboto"/>
    </font>
    <font>
      <b/>
      <sz val="14"/>
      <color rgb="FF293549"/>
      <name val="Roboto"/>
    </font>
    <font>
      <sz val="10"/>
      <color rgb="FF000000"/>
      <name val="Roboto"/>
    </font>
    <font>
      <b/>
      <sz val="10"/>
      <name val="Roboto"/>
    </font>
    <font>
      <sz val="10"/>
      <color theme="1"/>
      <name val="Roboto"/>
    </font>
    <font>
      <sz val="10"/>
      <color rgb="FFFF0000"/>
      <name val="Roboto"/>
    </font>
    <font>
      <b/>
      <sz val="10"/>
      <color theme="1"/>
      <name val="Roboto"/>
    </font>
    <font>
      <b/>
      <u/>
      <sz val="10"/>
      <color theme="1"/>
      <name val="Roboto"/>
    </font>
    <font>
      <b/>
      <sz val="11"/>
      <color rgb="FF003C66"/>
      <name val="Roboto"/>
    </font>
    <font>
      <i/>
      <sz val="10"/>
      <color theme="1"/>
      <name val="Roboto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ECEC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medium">
        <color rgb="FFCECEC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47">
    <xf numFmtId="0" fontId="0" fillId="0" borderId="0" xfId="0"/>
    <xf numFmtId="0" fontId="3" fillId="0" borderId="0" xfId="0" applyFont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7" fillId="4" borderId="17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0" fontId="7" fillId="4" borderId="19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9" fillId="5" borderId="35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7" fillId="0" borderId="28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43" fontId="7" fillId="0" borderId="5" xfId="1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43" fontId="7" fillId="0" borderId="7" xfId="1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43" fontId="7" fillId="0" borderId="0" xfId="1" applyFont="1" applyBorder="1" applyAlignment="1">
      <alignment horizontal="center" vertical="center"/>
    </xf>
    <xf numFmtId="43" fontId="7" fillId="0" borderId="2" xfId="1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/>
    </xf>
    <xf numFmtId="43" fontId="7" fillId="0" borderId="7" xfId="1" applyFont="1" applyBorder="1" applyAlignment="1">
      <alignment vertical="center"/>
    </xf>
    <xf numFmtId="43" fontId="9" fillId="0" borderId="7" xfId="1" applyFont="1" applyBorder="1" applyAlignment="1">
      <alignment vertical="center"/>
    </xf>
    <xf numFmtId="49" fontId="3" fillId="3" borderId="11" xfId="0" applyNumberFormat="1" applyFont="1" applyFill="1" applyBorder="1" applyAlignment="1">
      <alignment vertical="center"/>
    </xf>
    <xf numFmtId="165" fontId="7" fillId="0" borderId="23" xfId="1" applyNumberFormat="1" applyFont="1" applyBorder="1" applyAlignment="1">
      <alignment horizontal="center" vertical="center"/>
    </xf>
    <xf numFmtId="165" fontId="7" fillId="0" borderId="26" xfId="1" applyNumberFormat="1" applyFont="1" applyBorder="1" applyAlignment="1">
      <alignment horizontal="center" vertical="center"/>
    </xf>
    <xf numFmtId="165" fontId="7" fillId="0" borderId="29" xfId="1" applyNumberFormat="1" applyFont="1" applyBorder="1" applyAlignment="1">
      <alignment horizontal="center" vertical="center"/>
    </xf>
    <xf numFmtId="165" fontId="7" fillId="0" borderId="38" xfId="1" applyNumberFormat="1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43" fontId="7" fillId="0" borderId="23" xfId="1" applyFont="1" applyBorder="1" applyAlignment="1">
      <alignment horizontal="left" vertical="center" wrapText="1"/>
    </xf>
    <xf numFmtId="43" fontId="7" fillId="0" borderId="23" xfId="1" applyFont="1" applyBorder="1" applyAlignment="1">
      <alignment horizontal="center" vertical="center" wrapText="1"/>
    </xf>
    <xf numFmtId="43" fontId="3" fillId="0" borderId="0" xfId="1" applyFont="1" applyAlignment="1">
      <alignment vertical="center"/>
    </xf>
    <xf numFmtId="43" fontId="3" fillId="2" borderId="9" xfId="1" applyFont="1" applyFill="1" applyBorder="1" applyAlignment="1">
      <alignment vertical="center"/>
    </xf>
    <xf numFmtId="43" fontId="3" fillId="2" borderId="0" xfId="1" applyFont="1" applyFill="1" applyBorder="1" applyAlignment="1">
      <alignment vertical="center"/>
    </xf>
    <xf numFmtId="43" fontId="7" fillId="0" borderId="2" xfId="1" applyFont="1" applyBorder="1" applyAlignment="1">
      <alignment vertical="center"/>
    </xf>
    <xf numFmtId="43" fontId="9" fillId="0" borderId="0" xfId="1" applyFont="1" applyBorder="1" applyAlignment="1">
      <alignment vertical="center"/>
    </xf>
    <xf numFmtId="43" fontId="7" fillId="0" borderId="0" xfId="1" applyFont="1" applyBorder="1" applyAlignment="1">
      <alignment vertical="center"/>
    </xf>
    <xf numFmtId="43" fontId="7" fillId="0" borderId="26" xfId="1" applyFont="1" applyBorder="1" applyAlignment="1">
      <alignment horizontal="center" vertical="center" wrapText="1"/>
    </xf>
    <xf numFmtId="43" fontId="7" fillId="0" borderId="0" xfId="1" applyFont="1" applyAlignment="1">
      <alignment vertical="center"/>
    </xf>
    <xf numFmtId="43" fontId="7" fillId="0" borderId="42" xfId="1" applyFont="1" applyBorder="1" applyAlignment="1">
      <alignment horizontal="center" vertical="center" wrapText="1"/>
    </xf>
    <xf numFmtId="43" fontId="3" fillId="0" borderId="0" xfId="1" applyFont="1" applyAlignment="1">
      <alignment horizontal="center" vertical="center"/>
    </xf>
    <xf numFmtId="43" fontId="3" fillId="2" borderId="9" xfId="1" applyFont="1" applyFill="1" applyBorder="1" applyAlignment="1">
      <alignment horizontal="center" vertical="center"/>
    </xf>
    <xf numFmtId="43" fontId="3" fillId="2" borderId="0" xfId="1" applyFont="1" applyFill="1" applyBorder="1" applyAlignment="1">
      <alignment horizontal="center" vertical="center"/>
    </xf>
    <xf numFmtId="43" fontId="9" fillId="0" borderId="0" xfId="1" applyFont="1" applyBorder="1" applyAlignment="1">
      <alignment horizontal="center" vertical="center"/>
    </xf>
    <xf numFmtId="43" fontId="7" fillId="0" borderId="0" xfId="1" applyFont="1" applyAlignment="1">
      <alignment horizontal="center" vertical="center"/>
    </xf>
    <xf numFmtId="43" fontId="7" fillId="0" borderId="29" xfId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/>
    </xf>
    <xf numFmtId="43" fontId="7" fillId="0" borderId="31" xfId="1" applyFont="1" applyBorder="1" applyAlignment="1">
      <alignment horizontal="center" vertical="center" wrapText="1"/>
    </xf>
    <xf numFmtId="43" fontId="7" fillId="0" borderId="32" xfId="1" applyFont="1" applyBorder="1" applyAlignment="1">
      <alignment horizontal="center" vertical="center" wrapText="1"/>
    </xf>
    <xf numFmtId="43" fontId="7" fillId="0" borderId="33" xfId="1" applyFont="1" applyBorder="1" applyAlignment="1">
      <alignment horizontal="center" vertical="center" wrapText="1"/>
    </xf>
    <xf numFmtId="43" fontId="7" fillId="0" borderId="37" xfId="1" applyFont="1" applyBorder="1" applyAlignment="1">
      <alignment horizontal="center" vertical="center" wrapText="1"/>
    </xf>
    <xf numFmtId="43" fontId="7" fillId="0" borderId="38" xfId="1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43" fontId="7" fillId="0" borderId="33" xfId="1" quotePrefix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43" fontId="7" fillId="0" borderId="31" xfId="1" applyFont="1" applyBorder="1" applyAlignment="1">
      <alignment horizontal="center" vertical="center"/>
    </xf>
    <xf numFmtId="43" fontId="7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43" fontId="7" fillId="0" borderId="7" xfId="0" applyNumberFormat="1" applyFont="1" applyBorder="1" applyAlignment="1">
      <alignment vertical="center"/>
    </xf>
    <xf numFmtId="165" fontId="7" fillId="0" borderId="31" xfId="1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165" fontId="7" fillId="0" borderId="32" xfId="1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43" fontId="7" fillId="0" borderId="32" xfId="1" applyFont="1" applyBorder="1" applyAlignment="1">
      <alignment horizontal="center" vertical="center"/>
    </xf>
    <xf numFmtId="165" fontId="7" fillId="0" borderId="33" xfId="1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43" fontId="7" fillId="0" borderId="43" xfId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43" fontId="7" fillId="0" borderId="38" xfId="1" applyFont="1" applyBorder="1" applyAlignment="1">
      <alignment horizontal="left" vertical="center" wrapText="1"/>
    </xf>
    <xf numFmtId="43" fontId="7" fillId="0" borderId="26" xfId="1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166" fontId="7" fillId="0" borderId="0" xfId="0" applyNumberFormat="1" applyFont="1" applyAlignment="1">
      <alignment vertical="center"/>
    </xf>
    <xf numFmtId="166" fontId="7" fillId="0" borderId="0" xfId="0" applyNumberFormat="1" applyFont="1" applyAlignment="1">
      <alignment horizontal="center" vertical="center"/>
    </xf>
    <xf numFmtId="43" fontId="7" fillId="0" borderId="29" xfId="1" applyFont="1" applyBorder="1" applyAlignment="1">
      <alignment horizontal="center" vertical="center"/>
    </xf>
    <xf numFmtId="43" fontId="7" fillId="0" borderId="38" xfId="1" applyFont="1" applyFill="1" applyBorder="1" applyAlignment="1">
      <alignment horizontal="left" vertical="center" wrapText="1"/>
    </xf>
    <xf numFmtId="43" fontId="7" fillId="0" borderId="26" xfId="1" applyFont="1" applyFill="1" applyBorder="1" applyAlignment="1">
      <alignment horizontal="left" vertical="center" wrapText="1"/>
    </xf>
    <xf numFmtId="43" fontId="7" fillId="0" borderId="29" xfId="1" applyFont="1" applyFill="1" applyBorder="1" applyAlignment="1">
      <alignment horizontal="center" vertical="center" wrapText="1"/>
    </xf>
    <xf numFmtId="43" fontId="7" fillId="0" borderId="32" xfId="1" applyFont="1" applyFill="1" applyBorder="1" applyAlignment="1">
      <alignment horizontal="center" vertical="center" wrapText="1"/>
    </xf>
    <xf numFmtId="165" fontId="7" fillId="0" borderId="26" xfId="1" applyNumberFormat="1" applyFont="1" applyFill="1" applyBorder="1" applyAlignment="1">
      <alignment horizontal="center" vertical="center"/>
    </xf>
    <xf numFmtId="43" fontId="7" fillId="0" borderId="32" xfId="1" quotePrefix="1" applyFont="1" applyFill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43" fontId="7" fillId="0" borderId="31" xfId="1" applyFont="1" applyFill="1" applyBorder="1" applyAlignment="1">
      <alignment horizontal="center" vertical="center" wrapText="1"/>
    </xf>
    <xf numFmtId="165" fontId="7" fillId="0" borderId="31" xfId="1" applyNumberFormat="1" applyFont="1" applyFill="1" applyBorder="1" applyAlignment="1">
      <alignment horizontal="center" vertical="center"/>
    </xf>
    <xf numFmtId="43" fontId="0" fillId="0" borderId="0" xfId="1" applyFont="1"/>
    <xf numFmtId="43" fontId="7" fillId="0" borderId="33" xfId="1" applyFont="1" applyBorder="1" applyAlignment="1">
      <alignment horizontal="center" vertical="center"/>
    </xf>
    <xf numFmtId="43" fontId="3" fillId="2" borderId="0" xfId="1" applyFont="1" applyFill="1" applyAlignment="1">
      <alignment vertical="center"/>
    </xf>
    <xf numFmtId="43" fontId="9" fillId="0" borderId="0" xfId="1" applyFont="1" applyAlignment="1">
      <alignment vertical="center"/>
    </xf>
    <xf numFmtId="43" fontId="7" fillId="0" borderId="0" xfId="0" applyNumberFormat="1" applyFont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43" fontId="8" fillId="0" borderId="0" xfId="1" applyFont="1" applyAlignment="1">
      <alignment vertical="center"/>
    </xf>
    <xf numFmtId="43" fontId="9" fillId="0" borderId="0" xfId="1" applyFont="1" applyAlignment="1">
      <alignment horizontal="center" vertical="center"/>
    </xf>
    <xf numFmtId="43" fontId="7" fillId="0" borderId="32" xfId="1" quotePrefix="1" applyFont="1" applyBorder="1" applyAlignment="1">
      <alignment horizontal="center" vertical="center" wrapText="1"/>
    </xf>
    <xf numFmtId="43" fontId="7" fillId="0" borderId="29" xfId="1" applyFont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43" fontId="7" fillId="0" borderId="26" xfId="1" applyFont="1" applyBorder="1" applyAlignment="1">
      <alignment horizontal="left" vertical="center" wrapText="1"/>
    </xf>
    <xf numFmtId="43" fontId="7" fillId="0" borderId="29" xfId="1" applyFont="1" applyBorder="1" applyAlignment="1">
      <alignment horizontal="left" vertical="center" wrapText="1"/>
    </xf>
    <xf numFmtId="17" fontId="7" fillId="0" borderId="0" xfId="0" applyNumberFormat="1" applyFont="1" applyAlignment="1">
      <alignment vertical="center"/>
    </xf>
    <xf numFmtId="43" fontId="7" fillId="0" borderId="31" xfId="1" applyNumberFormat="1" applyFont="1" applyBorder="1" applyAlignment="1">
      <alignment horizontal="center" vertical="center" wrapText="1"/>
    </xf>
    <xf numFmtId="43" fontId="13" fillId="0" borderId="0" xfId="1" applyFont="1"/>
    <xf numFmtId="0" fontId="7" fillId="7" borderId="0" xfId="0" applyFont="1" applyFill="1" applyAlignment="1">
      <alignment vertical="center"/>
    </xf>
    <xf numFmtId="43" fontId="7" fillId="7" borderId="0" xfId="1" applyFont="1" applyFill="1" applyAlignment="1">
      <alignment vertical="center"/>
    </xf>
    <xf numFmtId="0" fontId="7" fillId="0" borderId="38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165" fontId="7" fillId="0" borderId="23" xfId="1" applyNumberFormat="1" applyFont="1" applyBorder="1" applyAlignment="1">
      <alignment horizontal="center" vertical="center"/>
    </xf>
    <xf numFmtId="0" fontId="7" fillId="0" borderId="38" xfId="0" applyFont="1" applyBorder="1" applyAlignment="1">
      <alignment horizontal="left" vertical="center"/>
    </xf>
    <xf numFmtId="43" fontId="3" fillId="0" borderId="9" xfId="1" applyFont="1" applyBorder="1" applyAlignment="1">
      <alignment vertical="center"/>
    </xf>
    <xf numFmtId="43" fontId="7" fillId="0" borderId="3" xfId="1" applyFont="1" applyBorder="1" applyAlignment="1">
      <alignment vertical="center"/>
    </xf>
    <xf numFmtId="43" fontId="7" fillId="0" borderId="5" xfId="1" applyFont="1" applyBorder="1" applyAlignment="1">
      <alignment vertical="center"/>
    </xf>
    <xf numFmtId="43" fontId="7" fillId="0" borderId="8" xfId="1" applyFont="1" applyBorder="1" applyAlignment="1">
      <alignment vertical="center"/>
    </xf>
    <xf numFmtId="0" fontId="7" fillId="0" borderId="18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43" fontId="7" fillId="4" borderId="18" xfId="1" applyFont="1" applyFill="1" applyBorder="1" applyAlignment="1">
      <alignment horizontal="center" vertical="center"/>
    </xf>
    <xf numFmtId="43" fontId="7" fillId="4" borderId="20" xfId="1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43" fontId="7" fillId="4" borderId="15" xfId="1" applyFont="1" applyFill="1" applyBorder="1" applyAlignment="1">
      <alignment horizontal="center" vertical="center"/>
    </xf>
    <xf numFmtId="43" fontId="7" fillId="4" borderId="16" xfId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14" fontId="3" fillId="3" borderId="11" xfId="0" applyNumberFormat="1" applyFont="1" applyFill="1" applyBorder="1" applyAlignment="1">
      <alignment horizontal="left" vertical="center"/>
    </xf>
    <xf numFmtId="14" fontId="3" fillId="3" borderId="12" xfId="0" applyNumberFormat="1" applyFont="1" applyFill="1" applyBorder="1" applyAlignment="1">
      <alignment horizontal="left" vertical="center"/>
    </xf>
    <xf numFmtId="14" fontId="3" fillId="3" borderId="13" xfId="0" applyNumberFormat="1" applyFont="1" applyFill="1" applyBorder="1" applyAlignment="1">
      <alignment horizontal="left" vertical="center"/>
    </xf>
    <xf numFmtId="0" fontId="3" fillId="3" borderId="11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9" fillId="5" borderId="34" xfId="0" applyFont="1" applyFill="1" applyBorder="1" applyAlignment="1">
      <alignment horizontal="left" vertical="center"/>
    </xf>
    <xf numFmtId="0" fontId="9" fillId="5" borderId="35" xfId="0" applyFont="1" applyFill="1" applyBorder="1" applyAlignment="1">
      <alignment horizontal="left" vertical="center"/>
    </xf>
    <xf numFmtId="0" fontId="9" fillId="5" borderId="34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9" fillId="5" borderId="36" xfId="0" applyFont="1" applyFill="1" applyBorder="1" applyAlignment="1">
      <alignment horizontal="center" vertical="center"/>
    </xf>
    <xf numFmtId="43" fontId="7" fillId="0" borderId="22" xfId="0" applyNumberFormat="1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43" fontId="7" fillId="0" borderId="26" xfId="1" applyFont="1" applyBorder="1" applyAlignment="1">
      <alignment horizontal="center" vertical="center"/>
    </xf>
    <xf numFmtId="43" fontId="7" fillId="0" borderId="27" xfId="1" applyFont="1" applyBorder="1" applyAlignment="1">
      <alignment horizontal="center" vertical="center"/>
    </xf>
    <xf numFmtId="43" fontId="7" fillId="0" borderId="28" xfId="1" applyFont="1" applyBorder="1" applyAlignment="1">
      <alignment horizontal="center" vertical="center"/>
    </xf>
    <xf numFmtId="0" fontId="9" fillId="6" borderId="34" xfId="0" applyFont="1" applyFill="1" applyBorder="1" applyAlignment="1">
      <alignment horizontal="center" vertical="center" wrapText="1"/>
    </xf>
    <xf numFmtId="0" fontId="9" fillId="6" borderId="35" xfId="0" applyFont="1" applyFill="1" applyBorder="1" applyAlignment="1">
      <alignment horizontal="center" vertical="center" wrapText="1"/>
    </xf>
    <xf numFmtId="0" fontId="9" fillId="6" borderId="36" xfId="0" applyFont="1" applyFill="1" applyBorder="1" applyAlignment="1">
      <alignment horizontal="center" vertical="center" wrapText="1"/>
    </xf>
    <xf numFmtId="43" fontId="9" fillId="6" borderId="34" xfId="1" applyFont="1" applyFill="1" applyBorder="1" applyAlignment="1">
      <alignment horizontal="center" vertical="center"/>
    </xf>
    <xf numFmtId="43" fontId="9" fillId="6" borderId="35" xfId="1" applyFont="1" applyFill="1" applyBorder="1" applyAlignment="1">
      <alignment horizontal="center" vertical="center"/>
    </xf>
    <xf numFmtId="43" fontId="9" fillId="6" borderId="36" xfId="1" applyFont="1" applyFill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43" fontId="7" fillId="0" borderId="29" xfId="1" applyFont="1" applyBorder="1" applyAlignment="1">
      <alignment horizontal="center" vertical="center"/>
    </xf>
    <xf numFmtId="43" fontId="7" fillId="0" borderId="41" xfId="1" applyFont="1" applyBorder="1" applyAlignment="1">
      <alignment horizontal="center" vertical="center"/>
    </xf>
    <xf numFmtId="43" fontId="7" fillId="0" borderId="30" xfId="1" applyFont="1" applyBorder="1" applyAlignment="1">
      <alignment horizontal="center" vertical="center"/>
    </xf>
    <xf numFmtId="0" fontId="9" fillId="5" borderId="36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43" fontId="7" fillId="0" borderId="23" xfId="1" applyFont="1" applyBorder="1" applyAlignment="1">
      <alignment horizontal="center" vertical="center"/>
    </xf>
    <xf numFmtId="43" fontId="7" fillId="0" borderId="24" xfId="1" applyFont="1" applyBorder="1" applyAlignment="1">
      <alignment horizontal="center" vertical="center"/>
    </xf>
    <xf numFmtId="43" fontId="7" fillId="0" borderId="25" xfId="1" applyFont="1" applyBorder="1" applyAlignment="1">
      <alignment horizontal="center" vertical="center"/>
    </xf>
    <xf numFmtId="43" fontId="7" fillId="0" borderId="32" xfId="1" applyFont="1" applyBorder="1" applyAlignment="1">
      <alignment horizontal="left" vertical="center" wrapText="1"/>
    </xf>
    <xf numFmtId="43" fontId="7" fillId="0" borderId="31" xfId="0" applyNumberFormat="1" applyFont="1" applyBorder="1" applyAlignment="1">
      <alignment horizontal="left" vertical="center" wrapText="1"/>
    </xf>
    <xf numFmtId="43" fontId="9" fillId="6" borderId="22" xfId="1" applyFont="1" applyFill="1" applyBorder="1" applyAlignment="1">
      <alignment horizontal="center" vertical="center"/>
    </xf>
    <xf numFmtId="43" fontId="7" fillId="0" borderId="31" xfId="1" applyFont="1" applyBorder="1" applyAlignment="1">
      <alignment horizontal="center" vertical="center"/>
    </xf>
    <xf numFmtId="43" fontId="9" fillId="5" borderId="34" xfId="1" applyFont="1" applyFill="1" applyBorder="1" applyAlignment="1">
      <alignment horizontal="center" vertical="center"/>
    </xf>
    <xf numFmtId="43" fontId="9" fillId="5" borderId="36" xfId="1" applyFont="1" applyFill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 wrapText="1"/>
    </xf>
    <xf numFmtId="43" fontId="7" fillId="0" borderId="36" xfId="1" applyFont="1" applyBorder="1" applyAlignment="1">
      <alignment horizontal="center" vertical="center"/>
    </xf>
    <xf numFmtId="0" fontId="7" fillId="0" borderId="33" xfId="0" applyFont="1" applyBorder="1" applyAlignment="1">
      <alignment horizontal="left" vertical="center" wrapText="1"/>
    </xf>
    <xf numFmtId="0" fontId="9" fillId="5" borderId="23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43" fontId="9" fillId="5" borderId="23" xfId="1" applyFont="1" applyFill="1" applyBorder="1" applyAlignment="1">
      <alignment horizontal="center" vertical="center"/>
    </xf>
    <xf numFmtId="43" fontId="9" fillId="5" borderId="25" xfId="1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7" fillId="0" borderId="37" xfId="0" applyFont="1" applyBorder="1" applyAlignment="1">
      <alignment horizontal="left" vertical="center" wrapText="1"/>
    </xf>
    <xf numFmtId="43" fontId="7" fillId="0" borderId="38" xfId="1" applyFont="1" applyBorder="1" applyAlignment="1">
      <alignment horizontal="center" vertical="center"/>
    </xf>
    <xf numFmtId="43" fontId="7" fillId="0" borderId="39" xfId="1" applyFont="1" applyBorder="1" applyAlignment="1">
      <alignment horizontal="center" vertical="center"/>
    </xf>
    <xf numFmtId="43" fontId="7" fillId="0" borderId="34" xfId="0" applyNumberFormat="1" applyFont="1" applyBorder="1" applyAlignment="1">
      <alignment horizontal="center" vertical="center"/>
    </xf>
    <xf numFmtId="43" fontId="7" fillId="0" borderId="26" xfId="1" applyFont="1" applyFill="1" applyBorder="1" applyAlignment="1">
      <alignment horizontal="center" vertical="center"/>
    </xf>
    <xf numFmtId="43" fontId="7" fillId="0" borderId="28" xfId="1" applyFont="1" applyFill="1" applyBorder="1" applyAlignment="1">
      <alignment horizontal="center" vertical="center"/>
    </xf>
    <xf numFmtId="0" fontId="7" fillId="0" borderId="29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7" fillId="0" borderId="32" xfId="0" applyFont="1" applyBorder="1" applyAlignment="1">
      <alignment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43" fontId="7" fillId="0" borderId="29" xfId="1" applyFont="1" applyFill="1" applyBorder="1" applyAlignment="1">
      <alignment horizontal="center" vertical="center"/>
    </xf>
    <xf numFmtId="43" fontId="7" fillId="0" borderId="30" xfId="1" applyFont="1" applyFill="1" applyBorder="1" applyAlignment="1">
      <alignment horizontal="center" vertical="center"/>
    </xf>
    <xf numFmtId="43" fontId="7" fillId="0" borderId="32" xfId="1" applyFont="1" applyFill="1" applyBorder="1" applyAlignment="1">
      <alignment horizontal="center" vertical="center"/>
    </xf>
    <xf numFmtId="43" fontId="7" fillId="0" borderId="23" xfId="1" applyFont="1" applyFill="1" applyBorder="1" applyAlignment="1">
      <alignment horizontal="center" vertical="center"/>
    </xf>
    <xf numFmtId="43" fontId="7" fillId="0" borderId="25" xfId="1" applyFont="1" applyFill="1" applyBorder="1" applyAlignment="1">
      <alignment horizontal="center" vertical="center"/>
    </xf>
    <xf numFmtId="165" fontId="7" fillId="0" borderId="23" xfId="1" applyNumberFormat="1" applyFont="1" applyBorder="1" applyAlignment="1">
      <alignment horizontal="center" vertical="center"/>
    </xf>
    <xf numFmtId="165" fontId="7" fillId="0" borderId="25" xfId="1" applyNumberFormat="1" applyFont="1" applyBorder="1" applyAlignment="1">
      <alignment horizontal="center" vertical="center"/>
    </xf>
    <xf numFmtId="43" fontId="7" fillId="0" borderId="32" xfId="1" applyFont="1" applyBorder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Vírgula" xfId="1" builtinId="3"/>
    <cellStyle name="Vírgula 2" xfId="3" xr:uid="{00000000-0005-0000-0000-000003000000}"/>
  </cellStyles>
  <dxfs count="0"/>
  <tableStyles count="0" defaultTableStyle="TableStyleMedium2" defaultPivotStyle="PivotStyleLight16"/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161925</xdr:colOff>
      <xdr:row>0</xdr:row>
      <xdr:rowOff>28575</xdr:rowOff>
    </xdr:from>
    <xdr:to>
      <xdr:col>11</xdr:col>
      <xdr:colOff>0</xdr:colOff>
      <xdr:row>4</xdr:row>
      <xdr:rowOff>95943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0" y="285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0</xdr:row>
      <xdr:rowOff>66675</xdr:rowOff>
    </xdr:from>
    <xdr:to>
      <xdr:col>8</xdr:col>
      <xdr:colOff>381000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132741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12010</xdr:colOff>
      <xdr:row>4</xdr:row>
      <xdr:rowOff>124518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952A8B9-E951-4CBD-A7AC-19436F993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4210" y="66675"/>
          <a:ext cx="960699" cy="7284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32054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281940</xdr:colOff>
      <xdr:row>4</xdr:row>
      <xdr:rowOff>130233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7620</xdr:colOff>
      <xdr:row>4</xdr:row>
      <xdr:rowOff>130233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398145</xdr:colOff>
      <xdr:row>4</xdr:row>
      <xdr:rowOff>130233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9</xdr:col>
      <xdr:colOff>914288</xdr:colOff>
      <xdr:row>4</xdr:row>
      <xdr:rowOff>130233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B5485BA1-2A01-400C-BC32-608A868E4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66675"/>
          <a:ext cx="963818" cy="7284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9</xdr:col>
      <xdr:colOff>898083</xdr:colOff>
      <xdr:row>4</xdr:row>
      <xdr:rowOff>130233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398145</xdr:colOff>
      <xdr:row>4</xdr:row>
      <xdr:rowOff>130233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15240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19050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11430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131445</xdr:colOff>
      <xdr:row>4</xdr:row>
      <xdr:rowOff>130233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36195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590550</xdr:colOff>
      <xdr:row>0</xdr:row>
      <xdr:rowOff>66675</xdr:rowOff>
    </xdr:from>
    <xdr:to>
      <xdr:col>10</xdr:col>
      <xdr:colOff>36195</xdr:colOff>
      <xdr:row>4</xdr:row>
      <xdr:rowOff>134043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15240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9</xdr:col>
      <xdr:colOff>920198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Cost&#227;o%20do%20Santinho%20-%2012.2022\03.%20Custo\03.0%20Custo%20-%20Or&#231;amento%20Param&#233;trico\CTN-CST-STM%20-%20Equipamentos_Prote&#231;&#227;o_Coletiva.xlsx" TargetMode="External"/><Relationship Id="rId1" Type="http://schemas.openxmlformats.org/officeDocument/2006/relationships/externalLinkPath" Target="CTN-CST-STM%20-%20Equipamentos_Prote&#231;&#227;o_Coletiv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Cost&#227;o%20do%20Santinho%20-%2012.2022\03.%20Custo\03.0%20Custo%20-%20Or&#231;amento%20Param&#233;trico\CTN-CST-STM%20-%20Mobili&#225;rio.xlsx" TargetMode="External"/><Relationship Id="rId1" Type="http://schemas.openxmlformats.org/officeDocument/2006/relationships/externalLinkPath" Target="CTN-CST-STM%20-%20Mobili&#225;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ÍTES_MAR"/>
      <sheetName val="MÃO_OBRA"/>
      <sheetName val="EPC's"/>
      <sheetName val="CUSTO_NIVEL_MENDES"/>
      <sheetName val="SEGURO"/>
      <sheetName val="BI_MENDES_GERENCIAMENTO TÉCNICO"/>
      <sheetName val="CANTEIRO"/>
      <sheetName val="ALVENARIA"/>
      <sheetName val="MOV._TERRA"/>
      <sheetName val="CUSTOS_INDIRETOS"/>
    </sheetNames>
    <sheetDataSet>
      <sheetData sheetId="0">
        <row r="10">
          <cell r="D10">
            <v>38429.49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5">
          <cell r="E15">
            <v>39229.649999999994</v>
          </cell>
        </row>
      </sheetData>
      <sheetData sheetId="9">
        <row r="73">
          <cell r="F73">
            <v>16974523.557689428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BILIÁRIO"/>
    </sheetNames>
    <sheetDataSet>
      <sheetData sheetId="0">
        <row r="94">
          <cell r="E94">
            <v>9917876.7000000011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M29"/>
  <sheetViews>
    <sheetView showGridLines="0" topLeftCell="A10" zoomScale="145" zoomScaleNormal="145" zoomScaleSheetLayoutView="95" workbookViewId="0">
      <selection activeCell="E15" sqref="E15:G15"/>
    </sheetView>
  </sheetViews>
  <sheetFormatPr defaultColWidth="9.109375" defaultRowHeight="13.2" x14ac:dyDescent="0.3"/>
  <cols>
    <col min="1" max="1" width="17.44140625" style="11" customWidth="1"/>
    <col min="2" max="2" width="9.88671875" style="11" customWidth="1"/>
    <col min="3" max="3" width="14" style="11" customWidth="1"/>
    <col min="4" max="4" width="12.6640625" style="11" customWidth="1"/>
    <col min="5" max="5" width="8.33203125" style="11" customWidth="1"/>
    <col min="6" max="6" width="9.33203125" style="11" customWidth="1"/>
    <col min="7" max="7" width="7.33203125" style="11" bestFit="1" customWidth="1"/>
    <col min="8" max="8" width="13.5546875" style="11" customWidth="1"/>
    <col min="9" max="9" width="12" style="11" customWidth="1"/>
    <col min="10" max="10" width="7.33203125" style="11" bestFit="1" customWidth="1"/>
    <col min="11" max="11" width="9" style="11" bestFit="1" customWidth="1"/>
    <col min="12" max="16384" width="9.109375" style="1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M1" s="12"/>
    </row>
    <row r="2" spans="1:13" x14ac:dyDescent="0.3">
      <c r="A2" s="157" t="s">
        <v>46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12"/>
    </row>
    <row r="3" spans="1:13" x14ac:dyDescent="0.3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M3" s="12"/>
    </row>
    <row r="4" spans="1:13" x14ac:dyDescent="0.3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M4" s="12"/>
    </row>
    <row r="5" spans="1:13" ht="13.8" thickBot="1" x14ac:dyDescent="0.35">
      <c r="A5" s="2"/>
      <c r="B5" s="2"/>
      <c r="C5" s="2"/>
      <c r="D5" s="3"/>
      <c r="E5" s="3"/>
      <c r="F5" s="3"/>
      <c r="G5" s="3"/>
      <c r="H5" s="3"/>
      <c r="I5" s="3"/>
      <c r="J5" s="3"/>
      <c r="K5" s="3"/>
      <c r="M5" s="12"/>
    </row>
    <row r="6" spans="1:13" x14ac:dyDescent="0.3">
      <c r="A6" s="4"/>
      <c r="B6" s="4"/>
      <c r="C6" s="4"/>
      <c r="D6" s="1"/>
      <c r="E6" s="1"/>
      <c r="F6" s="1"/>
      <c r="G6" s="1"/>
      <c r="H6" s="1"/>
      <c r="I6" s="1"/>
      <c r="J6" s="1"/>
      <c r="K6" s="1"/>
      <c r="M6" s="12"/>
    </row>
    <row r="7" spans="1:13" x14ac:dyDescent="0.3">
      <c r="A7" s="5" t="s">
        <v>0</v>
      </c>
      <c r="B7" s="159"/>
      <c r="C7" s="159"/>
      <c r="D7" s="159"/>
      <c r="E7" s="159"/>
      <c r="F7" s="159"/>
      <c r="G7" s="159"/>
      <c r="H7" s="159"/>
      <c r="I7" s="159"/>
      <c r="J7" s="159"/>
      <c r="K7" s="159"/>
      <c r="M7" s="12"/>
    </row>
    <row r="8" spans="1:13" x14ac:dyDescent="0.3">
      <c r="A8" s="5" t="s">
        <v>1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M8" s="12"/>
    </row>
    <row r="9" spans="1:13" ht="15" customHeight="1" x14ac:dyDescent="0.3">
      <c r="A9" s="5" t="s">
        <v>2</v>
      </c>
      <c r="B9" s="161"/>
      <c r="C9" s="162"/>
      <c r="D9" s="162"/>
      <c r="E9" s="162"/>
      <c r="F9" s="162"/>
      <c r="G9" s="162"/>
      <c r="H9" s="162"/>
      <c r="I9" s="162"/>
      <c r="J9" s="162"/>
      <c r="K9" s="163"/>
      <c r="M9" s="12"/>
    </row>
    <row r="10" spans="1:13" x14ac:dyDescent="0.3">
      <c r="A10" s="7" t="s">
        <v>3</v>
      </c>
      <c r="B10" s="164">
        <v>44874</v>
      </c>
      <c r="C10" s="165"/>
      <c r="D10" s="166"/>
      <c r="E10" s="9" t="s">
        <v>4</v>
      </c>
      <c r="F10" s="8" t="s">
        <v>5</v>
      </c>
      <c r="G10" s="6" t="s">
        <v>6</v>
      </c>
      <c r="H10" s="8" t="s">
        <v>11</v>
      </c>
      <c r="I10" s="6" t="s">
        <v>7</v>
      </c>
      <c r="J10" s="167" t="s">
        <v>8</v>
      </c>
      <c r="K10" s="168"/>
      <c r="M10" s="12"/>
    </row>
    <row r="12" spans="1:13" ht="17.100000000000001" customHeight="1" x14ac:dyDescent="0.3">
      <c r="A12" s="149" t="s">
        <v>35</v>
      </c>
      <c r="B12" s="150"/>
      <c r="C12" s="151"/>
      <c r="D12" s="17" t="s">
        <v>36</v>
      </c>
      <c r="E12" s="149" t="s">
        <v>37</v>
      </c>
      <c r="F12" s="150"/>
      <c r="G12" s="150"/>
      <c r="H12" s="151"/>
    </row>
    <row r="13" spans="1:13" ht="17.100000000000001" customHeight="1" x14ac:dyDescent="0.3">
      <c r="A13" s="152" t="s">
        <v>13</v>
      </c>
      <c r="B13" s="153"/>
      <c r="C13" s="154"/>
      <c r="D13" s="13" t="s">
        <v>26</v>
      </c>
      <c r="E13" s="155">
        <v>26752.720000000001</v>
      </c>
      <c r="F13" s="156"/>
      <c r="G13" s="156"/>
      <c r="H13" s="14" t="s">
        <v>18</v>
      </c>
    </row>
    <row r="14" spans="1:13" ht="17.100000000000001" customHeight="1" x14ac:dyDescent="0.3">
      <c r="A14" s="144" t="s">
        <v>184</v>
      </c>
      <c r="B14" s="145"/>
      <c r="C14" s="146"/>
      <c r="D14" s="15" t="s">
        <v>185</v>
      </c>
      <c r="E14" s="147"/>
      <c r="F14" s="148"/>
      <c r="G14" s="148"/>
      <c r="H14" s="16" t="s">
        <v>20</v>
      </c>
    </row>
    <row r="15" spans="1:13" ht="17.100000000000001" customHeight="1" x14ac:dyDescent="0.3">
      <c r="A15" s="144" t="s">
        <v>17</v>
      </c>
      <c r="B15" s="145"/>
      <c r="C15" s="146"/>
      <c r="D15" s="15" t="s">
        <v>27</v>
      </c>
      <c r="E15" s="147">
        <v>38429.49</v>
      </c>
      <c r="F15" s="148"/>
      <c r="G15" s="148"/>
      <c r="H15" s="16" t="s">
        <v>18</v>
      </c>
      <c r="I15" s="82"/>
    </row>
    <row r="16" spans="1:13" ht="17.100000000000001" customHeight="1" x14ac:dyDescent="0.3">
      <c r="A16" s="144" t="s">
        <v>12</v>
      </c>
      <c r="B16" s="145"/>
      <c r="C16" s="146"/>
      <c r="D16" s="15" t="s">
        <v>28</v>
      </c>
      <c r="E16" s="147">
        <v>7</v>
      </c>
      <c r="F16" s="148"/>
      <c r="G16" s="148"/>
      <c r="H16" s="16" t="s">
        <v>19</v>
      </c>
    </row>
    <row r="17" spans="1:9" ht="17.100000000000001" customHeight="1" x14ac:dyDescent="0.3">
      <c r="A17" s="144" t="s">
        <v>14</v>
      </c>
      <c r="B17" s="145"/>
      <c r="C17" s="146"/>
      <c r="D17" s="15" t="s">
        <v>29</v>
      </c>
      <c r="E17" s="147"/>
      <c r="F17" s="148"/>
      <c r="G17" s="148"/>
      <c r="H17" s="16" t="s">
        <v>19</v>
      </c>
    </row>
    <row r="18" spans="1:9" ht="17.100000000000001" customHeight="1" x14ac:dyDescent="0.3">
      <c r="A18" s="144" t="s">
        <v>189</v>
      </c>
      <c r="B18" s="145"/>
      <c r="C18" s="146"/>
      <c r="D18" s="15" t="s">
        <v>187</v>
      </c>
      <c r="E18" s="147">
        <v>5</v>
      </c>
      <c r="F18" s="148"/>
      <c r="G18" s="148"/>
      <c r="H18" s="16" t="s">
        <v>19</v>
      </c>
    </row>
    <row r="19" spans="1:9" ht="17.100000000000001" customHeight="1" x14ac:dyDescent="0.3">
      <c r="A19" s="144" t="s">
        <v>186</v>
      </c>
      <c r="B19" s="145"/>
      <c r="C19" s="146"/>
      <c r="D19" s="15" t="s">
        <v>190</v>
      </c>
      <c r="E19" s="147">
        <v>0</v>
      </c>
      <c r="F19" s="148"/>
      <c r="G19" s="148"/>
      <c r="H19" s="16" t="s">
        <v>19</v>
      </c>
    </row>
    <row r="20" spans="1:9" ht="17.100000000000001" customHeight="1" x14ac:dyDescent="0.3">
      <c r="A20" s="144" t="s">
        <v>15</v>
      </c>
      <c r="B20" s="145"/>
      <c r="C20" s="146"/>
      <c r="D20" s="15" t="s">
        <v>30</v>
      </c>
      <c r="E20" s="147">
        <v>5889.2</v>
      </c>
      <c r="F20" s="148"/>
      <c r="G20" s="148"/>
      <c r="H20" s="16" t="s">
        <v>18</v>
      </c>
      <c r="I20" s="82"/>
    </row>
    <row r="21" spans="1:9" ht="17.100000000000001" customHeight="1" x14ac:dyDescent="0.3">
      <c r="A21" s="144" t="s">
        <v>16</v>
      </c>
      <c r="B21" s="145"/>
      <c r="C21" s="146"/>
      <c r="D21" s="15" t="s">
        <v>31</v>
      </c>
      <c r="E21" s="147">
        <v>799</v>
      </c>
      <c r="F21" s="148"/>
      <c r="G21" s="148"/>
      <c r="H21" s="16" t="s">
        <v>20</v>
      </c>
    </row>
    <row r="22" spans="1:9" ht="17.100000000000001" customHeight="1" x14ac:dyDescent="0.3">
      <c r="A22" s="144" t="s">
        <v>161</v>
      </c>
      <c r="B22" s="145"/>
      <c r="C22" s="146"/>
      <c r="D22" s="15" t="s">
        <v>162</v>
      </c>
      <c r="E22" s="147">
        <v>9154.7999999999993</v>
      </c>
      <c r="F22" s="148"/>
      <c r="G22" s="148"/>
      <c r="H22" s="16" t="s">
        <v>18</v>
      </c>
    </row>
    <row r="23" spans="1:9" ht="17.100000000000001" customHeight="1" x14ac:dyDescent="0.3">
      <c r="A23" s="144" t="s">
        <v>23</v>
      </c>
      <c r="B23" s="145"/>
      <c r="C23" s="146"/>
      <c r="D23" s="15" t="s">
        <v>32</v>
      </c>
      <c r="E23" s="147">
        <f>E21</f>
        <v>799</v>
      </c>
      <c r="F23" s="148"/>
      <c r="G23" s="148"/>
      <c r="H23" s="16" t="s">
        <v>20</v>
      </c>
    </row>
    <row r="24" spans="1:9" ht="17.100000000000001" customHeight="1" x14ac:dyDescent="0.3">
      <c r="A24" s="144" t="s">
        <v>159</v>
      </c>
      <c r="B24" s="145"/>
      <c r="C24" s="146"/>
      <c r="D24" s="15" t="s">
        <v>160</v>
      </c>
      <c r="E24" s="147">
        <f>6403.42+9154.8+3882.96</f>
        <v>19441.18</v>
      </c>
      <c r="F24" s="148"/>
      <c r="G24" s="148"/>
      <c r="H24" s="16" t="s">
        <v>18</v>
      </c>
    </row>
    <row r="25" spans="1:9" ht="17.100000000000001" customHeight="1" x14ac:dyDescent="0.3">
      <c r="A25" s="144" t="s">
        <v>21</v>
      </c>
      <c r="B25" s="145"/>
      <c r="C25" s="146"/>
      <c r="D25" s="15" t="s">
        <v>33</v>
      </c>
      <c r="E25" s="147">
        <v>6403.42</v>
      </c>
      <c r="F25" s="148"/>
      <c r="G25" s="148"/>
      <c r="H25" s="16" t="s">
        <v>18</v>
      </c>
    </row>
    <row r="26" spans="1:9" ht="17.100000000000001" customHeight="1" x14ac:dyDescent="0.3">
      <c r="A26" s="144" t="s">
        <v>22</v>
      </c>
      <c r="B26" s="145"/>
      <c r="C26" s="146"/>
      <c r="D26" s="15" t="s">
        <v>34</v>
      </c>
      <c r="E26" s="147">
        <v>1</v>
      </c>
      <c r="F26" s="148"/>
      <c r="G26" s="148"/>
      <c r="H26" s="16" t="s">
        <v>19</v>
      </c>
    </row>
    <row r="27" spans="1:9" ht="17.100000000000001" customHeight="1" x14ac:dyDescent="0.3">
      <c r="A27" s="144" t="s">
        <v>177</v>
      </c>
      <c r="B27" s="145"/>
      <c r="C27" s="146"/>
      <c r="D27" s="15" t="s">
        <v>180</v>
      </c>
      <c r="E27" s="147">
        <f>E20</f>
        <v>5889.2</v>
      </c>
      <c r="F27" s="148"/>
      <c r="G27" s="148"/>
      <c r="H27" s="16" t="s">
        <v>18</v>
      </c>
    </row>
    <row r="28" spans="1:9" ht="17.100000000000001" customHeight="1" x14ac:dyDescent="0.3">
      <c r="A28" s="144" t="s">
        <v>176</v>
      </c>
      <c r="B28" s="145"/>
      <c r="C28" s="146"/>
      <c r="D28" s="15" t="s">
        <v>175</v>
      </c>
      <c r="E28" s="147">
        <f>E21</f>
        <v>799</v>
      </c>
      <c r="F28" s="148"/>
      <c r="G28" s="148"/>
      <c r="H28" s="16" t="s">
        <v>20</v>
      </c>
    </row>
    <row r="29" spans="1:9" ht="16.2" customHeight="1" x14ac:dyDescent="0.3">
      <c r="A29" s="144" t="s">
        <v>178</v>
      </c>
      <c r="B29" s="145"/>
      <c r="C29" s="146"/>
      <c r="D29" s="15" t="s">
        <v>179</v>
      </c>
      <c r="E29" s="147">
        <v>3</v>
      </c>
      <c r="F29" s="148"/>
      <c r="G29" s="148"/>
      <c r="H29" s="16" t="s">
        <v>19</v>
      </c>
    </row>
  </sheetData>
  <mergeCells count="42">
    <mergeCell ref="A19:C19"/>
    <mergeCell ref="E19:G19"/>
    <mergeCell ref="A18:C18"/>
    <mergeCell ref="E18:G18"/>
    <mergeCell ref="A25:C25"/>
    <mergeCell ref="E25:G25"/>
    <mergeCell ref="A24:C24"/>
    <mergeCell ref="A22:C22"/>
    <mergeCell ref="E22:G22"/>
    <mergeCell ref="E24:G24"/>
    <mergeCell ref="A20:C20"/>
    <mergeCell ref="A21:C21"/>
    <mergeCell ref="A23:C23"/>
    <mergeCell ref="E23:G23"/>
    <mergeCell ref="E21:G21"/>
    <mergeCell ref="E20:G20"/>
    <mergeCell ref="A2:K4"/>
    <mergeCell ref="B7:K7"/>
    <mergeCell ref="B8:K8"/>
    <mergeCell ref="B9:K9"/>
    <mergeCell ref="B10:D10"/>
    <mergeCell ref="J10:K10"/>
    <mergeCell ref="E12:H12"/>
    <mergeCell ref="A14:C14"/>
    <mergeCell ref="A13:C13"/>
    <mergeCell ref="A12:C12"/>
    <mergeCell ref="E13:G13"/>
    <mergeCell ref="E14:G14"/>
    <mergeCell ref="E26:G26"/>
    <mergeCell ref="A26:C26"/>
    <mergeCell ref="A27:C27"/>
    <mergeCell ref="A29:C29"/>
    <mergeCell ref="E29:G29"/>
    <mergeCell ref="E27:G27"/>
    <mergeCell ref="A28:C28"/>
    <mergeCell ref="E28:G28"/>
    <mergeCell ref="A15:C15"/>
    <mergeCell ref="E17:G17"/>
    <mergeCell ref="E16:G16"/>
    <mergeCell ref="E15:G15"/>
    <mergeCell ref="A16:C16"/>
    <mergeCell ref="A17:C17"/>
  </mergeCells>
  <dataValidations disablePrompts="1" count="1">
    <dataValidation type="list" allowBlank="1" showInputMessage="1" showErrorMessage="1" sqref="J10" xr:uid="{00000000-0002-0000-00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1642"/>
  </sheetPr>
  <dimension ref="A1:K295"/>
  <sheetViews>
    <sheetView showGridLines="0" zoomScaleNormal="100" zoomScaleSheetLayoutView="95" workbookViewId="0">
      <selection activeCell="D18" sqref="D18:H18"/>
    </sheetView>
  </sheetViews>
  <sheetFormatPr defaultColWidth="9.109375" defaultRowHeight="13.2" x14ac:dyDescent="0.3"/>
  <cols>
    <col min="1" max="1" width="17.44140625" style="11" customWidth="1"/>
    <col min="2" max="2" width="9.88671875" style="11" customWidth="1"/>
    <col min="3" max="3" width="8.88671875" style="11" customWidth="1"/>
    <col min="4" max="4" width="10.6640625" style="18" customWidth="1"/>
    <col min="5" max="5" width="13.33203125" style="11" customWidth="1"/>
    <col min="6" max="6" width="12.88671875" style="11" customWidth="1"/>
    <col min="7" max="7" width="9.33203125" style="11" customWidth="1"/>
    <col min="8" max="8" width="7.33203125" style="11" bestFit="1" customWidth="1"/>
    <col min="9" max="9" width="6.44140625" style="11" customWidth="1"/>
    <col min="10" max="16384" width="9.109375" style="11"/>
  </cols>
  <sheetData>
    <row r="1" spans="1:11" x14ac:dyDescent="0.3">
      <c r="A1" s="1"/>
      <c r="B1" s="1"/>
      <c r="C1" s="1"/>
      <c r="D1" s="19"/>
      <c r="E1" s="1"/>
      <c r="F1" s="1"/>
      <c r="G1" s="1"/>
      <c r="H1" s="1"/>
      <c r="I1" s="1"/>
      <c r="K1" s="12"/>
    </row>
    <row r="2" spans="1:11" x14ac:dyDescent="0.3">
      <c r="A2" s="157" t="s">
        <v>47</v>
      </c>
      <c r="B2" s="157"/>
      <c r="C2" s="157"/>
      <c r="D2" s="157"/>
      <c r="E2" s="157"/>
      <c r="F2" s="157"/>
      <c r="G2" s="157"/>
      <c r="H2" s="157"/>
      <c r="I2" s="157"/>
      <c r="K2" s="12"/>
    </row>
    <row r="3" spans="1:11" x14ac:dyDescent="0.3">
      <c r="A3" s="157"/>
      <c r="B3" s="157"/>
      <c r="C3" s="157"/>
      <c r="D3" s="157"/>
      <c r="E3" s="157"/>
      <c r="F3" s="157"/>
      <c r="G3" s="157"/>
      <c r="H3" s="157"/>
      <c r="I3" s="157"/>
      <c r="K3" s="12"/>
    </row>
    <row r="4" spans="1:11" x14ac:dyDescent="0.3">
      <c r="A4" s="157"/>
      <c r="B4" s="157"/>
      <c r="C4" s="157"/>
      <c r="D4" s="157"/>
      <c r="E4" s="157"/>
      <c r="F4" s="157"/>
      <c r="G4" s="157"/>
      <c r="H4" s="157"/>
      <c r="I4" s="157"/>
      <c r="K4" s="12"/>
    </row>
    <row r="5" spans="1:11" ht="13.8" thickBot="1" x14ac:dyDescent="0.35">
      <c r="A5" s="2"/>
      <c r="B5" s="2"/>
      <c r="C5" s="2"/>
      <c r="D5" s="20"/>
      <c r="E5" s="3"/>
      <c r="F5" s="3"/>
      <c r="G5" s="3"/>
      <c r="H5" s="3"/>
      <c r="I5" s="3"/>
      <c r="K5" s="12"/>
    </row>
    <row r="6" spans="1:11" x14ac:dyDescent="0.3">
      <c r="A6" s="4"/>
      <c r="B6" s="4"/>
      <c r="C6" s="4"/>
      <c r="D6" s="19"/>
      <c r="E6" s="1"/>
      <c r="F6" s="1"/>
      <c r="G6" s="1"/>
      <c r="H6" s="1"/>
      <c r="I6" s="1"/>
      <c r="K6" s="12"/>
    </row>
    <row r="7" spans="1:11" x14ac:dyDescent="0.3">
      <c r="A7" s="5" t="s">
        <v>0</v>
      </c>
      <c r="B7" s="159" t="s">
        <v>182</v>
      </c>
      <c r="C7" s="159"/>
      <c r="D7" s="159"/>
      <c r="E7" s="159"/>
      <c r="F7" s="159"/>
      <c r="G7" s="159"/>
      <c r="H7" s="159"/>
      <c r="I7" s="159"/>
      <c r="K7" s="12"/>
    </row>
    <row r="8" spans="1:11" x14ac:dyDescent="0.3">
      <c r="A8" s="5" t="s">
        <v>1</v>
      </c>
      <c r="B8" s="160" t="s">
        <v>165</v>
      </c>
      <c r="C8" s="160"/>
      <c r="D8" s="160"/>
      <c r="E8" s="160"/>
      <c r="F8" s="160"/>
      <c r="G8" s="160"/>
      <c r="H8" s="160"/>
      <c r="I8" s="160"/>
      <c r="K8" s="12"/>
    </row>
    <row r="9" spans="1:11" ht="15" customHeight="1" x14ac:dyDescent="0.3">
      <c r="A9" s="5" t="s">
        <v>2</v>
      </c>
      <c r="B9" s="161" t="s">
        <v>183</v>
      </c>
      <c r="C9" s="162"/>
      <c r="D9" s="163"/>
      <c r="E9" s="9" t="s">
        <v>10</v>
      </c>
      <c r="F9" s="47" t="s">
        <v>9</v>
      </c>
      <c r="G9" s="6" t="s">
        <v>6</v>
      </c>
      <c r="H9" s="160" t="s">
        <v>44</v>
      </c>
      <c r="I9" s="160"/>
    </row>
    <row r="10" spans="1:11" x14ac:dyDescent="0.3">
      <c r="A10" s="7" t="s">
        <v>3</v>
      </c>
      <c r="B10" s="164">
        <v>44294</v>
      </c>
      <c r="C10" s="165"/>
      <c r="D10" s="166"/>
      <c r="E10" s="9" t="s">
        <v>4</v>
      </c>
      <c r="F10" s="8" t="s">
        <v>5</v>
      </c>
      <c r="G10" s="6" t="s">
        <v>41</v>
      </c>
      <c r="H10" s="167" t="s">
        <v>8</v>
      </c>
      <c r="I10" s="168"/>
    </row>
    <row r="12" spans="1:11" ht="14.1" customHeight="1" x14ac:dyDescent="0.3">
      <c r="A12" s="21" t="s">
        <v>151</v>
      </c>
      <c r="B12" s="22"/>
      <c r="C12" s="22"/>
      <c r="D12" s="23"/>
      <c r="E12" s="22"/>
      <c r="F12" s="22"/>
      <c r="G12" s="22"/>
      <c r="H12" s="22"/>
      <c r="I12" s="24"/>
    </row>
    <row r="13" spans="1:11" ht="14.1" customHeight="1" x14ac:dyDescent="0.3">
      <c r="A13" s="25"/>
      <c r="B13" s="26"/>
      <c r="C13" s="26"/>
      <c r="D13" s="26"/>
      <c r="E13" s="26"/>
      <c r="F13" s="26"/>
      <c r="I13" s="27"/>
    </row>
    <row r="14" spans="1:11" ht="15.9" customHeight="1" x14ac:dyDescent="0.3">
      <c r="A14" s="169" t="s">
        <v>35</v>
      </c>
      <c r="B14" s="170"/>
      <c r="C14" s="195"/>
      <c r="D14" s="171" t="s">
        <v>39</v>
      </c>
      <c r="E14" s="172"/>
      <c r="F14" s="172"/>
      <c r="G14" s="172"/>
      <c r="H14" s="173"/>
      <c r="I14" s="27"/>
    </row>
    <row r="15" spans="1:11" s="34" customFormat="1" ht="15.9" customHeight="1" x14ac:dyDescent="0.3">
      <c r="A15" s="189" t="str">
        <f>+'Movimentação de Terra'!A19</f>
        <v>REBAIXAMENTO DE LENÇOL</v>
      </c>
      <c r="B15" s="190"/>
      <c r="C15" s="191"/>
      <c r="D15" s="176">
        <f>+'Movimentação de Terra'!I23</f>
        <v>288000</v>
      </c>
      <c r="E15" s="177"/>
      <c r="F15" s="177"/>
      <c r="G15" s="177"/>
      <c r="H15" s="178"/>
      <c r="I15" s="10"/>
    </row>
    <row r="16" spans="1:11" ht="15.9" customHeight="1" x14ac:dyDescent="0.3">
      <c r="A16" s="189" t="str">
        <f>+'Movimentação de Terra'!A34</f>
        <v>ESCAVAÇÃO E REATERRO DE VALAS</v>
      </c>
      <c r="B16" s="190"/>
      <c r="C16" s="191"/>
      <c r="D16" s="176">
        <f>+'Movimentação de Terra'!I40</f>
        <v>431466.40682059864</v>
      </c>
      <c r="E16" s="177"/>
      <c r="F16" s="177"/>
      <c r="G16" s="177"/>
      <c r="H16" s="178"/>
      <c r="I16" s="35"/>
    </row>
    <row r="17" spans="1:9" ht="32.25" customHeight="1" x14ac:dyDescent="0.3">
      <c r="A17" s="189" t="str">
        <f>+'Movimentação de Terra'!A43</f>
        <v>REGULARIZAÇÃO E APILOAmENTO DE FUNDO DE VALAS</v>
      </c>
      <c r="B17" s="190"/>
      <c r="C17" s="191"/>
      <c r="D17" s="192">
        <f>+'Movimentação de Terra'!I47</f>
        <v>84805</v>
      </c>
      <c r="E17" s="193"/>
      <c r="F17" s="193"/>
      <c r="G17" s="193"/>
      <c r="H17" s="194"/>
      <c r="I17" s="35"/>
    </row>
    <row r="18" spans="1:9" ht="15.9" customHeight="1" x14ac:dyDescent="0.3">
      <c r="A18" s="179" t="s">
        <v>43</v>
      </c>
      <c r="B18" s="180"/>
      <c r="C18" s="181"/>
      <c r="D18" s="182">
        <f>SUM(D15:H17)</f>
        <v>804271.40682059864</v>
      </c>
      <c r="E18" s="183"/>
      <c r="F18" s="183"/>
      <c r="G18" s="183"/>
      <c r="H18" s="184"/>
      <c r="I18" s="35"/>
    </row>
    <row r="19" spans="1:9" ht="15" customHeight="1" x14ac:dyDescent="0.3">
      <c r="A19" s="187"/>
      <c r="B19" s="188"/>
      <c r="C19" s="188"/>
      <c r="D19" s="188"/>
      <c r="E19" s="188"/>
      <c r="F19" s="188"/>
      <c r="G19" s="37"/>
      <c r="H19" s="37"/>
      <c r="I19" s="39"/>
    </row>
    <row r="20" spans="1:9" x14ac:dyDescent="0.3">
      <c r="D20" s="40"/>
    </row>
    <row r="22" spans="1:9" x14ac:dyDescent="0.3">
      <c r="A22" s="21" t="s">
        <v>152</v>
      </c>
      <c r="B22" s="22"/>
      <c r="C22" s="22"/>
      <c r="D22" s="41"/>
      <c r="E22" s="22"/>
      <c r="F22" s="22"/>
      <c r="G22" s="22"/>
      <c r="H22" s="22"/>
      <c r="I22" s="24"/>
    </row>
    <row r="23" spans="1:9" x14ac:dyDescent="0.3">
      <c r="A23" s="42"/>
      <c r="D23" s="40"/>
      <c r="I23" s="27"/>
    </row>
    <row r="24" spans="1:9" x14ac:dyDescent="0.3">
      <c r="A24" s="169" t="s">
        <v>35</v>
      </c>
      <c r="B24" s="170"/>
      <c r="C24" s="170"/>
      <c r="D24" s="171" t="s">
        <v>39</v>
      </c>
      <c r="E24" s="172"/>
      <c r="F24" s="172"/>
      <c r="G24" s="172"/>
      <c r="H24" s="173"/>
      <c r="I24" s="27"/>
    </row>
    <row r="25" spans="1:9" ht="15.9" customHeight="1" x14ac:dyDescent="0.3">
      <c r="A25" s="203" t="str">
        <f>+Infraestrutura!A12</f>
        <v>FUNDAÇÃO PROFUNDA</v>
      </c>
      <c r="B25" s="186"/>
      <c r="C25" s="186"/>
      <c r="D25" s="199">
        <f>+Infraestrutura!I24</f>
        <v>5471870</v>
      </c>
      <c r="E25" s="200"/>
      <c r="F25" s="200"/>
      <c r="G25" s="200"/>
      <c r="H25" s="201"/>
      <c r="I25" s="27"/>
    </row>
    <row r="26" spans="1:9" ht="15.9" customHeight="1" x14ac:dyDescent="0.3">
      <c r="A26" s="202" t="str">
        <f>+Infraestrutura!A27</f>
        <v>FUNDAÇÃO RASA</v>
      </c>
      <c r="B26" s="202"/>
      <c r="C26" s="202"/>
      <c r="D26" s="176">
        <f>+Infraestrutura!I34</f>
        <v>3875093.6</v>
      </c>
      <c r="E26" s="177"/>
      <c r="F26" s="177"/>
      <c r="G26" s="177"/>
      <c r="H26" s="178"/>
      <c r="I26" s="27"/>
    </row>
    <row r="27" spans="1:9" ht="15.9" customHeight="1" x14ac:dyDescent="0.3">
      <c r="A27" s="202" t="s">
        <v>194</v>
      </c>
      <c r="B27" s="202"/>
      <c r="C27" s="202"/>
      <c r="D27" s="176" t="e">
        <f>Infraestrutura!#REF!</f>
        <v>#REF!</v>
      </c>
      <c r="E27" s="177"/>
      <c r="F27" s="177"/>
      <c r="G27" s="177"/>
      <c r="H27" s="178"/>
      <c r="I27" s="27"/>
    </row>
    <row r="28" spans="1:9" ht="15.9" customHeight="1" x14ac:dyDescent="0.3">
      <c r="A28" s="179" t="s">
        <v>43</v>
      </c>
      <c r="B28" s="180"/>
      <c r="C28" s="181"/>
      <c r="D28" s="182" t="e">
        <f>SUM(D25:H27)</f>
        <v>#REF!</v>
      </c>
      <c r="E28" s="183"/>
      <c r="F28" s="183"/>
      <c r="G28" s="183"/>
      <c r="H28" s="184"/>
      <c r="I28" s="27"/>
    </row>
    <row r="29" spans="1:9" x14ac:dyDescent="0.3">
      <c r="A29" s="43"/>
      <c r="B29" s="37"/>
      <c r="C29" s="37"/>
      <c r="D29" s="44"/>
      <c r="E29" s="37"/>
      <c r="F29" s="37"/>
      <c r="G29" s="37"/>
      <c r="H29" s="37"/>
      <c r="I29" s="39"/>
    </row>
    <row r="31" spans="1:9" x14ac:dyDescent="0.3">
      <c r="A31" s="21" t="s">
        <v>75</v>
      </c>
      <c r="B31" s="22"/>
      <c r="C31" s="22"/>
      <c r="D31" s="41"/>
      <c r="E31" s="22"/>
      <c r="F31" s="22"/>
      <c r="G31" s="22"/>
      <c r="H31" s="22"/>
      <c r="I31" s="24"/>
    </row>
    <row r="32" spans="1:9" x14ac:dyDescent="0.3">
      <c r="A32" s="42"/>
      <c r="D32" s="40"/>
      <c r="I32" s="27"/>
    </row>
    <row r="33" spans="1:9" x14ac:dyDescent="0.3">
      <c r="A33" s="169" t="s">
        <v>35</v>
      </c>
      <c r="B33" s="170"/>
      <c r="C33" s="170"/>
      <c r="D33" s="171" t="s">
        <v>39</v>
      </c>
      <c r="E33" s="172"/>
      <c r="F33" s="172"/>
      <c r="G33" s="172"/>
      <c r="H33" s="173"/>
      <c r="I33" s="27"/>
    </row>
    <row r="34" spans="1:9" ht="15.9" customHeight="1" x14ac:dyDescent="0.3">
      <c r="A34" s="185" t="str">
        <f>+Supraestrutura!A12</f>
        <v>SUPRAESTRUTURA</v>
      </c>
      <c r="B34" s="185"/>
      <c r="C34" s="185"/>
      <c r="D34" s="199">
        <f>+Supraestrutura!I21</f>
        <v>19474233.7575</v>
      </c>
      <c r="E34" s="200"/>
      <c r="F34" s="200"/>
      <c r="G34" s="200"/>
      <c r="H34" s="201"/>
      <c r="I34" s="27"/>
    </row>
    <row r="35" spans="1:9" ht="15.9" customHeight="1" x14ac:dyDescent="0.3">
      <c r="A35" s="179" t="s">
        <v>43</v>
      </c>
      <c r="B35" s="180"/>
      <c r="C35" s="181"/>
      <c r="D35" s="182">
        <f>SUM(D34:H34)</f>
        <v>19474233.7575</v>
      </c>
      <c r="E35" s="183"/>
      <c r="F35" s="183"/>
      <c r="G35" s="183"/>
      <c r="H35" s="184"/>
      <c r="I35" s="27"/>
    </row>
    <row r="36" spans="1:9" x14ac:dyDescent="0.3">
      <c r="A36" s="43"/>
      <c r="B36" s="37"/>
      <c r="C36" s="37"/>
      <c r="D36" s="44"/>
      <c r="E36" s="37"/>
      <c r="F36" s="37"/>
      <c r="G36" s="37"/>
      <c r="H36" s="37"/>
      <c r="I36" s="39"/>
    </row>
    <row r="38" spans="1:9" x14ac:dyDescent="0.3">
      <c r="A38" s="21" t="s">
        <v>81</v>
      </c>
      <c r="B38" s="22"/>
      <c r="C38" s="22"/>
      <c r="D38" s="41"/>
      <c r="E38" s="22"/>
      <c r="F38" s="22"/>
      <c r="G38" s="22"/>
      <c r="H38" s="22"/>
      <c r="I38" s="24"/>
    </row>
    <row r="39" spans="1:9" x14ac:dyDescent="0.3">
      <c r="A39" s="42"/>
      <c r="D39" s="40"/>
      <c r="I39" s="27"/>
    </row>
    <row r="40" spans="1:9" x14ac:dyDescent="0.3">
      <c r="A40" s="169" t="s">
        <v>35</v>
      </c>
      <c r="B40" s="170"/>
      <c r="C40" s="170"/>
      <c r="D40" s="171" t="s">
        <v>39</v>
      </c>
      <c r="E40" s="172"/>
      <c r="F40" s="172"/>
      <c r="G40" s="172"/>
      <c r="H40" s="173"/>
      <c r="I40" s="27"/>
    </row>
    <row r="41" spans="1:9" ht="15.9" customHeight="1" x14ac:dyDescent="0.3">
      <c r="A41" s="175" t="str">
        <f>+Alvenaria!A12</f>
        <v>ALVENARIA</v>
      </c>
      <c r="B41" s="175"/>
      <c r="C41" s="175"/>
      <c r="D41" s="176">
        <f>+Alvenaria!I24</f>
        <v>3251138.7102499995</v>
      </c>
      <c r="E41" s="177"/>
      <c r="F41" s="177"/>
      <c r="G41" s="177"/>
      <c r="H41" s="178"/>
      <c r="I41" s="27"/>
    </row>
    <row r="42" spans="1:9" ht="15.9" customHeight="1" x14ac:dyDescent="0.3">
      <c r="A42" s="179" t="s">
        <v>43</v>
      </c>
      <c r="B42" s="180"/>
      <c r="C42" s="181"/>
      <c r="D42" s="182">
        <f>SUM(D41)</f>
        <v>3251138.7102499995</v>
      </c>
      <c r="E42" s="183"/>
      <c r="F42" s="183"/>
      <c r="G42" s="183"/>
      <c r="H42" s="184"/>
      <c r="I42" s="27"/>
    </row>
    <row r="43" spans="1:9" ht="15.75" customHeight="1" x14ac:dyDescent="0.3">
      <c r="A43" s="43"/>
      <c r="B43" s="37"/>
      <c r="C43" s="37"/>
      <c r="D43" s="38"/>
      <c r="E43" s="45"/>
      <c r="F43" s="45"/>
      <c r="G43" s="46"/>
      <c r="H43" s="37"/>
      <c r="I43" s="39"/>
    </row>
    <row r="44" spans="1:9" ht="15.75" customHeight="1" x14ac:dyDescent="0.3"/>
    <row r="45" spans="1:9" ht="15.75" customHeight="1" x14ac:dyDescent="0.3">
      <c r="A45" s="21" t="s">
        <v>153</v>
      </c>
      <c r="B45" s="22"/>
      <c r="C45" s="22"/>
      <c r="D45" s="23"/>
      <c r="E45" s="22"/>
      <c r="F45" s="22"/>
      <c r="G45" s="22"/>
      <c r="H45" s="22"/>
      <c r="I45" s="24"/>
    </row>
    <row r="46" spans="1:9" ht="15.75" customHeight="1" x14ac:dyDescent="0.3">
      <c r="A46" s="25"/>
      <c r="B46" s="26"/>
      <c r="C46" s="26"/>
      <c r="D46" s="26"/>
      <c r="E46" s="26"/>
      <c r="F46" s="26"/>
      <c r="I46" s="27"/>
    </row>
    <row r="47" spans="1:9" ht="15.75" customHeight="1" x14ac:dyDescent="0.3">
      <c r="A47" s="169" t="s">
        <v>35</v>
      </c>
      <c r="B47" s="170"/>
      <c r="C47" s="195"/>
      <c r="D47" s="171" t="s">
        <v>39</v>
      </c>
      <c r="E47" s="172"/>
      <c r="F47" s="172"/>
      <c r="G47" s="172"/>
      <c r="H47" s="173"/>
      <c r="I47" s="27"/>
    </row>
    <row r="48" spans="1:9" ht="15.75" customHeight="1" x14ac:dyDescent="0.3">
      <c r="A48" s="196" t="str">
        <f>+Instalações!A12</f>
        <v>INSTALAÇÕES ELÉTRICAS</v>
      </c>
      <c r="B48" s="197"/>
      <c r="C48" s="198"/>
      <c r="D48" s="199">
        <f>+Instalações!I22</f>
        <v>4573109.3099999996</v>
      </c>
      <c r="E48" s="200"/>
      <c r="F48" s="200"/>
      <c r="G48" s="200"/>
      <c r="H48" s="201"/>
      <c r="I48" s="31"/>
    </row>
    <row r="49" spans="1:9" ht="15.75" customHeight="1" x14ac:dyDescent="0.3">
      <c r="A49" s="189" t="str">
        <f>+Instalações!A24</f>
        <v>INSTALAÇÕES HIDRÁULICAS</v>
      </c>
      <c r="B49" s="190"/>
      <c r="C49" s="191"/>
      <c r="D49" s="176">
        <f>+Instalações!I34</f>
        <v>5209551.66</v>
      </c>
      <c r="E49" s="177"/>
      <c r="F49" s="177"/>
      <c r="G49" s="177"/>
      <c r="H49" s="178"/>
      <c r="I49" s="10"/>
    </row>
    <row r="50" spans="1:9" ht="15.75" customHeight="1" x14ac:dyDescent="0.3">
      <c r="A50" s="189" t="str">
        <f>+Instalações!A37</f>
        <v>INSTALAÇÕES PREVENTIVAS E GLP</v>
      </c>
      <c r="B50" s="190"/>
      <c r="C50" s="191"/>
      <c r="D50" s="176">
        <f>+Instalações!I44</f>
        <v>1537179.5999999999</v>
      </c>
      <c r="E50" s="177"/>
      <c r="F50" s="177"/>
      <c r="G50" s="177"/>
      <c r="H50" s="178"/>
      <c r="I50" s="35"/>
    </row>
    <row r="51" spans="1:9" ht="27.75" customHeight="1" x14ac:dyDescent="0.3">
      <c r="A51" s="189" t="e">
        <f>+Instalações!#REF!</f>
        <v>#REF!</v>
      </c>
      <c r="B51" s="190"/>
      <c r="C51" s="191"/>
      <c r="D51" s="192" t="e">
        <f>+Instalações!#REF!</f>
        <v>#REF!</v>
      </c>
      <c r="E51" s="193"/>
      <c r="F51" s="193"/>
      <c r="G51" s="193"/>
      <c r="H51" s="194"/>
      <c r="I51" s="35"/>
    </row>
    <row r="52" spans="1:9" ht="15.75" customHeight="1" x14ac:dyDescent="0.3">
      <c r="A52" s="179" t="s">
        <v>43</v>
      </c>
      <c r="B52" s="180"/>
      <c r="C52" s="181"/>
      <c r="D52" s="182" t="e">
        <f>SUM(D48:H51)</f>
        <v>#REF!</v>
      </c>
      <c r="E52" s="183"/>
      <c r="F52" s="183"/>
      <c r="G52" s="183"/>
      <c r="H52" s="184"/>
      <c r="I52" s="35"/>
    </row>
    <row r="53" spans="1:9" ht="15.75" customHeight="1" x14ac:dyDescent="0.3">
      <c r="A53" s="187"/>
      <c r="B53" s="188"/>
      <c r="C53" s="188"/>
      <c r="D53" s="188"/>
      <c r="E53" s="188"/>
      <c r="F53" s="188"/>
      <c r="G53" s="37"/>
      <c r="H53" s="37"/>
      <c r="I53" s="39"/>
    </row>
    <row r="54" spans="1:9" ht="15.75" customHeight="1" x14ac:dyDescent="0.3"/>
    <row r="55" spans="1:9" ht="15.75" customHeight="1" x14ac:dyDescent="0.3">
      <c r="A55" s="21" t="s">
        <v>105</v>
      </c>
      <c r="B55" s="22"/>
      <c r="C55" s="22"/>
      <c r="D55" s="41"/>
      <c r="E55" s="22"/>
      <c r="F55" s="22"/>
      <c r="G55" s="22"/>
      <c r="H55" s="22"/>
      <c r="I55" s="24"/>
    </row>
    <row r="56" spans="1:9" ht="15.75" customHeight="1" x14ac:dyDescent="0.3">
      <c r="A56" s="42"/>
      <c r="D56" s="40"/>
      <c r="I56" s="27"/>
    </row>
    <row r="57" spans="1:9" ht="15.75" customHeight="1" x14ac:dyDescent="0.3">
      <c r="A57" s="169" t="s">
        <v>35</v>
      </c>
      <c r="B57" s="170"/>
      <c r="C57" s="170"/>
      <c r="D57" s="171" t="s">
        <v>39</v>
      </c>
      <c r="E57" s="172"/>
      <c r="F57" s="172"/>
      <c r="G57" s="172"/>
      <c r="H57" s="173"/>
      <c r="I57" s="27"/>
    </row>
    <row r="58" spans="1:9" ht="15.75" customHeight="1" x14ac:dyDescent="0.3">
      <c r="A58" s="175" t="str">
        <f>+Impermeabilização!A12</f>
        <v>IMPERMEABILIZAÇÃO</v>
      </c>
      <c r="B58" s="175"/>
      <c r="C58" s="175"/>
      <c r="D58" s="176">
        <f>+Impermeabilização!I24</f>
        <v>2473644.0180000002</v>
      </c>
      <c r="E58" s="177"/>
      <c r="F58" s="177"/>
      <c r="G58" s="177"/>
      <c r="H58" s="178"/>
      <c r="I58" s="27"/>
    </row>
    <row r="59" spans="1:9" ht="15.75" customHeight="1" x14ac:dyDescent="0.3">
      <c r="A59" s="179" t="s">
        <v>43</v>
      </c>
      <c r="B59" s="180"/>
      <c r="C59" s="181"/>
      <c r="D59" s="182">
        <f>SUM(D58)</f>
        <v>2473644.0180000002</v>
      </c>
      <c r="E59" s="183"/>
      <c r="F59" s="183"/>
      <c r="G59" s="183"/>
      <c r="H59" s="184"/>
      <c r="I59" s="27"/>
    </row>
    <row r="60" spans="1:9" ht="15.75" customHeight="1" x14ac:dyDescent="0.3">
      <c r="A60" s="43"/>
      <c r="B60" s="37"/>
      <c r="C60" s="37"/>
      <c r="D60" s="38"/>
      <c r="E60" s="45"/>
      <c r="F60" s="45"/>
      <c r="G60" s="46"/>
      <c r="H60" s="37"/>
      <c r="I60" s="39"/>
    </row>
    <row r="61" spans="1:9" ht="15.75" customHeight="1" x14ac:dyDescent="0.3"/>
    <row r="62" spans="1:9" ht="15.75" customHeight="1" x14ac:dyDescent="0.3">
      <c r="A62" s="21" t="s">
        <v>154</v>
      </c>
      <c r="B62" s="22"/>
      <c r="C62" s="22"/>
      <c r="D62" s="41"/>
      <c r="E62" s="22"/>
      <c r="F62" s="22"/>
      <c r="G62" s="22"/>
      <c r="H62" s="22"/>
      <c r="I62" s="24"/>
    </row>
    <row r="63" spans="1:9" ht="15.75" customHeight="1" x14ac:dyDescent="0.3">
      <c r="A63" s="42"/>
      <c r="D63" s="40"/>
      <c r="I63" s="27"/>
    </row>
    <row r="64" spans="1:9" ht="15.75" customHeight="1" x14ac:dyDescent="0.3">
      <c r="A64" s="169" t="s">
        <v>35</v>
      </c>
      <c r="B64" s="170"/>
      <c r="C64" s="170"/>
      <c r="D64" s="171" t="s">
        <v>39</v>
      </c>
      <c r="E64" s="172"/>
      <c r="F64" s="172"/>
      <c r="G64" s="172"/>
      <c r="H64" s="173"/>
      <c r="I64" s="27"/>
    </row>
    <row r="65" spans="1:9" ht="32.25" customHeight="1" x14ac:dyDescent="0.3">
      <c r="A65" s="175" t="str">
        <f>+'Rev. Internos Piso e Parede'!A12</f>
        <v>REVESTIMENTOS INTERNOS EM PISO E PAREDE</v>
      </c>
      <c r="B65" s="175"/>
      <c r="C65" s="175"/>
      <c r="D65" s="176">
        <f>+'Rev. Internos Piso e Parede'!I21</f>
        <v>2943695.3155</v>
      </c>
      <c r="E65" s="177"/>
      <c r="F65" s="177"/>
      <c r="G65" s="177"/>
      <c r="H65" s="178"/>
      <c r="I65" s="27"/>
    </row>
    <row r="66" spans="1:9" ht="15.75" customHeight="1" x14ac:dyDescent="0.3">
      <c r="A66" s="179" t="s">
        <v>43</v>
      </c>
      <c r="B66" s="180"/>
      <c r="C66" s="181"/>
      <c r="D66" s="182">
        <f>SUM(D65)</f>
        <v>2943695.3155</v>
      </c>
      <c r="E66" s="183"/>
      <c r="F66" s="183"/>
      <c r="G66" s="183"/>
      <c r="H66" s="184"/>
      <c r="I66" s="27"/>
    </row>
    <row r="67" spans="1:9" ht="15.75" customHeight="1" x14ac:dyDescent="0.3">
      <c r="A67" s="43"/>
      <c r="B67" s="37"/>
      <c r="C67" s="37"/>
      <c r="D67" s="38"/>
      <c r="E67" s="45"/>
      <c r="F67" s="45"/>
      <c r="G67" s="46"/>
      <c r="H67" s="37"/>
      <c r="I67" s="39"/>
    </row>
    <row r="68" spans="1:9" ht="15.75" customHeight="1" x14ac:dyDescent="0.3"/>
    <row r="69" spans="1:9" ht="15.75" customHeight="1" x14ac:dyDescent="0.3">
      <c r="A69" s="21" t="s">
        <v>155</v>
      </c>
      <c r="B69" s="22"/>
      <c r="C69" s="22"/>
      <c r="D69" s="41"/>
      <c r="E69" s="22"/>
      <c r="F69" s="22"/>
      <c r="G69" s="22"/>
      <c r="H69" s="22"/>
      <c r="I69" s="24"/>
    </row>
    <row r="70" spans="1:9" ht="15.75" customHeight="1" x14ac:dyDescent="0.3">
      <c r="A70" s="42"/>
      <c r="D70" s="40"/>
      <c r="I70" s="27"/>
    </row>
    <row r="71" spans="1:9" ht="15.75" customHeight="1" x14ac:dyDescent="0.3">
      <c r="A71" s="169" t="s">
        <v>35</v>
      </c>
      <c r="B71" s="170"/>
      <c r="C71" s="170"/>
      <c r="D71" s="171" t="s">
        <v>39</v>
      </c>
      <c r="E71" s="172"/>
      <c r="F71" s="172"/>
      <c r="G71" s="172"/>
      <c r="H71" s="173"/>
      <c r="I71" s="27"/>
    </row>
    <row r="72" spans="1:9" ht="15.75" customHeight="1" x14ac:dyDescent="0.3">
      <c r="A72" s="175" t="str">
        <f>+'Acabamentos de Teto'!A12</f>
        <v>ACABAMENTOS DE TETO</v>
      </c>
      <c r="B72" s="175"/>
      <c r="C72" s="175"/>
      <c r="D72" s="176">
        <f>+'Acabamentos de Teto'!I18</f>
        <v>1967566.6841102317</v>
      </c>
      <c r="E72" s="177"/>
      <c r="F72" s="177"/>
      <c r="G72" s="177"/>
      <c r="H72" s="178"/>
      <c r="I72" s="27"/>
    </row>
    <row r="73" spans="1:9" ht="15.75" customHeight="1" x14ac:dyDescent="0.3">
      <c r="A73" s="179" t="s">
        <v>43</v>
      </c>
      <c r="B73" s="180"/>
      <c r="C73" s="181"/>
      <c r="D73" s="182">
        <f>SUM(D72)</f>
        <v>1967566.6841102317</v>
      </c>
      <c r="E73" s="183"/>
      <c r="F73" s="183"/>
      <c r="G73" s="183"/>
      <c r="H73" s="184"/>
      <c r="I73" s="27"/>
    </row>
    <row r="74" spans="1:9" ht="15.75" customHeight="1" x14ac:dyDescent="0.3">
      <c r="A74" s="43"/>
      <c r="B74" s="37"/>
      <c r="C74" s="37"/>
      <c r="D74" s="38"/>
      <c r="E74" s="45"/>
      <c r="F74" s="45"/>
      <c r="G74" s="46"/>
      <c r="H74" s="37"/>
      <c r="I74" s="39"/>
    </row>
    <row r="75" spans="1:9" ht="15.75" customHeight="1" x14ac:dyDescent="0.3"/>
    <row r="76" spans="1:9" ht="15.75" customHeight="1" x14ac:dyDescent="0.3">
      <c r="A76" s="21" t="s">
        <v>128</v>
      </c>
      <c r="B76" s="22"/>
      <c r="C76" s="22"/>
      <c r="D76" s="41"/>
      <c r="E76" s="22"/>
      <c r="F76" s="22"/>
      <c r="G76" s="22"/>
      <c r="H76" s="22"/>
      <c r="I76" s="24"/>
    </row>
    <row r="77" spans="1:9" ht="15.75" customHeight="1" x14ac:dyDescent="0.3">
      <c r="A77" s="42"/>
      <c r="D77" s="40"/>
      <c r="I77" s="27"/>
    </row>
    <row r="78" spans="1:9" ht="15.75" customHeight="1" x14ac:dyDescent="0.3">
      <c r="A78" s="169" t="s">
        <v>35</v>
      </c>
      <c r="B78" s="170"/>
      <c r="C78" s="170"/>
      <c r="D78" s="171" t="s">
        <v>39</v>
      </c>
      <c r="E78" s="172"/>
      <c r="F78" s="172"/>
      <c r="G78" s="172"/>
      <c r="H78" s="173"/>
      <c r="I78" s="27"/>
    </row>
    <row r="79" spans="1:9" ht="15.75" customHeight="1" x14ac:dyDescent="0.3">
      <c r="A79" s="175" t="str">
        <f>+'Acabamentos de Piso e Parede'!A12</f>
        <v>ACABAMENTOS EM PISO E PAREDE</v>
      </c>
      <c r="B79" s="175"/>
      <c r="C79" s="175"/>
      <c r="D79" s="176">
        <f>+'Acabamentos de Piso e Parede'!I27</f>
        <v>4359206.5</v>
      </c>
      <c r="E79" s="177"/>
      <c r="F79" s="177"/>
      <c r="G79" s="177"/>
      <c r="H79" s="178"/>
      <c r="I79" s="27"/>
    </row>
    <row r="80" spans="1:9" ht="15.75" customHeight="1" x14ac:dyDescent="0.3">
      <c r="A80" s="179" t="s">
        <v>43</v>
      </c>
      <c r="B80" s="180"/>
      <c r="C80" s="181"/>
      <c r="D80" s="182">
        <f>SUM(D79)</f>
        <v>4359206.5</v>
      </c>
      <c r="E80" s="183"/>
      <c r="F80" s="183"/>
      <c r="G80" s="183"/>
      <c r="H80" s="184"/>
      <c r="I80" s="27"/>
    </row>
    <row r="81" spans="1:9" ht="15.75" customHeight="1" x14ac:dyDescent="0.3">
      <c r="A81" s="43"/>
      <c r="B81" s="37"/>
      <c r="C81" s="37"/>
      <c r="D81" s="38"/>
      <c r="E81" s="45"/>
      <c r="F81" s="45"/>
      <c r="G81" s="46"/>
      <c r="H81" s="37"/>
      <c r="I81" s="39"/>
    </row>
    <row r="82" spans="1:9" ht="15.75" customHeight="1" x14ac:dyDescent="0.3"/>
    <row r="83" spans="1:9" ht="15.75" customHeight="1" x14ac:dyDescent="0.3">
      <c r="A83" s="21" t="s">
        <v>131</v>
      </c>
      <c r="B83" s="22"/>
      <c r="C83" s="22"/>
      <c r="D83" s="41"/>
      <c r="E83" s="22"/>
      <c r="F83" s="22"/>
      <c r="G83" s="22"/>
      <c r="H83" s="22"/>
      <c r="I83" s="24"/>
    </row>
    <row r="84" spans="1:9" ht="15.75" customHeight="1" x14ac:dyDescent="0.3">
      <c r="A84" s="42"/>
      <c r="D84" s="40"/>
      <c r="I84" s="27"/>
    </row>
    <row r="85" spans="1:9" ht="15.75" customHeight="1" x14ac:dyDescent="0.3">
      <c r="A85" s="169" t="s">
        <v>35</v>
      </c>
      <c r="B85" s="170"/>
      <c r="C85" s="170"/>
      <c r="D85" s="171" t="s">
        <v>39</v>
      </c>
      <c r="E85" s="172"/>
      <c r="F85" s="172"/>
      <c r="G85" s="172"/>
      <c r="H85" s="173"/>
      <c r="I85" s="27"/>
    </row>
    <row r="86" spans="1:9" ht="15.75" customHeight="1" x14ac:dyDescent="0.3">
      <c r="A86" s="175" t="str">
        <f>+'Pintura Interna'!A12</f>
        <v>PINTURA INTERNA</v>
      </c>
      <c r="B86" s="175"/>
      <c r="C86" s="175"/>
      <c r="D86" s="176">
        <f>+'Pintura Interna'!I18</f>
        <v>1371991.1255999999</v>
      </c>
      <c r="E86" s="177"/>
      <c r="F86" s="177"/>
      <c r="G86" s="177"/>
      <c r="H86" s="178"/>
      <c r="I86" s="27"/>
    </row>
    <row r="87" spans="1:9" ht="15.75" customHeight="1" x14ac:dyDescent="0.3">
      <c r="A87" s="179" t="s">
        <v>43</v>
      </c>
      <c r="B87" s="180"/>
      <c r="C87" s="181"/>
      <c r="D87" s="182">
        <f>SUM(D86)</f>
        <v>1371991.1255999999</v>
      </c>
      <c r="E87" s="183"/>
      <c r="F87" s="183"/>
      <c r="G87" s="183"/>
      <c r="H87" s="184"/>
      <c r="I87" s="27"/>
    </row>
    <row r="88" spans="1:9" ht="15.75" customHeight="1" x14ac:dyDescent="0.3">
      <c r="A88" s="43"/>
      <c r="B88" s="37"/>
      <c r="C88" s="37"/>
      <c r="D88" s="38"/>
      <c r="E88" s="45"/>
      <c r="F88" s="45"/>
      <c r="G88" s="46"/>
      <c r="H88" s="37"/>
      <c r="I88" s="39"/>
    </row>
    <row r="89" spans="1:9" ht="15.75" customHeight="1" x14ac:dyDescent="0.3"/>
    <row r="90" spans="1:9" ht="15.75" customHeight="1" x14ac:dyDescent="0.3">
      <c r="A90" s="21" t="s">
        <v>134</v>
      </c>
      <c r="B90" s="22"/>
      <c r="C90" s="22"/>
      <c r="D90" s="41"/>
      <c r="E90" s="22"/>
      <c r="F90" s="22"/>
      <c r="G90" s="22"/>
      <c r="H90" s="22"/>
      <c r="I90" s="24"/>
    </row>
    <row r="91" spans="1:9" ht="15.75" customHeight="1" x14ac:dyDescent="0.3">
      <c r="A91" s="42"/>
      <c r="D91" s="40"/>
      <c r="I91" s="27"/>
    </row>
    <row r="92" spans="1:9" ht="15.75" customHeight="1" x14ac:dyDescent="0.3">
      <c r="A92" s="169" t="s">
        <v>35</v>
      </c>
      <c r="B92" s="170"/>
      <c r="C92" s="170"/>
      <c r="D92" s="171" t="s">
        <v>39</v>
      </c>
      <c r="E92" s="172"/>
      <c r="F92" s="172"/>
      <c r="G92" s="172"/>
      <c r="H92" s="173"/>
      <c r="I92" s="27"/>
    </row>
    <row r="93" spans="1:9" ht="15.75" customHeight="1" x14ac:dyDescent="0.3">
      <c r="A93" s="175" t="str">
        <f>+Esquadrias!A12</f>
        <v>ESQUADRIAS</v>
      </c>
      <c r="B93" s="175"/>
      <c r="C93" s="175"/>
      <c r="D93" s="176">
        <f>+Esquadrias!I24</f>
        <v>12785058.935821598</v>
      </c>
      <c r="E93" s="177"/>
      <c r="F93" s="177"/>
      <c r="G93" s="177"/>
      <c r="H93" s="178"/>
      <c r="I93" s="27"/>
    </row>
    <row r="94" spans="1:9" ht="15.75" customHeight="1" x14ac:dyDescent="0.3">
      <c r="A94" s="179" t="s">
        <v>43</v>
      </c>
      <c r="B94" s="180"/>
      <c r="C94" s="181"/>
      <c r="D94" s="182">
        <f>SUM(D93)</f>
        <v>12785058.935821598</v>
      </c>
      <c r="E94" s="183"/>
      <c r="F94" s="183"/>
      <c r="G94" s="183"/>
      <c r="H94" s="184"/>
      <c r="I94" s="27"/>
    </row>
    <row r="95" spans="1:9" ht="15.75" customHeight="1" x14ac:dyDescent="0.3">
      <c r="A95" s="43"/>
      <c r="B95" s="37"/>
      <c r="C95" s="37"/>
      <c r="D95" s="38"/>
      <c r="E95" s="45"/>
      <c r="F95" s="45"/>
      <c r="G95" s="46"/>
      <c r="H95" s="37"/>
      <c r="I95" s="39"/>
    </row>
    <row r="96" spans="1:9" ht="15.75" customHeight="1" x14ac:dyDescent="0.3"/>
    <row r="97" spans="1:9" ht="15.75" customHeight="1" x14ac:dyDescent="0.3">
      <c r="A97" s="21" t="s">
        <v>156</v>
      </c>
      <c r="B97" s="22"/>
      <c r="C97" s="22"/>
      <c r="D97" s="41"/>
      <c r="E97" s="22"/>
      <c r="F97" s="22"/>
      <c r="G97" s="22"/>
      <c r="H97" s="22"/>
      <c r="I97" s="24"/>
    </row>
    <row r="98" spans="1:9" ht="15.75" customHeight="1" x14ac:dyDescent="0.3">
      <c r="A98" s="42"/>
      <c r="D98" s="40"/>
      <c r="I98" s="27"/>
    </row>
    <row r="99" spans="1:9" ht="15.75" customHeight="1" x14ac:dyDescent="0.3">
      <c r="A99" s="169" t="s">
        <v>35</v>
      </c>
      <c r="B99" s="170"/>
      <c r="C99" s="170"/>
      <c r="D99" s="171" t="s">
        <v>39</v>
      </c>
      <c r="E99" s="172"/>
      <c r="F99" s="172"/>
      <c r="G99" s="172"/>
      <c r="H99" s="173"/>
      <c r="I99" s="27"/>
    </row>
    <row r="100" spans="1:9" ht="15.75" customHeight="1" x14ac:dyDescent="0.3">
      <c r="A100" s="186" t="str">
        <f>+'Rev. Fachada'!A12</f>
        <v>REVESTIMENTOS ARGAMASSADOS</v>
      </c>
      <c r="B100" s="186"/>
      <c r="C100" s="186"/>
      <c r="D100" s="176">
        <f>+'Rev. Fachada'!I16</f>
        <v>1560447</v>
      </c>
      <c r="E100" s="177"/>
      <c r="F100" s="177"/>
      <c r="G100" s="177"/>
      <c r="H100" s="178"/>
      <c r="I100" s="27"/>
    </row>
    <row r="101" spans="1:9" ht="15.75" customHeight="1" x14ac:dyDescent="0.3">
      <c r="A101" s="185" t="str">
        <f>+'Rev. Fachada'!A19</f>
        <v>PINTURA</v>
      </c>
      <c r="B101" s="185"/>
      <c r="C101" s="185"/>
      <c r="D101" s="176">
        <f>+'Rev. Fachada'!I23</f>
        <v>503370</v>
      </c>
      <c r="E101" s="177"/>
      <c r="F101" s="177"/>
      <c r="G101" s="177"/>
      <c r="H101" s="178"/>
      <c r="I101" s="27"/>
    </row>
    <row r="102" spans="1:9" ht="15.75" customHeight="1" x14ac:dyDescent="0.3">
      <c r="A102" s="185" t="str">
        <f>+'Rev. Fachada'!A25</f>
        <v>REVESTIMENTOS ESPECIAIS</v>
      </c>
      <c r="B102" s="185"/>
      <c r="C102" s="185"/>
      <c r="D102" s="176">
        <f>+'Rev. Fachada'!I30</f>
        <v>953370</v>
      </c>
      <c r="E102" s="177"/>
      <c r="F102" s="177"/>
      <c r="G102" s="177"/>
      <c r="H102" s="178"/>
      <c r="I102" s="27"/>
    </row>
    <row r="103" spans="1:9" ht="15.75" customHeight="1" x14ac:dyDescent="0.3">
      <c r="A103" s="179" t="s">
        <v>43</v>
      </c>
      <c r="B103" s="180"/>
      <c r="C103" s="181"/>
      <c r="D103" s="182">
        <f>SUM(D100:H102)</f>
        <v>3017187</v>
      </c>
      <c r="E103" s="183"/>
      <c r="F103" s="183"/>
      <c r="G103" s="183"/>
      <c r="H103" s="184"/>
      <c r="I103" s="27"/>
    </row>
    <row r="104" spans="1:9" ht="15.75" customHeight="1" x14ac:dyDescent="0.3">
      <c r="A104" s="43"/>
      <c r="B104" s="37"/>
      <c r="C104" s="37"/>
      <c r="D104" s="38"/>
      <c r="E104" s="45"/>
      <c r="F104" s="45"/>
      <c r="G104" s="46"/>
      <c r="H104" s="37"/>
      <c r="I104" s="39"/>
    </row>
    <row r="105" spans="1:9" ht="15.75" customHeight="1" x14ac:dyDescent="0.3"/>
    <row r="106" spans="1:9" ht="15.75" customHeight="1" x14ac:dyDescent="0.3">
      <c r="A106" s="21" t="s">
        <v>157</v>
      </c>
      <c r="B106" s="22"/>
      <c r="C106" s="22"/>
      <c r="D106" s="41"/>
      <c r="E106" s="22"/>
      <c r="F106" s="22"/>
      <c r="G106" s="22"/>
      <c r="H106" s="22"/>
      <c r="I106" s="24"/>
    </row>
    <row r="107" spans="1:9" ht="15.75" customHeight="1" x14ac:dyDescent="0.3">
      <c r="A107" s="42"/>
      <c r="D107" s="40"/>
      <c r="I107" s="27"/>
    </row>
    <row r="108" spans="1:9" ht="15.75" customHeight="1" x14ac:dyDescent="0.3">
      <c r="A108" s="169" t="s">
        <v>35</v>
      </c>
      <c r="B108" s="170"/>
      <c r="C108" s="170"/>
      <c r="D108" s="171" t="s">
        <v>39</v>
      </c>
      <c r="E108" s="172"/>
      <c r="F108" s="172"/>
      <c r="G108" s="172"/>
      <c r="H108" s="173"/>
      <c r="I108" s="27"/>
    </row>
    <row r="109" spans="1:9" ht="15.75" customHeight="1" x14ac:dyDescent="0.3">
      <c r="A109" s="174" t="str">
        <f>+Cobertura!A12</f>
        <v>COBERTURA</v>
      </c>
      <c r="B109" s="175"/>
      <c r="C109" s="175"/>
      <c r="D109" s="176">
        <f>+Cobertura!I21</f>
        <v>643331.72399999993</v>
      </c>
      <c r="E109" s="177"/>
      <c r="F109" s="177"/>
      <c r="G109" s="177"/>
      <c r="H109" s="178"/>
      <c r="I109" s="27"/>
    </row>
    <row r="110" spans="1:9" ht="15.75" customHeight="1" x14ac:dyDescent="0.3">
      <c r="A110" s="179" t="s">
        <v>43</v>
      </c>
      <c r="B110" s="180"/>
      <c r="C110" s="181"/>
      <c r="D110" s="182">
        <f>SUM(D109)</f>
        <v>643331.72399999993</v>
      </c>
      <c r="E110" s="183"/>
      <c r="F110" s="183"/>
      <c r="G110" s="183"/>
      <c r="H110" s="184"/>
      <c r="I110" s="27"/>
    </row>
    <row r="111" spans="1:9" ht="15.75" customHeight="1" x14ac:dyDescent="0.3">
      <c r="A111" s="43"/>
      <c r="B111" s="37"/>
      <c r="C111" s="37"/>
      <c r="D111" s="38"/>
      <c r="E111" s="45"/>
      <c r="F111" s="45"/>
      <c r="G111" s="46"/>
      <c r="H111" s="37"/>
      <c r="I111" s="39"/>
    </row>
    <row r="112" spans="1:9" ht="15.75" customHeight="1" x14ac:dyDescent="0.3"/>
    <row r="113" spans="1:9" ht="15.75" customHeight="1" x14ac:dyDescent="0.3">
      <c r="A113" s="21" t="s">
        <v>45</v>
      </c>
      <c r="B113" s="22"/>
      <c r="C113" s="22"/>
      <c r="D113" s="41"/>
      <c r="E113" s="22"/>
      <c r="F113" s="22"/>
      <c r="G113" s="22"/>
      <c r="H113" s="22"/>
      <c r="I113" s="24"/>
    </row>
    <row r="114" spans="1:9" ht="15.75" customHeight="1" x14ac:dyDescent="0.3">
      <c r="A114" s="42"/>
      <c r="D114" s="40"/>
      <c r="I114" s="27"/>
    </row>
    <row r="115" spans="1:9" ht="15.75" customHeight="1" x14ac:dyDescent="0.3">
      <c r="A115" s="169" t="s">
        <v>35</v>
      </c>
      <c r="B115" s="170"/>
      <c r="C115" s="170"/>
      <c r="D115" s="171" t="s">
        <v>39</v>
      </c>
      <c r="E115" s="172"/>
      <c r="F115" s="172"/>
      <c r="G115" s="172"/>
      <c r="H115" s="173"/>
      <c r="I115" s="27"/>
    </row>
    <row r="116" spans="1:9" ht="15.75" customHeight="1" x14ac:dyDescent="0.3">
      <c r="A116" s="174" t="e">
        <f>+#REF!</f>
        <v>#REF!</v>
      </c>
      <c r="B116" s="175"/>
      <c r="C116" s="175"/>
      <c r="D116" s="176" t="e">
        <f>+#REF!</f>
        <v>#REF!</v>
      </c>
      <c r="E116" s="177"/>
      <c r="F116" s="177"/>
      <c r="G116" s="177"/>
      <c r="H116" s="178"/>
      <c r="I116" s="27"/>
    </row>
    <row r="117" spans="1:9" ht="15.75" customHeight="1" x14ac:dyDescent="0.3">
      <c r="A117" s="179" t="s">
        <v>43</v>
      </c>
      <c r="B117" s="180"/>
      <c r="C117" s="181"/>
      <c r="D117" s="182" t="e">
        <f>SUM(D116)</f>
        <v>#REF!</v>
      </c>
      <c r="E117" s="183"/>
      <c r="F117" s="183"/>
      <c r="G117" s="183"/>
      <c r="H117" s="184"/>
      <c r="I117" s="27"/>
    </row>
    <row r="118" spans="1:9" ht="15.75" customHeight="1" x14ac:dyDescent="0.3">
      <c r="A118" s="43"/>
      <c r="B118" s="37"/>
      <c r="C118" s="37"/>
      <c r="D118" s="38"/>
      <c r="E118" s="45"/>
      <c r="F118" s="45"/>
      <c r="G118" s="46"/>
      <c r="H118" s="37"/>
      <c r="I118" s="39"/>
    </row>
    <row r="119" spans="1:9" ht="15.75" customHeight="1" x14ac:dyDescent="0.3"/>
    <row r="120" spans="1:9" ht="15.75" customHeight="1" x14ac:dyDescent="0.3">
      <c r="A120" s="21" t="s">
        <v>146</v>
      </c>
      <c r="B120" s="22"/>
      <c r="C120" s="22"/>
      <c r="D120" s="41"/>
      <c r="E120" s="22"/>
      <c r="F120" s="22"/>
      <c r="G120" s="22"/>
      <c r="H120" s="22"/>
      <c r="I120" s="24"/>
    </row>
    <row r="121" spans="1:9" ht="15.75" customHeight="1" x14ac:dyDescent="0.3">
      <c r="A121" s="42"/>
      <c r="D121" s="40"/>
      <c r="I121" s="27"/>
    </row>
    <row r="122" spans="1:9" ht="15.75" customHeight="1" x14ac:dyDescent="0.3">
      <c r="A122" s="169" t="s">
        <v>35</v>
      </c>
      <c r="B122" s="170"/>
      <c r="C122" s="170"/>
      <c r="D122" s="171" t="s">
        <v>39</v>
      </c>
      <c r="E122" s="172"/>
      <c r="F122" s="172"/>
      <c r="G122" s="172"/>
      <c r="H122" s="173"/>
      <c r="I122" s="27"/>
    </row>
    <row r="123" spans="1:9" ht="15.75" customHeight="1" x14ac:dyDescent="0.3">
      <c r="A123" s="174" t="str">
        <f>+Complementares!A12</f>
        <v>SERVIÇOS COMPLEMENTARES</v>
      </c>
      <c r="B123" s="175"/>
      <c r="C123" s="175"/>
      <c r="D123" s="176">
        <f>+Complementares!I20</f>
        <v>35525991.000000007</v>
      </c>
      <c r="E123" s="177"/>
      <c r="F123" s="177"/>
      <c r="G123" s="177"/>
      <c r="H123" s="178"/>
      <c r="I123" s="27"/>
    </row>
    <row r="124" spans="1:9" ht="15.75" customHeight="1" x14ac:dyDescent="0.3">
      <c r="A124" s="179" t="s">
        <v>43</v>
      </c>
      <c r="B124" s="180"/>
      <c r="C124" s="181"/>
      <c r="D124" s="182">
        <f>SUM(D123)</f>
        <v>35525991.000000007</v>
      </c>
      <c r="E124" s="183"/>
      <c r="F124" s="183"/>
      <c r="G124" s="183"/>
      <c r="H124" s="184"/>
      <c r="I124" s="27"/>
    </row>
    <row r="125" spans="1:9" ht="15.75" customHeight="1" x14ac:dyDescent="0.3">
      <c r="A125" s="43"/>
      <c r="B125" s="37"/>
      <c r="C125" s="37"/>
      <c r="D125" s="38"/>
      <c r="E125" s="45"/>
      <c r="F125" s="45"/>
      <c r="G125" s="46"/>
      <c r="H125" s="37"/>
      <c r="I125" s="39"/>
    </row>
    <row r="126" spans="1:9" ht="15.75" customHeight="1" x14ac:dyDescent="0.3"/>
    <row r="127" spans="1:9" ht="15.75" customHeight="1" x14ac:dyDescent="0.3"/>
    <row r="128" spans="1:9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</sheetData>
  <mergeCells count="117">
    <mergeCell ref="A2:I4"/>
    <mergeCell ref="B7:I7"/>
    <mergeCell ref="B8:I8"/>
    <mergeCell ref="B9:D9"/>
    <mergeCell ref="H9:I9"/>
    <mergeCell ref="B10:D10"/>
    <mergeCell ref="H10:I10"/>
    <mergeCell ref="A19:F19"/>
    <mergeCell ref="A16:C16"/>
    <mergeCell ref="D16:H16"/>
    <mergeCell ref="A17:C17"/>
    <mergeCell ref="D17:H17"/>
    <mergeCell ref="A18:C18"/>
    <mergeCell ref="D18:H18"/>
    <mergeCell ref="A14:C14"/>
    <mergeCell ref="D14:H14"/>
    <mergeCell ref="A15:C15"/>
    <mergeCell ref="D15:H15"/>
    <mergeCell ref="A28:C28"/>
    <mergeCell ref="D28:H28"/>
    <mergeCell ref="A33:C33"/>
    <mergeCell ref="D33:H33"/>
    <mergeCell ref="A34:C34"/>
    <mergeCell ref="D34:H34"/>
    <mergeCell ref="A26:C26"/>
    <mergeCell ref="D26:H26"/>
    <mergeCell ref="A24:C24"/>
    <mergeCell ref="D24:H24"/>
    <mergeCell ref="A25:C25"/>
    <mergeCell ref="D25:H25"/>
    <mergeCell ref="A27:C27"/>
    <mergeCell ref="D27:H27"/>
    <mergeCell ref="A42:C42"/>
    <mergeCell ref="D42:H42"/>
    <mergeCell ref="A47:C47"/>
    <mergeCell ref="D47:H47"/>
    <mergeCell ref="A48:C48"/>
    <mergeCell ref="D48:H48"/>
    <mergeCell ref="A35:C35"/>
    <mergeCell ref="D35:H35"/>
    <mergeCell ref="A40:C40"/>
    <mergeCell ref="D40:H40"/>
    <mergeCell ref="A41:C41"/>
    <mergeCell ref="D41:H41"/>
    <mergeCell ref="A52:C52"/>
    <mergeCell ref="D52:H52"/>
    <mergeCell ref="A53:F53"/>
    <mergeCell ref="A57:C57"/>
    <mergeCell ref="D57:H57"/>
    <mergeCell ref="A58:C58"/>
    <mergeCell ref="D58:H58"/>
    <mergeCell ref="A49:C49"/>
    <mergeCell ref="D49:H49"/>
    <mergeCell ref="A50:C50"/>
    <mergeCell ref="D50:H50"/>
    <mergeCell ref="A51:C51"/>
    <mergeCell ref="D51:H51"/>
    <mergeCell ref="A66:C66"/>
    <mergeCell ref="D66:H66"/>
    <mergeCell ref="A71:C71"/>
    <mergeCell ref="D71:H71"/>
    <mergeCell ref="A72:C72"/>
    <mergeCell ref="D72:H72"/>
    <mergeCell ref="A59:C59"/>
    <mergeCell ref="D59:H59"/>
    <mergeCell ref="A64:C64"/>
    <mergeCell ref="D64:H64"/>
    <mergeCell ref="A65:C65"/>
    <mergeCell ref="D65:H65"/>
    <mergeCell ref="A80:C80"/>
    <mergeCell ref="D80:H80"/>
    <mergeCell ref="A85:C85"/>
    <mergeCell ref="D85:H85"/>
    <mergeCell ref="A86:C86"/>
    <mergeCell ref="D86:H86"/>
    <mergeCell ref="A73:C73"/>
    <mergeCell ref="D73:H73"/>
    <mergeCell ref="A78:C78"/>
    <mergeCell ref="D78:H78"/>
    <mergeCell ref="A79:C79"/>
    <mergeCell ref="D79:H79"/>
    <mergeCell ref="A94:C94"/>
    <mergeCell ref="D94:H94"/>
    <mergeCell ref="A99:C99"/>
    <mergeCell ref="D99:H99"/>
    <mergeCell ref="A100:C100"/>
    <mergeCell ref="D100:H100"/>
    <mergeCell ref="A87:C87"/>
    <mergeCell ref="D87:H87"/>
    <mergeCell ref="A92:C92"/>
    <mergeCell ref="D92:H92"/>
    <mergeCell ref="A93:C93"/>
    <mergeCell ref="D93:H93"/>
    <mergeCell ref="A108:C108"/>
    <mergeCell ref="D108:H108"/>
    <mergeCell ref="A109:C109"/>
    <mergeCell ref="D109:H109"/>
    <mergeCell ref="A110:C110"/>
    <mergeCell ref="D110:H110"/>
    <mergeCell ref="A103:C103"/>
    <mergeCell ref="D103:H103"/>
    <mergeCell ref="A101:C101"/>
    <mergeCell ref="D101:H101"/>
    <mergeCell ref="A102:C102"/>
    <mergeCell ref="D102:H102"/>
    <mergeCell ref="A122:C122"/>
    <mergeCell ref="D122:H122"/>
    <mergeCell ref="A123:C123"/>
    <mergeCell ref="D123:H123"/>
    <mergeCell ref="A124:C124"/>
    <mergeCell ref="D124:H124"/>
    <mergeCell ref="A115:C115"/>
    <mergeCell ref="D115:H115"/>
    <mergeCell ref="A116:C116"/>
    <mergeCell ref="D116:H116"/>
    <mergeCell ref="A117:C117"/>
    <mergeCell ref="D117:H117"/>
  </mergeCells>
  <dataValidations count="1">
    <dataValidation type="list" allowBlank="1" showInputMessage="1" showErrorMessage="1" sqref="H10" xr:uid="{00000000-0002-0000-0100-000000000000}">
      <formula1>$L$1:$L$6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rowBreaks count="1" manualBreakCount="1">
    <brk id="29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3C66"/>
  </sheetPr>
  <dimension ref="A1:M50"/>
  <sheetViews>
    <sheetView showGridLines="0" topLeftCell="A27" zoomScaleNormal="100" zoomScaleSheetLayoutView="95" workbookViewId="0">
      <selection activeCell="F54" sqref="F54"/>
    </sheetView>
  </sheetViews>
  <sheetFormatPr defaultColWidth="9.109375" defaultRowHeight="13.2" x14ac:dyDescent="0.3"/>
  <cols>
    <col min="1" max="1" width="17.44140625" style="11" customWidth="1"/>
    <col min="2" max="2" width="9.88671875" style="11" customWidth="1"/>
    <col min="3" max="3" width="8.88671875" style="11" customWidth="1"/>
    <col min="4" max="4" width="13" style="63" customWidth="1"/>
    <col min="5" max="5" width="7.5546875" style="69" customWidth="1"/>
    <col min="6" max="6" width="13.5546875" style="18" bestFit="1" customWidth="1"/>
    <col min="7" max="7" width="13.33203125" style="11" customWidth="1"/>
    <col min="8" max="8" width="12.88671875" style="11" customWidth="1"/>
    <col min="9" max="9" width="13.109375" style="11" bestFit="1" customWidth="1"/>
    <col min="10" max="10" width="7.33203125" style="11" bestFit="1" customWidth="1"/>
    <col min="11" max="11" width="7.44140625" style="11" bestFit="1" customWidth="1"/>
    <col min="12" max="16384" width="9.109375" style="11"/>
  </cols>
  <sheetData>
    <row r="1" spans="1:13" x14ac:dyDescent="0.3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M1" s="12"/>
    </row>
    <row r="2" spans="1:13" x14ac:dyDescent="0.3">
      <c r="A2" s="157" t="s">
        <v>48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12"/>
    </row>
    <row r="3" spans="1:13" x14ac:dyDescent="0.3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M3" s="12"/>
    </row>
    <row r="4" spans="1:13" x14ac:dyDescent="0.3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M4" s="12"/>
    </row>
    <row r="5" spans="1:13" ht="13.8" thickBot="1" x14ac:dyDescent="0.35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M5" s="12"/>
    </row>
    <row r="6" spans="1:13" x14ac:dyDescent="0.3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M6" s="12"/>
    </row>
    <row r="7" spans="1:13" x14ac:dyDescent="0.3">
      <c r="A7" s="5" t="s">
        <v>0</v>
      </c>
      <c r="B7" s="159" t="s">
        <v>182</v>
      </c>
      <c r="C7" s="159"/>
      <c r="D7" s="159"/>
      <c r="E7" s="159"/>
      <c r="F7" s="159"/>
      <c r="G7" s="159"/>
      <c r="H7" s="159"/>
      <c r="I7" s="159"/>
      <c r="J7" s="159"/>
      <c r="K7" s="159"/>
      <c r="M7" s="12"/>
    </row>
    <row r="8" spans="1:13" x14ac:dyDescent="0.3">
      <c r="A8" s="5" t="s">
        <v>1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M8" s="12"/>
    </row>
    <row r="9" spans="1:13" ht="15" customHeight="1" x14ac:dyDescent="0.3">
      <c r="A9" s="5" t="s">
        <v>2</v>
      </c>
      <c r="B9" s="161" t="s">
        <v>183</v>
      </c>
      <c r="C9" s="162"/>
      <c r="D9" s="162"/>
      <c r="E9" s="162"/>
      <c r="F9" s="162"/>
      <c r="G9" s="162"/>
      <c r="H9" s="163"/>
      <c r="I9" s="6" t="s">
        <v>6</v>
      </c>
      <c r="J9" s="160" t="s">
        <v>44</v>
      </c>
      <c r="K9" s="160"/>
    </row>
    <row r="10" spans="1:13" x14ac:dyDescent="0.3">
      <c r="A10" s="7" t="s">
        <v>3</v>
      </c>
      <c r="B10" s="164">
        <v>44294</v>
      </c>
      <c r="C10" s="165"/>
      <c r="D10" s="165"/>
      <c r="E10" s="165"/>
      <c r="F10" s="166"/>
      <c r="G10" s="9" t="s">
        <v>4</v>
      </c>
      <c r="H10" s="8" t="s">
        <v>5</v>
      </c>
      <c r="I10" s="6" t="s">
        <v>41</v>
      </c>
      <c r="J10" s="167" t="s">
        <v>8</v>
      </c>
      <c r="K10" s="168"/>
    </row>
    <row r="12" spans="1:13" ht="14.1" hidden="1" customHeight="1" x14ac:dyDescent="0.3">
      <c r="A12" s="21" t="s">
        <v>65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3" ht="14.1" hidden="1" customHeight="1" x14ac:dyDescent="0.3">
      <c r="A13" s="25"/>
      <c r="B13" s="26"/>
      <c r="C13" s="26"/>
      <c r="D13" s="60"/>
      <c r="E13" s="68"/>
      <c r="F13" s="26"/>
      <c r="G13" s="26"/>
      <c r="H13" s="26"/>
      <c r="K13" s="27"/>
    </row>
    <row r="14" spans="1:13" ht="15.9" hidden="1" customHeight="1" x14ac:dyDescent="0.3">
      <c r="A14" s="169" t="s">
        <v>35</v>
      </c>
      <c r="B14" s="170"/>
      <c r="C14" s="170"/>
      <c r="D14" s="206" t="s">
        <v>52</v>
      </c>
      <c r="E14" s="207"/>
      <c r="F14" s="171" t="s">
        <v>24</v>
      </c>
      <c r="G14" s="173"/>
      <c r="H14" s="28" t="s">
        <v>40</v>
      </c>
      <c r="I14" s="171" t="s">
        <v>39</v>
      </c>
      <c r="J14" s="173"/>
      <c r="K14" s="27"/>
    </row>
    <row r="15" spans="1:13" ht="15.9" hidden="1" customHeight="1" x14ac:dyDescent="0.3">
      <c r="A15" s="186" t="s">
        <v>50</v>
      </c>
      <c r="B15" s="186"/>
      <c r="C15" s="186"/>
      <c r="D15" s="54">
        <f>+'Dados Gerais'!E25*3.06</f>
        <v>19594.465200000002</v>
      </c>
      <c r="E15" s="55" t="s">
        <v>60</v>
      </c>
      <c r="F15" s="48">
        <v>28.5</v>
      </c>
      <c r="G15" s="29" t="s">
        <v>51</v>
      </c>
      <c r="H15" s="30" t="s">
        <v>53</v>
      </c>
      <c r="I15" s="199">
        <f>+D15*F15</f>
        <v>558442.25820000004</v>
      </c>
      <c r="J15" s="201"/>
      <c r="K15" s="31"/>
    </row>
    <row r="16" spans="1:13" ht="15.9" hidden="1" customHeight="1" x14ac:dyDescent="0.3">
      <c r="A16" s="208" t="s">
        <v>43</v>
      </c>
      <c r="B16" s="208"/>
      <c r="C16" s="208"/>
      <c r="D16" s="208"/>
      <c r="E16" s="208"/>
      <c r="F16" s="208"/>
      <c r="G16" s="208"/>
      <c r="H16" s="208"/>
      <c r="I16" s="204">
        <f>SUM(I15:J15)</f>
        <v>558442.25820000004</v>
      </c>
      <c r="J16" s="204"/>
      <c r="K16" s="35"/>
    </row>
    <row r="17" spans="1:12" ht="15" hidden="1" customHeight="1" x14ac:dyDescent="0.3">
      <c r="A17" s="187"/>
      <c r="B17" s="188"/>
      <c r="C17" s="188"/>
      <c r="D17" s="188"/>
      <c r="E17" s="188"/>
      <c r="F17" s="188"/>
      <c r="G17" s="188"/>
      <c r="H17" s="188"/>
      <c r="I17" s="37"/>
      <c r="J17" s="37"/>
      <c r="K17" s="39"/>
    </row>
    <row r="18" spans="1:12" hidden="1" x14ac:dyDescent="0.3">
      <c r="D18" s="61"/>
      <c r="E18" s="40"/>
      <c r="F18" s="40"/>
    </row>
    <row r="19" spans="1:12" x14ac:dyDescent="0.3">
      <c r="A19" s="21" t="s">
        <v>55</v>
      </c>
      <c r="B19" s="22"/>
      <c r="C19" s="22"/>
      <c r="D19" s="59"/>
      <c r="E19" s="41"/>
      <c r="F19" s="23"/>
      <c r="G19" s="22"/>
      <c r="H19" s="22"/>
      <c r="I19" s="22"/>
      <c r="J19" s="22"/>
      <c r="K19" s="24"/>
    </row>
    <row r="20" spans="1:12" ht="15.9" customHeight="1" x14ac:dyDescent="0.3">
      <c r="A20" s="25"/>
      <c r="B20" s="26"/>
      <c r="C20" s="26"/>
      <c r="D20" s="60"/>
      <c r="E20" s="68"/>
      <c r="F20" s="26"/>
      <c r="G20" s="26"/>
      <c r="H20" s="26"/>
      <c r="K20" s="27"/>
    </row>
    <row r="21" spans="1:12" ht="15.9" customHeight="1" x14ac:dyDescent="0.3">
      <c r="A21" s="169" t="s">
        <v>35</v>
      </c>
      <c r="B21" s="170"/>
      <c r="C21" s="170"/>
      <c r="D21" s="206" t="s">
        <v>52</v>
      </c>
      <c r="E21" s="207"/>
      <c r="F21" s="171" t="s">
        <v>24</v>
      </c>
      <c r="G21" s="173"/>
      <c r="H21" s="28" t="s">
        <v>40</v>
      </c>
      <c r="I21" s="171" t="s">
        <v>39</v>
      </c>
      <c r="J21" s="173"/>
      <c r="K21" s="27"/>
    </row>
    <row r="22" spans="1:12" ht="15.9" customHeight="1" x14ac:dyDescent="0.3">
      <c r="A22" s="186" t="s">
        <v>56</v>
      </c>
      <c r="B22" s="186"/>
      <c r="C22" s="186"/>
      <c r="D22" s="55">
        <v>5</v>
      </c>
      <c r="E22" s="55" t="s">
        <v>42</v>
      </c>
      <c r="F22" s="48">
        <f>9600*6</f>
        <v>57600</v>
      </c>
      <c r="G22" s="29" t="s">
        <v>319</v>
      </c>
      <c r="H22" s="30" t="s">
        <v>168</v>
      </c>
      <c r="I22" s="176">
        <f>F22*D22</f>
        <v>288000</v>
      </c>
      <c r="J22" s="178"/>
      <c r="K22" s="31"/>
      <c r="L22" s="11" t="s">
        <v>322</v>
      </c>
    </row>
    <row r="23" spans="1:12" ht="15.9" customHeight="1" x14ac:dyDescent="0.3">
      <c r="A23" s="208" t="s">
        <v>43</v>
      </c>
      <c r="B23" s="208"/>
      <c r="C23" s="208"/>
      <c r="D23" s="208"/>
      <c r="E23" s="208"/>
      <c r="F23" s="208"/>
      <c r="G23" s="208"/>
      <c r="H23" s="208"/>
      <c r="I23" s="204">
        <f>SUM(I22:J22)</f>
        <v>288000</v>
      </c>
      <c r="J23" s="204"/>
      <c r="K23" s="35"/>
    </row>
    <row r="24" spans="1:12" ht="15.9" customHeight="1" x14ac:dyDescent="0.3">
      <c r="A24" s="187"/>
      <c r="B24" s="188"/>
      <c r="C24" s="188"/>
      <c r="D24" s="188"/>
      <c r="E24" s="188"/>
      <c r="F24" s="188"/>
      <c r="G24" s="188"/>
      <c r="H24" s="188"/>
      <c r="I24" s="37"/>
      <c r="J24" s="37"/>
      <c r="K24" s="39"/>
    </row>
    <row r="25" spans="1:12" x14ac:dyDescent="0.3">
      <c r="D25" s="61"/>
      <c r="E25" s="40"/>
      <c r="F25" s="40"/>
    </row>
    <row r="26" spans="1:12" ht="13.5" customHeight="1" x14ac:dyDescent="0.3">
      <c r="A26" s="21" t="s">
        <v>280</v>
      </c>
      <c r="B26" s="22"/>
      <c r="C26" s="22"/>
      <c r="D26" s="59"/>
      <c r="E26" s="41"/>
      <c r="F26" s="41"/>
      <c r="G26" s="22"/>
      <c r="H26" s="22"/>
      <c r="I26" s="22"/>
      <c r="J26" s="22"/>
      <c r="K26" s="24"/>
    </row>
    <row r="27" spans="1:12" x14ac:dyDescent="0.3">
      <c r="A27" s="42"/>
      <c r="D27" s="61"/>
      <c r="E27" s="40"/>
      <c r="F27" s="40"/>
      <c r="K27" s="27"/>
    </row>
    <row r="28" spans="1:12" ht="15.9" customHeight="1" x14ac:dyDescent="0.3">
      <c r="A28" s="169" t="s">
        <v>35</v>
      </c>
      <c r="B28" s="170"/>
      <c r="C28" s="170"/>
      <c r="D28" s="206" t="s">
        <v>52</v>
      </c>
      <c r="E28" s="207"/>
      <c r="F28" s="171" t="s">
        <v>24</v>
      </c>
      <c r="G28" s="173"/>
      <c r="H28" s="28" t="s">
        <v>40</v>
      </c>
      <c r="I28" s="171" t="s">
        <v>39</v>
      </c>
      <c r="J28" s="173"/>
      <c r="K28" s="27"/>
    </row>
    <row r="29" spans="1:12" ht="25.5" customHeight="1" x14ac:dyDescent="0.3">
      <c r="A29" s="186" t="s">
        <v>281</v>
      </c>
      <c r="B29" s="186"/>
      <c r="C29" s="186"/>
      <c r="D29" s="55">
        <f>[1]MOV._TERRA!$E$15</f>
        <v>39229.649999999994</v>
      </c>
      <c r="E29" s="55" t="s">
        <v>60</v>
      </c>
      <c r="F29" s="48">
        <v>45</v>
      </c>
      <c r="G29" s="29" t="s">
        <v>51</v>
      </c>
      <c r="H29" s="79" t="s">
        <v>168</v>
      </c>
      <c r="I29" s="205">
        <f>F29*D29</f>
        <v>1765334.2499999998</v>
      </c>
      <c r="J29" s="205"/>
      <c r="K29" s="27"/>
    </row>
    <row r="30" spans="1:12" x14ac:dyDescent="0.3">
      <c r="A30" s="185" t="s">
        <v>282</v>
      </c>
      <c r="B30" s="185"/>
      <c r="C30" s="185"/>
      <c r="D30" s="62">
        <f>D29</f>
        <v>39229.649999999994</v>
      </c>
      <c r="E30" s="62" t="s">
        <v>60</v>
      </c>
      <c r="F30" s="49">
        <v>30</v>
      </c>
      <c r="G30" s="32" t="s">
        <v>51</v>
      </c>
      <c r="H30" s="77" t="s">
        <v>168</v>
      </c>
      <c r="I30" s="176">
        <f>F30*D30</f>
        <v>1176889.4999999998</v>
      </c>
      <c r="J30" s="178"/>
      <c r="K30" s="27"/>
    </row>
    <row r="31" spans="1:12" ht="15.9" customHeight="1" x14ac:dyDescent="0.3">
      <c r="A31" s="208" t="s">
        <v>43</v>
      </c>
      <c r="B31" s="208"/>
      <c r="C31" s="208"/>
      <c r="D31" s="208"/>
      <c r="E31" s="208"/>
      <c r="F31" s="208"/>
      <c r="G31" s="208"/>
      <c r="H31" s="208"/>
      <c r="I31" s="204">
        <f>SUM(I29:J30)</f>
        <v>2942223.7499999995</v>
      </c>
      <c r="J31" s="204"/>
      <c r="K31" s="27"/>
    </row>
    <row r="32" spans="1:12" x14ac:dyDescent="0.3">
      <c r="A32" s="43"/>
      <c r="B32" s="37"/>
      <c r="C32" s="37"/>
      <c r="D32" s="45"/>
      <c r="E32" s="38"/>
      <c r="F32" s="44"/>
      <c r="G32" s="37"/>
      <c r="H32" s="37"/>
      <c r="I32" s="37"/>
      <c r="J32" s="37"/>
      <c r="K32" s="39"/>
    </row>
    <row r="33" spans="1:11" x14ac:dyDescent="0.3">
      <c r="A33" s="119"/>
      <c r="D33" s="61"/>
      <c r="E33" s="40"/>
      <c r="K33" s="27"/>
    </row>
    <row r="34" spans="1:11" ht="13.5" customHeight="1" x14ac:dyDescent="0.3">
      <c r="A34" s="21" t="s">
        <v>54</v>
      </c>
      <c r="B34" s="22"/>
      <c r="C34" s="22"/>
      <c r="D34" s="59"/>
      <c r="E34" s="41"/>
      <c r="F34" s="41"/>
      <c r="G34" s="22"/>
      <c r="H34" s="22"/>
      <c r="I34" s="22"/>
      <c r="J34" s="22"/>
      <c r="K34" s="24"/>
    </row>
    <row r="35" spans="1:11" x14ac:dyDescent="0.3">
      <c r="A35" s="42"/>
      <c r="D35" s="61"/>
      <c r="E35" s="40"/>
      <c r="F35" s="40"/>
      <c r="K35" s="27"/>
    </row>
    <row r="36" spans="1:11" ht="15.9" customHeight="1" x14ac:dyDescent="0.3">
      <c r="A36" s="169" t="s">
        <v>35</v>
      </c>
      <c r="B36" s="170"/>
      <c r="C36" s="170"/>
      <c r="D36" s="206" t="s">
        <v>52</v>
      </c>
      <c r="E36" s="207"/>
      <c r="F36" s="171" t="s">
        <v>24</v>
      </c>
      <c r="G36" s="173"/>
      <c r="H36" s="28" t="s">
        <v>40</v>
      </c>
      <c r="I36" s="171" t="s">
        <v>39</v>
      </c>
      <c r="J36" s="173"/>
      <c r="K36" s="27"/>
    </row>
    <row r="37" spans="1:11" ht="25.5" customHeight="1" x14ac:dyDescent="0.3">
      <c r="A37" s="186" t="s">
        <v>57</v>
      </c>
      <c r="B37" s="186"/>
      <c r="C37" s="186"/>
      <c r="D37" s="55">
        <f>'Dados Gerais'!E27*F37</f>
        <v>3827.98</v>
      </c>
      <c r="E37" s="55" t="s">
        <v>42</v>
      </c>
      <c r="F37" s="48">
        <v>0.65</v>
      </c>
      <c r="G37" s="29" t="s">
        <v>284</v>
      </c>
      <c r="H37" s="79" t="s">
        <v>168</v>
      </c>
      <c r="I37" s="205">
        <f>+ROUNDUP((D37*35),0)</f>
        <v>133980</v>
      </c>
      <c r="J37" s="205"/>
      <c r="K37" s="27"/>
    </row>
    <row r="38" spans="1:11" x14ac:dyDescent="0.3">
      <c r="A38" s="185" t="s">
        <v>58</v>
      </c>
      <c r="B38" s="185"/>
      <c r="C38" s="185"/>
      <c r="D38" s="62">
        <f>F38*D37</f>
        <v>765.596</v>
      </c>
      <c r="E38" s="62" t="s">
        <v>42</v>
      </c>
      <c r="F38" s="49">
        <v>0.2</v>
      </c>
      <c r="G38" s="32" t="s">
        <v>284</v>
      </c>
      <c r="H38" s="77" t="s">
        <v>168</v>
      </c>
      <c r="I38" s="176">
        <f>+ROUNDUP((D38*25),0)</f>
        <v>19140</v>
      </c>
      <c r="J38" s="178"/>
      <c r="K38" s="27"/>
    </row>
    <row r="39" spans="1:11" x14ac:dyDescent="0.3">
      <c r="A39" s="185" t="s">
        <v>285</v>
      </c>
      <c r="B39" s="185"/>
      <c r="C39" s="185"/>
      <c r="D39" s="107">
        <f>+Infraestrutura!D23*F39+D37-D38</f>
        <v>9278.2135606866213</v>
      </c>
      <c r="E39" s="70" t="s">
        <v>60</v>
      </c>
      <c r="F39" s="104">
        <v>1</v>
      </c>
      <c r="G39" s="36" t="s">
        <v>170</v>
      </c>
      <c r="H39" s="111" t="s">
        <v>168</v>
      </c>
      <c r="I39" s="192">
        <f>+D39*30</f>
        <v>278346.40682059864</v>
      </c>
      <c r="J39" s="194"/>
      <c r="K39" s="27"/>
    </row>
    <row r="40" spans="1:11" ht="15.9" customHeight="1" x14ac:dyDescent="0.3">
      <c r="A40" s="208" t="s">
        <v>43</v>
      </c>
      <c r="B40" s="208"/>
      <c r="C40" s="208"/>
      <c r="D40" s="208"/>
      <c r="E40" s="208"/>
      <c r="F40" s="208"/>
      <c r="G40" s="208"/>
      <c r="H40" s="208"/>
      <c r="I40" s="204">
        <f>SUM(I37:J39)</f>
        <v>431466.40682059864</v>
      </c>
      <c r="J40" s="204"/>
      <c r="K40" s="27"/>
    </row>
    <row r="41" spans="1:11" x14ac:dyDescent="0.3">
      <c r="A41" s="43"/>
      <c r="B41" s="37"/>
      <c r="C41" s="37"/>
      <c r="D41" s="45"/>
      <c r="E41" s="38"/>
      <c r="F41" s="44"/>
      <c r="G41" s="37"/>
      <c r="H41" s="37"/>
      <c r="I41" s="37"/>
      <c r="J41" s="37"/>
      <c r="K41" s="39"/>
    </row>
    <row r="43" spans="1:11" x14ac:dyDescent="0.3">
      <c r="A43" s="21" t="s">
        <v>181</v>
      </c>
      <c r="B43" s="22"/>
      <c r="C43" s="22"/>
      <c r="D43" s="59"/>
      <c r="E43" s="41"/>
      <c r="F43" s="41"/>
      <c r="G43" s="22"/>
      <c r="H43" s="22"/>
      <c r="I43" s="22"/>
      <c r="J43" s="22"/>
      <c r="K43" s="24"/>
    </row>
    <row r="44" spans="1:11" x14ac:dyDescent="0.3">
      <c r="A44" s="42"/>
      <c r="D44" s="61"/>
      <c r="E44" s="40"/>
      <c r="F44" s="40"/>
      <c r="K44" s="27"/>
    </row>
    <row r="45" spans="1:11" x14ac:dyDescent="0.3">
      <c r="A45" s="169" t="s">
        <v>35</v>
      </c>
      <c r="B45" s="170"/>
      <c r="C45" s="170"/>
      <c r="D45" s="206" t="s">
        <v>52</v>
      </c>
      <c r="E45" s="207"/>
      <c r="F45" s="171" t="s">
        <v>24</v>
      </c>
      <c r="G45" s="173"/>
      <c r="H45" s="28" t="s">
        <v>40</v>
      </c>
      <c r="I45" s="171" t="s">
        <v>39</v>
      </c>
      <c r="J45" s="173"/>
      <c r="K45" s="27"/>
    </row>
    <row r="46" spans="1:11" ht="30.75" customHeight="1" x14ac:dyDescent="0.3">
      <c r="A46" s="186" t="s">
        <v>61</v>
      </c>
      <c r="B46" s="186"/>
      <c r="C46" s="186"/>
      <c r="D46" s="62">
        <f>F46*'Dados Gerais'!E27</f>
        <v>4711.3599999999997</v>
      </c>
      <c r="E46" s="64" t="s">
        <v>18</v>
      </c>
      <c r="F46" s="49">
        <v>0.8</v>
      </c>
      <c r="G46" s="32" t="s">
        <v>166</v>
      </c>
      <c r="H46" s="79" t="s">
        <v>168</v>
      </c>
      <c r="I46" s="192">
        <f>ROUNDUP((D46*18),0)</f>
        <v>84805</v>
      </c>
      <c r="J46" s="209"/>
      <c r="K46" s="27"/>
    </row>
    <row r="47" spans="1:11" ht="15.9" customHeight="1" x14ac:dyDescent="0.3">
      <c r="A47" s="208" t="s">
        <v>43</v>
      </c>
      <c r="B47" s="208"/>
      <c r="C47" s="208"/>
      <c r="D47" s="208"/>
      <c r="E47" s="208"/>
      <c r="F47" s="208"/>
      <c r="G47" s="208"/>
      <c r="H47" s="208"/>
      <c r="I47" s="204">
        <f>SUM(I46:J46)</f>
        <v>84805</v>
      </c>
      <c r="J47" s="204"/>
      <c r="K47" s="27"/>
    </row>
    <row r="48" spans="1:11" x14ac:dyDescent="0.3">
      <c r="A48" s="43"/>
      <c r="B48" s="37"/>
      <c r="C48" s="37"/>
      <c r="D48" s="45"/>
      <c r="E48" s="38"/>
      <c r="F48" s="44"/>
      <c r="G48" s="37"/>
      <c r="H48" s="37"/>
      <c r="I48" s="37"/>
      <c r="J48" s="37"/>
      <c r="K48" s="39"/>
    </row>
    <row r="50" spans="9:10" x14ac:dyDescent="0.3">
      <c r="I50" s="82">
        <f>I47+I40+I23+I31</f>
        <v>3746495.1568205981</v>
      </c>
      <c r="J50" s="11">
        <f>I50/'Dados Gerais'!E15</f>
        <v>97.490108685298665</v>
      </c>
    </row>
  </sheetData>
  <mergeCells count="55">
    <mergeCell ref="I45:J45"/>
    <mergeCell ref="A45:C45"/>
    <mergeCell ref="A46:C46"/>
    <mergeCell ref="J9:K9"/>
    <mergeCell ref="I46:J46"/>
    <mergeCell ref="A37:C37"/>
    <mergeCell ref="I37:J37"/>
    <mergeCell ref="A38:C38"/>
    <mergeCell ref="I38:J38"/>
    <mergeCell ref="A39:C39"/>
    <mergeCell ref="I39:J39"/>
    <mergeCell ref="A36:C36"/>
    <mergeCell ref="F36:G36"/>
    <mergeCell ref="I36:J36"/>
    <mergeCell ref="A17:H17"/>
    <mergeCell ref="A16:H16"/>
    <mergeCell ref="A2:K4"/>
    <mergeCell ref="B7:K7"/>
    <mergeCell ref="B8:K8"/>
    <mergeCell ref="B10:F10"/>
    <mergeCell ref="J10:K10"/>
    <mergeCell ref="B9:H9"/>
    <mergeCell ref="I47:J47"/>
    <mergeCell ref="F14:G14"/>
    <mergeCell ref="I14:J14"/>
    <mergeCell ref="I15:J15"/>
    <mergeCell ref="A40:H40"/>
    <mergeCell ref="I40:J40"/>
    <mergeCell ref="F21:G21"/>
    <mergeCell ref="I21:J21"/>
    <mergeCell ref="A22:C22"/>
    <mergeCell ref="I22:J22"/>
    <mergeCell ref="A23:H23"/>
    <mergeCell ref="I23:J23"/>
    <mergeCell ref="A24:H24"/>
    <mergeCell ref="A15:C15"/>
    <mergeCell ref="D21:E21"/>
    <mergeCell ref="I16:J16"/>
    <mergeCell ref="D36:E36"/>
    <mergeCell ref="D45:E45"/>
    <mergeCell ref="D14:E14"/>
    <mergeCell ref="F45:G45"/>
    <mergeCell ref="A47:H47"/>
    <mergeCell ref="A21:C21"/>
    <mergeCell ref="A14:C14"/>
    <mergeCell ref="A28:C28"/>
    <mergeCell ref="D28:E28"/>
    <mergeCell ref="F28:G28"/>
    <mergeCell ref="A31:H31"/>
    <mergeCell ref="I31:J31"/>
    <mergeCell ref="I28:J28"/>
    <mergeCell ref="A29:C29"/>
    <mergeCell ref="I29:J29"/>
    <mergeCell ref="A30:C30"/>
    <mergeCell ref="I30:J30"/>
  </mergeCells>
  <dataValidations disablePrompts="1" count="1">
    <dataValidation type="list" allowBlank="1" showInputMessage="1" showErrorMessage="1" sqref="J10" xr:uid="{00000000-0002-0000-02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9CD5-3C95-46FE-AC47-57414D5424E4}">
  <sheetPr>
    <tabColor rgb="FF003C66"/>
  </sheetPr>
  <dimension ref="A1:M48"/>
  <sheetViews>
    <sheetView showGridLines="0" view="pageBreakPreview" topLeftCell="A11" zoomScale="115" zoomScaleNormal="100" zoomScaleSheetLayoutView="115" workbookViewId="0">
      <selection activeCell="J30" sqref="J30"/>
    </sheetView>
  </sheetViews>
  <sheetFormatPr defaultColWidth="9.109375" defaultRowHeight="13.2" x14ac:dyDescent="0.3"/>
  <cols>
    <col min="1" max="1" width="17.44140625" style="11" customWidth="1"/>
    <col min="2" max="2" width="21.6640625" style="11" bestFit="1" customWidth="1"/>
    <col min="3" max="3" width="23.33203125" style="11" bestFit="1" customWidth="1"/>
    <col min="4" max="4" width="13" style="63" customWidth="1"/>
    <col min="5" max="5" width="7.5546875" style="69" customWidth="1"/>
    <col min="6" max="6" width="10.6640625" style="18" customWidth="1"/>
    <col min="7" max="7" width="13.33203125" style="11" customWidth="1"/>
    <col min="8" max="8" width="12.88671875" style="11" customWidth="1"/>
    <col min="9" max="9" width="9.33203125" style="11" customWidth="1"/>
    <col min="10" max="10" width="13.109375" style="11" bestFit="1" customWidth="1"/>
    <col min="11" max="11" width="6.44140625" style="11" customWidth="1"/>
    <col min="12" max="16384" width="9.109375" style="11"/>
  </cols>
  <sheetData>
    <row r="1" spans="1:13" x14ac:dyDescent="0.3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M1" s="12"/>
    </row>
    <row r="2" spans="1:13" x14ac:dyDescent="0.3">
      <c r="A2" s="157" t="s">
        <v>307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12"/>
    </row>
    <row r="3" spans="1:13" x14ac:dyDescent="0.3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M3" s="12"/>
    </row>
    <row r="4" spans="1:13" x14ac:dyDescent="0.3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M4" s="12"/>
    </row>
    <row r="5" spans="1:13" ht="13.8" thickBot="1" x14ac:dyDescent="0.35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M5" s="12"/>
    </row>
    <row r="6" spans="1:13" x14ac:dyDescent="0.3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M6" s="12"/>
    </row>
    <row r="7" spans="1:13" x14ac:dyDescent="0.3">
      <c r="A7" s="5" t="s">
        <v>0</v>
      </c>
      <c r="B7" s="159" t="s">
        <v>308</v>
      </c>
      <c r="C7" s="159"/>
      <c r="D7" s="159"/>
      <c r="E7" s="159"/>
      <c r="F7" s="159"/>
      <c r="G7" s="159"/>
      <c r="H7" s="159"/>
      <c r="I7" s="159"/>
      <c r="J7" s="159"/>
      <c r="K7" s="159"/>
      <c r="M7" s="12"/>
    </row>
    <row r="8" spans="1:13" x14ac:dyDescent="0.3">
      <c r="A8" s="5" t="s">
        <v>1</v>
      </c>
      <c r="B8" s="160" t="s">
        <v>309</v>
      </c>
      <c r="C8" s="160"/>
      <c r="D8" s="160"/>
      <c r="E8" s="160"/>
      <c r="F8" s="160"/>
      <c r="G8" s="160"/>
      <c r="H8" s="160"/>
      <c r="I8" s="160"/>
      <c r="J8" s="160"/>
      <c r="K8" s="160"/>
      <c r="M8" s="12"/>
    </row>
    <row r="9" spans="1:13" ht="15" customHeight="1" x14ac:dyDescent="0.3">
      <c r="A9" s="5" t="s">
        <v>2</v>
      </c>
      <c r="B9" s="161" t="s">
        <v>310</v>
      </c>
      <c r="C9" s="162"/>
      <c r="D9" s="162"/>
      <c r="E9" s="162"/>
      <c r="F9" s="163"/>
      <c r="G9" s="9" t="s">
        <v>10</v>
      </c>
      <c r="H9" s="47" t="s">
        <v>49</v>
      </c>
      <c r="I9" s="6" t="s">
        <v>6</v>
      </c>
      <c r="J9" s="160" t="s">
        <v>44</v>
      </c>
      <c r="K9" s="160"/>
    </row>
    <row r="10" spans="1:13" x14ac:dyDescent="0.3">
      <c r="A10" s="7" t="s">
        <v>3</v>
      </c>
      <c r="B10" s="164">
        <v>44160</v>
      </c>
      <c r="C10" s="165"/>
      <c r="D10" s="165"/>
      <c r="E10" s="165"/>
      <c r="F10" s="166"/>
      <c r="G10" s="9" t="s">
        <v>4</v>
      </c>
      <c r="H10" s="8" t="s">
        <v>311</v>
      </c>
      <c r="I10" s="6" t="s">
        <v>41</v>
      </c>
      <c r="J10" s="167" t="s">
        <v>8</v>
      </c>
      <c r="K10" s="168"/>
    </row>
    <row r="12" spans="1:13" ht="14.1" customHeight="1" x14ac:dyDescent="0.3">
      <c r="A12" s="21" t="s">
        <v>312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3" ht="14.1" customHeight="1" x14ac:dyDescent="0.3">
      <c r="A13" s="25"/>
      <c r="B13" s="26"/>
      <c r="C13" s="26"/>
      <c r="D13" s="60"/>
      <c r="E13" s="68"/>
      <c r="F13" s="26"/>
      <c r="G13" s="26"/>
      <c r="H13" s="26"/>
      <c r="K13" s="27"/>
    </row>
    <row r="14" spans="1:13" ht="15.9" customHeight="1" x14ac:dyDescent="0.3">
      <c r="A14" s="211" t="s">
        <v>35</v>
      </c>
      <c r="B14" s="212"/>
      <c r="C14" s="212"/>
      <c r="D14" s="213" t="s">
        <v>52</v>
      </c>
      <c r="E14" s="214"/>
      <c r="F14" s="215" t="s">
        <v>24</v>
      </c>
      <c r="G14" s="216"/>
      <c r="H14" s="124" t="s">
        <v>40</v>
      </c>
      <c r="I14" s="215" t="s">
        <v>39</v>
      </c>
      <c r="J14" s="216"/>
      <c r="K14" s="27"/>
    </row>
    <row r="15" spans="1:13" ht="15.9" customHeight="1" x14ac:dyDescent="0.3">
      <c r="A15" s="185" t="s">
        <v>62</v>
      </c>
      <c r="B15" s="185"/>
      <c r="C15" s="185"/>
      <c r="D15" s="125">
        <f>+F15*D16</f>
        <v>10239.019999999999</v>
      </c>
      <c r="E15" s="62" t="s">
        <v>66</v>
      </c>
      <c r="F15" s="49">
        <v>110</v>
      </c>
      <c r="G15" s="32" t="s">
        <v>313</v>
      </c>
      <c r="H15" s="33" t="s">
        <v>42</v>
      </c>
      <c r="I15" s="176">
        <f>+D15*8</f>
        <v>81912.159999999989</v>
      </c>
      <c r="J15" s="178"/>
      <c r="K15" s="31"/>
    </row>
    <row r="16" spans="1:13" ht="15.9" customHeight="1" x14ac:dyDescent="0.3">
      <c r="A16" s="185" t="s">
        <v>63</v>
      </c>
      <c r="B16" s="185"/>
      <c r="C16" s="185"/>
      <c r="D16" s="125">
        <f>(B37*1*0.2)</f>
        <v>93.081999999999994</v>
      </c>
      <c r="E16" s="62" t="s">
        <v>60</v>
      </c>
      <c r="F16" s="49">
        <v>490</v>
      </c>
      <c r="G16" s="32" t="s">
        <v>51</v>
      </c>
      <c r="H16" s="33" t="s">
        <v>42</v>
      </c>
      <c r="I16" s="176">
        <f>F16*D16</f>
        <v>45610.18</v>
      </c>
      <c r="J16" s="178"/>
      <c r="K16" s="31"/>
      <c r="L16" s="11" t="s">
        <v>331</v>
      </c>
    </row>
    <row r="17" spans="1:12" ht="15.9" customHeight="1" x14ac:dyDescent="0.3">
      <c r="A17" s="185" t="s">
        <v>314</v>
      </c>
      <c r="B17" s="185"/>
      <c r="C17" s="185"/>
      <c r="D17" s="125">
        <f>B37*1*2</f>
        <v>930.81999999999994</v>
      </c>
      <c r="E17" s="62" t="s">
        <v>18</v>
      </c>
      <c r="F17" s="49">
        <v>160</v>
      </c>
      <c r="G17" s="32" t="s">
        <v>68</v>
      </c>
      <c r="H17" s="33" t="s">
        <v>42</v>
      </c>
      <c r="I17" s="176">
        <f>+D17*F17</f>
        <v>148931.19999999998</v>
      </c>
      <c r="J17" s="178"/>
      <c r="K17" s="31"/>
    </row>
    <row r="18" spans="1:12" ht="15.9" customHeight="1" x14ac:dyDescent="0.3">
      <c r="A18" s="208" t="s">
        <v>43</v>
      </c>
      <c r="B18" s="208"/>
      <c r="C18" s="208"/>
      <c r="D18" s="208"/>
      <c r="E18" s="208"/>
      <c r="F18" s="208"/>
      <c r="G18" s="208"/>
      <c r="H18" s="208"/>
      <c r="I18" s="204">
        <f>SUM(I15:J17)</f>
        <v>276453.53999999998</v>
      </c>
      <c r="J18" s="204"/>
      <c r="K18" s="35"/>
    </row>
    <row r="19" spans="1:12" ht="15" customHeight="1" x14ac:dyDescent="0.3">
      <c r="A19" s="187"/>
      <c r="B19" s="188"/>
      <c r="C19" s="188"/>
      <c r="D19" s="188"/>
      <c r="E19" s="188"/>
      <c r="F19" s="188"/>
      <c r="G19" s="188"/>
      <c r="H19" s="188"/>
      <c r="I19" s="37"/>
      <c r="J19" s="37"/>
      <c r="K19" s="39"/>
    </row>
    <row r="20" spans="1:12" ht="14.1" customHeight="1" x14ac:dyDescent="0.3">
      <c r="A20" s="21" t="s">
        <v>315</v>
      </c>
      <c r="B20" s="22"/>
      <c r="C20" s="22"/>
      <c r="D20" s="59"/>
      <c r="E20" s="41"/>
      <c r="F20" s="23"/>
      <c r="G20" s="22"/>
      <c r="H20" s="22"/>
      <c r="I20" s="22"/>
      <c r="J20" s="22"/>
      <c r="K20" s="24"/>
    </row>
    <row r="21" spans="1:12" ht="14.1" customHeight="1" x14ac:dyDescent="0.3">
      <c r="A21" s="25"/>
      <c r="B21" s="26"/>
      <c r="C21" s="26"/>
      <c r="D21" s="60"/>
      <c r="E21" s="68"/>
      <c r="F21" s="26"/>
      <c r="G21" s="26"/>
      <c r="H21" s="26"/>
      <c r="K21" s="27"/>
    </row>
    <row r="22" spans="1:12" ht="15.9" customHeight="1" x14ac:dyDescent="0.3">
      <c r="A22" s="211" t="s">
        <v>35</v>
      </c>
      <c r="B22" s="212"/>
      <c r="C22" s="212"/>
      <c r="D22" s="213" t="s">
        <v>52</v>
      </c>
      <c r="E22" s="214"/>
      <c r="F22" s="215" t="s">
        <v>24</v>
      </c>
      <c r="G22" s="216"/>
      <c r="H22" s="124" t="s">
        <v>40</v>
      </c>
      <c r="I22" s="215" t="s">
        <v>39</v>
      </c>
      <c r="J22" s="216"/>
      <c r="K22" s="27"/>
    </row>
    <row r="23" spans="1:12" ht="15.9" customHeight="1" x14ac:dyDescent="0.3">
      <c r="A23" s="185" t="s">
        <v>62</v>
      </c>
      <c r="B23" s="185"/>
      <c r="C23" s="185"/>
      <c r="D23" s="125">
        <f>+F23*D24</f>
        <v>133960.51199999999</v>
      </c>
      <c r="E23" s="62" t="s">
        <v>66</v>
      </c>
      <c r="F23" s="49">
        <v>200</v>
      </c>
      <c r="G23" s="32" t="s">
        <v>313</v>
      </c>
      <c r="H23" s="33" t="s">
        <v>42</v>
      </c>
      <c r="I23" s="176">
        <f>+D23*8</f>
        <v>1071684.0959999999</v>
      </c>
      <c r="J23" s="178"/>
      <c r="K23" s="31"/>
    </row>
    <row r="24" spans="1:12" ht="15.9" customHeight="1" x14ac:dyDescent="0.3">
      <c r="A24" s="185" t="s">
        <v>63</v>
      </c>
      <c r="B24" s="185"/>
      <c r="C24" s="185"/>
      <c r="D24" s="125">
        <f>(B32*C32*0.4+B33*C33*0.4+B34*C34*0.4)*1.05</f>
        <v>669.80255999999997</v>
      </c>
      <c r="E24" s="62" t="s">
        <v>60</v>
      </c>
      <c r="F24" s="49">
        <v>0.4</v>
      </c>
      <c r="G24" s="32" t="s">
        <v>316</v>
      </c>
      <c r="H24" s="33" t="s">
        <v>42</v>
      </c>
      <c r="I24" s="176">
        <f>+D24*530</f>
        <v>354995.35680000001</v>
      </c>
      <c r="J24" s="178"/>
      <c r="K24" s="31"/>
      <c r="L24" s="11" t="s">
        <v>332</v>
      </c>
    </row>
    <row r="25" spans="1:12" ht="15.9" customHeight="1" x14ac:dyDescent="0.3">
      <c r="A25" s="185" t="s">
        <v>317</v>
      </c>
      <c r="B25" s="185"/>
      <c r="C25" s="185"/>
      <c r="D25" s="125">
        <f>B37</f>
        <v>465.40999999999997</v>
      </c>
      <c r="E25" s="62" t="s">
        <v>20</v>
      </c>
      <c r="F25" s="49">
        <v>350</v>
      </c>
      <c r="G25" s="32" t="s">
        <v>330</v>
      </c>
      <c r="H25" s="33" t="s">
        <v>42</v>
      </c>
      <c r="I25" s="176">
        <f>F25*D25</f>
        <v>162893.5</v>
      </c>
      <c r="J25" s="178"/>
      <c r="K25" s="31"/>
    </row>
    <row r="26" spans="1:12" ht="15.9" customHeight="1" x14ac:dyDescent="0.3">
      <c r="A26" s="210" t="s">
        <v>64</v>
      </c>
      <c r="B26" s="210"/>
      <c r="C26" s="210"/>
      <c r="D26" s="126">
        <f>(B32*C32+B33*C33+B34*C34)*2</f>
        <v>3189.5359999999996</v>
      </c>
      <c r="E26" s="70" t="s">
        <v>18</v>
      </c>
      <c r="F26" s="123">
        <v>600</v>
      </c>
      <c r="G26" s="36" t="s">
        <v>68</v>
      </c>
      <c r="H26" s="71" t="s">
        <v>42</v>
      </c>
      <c r="I26" s="192">
        <f>+D26*F26</f>
        <v>1913721.5999999999</v>
      </c>
      <c r="J26" s="194"/>
      <c r="K26" s="31"/>
    </row>
    <row r="27" spans="1:12" ht="15.9" customHeight="1" x14ac:dyDescent="0.3">
      <c r="A27" s="208" t="s">
        <v>43</v>
      </c>
      <c r="B27" s="208"/>
      <c r="C27" s="208"/>
      <c r="D27" s="208"/>
      <c r="E27" s="208"/>
      <c r="F27" s="208"/>
      <c r="G27" s="208"/>
      <c r="H27" s="208"/>
      <c r="I27" s="204">
        <f>SUM(I23:J26)</f>
        <v>3503294.5527999997</v>
      </c>
      <c r="J27" s="204"/>
      <c r="K27" s="35"/>
    </row>
    <row r="28" spans="1:12" ht="15" customHeight="1" x14ac:dyDescent="0.3">
      <c r="A28" s="187"/>
      <c r="B28" s="188"/>
      <c r="C28" s="188"/>
      <c r="D28" s="188"/>
      <c r="E28" s="188"/>
      <c r="F28" s="188"/>
      <c r="G28" s="188"/>
      <c r="H28" s="188"/>
      <c r="I28" s="37"/>
      <c r="J28" s="37"/>
      <c r="K28" s="39"/>
    </row>
    <row r="30" spans="1:12" x14ac:dyDescent="0.3">
      <c r="F30" s="118"/>
      <c r="J30" s="82">
        <f>I27+I18</f>
        <v>3779748.0927999998</v>
      </c>
      <c r="L30" s="11">
        <f>J30/'Dados Gerais'!E15</f>
        <v>98.355406038435589</v>
      </c>
    </row>
    <row r="31" spans="1:12" x14ac:dyDescent="0.3">
      <c r="B31" s="11" t="s">
        <v>320</v>
      </c>
      <c r="C31" s="11" t="s">
        <v>277</v>
      </c>
      <c r="D31" s="63" t="s">
        <v>323</v>
      </c>
    </row>
    <row r="32" spans="1:12" x14ac:dyDescent="0.3">
      <c r="A32" s="11" t="s">
        <v>321</v>
      </c>
      <c r="B32" s="11">
        <f>45.4+121.85+25.55+15.4+62.61+6.01</f>
        <v>276.82</v>
      </c>
      <c r="C32" s="11">
        <v>3.5</v>
      </c>
      <c r="D32" s="63">
        <f>C32*B32</f>
        <v>968.87</v>
      </c>
    </row>
    <row r="33" spans="1:4" x14ac:dyDescent="0.3">
      <c r="A33" s="11" t="s">
        <v>294</v>
      </c>
      <c r="B33" s="11">
        <f>45.2+45.77</f>
        <v>90.97</v>
      </c>
      <c r="C33" s="11">
        <v>3.5</v>
      </c>
      <c r="D33" s="63">
        <f t="shared" ref="D33:D34" si="0">C33*B33</f>
        <v>318.39499999999998</v>
      </c>
    </row>
    <row r="34" spans="1:4" x14ac:dyDescent="0.3">
      <c r="A34" s="11" t="s">
        <v>283</v>
      </c>
      <c r="B34" s="11">
        <f>6.7+6.3+11.3+6.3+36.92+6.3+10.8+6.3+6.7</f>
        <v>97.62</v>
      </c>
      <c r="C34" s="11">
        <v>3.15</v>
      </c>
      <c r="D34" s="63">
        <f t="shared" si="0"/>
        <v>307.50299999999999</v>
      </c>
    </row>
    <row r="37" spans="1:4" x14ac:dyDescent="0.3">
      <c r="A37" s="11" t="s">
        <v>43</v>
      </c>
      <c r="B37" s="11">
        <f>SUM(B32:B36)</f>
        <v>465.40999999999997</v>
      </c>
      <c r="D37" s="63">
        <f>SUM(D32:D36)</f>
        <v>1594.7679999999998</v>
      </c>
    </row>
    <row r="38" spans="1:4" x14ac:dyDescent="0.3">
      <c r="A38" s="11" t="s">
        <v>326</v>
      </c>
    </row>
    <row r="39" spans="1:4" x14ac:dyDescent="0.3">
      <c r="A39" s="11" t="s">
        <v>324</v>
      </c>
      <c r="C39" s="63" t="s">
        <v>323</v>
      </c>
      <c r="D39" s="63" t="s">
        <v>325</v>
      </c>
    </row>
    <row r="40" spans="1:4" x14ac:dyDescent="0.3">
      <c r="A40" s="127">
        <v>44743</v>
      </c>
      <c r="B40" s="127">
        <v>44593</v>
      </c>
    </row>
    <row r="41" spans="1:4" ht="14.4" x14ac:dyDescent="0.3">
      <c r="A41" s="63">
        <v>572680</v>
      </c>
      <c r="B41" s="82">
        <f>B42/A42*A41</f>
        <v>592697.2535422052</v>
      </c>
      <c r="C41" s="114">
        <v>2696</v>
      </c>
      <c r="D41" s="63">
        <f>B41/C41</f>
        <v>219.84319493405238</v>
      </c>
    </row>
    <row r="42" spans="1:4" x14ac:dyDescent="0.3">
      <c r="A42" s="83">
        <v>2572.5500000000002</v>
      </c>
      <c r="B42" s="83">
        <v>2662.47</v>
      </c>
    </row>
    <row r="44" spans="1:4" x14ac:dyDescent="0.3">
      <c r="A44" s="11" t="s">
        <v>327</v>
      </c>
    </row>
    <row r="45" spans="1:4" x14ac:dyDescent="0.3">
      <c r="A45" s="11" t="s">
        <v>324</v>
      </c>
      <c r="C45" s="11" t="s">
        <v>328</v>
      </c>
      <c r="D45" s="63" t="s">
        <v>329</v>
      </c>
    </row>
    <row r="46" spans="1:4" x14ac:dyDescent="0.3">
      <c r="A46" s="127">
        <v>44743</v>
      </c>
      <c r="B46" s="127">
        <v>44593</v>
      </c>
    </row>
    <row r="47" spans="1:4" x14ac:dyDescent="0.3">
      <c r="A47" s="63">
        <v>589427.37</v>
      </c>
      <c r="B47" s="82">
        <f>B48/A48*A47</f>
        <v>610030.0051714835</v>
      </c>
      <c r="C47" s="11">
        <v>2940</v>
      </c>
      <c r="D47" s="63">
        <f>B47/C47</f>
        <v>207.49319903791957</v>
      </c>
    </row>
    <row r="48" spans="1:4" x14ac:dyDescent="0.3">
      <c r="A48" s="83">
        <v>2572.5500000000002</v>
      </c>
      <c r="B48" s="83">
        <v>2662.47</v>
      </c>
    </row>
  </sheetData>
  <mergeCells count="35">
    <mergeCell ref="B10:F10"/>
    <mergeCell ref="J10:K10"/>
    <mergeCell ref="A2:K4"/>
    <mergeCell ref="B7:K7"/>
    <mergeCell ref="B8:K8"/>
    <mergeCell ref="B9:F9"/>
    <mergeCell ref="J9:K9"/>
    <mergeCell ref="A14:C14"/>
    <mergeCell ref="D14:E14"/>
    <mergeCell ref="F14:G14"/>
    <mergeCell ref="I14:J14"/>
    <mergeCell ref="A15:C15"/>
    <mergeCell ref="I15:J15"/>
    <mergeCell ref="A23:C23"/>
    <mergeCell ref="I23:J23"/>
    <mergeCell ref="A16:C16"/>
    <mergeCell ref="I16:J16"/>
    <mergeCell ref="A17:C17"/>
    <mergeCell ref="I17:J17"/>
    <mergeCell ref="A18:H18"/>
    <mergeCell ref="I18:J18"/>
    <mergeCell ref="A19:H19"/>
    <mergeCell ref="A22:C22"/>
    <mergeCell ref="D22:E22"/>
    <mergeCell ref="F22:G22"/>
    <mergeCell ref="I22:J22"/>
    <mergeCell ref="A27:H27"/>
    <mergeCell ref="I27:J27"/>
    <mergeCell ref="A28:H28"/>
    <mergeCell ref="A24:C24"/>
    <mergeCell ref="I24:J24"/>
    <mergeCell ref="A25:C25"/>
    <mergeCell ref="I25:J25"/>
    <mergeCell ref="A26:C26"/>
    <mergeCell ref="I26:J26"/>
  </mergeCells>
  <dataValidations disablePrompts="1" count="1">
    <dataValidation type="list" allowBlank="1" showInputMessage="1" showErrorMessage="1" sqref="J10" xr:uid="{AB82F16A-903E-4384-BB56-844C192EA62C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3C66"/>
  </sheetPr>
  <dimension ref="A1:N56"/>
  <sheetViews>
    <sheetView showGridLines="0" topLeftCell="A16" zoomScale="115" zoomScaleNormal="115" zoomScaleSheetLayoutView="95" workbookViewId="0">
      <selection activeCell="F20" sqref="F20"/>
    </sheetView>
  </sheetViews>
  <sheetFormatPr defaultColWidth="9.109375" defaultRowHeight="13.2" x14ac:dyDescent="0.3"/>
  <cols>
    <col min="1" max="1" width="17.44140625" style="11" customWidth="1"/>
    <col min="2" max="2" width="13.33203125" style="11" bestFit="1" customWidth="1"/>
    <col min="3" max="3" width="8.88671875" style="11" customWidth="1"/>
    <col min="4" max="4" width="13" style="63" customWidth="1"/>
    <col min="5" max="5" width="7.5546875" style="69" customWidth="1"/>
    <col min="6" max="6" width="10.6640625" style="18" customWidth="1"/>
    <col min="7" max="7" width="13.33203125" style="11" customWidth="1"/>
    <col min="8" max="8" width="12.88671875" style="11" customWidth="1"/>
    <col min="9" max="9" width="14.5546875" style="11" bestFit="1" customWidth="1"/>
    <col min="10" max="10" width="7.33203125" style="11" bestFit="1" customWidth="1"/>
    <col min="11" max="11" width="6.44140625" style="11" customWidth="1"/>
    <col min="12" max="13" width="9.109375" style="11"/>
    <col min="14" max="14" width="10.44140625" style="11" bestFit="1" customWidth="1"/>
    <col min="15" max="16384" width="9.109375" style="11"/>
  </cols>
  <sheetData>
    <row r="1" spans="1:13" x14ac:dyDescent="0.3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M1" s="12"/>
    </row>
    <row r="2" spans="1:13" x14ac:dyDescent="0.3">
      <c r="A2" s="157" t="s">
        <v>73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12"/>
    </row>
    <row r="3" spans="1:13" x14ac:dyDescent="0.3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M3" s="12"/>
    </row>
    <row r="4" spans="1:13" x14ac:dyDescent="0.3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M4" s="12"/>
    </row>
    <row r="5" spans="1:13" ht="13.8" thickBot="1" x14ac:dyDescent="0.35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M5" s="12"/>
    </row>
    <row r="6" spans="1:13" x14ac:dyDescent="0.3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M6" s="12"/>
    </row>
    <row r="7" spans="1:13" x14ac:dyDescent="0.3">
      <c r="A7" s="5" t="s">
        <v>0</v>
      </c>
      <c r="B7" s="159"/>
      <c r="C7" s="159"/>
      <c r="D7" s="159"/>
      <c r="E7" s="159"/>
      <c r="F7" s="159"/>
      <c r="G7" s="159"/>
      <c r="H7" s="159"/>
      <c r="I7" s="159"/>
      <c r="J7" s="159"/>
      <c r="K7" s="159"/>
      <c r="M7" s="12"/>
    </row>
    <row r="8" spans="1:13" x14ac:dyDescent="0.3">
      <c r="A8" s="5" t="s">
        <v>1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M8" s="12"/>
    </row>
    <row r="9" spans="1:13" ht="15" customHeight="1" x14ac:dyDescent="0.3">
      <c r="A9" s="5" t="s">
        <v>2</v>
      </c>
      <c r="B9" s="161"/>
      <c r="C9" s="162"/>
      <c r="D9" s="162"/>
      <c r="E9" s="162"/>
      <c r="F9" s="162"/>
      <c r="G9" s="162"/>
      <c r="H9" s="163"/>
      <c r="I9" s="6" t="s">
        <v>6</v>
      </c>
      <c r="J9" s="160" t="s">
        <v>44</v>
      </c>
      <c r="K9" s="160"/>
    </row>
    <row r="10" spans="1:13" x14ac:dyDescent="0.3">
      <c r="A10" s="7" t="s">
        <v>3</v>
      </c>
      <c r="B10" s="164"/>
      <c r="C10" s="165"/>
      <c r="D10" s="165"/>
      <c r="E10" s="165"/>
      <c r="F10" s="166"/>
      <c r="G10" s="9" t="s">
        <v>4</v>
      </c>
      <c r="H10" s="8" t="s">
        <v>5</v>
      </c>
      <c r="I10" s="6" t="s">
        <v>41</v>
      </c>
      <c r="J10" s="167"/>
      <c r="K10" s="168"/>
    </row>
    <row r="12" spans="1:13" ht="14.1" customHeight="1" x14ac:dyDescent="0.3">
      <c r="A12" s="21" t="s">
        <v>70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3" ht="14.1" customHeight="1" x14ac:dyDescent="0.3">
      <c r="A13" s="25"/>
      <c r="B13" s="26"/>
      <c r="C13" s="26"/>
      <c r="D13" s="60"/>
      <c r="E13" s="68"/>
      <c r="F13" s="26"/>
      <c r="G13" s="26"/>
      <c r="H13" s="26"/>
      <c r="K13" s="27"/>
    </row>
    <row r="14" spans="1:13" ht="15.9" customHeight="1" x14ac:dyDescent="0.3">
      <c r="A14" s="169" t="s">
        <v>35</v>
      </c>
      <c r="B14" s="170"/>
      <c r="C14" s="170"/>
      <c r="D14" s="206" t="s">
        <v>52</v>
      </c>
      <c r="E14" s="207"/>
      <c r="F14" s="171" t="s">
        <v>24</v>
      </c>
      <c r="G14" s="173"/>
      <c r="H14" s="28" t="s">
        <v>40</v>
      </c>
      <c r="I14" s="171" t="s">
        <v>39</v>
      </c>
      <c r="J14" s="173"/>
      <c r="K14" s="27"/>
    </row>
    <row r="15" spans="1:13" ht="15.9" customHeight="1" x14ac:dyDescent="0.3">
      <c r="A15" s="186" t="s">
        <v>167</v>
      </c>
      <c r="B15" s="186"/>
      <c r="C15" s="186"/>
      <c r="D15" s="54">
        <f>F15*9154.8</f>
        <v>915.48</v>
      </c>
      <c r="E15" s="55" t="s">
        <v>19</v>
      </c>
      <c r="F15" s="48">
        <v>0.1</v>
      </c>
      <c r="G15" s="29" t="s">
        <v>188</v>
      </c>
      <c r="H15" s="30" t="s">
        <v>168</v>
      </c>
      <c r="I15" s="199">
        <v>0</v>
      </c>
      <c r="J15" s="201"/>
      <c r="K15" s="31"/>
      <c r="M15" s="11">
        <f>D15/'Dados Gerais'!E13</f>
        <v>3.4220071828210366E-2</v>
      </c>
    </row>
    <row r="16" spans="1:13" ht="15.9" customHeight="1" x14ac:dyDescent="0.3">
      <c r="A16" s="189" t="s">
        <v>200</v>
      </c>
      <c r="B16" s="190"/>
      <c r="C16" s="191"/>
      <c r="D16" s="99">
        <f>ROUNDUP(($D$15*(F16/100)),0)</f>
        <v>0</v>
      </c>
      <c r="E16" s="76" t="s">
        <v>19</v>
      </c>
      <c r="F16" s="51">
        <v>0</v>
      </c>
      <c r="G16" s="52" t="s">
        <v>122</v>
      </c>
      <c r="H16" s="53" t="s">
        <v>168</v>
      </c>
      <c r="I16" s="176">
        <v>0</v>
      </c>
      <c r="J16" s="178"/>
      <c r="K16" s="31"/>
    </row>
    <row r="17" spans="1:14" ht="15.9" customHeight="1" x14ac:dyDescent="0.3">
      <c r="A17" s="217" t="s">
        <v>200</v>
      </c>
      <c r="B17" s="217"/>
      <c r="C17" s="217"/>
      <c r="D17" s="99">
        <f>ROUNDUP((F17*D16),0)</f>
        <v>0</v>
      </c>
      <c r="E17" s="76" t="s">
        <v>20</v>
      </c>
      <c r="F17" s="51">
        <v>22</v>
      </c>
      <c r="G17" s="52" t="s">
        <v>169</v>
      </c>
      <c r="H17" s="53" t="s">
        <v>168</v>
      </c>
      <c r="I17" s="218">
        <f>+ROUNDUP((D17*60),0)</f>
        <v>0</v>
      </c>
      <c r="J17" s="219"/>
      <c r="K17" s="31"/>
    </row>
    <row r="18" spans="1:14" ht="15.9" customHeight="1" x14ac:dyDescent="0.3">
      <c r="A18" s="185" t="s">
        <v>69</v>
      </c>
      <c r="B18" s="185"/>
      <c r="C18" s="185"/>
      <c r="D18" s="99">
        <f>ROUNDUP(($D$15*(F18/100)),0)</f>
        <v>916</v>
      </c>
      <c r="E18" s="76" t="s">
        <v>19</v>
      </c>
      <c r="F18" s="49">
        <v>100</v>
      </c>
      <c r="G18" s="32" t="s">
        <v>122</v>
      </c>
      <c r="H18" s="33" t="s">
        <v>168</v>
      </c>
      <c r="I18" s="176">
        <v>0</v>
      </c>
      <c r="J18" s="178"/>
      <c r="K18" s="31"/>
    </row>
    <row r="19" spans="1:14" ht="15.9" customHeight="1" x14ac:dyDescent="0.3">
      <c r="A19" s="189" t="s">
        <v>69</v>
      </c>
      <c r="B19" s="190"/>
      <c r="C19" s="191"/>
      <c r="D19" s="99">
        <f>ROUNDUP((F19*D18),0)</f>
        <v>18320</v>
      </c>
      <c r="E19" s="62" t="s">
        <v>20</v>
      </c>
      <c r="F19" s="51">
        <v>20</v>
      </c>
      <c r="G19" s="52" t="s">
        <v>169</v>
      </c>
      <c r="H19" s="33" t="s">
        <v>168</v>
      </c>
      <c r="I19" s="218">
        <f>+ROUNDUP((D19*70),0)</f>
        <v>1282400</v>
      </c>
      <c r="J19" s="219"/>
      <c r="K19" s="31"/>
    </row>
    <row r="20" spans="1:14" ht="15.9" customHeight="1" x14ac:dyDescent="0.3">
      <c r="A20" s="189" t="s">
        <v>192</v>
      </c>
      <c r="B20" s="190"/>
      <c r="C20" s="191"/>
      <c r="D20" s="99">
        <f>ROUNDUP(($D$15*(F20/100)),0)</f>
        <v>0</v>
      </c>
      <c r="E20" s="76" t="s">
        <v>19</v>
      </c>
      <c r="F20" s="49">
        <v>0</v>
      </c>
      <c r="G20" s="32" t="s">
        <v>122</v>
      </c>
      <c r="H20" s="33" t="s">
        <v>168</v>
      </c>
      <c r="I20" s="176">
        <v>0</v>
      </c>
      <c r="J20" s="178"/>
      <c r="K20" s="31"/>
    </row>
    <row r="21" spans="1:14" ht="15.9" customHeight="1" x14ac:dyDescent="0.3">
      <c r="A21" s="189" t="s">
        <v>192</v>
      </c>
      <c r="B21" s="190"/>
      <c r="C21" s="191"/>
      <c r="D21" s="99">
        <f>ROUNDUP((F21*D20),0)</f>
        <v>0</v>
      </c>
      <c r="E21" s="62" t="s">
        <v>20</v>
      </c>
      <c r="F21" s="51">
        <v>22</v>
      </c>
      <c r="G21" s="52" t="s">
        <v>169</v>
      </c>
      <c r="H21" s="33" t="s">
        <v>168</v>
      </c>
      <c r="I21" s="176">
        <f>+ROUNDUP((D21*80),0)</f>
        <v>0</v>
      </c>
      <c r="J21" s="178"/>
      <c r="K21" s="31"/>
    </row>
    <row r="22" spans="1:14" ht="15.9" customHeight="1" x14ac:dyDescent="0.3">
      <c r="A22" s="185" t="s">
        <v>62</v>
      </c>
      <c r="B22" s="185"/>
      <c r="C22" s="185"/>
      <c r="D22" s="105">
        <f>ROUNDUP((D23*F22),0)</f>
        <v>111885</v>
      </c>
      <c r="E22" s="62" t="s">
        <v>66</v>
      </c>
      <c r="F22" s="49">
        <v>18</v>
      </c>
      <c r="G22" s="32" t="s">
        <v>121</v>
      </c>
      <c r="H22" s="33" t="s">
        <v>168</v>
      </c>
      <c r="I22" s="176">
        <f>D22*8</f>
        <v>895080</v>
      </c>
      <c r="J22" s="178"/>
      <c r="K22" s="31"/>
    </row>
    <row r="23" spans="1:14" ht="15.9" customHeight="1" x14ac:dyDescent="0.3">
      <c r="A23" s="185" t="s">
        <v>63</v>
      </c>
      <c r="B23" s="185"/>
      <c r="C23" s="185"/>
      <c r="D23" s="106">
        <f>(PI()*(0.5^2)/4*D17+PI()*(0.6^2)/4*D19+PI()*(0.7^2)/4*D21)*1.2</f>
        <v>6215.8295606866213</v>
      </c>
      <c r="E23" s="62" t="s">
        <v>60</v>
      </c>
      <c r="F23" s="49">
        <v>530</v>
      </c>
      <c r="G23" s="32" t="s">
        <v>51</v>
      </c>
      <c r="H23" s="33" t="s">
        <v>168</v>
      </c>
      <c r="I23" s="176">
        <f>+ROUNDUP((D23*F23),0)</f>
        <v>3294390</v>
      </c>
      <c r="J23" s="178"/>
      <c r="K23" s="31"/>
      <c r="M23" s="82"/>
    </row>
    <row r="24" spans="1:14" ht="15.9" customHeight="1" x14ac:dyDescent="0.3">
      <c r="A24" s="208" t="s">
        <v>43</v>
      </c>
      <c r="B24" s="208"/>
      <c r="C24" s="208"/>
      <c r="D24" s="208"/>
      <c r="E24" s="208"/>
      <c r="F24" s="208"/>
      <c r="G24" s="208"/>
      <c r="H24" s="208"/>
      <c r="I24" s="204">
        <f>SUM(I15:J23)</f>
        <v>5471870</v>
      </c>
      <c r="J24" s="204"/>
      <c r="K24" s="35"/>
      <c r="N24" s="63">
        <f>I24/'Dados Gerais'!E15</f>
        <v>142.38726561294465</v>
      </c>
    </row>
    <row r="25" spans="1:14" ht="15" customHeight="1" x14ac:dyDescent="0.3">
      <c r="A25" s="220"/>
      <c r="B25" s="188"/>
      <c r="C25" s="188"/>
      <c r="D25" s="188"/>
      <c r="E25" s="188"/>
      <c r="F25" s="188"/>
      <c r="G25" s="188"/>
      <c r="H25" s="188"/>
      <c r="I25" s="37"/>
      <c r="J25" s="37"/>
      <c r="K25" s="39"/>
    </row>
    <row r="26" spans="1:14" x14ac:dyDescent="0.3">
      <c r="D26" s="61"/>
      <c r="E26" s="40"/>
      <c r="F26" s="40"/>
      <c r="G26" s="82"/>
    </row>
    <row r="27" spans="1:14" x14ac:dyDescent="0.3">
      <c r="A27" s="21" t="s">
        <v>71</v>
      </c>
      <c r="B27" s="22"/>
      <c r="C27" s="22"/>
      <c r="D27" s="59"/>
      <c r="E27" s="41"/>
      <c r="F27" s="23"/>
      <c r="G27" s="22"/>
      <c r="H27" s="22"/>
      <c r="I27" s="22"/>
      <c r="J27" s="22"/>
      <c r="K27" s="24"/>
    </row>
    <row r="28" spans="1:14" ht="15.9" customHeight="1" x14ac:dyDescent="0.3">
      <c r="A28" s="25"/>
      <c r="B28" s="26"/>
      <c r="C28" s="26"/>
      <c r="D28" s="60"/>
      <c r="E28" s="68"/>
      <c r="F28" s="26"/>
      <c r="G28" s="26"/>
      <c r="H28" s="26"/>
      <c r="K28" s="27"/>
    </row>
    <row r="29" spans="1:14" ht="15.9" customHeight="1" x14ac:dyDescent="0.3">
      <c r="A29" s="169" t="s">
        <v>35</v>
      </c>
      <c r="B29" s="170"/>
      <c r="C29" s="170"/>
      <c r="D29" s="206" t="s">
        <v>52</v>
      </c>
      <c r="E29" s="207"/>
      <c r="F29" s="171" t="s">
        <v>24</v>
      </c>
      <c r="G29" s="173"/>
      <c r="H29" s="28" t="s">
        <v>40</v>
      </c>
      <c r="I29" s="171" t="s">
        <v>39</v>
      </c>
      <c r="J29" s="173"/>
      <c r="K29" s="27"/>
    </row>
    <row r="30" spans="1:14" ht="30.75" customHeight="1" x14ac:dyDescent="0.3">
      <c r="A30" s="186" t="s">
        <v>72</v>
      </c>
      <c r="B30" s="186"/>
      <c r="C30" s="186"/>
      <c r="D30" s="72">
        <f>F30*'Dados Gerais'!E27</f>
        <v>4711.3599999999997</v>
      </c>
      <c r="E30" s="55" t="s">
        <v>18</v>
      </c>
      <c r="F30" s="48">
        <v>0.8</v>
      </c>
      <c r="G30" s="29" t="s">
        <v>166</v>
      </c>
      <c r="H30" s="77" t="s">
        <v>168</v>
      </c>
      <c r="I30" s="199">
        <f>+D30*62</f>
        <v>292104.32000000001</v>
      </c>
      <c r="J30" s="201"/>
      <c r="K30" s="31"/>
    </row>
    <row r="31" spans="1:14" x14ac:dyDescent="0.3">
      <c r="A31" s="185" t="s">
        <v>62</v>
      </c>
      <c r="B31" s="185"/>
      <c r="C31" s="185"/>
      <c r="D31" s="73">
        <f>D32*F31</f>
        <v>244990.72</v>
      </c>
      <c r="E31" s="62" t="s">
        <v>66</v>
      </c>
      <c r="F31" s="49">
        <v>80</v>
      </c>
      <c r="G31" s="32" t="s">
        <v>121</v>
      </c>
      <c r="H31" s="77" t="s">
        <v>168</v>
      </c>
      <c r="I31" s="176">
        <f>+D31*8</f>
        <v>1959925.76</v>
      </c>
      <c r="J31" s="178"/>
      <c r="K31" s="31"/>
      <c r="L31" s="82"/>
    </row>
    <row r="32" spans="1:14" x14ac:dyDescent="0.3">
      <c r="A32" s="185" t="s">
        <v>63</v>
      </c>
      <c r="B32" s="185"/>
      <c r="C32" s="185"/>
      <c r="D32" s="73">
        <f>'Movimentação de Terra'!D37-'Movimentação de Terra'!D38</f>
        <v>3062.384</v>
      </c>
      <c r="E32" s="62" t="s">
        <v>60</v>
      </c>
      <c r="F32" s="49">
        <v>0.5</v>
      </c>
      <c r="G32" s="32" t="s">
        <v>59</v>
      </c>
      <c r="H32" s="77" t="s">
        <v>168</v>
      </c>
      <c r="I32" s="176">
        <f>+D32*530</f>
        <v>1623063.52</v>
      </c>
      <c r="J32" s="178"/>
      <c r="K32" s="31"/>
    </row>
    <row r="33" spans="1:14" ht="15.9" customHeight="1" x14ac:dyDescent="0.3">
      <c r="A33" s="185" t="s">
        <v>64</v>
      </c>
      <c r="B33" s="185"/>
      <c r="C33" s="185"/>
      <c r="D33" s="74">
        <v>0</v>
      </c>
      <c r="E33" s="62" t="s">
        <v>18</v>
      </c>
      <c r="F33" s="49">
        <v>220</v>
      </c>
      <c r="G33" s="32" t="s">
        <v>38</v>
      </c>
      <c r="H33" s="33" t="s">
        <v>168</v>
      </c>
      <c r="I33" s="192">
        <f>+D33*F33</f>
        <v>0</v>
      </c>
      <c r="J33" s="194"/>
      <c r="K33" s="31"/>
    </row>
    <row r="34" spans="1:14" ht="15.9" customHeight="1" x14ac:dyDescent="0.3">
      <c r="A34" s="208" t="s">
        <v>43</v>
      </c>
      <c r="B34" s="208"/>
      <c r="C34" s="208"/>
      <c r="D34" s="208"/>
      <c r="E34" s="208"/>
      <c r="F34" s="208"/>
      <c r="G34" s="208"/>
      <c r="H34" s="208"/>
      <c r="I34" s="204">
        <f>SUM(I30:J33)</f>
        <v>3875093.6</v>
      </c>
      <c r="J34" s="204"/>
      <c r="K34" s="35"/>
    </row>
    <row r="35" spans="1:14" ht="15.9" customHeight="1" x14ac:dyDescent="0.3">
      <c r="A35" s="187"/>
      <c r="B35" s="188"/>
      <c r="C35" s="188"/>
      <c r="D35" s="188"/>
      <c r="E35" s="188"/>
      <c r="F35" s="188"/>
      <c r="G35" s="188"/>
      <c r="H35" s="188"/>
      <c r="I35" s="37"/>
      <c r="J35" s="37"/>
      <c r="K35" s="39"/>
      <c r="N35" s="63"/>
    </row>
    <row r="36" spans="1:14" x14ac:dyDescent="0.3">
      <c r="D36" s="61"/>
      <c r="E36" s="40"/>
      <c r="F36" s="40"/>
    </row>
    <row r="37" spans="1:14" x14ac:dyDescent="0.3">
      <c r="I37" s="82">
        <f>I34+I24</f>
        <v>9346963.5999999996</v>
      </c>
      <c r="J37" s="11">
        <f>I37/'Dados Gerais'!E15</f>
        <v>243.22372219875933</v>
      </c>
    </row>
    <row r="40" spans="1:14" x14ac:dyDescent="0.3">
      <c r="A40" s="11" t="s">
        <v>333</v>
      </c>
      <c r="B40" s="18"/>
      <c r="C40" s="18"/>
    </row>
    <row r="41" spans="1:14" x14ac:dyDescent="0.3">
      <c r="B41" s="18" t="s">
        <v>20</v>
      </c>
      <c r="C41" s="18" t="s">
        <v>60</v>
      </c>
    </row>
    <row r="42" spans="1:14" x14ac:dyDescent="0.3">
      <c r="A42" s="11" t="s">
        <v>334</v>
      </c>
      <c r="B42" s="63">
        <v>1163</v>
      </c>
    </row>
    <row r="43" spans="1:14" x14ac:dyDescent="0.3">
      <c r="A43" s="11" t="s">
        <v>63</v>
      </c>
      <c r="C43" s="11">
        <v>328.83</v>
      </c>
    </row>
    <row r="45" spans="1:14" x14ac:dyDescent="0.3">
      <c r="A45" s="11" t="s">
        <v>278</v>
      </c>
      <c r="B45" s="63">
        <f>PI()*0.6^2/4</f>
        <v>0.28274333882308139</v>
      </c>
      <c r="C45" s="82"/>
    </row>
    <row r="46" spans="1:14" x14ac:dyDescent="0.3">
      <c r="A46" s="11" t="s">
        <v>335</v>
      </c>
      <c r="B46" s="11">
        <v>81</v>
      </c>
    </row>
    <row r="47" spans="1:14" x14ac:dyDescent="0.3">
      <c r="A47" s="11" t="s">
        <v>336</v>
      </c>
      <c r="B47" s="82">
        <f>B42/B46</f>
        <v>14.358024691358025</v>
      </c>
    </row>
    <row r="49" spans="1:2" x14ac:dyDescent="0.3">
      <c r="A49" s="11" t="s">
        <v>337</v>
      </c>
      <c r="B49" s="11">
        <f>1134+5103</f>
        <v>6237</v>
      </c>
    </row>
    <row r="50" spans="1:2" x14ac:dyDescent="0.3">
      <c r="A50" s="11" t="s">
        <v>338</v>
      </c>
      <c r="B50" s="11">
        <f>B49/C43</f>
        <v>18.967247513912966</v>
      </c>
    </row>
    <row r="53" spans="1:2" x14ac:dyDescent="0.3">
      <c r="A53" s="11" t="s">
        <v>339</v>
      </c>
    </row>
    <row r="54" spans="1:2" x14ac:dyDescent="0.3">
      <c r="A54" s="11" t="s">
        <v>337</v>
      </c>
      <c r="B54" s="63">
        <f>257+89+1786+2047+679+8998+2778</f>
        <v>16634</v>
      </c>
    </row>
    <row r="55" spans="1:2" x14ac:dyDescent="0.3">
      <c r="A55" s="11" t="s">
        <v>63</v>
      </c>
      <c r="B55" s="63">
        <f>200.44</f>
        <v>200.44</v>
      </c>
    </row>
    <row r="56" spans="1:2" x14ac:dyDescent="0.3">
      <c r="A56" s="11" t="s">
        <v>338</v>
      </c>
      <c r="B56" s="11">
        <f>B54/B55</f>
        <v>82.987427659149873</v>
      </c>
    </row>
  </sheetData>
  <mergeCells count="47">
    <mergeCell ref="A22:C22"/>
    <mergeCell ref="I22:J22"/>
    <mergeCell ref="A23:C23"/>
    <mergeCell ref="I23:J23"/>
    <mergeCell ref="A19:C19"/>
    <mergeCell ref="I19:J19"/>
    <mergeCell ref="I21:J21"/>
    <mergeCell ref="I20:J20"/>
    <mergeCell ref="A21:C21"/>
    <mergeCell ref="A20:C20"/>
    <mergeCell ref="B10:F10"/>
    <mergeCell ref="J10:K10"/>
    <mergeCell ref="A2:K4"/>
    <mergeCell ref="B7:K7"/>
    <mergeCell ref="B8:K8"/>
    <mergeCell ref="J9:K9"/>
    <mergeCell ref="B9:H9"/>
    <mergeCell ref="A14:C14"/>
    <mergeCell ref="D14:E14"/>
    <mergeCell ref="F14:G14"/>
    <mergeCell ref="I14:J14"/>
    <mergeCell ref="A15:C15"/>
    <mergeCell ref="I15:J15"/>
    <mergeCell ref="A24:H24"/>
    <mergeCell ref="I24:J24"/>
    <mergeCell ref="A25:H25"/>
    <mergeCell ref="A29:C29"/>
    <mergeCell ref="D29:E29"/>
    <mergeCell ref="F29:G29"/>
    <mergeCell ref="I29:J29"/>
    <mergeCell ref="A30:C30"/>
    <mergeCell ref="I30:J30"/>
    <mergeCell ref="A34:H34"/>
    <mergeCell ref="I34:J34"/>
    <mergeCell ref="A35:H35"/>
    <mergeCell ref="I33:J33"/>
    <mergeCell ref="I32:J32"/>
    <mergeCell ref="I31:J31"/>
    <mergeCell ref="A31:C31"/>
    <mergeCell ref="A32:C32"/>
    <mergeCell ref="A33:C33"/>
    <mergeCell ref="I16:J16"/>
    <mergeCell ref="A16:C16"/>
    <mergeCell ref="A18:C18"/>
    <mergeCell ref="I18:J18"/>
    <mergeCell ref="A17:C17"/>
    <mergeCell ref="I17:J17"/>
  </mergeCells>
  <dataValidations disablePrompts="1" count="1">
    <dataValidation type="list" allowBlank="1" showInputMessage="1" showErrorMessage="1" sqref="J10" xr:uid="{00000000-0002-0000-03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3C66"/>
  </sheetPr>
  <dimension ref="A1:M30"/>
  <sheetViews>
    <sheetView showGridLines="0" topLeftCell="A9" zoomScale="130" zoomScaleNormal="130" zoomScaleSheetLayoutView="95" workbookViewId="0">
      <selection activeCell="I21" sqref="I21:J21"/>
    </sheetView>
  </sheetViews>
  <sheetFormatPr defaultColWidth="9.109375" defaultRowHeight="13.2" x14ac:dyDescent="0.3"/>
  <cols>
    <col min="1" max="1" width="17.44140625" style="11" customWidth="1"/>
    <col min="2" max="2" width="11.33203125" style="63" customWidth="1"/>
    <col min="3" max="3" width="8.88671875" style="63" customWidth="1"/>
    <col min="4" max="4" width="13" style="63" customWidth="1"/>
    <col min="5" max="5" width="7.5546875" style="69" customWidth="1"/>
    <col min="6" max="6" width="10.6640625" style="18" customWidth="1"/>
    <col min="7" max="7" width="13.33203125" style="11" customWidth="1"/>
    <col min="8" max="8" width="12.88671875" style="11" customWidth="1"/>
    <col min="9" max="9" width="9.33203125" style="11" customWidth="1"/>
    <col min="10" max="10" width="9.33203125" style="11" bestFit="1" customWidth="1"/>
    <col min="11" max="11" width="14.109375" style="11" bestFit="1" customWidth="1"/>
    <col min="12" max="12" width="11.5546875" style="11" bestFit="1" customWidth="1"/>
    <col min="13" max="14" width="9.109375" style="11"/>
    <col min="15" max="15" width="11.33203125" style="11" bestFit="1" customWidth="1"/>
    <col min="16" max="16384" width="9.109375" style="11"/>
  </cols>
  <sheetData>
    <row r="1" spans="1:12" x14ac:dyDescent="0.3">
      <c r="A1" s="1"/>
      <c r="B1" s="56"/>
      <c r="C1" s="56"/>
      <c r="D1" s="56"/>
      <c r="E1" s="65"/>
      <c r="F1" s="19"/>
      <c r="G1" s="1"/>
      <c r="H1" s="1"/>
      <c r="I1" s="1"/>
      <c r="J1" s="1"/>
      <c r="K1" s="1"/>
      <c r="L1" s="12"/>
    </row>
    <row r="2" spans="1:12" x14ac:dyDescent="0.3">
      <c r="A2" s="157" t="s">
        <v>74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2"/>
    </row>
    <row r="3" spans="1:12" x14ac:dyDescent="0.3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2"/>
    </row>
    <row r="4" spans="1:12" x14ac:dyDescent="0.3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2"/>
    </row>
    <row r="5" spans="1:12" ht="13.8" thickBot="1" x14ac:dyDescent="0.35">
      <c r="A5" s="2"/>
      <c r="B5" s="57"/>
      <c r="C5" s="57"/>
      <c r="D5" s="57"/>
      <c r="E5" s="66"/>
      <c r="F5" s="20"/>
      <c r="G5" s="3"/>
      <c r="H5" s="3"/>
      <c r="I5" s="3"/>
      <c r="J5" s="3"/>
      <c r="K5" s="3"/>
      <c r="L5" s="12"/>
    </row>
    <row r="6" spans="1:12" x14ac:dyDescent="0.3">
      <c r="A6" s="4"/>
      <c r="B6" s="116"/>
      <c r="C6" s="116"/>
      <c r="D6" s="58"/>
      <c r="E6" s="67"/>
      <c r="F6" s="19"/>
      <c r="G6" s="1"/>
      <c r="H6" s="1"/>
      <c r="I6" s="1"/>
      <c r="J6" s="1"/>
      <c r="K6" s="1"/>
      <c r="L6" s="12"/>
    </row>
    <row r="7" spans="1:12" x14ac:dyDescent="0.3">
      <c r="A7" s="5" t="s">
        <v>0</v>
      </c>
      <c r="B7" s="159" t="s">
        <v>182</v>
      </c>
      <c r="C7" s="159"/>
      <c r="D7" s="159"/>
      <c r="E7" s="159"/>
      <c r="F7" s="159"/>
      <c r="G7" s="159"/>
      <c r="H7" s="159"/>
      <c r="I7" s="159"/>
      <c r="J7" s="159"/>
      <c r="K7" s="159"/>
      <c r="L7" s="12"/>
    </row>
    <row r="8" spans="1:12" x14ac:dyDescent="0.3">
      <c r="A8" s="5" t="s">
        <v>1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2"/>
    </row>
    <row r="9" spans="1:12" ht="15" customHeight="1" x14ac:dyDescent="0.3">
      <c r="A9" s="5" t="s">
        <v>2</v>
      </c>
      <c r="B9" s="161" t="s">
        <v>183</v>
      </c>
      <c r="C9" s="162"/>
      <c r="D9" s="162"/>
      <c r="E9" s="162"/>
      <c r="F9" s="162"/>
      <c r="G9" s="162"/>
      <c r="H9" s="163"/>
      <c r="I9" s="6" t="s">
        <v>6</v>
      </c>
      <c r="J9" s="160" t="s">
        <v>44</v>
      </c>
      <c r="K9" s="160"/>
    </row>
    <row r="10" spans="1:12" x14ac:dyDescent="0.3">
      <c r="A10" s="7" t="s">
        <v>3</v>
      </c>
      <c r="B10" s="164">
        <v>44294</v>
      </c>
      <c r="C10" s="165"/>
      <c r="D10" s="165"/>
      <c r="E10" s="165"/>
      <c r="F10" s="166"/>
      <c r="G10" s="9" t="s">
        <v>4</v>
      </c>
      <c r="H10" s="8" t="s">
        <v>5</v>
      </c>
      <c r="I10" s="6" t="s">
        <v>41</v>
      </c>
      <c r="J10" s="167" t="s">
        <v>8</v>
      </c>
      <c r="K10" s="168"/>
    </row>
    <row r="12" spans="1:12" x14ac:dyDescent="0.3">
      <c r="A12" s="21" t="s">
        <v>75</v>
      </c>
      <c r="B12" s="59"/>
      <c r="C12" s="59"/>
      <c r="D12" s="59"/>
      <c r="E12" s="41"/>
      <c r="F12" s="23"/>
      <c r="G12" s="22"/>
      <c r="H12" s="22"/>
      <c r="I12" s="22"/>
      <c r="J12" s="22"/>
      <c r="K12" s="24"/>
    </row>
    <row r="13" spans="1:12" ht="15.9" customHeight="1" x14ac:dyDescent="0.3">
      <c r="A13" s="25"/>
      <c r="B13" s="117"/>
      <c r="C13" s="117"/>
      <c r="D13" s="60"/>
      <c r="E13" s="68"/>
      <c r="F13" s="26"/>
      <c r="G13" s="26"/>
      <c r="H13" s="26"/>
      <c r="K13" s="27"/>
    </row>
    <row r="14" spans="1:12" ht="15.75" customHeight="1" x14ac:dyDescent="0.3">
      <c r="A14" s="169" t="s">
        <v>35</v>
      </c>
      <c r="B14" s="170"/>
      <c r="C14" s="170"/>
      <c r="D14" s="206" t="s">
        <v>52</v>
      </c>
      <c r="E14" s="207"/>
      <c r="F14" s="171" t="s">
        <v>24</v>
      </c>
      <c r="G14" s="173"/>
      <c r="H14" s="28" t="s">
        <v>40</v>
      </c>
      <c r="I14" s="171" t="s">
        <v>39</v>
      </c>
      <c r="J14" s="173"/>
      <c r="K14" s="27"/>
    </row>
    <row r="15" spans="1:12" ht="15.75" customHeight="1" x14ac:dyDescent="0.3">
      <c r="A15" s="186" t="s">
        <v>76</v>
      </c>
      <c r="B15" s="186"/>
      <c r="C15" s="186"/>
      <c r="D15" s="128">
        <f>D16/2</f>
        <v>33625.803749999999</v>
      </c>
      <c r="E15" s="55" t="s">
        <v>18</v>
      </c>
      <c r="F15" s="48">
        <v>30</v>
      </c>
      <c r="G15" s="29" t="s">
        <v>122</v>
      </c>
      <c r="H15" s="30" t="s">
        <v>168</v>
      </c>
      <c r="I15" s="199">
        <f>+D15*130</f>
        <v>4371354.4874999998</v>
      </c>
      <c r="J15" s="201"/>
      <c r="K15" s="31"/>
    </row>
    <row r="16" spans="1:12" ht="15.75" customHeight="1" x14ac:dyDescent="0.3">
      <c r="A16" s="189" t="s">
        <v>77</v>
      </c>
      <c r="B16" s="190"/>
      <c r="C16" s="191"/>
      <c r="D16" s="75">
        <f>+'Dados Gerais'!$E$15*F16</f>
        <v>67251.607499999998</v>
      </c>
      <c r="E16" s="76" t="s">
        <v>18</v>
      </c>
      <c r="F16" s="51">
        <v>1.75</v>
      </c>
      <c r="G16" s="52" t="s">
        <v>171</v>
      </c>
      <c r="H16" s="53" t="s">
        <v>168</v>
      </c>
      <c r="I16" s="176">
        <f>+D16*6</f>
        <v>403509.64500000002</v>
      </c>
      <c r="J16" s="178"/>
      <c r="K16" s="31"/>
    </row>
    <row r="17" spans="1:13" ht="15.75" customHeight="1" x14ac:dyDescent="0.3">
      <c r="A17" s="189" t="s">
        <v>79</v>
      </c>
      <c r="B17" s="190"/>
      <c r="C17" s="191"/>
      <c r="D17" s="75">
        <f>'Dados Gerais'!E15-'Dados Gerais'!E25</f>
        <v>32026.07</v>
      </c>
      <c r="E17" s="76" t="s">
        <v>18</v>
      </c>
      <c r="F17" s="51">
        <v>60</v>
      </c>
      <c r="G17" s="52" t="s">
        <v>68</v>
      </c>
      <c r="H17" s="53" t="s">
        <v>168</v>
      </c>
      <c r="I17" s="176">
        <f t="shared" ref="I17" si="0">+D17*F17</f>
        <v>1921564.2</v>
      </c>
      <c r="J17" s="178"/>
      <c r="K17" s="31"/>
      <c r="L17" s="82"/>
      <c r="M17" s="82"/>
    </row>
    <row r="18" spans="1:13" ht="15" customHeight="1" x14ac:dyDescent="0.3">
      <c r="A18" s="185" t="s">
        <v>78</v>
      </c>
      <c r="B18" s="185"/>
      <c r="C18" s="185"/>
      <c r="D18" s="73">
        <f>(D19)*F18</f>
        <v>960737.25</v>
      </c>
      <c r="E18" s="62" t="s">
        <v>66</v>
      </c>
      <c r="F18" s="49">
        <v>100</v>
      </c>
      <c r="G18" s="32" t="s">
        <v>121</v>
      </c>
      <c r="H18" s="53" t="s">
        <v>168</v>
      </c>
      <c r="I18" s="176">
        <f>+D18*8</f>
        <v>7685898</v>
      </c>
      <c r="J18" s="178"/>
      <c r="K18" s="31"/>
    </row>
    <row r="19" spans="1:13" ht="15.75" customHeight="1" x14ac:dyDescent="0.3">
      <c r="A19" s="185" t="s">
        <v>260</v>
      </c>
      <c r="B19" s="185"/>
      <c r="C19" s="185"/>
      <c r="D19" s="108">
        <f>(+'Dados Gerais'!E15)*Supraestrutura!$F$19</f>
        <v>9607.3724999999995</v>
      </c>
      <c r="E19" s="100" t="s">
        <v>60</v>
      </c>
      <c r="F19" s="109">
        <v>0.25</v>
      </c>
      <c r="G19" s="32" t="s">
        <v>172</v>
      </c>
      <c r="H19" s="33" t="s">
        <v>168</v>
      </c>
      <c r="I19" s="221">
        <f>+D19*530</f>
        <v>5091907.4249999998</v>
      </c>
      <c r="J19" s="222"/>
      <c r="K19" s="31"/>
    </row>
    <row r="20" spans="1:13" ht="33.6" customHeight="1" x14ac:dyDescent="0.3">
      <c r="A20" s="185" t="s">
        <v>193</v>
      </c>
      <c r="B20" s="185"/>
      <c r="C20" s="185"/>
      <c r="D20" s="110">
        <v>0</v>
      </c>
      <c r="E20" s="100" t="s">
        <v>18</v>
      </c>
      <c r="F20" s="109">
        <v>0</v>
      </c>
      <c r="G20" s="32" t="s">
        <v>68</v>
      </c>
      <c r="H20" s="33" t="s">
        <v>168</v>
      </c>
      <c r="I20" s="221">
        <v>0</v>
      </c>
      <c r="J20" s="222"/>
      <c r="K20" s="31"/>
    </row>
    <row r="21" spans="1:13" ht="15.75" customHeight="1" x14ac:dyDescent="0.3">
      <c r="A21" s="208" t="s">
        <v>43</v>
      </c>
      <c r="B21" s="208"/>
      <c r="C21" s="208"/>
      <c r="D21" s="208"/>
      <c r="E21" s="208"/>
      <c r="F21" s="208"/>
      <c r="G21" s="208"/>
      <c r="H21" s="208"/>
      <c r="I21" s="204">
        <f>SUM(I15:J20)</f>
        <v>19474233.7575</v>
      </c>
      <c r="J21" s="204"/>
      <c r="K21" s="35"/>
    </row>
    <row r="22" spans="1:13" ht="15.9" customHeight="1" x14ac:dyDescent="0.3">
      <c r="A22" s="187"/>
      <c r="B22" s="188"/>
      <c r="C22" s="188"/>
      <c r="D22" s="188"/>
      <c r="E22" s="188"/>
      <c r="F22" s="188"/>
      <c r="G22" s="188"/>
      <c r="H22" s="188"/>
      <c r="I22" s="37"/>
      <c r="J22" s="37"/>
      <c r="K22" s="39"/>
    </row>
    <row r="23" spans="1:13" x14ac:dyDescent="0.3">
      <c r="D23" s="61"/>
      <c r="E23" s="40"/>
      <c r="F23" s="40"/>
      <c r="J23" s="82"/>
    </row>
    <row r="24" spans="1:13" x14ac:dyDescent="0.3">
      <c r="J24" s="82"/>
      <c r="K24" s="82"/>
    </row>
    <row r="25" spans="1:13" x14ac:dyDescent="0.3">
      <c r="A25" s="11" t="s">
        <v>340</v>
      </c>
      <c r="I25" s="82"/>
      <c r="K25" s="82">
        <f>I21</f>
        <v>19474233.7575</v>
      </c>
      <c r="L25" s="63">
        <f>K25/'Dados Gerais'!E15</f>
        <v>506.75233414494966</v>
      </c>
      <c r="M25" s="82"/>
    </row>
    <row r="26" spans="1:13" ht="14.4" x14ac:dyDescent="0.3">
      <c r="A26" s="129" t="s">
        <v>341</v>
      </c>
      <c r="B26" s="63">
        <v>22547.1</v>
      </c>
      <c r="C26" s="63">
        <f>B26/B30</f>
        <v>1.5144010864790582</v>
      </c>
    </row>
    <row r="27" spans="1:13" x14ac:dyDescent="0.3">
      <c r="A27" s="11" t="s">
        <v>342</v>
      </c>
      <c r="B27" s="63">
        <v>215880.65</v>
      </c>
      <c r="C27" s="63">
        <f>B27/B28</f>
        <v>58.19544261075378</v>
      </c>
    </row>
    <row r="28" spans="1:13" x14ac:dyDescent="0.3">
      <c r="A28" s="11" t="s">
        <v>343</v>
      </c>
      <c r="B28" s="63">
        <v>3709.58</v>
      </c>
      <c r="C28" s="63">
        <f>B28/B30</f>
        <v>0.24915807276239452</v>
      </c>
    </row>
    <row r="30" spans="1:13" x14ac:dyDescent="0.3">
      <c r="A30" s="11" t="s">
        <v>344</v>
      </c>
      <c r="B30" s="63">
        <v>14888.46</v>
      </c>
    </row>
  </sheetData>
  <mergeCells count="26">
    <mergeCell ref="A14:C14"/>
    <mergeCell ref="D14:E14"/>
    <mergeCell ref="F14:G14"/>
    <mergeCell ref="I14:J14"/>
    <mergeCell ref="A16:C16"/>
    <mergeCell ref="A15:C15"/>
    <mergeCell ref="I15:J15"/>
    <mergeCell ref="I16:J16"/>
    <mergeCell ref="B10:F10"/>
    <mergeCell ref="J10:K10"/>
    <mergeCell ref="A2:K4"/>
    <mergeCell ref="B7:K7"/>
    <mergeCell ref="B8:K8"/>
    <mergeCell ref="J9:K9"/>
    <mergeCell ref="B9:H9"/>
    <mergeCell ref="A17:C17"/>
    <mergeCell ref="I17:J17"/>
    <mergeCell ref="A21:H21"/>
    <mergeCell ref="I21:J21"/>
    <mergeCell ref="A22:H22"/>
    <mergeCell ref="A18:C18"/>
    <mergeCell ref="I18:J18"/>
    <mergeCell ref="A19:C19"/>
    <mergeCell ref="I19:J19"/>
    <mergeCell ref="A20:C20"/>
    <mergeCell ref="I20:J20"/>
  </mergeCells>
  <dataValidations disablePrompts="1" count="1">
    <dataValidation type="list" allowBlank="1" showInputMessage="1" showErrorMessage="1" sqref="J10" xr:uid="{00000000-0002-0000-0400-000000000000}">
      <formula1>$M$1:$M$6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3C66"/>
  </sheetPr>
  <dimension ref="A1:M28"/>
  <sheetViews>
    <sheetView showGridLines="0" tabSelected="1" view="pageBreakPreview" topLeftCell="A4" zoomScale="85" zoomScaleNormal="100" zoomScaleSheetLayoutView="85" workbookViewId="0">
      <selection activeCell="I17" sqref="I17:J17"/>
    </sheetView>
  </sheetViews>
  <sheetFormatPr defaultColWidth="9.109375" defaultRowHeight="13.2" x14ac:dyDescent="0.3"/>
  <cols>
    <col min="1" max="1" width="17.44140625" style="11" customWidth="1"/>
    <col min="2" max="2" width="9.88671875" style="11" customWidth="1"/>
    <col min="3" max="3" width="8.88671875" style="11" customWidth="1"/>
    <col min="4" max="4" width="14" style="63" customWidth="1"/>
    <col min="5" max="5" width="7.5546875" style="69" customWidth="1"/>
    <col min="6" max="6" width="10.6640625" style="18" customWidth="1"/>
    <col min="7" max="7" width="15.88671875" style="11" customWidth="1"/>
    <col min="8" max="8" width="12.88671875" style="11" customWidth="1"/>
    <col min="9" max="9" width="9.33203125" style="11" customWidth="1"/>
    <col min="10" max="10" width="13.109375" style="11" bestFit="1" customWidth="1"/>
    <col min="11" max="11" width="6.44140625" style="11" customWidth="1"/>
    <col min="12" max="16384" width="9.109375" style="11"/>
  </cols>
  <sheetData>
    <row r="1" spans="1:13" x14ac:dyDescent="0.3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M1" s="12"/>
    </row>
    <row r="2" spans="1:13" x14ac:dyDescent="0.3">
      <c r="A2" s="157" t="s">
        <v>80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12"/>
    </row>
    <row r="3" spans="1:13" x14ac:dyDescent="0.3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M3" s="12"/>
    </row>
    <row r="4" spans="1:13" x14ac:dyDescent="0.3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M4" s="12"/>
    </row>
    <row r="5" spans="1:13" ht="13.8" thickBot="1" x14ac:dyDescent="0.35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M5" s="12"/>
    </row>
    <row r="6" spans="1:13" x14ac:dyDescent="0.3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M6" s="12"/>
    </row>
    <row r="7" spans="1:13" x14ac:dyDescent="0.3">
      <c r="A7" s="5" t="s">
        <v>0</v>
      </c>
      <c r="B7" s="159" t="s">
        <v>182</v>
      </c>
      <c r="C7" s="159"/>
      <c r="D7" s="159"/>
      <c r="E7" s="159"/>
      <c r="F7" s="159"/>
      <c r="G7" s="159"/>
      <c r="H7" s="159"/>
      <c r="I7" s="159"/>
      <c r="J7" s="159"/>
      <c r="K7" s="159"/>
      <c r="M7" s="12"/>
    </row>
    <row r="8" spans="1:13" x14ac:dyDescent="0.3">
      <c r="A8" s="5" t="s">
        <v>1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M8" s="12"/>
    </row>
    <row r="9" spans="1:13" ht="15" customHeight="1" x14ac:dyDescent="0.3">
      <c r="A9" s="5" t="s">
        <v>2</v>
      </c>
      <c r="B9" s="161" t="s">
        <v>183</v>
      </c>
      <c r="C9" s="162"/>
      <c r="D9" s="162"/>
      <c r="E9" s="162"/>
      <c r="F9" s="162"/>
      <c r="G9" s="162"/>
      <c r="H9" s="163"/>
      <c r="I9" s="6" t="s">
        <v>6</v>
      </c>
      <c r="J9" s="160" t="s">
        <v>44</v>
      </c>
      <c r="K9" s="160"/>
    </row>
    <row r="10" spans="1:13" x14ac:dyDescent="0.3">
      <c r="A10" s="7" t="s">
        <v>3</v>
      </c>
      <c r="B10" s="164">
        <v>44294</v>
      </c>
      <c r="C10" s="165"/>
      <c r="D10" s="165"/>
      <c r="E10" s="165"/>
      <c r="F10" s="166"/>
      <c r="G10" s="9" t="s">
        <v>4</v>
      </c>
      <c r="H10" s="8" t="s">
        <v>5</v>
      </c>
      <c r="I10" s="6" t="s">
        <v>41</v>
      </c>
      <c r="J10" s="167" t="s">
        <v>8</v>
      </c>
      <c r="K10" s="168"/>
    </row>
    <row r="12" spans="1:13" x14ac:dyDescent="0.3">
      <c r="A12" s="21" t="s">
        <v>81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3" ht="15.9" customHeight="1" x14ac:dyDescent="0.3">
      <c r="A13" s="25"/>
      <c r="B13" s="26"/>
      <c r="C13" s="26"/>
      <c r="D13" s="60"/>
      <c r="E13" s="68"/>
      <c r="F13" s="26"/>
      <c r="G13" s="26"/>
      <c r="H13" s="26"/>
      <c r="K13" s="27"/>
    </row>
    <row r="14" spans="1:13" ht="15.9" customHeight="1" x14ac:dyDescent="0.3">
      <c r="A14" s="169" t="s">
        <v>35</v>
      </c>
      <c r="B14" s="170"/>
      <c r="C14" s="170"/>
      <c r="D14" s="206" t="s">
        <v>52</v>
      </c>
      <c r="E14" s="207"/>
      <c r="F14" s="171" t="s">
        <v>24</v>
      </c>
      <c r="G14" s="173"/>
      <c r="H14" s="28" t="s">
        <v>40</v>
      </c>
      <c r="I14" s="171" t="s">
        <v>39</v>
      </c>
      <c r="J14" s="173"/>
      <c r="K14" s="27"/>
    </row>
    <row r="15" spans="1:13" ht="36.75" customHeight="1" x14ac:dyDescent="0.3">
      <c r="A15" s="186" t="s">
        <v>83</v>
      </c>
      <c r="B15" s="186"/>
      <c r="C15" s="186"/>
      <c r="D15" s="72">
        <f>+F15*'Dados Gerais'!E24</f>
        <v>14580.885</v>
      </c>
      <c r="E15" s="55" t="s">
        <v>18</v>
      </c>
      <c r="F15" s="48">
        <v>0.75</v>
      </c>
      <c r="G15" s="98" t="s">
        <v>163</v>
      </c>
      <c r="H15" s="79" t="s">
        <v>168</v>
      </c>
      <c r="I15" s="199">
        <f>+D15*50</f>
        <v>729044.25</v>
      </c>
      <c r="J15" s="201"/>
      <c r="K15" s="31"/>
    </row>
    <row r="16" spans="1:13" ht="36.75" customHeight="1" x14ac:dyDescent="0.3">
      <c r="A16" s="185" t="s">
        <v>158</v>
      </c>
      <c r="B16" s="185"/>
      <c r="C16" s="185"/>
      <c r="D16" s="73">
        <f>F16*'Dados Gerais'!E22</f>
        <v>7781.579999999999</v>
      </c>
      <c r="E16" s="62" t="s">
        <v>18</v>
      </c>
      <c r="F16" s="49">
        <v>0.85</v>
      </c>
      <c r="G16" s="32" t="s">
        <v>164</v>
      </c>
      <c r="H16" s="77" t="s">
        <v>168</v>
      </c>
      <c r="I16" s="176">
        <f>+D16*50</f>
        <v>389078.99999999994</v>
      </c>
      <c r="J16" s="178"/>
      <c r="K16" s="31"/>
    </row>
    <row r="17" spans="1:11" ht="36.75" customHeight="1" x14ac:dyDescent="0.3">
      <c r="A17" s="185" t="s">
        <v>318</v>
      </c>
      <c r="B17" s="185"/>
      <c r="C17" s="185"/>
      <c r="D17" s="73">
        <v>12830.700499999999</v>
      </c>
      <c r="E17" s="62" t="s">
        <v>18</v>
      </c>
      <c r="F17" s="49">
        <v>1</v>
      </c>
      <c r="G17" s="101" t="s">
        <v>173</v>
      </c>
      <c r="H17" s="77" t="s">
        <v>168</v>
      </c>
      <c r="I17" s="176">
        <f>+D17*40</f>
        <v>513228.01999999996</v>
      </c>
      <c r="J17" s="178"/>
      <c r="K17" s="31"/>
    </row>
    <row r="18" spans="1:11" ht="36.75" customHeight="1" x14ac:dyDescent="0.3">
      <c r="A18" s="185" t="s">
        <v>84</v>
      </c>
      <c r="B18" s="185"/>
      <c r="C18" s="185"/>
      <c r="D18" s="73">
        <f>F18*'Dados Gerais'!E20</f>
        <v>4711.3599999999997</v>
      </c>
      <c r="E18" s="62" t="s">
        <v>18</v>
      </c>
      <c r="F18" s="49">
        <v>0.8</v>
      </c>
      <c r="G18" s="52" t="s">
        <v>82</v>
      </c>
      <c r="H18" s="77" t="s">
        <v>168</v>
      </c>
      <c r="I18" s="176">
        <f>+D18*40</f>
        <v>188454.39999999999</v>
      </c>
      <c r="J18" s="178"/>
      <c r="K18" s="31"/>
    </row>
    <row r="19" spans="1:11" ht="15.9" customHeight="1" x14ac:dyDescent="0.3">
      <c r="A19" s="185" t="s">
        <v>433</v>
      </c>
      <c r="B19" s="185"/>
      <c r="C19" s="185"/>
      <c r="D19" s="122">
        <f>6630.72*1.5</f>
        <v>9946.08</v>
      </c>
      <c r="E19" s="62" t="s">
        <v>18</v>
      </c>
      <c r="F19" s="49">
        <v>60</v>
      </c>
      <c r="G19" s="32" t="s">
        <v>68</v>
      </c>
      <c r="H19" s="33" t="s">
        <v>168</v>
      </c>
      <c r="I19" s="176">
        <f>F19*D19</f>
        <v>596764.80000000005</v>
      </c>
      <c r="J19" s="178"/>
      <c r="K19" s="31"/>
    </row>
    <row r="20" spans="1:11" ht="15.9" customHeight="1" x14ac:dyDescent="0.3">
      <c r="A20" s="185" t="s">
        <v>430</v>
      </c>
      <c r="B20" s="185"/>
      <c r="C20" s="185"/>
      <c r="D20" s="122">
        <f>993.088*2</f>
        <v>1986.1759999999999</v>
      </c>
      <c r="E20" s="62" t="s">
        <v>18</v>
      </c>
      <c r="F20" s="49">
        <f>73.75+15.62</f>
        <v>89.37</v>
      </c>
      <c r="G20" s="32" t="s">
        <v>68</v>
      </c>
      <c r="H20" s="33" t="s">
        <v>168</v>
      </c>
      <c r="I20" s="176">
        <f>F20*D20</f>
        <v>177504.54912000001</v>
      </c>
      <c r="J20" s="178"/>
      <c r="K20" s="31"/>
    </row>
    <row r="21" spans="1:11" ht="15.9" customHeight="1" x14ac:dyDescent="0.3">
      <c r="A21" s="185" t="s">
        <v>431</v>
      </c>
      <c r="B21" s="185"/>
      <c r="C21" s="185"/>
      <c r="D21" s="122">
        <f>993.088*2</f>
        <v>1986.1759999999999</v>
      </c>
      <c r="E21" s="62" t="s">
        <v>18</v>
      </c>
      <c r="F21" s="49">
        <v>92.38</v>
      </c>
      <c r="G21" s="32" t="s">
        <v>68</v>
      </c>
      <c r="H21" s="33" t="s">
        <v>168</v>
      </c>
      <c r="I21" s="176">
        <f>F21*D21</f>
        <v>183482.93887999997</v>
      </c>
      <c r="J21" s="178"/>
      <c r="K21" s="31"/>
    </row>
    <row r="22" spans="1:11" ht="15.9" customHeight="1" x14ac:dyDescent="0.3">
      <c r="A22" s="189" t="s">
        <v>64</v>
      </c>
      <c r="B22" s="190"/>
      <c r="C22" s="191"/>
      <c r="D22" s="122">
        <f>SUM(D15:D19)</f>
        <v>49850.605500000005</v>
      </c>
      <c r="E22" s="62" t="s">
        <v>18</v>
      </c>
      <c r="F22" s="49">
        <v>9.5</v>
      </c>
      <c r="G22" s="32" t="s">
        <v>68</v>
      </c>
      <c r="H22" s="33" t="s">
        <v>168</v>
      </c>
      <c r="I22" s="176">
        <v>0</v>
      </c>
      <c r="J22" s="178"/>
      <c r="K22" s="31"/>
    </row>
    <row r="23" spans="1:11" ht="15.9" customHeight="1" x14ac:dyDescent="0.3">
      <c r="A23" s="210" t="s">
        <v>286</v>
      </c>
      <c r="B23" s="210"/>
      <c r="C23" s="210"/>
      <c r="D23" s="78">
        <f>D22</f>
        <v>49850.605500000005</v>
      </c>
      <c r="E23" s="70" t="s">
        <v>18</v>
      </c>
      <c r="F23" s="50">
        <v>9.5</v>
      </c>
      <c r="G23" s="36" t="s">
        <v>68</v>
      </c>
      <c r="H23" s="71" t="s">
        <v>168</v>
      </c>
      <c r="I23" s="192">
        <f>F23*D23</f>
        <v>473580.75225000002</v>
      </c>
      <c r="J23" s="194"/>
      <c r="K23" s="31"/>
    </row>
    <row r="24" spans="1:11" ht="15.9" customHeight="1" x14ac:dyDescent="0.3">
      <c r="A24" s="208" t="s">
        <v>43</v>
      </c>
      <c r="B24" s="208"/>
      <c r="C24" s="208"/>
      <c r="D24" s="208"/>
      <c r="E24" s="208"/>
      <c r="F24" s="208"/>
      <c r="G24" s="208"/>
      <c r="H24" s="208"/>
      <c r="I24" s="204">
        <f>SUM(I15:J23)</f>
        <v>3251138.7102499995</v>
      </c>
      <c r="J24" s="204"/>
      <c r="K24" s="35"/>
    </row>
    <row r="25" spans="1:11" ht="15.9" customHeight="1" x14ac:dyDescent="0.3">
      <c r="A25" s="187"/>
      <c r="B25" s="188"/>
      <c r="C25" s="188"/>
      <c r="D25" s="188"/>
      <c r="E25" s="188"/>
      <c r="F25" s="188"/>
      <c r="G25" s="188"/>
      <c r="H25" s="188"/>
      <c r="I25" s="37"/>
      <c r="J25" s="37"/>
      <c r="K25" s="39"/>
    </row>
    <row r="26" spans="1:11" x14ac:dyDescent="0.3">
      <c r="D26" s="61"/>
      <c r="E26" s="40"/>
      <c r="F26" s="40"/>
    </row>
    <row r="28" spans="1:11" x14ac:dyDescent="0.3">
      <c r="J28" s="82">
        <f>I24</f>
        <v>3251138.7102499995</v>
      </c>
      <c r="K28" s="11">
        <f>J28/'Dados Gerais'!E15</f>
        <v>84.600100346114402</v>
      </c>
    </row>
  </sheetData>
  <mergeCells count="32">
    <mergeCell ref="B10:F10"/>
    <mergeCell ref="J10:K10"/>
    <mergeCell ref="A2:K4"/>
    <mergeCell ref="B7:K7"/>
    <mergeCell ref="B8:K8"/>
    <mergeCell ref="J9:K9"/>
    <mergeCell ref="B9:H9"/>
    <mergeCell ref="A16:C16"/>
    <mergeCell ref="I16:J16"/>
    <mergeCell ref="I20:J20"/>
    <mergeCell ref="A19:C19"/>
    <mergeCell ref="I19:J19"/>
    <mergeCell ref="A14:C14"/>
    <mergeCell ref="D14:E14"/>
    <mergeCell ref="F14:G14"/>
    <mergeCell ref="I14:J14"/>
    <mergeCell ref="A15:C15"/>
    <mergeCell ref="I15:J15"/>
    <mergeCell ref="A25:H25"/>
    <mergeCell ref="A17:C17"/>
    <mergeCell ref="I17:J17"/>
    <mergeCell ref="A18:C18"/>
    <mergeCell ref="I18:J18"/>
    <mergeCell ref="A23:C23"/>
    <mergeCell ref="I23:J23"/>
    <mergeCell ref="A24:H24"/>
    <mergeCell ref="I24:J24"/>
    <mergeCell ref="A22:C22"/>
    <mergeCell ref="I22:J22"/>
    <mergeCell ref="A21:C21"/>
    <mergeCell ref="I21:J21"/>
    <mergeCell ref="A20:C20"/>
  </mergeCells>
  <dataValidations disablePrompts="1" count="1">
    <dataValidation type="list" allowBlank="1" showInputMessage="1" showErrorMessage="1" sqref="J10" xr:uid="{00000000-0002-0000-05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7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3C66"/>
  </sheetPr>
  <dimension ref="A1:N72"/>
  <sheetViews>
    <sheetView showGridLines="0" topLeftCell="A14" zoomScaleNormal="100" zoomScaleSheetLayoutView="95" workbookViewId="0">
      <selection activeCell="F21" sqref="F21"/>
    </sheetView>
  </sheetViews>
  <sheetFormatPr defaultColWidth="9.109375" defaultRowHeight="13.2" x14ac:dyDescent="0.3"/>
  <cols>
    <col min="1" max="1" width="35.5546875" style="11" bestFit="1" customWidth="1"/>
    <col min="2" max="2" width="11.77734375" style="63" bestFit="1" customWidth="1"/>
    <col min="3" max="3" width="12.5546875" style="63" customWidth="1"/>
    <col min="4" max="4" width="14" style="63" customWidth="1"/>
    <col min="5" max="5" width="7.5546875" style="69" customWidth="1"/>
    <col min="6" max="6" width="11.6640625" style="18" bestFit="1" customWidth="1"/>
    <col min="7" max="7" width="15.88671875" style="11" customWidth="1"/>
    <col min="8" max="8" width="12.88671875" style="11" customWidth="1"/>
    <col min="9" max="9" width="9.33203125" style="11" customWidth="1"/>
    <col min="10" max="10" width="7.33203125" style="11" bestFit="1" customWidth="1"/>
    <col min="11" max="11" width="6.44140625" style="11" customWidth="1"/>
    <col min="12" max="12" width="11.33203125" style="11" bestFit="1" customWidth="1"/>
    <col min="13" max="13" width="14.5546875" style="11" bestFit="1" customWidth="1"/>
    <col min="14" max="16384" width="9.109375" style="11"/>
  </cols>
  <sheetData>
    <row r="1" spans="1:13" x14ac:dyDescent="0.3">
      <c r="A1" s="1"/>
      <c r="B1" s="56"/>
      <c r="C1" s="56"/>
      <c r="D1" s="56"/>
      <c r="E1" s="65"/>
      <c r="F1" s="19"/>
      <c r="G1" s="1"/>
      <c r="H1" s="1"/>
      <c r="I1" s="1"/>
      <c r="J1" s="1"/>
      <c r="K1" s="1"/>
      <c r="M1" s="12"/>
    </row>
    <row r="2" spans="1:13" x14ac:dyDescent="0.3">
      <c r="A2" s="157" t="s">
        <v>85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12"/>
    </row>
    <row r="3" spans="1:13" x14ac:dyDescent="0.3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M3" s="12"/>
    </row>
    <row r="4" spans="1:13" x14ac:dyDescent="0.3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M4" s="12"/>
    </row>
    <row r="5" spans="1:13" ht="13.8" thickBot="1" x14ac:dyDescent="0.35">
      <c r="A5" s="2"/>
      <c r="B5" s="57"/>
      <c r="C5" s="57"/>
      <c r="D5" s="57"/>
      <c r="E5" s="66"/>
      <c r="F5" s="20"/>
      <c r="G5" s="3"/>
      <c r="H5" s="3"/>
      <c r="I5" s="3"/>
      <c r="J5" s="3"/>
      <c r="K5" s="3"/>
      <c r="M5" s="12"/>
    </row>
    <row r="6" spans="1:13" x14ac:dyDescent="0.3">
      <c r="A6" s="4"/>
      <c r="B6" s="116"/>
      <c r="C6" s="116"/>
      <c r="D6" s="58"/>
      <c r="E6" s="67"/>
      <c r="F6" s="19"/>
      <c r="G6" s="1"/>
      <c r="H6" s="1"/>
      <c r="I6" s="1"/>
      <c r="J6" s="1"/>
      <c r="K6" s="1"/>
      <c r="M6" s="12"/>
    </row>
    <row r="7" spans="1:13" x14ac:dyDescent="0.3">
      <c r="A7" s="5" t="s">
        <v>0</v>
      </c>
      <c r="B7" s="159" t="s">
        <v>182</v>
      </c>
      <c r="C7" s="159"/>
      <c r="D7" s="159"/>
      <c r="E7" s="159"/>
      <c r="F7" s="159"/>
      <c r="G7" s="159"/>
      <c r="H7" s="159"/>
      <c r="I7" s="159"/>
      <c r="J7" s="159"/>
      <c r="K7" s="159"/>
      <c r="M7" s="12"/>
    </row>
    <row r="8" spans="1:13" x14ac:dyDescent="0.3">
      <c r="A8" s="5" t="s">
        <v>1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M8" s="12"/>
    </row>
    <row r="9" spans="1:13" ht="15" customHeight="1" x14ac:dyDescent="0.3">
      <c r="A9" s="5" t="s">
        <v>2</v>
      </c>
      <c r="B9" s="161" t="s">
        <v>183</v>
      </c>
      <c r="C9" s="162"/>
      <c r="D9" s="162"/>
      <c r="E9" s="162"/>
      <c r="F9" s="162"/>
      <c r="G9" s="162"/>
      <c r="H9" s="163"/>
      <c r="I9" s="6" t="s">
        <v>6</v>
      </c>
      <c r="J9" s="160" t="s">
        <v>44</v>
      </c>
      <c r="K9" s="160"/>
    </row>
    <row r="10" spans="1:13" x14ac:dyDescent="0.3">
      <c r="A10" s="7" t="s">
        <v>3</v>
      </c>
      <c r="B10" s="164">
        <v>44294</v>
      </c>
      <c r="C10" s="165"/>
      <c r="D10" s="165"/>
      <c r="E10" s="165"/>
      <c r="F10" s="166"/>
      <c r="G10" s="9" t="s">
        <v>4</v>
      </c>
      <c r="H10" s="8" t="s">
        <v>5</v>
      </c>
      <c r="I10" s="6" t="s">
        <v>41</v>
      </c>
      <c r="J10" s="167" t="s">
        <v>8</v>
      </c>
      <c r="K10" s="168"/>
    </row>
    <row r="12" spans="1:13" x14ac:dyDescent="0.3">
      <c r="A12" s="21" t="s">
        <v>86</v>
      </c>
      <c r="B12" s="59"/>
      <c r="C12" s="59"/>
      <c r="D12" s="59"/>
      <c r="E12" s="41"/>
      <c r="F12" s="23"/>
      <c r="G12" s="22"/>
      <c r="H12" s="22"/>
      <c r="I12" s="22"/>
      <c r="J12" s="22"/>
      <c r="K12" s="24"/>
    </row>
    <row r="13" spans="1:13" ht="15.9" customHeight="1" x14ac:dyDescent="0.3">
      <c r="A13" s="25"/>
      <c r="B13" s="117"/>
      <c r="C13" s="117"/>
      <c r="D13" s="60"/>
      <c r="E13" s="68"/>
      <c r="F13" s="26"/>
      <c r="G13" s="26"/>
      <c r="H13" s="26"/>
      <c r="K13" s="27"/>
    </row>
    <row r="14" spans="1:13" ht="15.9" customHeight="1" x14ac:dyDescent="0.3">
      <c r="A14" s="169" t="s">
        <v>35</v>
      </c>
      <c r="B14" s="170"/>
      <c r="C14" s="170"/>
      <c r="D14" s="206" t="s">
        <v>52</v>
      </c>
      <c r="E14" s="207"/>
      <c r="F14" s="171" t="s">
        <v>24</v>
      </c>
      <c r="G14" s="173"/>
      <c r="H14" s="28" t="s">
        <v>40</v>
      </c>
      <c r="I14" s="171" t="s">
        <v>39</v>
      </c>
      <c r="J14" s="173"/>
      <c r="K14" s="27"/>
    </row>
    <row r="15" spans="1:13" ht="15.9" customHeight="1" x14ac:dyDescent="0.3">
      <c r="A15" s="196" t="s">
        <v>87</v>
      </c>
      <c r="B15" s="197"/>
      <c r="C15" s="198"/>
      <c r="D15" s="72">
        <v>1</v>
      </c>
      <c r="E15" s="55" t="s">
        <v>67</v>
      </c>
      <c r="F15" s="48">
        <v>10</v>
      </c>
      <c r="G15" s="29" t="s">
        <v>25</v>
      </c>
      <c r="H15" s="79" t="s">
        <v>168</v>
      </c>
      <c r="I15" s="199">
        <f>+F15*'Dados Gerais'!$E$15</f>
        <v>384294.89999999997</v>
      </c>
      <c r="J15" s="201"/>
      <c r="K15" s="31"/>
    </row>
    <row r="16" spans="1:13" ht="15.9" customHeight="1" x14ac:dyDescent="0.3">
      <c r="A16" s="189" t="s">
        <v>88</v>
      </c>
      <c r="B16" s="190"/>
      <c r="C16" s="191"/>
      <c r="D16" s="75">
        <v>1</v>
      </c>
      <c r="E16" s="76" t="s">
        <v>67</v>
      </c>
      <c r="F16" s="51">
        <v>12</v>
      </c>
      <c r="G16" s="52" t="s">
        <v>25</v>
      </c>
      <c r="H16" s="80" t="s">
        <v>168</v>
      </c>
      <c r="I16" s="176">
        <f>+F16*'Dados Gerais'!$E$15</f>
        <v>461153.88</v>
      </c>
      <c r="J16" s="178"/>
      <c r="K16" s="31"/>
    </row>
    <row r="17" spans="1:11" ht="15.9" customHeight="1" x14ac:dyDescent="0.3">
      <c r="A17" s="189" t="s">
        <v>89</v>
      </c>
      <c r="B17" s="190"/>
      <c r="C17" s="191"/>
      <c r="D17" s="75">
        <v>1</v>
      </c>
      <c r="E17" s="76" t="s">
        <v>67</v>
      </c>
      <c r="F17" s="51">
        <v>36</v>
      </c>
      <c r="G17" s="52" t="s">
        <v>25</v>
      </c>
      <c r="H17" s="80" t="s">
        <v>168</v>
      </c>
      <c r="I17" s="176">
        <f>+F17*'Dados Gerais'!$E$15</f>
        <v>1383461.64</v>
      </c>
      <c r="J17" s="178"/>
      <c r="K17" s="31"/>
    </row>
    <row r="18" spans="1:11" ht="15.9" customHeight="1" x14ac:dyDescent="0.3">
      <c r="A18" s="189" t="s">
        <v>90</v>
      </c>
      <c r="B18" s="190"/>
      <c r="C18" s="191"/>
      <c r="D18" s="73">
        <v>1</v>
      </c>
      <c r="E18" s="62" t="s">
        <v>67</v>
      </c>
      <c r="F18" s="49">
        <v>20</v>
      </c>
      <c r="G18" s="32" t="s">
        <v>25</v>
      </c>
      <c r="H18" s="77" t="s">
        <v>168</v>
      </c>
      <c r="I18" s="176">
        <f>+F18*'Dados Gerais'!$E$15</f>
        <v>768589.79999999993</v>
      </c>
      <c r="J18" s="178"/>
      <c r="K18" s="31"/>
    </row>
    <row r="19" spans="1:11" ht="15.9" customHeight="1" x14ac:dyDescent="0.3">
      <c r="A19" s="189" t="s">
        <v>195</v>
      </c>
      <c r="B19" s="190"/>
      <c r="C19" s="191"/>
      <c r="D19" s="73">
        <v>1</v>
      </c>
      <c r="E19" s="62" t="s">
        <v>67</v>
      </c>
      <c r="F19" s="49">
        <v>20</v>
      </c>
      <c r="G19" s="32" t="s">
        <v>25</v>
      </c>
      <c r="H19" s="77" t="s">
        <v>168</v>
      </c>
      <c r="I19" s="176">
        <f>+F19*'Dados Gerais'!$E$15</f>
        <v>768589.79999999993</v>
      </c>
      <c r="J19" s="178"/>
      <c r="K19" s="31"/>
    </row>
    <row r="20" spans="1:11" ht="15.9" customHeight="1" x14ac:dyDescent="0.3">
      <c r="A20" s="189" t="s">
        <v>91</v>
      </c>
      <c r="B20" s="190"/>
      <c r="C20" s="191"/>
      <c r="D20" s="73">
        <v>1</v>
      </c>
      <c r="E20" s="62" t="s">
        <v>67</v>
      </c>
      <c r="F20" s="49">
        <v>21</v>
      </c>
      <c r="G20" s="32" t="s">
        <v>25</v>
      </c>
      <c r="H20" s="77" t="s">
        <v>168</v>
      </c>
      <c r="I20" s="176">
        <f>+F20*'Dados Gerais'!$E$15</f>
        <v>807019.28999999992</v>
      </c>
      <c r="J20" s="178"/>
      <c r="K20" s="31"/>
    </row>
    <row r="21" spans="1:11" ht="15.9" customHeight="1" x14ac:dyDescent="0.3">
      <c r="A21" s="223" t="s">
        <v>92</v>
      </c>
      <c r="B21" s="224"/>
      <c r="C21" s="225"/>
      <c r="D21" s="78">
        <v>0</v>
      </c>
      <c r="E21" s="70" t="s">
        <v>67</v>
      </c>
      <c r="F21" s="50">
        <v>0</v>
      </c>
      <c r="G21" s="36" t="s">
        <v>25</v>
      </c>
      <c r="H21" s="71" t="s">
        <v>168</v>
      </c>
      <c r="I21" s="192">
        <f>+F21*'Dados Gerais'!$E$15</f>
        <v>0</v>
      </c>
      <c r="J21" s="194"/>
      <c r="K21" s="31"/>
    </row>
    <row r="22" spans="1:11" ht="15.9" customHeight="1" x14ac:dyDescent="0.3">
      <c r="A22" s="208" t="s">
        <v>43</v>
      </c>
      <c r="B22" s="208"/>
      <c r="C22" s="208"/>
      <c r="D22" s="208"/>
      <c r="E22" s="208"/>
      <c r="F22" s="208"/>
      <c r="G22" s="208"/>
      <c r="H22" s="208"/>
      <c r="I22" s="204">
        <f>SUM(I15:J21)</f>
        <v>4573109.3099999996</v>
      </c>
      <c r="J22" s="204"/>
      <c r="K22" s="35"/>
    </row>
    <row r="23" spans="1:11" ht="15.9" customHeight="1" x14ac:dyDescent="0.3">
      <c r="A23" s="187"/>
      <c r="B23" s="188"/>
      <c r="C23" s="188"/>
      <c r="D23" s="188"/>
      <c r="E23" s="188"/>
      <c r="F23" s="188"/>
      <c r="G23" s="188"/>
      <c r="H23" s="188"/>
      <c r="I23" s="37"/>
      <c r="J23" s="37"/>
      <c r="K23" s="39"/>
    </row>
    <row r="24" spans="1:11" x14ac:dyDescent="0.3">
      <c r="A24" s="21" t="s">
        <v>93</v>
      </c>
      <c r="B24" s="59"/>
      <c r="C24" s="59"/>
      <c r="D24" s="59"/>
      <c r="E24" s="41"/>
      <c r="F24" s="23"/>
      <c r="G24" s="22"/>
      <c r="H24" s="22"/>
      <c r="I24" s="22"/>
      <c r="J24" s="22"/>
      <c r="K24" s="24"/>
    </row>
    <row r="25" spans="1:11" x14ac:dyDescent="0.3">
      <c r="A25" s="25"/>
      <c r="B25" s="117"/>
      <c r="C25" s="117"/>
      <c r="D25" s="60"/>
      <c r="E25" s="68"/>
      <c r="F25" s="26"/>
      <c r="G25" s="26"/>
      <c r="H25" s="26"/>
      <c r="K25" s="27"/>
    </row>
    <row r="26" spans="1:11" x14ac:dyDescent="0.3">
      <c r="A26" s="169" t="s">
        <v>35</v>
      </c>
      <c r="B26" s="170"/>
      <c r="C26" s="170"/>
      <c r="D26" s="206" t="s">
        <v>52</v>
      </c>
      <c r="E26" s="207"/>
      <c r="F26" s="171" t="s">
        <v>24</v>
      </c>
      <c r="G26" s="173"/>
      <c r="H26" s="28" t="s">
        <v>40</v>
      </c>
      <c r="I26" s="171" t="s">
        <v>39</v>
      </c>
      <c r="J26" s="173"/>
      <c r="K26" s="27"/>
    </row>
    <row r="27" spans="1:11" ht="15.75" customHeight="1" x14ac:dyDescent="0.3">
      <c r="A27" s="226" t="s">
        <v>94</v>
      </c>
      <c r="B27" s="227"/>
      <c r="C27" s="228"/>
      <c r="D27" s="72">
        <v>1</v>
      </c>
      <c r="E27" s="55" t="s">
        <v>67</v>
      </c>
      <c r="F27" s="48">
        <v>32</v>
      </c>
      <c r="G27" s="29" t="s">
        <v>25</v>
      </c>
      <c r="H27" s="79" t="s">
        <v>168</v>
      </c>
      <c r="I27" s="199">
        <f>+F27*'Dados Gerais'!$E$15</f>
        <v>1229743.68</v>
      </c>
      <c r="J27" s="201"/>
      <c r="K27" s="31"/>
    </row>
    <row r="28" spans="1:11" ht="15.75" customHeight="1" x14ac:dyDescent="0.3">
      <c r="A28" s="229" t="s">
        <v>95</v>
      </c>
      <c r="B28" s="230"/>
      <c r="C28" s="231"/>
      <c r="D28" s="75">
        <v>1</v>
      </c>
      <c r="E28" s="76" t="s">
        <v>67</v>
      </c>
      <c r="F28" s="51">
        <v>32</v>
      </c>
      <c r="G28" s="52" t="s">
        <v>25</v>
      </c>
      <c r="H28" s="80" t="s">
        <v>168</v>
      </c>
      <c r="I28" s="176">
        <f>+F28*'Dados Gerais'!$E$15</f>
        <v>1229743.68</v>
      </c>
      <c r="J28" s="178"/>
      <c r="K28" s="31"/>
    </row>
    <row r="29" spans="1:11" ht="15.75" customHeight="1" x14ac:dyDescent="0.3">
      <c r="A29" s="229" t="s">
        <v>96</v>
      </c>
      <c r="B29" s="230"/>
      <c r="C29" s="231"/>
      <c r="D29" s="75">
        <v>1</v>
      </c>
      <c r="E29" s="76" t="s">
        <v>67</v>
      </c>
      <c r="F29" s="51">
        <v>10</v>
      </c>
      <c r="G29" s="52" t="s">
        <v>25</v>
      </c>
      <c r="H29" s="80" t="s">
        <v>168</v>
      </c>
      <c r="I29" s="176">
        <f>+F29*'Dados Gerais'!$E$15</f>
        <v>384294.89999999997</v>
      </c>
      <c r="J29" s="178"/>
      <c r="K29" s="31"/>
    </row>
    <row r="30" spans="1:11" ht="15.75" customHeight="1" x14ac:dyDescent="0.3">
      <c r="A30" s="229" t="s">
        <v>97</v>
      </c>
      <c r="B30" s="230"/>
      <c r="C30" s="231"/>
      <c r="D30" s="75">
        <v>1</v>
      </c>
      <c r="E30" s="76" t="s">
        <v>67</v>
      </c>
      <c r="F30" s="51">
        <v>15</v>
      </c>
      <c r="G30" s="52" t="s">
        <v>25</v>
      </c>
      <c r="H30" s="80" t="s">
        <v>168</v>
      </c>
      <c r="I30" s="176">
        <f>+F30*'Dados Gerais'!$E$15</f>
        <v>576442.35</v>
      </c>
      <c r="J30" s="178"/>
      <c r="K30" s="31"/>
    </row>
    <row r="31" spans="1:11" ht="15.75" customHeight="1" x14ac:dyDescent="0.3">
      <c r="A31" s="229" t="s">
        <v>98</v>
      </c>
      <c r="B31" s="230"/>
      <c r="C31" s="231"/>
      <c r="D31" s="73">
        <v>1</v>
      </c>
      <c r="E31" s="62" t="s">
        <v>67</v>
      </c>
      <c r="F31" s="49">
        <v>0</v>
      </c>
      <c r="G31" s="32" t="s">
        <v>25</v>
      </c>
      <c r="H31" s="77" t="s">
        <v>168</v>
      </c>
      <c r="I31" s="176">
        <f>+F31*'Dados Gerais'!$E$15</f>
        <v>0</v>
      </c>
      <c r="J31" s="178"/>
      <c r="K31" s="31"/>
    </row>
    <row r="32" spans="1:11" ht="15.75" customHeight="1" x14ac:dyDescent="0.3">
      <c r="A32" s="229" t="s">
        <v>99</v>
      </c>
      <c r="B32" s="230"/>
      <c r="C32" s="231"/>
      <c r="D32" s="73">
        <v>1</v>
      </c>
      <c r="E32" s="62" t="s">
        <v>67</v>
      </c>
      <c r="F32" s="49">
        <v>45</v>
      </c>
      <c r="G32" s="32" t="s">
        <v>25</v>
      </c>
      <c r="H32" s="77" t="s">
        <v>168</v>
      </c>
      <c r="I32" s="176">
        <f>+F32*'Dados Gerais'!$E$15+7500*4*2</f>
        <v>1789327.0499999998</v>
      </c>
      <c r="J32" s="178"/>
      <c r="K32" s="31"/>
    </row>
    <row r="33" spans="1:14" ht="15.75" customHeight="1" x14ac:dyDescent="0.3">
      <c r="A33" s="229" t="s">
        <v>100</v>
      </c>
      <c r="B33" s="230"/>
      <c r="C33" s="231"/>
      <c r="D33" s="78">
        <v>0</v>
      </c>
      <c r="E33" s="70" t="s">
        <v>67</v>
      </c>
      <c r="F33" s="50">
        <v>0</v>
      </c>
      <c r="G33" s="36" t="s">
        <v>25</v>
      </c>
      <c r="H33" s="71" t="s">
        <v>168</v>
      </c>
      <c r="I33" s="192">
        <f>+F33*'Dados Gerais'!$E$15</f>
        <v>0</v>
      </c>
      <c r="J33" s="194"/>
      <c r="K33" s="31"/>
    </row>
    <row r="34" spans="1:14" x14ac:dyDescent="0.3">
      <c r="A34" s="208" t="s">
        <v>43</v>
      </c>
      <c r="B34" s="208"/>
      <c r="C34" s="208"/>
      <c r="D34" s="208"/>
      <c r="E34" s="208"/>
      <c r="F34" s="208"/>
      <c r="G34" s="208"/>
      <c r="H34" s="208"/>
      <c r="I34" s="204">
        <f>SUM(I27:J33)</f>
        <v>5209551.66</v>
      </c>
      <c r="J34" s="204"/>
      <c r="K34" s="35"/>
    </row>
    <row r="35" spans="1:14" x14ac:dyDescent="0.3">
      <c r="A35" s="187"/>
      <c r="B35" s="188"/>
      <c r="C35" s="188"/>
      <c r="D35" s="188"/>
      <c r="E35" s="188"/>
      <c r="F35" s="188"/>
      <c r="G35" s="188"/>
      <c r="H35" s="188"/>
      <c r="I35" s="37"/>
      <c r="J35" s="37"/>
      <c r="K35" s="39"/>
    </row>
    <row r="37" spans="1:14" x14ac:dyDescent="0.3">
      <c r="A37" s="21" t="s">
        <v>101</v>
      </c>
      <c r="B37" s="59"/>
      <c r="C37" s="59"/>
      <c r="D37" s="59"/>
      <c r="E37" s="41"/>
      <c r="F37" s="23"/>
      <c r="G37" s="22"/>
      <c r="H37" s="22"/>
      <c r="I37" s="22"/>
      <c r="J37" s="22"/>
      <c r="K37" s="24"/>
    </row>
    <row r="38" spans="1:14" x14ac:dyDescent="0.3">
      <c r="A38" s="25"/>
      <c r="B38" s="117"/>
      <c r="C38" s="117"/>
      <c r="D38" s="60"/>
      <c r="E38" s="68"/>
      <c r="F38" s="26"/>
      <c r="G38" s="26"/>
      <c r="H38" s="26"/>
      <c r="K38" s="27"/>
    </row>
    <row r="39" spans="1:14" ht="15.75" customHeight="1" x14ac:dyDescent="0.3">
      <c r="A39" s="169" t="s">
        <v>35</v>
      </c>
      <c r="B39" s="170"/>
      <c r="C39" s="170"/>
      <c r="D39" s="206" t="s">
        <v>52</v>
      </c>
      <c r="E39" s="207"/>
      <c r="F39" s="171" t="s">
        <v>24</v>
      </c>
      <c r="G39" s="173"/>
      <c r="H39" s="28" t="s">
        <v>40</v>
      </c>
      <c r="I39" s="171" t="s">
        <v>39</v>
      </c>
      <c r="J39" s="173"/>
      <c r="K39" s="27"/>
    </row>
    <row r="40" spans="1:14" ht="15.75" customHeight="1" x14ac:dyDescent="0.3">
      <c r="A40" s="226" t="s">
        <v>102</v>
      </c>
      <c r="B40" s="227"/>
      <c r="C40" s="228"/>
      <c r="D40" s="72">
        <v>1</v>
      </c>
      <c r="E40" s="55" t="s">
        <v>67</v>
      </c>
      <c r="F40" s="48">
        <v>25</v>
      </c>
      <c r="G40" s="29" t="s">
        <v>25</v>
      </c>
      <c r="H40" s="79" t="s">
        <v>168</v>
      </c>
      <c r="I40" s="199">
        <f>+F40*'Dados Gerais'!$E$15</f>
        <v>960737.25</v>
      </c>
      <c r="J40" s="201"/>
      <c r="K40" s="31"/>
      <c r="L40" s="82"/>
      <c r="M40" s="83"/>
      <c r="N40" s="83"/>
    </row>
    <row r="41" spans="1:14" ht="15.75" customHeight="1" x14ac:dyDescent="0.3">
      <c r="A41" s="229" t="s">
        <v>103</v>
      </c>
      <c r="B41" s="230"/>
      <c r="C41" s="231"/>
      <c r="D41" s="75">
        <v>1</v>
      </c>
      <c r="E41" s="76" t="s">
        <v>67</v>
      </c>
      <c r="F41" s="51">
        <v>5</v>
      </c>
      <c r="G41" s="52" t="s">
        <v>25</v>
      </c>
      <c r="H41" s="80" t="s">
        <v>168</v>
      </c>
      <c r="I41" s="176">
        <f>+F41*'Dados Gerais'!$E$15</f>
        <v>192147.44999999998</v>
      </c>
      <c r="J41" s="178"/>
      <c r="K41" s="31"/>
      <c r="L41" s="82"/>
    </row>
    <row r="42" spans="1:14" ht="15.75" customHeight="1" x14ac:dyDescent="0.3">
      <c r="A42" s="232" t="s">
        <v>196</v>
      </c>
      <c r="B42" s="233"/>
      <c r="C42" s="234"/>
      <c r="D42" s="75">
        <v>1</v>
      </c>
      <c r="E42" s="76" t="s">
        <v>67</v>
      </c>
      <c r="F42" s="51">
        <v>10</v>
      </c>
      <c r="G42" s="52" t="s">
        <v>25</v>
      </c>
      <c r="H42" s="80" t="s">
        <v>168</v>
      </c>
      <c r="I42" s="176">
        <f>+F42*'Dados Gerais'!$E$15</f>
        <v>384294.89999999997</v>
      </c>
      <c r="J42" s="178"/>
      <c r="K42" s="31"/>
      <c r="L42" s="82"/>
    </row>
    <row r="43" spans="1:14" ht="15.75" customHeight="1" x14ac:dyDescent="0.3">
      <c r="A43" s="232" t="s">
        <v>197</v>
      </c>
      <c r="B43" s="233"/>
      <c r="C43" s="234"/>
      <c r="D43" s="75">
        <v>0</v>
      </c>
      <c r="E43" s="76" t="s">
        <v>67</v>
      </c>
      <c r="F43" s="51">
        <v>0</v>
      </c>
      <c r="G43" s="52" t="s">
        <v>25</v>
      </c>
      <c r="H43" s="80" t="s">
        <v>168</v>
      </c>
      <c r="I43" s="176">
        <f>+F43*'Dados Gerais'!$E$15</f>
        <v>0</v>
      </c>
      <c r="J43" s="178"/>
      <c r="K43" s="31"/>
      <c r="L43" s="82"/>
    </row>
    <row r="44" spans="1:14" ht="15.75" customHeight="1" x14ac:dyDescent="0.3">
      <c r="A44" s="208" t="s">
        <v>43</v>
      </c>
      <c r="B44" s="208"/>
      <c r="C44" s="208"/>
      <c r="D44" s="208"/>
      <c r="E44" s="208"/>
      <c r="F44" s="208"/>
      <c r="G44" s="208"/>
      <c r="H44" s="208"/>
      <c r="I44" s="204">
        <f>SUM(I40:J43)</f>
        <v>1537179.5999999999</v>
      </c>
      <c r="J44" s="204"/>
      <c r="K44" s="35"/>
      <c r="L44" s="82"/>
      <c r="M44" s="82">
        <f>I44+I34+I22</f>
        <v>11319840.57</v>
      </c>
      <c r="N44" s="63">
        <f>M44/'Dados Gerais'!E15</f>
        <v>294.56130096964597</v>
      </c>
    </row>
    <row r="45" spans="1:14" x14ac:dyDescent="0.3">
      <c r="A45" s="187"/>
      <c r="B45" s="188"/>
      <c r="C45" s="188"/>
      <c r="D45" s="188"/>
      <c r="E45" s="188"/>
      <c r="F45" s="188"/>
      <c r="G45" s="188"/>
      <c r="H45" s="188"/>
      <c r="I45" s="37"/>
      <c r="J45" s="37"/>
      <c r="K45" s="39"/>
    </row>
    <row r="48" spans="1:14" ht="14.4" x14ac:dyDescent="0.3">
      <c r="A48" s="11" t="s">
        <v>309</v>
      </c>
      <c r="B48" s="129">
        <v>4811.62</v>
      </c>
    </row>
    <row r="49" spans="1:4" x14ac:dyDescent="0.3">
      <c r="C49" s="63" t="s">
        <v>361</v>
      </c>
    </row>
    <row r="50" spans="1:4" x14ac:dyDescent="0.3">
      <c r="A50" s="130" t="s">
        <v>345</v>
      </c>
      <c r="B50" s="131">
        <v>50310.239999999998</v>
      </c>
      <c r="C50" s="131">
        <f t="shared" ref="C50:C60" si="0">B50/$B$48</f>
        <v>10.455987796210009</v>
      </c>
    </row>
    <row r="51" spans="1:4" x14ac:dyDescent="0.3">
      <c r="A51" s="130" t="s">
        <v>87</v>
      </c>
      <c r="B51" s="131">
        <v>47231.41</v>
      </c>
      <c r="C51" s="131">
        <f t="shared" si="0"/>
        <v>9.8161139075820625</v>
      </c>
    </row>
    <row r="52" spans="1:4" x14ac:dyDescent="0.3">
      <c r="A52" s="130" t="s">
        <v>346</v>
      </c>
      <c r="B52" s="131">
        <v>171028.56</v>
      </c>
      <c r="C52" s="131">
        <f t="shared" si="0"/>
        <v>35.544901717093204</v>
      </c>
    </row>
    <row r="53" spans="1:4" x14ac:dyDescent="0.3">
      <c r="A53" s="130" t="s">
        <v>347</v>
      </c>
      <c r="B53" s="131">
        <f>165337.19+233.6</f>
        <v>165570.79</v>
      </c>
      <c r="C53" s="131">
        <f t="shared" si="0"/>
        <v>34.410612226235656</v>
      </c>
      <c r="D53" s="63">
        <f>C53/2</f>
        <v>17.205306113117828</v>
      </c>
    </row>
    <row r="54" spans="1:4" x14ac:dyDescent="0.3">
      <c r="A54" s="130" t="s">
        <v>348</v>
      </c>
      <c r="B54" s="131">
        <v>15196.95</v>
      </c>
      <c r="C54" s="131">
        <f t="shared" si="0"/>
        <v>3.1583853255244598</v>
      </c>
    </row>
    <row r="55" spans="1:4" x14ac:dyDescent="0.3">
      <c r="A55" s="11" t="s">
        <v>197</v>
      </c>
      <c r="B55" s="63">
        <v>224684.52</v>
      </c>
      <c r="C55" s="63">
        <f t="shared" si="0"/>
        <v>46.696231206953165</v>
      </c>
    </row>
    <row r="56" spans="1:4" x14ac:dyDescent="0.3">
      <c r="A56" s="130" t="s">
        <v>349</v>
      </c>
      <c r="B56" s="131">
        <v>13094.06</v>
      </c>
      <c r="C56" s="131">
        <f t="shared" si="0"/>
        <v>2.7213412530499084</v>
      </c>
    </row>
    <row r="57" spans="1:4" x14ac:dyDescent="0.3">
      <c r="A57" s="130" t="s">
        <v>350</v>
      </c>
      <c r="B57" s="131">
        <v>0</v>
      </c>
      <c r="C57" s="131">
        <f t="shared" si="0"/>
        <v>0</v>
      </c>
    </row>
    <row r="58" spans="1:4" x14ac:dyDescent="0.3">
      <c r="A58" s="130" t="s">
        <v>351</v>
      </c>
      <c r="B58" s="131">
        <v>90373.79</v>
      </c>
      <c r="C58" s="131">
        <f t="shared" si="0"/>
        <v>18.782403847352867</v>
      </c>
    </row>
    <row r="59" spans="1:4" x14ac:dyDescent="0.3">
      <c r="C59" s="63">
        <f t="shared" si="0"/>
        <v>0</v>
      </c>
    </row>
    <row r="60" spans="1:4" x14ac:dyDescent="0.3">
      <c r="C60" s="63">
        <f t="shared" si="0"/>
        <v>0</v>
      </c>
    </row>
    <row r="61" spans="1:4" x14ac:dyDescent="0.3">
      <c r="A61" s="11" t="s">
        <v>352</v>
      </c>
    </row>
    <row r="62" spans="1:4" x14ac:dyDescent="0.3">
      <c r="A62" s="130" t="s">
        <v>353</v>
      </c>
      <c r="B62" s="131">
        <v>289667.62</v>
      </c>
      <c r="C62" s="131">
        <f>B62/$B$48</f>
        <v>60.201682593388504</v>
      </c>
      <c r="D62" s="63">
        <f>C62/2</f>
        <v>30.100841296694252</v>
      </c>
    </row>
    <row r="63" spans="1:4" x14ac:dyDescent="0.3">
      <c r="A63" s="130" t="s">
        <v>354</v>
      </c>
      <c r="B63" s="131">
        <v>155913.04</v>
      </c>
      <c r="C63" s="131">
        <f>B63/$B$48</f>
        <v>32.403440005652982</v>
      </c>
      <c r="D63" s="11"/>
    </row>
    <row r="64" spans="1:4" x14ac:dyDescent="0.3">
      <c r="A64" s="130" t="s">
        <v>355</v>
      </c>
      <c r="B64" s="131">
        <v>47654.23</v>
      </c>
      <c r="C64" s="131">
        <f>B64/$B$48</f>
        <v>9.9039886774101031</v>
      </c>
    </row>
    <row r="65" spans="1:3" x14ac:dyDescent="0.3">
      <c r="A65" s="11" t="s">
        <v>64</v>
      </c>
      <c r="B65" s="63">
        <v>209995.12</v>
      </c>
      <c r="C65" s="63">
        <f>B65/$B$48</f>
        <v>43.643330105037386</v>
      </c>
    </row>
    <row r="66" spans="1:3" x14ac:dyDescent="0.3">
      <c r="C66" s="63">
        <f>B66/$B$48</f>
        <v>0</v>
      </c>
    </row>
    <row r="67" spans="1:3" x14ac:dyDescent="0.3">
      <c r="A67" s="11" t="s">
        <v>356</v>
      </c>
    </row>
    <row r="68" spans="1:3" x14ac:dyDescent="0.3">
      <c r="A68" s="130" t="s">
        <v>357</v>
      </c>
      <c r="B68" s="131">
        <v>6500</v>
      </c>
      <c r="C68" s="131">
        <f>B68/$B$48</f>
        <v>1.3508963717001758</v>
      </c>
    </row>
    <row r="69" spans="1:3" x14ac:dyDescent="0.3">
      <c r="A69" s="130" t="s">
        <v>358</v>
      </c>
      <c r="B69" s="131">
        <v>35228.199999999997</v>
      </c>
      <c r="C69" s="131">
        <f>B69/$B$48</f>
        <v>7.3214842402350975</v>
      </c>
    </row>
    <row r="70" spans="1:3" x14ac:dyDescent="0.3">
      <c r="A70" s="130" t="s">
        <v>359</v>
      </c>
      <c r="B70" s="131">
        <v>97223.76</v>
      </c>
      <c r="C70" s="131">
        <f>B70/$B$48</f>
        <v>20.206034558007488</v>
      </c>
    </row>
    <row r="71" spans="1:3" x14ac:dyDescent="0.3">
      <c r="A71" s="130" t="s">
        <v>360</v>
      </c>
      <c r="B71" s="131">
        <v>0</v>
      </c>
      <c r="C71" s="131">
        <f>B71/$B$48</f>
        <v>0</v>
      </c>
    </row>
    <row r="72" spans="1:3" x14ac:dyDescent="0.3">
      <c r="A72" s="130" t="s">
        <v>64</v>
      </c>
      <c r="B72" s="131">
        <v>103700.03</v>
      </c>
      <c r="C72" s="131">
        <f>B72/$B$48</f>
        <v>21.551999118799905</v>
      </c>
    </row>
  </sheetData>
  <mergeCells count="64">
    <mergeCell ref="A44:H44"/>
    <mergeCell ref="I44:J44"/>
    <mergeCell ref="A45:H45"/>
    <mergeCell ref="A41:C41"/>
    <mergeCell ref="I41:J41"/>
    <mergeCell ref="A42:C42"/>
    <mergeCell ref="I42:J42"/>
    <mergeCell ref="A43:C43"/>
    <mergeCell ref="I43:J43"/>
    <mergeCell ref="A39:C39"/>
    <mergeCell ref="D39:E39"/>
    <mergeCell ref="F39:G39"/>
    <mergeCell ref="I39:J39"/>
    <mergeCell ref="A40:C40"/>
    <mergeCell ref="I40:J40"/>
    <mergeCell ref="A33:C33"/>
    <mergeCell ref="I33:J33"/>
    <mergeCell ref="A34:H34"/>
    <mergeCell ref="I34:J34"/>
    <mergeCell ref="A35:H35"/>
    <mergeCell ref="A30:C30"/>
    <mergeCell ref="I30:J30"/>
    <mergeCell ref="A31:C31"/>
    <mergeCell ref="I31:J31"/>
    <mergeCell ref="A32:C32"/>
    <mergeCell ref="I32:J32"/>
    <mergeCell ref="A27:C27"/>
    <mergeCell ref="I27:J27"/>
    <mergeCell ref="A28:C28"/>
    <mergeCell ref="I28:J28"/>
    <mergeCell ref="A29:C29"/>
    <mergeCell ref="I29:J29"/>
    <mergeCell ref="B10:F10"/>
    <mergeCell ref="J10:K10"/>
    <mergeCell ref="A26:C26"/>
    <mergeCell ref="D26:E26"/>
    <mergeCell ref="F26:G26"/>
    <mergeCell ref="I26:J26"/>
    <mergeCell ref="A14:C14"/>
    <mergeCell ref="D14:E14"/>
    <mergeCell ref="F14:G14"/>
    <mergeCell ref="I14:J14"/>
    <mergeCell ref="A15:C15"/>
    <mergeCell ref="I15:J15"/>
    <mergeCell ref="A22:H22"/>
    <mergeCell ref="I22:J22"/>
    <mergeCell ref="A23:H23"/>
    <mergeCell ref="A16:C16"/>
    <mergeCell ref="A2:K4"/>
    <mergeCell ref="B7:K7"/>
    <mergeCell ref="B8:K8"/>
    <mergeCell ref="J9:K9"/>
    <mergeCell ref="B9:H9"/>
    <mergeCell ref="A17:C17"/>
    <mergeCell ref="I16:J16"/>
    <mergeCell ref="I17:J17"/>
    <mergeCell ref="A18:C18"/>
    <mergeCell ref="I18:J18"/>
    <mergeCell ref="A20:C20"/>
    <mergeCell ref="I20:J20"/>
    <mergeCell ref="A21:C21"/>
    <mergeCell ref="I21:J21"/>
    <mergeCell ref="A19:C19"/>
    <mergeCell ref="I19:J19"/>
  </mergeCells>
  <dataValidations disablePrompts="1" count="1">
    <dataValidation type="list" allowBlank="1" showInputMessage="1" showErrorMessage="1" sqref="J10" xr:uid="{00000000-0002-0000-06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EE1F-56B2-4D36-8402-222A573DBA20}">
  <sheetPr>
    <tabColor rgb="FF003C66"/>
  </sheetPr>
  <dimension ref="A1:P45"/>
  <sheetViews>
    <sheetView showGridLines="0" topLeftCell="A6" zoomScaleNormal="100" zoomScaleSheetLayoutView="95" workbookViewId="0">
      <selection activeCell="I17" sqref="I17:J17"/>
    </sheetView>
  </sheetViews>
  <sheetFormatPr defaultColWidth="9.109375" defaultRowHeight="13.2" x14ac:dyDescent="0.3"/>
  <cols>
    <col min="1" max="1" width="17.44140625" style="11" customWidth="1"/>
    <col min="2" max="2" width="9.88671875" style="11" customWidth="1"/>
    <col min="3" max="3" width="8.88671875" style="11" customWidth="1"/>
    <col min="4" max="4" width="14" style="63" customWidth="1"/>
    <col min="5" max="5" width="7.5546875" style="69" customWidth="1"/>
    <col min="6" max="6" width="20.6640625" style="18" customWidth="1"/>
    <col min="7" max="7" width="15.88671875" style="11" customWidth="1"/>
    <col min="8" max="8" width="12.88671875" style="11" customWidth="1"/>
    <col min="9" max="9" width="9.33203125" style="11" customWidth="1"/>
    <col min="10" max="10" width="13.44140625" style="11" bestFit="1" customWidth="1"/>
    <col min="11" max="11" width="8" style="11" bestFit="1" customWidth="1"/>
    <col min="12" max="12" width="17.88671875" style="11" bestFit="1" customWidth="1"/>
    <col min="13" max="13" width="17.88671875" style="11" customWidth="1"/>
    <col min="14" max="14" width="17.88671875" style="11" bestFit="1" customWidth="1"/>
    <col min="15" max="15" width="10" style="11" bestFit="1" customWidth="1"/>
    <col min="16" max="16" width="16" style="11" bestFit="1" customWidth="1"/>
    <col min="17" max="16384" width="9.109375" style="11"/>
  </cols>
  <sheetData>
    <row r="1" spans="1:16" x14ac:dyDescent="0.3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N1" s="12"/>
    </row>
    <row r="2" spans="1:16" x14ac:dyDescent="0.3">
      <c r="A2" s="157" t="s">
        <v>85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N2" s="12"/>
    </row>
    <row r="3" spans="1:16" x14ac:dyDescent="0.3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N3" s="12"/>
    </row>
    <row r="4" spans="1:16" x14ac:dyDescent="0.3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N4" s="12"/>
    </row>
    <row r="5" spans="1:16" ht="13.8" thickBot="1" x14ac:dyDescent="0.35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N5" s="12"/>
    </row>
    <row r="6" spans="1:16" x14ac:dyDescent="0.3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N6" s="12"/>
    </row>
    <row r="7" spans="1:16" x14ac:dyDescent="0.3">
      <c r="A7" s="5" t="s">
        <v>0</v>
      </c>
      <c r="B7" s="159" t="s">
        <v>261</v>
      </c>
      <c r="C7" s="159"/>
      <c r="D7" s="159"/>
      <c r="E7" s="159"/>
      <c r="F7" s="159"/>
      <c r="G7" s="159"/>
      <c r="H7" s="159"/>
      <c r="I7" s="159"/>
      <c r="J7" s="159"/>
      <c r="K7" s="159"/>
      <c r="N7" s="12"/>
    </row>
    <row r="8" spans="1:16" x14ac:dyDescent="0.3">
      <c r="A8" s="5" t="s">
        <v>1</v>
      </c>
      <c r="B8" s="160" t="s">
        <v>262</v>
      </c>
      <c r="C8" s="160"/>
      <c r="D8" s="160"/>
      <c r="E8" s="160"/>
      <c r="F8" s="160"/>
      <c r="G8" s="160"/>
      <c r="H8" s="160"/>
      <c r="I8" s="160"/>
      <c r="J8" s="160"/>
      <c r="K8" s="160"/>
      <c r="N8" s="12"/>
    </row>
    <row r="9" spans="1:16" ht="15" customHeight="1" x14ac:dyDescent="0.3">
      <c r="A9" s="5" t="s">
        <v>2</v>
      </c>
      <c r="B9" s="161" t="s">
        <v>263</v>
      </c>
      <c r="C9" s="162"/>
      <c r="D9" s="162"/>
      <c r="E9" s="162"/>
      <c r="F9" s="162"/>
      <c r="G9" s="162"/>
      <c r="H9" s="163"/>
      <c r="I9" s="6" t="s">
        <v>6</v>
      </c>
      <c r="J9" s="160" t="s">
        <v>44</v>
      </c>
      <c r="K9" s="160"/>
    </row>
    <row r="10" spans="1:16" x14ac:dyDescent="0.3">
      <c r="A10" s="7" t="s">
        <v>3</v>
      </c>
      <c r="B10" s="164">
        <v>44454</v>
      </c>
      <c r="C10" s="165"/>
      <c r="D10" s="165"/>
      <c r="E10" s="165"/>
      <c r="F10" s="166"/>
      <c r="G10" s="9" t="s">
        <v>4</v>
      </c>
      <c r="H10" s="8" t="s">
        <v>5</v>
      </c>
      <c r="I10" s="6" t="s">
        <v>41</v>
      </c>
      <c r="J10" s="167" t="s">
        <v>8</v>
      </c>
      <c r="K10" s="168"/>
    </row>
    <row r="12" spans="1:16" x14ac:dyDescent="0.3">
      <c r="A12" s="21" t="s">
        <v>104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6" x14ac:dyDescent="0.3">
      <c r="A13" s="25"/>
      <c r="B13" s="26"/>
      <c r="C13" s="26"/>
      <c r="D13" s="60"/>
      <c r="E13" s="68"/>
      <c r="F13" s="26"/>
      <c r="G13" s="26"/>
      <c r="H13" s="26"/>
      <c r="K13" s="27"/>
    </row>
    <row r="14" spans="1:16" ht="15.75" customHeight="1" x14ac:dyDescent="0.3">
      <c r="A14" s="169" t="s">
        <v>35</v>
      </c>
      <c r="B14" s="170"/>
      <c r="C14" s="170"/>
      <c r="D14" s="206" t="s">
        <v>52</v>
      </c>
      <c r="E14" s="207"/>
      <c r="F14" s="171" t="s">
        <v>24</v>
      </c>
      <c r="G14" s="173"/>
      <c r="H14" s="28" t="s">
        <v>40</v>
      </c>
      <c r="I14" s="171" t="s">
        <v>39</v>
      </c>
      <c r="J14" s="173"/>
      <c r="K14" s="27"/>
      <c r="N14" s="63"/>
      <c r="O14" s="63"/>
      <c r="P14" s="63"/>
    </row>
    <row r="15" spans="1:16" ht="15.75" customHeight="1" x14ac:dyDescent="0.3">
      <c r="A15" s="235" t="s">
        <v>266</v>
      </c>
      <c r="B15" s="235"/>
      <c r="C15" s="235"/>
      <c r="D15" s="73">
        <v>702</v>
      </c>
      <c r="E15" s="73" t="s">
        <v>19</v>
      </c>
      <c r="F15" s="49">
        <v>6500</v>
      </c>
      <c r="G15" s="32" t="s">
        <v>258</v>
      </c>
      <c r="H15" s="85" t="s">
        <v>168</v>
      </c>
      <c r="I15" s="176">
        <f>F15*D15</f>
        <v>4563000</v>
      </c>
      <c r="J15" s="178"/>
      <c r="K15" s="31"/>
    </row>
    <row r="16" spans="1:16" ht="15.75" customHeight="1" x14ac:dyDescent="0.3">
      <c r="A16" s="235" t="s">
        <v>363</v>
      </c>
      <c r="B16" s="235"/>
      <c r="C16" s="235"/>
      <c r="D16" s="73">
        <v>4062.32</v>
      </c>
      <c r="E16" s="73" t="s">
        <v>274</v>
      </c>
      <c r="F16" s="49">
        <v>200</v>
      </c>
      <c r="G16" s="32" t="s">
        <v>68</v>
      </c>
      <c r="H16" s="85" t="s">
        <v>168</v>
      </c>
      <c r="I16" s="176">
        <f>+D16*F16</f>
        <v>812464</v>
      </c>
      <c r="J16" s="178"/>
      <c r="K16" s="31"/>
    </row>
    <row r="17" spans="1:11" ht="15.75" customHeight="1" x14ac:dyDescent="0.3">
      <c r="A17" s="235" t="s">
        <v>267</v>
      </c>
      <c r="B17" s="235"/>
      <c r="C17" s="235"/>
      <c r="D17" s="73">
        <v>370</v>
      </c>
      <c r="E17" s="73" t="s">
        <v>19</v>
      </c>
      <c r="F17" s="49">
        <v>1200</v>
      </c>
      <c r="G17" s="32" t="s">
        <v>258</v>
      </c>
      <c r="H17" s="85" t="s">
        <v>168</v>
      </c>
      <c r="I17" s="176">
        <f>+D17*F17</f>
        <v>444000</v>
      </c>
      <c r="J17" s="178"/>
      <c r="K17" s="31"/>
    </row>
    <row r="18" spans="1:11" ht="15.75" customHeight="1" x14ac:dyDescent="0.3">
      <c r="A18" s="208" t="s">
        <v>43</v>
      </c>
      <c r="B18" s="208"/>
      <c r="C18" s="208"/>
      <c r="D18" s="208"/>
      <c r="E18" s="208"/>
      <c r="F18" s="208"/>
      <c r="G18" s="208"/>
      <c r="H18" s="208"/>
      <c r="I18" s="204">
        <f>SUM(I15:J17)</f>
        <v>5819464</v>
      </c>
      <c r="J18" s="204"/>
      <c r="K18" s="35"/>
    </row>
    <row r="19" spans="1:11" x14ac:dyDescent="0.3">
      <c r="A19" s="187"/>
      <c r="B19" s="188"/>
      <c r="C19" s="188"/>
      <c r="D19" s="188"/>
      <c r="E19" s="188"/>
      <c r="F19" s="188"/>
      <c r="G19" s="188"/>
      <c r="H19" s="188"/>
      <c r="I19" s="37"/>
      <c r="J19" s="37"/>
      <c r="K19" s="39"/>
    </row>
    <row r="22" spans="1:11" ht="15.75" customHeight="1" x14ac:dyDescent="0.3">
      <c r="A22" s="21" t="s">
        <v>264</v>
      </c>
      <c r="B22" s="22"/>
      <c r="C22" s="22"/>
      <c r="D22" s="59"/>
      <c r="E22" s="41"/>
      <c r="F22" s="23"/>
      <c r="G22" s="22"/>
      <c r="H22" s="22"/>
      <c r="I22" s="22"/>
      <c r="J22" s="22"/>
      <c r="K22" s="24"/>
    </row>
    <row r="23" spans="1:11" ht="15.75" customHeight="1" x14ac:dyDescent="0.3">
      <c r="A23" s="25"/>
      <c r="B23" s="26"/>
      <c r="C23" s="26"/>
      <c r="D23" s="60"/>
      <c r="E23" s="68"/>
      <c r="F23" s="26"/>
      <c r="G23" s="26"/>
      <c r="H23" s="26"/>
      <c r="K23" s="27"/>
    </row>
    <row r="24" spans="1:11" ht="15.75" customHeight="1" x14ac:dyDescent="0.3">
      <c r="A24" s="169" t="s">
        <v>35</v>
      </c>
      <c r="B24" s="170"/>
      <c r="C24" s="170"/>
      <c r="D24" s="206" t="s">
        <v>52</v>
      </c>
      <c r="E24" s="207"/>
      <c r="F24" s="171" t="s">
        <v>24</v>
      </c>
      <c r="G24" s="173"/>
      <c r="H24" s="28" t="s">
        <v>40</v>
      </c>
      <c r="I24" s="171" t="s">
        <v>39</v>
      </c>
      <c r="J24" s="173"/>
      <c r="K24" s="27"/>
    </row>
    <row r="25" spans="1:11" ht="15.75" customHeight="1" x14ac:dyDescent="0.3">
      <c r="A25" s="229" t="s">
        <v>265</v>
      </c>
      <c r="B25" s="230"/>
      <c r="C25" s="231"/>
      <c r="D25" s="73">
        <v>1</v>
      </c>
      <c r="E25" s="62" t="s">
        <v>67</v>
      </c>
      <c r="F25" s="49">
        <v>15</v>
      </c>
      <c r="G25" s="32" t="s">
        <v>25</v>
      </c>
      <c r="H25" s="77" t="s">
        <v>168</v>
      </c>
      <c r="I25" s="176">
        <f>+F25*'Dados Gerais'!E15</f>
        <v>576442.35</v>
      </c>
      <c r="J25" s="178"/>
      <c r="K25" s="31"/>
    </row>
    <row r="26" spans="1:11" ht="15.75" customHeight="1" x14ac:dyDescent="0.3">
      <c r="A26" s="208" t="s">
        <v>432</v>
      </c>
      <c r="B26" s="208"/>
      <c r="C26" s="208"/>
      <c r="D26" s="208"/>
      <c r="E26" s="208"/>
      <c r="F26" s="208"/>
      <c r="G26" s="208"/>
      <c r="H26" s="208"/>
      <c r="I26" s="204">
        <f>SUM(I25:J25)</f>
        <v>576442.35</v>
      </c>
      <c r="J26" s="204"/>
      <c r="K26" s="35"/>
    </row>
    <row r="27" spans="1:11" ht="15.75" customHeight="1" x14ac:dyDescent="0.3">
      <c r="A27" s="187"/>
      <c r="B27" s="188"/>
      <c r="C27" s="188"/>
      <c r="D27" s="188"/>
      <c r="E27" s="188"/>
      <c r="F27" s="188"/>
      <c r="G27" s="188"/>
      <c r="H27" s="188"/>
      <c r="I27" s="37"/>
      <c r="J27" s="37"/>
      <c r="K27" s="39"/>
    </row>
    <row r="29" spans="1:11" x14ac:dyDescent="0.3">
      <c r="A29" s="21" t="s">
        <v>45</v>
      </c>
      <c r="B29" s="22"/>
      <c r="C29" s="22"/>
      <c r="D29" s="59"/>
      <c r="E29" s="41"/>
      <c r="F29" s="23"/>
      <c r="G29" s="22"/>
      <c r="H29" s="22"/>
      <c r="I29" s="22"/>
      <c r="J29" s="22"/>
      <c r="K29" s="24"/>
    </row>
    <row r="30" spans="1:11" x14ac:dyDescent="0.3">
      <c r="A30" s="25"/>
      <c r="B30" s="26"/>
      <c r="C30" s="26"/>
      <c r="D30" s="60"/>
      <c r="E30" s="68"/>
      <c r="F30" s="26"/>
      <c r="G30" s="26"/>
      <c r="H30" s="26"/>
      <c r="K30" s="27"/>
    </row>
    <row r="31" spans="1:11" x14ac:dyDescent="0.3">
      <c r="A31" s="169" t="s">
        <v>35</v>
      </c>
      <c r="B31" s="170"/>
      <c r="C31" s="170"/>
      <c r="D31" s="206" t="s">
        <v>52</v>
      </c>
      <c r="E31" s="207"/>
      <c r="F31" s="171" t="s">
        <v>24</v>
      </c>
      <c r="G31" s="173"/>
      <c r="H31" s="28" t="s">
        <v>40</v>
      </c>
      <c r="I31" s="171" t="s">
        <v>39</v>
      </c>
      <c r="J31" s="173"/>
      <c r="K31" s="27"/>
    </row>
    <row r="32" spans="1:11" x14ac:dyDescent="0.3">
      <c r="A32" s="186" t="s">
        <v>364</v>
      </c>
      <c r="B32" s="186"/>
      <c r="C32" s="186"/>
      <c r="D32" s="72">
        <v>5</v>
      </c>
      <c r="E32" s="72" t="s">
        <v>19</v>
      </c>
      <c r="F32" s="81">
        <v>16500</v>
      </c>
      <c r="G32" s="29" t="s">
        <v>113</v>
      </c>
      <c r="H32" s="90" t="s">
        <v>168</v>
      </c>
      <c r="I32" s="199">
        <f>F32*D32*7</f>
        <v>577500</v>
      </c>
      <c r="J32" s="201"/>
      <c r="K32" s="27"/>
    </row>
    <row r="33" spans="1:11" x14ac:dyDescent="0.3">
      <c r="A33" s="185" t="s">
        <v>367</v>
      </c>
      <c r="B33" s="185"/>
      <c r="C33" s="185"/>
      <c r="D33" s="122">
        <v>2</v>
      </c>
      <c r="E33" s="73" t="s">
        <v>19</v>
      </c>
      <c r="F33" s="93">
        <v>13500</v>
      </c>
      <c r="G33" s="32" t="s">
        <v>145</v>
      </c>
      <c r="H33" s="85" t="s">
        <v>168</v>
      </c>
      <c r="I33" s="176">
        <f>F33*D33*7</f>
        <v>189000</v>
      </c>
      <c r="J33" s="178"/>
      <c r="K33" s="27"/>
    </row>
    <row r="34" spans="1:11" x14ac:dyDescent="0.3">
      <c r="A34" s="185" t="s">
        <v>365</v>
      </c>
      <c r="B34" s="185"/>
      <c r="C34" s="185"/>
      <c r="D34" s="122">
        <v>2</v>
      </c>
      <c r="E34" s="73" t="s">
        <v>19</v>
      </c>
      <c r="F34" s="93">
        <v>16500</v>
      </c>
      <c r="G34" s="32" t="s">
        <v>145</v>
      </c>
      <c r="H34" s="85" t="s">
        <v>168</v>
      </c>
      <c r="I34" s="176">
        <f>D34*F34*6</f>
        <v>198000</v>
      </c>
      <c r="J34" s="178"/>
      <c r="K34" s="27"/>
    </row>
    <row r="35" spans="1:11" x14ac:dyDescent="0.3">
      <c r="A35" s="185" t="s">
        <v>366</v>
      </c>
      <c r="B35" s="185"/>
      <c r="C35" s="185"/>
      <c r="D35" s="122">
        <v>4</v>
      </c>
      <c r="E35" s="73" t="s">
        <v>19</v>
      </c>
      <c r="F35" s="93">
        <v>16500</v>
      </c>
      <c r="G35" s="32" t="s">
        <v>145</v>
      </c>
      <c r="H35" s="85" t="s">
        <v>168</v>
      </c>
      <c r="I35" s="176">
        <f>D35*F35*5</f>
        <v>330000</v>
      </c>
      <c r="J35" s="178"/>
      <c r="K35" s="27"/>
    </row>
    <row r="36" spans="1:11" x14ac:dyDescent="0.3">
      <c r="A36" s="185" t="s">
        <v>362</v>
      </c>
      <c r="B36" s="185"/>
      <c r="C36" s="185"/>
      <c r="D36" s="122">
        <v>1</v>
      </c>
      <c r="E36" s="73" t="s">
        <v>67</v>
      </c>
      <c r="F36" s="93">
        <v>250000</v>
      </c>
      <c r="G36" s="32" t="s">
        <v>145</v>
      </c>
      <c r="H36" s="85" t="s">
        <v>168</v>
      </c>
      <c r="I36" s="176">
        <f>F36*D36</f>
        <v>250000</v>
      </c>
      <c r="J36" s="178"/>
      <c r="K36" s="27"/>
    </row>
    <row r="37" spans="1:11" x14ac:dyDescent="0.3">
      <c r="A37" s="185" t="s">
        <v>368</v>
      </c>
      <c r="B37" s="185"/>
      <c r="C37" s="185"/>
      <c r="D37" s="73">
        <v>1</v>
      </c>
      <c r="E37" s="73" t="s">
        <v>67</v>
      </c>
      <c r="F37" s="93">
        <v>200000</v>
      </c>
      <c r="G37" s="32" t="s">
        <v>145</v>
      </c>
      <c r="H37" s="85" t="s">
        <v>168</v>
      </c>
      <c r="I37" s="176">
        <f>+D37*F37</f>
        <v>200000</v>
      </c>
      <c r="J37" s="178"/>
      <c r="K37" s="27"/>
    </row>
    <row r="38" spans="1:11" x14ac:dyDescent="0.3">
      <c r="A38" s="185" t="s">
        <v>143</v>
      </c>
      <c r="B38" s="185"/>
      <c r="C38" s="185"/>
      <c r="D38" s="73">
        <v>1</v>
      </c>
      <c r="E38" s="73" t="s">
        <v>67</v>
      </c>
      <c r="F38" s="93">
        <v>350000</v>
      </c>
      <c r="G38" s="32" t="s">
        <v>145</v>
      </c>
      <c r="H38" s="85" t="s">
        <v>168</v>
      </c>
      <c r="I38" s="176">
        <f>+D38*F38</f>
        <v>350000</v>
      </c>
      <c r="J38" s="178"/>
      <c r="K38" s="27"/>
    </row>
    <row r="39" spans="1:11" x14ac:dyDescent="0.3">
      <c r="A39" s="185" t="s">
        <v>370</v>
      </c>
      <c r="B39" s="185"/>
      <c r="C39" s="185"/>
      <c r="D39" s="73">
        <v>2</v>
      </c>
      <c r="E39" s="73" t="s">
        <v>19</v>
      </c>
      <c r="F39" s="93">
        <v>25000</v>
      </c>
      <c r="G39" s="32" t="s">
        <v>145</v>
      </c>
      <c r="H39" s="85" t="s">
        <v>168</v>
      </c>
      <c r="I39" s="176">
        <f>+D39*F39</f>
        <v>50000</v>
      </c>
      <c r="J39" s="178"/>
      <c r="K39" s="27"/>
    </row>
    <row r="40" spans="1:11" x14ac:dyDescent="0.3">
      <c r="A40" s="210" t="s">
        <v>369</v>
      </c>
      <c r="B40" s="210"/>
      <c r="C40" s="210"/>
      <c r="D40" s="74">
        <v>1</v>
      </c>
      <c r="E40" s="74" t="s">
        <v>67</v>
      </c>
      <c r="F40" s="115">
        <v>100000</v>
      </c>
      <c r="G40" s="36" t="s">
        <v>145</v>
      </c>
      <c r="H40" s="84" t="s">
        <v>168</v>
      </c>
      <c r="I40" s="192">
        <f>+D40*F40</f>
        <v>100000</v>
      </c>
      <c r="J40" s="194"/>
      <c r="K40" s="27"/>
    </row>
    <row r="41" spans="1:11" x14ac:dyDescent="0.3">
      <c r="A41" s="208" t="s">
        <v>43</v>
      </c>
      <c r="B41" s="208"/>
      <c r="C41" s="208"/>
      <c r="D41" s="208"/>
      <c r="E41" s="208"/>
      <c r="F41" s="208"/>
      <c r="G41" s="208"/>
      <c r="H41" s="208"/>
      <c r="I41" s="204">
        <f>SUM(I32:J40)</f>
        <v>2244500</v>
      </c>
      <c r="J41" s="204"/>
      <c r="K41" s="35"/>
    </row>
    <row r="42" spans="1:11" x14ac:dyDescent="0.3">
      <c r="A42" s="187"/>
      <c r="B42" s="188"/>
      <c r="C42" s="188"/>
      <c r="D42" s="188"/>
      <c r="E42" s="188"/>
      <c r="F42" s="188"/>
      <c r="G42" s="188"/>
      <c r="H42" s="188"/>
      <c r="I42" s="87"/>
      <c r="J42" s="37"/>
      <c r="K42" s="39"/>
    </row>
    <row r="45" spans="1:11" x14ac:dyDescent="0.3">
      <c r="J45" s="82">
        <f>I41+I26+I18</f>
        <v>8640406.3499999996</v>
      </c>
      <c r="K45" s="63">
        <f>J45/'Dados Gerais'!E15</f>
        <v>224.83791353983619</v>
      </c>
    </row>
  </sheetData>
  <mergeCells count="54">
    <mergeCell ref="A15:C15"/>
    <mergeCell ref="B10:F10"/>
    <mergeCell ref="J10:K10"/>
    <mergeCell ref="A2:K4"/>
    <mergeCell ref="B7:K7"/>
    <mergeCell ref="B8:K8"/>
    <mergeCell ref="B9:H9"/>
    <mergeCell ref="J9:K9"/>
    <mergeCell ref="A14:C14"/>
    <mergeCell ref="D14:E14"/>
    <mergeCell ref="F14:G14"/>
    <mergeCell ref="I14:J14"/>
    <mergeCell ref="I15:J15"/>
    <mergeCell ref="A40:C40"/>
    <mergeCell ref="I40:J40"/>
    <mergeCell ref="A31:C31"/>
    <mergeCell ref="D31:E31"/>
    <mergeCell ref="F31:G31"/>
    <mergeCell ref="I31:J31"/>
    <mergeCell ref="A36:C36"/>
    <mergeCell ref="I36:J36"/>
    <mergeCell ref="A35:C35"/>
    <mergeCell ref="I35:J35"/>
    <mergeCell ref="A39:C39"/>
    <mergeCell ref="I39:J39"/>
    <mergeCell ref="A37:C37"/>
    <mergeCell ref="I37:J37"/>
    <mergeCell ref="A38:C38"/>
    <mergeCell ref="I38:J38"/>
    <mergeCell ref="A41:H41"/>
    <mergeCell ref="I41:J41"/>
    <mergeCell ref="A42:H42"/>
    <mergeCell ref="A17:C17"/>
    <mergeCell ref="I17:J17"/>
    <mergeCell ref="A25:C25"/>
    <mergeCell ref="I25:J25"/>
    <mergeCell ref="A24:C24"/>
    <mergeCell ref="D24:E24"/>
    <mergeCell ref="F24:G24"/>
    <mergeCell ref="I24:J24"/>
    <mergeCell ref="A18:H18"/>
    <mergeCell ref="I18:J18"/>
    <mergeCell ref="A19:H19"/>
    <mergeCell ref="I26:J26"/>
    <mergeCell ref="A27:H27"/>
    <mergeCell ref="A16:C16"/>
    <mergeCell ref="I16:J16"/>
    <mergeCell ref="A34:C34"/>
    <mergeCell ref="I34:J34"/>
    <mergeCell ref="A33:C33"/>
    <mergeCell ref="I33:J33"/>
    <mergeCell ref="A32:C32"/>
    <mergeCell ref="I32:J32"/>
    <mergeCell ref="A26:H26"/>
  </mergeCells>
  <dataValidations disablePrompts="1" count="1">
    <dataValidation type="list" allowBlank="1" showInputMessage="1" showErrorMessage="1" sqref="J10" xr:uid="{6913020A-4011-45AE-9C8D-FB4995D34EAC}">
      <formula1>$O$1:$O$6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3C66"/>
  </sheetPr>
  <dimension ref="A1:L46"/>
  <sheetViews>
    <sheetView showGridLines="0" topLeftCell="A13" zoomScale="115" zoomScaleNormal="115" zoomScaleSheetLayoutView="95" workbookViewId="0">
      <selection activeCell="D18" sqref="D18"/>
    </sheetView>
  </sheetViews>
  <sheetFormatPr defaultColWidth="9.109375" defaultRowHeight="13.2" x14ac:dyDescent="0.3"/>
  <cols>
    <col min="1" max="1" width="17.44140625" style="11" customWidth="1"/>
    <col min="2" max="2" width="12.21875" style="11" bestFit="1" customWidth="1"/>
    <col min="3" max="3" width="8.5546875" style="11" customWidth="1"/>
    <col min="4" max="4" width="14" style="63" customWidth="1"/>
    <col min="5" max="5" width="7.5546875" style="69" customWidth="1"/>
    <col min="6" max="6" width="10.6640625" style="18" customWidth="1"/>
    <col min="7" max="7" width="15.88671875" style="11" customWidth="1"/>
    <col min="8" max="8" width="12.88671875" style="11" customWidth="1"/>
    <col min="9" max="9" width="9.33203125" style="11" customWidth="1"/>
    <col min="10" max="10" width="13.44140625" style="11" bestFit="1" customWidth="1"/>
    <col min="11" max="11" width="6.44140625" style="11" customWidth="1"/>
    <col min="12" max="16384" width="9.109375" style="11"/>
  </cols>
  <sheetData>
    <row r="1" spans="1:11" x14ac:dyDescent="0.3">
      <c r="A1" s="1"/>
      <c r="B1" s="1"/>
      <c r="C1" s="1"/>
      <c r="D1" s="56"/>
      <c r="E1" s="65"/>
      <c r="F1" s="19"/>
      <c r="G1" s="1"/>
      <c r="H1" s="1"/>
      <c r="I1" s="1"/>
      <c r="J1" s="1"/>
      <c r="K1" s="1"/>
    </row>
    <row r="2" spans="1:11" x14ac:dyDescent="0.3">
      <c r="A2" s="157" t="s">
        <v>112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</row>
    <row r="3" spans="1:11" x14ac:dyDescent="0.3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</row>
    <row r="4" spans="1:11" x14ac:dyDescent="0.3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</row>
    <row r="5" spans="1:11" ht="13.8" thickBot="1" x14ac:dyDescent="0.35">
      <c r="A5" s="2"/>
      <c r="B5" s="2"/>
      <c r="C5" s="2"/>
      <c r="D5" s="57"/>
      <c r="E5" s="66"/>
      <c r="F5" s="20"/>
      <c r="G5" s="3"/>
      <c r="H5" s="3"/>
      <c r="I5" s="3"/>
      <c r="J5" s="3"/>
      <c r="K5" s="3"/>
    </row>
    <row r="6" spans="1:11" x14ac:dyDescent="0.3">
      <c r="A6" s="4"/>
      <c r="B6" s="4"/>
      <c r="C6" s="4"/>
      <c r="D6" s="58"/>
      <c r="E6" s="67"/>
      <c r="F6" s="19"/>
      <c r="G6" s="1"/>
      <c r="H6" s="1"/>
      <c r="I6" s="1"/>
      <c r="J6" s="1"/>
      <c r="K6" s="1"/>
    </row>
    <row r="7" spans="1:11" x14ac:dyDescent="0.3">
      <c r="A7" s="5" t="s">
        <v>0</v>
      </c>
      <c r="B7" s="159" t="s">
        <v>182</v>
      </c>
      <c r="C7" s="159"/>
      <c r="D7" s="159"/>
      <c r="E7" s="159"/>
      <c r="F7" s="159"/>
      <c r="G7" s="159"/>
      <c r="H7" s="159"/>
      <c r="I7" s="159"/>
      <c r="J7" s="159"/>
      <c r="K7" s="159"/>
    </row>
    <row r="8" spans="1:11" x14ac:dyDescent="0.3">
      <c r="A8" s="5" t="s">
        <v>1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</row>
    <row r="9" spans="1:11" ht="15" customHeight="1" x14ac:dyDescent="0.3">
      <c r="A9" s="5" t="s">
        <v>2</v>
      </c>
      <c r="B9" s="161" t="s">
        <v>183</v>
      </c>
      <c r="C9" s="162"/>
      <c r="D9" s="162"/>
      <c r="E9" s="162"/>
      <c r="F9" s="162"/>
      <c r="G9" s="162"/>
      <c r="H9" s="163"/>
      <c r="I9" s="6" t="s">
        <v>6</v>
      </c>
      <c r="J9" s="160" t="s">
        <v>44</v>
      </c>
      <c r="K9" s="160"/>
    </row>
    <row r="10" spans="1:11" x14ac:dyDescent="0.3">
      <c r="A10" s="7" t="s">
        <v>3</v>
      </c>
      <c r="B10" s="164">
        <v>44294</v>
      </c>
      <c r="C10" s="165"/>
      <c r="D10" s="165"/>
      <c r="E10" s="165"/>
      <c r="F10" s="166"/>
      <c r="G10" s="9" t="s">
        <v>4</v>
      </c>
      <c r="H10" s="8" t="s">
        <v>5</v>
      </c>
      <c r="I10" s="6" t="s">
        <v>41</v>
      </c>
      <c r="J10" s="167" t="s">
        <v>8</v>
      </c>
      <c r="K10" s="168"/>
    </row>
    <row r="12" spans="1:11" x14ac:dyDescent="0.3">
      <c r="A12" s="21" t="s">
        <v>105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1" ht="15.9" customHeight="1" x14ac:dyDescent="0.3">
      <c r="A13" s="25"/>
      <c r="B13" s="26"/>
      <c r="C13" s="26"/>
      <c r="D13" s="60"/>
      <c r="E13" s="68"/>
      <c r="F13" s="26"/>
      <c r="G13" s="26"/>
      <c r="H13" s="26"/>
      <c r="K13" s="27"/>
    </row>
    <row r="14" spans="1:11" ht="15.9" customHeight="1" x14ac:dyDescent="0.3">
      <c r="A14" s="169" t="s">
        <v>35</v>
      </c>
      <c r="B14" s="170"/>
      <c r="C14" s="170"/>
      <c r="D14" s="206" t="s">
        <v>52</v>
      </c>
      <c r="E14" s="207"/>
      <c r="F14" s="171" t="s">
        <v>24</v>
      </c>
      <c r="G14" s="173"/>
      <c r="H14" s="28" t="s">
        <v>40</v>
      </c>
      <c r="I14" s="171" t="s">
        <v>39</v>
      </c>
      <c r="J14" s="173"/>
      <c r="K14" s="27"/>
    </row>
    <row r="15" spans="1:11" ht="15.9" customHeight="1" x14ac:dyDescent="0.3">
      <c r="A15" s="196" t="s">
        <v>111</v>
      </c>
      <c r="B15" s="197"/>
      <c r="C15" s="198"/>
      <c r="D15" s="72">
        <f>+D20+D21</f>
        <v>13329.898499999999</v>
      </c>
      <c r="E15" s="76" t="s">
        <v>18</v>
      </c>
      <c r="F15" s="48">
        <v>6</v>
      </c>
      <c r="G15" s="29" t="s">
        <v>68</v>
      </c>
      <c r="H15" s="79" t="s">
        <v>168</v>
      </c>
      <c r="I15" s="199">
        <f>+D15*10</f>
        <v>133298.98499999999</v>
      </c>
      <c r="J15" s="201"/>
      <c r="K15" s="27"/>
    </row>
    <row r="16" spans="1:11" ht="15.9" customHeight="1" x14ac:dyDescent="0.3">
      <c r="A16" s="236" t="s">
        <v>106</v>
      </c>
      <c r="B16" s="237"/>
      <c r="C16" s="238"/>
      <c r="D16" s="75">
        <f>(6.87*1.5+2.97)*('Sistemas especiais'!D32+'Sistemas especiais'!D33+'Sistemas especiais'!D34+'Sistemas especiais'!D35)</f>
        <v>172.57500000000002</v>
      </c>
      <c r="E16" s="76" t="s">
        <v>18</v>
      </c>
      <c r="F16" s="51">
        <v>40</v>
      </c>
      <c r="G16" s="52" t="s">
        <v>68</v>
      </c>
      <c r="H16" s="80" t="s">
        <v>168</v>
      </c>
      <c r="I16" s="176">
        <f>+D16*F16</f>
        <v>6903.0000000000009</v>
      </c>
      <c r="J16" s="178"/>
      <c r="K16" s="31"/>
    </row>
    <row r="17" spans="1:12" ht="15.9" customHeight="1" x14ac:dyDescent="0.3">
      <c r="A17" s="189" t="s">
        <v>418</v>
      </c>
      <c r="B17" s="190"/>
      <c r="C17" s="191"/>
      <c r="D17" s="75">
        <f>D46</f>
        <v>1429.1600000000003</v>
      </c>
      <c r="E17" s="76" t="s">
        <v>20</v>
      </c>
      <c r="F17" s="51">
        <v>115</v>
      </c>
      <c r="G17" s="52" t="s">
        <v>330</v>
      </c>
      <c r="H17" s="80" t="s">
        <v>168</v>
      </c>
      <c r="I17" s="176">
        <f>+D17*F17</f>
        <v>164353.40000000002</v>
      </c>
      <c r="J17" s="178"/>
      <c r="K17" s="31"/>
    </row>
    <row r="18" spans="1:12" ht="15.9" customHeight="1" x14ac:dyDescent="0.3">
      <c r="A18" s="189" t="s">
        <v>107</v>
      </c>
      <c r="B18" s="190"/>
      <c r="C18" s="191"/>
      <c r="D18" s="75">
        <f>0.7*Infraestrutura!D30</f>
        <v>3297.9519999999998</v>
      </c>
      <c r="E18" s="76" t="s">
        <v>18</v>
      </c>
      <c r="F18" s="51">
        <v>40</v>
      </c>
      <c r="G18" s="52" t="s">
        <v>68</v>
      </c>
      <c r="H18" s="80" t="s">
        <v>168</v>
      </c>
      <c r="I18" s="176">
        <f>+D18*F18</f>
        <v>131918.07999999999</v>
      </c>
      <c r="J18" s="178"/>
      <c r="K18" s="31"/>
    </row>
    <row r="19" spans="1:12" ht="15.9" customHeight="1" x14ac:dyDescent="0.3">
      <c r="A19" s="189" t="s">
        <v>108</v>
      </c>
      <c r="B19" s="190"/>
      <c r="C19" s="191"/>
      <c r="D19" s="75">
        <v>1</v>
      </c>
      <c r="E19" s="76" t="s">
        <v>67</v>
      </c>
      <c r="F19" s="51">
        <v>1</v>
      </c>
      <c r="G19" s="52" t="s">
        <v>25</v>
      </c>
      <c r="H19" s="80" t="s">
        <v>168</v>
      </c>
      <c r="I19" s="176">
        <f>+F19*'Dados Gerais'!$E$15</f>
        <v>38429.49</v>
      </c>
      <c r="J19" s="178"/>
      <c r="K19" s="31"/>
    </row>
    <row r="20" spans="1:12" ht="15.9" customHeight="1" x14ac:dyDescent="0.3">
      <c r="A20" s="189" t="s">
        <v>109</v>
      </c>
      <c r="B20" s="190"/>
      <c r="C20" s="191"/>
      <c r="D20" s="75">
        <f>+F20*'Dados Gerais'!$E$15</f>
        <v>5764.4234999999999</v>
      </c>
      <c r="E20" s="76" t="s">
        <v>18</v>
      </c>
      <c r="F20" s="51">
        <v>0.15</v>
      </c>
      <c r="G20" s="52" t="s">
        <v>171</v>
      </c>
      <c r="H20" s="80" t="s">
        <v>168</v>
      </c>
      <c r="I20" s="176">
        <f>+D20*50</f>
        <v>288221.17499999999</v>
      </c>
      <c r="J20" s="178"/>
      <c r="K20" s="31"/>
    </row>
    <row r="21" spans="1:12" ht="15.9" customHeight="1" x14ac:dyDescent="0.3">
      <c r="A21" s="189" t="s">
        <v>114</v>
      </c>
      <c r="B21" s="190"/>
      <c r="C21" s="191"/>
      <c r="D21" s="75">
        <f>A35*1.5</f>
        <v>7565.4750000000004</v>
      </c>
      <c r="E21" s="76" t="s">
        <v>18</v>
      </c>
      <c r="F21" s="49">
        <v>0</v>
      </c>
      <c r="G21" s="52" t="s">
        <v>171</v>
      </c>
      <c r="H21" s="77" t="s">
        <v>168</v>
      </c>
      <c r="I21" s="176">
        <f>+D21*140</f>
        <v>1059166.5</v>
      </c>
      <c r="J21" s="178"/>
      <c r="K21" s="31"/>
    </row>
    <row r="22" spans="1:12" ht="15.9" customHeight="1" x14ac:dyDescent="0.3">
      <c r="A22" s="189" t="s">
        <v>110</v>
      </c>
      <c r="B22" s="190"/>
      <c r="C22" s="191"/>
      <c r="D22" s="75">
        <v>1</v>
      </c>
      <c r="E22" s="76" t="s">
        <v>67</v>
      </c>
      <c r="F22" s="49">
        <v>1.2</v>
      </c>
      <c r="G22" s="32" t="s">
        <v>25</v>
      </c>
      <c r="H22" s="77" t="s">
        <v>168</v>
      </c>
      <c r="I22" s="176">
        <f>+F22*'Dados Gerais'!$E$15</f>
        <v>46115.387999999999</v>
      </c>
      <c r="J22" s="178"/>
      <c r="K22" s="31"/>
      <c r="L22" s="82"/>
    </row>
    <row r="23" spans="1:12" ht="15.9" customHeight="1" x14ac:dyDescent="0.3">
      <c r="A23" s="223" t="s">
        <v>115</v>
      </c>
      <c r="B23" s="224"/>
      <c r="C23" s="225"/>
      <c r="D23" s="78">
        <f>+D21</f>
        <v>7565.4750000000004</v>
      </c>
      <c r="E23" s="70" t="s">
        <v>18</v>
      </c>
      <c r="F23" s="50">
        <v>80</v>
      </c>
      <c r="G23" s="36" t="s">
        <v>68</v>
      </c>
      <c r="H23" s="71" t="s">
        <v>168</v>
      </c>
      <c r="I23" s="192">
        <f>F23*D23</f>
        <v>605238</v>
      </c>
      <c r="J23" s="194"/>
      <c r="K23" s="31"/>
    </row>
    <row r="24" spans="1:12" ht="15.9" customHeight="1" x14ac:dyDescent="0.3">
      <c r="A24" s="208" t="s">
        <v>43</v>
      </c>
      <c r="B24" s="208"/>
      <c r="C24" s="208"/>
      <c r="D24" s="208"/>
      <c r="E24" s="208"/>
      <c r="F24" s="208"/>
      <c r="G24" s="208"/>
      <c r="H24" s="208"/>
      <c r="I24" s="204">
        <f>SUM(I15:J23)</f>
        <v>2473644.0180000002</v>
      </c>
      <c r="J24" s="204"/>
      <c r="K24" s="35"/>
    </row>
    <row r="25" spans="1:12" ht="15.9" customHeight="1" x14ac:dyDescent="0.3">
      <c r="A25" s="187"/>
      <c r="B25" s="188"/>
      <c r="C25" s="188"/>
      <c r="D25" s="188"/>
      <c r="E25" s="188"/>
      <c r="F25" s="188"/>
      <c r="G25" s="188"/>
      <c r="H25" s="188"/>
      <c r="I25" s="87"/>
      <c r="J25" s="37"/>
      <c r="K25" s="39"/>
    </row>
    <row r="27" spans="1:12" x14ac:dyDescent="0.3">
      <c r="A27" s="11" t="s">
        <v>371</v>
      </c>
      <c r="J27" s="82">
        <f>I24</f>
        <v>2473644.0180000002</v>
      </c>
      <c r="K27" s="11">
        <f>J27/'Dados Gerais'!E15</f>
        <v>64.368380064372445</v>
      </c>
    </row>
    <row r="28" spans="1:12" x14ac:dyDescent="0.3">
      <c r="A28" s="11">
        <v>124.65</v>
      </c>
    </row>
    <row r="29" spans="1:12" x14ac:dyDescent="0.3">
      <c r="A29" s="11">
        <v>159.19999999999999</v>
      </c>
    </row>
    <row r="30" spans="1:12" x14ac:dyDescent="0.3">
      <c r="A30" s="11">
        <v>652.36</v>
      </c>
    </row>
    <row r="31" spans="1:12" x14ac:dyDescent="0.3">
      <c r="A31" s="11">
        <v>239.76</v>
      </c>
    </row>
    <row r="32" spans="1:12" x14ac:dyDescent="0.3">
      <c r="A32" s="11">
        <v>2496.09</v>
      </c>
    </row>
    <row r="33" spans="1:4" x14ac:dyDescent="0.3">
      <c r="A33" s="11">
        <v>1309.0899999999999</v>
      </c>
    </row>
    <row r="34" spans="1:4" x14ac:dyDescent="0.3">
      <c r="A34" s="11">
        <v>62.5</v>
      </c>
    </row>
    <row r="35" spans="1:4" x14ac:dyDescent="0.3">
      <c r="A35" s="26">
        <f>SUM(A28:A34)</f>
        <v>5043.6500000000005</v>
      </c>
    </row>
    <row r="37" spans="1:4" x14ac:dyDescent="0.3">
      <c r="A37" s="11" t="s">
        <v>419</v>
      </c>
      <c r="B37" s="11" t="s">
        <v>421</v>
      </c>
      <c r="C37" s="11" t="s">
        <v>422</v>
      </c>
      <c r="D37" s="63" t="s">
        <v>384</v>
      </c>
    </row>
    <row r="38" spans="1:4" x14ac:dyDescent="0.3">
      <c r="A38" s="11" t="s">
        <v>420</v>
      </c>
      <c r="B38" s="11">
        <v>45.2</v>
      </c>
      <c r="C38" s="11">
        <v>3</v>
      </c>
      <c r="D38" s="63">
        <f>C38*B38</f>
        <v>135.60000000000002</v>
      </c>
    </row>
    <row r="39" spans="1:4" x14ac:dyDescent="0.3">
      <c r="A39" s="11" t="s">
        <v>423</v>
      </c>
      <c r="B39" s="11">
        <f>50.52+30.1+45.09+45.1+30.09+18.4</f>
        <v>219.3</v>
      </c>
      <c r="C39" s="11">
        <v>1</v>
      </c>
      <c r="D39" s="63">
        <f t="shared" ref="D39:D45" si="0">C39*B39</f>
        <v>219.3</v>
      </c>
    </row>
    <row r="40" spans="1:4" x14ac:dyDescent="0.3">
      <c r="A40" s="11" t="s">
        <v>424</v>
      </c>
      <c r="B40" s="11">
        <f>28.42+22.27+22.92+30.1+45.1+45.1+30.1+18.4</f>
        <v>242.41</v>
      </c>
      <c r="C40" s="11">
        <v>1</v>
      </c>
      <c r="D40" s="63">
        <f t="shared" si="0"/>
        <v>242.41</v>
      </c>
    </row>
    <row r="41" spans="1:4" x14ac:dyDescent="0.3">
      <c r="A41" s="11" t="s">
        <v>425</v>
      </c>
      <c r="B41" s="11">
        <f>21.4+22.92*6+21.42+22.27</f>
        <v>202.61000000000004</v>
      </c>
      <c r="C41" s="11">
        <v>1</v>
      </c>
      <c r="D41" s="63">
        <f t="shared" si="0"/>
        <v>202.61000000000004</v>
      </c>
    </row>
    <row r="42" spans="1:4" x14ac:dyDescent="0.3">
      <c r="A42" s="11" t="s">
        <v>426</v>
      </c>
      <c r="B42" s="11">
        <f>B41</f>
        <v>202.61000000000004</v>
      </c>
      <c r="C42" s="11">
        <v>1</v>
      </c>
      <c r="D42" s="63">
        <f t="shared" si="0"/>
        <v>202.61000000000004</v>
      </c>
    </row>
    <row r="43" spans="1:4" x14ac:dyDescent="0.3">
      <c r="A43" s="11" t="s">
        <v>427</v>
      </c>
      <c r="B43" s="11">
        <f>B42</f>
        <v>202.61000000000004</v>
      </c>
      <c r="C43" s="11">
        <v>1</v>
      </c>
      <c r="D43" s="63">
        <f t="shared" si="0"/>
        <v>202.61000000000004</v>
      </c>
    </row>
    <row r="44" spans="1:4" x14ac:dyDescent="0.3">
      <c r="A44" s="11" t="s">
        <v>428</v>
      </c>
      <c r="B44" s="11">
        <f>B43</f>
        <v>202.61000000000004</v>
      </c>
      <c r="C44" s="11">
        <v>1</v>
      </c>
      <c r="D44" s="63">
        <f t="shared" si="0"/>
        <v>202.61000000000004</v>
      </c>
    </row>
    <row r="45" spans="1:4" x14ac:dyDescent="0.3">
      <c r="A45" s="11" t="s">
        <v>429</v>
      </c>
      <c r="B45" s="11">
        <v>21.41</v>
      </c>
      <c r="C45" s="11">
        <v>1</v>
      </c>
      <c r="D45" s="63">
        <f t="shared" si="0"/>
        <v>21.41</v>
      </c>
    </row>
    <row r="46" spans="1:4" x14ac:dyDescent="0.3">
      <c r="D46" s="63">
        <f>SUM(D38:D45)</f>
        <v>1429.1600000000003</v>
      </c>
    </row>
  </sheetData>
  <mergeCells count="32">
    <mergeCell ref="A17:C17"/>
    <mergeCell ref="I17:J17"/>
    <mergeCell ref="A18:C18"/>
    <mergeCell ref="I18:J18"/>
    <mergeCell ref="A19:C19"/>
    <mergeCell ref="I19:J19"/>
    <mergeCell ref="A20:C20"/>
    <mergeCell ref="I20:J20"/>
    <mergeCell ref="A25:H25"/>
    <mergeCell ref="A21:C21"/>
    <mergeCell ref="I21:J21"/>
    <mergeCell ref="A22:C22"/>
    <mergeCell ref="I22:J22"/>
    <mergeCell ref="A23:C23"/>
    <mergeCell ref="I23:J23"/>
    <mergeCell ref="A24:H24"/>
    <mergeCell ref="I24:J24"/>
    <mergeCell ref="A14:C14"/>
    <mergeCell ref="D14:E14"/>
    <mergeCell ref="F14:G14"/>
    <mergeCell ref="I14:J14"/>
    <mergeCell ref="A16:C16"/>
    <mergeCell ref="I16:J16"/>
    <mergeCell ref="A15:C15"/>
    <mergeCell ref="I15:J15"/>
    <mergeCell ref="B10:F10"/>
    <mergeCell ref="J10:K10"/>
    <mergeCell ref="A2:K4"/>
    <mergeCell ref="B7:K7"/>
    <mergeCell ref="B8:K8"/>
    <mergeCell ref="J9:K9"/>
    <mergeCell ref="B9:H9"/>
  </mergeCells>
  <dataValidations count="1">
    <dataValidation type="list" allowBlank="1" showInputMessage="1" showErrorMessage="1" sqref="J10" xr:uid="{00000000-0002-0000-0700-000000000000}">
      <formula1>#REF!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3C66"/>
  </sheetPr>
  <dimension ref="A1:M24"/>
  <sheetViews>
    <sheetView showGridLines="0" topLeftCell="A6" zoomScale="115" zoomScaleNormal="115" zoomScaleSheetLayoutView="95" workbookViewId="0">
      <selection activeCell="D18" sqref="D18"/>
    </sheetView>
  </sheetViews>
  <sheetFormatPr defaultColWidth="9.109375" defaultRowHeight="13.2" x14ac:dyDescent="0.3"/>
  <cols>
    <col min="1" max="1" width="17.44140625" style="11" customWidth="1"/>
    <col min="2" max="2" width="9.88671875" style="11" customWidth="1"/>
    <col min="3" max="3" width="8.88671875" style="11" customWidth="1"/>
    <col min="4" max="4" width="14" style="63" customWidth="1"/>
    <col min="5" max="5" width="7.5546875" style="69" customWidth="1"/>
    <col min="6" max="6" width="10.6640625" style="18" customWidth="1"/>
    <col min="7" max="7" width="15.88671875" style="11" customWidth="1"/>
    <col min="8" max="8" width="15.109375" style="11" customWidth="1"/>
    <col min="9" max="9" width="9.33203125" style="11" customWidth="1"/>
    <col min="10" max="10" width="7.33203125" style="11" bestFit="1" customWidth="1"/>
    <col min="11" max="11" width="13.109375" style="11" bestFit="1" customWidth="1"/>
    <col min="12" max="12" width="11.33203125" style="11" bestFit="1" customWidth="1"/>
    <col min="13" max="13" width="9.5546875" style="11" bestFit="1" customWidth="1"/>
    <col min="14" max="16384" width="9.109375" style="11"/>
  </cols>
  <sheetData>
    <row r="1" spans="1:13" x14ac:dyDescent="0.3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M1" s="12"/>
    </row>
    <row r="2" spans="1:13" x14ac:dyDescent="0.3">
      <c r="A2" s="157" t="s">
        <v>124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12"/>
    </row>
    <row r="3" spans="1:13" x14ac:dyDescent="0.3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M3" s="12"/>
    </row>
    <row r="4" spans="1:13" x14ac:dyDescent="0.3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M4" s="12"/>
    </row>
    <row r="5" spans="1:13" ht="13.8" thickBot="1" x14ac:dyDescent="0.35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M5" s="12"/>
    </row>
    <row r="6" spans="1:13" x14ac:dyDescent="0.3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M6" s="12"/>
    </row>
    <row r="7" spans="1:13" x14ac:dyDescent="0.3">
      <c r="A7" s="5" t="s">
        <v>0</v>
      </c>
      <c r="B7" s="159"/>
      <c r="C7" s="159"/>
      <c r="D7" s="159"/>
      <c r="E7" s="159"/>
      <c r="F7" s="159"/>
      <c r="G7" s="159"/>
      <c r="H7" s="159"/>
      <c r="I7" s="159"/>
      <c r="J7" s="159"/>
      <c r="K7" s="159"/>
      <c r="M7" s="12"/>
    </row>
    <row r="8" spans="1:13" x14ac:dyDescent="0.3">
      <c r="A8" s="5" t="s">
        <v>1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M8" s="12"/>
    </row>
    <row r="9" spans="1:13" ht="15" customHeight="1" x14ac:dyDescent="0.3">
      <c r="A9" s="5" t="s">
        <v>2</v>
      </c>
      <c r="B9" s="161"/>
      <c r="C9" s="162"/>
      <c r="D9" s="162"/>
      <c r="E9" s="162"/>
      <c r="F9" s="162"/>
      <c r="G9" s="162"/>
      <c r="H9" s="163"/>
      <c r="I9" s="6" t="s">
        <v>6</v>
      </c>
      <c r="J9" s="160" t="s">
        <v>44</v>
      </c>
      <c r="K9" s="160"/>
    </row>
    <row r="10" spans="1:13" x14ac:dyDescent="0.3">
      <c r="A10" s="7" t="s">
        <v>3</v>
      </c>
      <c r="B10" s="164">
        <v>44294</v>
      </c>
      <c r="C10" s="165"/>
      <c r="D10" s="165"/>
      <c r="E10" s="165"/>
      <c r="F10" s="166"/>
      <c r="G10" s="9" t="s">
        <v>4</v>
      </c>
      <c r="H10" s="8" t="s">
        <v>5</v>
      </c>
      <c r="I10" s="6" t="s">
        <v>41</v>
      </c>
      <c r="J10" s="167" t="s">
        <v>8</v>
      </c>
      <c r="K10" s="168"/>
    </row>
    <row r="12" spans="1:13" x14ac:dyDescent="0.3">
      <c r="A12" s="21" t="s">
        <v>154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3" ht="15.9" customHeight="1" x14ac:dyDescent="0.3">
      <c r="A13" s="25"/>
      <c r="B13" s="26"/>
      <c r="C13" s="26"/>
      <c r="D13" s="60"/>
      <c r="E13" s="68"/>
      <c r="F13" s="26"/>
      <c r="G13" s="26"/>
      <c r="H13" s="26"/>
      <c r="K13" s="27"/>
    </row>
    <row r="14" spans="1:13" ht="15.9" customHeight="1" x14ac:dyDescent="0.3">
      <c r="A14" s="169" t="s">
        <v>35</v>
      </c>
      <c r="B14" s="170"/>
      <c r="C14" s="170"/>
      <c r="D14" s="206" t="s">
        <v>52</v>
      </c>
      <c r="E14" s="207"/>
      <c r="F14" s="171" t="s">
        <v>24</v>
      </c>
      <c r="G14" s="173"/>
      <c r="H14" s="28" t="s">
        <v>40</v>
      </c>
      <c r="I14" s="171" t="s">
        <v>39</v>
      </c>
      <c r="J14" s="173"/>
      <c r="K14" s="27"/>
    </row>
    <row r="15" spans="1:13" ht="15.9" customHeight="1" x14ac:dyDescent="0.3">
      <c r="A15" s="189" t="s">
        <v>287</v>
      </c>
      <c r="B15" s="190"/>
      <c r="C15" s="191"/>
      <c r="D15" s="73">
        <v>8034.66</v>
      </c>
      <c r="E15" s="62" t="s">
        <v>18</v>
      </c>
      <c r="F15" s="49"/>
      <c r="G15" s="32" t="s">
        <v>116</v>
      </c>
      <c r="H15" s="77" t="s">
        <v>168</v>
      </c>
      <c r="I15" s="176">
        <f>D15*20</f>
        <v>160693.20000000001</v>
      </c>
      <c r="J15" s="178"/>
      <c r="K15" s="27"/>
    </row>
    <row r="16" spans="1:13" ht="15.9" customHeight="1" x14ac:dyDescent="0.3">
      <c r="A16" s="189" t="s">
        <v>119</v>
      </c>
      <c r="B16" s="190"/>
      <c r="C16" s="191"/>
      <c r="D16" s="73">
        <v>34292.86</v>
      </c>
      <c r="E16" s="62" t="s">
        <v>18</v>
      </c>
      <c r="F16" s="49">
        <v>0</v>
      </c>
      <c r="G16" s="32" t="s">
        <v>116</v>
      </c>
      <c r="H16" s="77" t="s">
        <v>168</v>
      </c>
      <c r="I16" s="176">
        <f>D16*40</f>
        <v>1371714.4</v>
      </c>
      <c r="J16" s="178"/>
      <c r="K16" s="27"/>
    </row>
    <row r="17" spans="1:13" ht="15.9" customHeight="1" x14ac:dyDescent="0.3">
      <c r="A17" s="189" t="s">
        <v>272</v>
      </c>
      <c r="B17" s="190"/>
      <c r="C17" s="191"/>
      <c r="D17" s="73">
        <v>14577</v>
      </c>
      <c r="E17" s="62" t="s">
        <v>18</v>
      </c>
      <c r="F17" s="49">
        <v>0</v>
      </c>
      <c r="G17" s="32" t="s">
        <v>116</v>
      </c>
      <c r="H17" s="77" t="s">
        <v>168</v>
      </c>
      <c r="I17" s="176">
        <f>+D17*25</f>
        <v>364425</v>
      </c>
      <c r="J17" s="178"/>
      <c r="K17" s="27"/>
    </row>
    <row r="18" spans="1:13" ht="27" customHeight="1" x14ac:dyDescent="0.3">
      <c r="A18" s="236" t="s">
        <v>117</v>
      </c>
      <c r="B18" s="237"/>
      <c r="C18" s="238"/>
      <c r="D18" s="75">
        <f>SUM(Alvenaria!D15:D19)</f>
        <v>49850.605500000005</v>
      </c>
      <c r="E18" s="76" t="s">
        <v>18</v>
      </c>
      <c r="F18" s="51">
        <v>0</v>
      </c>
      <c r="G18" s="52" t="s">
        <v>116</v>
      </c>
      <c r="H18" s="80" t="s">
        <v>168</v>
      </c>
      <c r="I18" s="176">
        <f>+D18*3</f>
        <v>149551.81650000002</v>
      </c>
      <c r="J18" s="178"/>
      <c r="K18" s="31"/>
    </row>
    <row r="19" spans="1:13" ht="27" customHeight="1" x14ac:dyDescent="0.3">
      <c r="A19" s="189" t="s">
        <v>118</v>
      </c>
      <c r="B19" s="190"/>
      <c r="C19" s="191"/>
      <c r="D19" s="75">
        <f>D18</f>
        <v>49850.605500000005</v>
      </c>
      <c r="E19" s="76" t="s">
        <v>18</v>
      </c>
      <c r="F19" s="51">
        <v>0</v>
      </c>
      <c r="G19" s="52" t="s">
        <v>116</v>
      </c>
      <c r="H19" s="80" t="s">
        <v>168</v>
      </c>
      <c r="I19" s="176">
        <f>18*D19</f>
        <v>897310.89900000009</v>
      </c>
      <c r="J19" s="178"/>
      <c r="K19" s="31"/>
      <c r="M19" s="63"/>
    </row>
    <row r="20" spans="1:13" ht="15.9" customHeight="1" x14ac:dyDescent="0.3">
      <c r="A20" s="189" t="s">
        <v>127</v>
      </c>
      <c r="B20" s="190"/>
      <c r="C20" s="191"/>
      <c r="D20" s="75">
        <v>0</v>
      </c>
      <c r="E20" s="76" t="s">
        <v>67</v>
      </c>
      <c r="F20" s="51">
        <v>0</v>
      </c>
      <c r="G20" s="52" t="s">
        <v>25</v>
      </c>
      <c r="H20" s="80" t="s">
        <v>168</v>
      </c>
      <c r="I20" s="176">
        <f>+F20*'Dados Gerais'!$E$15</f>
        <v>0</v>
      </c>
      <c r="J20" s="178"/>
      <c r="K20" s="31"/>
    </row>
    <row r="21" spans="1:13" ht="15.9" customHeight="1" x14ac:dyDescent="0.3">
      <c r="A21" s="208" t="s">
        <v>43</v>
      </c>
      <c r="B21" s="208"/>
      <c r="C21" s="208"/>
      <c r="D21" s="208"/>
      <c r="E21" s="208"/>
      <c r="F21" s="208"/>
      <c r="G21" s="208"/>
      <c r="H21" s="208"/>
      <c r="I21" s="204">
        <f>SUM(I15:J20)</f>
        <v>2943695.3155</v>
      </c>
      <c r="J21" s="204"/>
      <c r="K21" s="35"/>
      <c r="M21" s="82"/>
    </row>
    <row r="22" spans="1:13" ht="15.9" customHeight="1" x14ac:dyDescent="0.3">
      <c r="A22" s="187"/>
      <c r="B22" s="188"/>
      <c r="C22" s="188"/>
      <c r="D22" s="188"/>
      <c r="E22" s="188"/>
      <c r="F22" s="188"/>
      <c r="G22" s="188"/>
      <c r="H22" s="188"/>
      <c r="I22" s="87"/>
      <c r="J22" s="37"/>
      <c r="K22" s="39"/>
    </row>
    <row r="24" spans="1:13" x14ac:dyDescent="0.3">
      <c r="A24" s="11">
        <f>847.39+5.81+697.91+85.08+776.08+315.8+281.01+263.32*24+18.62+38.07+61.94</f>
        <v>9447.3900000000012</v>
      </c>
      <c r="C24" s="63">
        <f>759.99+764.4+1846.32+1159.98+936.44+942.49+1408.99+2025.1+972.59+902.67+904.15*24+517.98+42.85+84.85</f>
        <v>34064.25</v>
      </c>
      <c r="K24" s="82">
        <f>I21</f>
        <v>2943695.3155</v>
      </c>
      <c r="L24" s="63">
        <f>K24/'Dados Gerais'!E15</f>
        <v>76.5999058405407</v>
      </c>
    </row>
  </sheetData>
  <mergeCells count="26">
    <mergeCell ref="A17:C17"/>
    <mergeCell ref="I17:J17"/>
    <mergeCell ref="A22:H22"/>
    <mergeCell ref="A21:H21"/>
    <mergeCell ref="I21:J21"/>
    <mergeCell ref="A18:C18"/>
    <mergeCell ref="I18:J18"/>
    <mergeCell ref="A19:C19"/>
    <mergeCell ref="I19:J19"/>
    <mergeCell ref="A20:C20"/>
    <mergeCell ref="I20:J20"/>
    <mergeCell ref="B9:H9"/>
    <mergeCell ref="A2:K4"/>
    <mergeCell ref="B7:K7"/>
    <mergeCell ref="B8:K8"/>
    <mergeCell ref="J9:K9"/>
    <mergeCell ref="B10:F10"/>
    <mergeCell ref="J10:K10"/>
    <mergeCell ref="A16:C16"/>
    <mergeCell ref="I16:J16"/>
    <mergeCell ref="A15:C15"/>
    <mergeCell ref="I15:J15"/>
    <mergeCell ref="A14:C14"/>
    <mergeCell ref="D14:E14"/>
    <mergeCell ref="F14:G14"/>
    <mergeCell ref="I14:J14"/>
  </mergeCells>
  <dataValidations disablePrompts="1" count="1">
    <dataValidation type="list" allowBlank="1" showInputMessage="1" showErrorMessage="1" sqref="J10" xr:uid="{00000000-0002-0000-08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3C66"/>
  </sheetPr>
  <dimension ref="A1:M26"/>
  <sheetViews>
    <sheetView showGridLines="0" zoomScaleNormal="100" zoomScaleSheetLayoutView="95" workbookViewId="0">
      <selection activeCell="K12" sqref="K12"/>
    </sheetView>
  </sheetViews>
  <sheetFormatPr defaultColWidth="9.109375" defaultRowHeight="13.2" x14ac:dyDescent="0.3"/>
  <cols>
    <col min="1" max="1" width="17.44140625" style="11" customWidth="1"/>
    <col min="2" max="2" width="9.88671875" style="11" customWidth="1"/>
    <col min="3" max="3" width="8.88671875" style="11" customWidth="1"/>
    <col min="4" max="4" width="14" style="63" customWidth="1"/>
    <col min="5" max="5" width="7.5546875" style="69" customWidth="1"/>
    <col min="6" max="6" width="10.6640625" style="18" customWidth="1"/>
    <col min="7" max="7" width="15.88671875" style="11" customWidth="1"/>
    <col min="8" max="8" width="12.88671875" style="11" customWidth="1"/>
    <col min="9" max="9" width="9.33203125" style="11" customWidth="1"/>
    <col min="10" max="10" width="13.109375" style="11" bestFit="1" customWidth="1"/>
    <col min="11" max="11" width="6.44140625" style="11" customWidth="1"/>
    <col min="12" max="12" width="11.33203125" style="11" bestFit="1" customWidth="1"/>
    <col min="13" max="16384" width="9.109375" style="11"/>
  </cols>
  <sheetData>
    <row r="1" spans="1:13" x14ac:dyDescent="0.3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M1" s="12"/>
    </row>
    <row r="2" spans="1:13" x14ac:dyDescent="0.3">
      <c r="A2" s="157" t="s">
        <v>123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12"/>
    </row>
    <row r="3" spans="1:13" x14ac:dyDescent="0.3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M3" s="12"/>
    </row>
    <row r="4" spans="1:13" x14ac:dyDescent="0.3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M4" s="12"/>
    </row>
    <row r="5" spans="1:13" ht="13.8" thickBot="1" x14ac:dyDescent="0.35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M5" s="12"/>
    </row>
    <row r="6" spans="1:13" x14ac:dyDescent="0.3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M6" s="12"/>
    </row>
    <row r="7" spans="1:13" x14ac:dyDescent="0.3">
      <c r="A7" s="5" t="s">
        <v>0</v>
      </c>
      <c r="B7" s="159" t="s">
        <v>182</v>
      </c>
      <c r="C7" s="159"/>
      <c r="D7" s="159"/>
      <c r="E7" s="159"/>
      <c r="F7" s="159"/>
      <c r="G7" s="159"/>
      <c r="H7" s="159"/>
      <c r="I7" s="159"/>
      <c r="J7" s="159"/>
      <c r="K7" s="159"/>
      <c r="M7" s="12"/>
    </row>
    <row r="8" spans="1:13" x14ac:dyDescent="0.3">
      <c r="A8" s="5" t="s">
        <v>1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M8" s="12"/>
    </row>
    <row r="9" spans="1:13" ht="15" customHeight="1" x14ac:dyDescent="0.3">
      <c r="A9" s="5" t="s">
        <v>2</v>
      </c>
      <c r="B9" s="161" t="s">
        <v>183</v>
      </c>
      <c r="C9" s="162"/>
      <c r="D9" s="162"/>
      <c r="E9" s="162"/>
      <c r="F9" s="163"/>
      <c r="G9" s="9" t="s">
        <v>10</v>
      </c>
      <c r="H9" s="47" t="s">
        <v>49</v>
      </c>
      <c r="I9" s="6" t="s">
        <v>6</v>
      </c>
      <c r="J9" s="160" t="s">
        <v>44</v>
      </c>
      <c r="K9" s="160"/>
    </row>
    <row r="10" spans="1:13" x14ac:dyDescent="0.3">
      <c r="A10" s="7" t="s">
        <v>3</v>
      </c>
      <c r="B10" s="164">
        <v>44294</v>
      </c>
      <c r="C10" s="165"/>
      <c r="D10" s="165"/>
      <c r="E10" s="165"/>
      <c r="F10" s="166"/>
      <c r="G10" s="9" t="s">
        <v>4</v>
      </c>
      <c r="H10" s="8" t="s">
        <v>5</v>
      </c>
      <c r="I10" s="6" t="s">
        <v>41</v>
      </c>
      <c r="J10" s="167" t="s">
        <v>8</v>
      </c>
      <c r="K10" s="168"/>
    </row>
    <row r="12" spans="1:13" x14ac:dyDescent="0.3">
      <c r="A12" s="21" t="s">
        <v>126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3" ht="15.9" customHeight="1" x14ac:dyDescent="0.3">
      <c r="A13" s="25"/>
      <c r="B13" s="26"/>
      <c r="C13" s="26"/>
      <c r="D13" s="60"/>
      <c r="E13" s="68"/>
      <c r="F13" s="26"/>
      <c r="G13" s="26"/>
      <c r="H13" s="26"/>
      <c r="K13" s="27"/>
    </row>
    <row r="14" spans="1:13" ht="15.9" customHeight="1" x14ac:dyDescent="0.3">
      <c r="A14" s="169" t="s">
        <v>35</v>
      </c>
      <c r="B14" s="170"/>
      <c r="C14" s="170"/>
      <c r="D14" s="206" t="s">
        <v>52</v>
      </c>
      <c r="E14" s="207"/>
      <c r="F14" s="171" t="s">
        <v>24</v>
      </c>
      <c r="G14" s="173"/>
      <c r="H14" s="28" t="s">
        <v>40</v>
      </c>
      <c r="I14" s="171" t="s">
        <v>39</v>
      </c>
      <c r="J14" s="173"/>
      <c r="K14" s="27"/>
    </row>
    <row r="15" spans="1:13" ht="15.9" customHeight="1" x14ac:dyDescent="0.3">
      <c r="A15" s="196" t="s">
        <v>288</v>
      </c>
      <c r="B15" s="197"/>
      <c r="C15" s="198"/>
      <c r="D15" s="72">
        <v>13957.564000000006</v>
      </c>
      <c r="E15" s="76" t="s">
        <v>18</v>
      </c>
      <c r="F15" s="48">
        <v>0</v>
      </c>
      <c r="G15" s="29" t="s">
        <v>116</v>
      </c>
      <c r="H15" s="79" t="s">
        <v>168</v>
      </c>
      <c r="I15" s="199">
        <f>+D15*102</f>
        <v>1423671.5280000006</v>
      </c>
      <c r="J15" s="201"/>
      <c r="K15" s="27"/>
    </row>
    <row r="16" spans="1:13" ht="15.9" customHeight="1" x14ac:dyDescent="0.3">
      <c r="A16" s="189" t="s">
        <v>120</v>
      </c>
      <c r="B16" s="190"/>
      <c r="C16" s="191"/>
      <c r="D16" s="73">
        <f>B24*D15</f>
        <v>19451.604773470419</v>
      </c>
      <c r="E16" s="62" t="s">
        <v>20</v>
      </c>
      <c r="F16" s="49">
        <v>0</v>
      </c>
      <c r="G16" s="32" t="s">
        <v>174</v>
      </c>
      <c r="H16" s="77" t="s">
        <v>168</v>
      </c>
      <c r="I16" s="176">
        <f>+D16*26</f>
        <v>505741.72411023092</v>
      </c>
      <c r="J16" s="178"/>
      <c r="K16" s="31"/>
    </row>
    <row r="17" spans="1:12" ht="15.9" customHeight="1" x14ac:dyDescent="0.3">
      <c r="A17" s="223" t="s">
        <v>127</v>
      </c>
      <c r="B17" s="224"/>
      <c r="C17" s="225"/>
      <c r="D17" s="74">
        <v>19076.715999999971</v>
      </c>
      <c r="E17" s="70" t="s">
        <v>18</v>
      </c>
      <c r="F17" s="50">
        <v>0</v>
      </c>
      <c r="G17" s="36" t="s">
        <v>25</v>
      </c>
      <c r="H17" s="111" t="s">
        <v>168</v>
      </c>
      <c r="I17" s="192">
        <f>D17*2</f>
        <v>38153.431999999942</v>
      </c>
      <c r="J17" s="194"/>
      <c r="K17" s="31"/>
    </row>
    <row r="18" spans="1:12" ht="15.9" customHeight="1" x14ac:dyDescent="0.3">
      <c r="A18" s="208" t="s">
        <v>43</v>
      </c>
      <c r="B18" s="208"/>
      <c r="C18" s="208"/>
      <c r="D18" s="208"/>
      <c r="E18" s="208"/>
      <c r="F18" s="208"/>
      <c r="G18" s="208"/>
      <c r="H18" s="208"/>
      <c r="I18" s="204">
        <f>SUM(I15:J17)</f>
        <v>1967566.6841102317</v>
      </c>
      <c r="J18" s="204"/>
      <c r="K18" s="35"/>
    </row>
    <row r="19" spans="1:12" ht="15.9" customHeight="1" x14ac:dyDescent="0.3">
      <c r="A19" s="187"/>
      <c r="B19" s="188"/>
      <c r="C19" s="188"/>
      <c r="D19" s="188"/>
      <c r="E19" s="188"/>
      <c r="F19" s="188"/>
      <c r="G19" s="188"/>
      <c r="H19" s="188"/>
      <c r="I19" s="87"/>
      <c r="J19" s="37"/>
      <c r="K19" s="39"/>
    </row>
    <row r="20" spans="1:12" x14ac:dyDescent="0.3">
      <c r="J20" s="82"/>
    </row>
    <row r="21" spans="1:12" x14ac:dyDescent="0.3">
      <c r="A21" s="11" t="s">
        <v>372</v>
      </c>
    </row>
    <row r="22" spans="1:12" x14ac:dyDescent="0.3">
      <c r="A22" s="11" t="s">
        <v>373</v>
      </c>
      <c r="B22" s="63">
        <v>280.14</v>
      </c>
    </row>
    <row r="23" spans="1:12" x14ac:dyDescent="0.3">
      <c r="A23" s="11" t="s">
        <v>120</v>
      </c>
      <c r="B23" s="63">
        <v>390.41</v>
      </c>
      <c r="J23" s="82">
        <f>I18</f>
        <v>1967566.6841102317</v>
      </c>
      <c r="L23" s="11">
        <f>J23/'Dados Gerais'!E15</f>
        <v>51.199396195740093</v>
      </c>
    </row>
    <row r="24" spans="1:12" x14ac:dyDescent="0.3">
      <c r="A24" s="11" t="s">
        <v>374</v>
      </c>
      <c r="B24" s="63">
        <f>B23/B22</f>
        <v>1.393624616263297</v>
      </c>
    </row>
    <row r="25" spans="1:12" x14ac:dyDescent="0.3">
      <c r="B25" s="63"/>
    </row>
    <row r="26" spans="1:12" x14ac:dyDescent="0.3">
      <c r="B26" s="63"/>
    </row>
  </sheetData>
  <mergeCells count="20">
    <mergeCell ref="A19:H19"/>
    <mergeCell ref="A16:C16"/>
    <mergeCell ref="I16:J16"/>
    <mergeCell ref="A18:H18"/>
    <mergeCell ref="I18:J18"/>
    <mergeCell ref="A17:C17"/>
    <mergeCell ref="I17:J17"/>
    <mergeCell ref="B10:F10"/>
    <mergeCell ref="J10:K10"/>
    <mergeCell ref="A2:K4"/>
    <mergeCell ref="B7:K7"/>
    <mergeCell ref="B8:K8"/>
    <mergeCell ref="B9:F9"/>
    <mergeCell ref="J9:K9"/>
    <mergeCell ref="A14:C14"/>
    <mergeCell ref="D14:E14"/>
    <mergeCell ref="F14:G14"/>
    <mergeCell ref="I14:J14"/>
    <mergeCell ref="A15:C15"/>
    <mergeCell ref="I15:J15"/>
  </mergeCells>
  <dataValidations disablePrompts="1" count="1">
    <dataValidation type="list" allowBlank="1" showInputMessage="1" showErrorMessage="1" sqref="J10" xr:uid="{00000000-0002-0000-09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3C66"/>
  </sheetPr>
  <dimension ref="A1:N39"/>
  <sheetViews>
    <sheetView showGridLines="0" topLeftCell="A10" zoomScaleNormal="100" zoomScaleSheetLayoutView="95" workbookViewId="0">
      <selection activeCell="F22" sqref="F22"/>
    </sheetView>
  </sheetViews>
  <sheetFormatPr defaultColWidth="9.109375" defaultRowHeight="13.2" x14ac:dyDescent="0.3"/>
  <cols>
    <col min="1" max="1" width="17.44140625" style="11" customWidth="1"/>
    <col min="2" max="2" width="10.44140625" style="11" bestFit="1" customWidth="1"/>
    <col min="3" max="3" width="8.88671875" style="11" customWidth="1"/>
    <col min="4" max="4" width="14" style="63" customWidth="1"/>
    <col min="5" max="5" width="7.5546875" style="69" customWidth="1"/>
    <col min="6" max="6" width="10.6640625" style="18" customWidth="1"/>
    <col min="7" max="7" width="15.88671875" style="11" customWidth="1"/>
    <col min="8" max="8" width="12.88671875" style="11" customWidth="1"/>
    <col min="9" max="9" width="9.33203125" style="11" customWidth="1"/>
    <col min="10" max="10" width="13.109375" style="11" bestFit="1" customWidth="1"/>
    <col min="11" max="11" width="6.44140625" style="11" customWidth="1"/>
    <col min="12" max="12" width="13.109375" style="11" bestFit="1" customWidth="1"/>
    <col min="13" max="14" width="11.6640625" style="63" bestFit="1" customWidth="1"/>
    <col min="15" max="16384" width="9.109375" style="11"/>
  </cols>
  <sheetData>
    <row r="1" spans="1:13" x14ac:dyDescent="0.3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M1" s="120"/>
    </row>
    <row r="2" spans="1:13" x14ac:dyDescent="0.3">
      <c r="A2" s="157" t="s">
        <v>125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120"/>
    </row>
    <row r="3" spans="1:13" x14ac:dyDescent="0.3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M3" s="120"/>
    </row>
    <row r="4" spans="1:13" x14ac:dyDescent="0.3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M4" s="120"/>
    </row>
    <row r="5" spans="1:13" ht="13.8" thickBot="1" x14ac:dyDescent="0.35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M5" s="120"/>
    </row>
    <row r="6" spans="1:13" x14ac:dyDescent="0.3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M6" s="120"/>
    </row>
    <row r="7" spans="1:13" x14ac:dyDescent="0.3">
      <c r="A7" s="5" t="s">
        <v>0</v>
      </c>
      <c r="B7" s="159" t="s">
        <v>182</v>
      </c>
      <c r="C7" s="159"/>
      <c r="D7" s="159"/>
      <c r="E7" s="159"/>
      <c r="F7" s="159"/>
      <c r="G7" s="159"/>
      <c r="H7" s="159"/>
      <c r="I7" s="159"/>
      <c r="J7" s="159"/>
      <c r="K7" s="159"/>
      <c r="M7" s="120"/>
    </row>
    <row r="8" spans="1:13" x14ac:dyDescent="0.3">
      <c r="A8" s="5" t="s">
        <v>1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M8" s="120"/>
    </row>
    <row r="9" spans="1:13" ht="15" customHeight="1" x14ac:dyDescent="0.3">
      <c r="A9" s="5" t="s">
        <v>2</v>
      </c>
      <c r="B9" s="161" t="s">
        <v>183</v>
      </c>
      <c r="C9" s="162"/>
      <c r="D9" s="162"/>
      <c r="E9" s="162"/>
      <c r="F9" s="163"/>
      <c r="G9" s="9" t="s">
        <v>10</v>
      </c>
      <c r="H9" s="47" t="s">
        <v>49</v>
      </c>
      <c r="I9" s="6" t="s">
        <v>6</v>
      </c>
      <c r="J9" s="160" t="s">
        <v>44</v>
      </c>
      <c r="K9" s="160"/>
    </row>
    <row r="10" spans="1:13" x14ac:dyDescent="0.3">
      <c r="A10" s="7" t="s">
        <v>3</v>
      </c>
      <c r="B10" s="164">
        <v>44294</v>
      </c>
      <c r="C10" s="165"/>
      <c r="D10" s="165"/>
      <c r="E10" s="165"/>
      <c r="F10" s="166"/>
      <c r="G10" s="9" t="s">
        <v>4</v>
      </c>
      <c r="H10" s="8" t="s">
        <v>5</v>
      </c>
      <c r="I10" s="6" t="s">
        <v>41</v>
      </c>
      <c r="J10" s="167" t="s">
        <v>8</v>
      </c>
      <c r="K10" s="168"/>
    </row>
    <row r="12" spans="1:13" x14ac:dyDescent="0.3">
      <c r="A12" s="21" t="s">
        <v>128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3" ht="15.9" customHeight="1" x14ac:dyDescent="0.3">
      <c r="A13" s="25"/>
      <c r="B13" s="26"/>
      <c r="C13" s="26"/>
      <c r="D13" s="60"/>
      <c r="E13" s="68"/>
      <c r="F13" s="26"/>
      <c r="G13" s="26"/>
      <c r="H13" s="26"/>
      <c r="K13" s="27"/>
    </row>
    <row r="14" spans="1:13" ht="15.9" customHeight="1" x14ac:dyDescent="0.3">
      <c r="A14" s="169" t="s">
        <v>35</v>
      </c>
      <c r="B14" s="170"/>
      <c r="C14" s="170"/>
      <c r="D14" s="206" t="s">
        <v>52</v>
      </c>
      <c r="E14" s="207"/>
      <c r="F14" s="171" t="s">
        <v>24</v>
      </c>
      <c r="G14" s="173"/>
      <c r="H14" s="28" t="s">
        <v>40</v>
      </c>
      <c r="I14" s="171" t="s">
        <v>39</v>
      </c>
      <c r="J14" s="173"/>
      <c r="K14" s="27"/>
    </row>
    <row r="15" spans="1:13" ht="15.9" customHeight="1" x14ac:dyDescent="0.3">
      <c r="A15" s="196" t="s">
        <v>375</v>
      </c>
      <c r="B15" s="197"/>
      <c r="C15" s="198"/>
      <c r="D15" s="72">
        <v>1577.73</v>
      </c>
      <c r="E15" s="76" t="s">
        <v>199</v>
      </c>
      <c r="F15" s="48">
        <v>95</v>
      </c>
      <c r="G15" s="29" t="s">
        <v>25</v>
      </c>
      <c r="H15" s="79" t="s">
        <v>168</v>
      </c>
      <c r="I15" s="199">
        <f t="shared" ref="I15" si="0">+F15*D15</f>
        <v>149884.35</v>
      </c>
      <c r="J15" s="201"/>
      <c r="K15" s="27"/>
    </row>
    <row r="16" spans="1:13" ht="15.9" customHeight="1" x14ac:dyDescent="0.3">
      <c r="A16" s="132" t="s">
        <v>376</v>
      </c>
      <c r="B16" s="133"/>
      <c r="C16" s="134"/>
      <c r="D16" s="75">
        <v>8097.92</v>
      </c>
      <c r="E16" s="76" t="s">
        <v>199</v>
      </c>
      <c r="F16" s="51">
        <v>100</v>
      </c>
      <c r="G16" s="52" t="s">
        <v>68</v>
      </c>
      <c r="H16" s="80" t="s">
        <v>168</v>
      </c>
      <c r="I16" s="199">
        <f t="shared" ref="I16:I24" si="1">+F16*D16</f>
        <v>809792</v>
      </c>
      <c r="J16" s="201"/>
      <c r="K16" s="27"/>
    </row>
    <row r="17" spans="1:12" ht="15.9" customHeight="1" x14ac:dyDescent="0.3">
      <c r="A17" s="139" t="s">
        <v>382</v>
      </c>
      <c r="B17" s="136"/>
      <c r="C17" s="137"/>
      <c r="D17" s="75">
        <f>515.92*1.2</f>
        <v>619.10399999999993</v>
      </c>
      <c r="E17" s="76" t="s">
        <v>199</v>
      </c>
      <c r="F17" s="51">
        <v>110</v>
      </c>
      <c r="G17" s="52" t="s">
        <v>68</v>
      </c>
      <c r="H17" s="80" t="s">
        <v>168</v>
      </c>
      <c r="I17" s="199">
        <f t="shared" si="1"/>
        <v>68101.439999999988</v>
      </c>
      <c r="J17" s="201"/>
      <c r="K17" s="27"/>
    </row>
    <row r="18" spans="1:12" ht="15.9" customHeight="1" x14ac:dyDescent="0.3">
      <c r="A18" s="135" t="s">
        <v>377</v>
      </c>
      <c r="B18" s="136"/>
      <c r="C18" s="137"/>
      <c r="D18" s="75">
        <f>691.99+691.99*1.2*1.5</f>
        <v>1937.5720000000001</v>
      </c>
      <c r="E18" s="76" t="s">
        <v>199</v>
      </c>
      <c r="F18" s="51">
        <v>150</v>
      </c>
      <c r="G18" s="52" t="s">
        <v>68</v>
      </c>
      <c r="H18" s="80" t="s">
        <v>168</v>
      </c>
      <c r="I18" s="199">
        <f t="shared" si="1"/>
        <v>290635.80000000005</v>
      </c>
      <c r="J18" s="201"/>
      <c r="K18" s="27"/>
    </row>
    <row r="19" spans="1:12" ht="15.9" customHeight="1" x14ac:dyDescent="0.3">
      <c r="A19" s="135" t="s">
        <v>378</v>
      </c>
      <c r="B19" s="136"/>
      <c r="C19" s="137"/>
      <c r="D19" s="75">
        <v>197.06</v>
      </c>
      <c r="E19" s="76" t="s">
        <v>199</v>
      </c>
      <c r="F19" s="51">
        <v>150</v>
      </c>
      <c r="G19" s="52" t="s">
        <v>68</v>
      </c>
      <c r="H19" s="80" t="s">
        <v>168</v>
      </c>
      <c r="I19" s="199">
        <f t="shared" si="1"/>
        <v>29559</v>
      </c>
      <c r="J19" s="201"/>
      <c r="K19" s="27"/>
    </row>
    <row r="20" spans="1:12" ht="15.9" customHeight="1" x14ac:dyDescent="0.3">
      <c r="A20" s="132" t="s">
        <v>379</v>
      </c>
      <c r="B20" s="133"/>
      <c r="C20" s="134"/>
      <c r="D20" s="75">
        <v>27.3</v>
      </c>
      <c r="E20" s="76" t="s">
        <v>199</v>
      </c>
      <c r="F20" s="51">
        <v>200</v>
      </c>
      <c r="G20" s="52" t="s">
        <v>68</v>
      </c>
      <c r="H20" s="80" t="s">
        <v>168</v>
      </c>
      <c r="I20" s="199">
        <f t="shared" si="1"/>
        <v>5460</v>
      </c>
      <c r="J20" s="201"/>
      <c r="K20" s="27"/>
    </row>
    <row r="21" spans="1:12" ht="15.9" customHeight="1" x14ac:dyDescent="0.3">
      <c r="A21" s="189" t="s">
        <v>434</v>
      </c>
      <c r="B21" s="190"/>
      <c r="C21" s="191"/>
      <c r="D21" s="75">
        <v>14577.08</v>
      </c>
      <c r="E21" s="76" t="s">
        <v>199</v>
      </c>
      <c r="F21" s="51">
        <v>110</v>
      </c>
      <c r="G21" s="52" t="s">
        <v>68</v>
      </c>
      <c r="H21" s="80" t="s">
        <v>168</v>
      </c>
      <c r="I21" s="176">
        <f t="shared" si="1"/>
        <v>1603478.8</v>
      </c>
      <c r="J21" s="178"/>
      <c r="K21" s="27"/>
    </row>
    <row r="22" spans="1:12" ht="15.9" customHeight="1" x14ac:dyDescent="0.3">
      <c r="A22" s="189" t="s">
        <v>380</v>
      </c>
      <c r="B22" s="190"/>
      <c r="C22" s="191"/>
      <c r="D22" s="75">
        <v>432.2</v>
      </c>
      <c r="E22" s="76" t="s">
        <v>199</v>
      </c>
      <c r="F22" s="51">
        <v>160</v>
      </c>
      <c r="G22" s="52" t="s">
        <v>68</v>
      </c>
      <c r="H22" s="80" t="s">
        <v>168</v>
      </c>
      <c r="I22" s="199">
        <f t="shared" si="1"/>
        <v>69152</v>
      </c>
      <c r="J22" s="201"/>
      <c r="K22" s="27"/>
    </row>
    <row r="23" spans="1:12" ht="15.9" customHeight="1" x14ac:dyDescent="0.3">
      <c r="A23" s="189" t="s">
        <v>381</v>
      </c>
      <c r="B23" s="190"/>
      <c r="C23" s="191"/>
      <c r="D23" s="75">
        <v>5371.08</v>
      </c>
      <c r="E23" s="76" t="s">
        <v>199</v>
      </c>
      <c r="F23" s="51">
        <v>80</v>
      </c>
      <c r="G23" s="52" t="s">
        <v>68</v>
      </c>
      <c r="H23" s="80" t="s">
        <v>168</v>
      </c>
      <c r="I23" s="176">
        <f t="shared" si="1"/>
        <v>429686.4</v>
      </c>
      <c r="J23" s="178"/>
      <c r="K23" s="27"/>
    </row>
    <row r="24" spans="1:12" ht="15.9" customHeight="1" x14ac:dyDescent="0.3">
      <c r="A24" s="189" t="s">
        <v>273</v>
      </c>
      <c r="B24" s="190"/>
      <c r="C24" s="191"/>
      <c r="D24" s="75">
        <v>573.20000000000005</v>
      </c>
      <c r="E24" s="76" t="s">
        <v>199</v>
      </c>
      <c r="F24" s="51">
        <v>40</v>
      </c>
      <c r="G24" s="52" t="s">
        <v>68</v>
      </c>
      <c r="H24" s="80" t="s">
        <v>168</v>
      </c>
      <c r="I24" s="176">
        <f t="shared" si="1"/>
        <v>22928</v>
      </c>
      <c r="J24" s="178"/>
      <c r="K24" s="27"/>
    </row>
    <row r="25" spans="1:12" ht="15.9" customHeight="1" x14ac:dyDescent="0.3">
      <c r="A25" s="189" t="s">
        <v>137</v>
      </c>
      <c r="B25" s="190"/>
      <c r="C25" s="191"/>
      <c r="D25" s="75">
        <v>1</v>
      </c>
      <c r="E25" s="76" t="s">
        <v>67</v>
      </c>
      <c r="F25" s="51">
        <v>19</v>
      </c>
      <c r="G25" s="52" t="s">
        <v>25</v>
      </c>
      <c r="H25" s="80" t="s">
        <v>168</v>
      </c>
      <c r="I25" s="176">
        <f>+F25*D25*'Dados Gerais'!E15</f>
        <v>730160.30999999994</v>
      </c>
      <c r="J25" s="178"/>
      <c r="K25" s="27"/>
    </row>
    <row r="26" spans="1:12" ht="15.9" customHeight="1" x14ac:dyDescent="0.3">
      <c r="A26" s="236" t="s">
        <v>129</v>
      </c>
      <c r="B26" s="237"/>
      <c r="C26" s="238"/>
      <c r="D26" s="75">
        <f>B33*1.5</f>
        <v>1879.605</v>
      </c>
      <c r="E26" s="76" t="s">
        <v>199</v>
      </c>
      <c r="F26" s="51">
        <v>80</v>
      </c>
      <c r="G26" s="52" t="s">
        <v>68</v>
      </c>
      <c r="H26" s="80" t="s">
        <v>168</v>
      </c>
      <c r="I26" s="176">
        <f>+F26*D26</f>
        <v>150368.4</v>
      </c>
      <c r="J26" s="178"/>
      <c r="K26" s="31"/>
    </row>
    <row r="27" spans="1:12" ht="15.9" customHeight="1" x14ac:dyDescent="0.3">
      <c r="A27" s="208" t="s">
        <v>43</v>
      </c>
      <c r="B27" s="208"/>
      <c r="C27" s="208"/>
      <c r="D27" s="208"/>
      <c r="E27" s="208"/>
      <c r="F27" s="208"/>
      <c r="G27" s="208"/>
      <c r="H27" s="208"/>
      <c r="I27" s="204">
        <f>SUM(I15:J26)</f>
        <v>4359206.5</v>
      </c>
      <c r="J27" s="204"/>
      <c r="K27" s="35"/>
    </row>
    <row r="28" spans="1:12" ht="15.9" customHeight="1" x14ac:dyDescent="0.3">
      <c r="A28" s="187"/>
      <c r="B28" s="188"/>
      <c r="C28" s="188"/>
      <c r="D28" s="188"/>
      <c r="E28" s="188"/>
      <c r="F28" s="188"/>
      <c r="G28" s="188"/>
      <c r="H28" s="188"/>
      <c r="I28" s="87"/>
      <c r="J28" s="37"/>
      <c r="K28" s="39"/>
    </row>
    <row r="30" spans="1:12" x14ac:dyDescent="0.3">
      <c r="B30" s="63" t="s">
        <v>275</v>
      </c>
      <c r="J30" s="82">
        <f>I27</f>
        <v>4359206.5</v>
      </c>
      <c r="K30" s="11">
        <f>J30/'Dados Gerais'!E15</f>
        <v>113.43388892228339</v>
      </c>
      <c r="L30" s="63"/>
    </row>
    <row r="31" spans="1:12" x14ac:dyDescent="0.3">
      <c r="A31" s="11" t="s">
        <v>383</v>
      </c>
      <c r="B31" s="63">
        <f>2.38*1.5</f>
        <v>3.57</v>
      </c>
    </row>
    <row r="32" spans="1:12" x14ac:dyDescent="0.3">
      <c r="A32" s="11" t="s">
        <v>52</v>
      </c>
      <c r="B32" s="63">
        <f>306+26+7+12</f>
        <v>351</v>
      </c>
    </row>
    <row r="33" spans="1:2" x14ac:dyDescent="0.3">
      <c r="A33" s="11" t="s">
        <v>384</v>
      </c>
      <c r="B33" s="63">
        <f>B32*B31</f>
        <v>1253.07</v>
      </c>
    </row>
    <row r="36" spans="1:2" x14ac:dyDescent="0.3">
      <c r="A36" s="11" t="s">
        <v>385</v>
      </c>
    </row>
    <row r="37" spans="1:2" x14ac:dyDescent="0.3">
      <c r="A37" s="11" t="s">
        <v>386</v>
      </c>
      <c r="B37" s="63">
        <f>10215.71+2691.74+10654.86+10707.29+53650.49+4322.65</f>
        <v>92242.739999999991</v>
      </c>
    </row>
    <row r="38" spans="1:2" x14ac:dyDescent="0.3">
      <c r="A38" s="11" t="s">
        <v>278</v>
      </c>
      <c r="B38" s="11">
        <v>4811.62</v>
      </c>
    </row>
    <row r="39" spans="1:2" x14ac:dyDescent="0.3">
      <c r="A39" s="11" t="s">
        <v>387</v>
      </c>
      <c r="B39" s="82">
        <f>B37/B38</f>
        <v>19.170828120258872</v>
      </c>
    </row>
  </sheetData>
  <mergeCells count="33">
    <mergeCell ref="B10:F10"/>
    <mergeCell ref="J10:K10"/>
    <mergeCell ref="A2:K4"/>
    <mergeCell ref="B7:K7"/>
    <mergeCell ref="B8:K8"/>
    <mergeCell ref="B9:F9"/>
    <mergeCell ref="J9:K9"/>
    <mergeCell ref="A14:C14"/>
    <mergeCell ref="D14:E14"/>
    <mergeCell ref="F14:G14"/>
    <mergeCell ref="I14:J14"/>
    <mergeCell ref="A15:C15"/>
    <mergeCell ref="I15:J15"/>
    <mergeCell ref="A21:C21"/>
    <mergeCell ref="I21:J21"/>
    <mergeCell ref="A22:C22"/>
    <mergeCell ref="I22:J22"/>
    <mergeCell ref="A28:H28"/>
    <mergeCell ref="A25:C25"/>
    <mergeCell ref="I25:J25"/>
    <mergeCell ref="A26:C26"/>
    <mergeCell ref="I26:J26"/>
    <mergeCell ref="A27:H27"/>
    <mergeCell ref="I27:J27"/>
    <mergeCell ref="A24:C24"/>
    <mergeCell ref="I24:J24"/>
    <mergeCell ref="A23:C23"/>
    <mergeCell ref="I23:J23"/>
    <mergeCell ref="I16:J16"/>
    <mergeCell ref="I17:J17"/>
    <mergeCell ref="I18:J18"/>
    <mergeCell ref="I19:J19"/>
    <mergeCell ref="I20:J20"/>
  </mergeCells>
  <dataValidations disablePrompts="1" count="1">
    <dataValidation type="list" allowBlank="1" showInputMessage="1" showErrorMessage="1" sqref="J10" xr:uid="{00000000-0002-0000-0A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3C66"/>
  </sheetPr>
  <dimension ref="A1:P30"/>
  <sheetViews>
    <sheetView showGridLines="0" topLeftCell="A3" zoomScaleNormal="100" zoomScaleSheetLayoutView="95" workbookViewId="0">
      <selection activeCell="H21" sqref="H21"/>
    </sheetView>
  </sheetViews>
  <sheetFormatPr defaultColWidth="9.109375" defaultRowHeight="13.2" x14ac:dyDescent="0.3"/>
  <cols>
    <col min="1" max="1" width="17.44140625" style="11" customWidth="1"/>
    <col min="2" max="2" width="13.44140625" style="11" bestFit="1" customWidth="1"/>
    <col min="3" max="3" width="8.88671875" style="11" customWidth="1"/>
    <col min="4" max="4" width="14" style="63" customWidth="1"/>
    <col min="5" max="5" width="7.5546875" style="69" customWidth="1"/>
    <col min="6" max="6" width="10.6640625" style="18" customWidth="1"/>
    <col min="7" max="7" width="15.88671875" style="11" customWidth="1"/>
    <col min="8" max="8" width="12.88671875" style="11" customWidth="1"/>
    <col min="9" max="9" width="9.33203125" style="11" customWidth="1"/>
    <col min="10" max="10" width="13.109375" style="11" bestFit="1" customWidth="1"/>
    <col min="11" max="11" width="7.88671875" style="11" bestFit="1" customWidth="1"/>
    <col min="12" max="12" width="11.33203125" style="11" bestFit="1" customWidth="1"/>
    <col min="13" max="13" width="9.5546875" style="11" bestFit="1" customWidth="1"/>
    <col min="14" max="14" width="11.6640625" style="63" bestFit="1" customWidth="1"/>
    <col min="15" max="15" width="10.6640625" style="63" bestFit="1" customWidth="1"/>
    <col min="16" max="16" width="11.6640625" style="11" bestFit="1" customWidth="1"/>
    <col min="17" max="16384" width="9.109375" style="11"/>
  </cols>
  <sheetData>
    <row r="1" spans="1:15" x14ac:dyDescent="0.3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M1" s="12"/>
    </row>
    <row r="2" spans="1:15" x14ac:dyDescent="0.3">
      <c r="A2" s="157" t="s">
        <v>130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12"/>
    </row>
    <row r="3" spans="1:15" x14ac:dyDescent="0.3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M3" s="12"/>
    </row>
    <row r="4" spans="1:15" x14ac:dyDescent="0.3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M4" s="12"/>
    </row>
    <row r="5" spans="1:15" ht="13.8" thickBot="1" x14ac:dyDescent="0.35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M5" s="12"/>
    </row>
    <row r="6" spans="1:15" x14ac:dyDescent="0.3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M6" s="12"/>
    </row>
    <row r="7" spans="1:15" x14ac:dyDescent="0.3">
      <c r="A7" s="5" t="s">
        <v>0</v>
      </c>
      <c r="B7" s="159" t="s">
        <v>182</v>
      </c>
      <c r="C7" s="159"/>
      <c r="D7" s="159"/>
      <c r="E7" s="159"/>
      <c r="F7" s="159"/>
      <c r="G7" s="159"/>
      <c r="H7" s="159"/>
      <c r="I7" s="159"/>
      <c r="J7" s="159"/>
      <c r="K7" s="159"/>
      <c r="M7" s="12"/>
    </row>
    <row r="8" spans="1:15" x14ac:dyDescent="0.3">
      <c r="A8" s="5" t="s">
        <v>1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M8" s="12"/>
    </row>
    <row r="9" spans="1:15" ht="15" customHeight="1" x14ac:dyDescent="0.3">
      <c r="A9" s="5" t="s">
        <v>2</v>
      </c>
      <c r="B9" s="161" t="s">
        <v>183</v>
      </c>
      <c r="C9" s="162"/>
      <c r="D9" s="162"/>
      <c r="E9" s="162"/>
      <c r="F9" s="163"/>
      <c r="G9" s="9" t="s">
        <v>10</v>
      </c>
      <c r="H9" s="47" t="s">
        <v>49</v>
      </c>
      <c r="I9" s="6" t="s">
        <v>6</v>
      </c>
      <c r="J9" s="160" t="s">
        <v>44</v>
      </c>
      <c r="K9" s="160"/>
    </row>
    <row r="10" spans="1:15" x14ac:dyDescent="0.3">
      <c r="A10" s="7" t="s">
        <v>3</v>
      </c>
      <c r="B10" s="164">
        <v>44294</v>
      </c>
      <c r="C10" s="165"/>
      <c r="D10" s="165"/>
      <c r="E10" s="165"/>
      <c r="F10" s="166"/>
      <c r="G10" s="9" t="s">
        <v>4</v>
      </c>
      <c r="H10" s="8" t="s">
        <v>5</v>
      </c>
      <c r="I10" s="6" t="s">
        <v>41</v>
      </c>
      <c r="J10" s="167" t="s">
        <v>8</v>
      </c>
      <c r="K10" s="168"/>
      <c r="M10" s="63"/>
    </row>
    <row r="11" spans="1:15" x14ac:dyDescent="0.3">
      <c r="M11" s="63"/>
      <c r="N11" s="63">
        <v>664942.13</v>
      </c>
    </row>
    <row r="12" spans="1:15" x14ac:dyDescent="0.3">
      <c r="A12" s="21" t="s">
        <v>131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  <c r="M12" s="63">
        <v>5730</v>
      </c>
      <c r="N12" s="63">
        <f>P21</f>
        <v>191930.44</v>
      </c>
      <c r="O12" s="63">
        <f>N13/M12</f>
        <v>82.550033158813264</v>
      </c>
    </row>
    <row r="13" spans="1:15" ht="15.9" customHeight="1" x14ac:dyDescent="0.3">
      <c r="A13" s="25"/>
      <c r="B13" s="26"/>
      <c r="C13" s="26"/>
      <c r="D13" s="60"/>
      <c r="E13" s="68"/>
      <c r="F13" s="26"/>
      <c r="G13" s="26"/>
      <c r="H13" s="26"/>
      <c r="K13" s="27"/>
      <c r="M13" s="63"/>
      <c r="N13" s="63">
        <f>N11-N12</f>
        <v>473011.69</v>
      </c>
    </row>
    <row r="14" spans="1:15" ht="15.9" customHeight="1" x14ac:dyDescent="0.3">
      <c r="A14" s="169" t="s">
        <v>35</v>
      </c>
      <c r="B14" s="170"/>
      <c r="C14" s="170"/>
      <c r="D14" s="206" t="s">
        <v>52</v>
      </c>
      <c r="E14" s="207"/>
      <c r="F14" s="171" t="s">
        <v>24</v>
      </c>
      <c r="G14" s="173"/>
      <c r="H14" s="28" t="s">
        <v>40</v>
      </c>
      <c r="I14" s="171" t="s">
        <v>39</v>
      </c>
      <c r="J14" s="173"/>
      <c r="K14" s="27"/>
      <c r="M14" s="63"/>
      <c r="N14" s="63">
        <v>32483.89</v>
      </c>
      <c r="O14" s="63">
        <v>14107.95</v>
      </c>
    </row>
    <row r="15" spans="1:15" ht="15.9" customHeight="1" x14ac:dyDescent="0.3">
      <c r="A15" s="196" t="s">
        <v>388</v>
      </c>
      <c r="B15" s="197"/>
      <c r="C15" s="198"/>
      <c r="D15" s="72">
        <f>A26</f>
        <v>195</v>
      </c>
      <c r="E15" s="76" t="s">
        <v>274</v>
      </c>
      <c r="F15" s="138">
        <v>30</v>
      </c>
      <c r="G15" s="29" t="s">
        <v>25</v>
      </c>
      <c r="H15" s="79" t="s">
        <v>168</v>
      </c>
      <c r="I15" s="199">
        <f>D15*F15</f>
        <v>5850</v>
      </c>
      <c r="J15" s="201"/>
      <c r="K15" s="27"/>
      <c r="N15" s="63">
        <v>36129.33</v>
      </c>
      <c r="O15" s="63">
        <v>139.9</v>
      </c>
    </row>
    <row r="16" spans="1:15" ht="15.9" customHeight="1" x14ac:dyDescent="0.3">
      <c r="A16" s="196" t="s">
        <v>389</v>
      </c>
      <c r="B16" s="197"/>
      <c r="C16" s="198"/>
      <c r="D16" s="72">
        <v>573.20000000000005</v>
      </c>
      <c r="E16" s="76" t="s">
        <v>274</v>
      </c>
      <c r="F16" s="48">
        <v>6</v>
      </c>
      <c r="G16" s="29" t="s">
        <v>25</v>
      </c>
      <c r="H16" s="79" t="s">
        <v>168</v>
      </c>
      <c r="I16" s="199">
        <f>D16*F16</f>
        <v>3439.2000000000003</v>
      </c>
      <c r="J16" s="201"/>
      <c r="K16" s="27"/>
      <c r="N16" s="63">
        <v>36129.33</v>
      </c>
      <c r="O16" s="63">
        <v>139.9</v>
      </c>
    </row>
    <row r="17" spans="1:16" ht="15.9" customHeight="1" x14ac:dyDescent="0.3">
      <c r="A17" s="196" t="s">
        <v>132</v>
      </c>
      <c r="B17" s="197"/>
      <c r="C17" s="198"/>
      <c r="D17" s="72">
        <f>Alvenaria!D22*2+'Pintura Interna'!B29*2+'Pintura Interna'!B30*2</f>
        <v>113558.4938</v>
      </c>
      <c r="E17" s="76" t="s">
        <v>274</v>
      </c>
      <c r="F17" s="48">
        <v>12</v>
      </c>
      <c r="G17" s="29" t="s">
        <v>25</v>
      </c>
      <c r="H17" s="79" t="s">
        <v>168</v>
      </c>
      <c r="I17" s="199">
        <f>+F17*D17</f>
        <v>1362701.9256</v>
      </c>
      <c r="J17" s="201"/>
      <c r="K17" s="27"/>
      <c r="N17" s="63">
        <v>17731.939999999999</v>
      </c>
      <c r="O17" s="63">
        <v>28720.35</v>
      </c>
    </row>
    <row r="18" spans="1:16" ht="15.9" customHeight="1" x14ac:dyDescent="0.3">
      <c r="A18" s="208" t="s">
        <v>43</v>
      </c>
      <c r="B18" s="208"/>
      <c r="C18" s="208"/>
      <c r="D18" s="208"/>
      <c r="E18" s="208"/>
      <c r="F18" s="208"/>
      <c r="G18" s="208"/>
      <c r="H18" s="208"/>
      <c r="I18" s="204">
        <f>SUM(I15:J17)</f>
        <v>1371991.1255999999</v>
      </c>
      <c r="J18" s="204"/>
      <c r="K18" s="35"/>
      <c r="N18" s="63">
        <f>SUM(N14:N17)</f>
        <v>122474.49</v>
      </c>
      <c r="O18" s="63">
        <v>289.5</v>
      </c>
    </row>
    <row r="19" spans="1:16" ht="15.9" customHeight="1" x14ac:dyDescent="0.3">
      <c r="A19" s="187"/>
      <c r="B19" s="188"/>
      <c r="C19" s="188"/>
      <c r="D19" s="188"/>
      <c r="E19" s="188"/>
      <c r="F19" s="188"/>
      <c r="G19" s="188"/>
      <c r="H19" s="188"/>
      <c r="I19" s="87"/>
      <c r="J19" s="37"/>
      <c r="K19" s="39"/>
      <c r="O19" s="63">
        <v>25792.65</v>
      </c>
    </row>
    <row r="20" spans="1:16" x14ac:dyDescent="0.3">
      <c r="O20" s="63">
        <v>265.7</v>
      </c>
    </row>
    <row r="21" spans="1:16" x14ac:dyDescent="0.3">
      <c r="A21" s="63" t="s">
        <v>390</v>
      </c>
      <c r="B21" s="82"/>
      <c r="J21" s="82">
        <f>I18</f>
        <v>1371991.1255999999</v>
      </c>
      <c r="K21" s="63">
        <f>J21/'Dados Gerais'!E15</f>
        <v>35.701517912415696</v>
      </c>
      <c r="O21" s="63">
        <f>SUM(O14:O20)</f>
        <v>69455.95</v>
      </c>
      <c r="P21" s="82">
        <f>O21+N18</f>
        <v>191930.44</v>
      </c>
    </row>
    <row r="22" spans="1:16" x14ac:dyDescent="0.3">
      <c r="A22" s="63">
        <f>341+12+30+4+1+2</f>
        <v>390</v>
      </c>
      <c r="B22" s="82"/>
    </row>
    <row r="23" spans="1:16" x14ac:dyDescent="0.3">
      <c r="A23" s="11" t="s">
        <v>391</v>
      </c>
    </row>
    <row r="24" spans="1:16" x14ac:dyDescent="0.3">
      <c r="A24" s="11">
        <f>5*0.1</f>
        <v>0.5</v>
      </c>
    </row>
    <row r="25" spans="1:16" x14ac:dyDescent="0.3">
      <c r="A25" s="11" t="s">
        <v>384</v>
      </c>
    </row>
    <row r="26" spans="1:16" x14ac:dyDescent="0.3">
      <c r="A26" s="82">
        <f>A24*A22</f>
        <v>195</v>
      </c>
    </row>
    <row r="29" spans="1:16" ht="14.4" x14ac:dyDescent="0.3">
      <c r="A29" t="s">
        <v>392</v>
      </c>
      <c r="B29" s="114">
        <v>6630.7149999999992</v>
      </c>
    </row>
    <row r="30" spans="1:16" ht="14.4" x14ac:dyDescent="0.3">
      <c r="A30" t="s">
        <v>393</v>
      </c>
      <c r="B30" s="114">
        <v>297.9264</v>
      </c>
    </row>
  </sheetData>
  <mergeCells count="20">
    <mergeCell ref="B10:F10"/>
    <mergeCell ref="J10:K10"/>
    <mergeCell ref="A2:K4"/>
    <mergeCell ref="B7:K7"/>
    <mergeCell ref="B8:K8"/>
    <mergeCell ref="B9:F9"/>
    <mergeCell ref="J9:K9"/>
    <mergeCell ref="A18:H18"/>
    <mergeCell ref="I18:J18"/>
    <mergeCell ref="A19:H19"/>
    <mergeCell ref="A14:C14"/>
    <mergeCell ref="D14:E14"/>
    <mergeCell ref="F14:G14"/>
    <mergeCell ref="I14:J14"/>
    <mergeCell ref="A17:C17"/>
    <mergeCell ref="I17:J17"/>
    <mergeCell ref="A16:C16"/>
    <mergeCell ref="I16:J16"/>
    <mergeCell ref="A15:C15"/>
    <mergeCell ref="I15:J15"/>
  </mergeCells>
  <dataValidations count="1">
    <dataValidation type="list" allowBlank="1" showInputMessage="1" showErrorMessage="1" sqref="J10" xr:uid="{00000000-0002-0000-0B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3C66"/>
  </sheetPr>
  <dimension ref="A1:R152"/>
  <sheetViews>
    <sheetView showGridLines="0" topLeftCell="A5" zoomScale="115" zoomScaleNormal="115" zoomScaleSheetLayoutView="95" workbookViewId="0">
      <selection activeCell="F15" sqref="F15"/>
    </sheetView>
  </sheetViews>
  <sheetFormatPr defaultColWidth="9.109375" defaultRowHeight="13.2" x14ac:dyDescent="0.3"/>
  <cols>
    <col min="1" max="1" width="17.44140625" style="11" customWidth="1"/>
    <col min="2" max="2" width="15.44140625" style="11" bestFit="1" customWidth="1"/>
    <col min="3" max="3" width="13.33203125" style="63" bestFit="1" customWidth="1"/>
    <col min="4" max="4" width="14" style="63" customWidth="1"/>
    <col min="5" max="5" width="14.109375" style="69" bestFit="1" customWidth="1"/>
    <col min="6" max="6" width="11.5546875" style="18" customWidth="1"/>
    <col min="7" max="7" width="15.88671875" style="11" customWidth="1"/>
    <col min="8" max="8" width="12.88671875" style="11" customWidth="1"/>
    <col min="9" max="9" width="9.33203125" style="11" customWidth="1"/>
    <col min="10" max="10" width="11.33203125" style="11" bestFit="1" customWidth="1"/>
    <col min="11" max="11" width="14.109375" style="63" bestFit="1" customWidth="1"/>
    <col min="12" max="12" width="11.33203125" style="63" bestFit="1" customWidth="1"/>
    <col min="13" max="13" width="14.5546875" style="11" bestFit="1" customWidth="1"/>
    <col min="14" max="14" width="7.6640625" style="11" customWidth="1"/>
    <col min="15" max="16" width="9.109375" style="11"/>
    <col min="17" max="17" width="9.109375" style="63"/>
    <col min="18" max="16384" width="9.109375" style="11"/>
  </cols>
  <sheetData>
    <row r="1" spans="1:18" x14ac:dyDescent="0.3">
      <c r="A1" s="1"/>
      <c r="B1" s="1"/>
      <c r="C1" s="56"/>
      <c r="D1" s="56"/>
      <c r="E1" s="65"/>
      <c r="F1" s="19"/>
      <c r="G1" s="1"/>
      <c r="H1" s="1"/>
      <c r="I1" s="1"/>
      <c r="J1" s="1"/>
      <c r="K1" s="56"/>
      <c r="M1" s="12"/>
    </row>
    <row r="2" spans="1:18" x14ac:dyDescent="0.3">
      <c r="A2" s="157" t="s">
        <v>133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12"/>
    </row>
    <row r="3" spans="1:18" x14ac:dyDescent="0.3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M3" s="12"/>
    </row>
    <row r="4" spans="1:18" x14ac:dyDescent="0.3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M4" s="12"/>
    </row>
    <row r="5" spans="1:18" ht="13.8" thickBot="1" x14ac:dyDescent="0.35">
      <c r="A5" s="2"/>
      <c r="B5" s="2"/>
      <c r="C5" s="57"/>
      <c r="D5" s="57"/>
      <c r="E5" s="66"/>
      <c r="F5" s="20"/>
      <c r="G5" s="3"/>
      <c r="H5" s="3"/>
      <c r="I5" s="3"/>
      <c r="J5" s="3"/>
      <c r="K5" s="140"/>
      <c r="M5" s="12"/>
    </row>
    <row r="6" spans="1:18" x14ac:dyDescent="0.3">
      <c r="A6" s="4"/>
      <c r="B6" s="4"/>
      <c r="C6" s="116"/>
      <c r="D6" s="58"/>
      <c r="E6" s="67"/>
      <c r="F6" s="19"/>
      <c r="G6" s="1"/>
      <c r="H6" s="1"/>
      <c r="I6" s="1"/>
      <c r="J6" s="1"/>
      <c r="K6" s="56"/>
      <c r="M6" s="12"/>
    </row>
    <row r="7" spans="1:18" x14ac:dyDescent="0.3">
      <c r="A7" s="5" t="s">
        <v>0</v>
      </c>
      <c r="B7" s="159" t="s">
        <v>182</v>
      </c>
      <c r="C7" s="159"/>
      <c r="D7" s="159"/>
      <c r="E7" s="159"/>
      <c r="F7" s="159"/>
      <c r="G7" s="159"/>
      <c r="H7" s="159"/>
      <c r="I7" s="159"/>
      <c r="J7" s="159"/>
      <c r="K7" s="159"/>
      <c r="M7" s="12"/>
    </row>
    <row r="8" spans="1:18" x14ac:dyDescent="0.3">
      <c r="A8" s="5" t="s">
        <v>1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M8" s="12"/>
    </row>
    <row r="9" spans="1:18" ht="15" customHeight="1" x14ac:dyDescent="0.3">
      <c r="A9" s="5" t="s">
        <v>2</v>
      </c>
      <c r="B9" s="161" t="s">
        <v>183</v>
      </c>
      <c r="C9" s="162"/>
      <c r="D9" s="162"/>
      <c r="E9" s="162"/>
      <c r="F9" s="163"/>
      <c r="G9" s="9" t="s">
        <v>10</v>
      </c>
      <c r="H9" s="47" t="s">
        <v>49</v>
      </c>
      <c r="I9" s="6" t="s">
        <v>6</v>
      </c>
      <c r="J9" s="160" t="s">
        <v>44</v>
      </c>
      <c r="K9" s="160"/>
    </row>
    <row r="10" spans="1:18" x14ac:dyDescent="0.3">
      <c r="A10" s="7" t="s">
        <v>3</v>
      </c>
      <c r="B10" s="164">
        <v>44294</v>
      </c>
      <c r="C10" s="165"/>
      <c r="D10" s="165"/>
      <c r="E10" s="165"/>
      <c r="F10" s="166"/>
      <c r="G10" s="9" t="s">
        <v>4</v>
      </c>
      <c r="H10" s="8" t="s">
        <v>5</v>
      </c>
      <c r="I10" s="6" t="s">
        <v>41</v>
      </c>
      <c r="J10" s="167" t="s">
        <v>8</v>
      </c>
      <c r="K10" s="168"/>
    </row>
    <row r="12" spans="1:18" ht="15.75" customHeight="1" x14ac:dyDescent="0.3">
      <c r="A12" s="21" t="s">
        <v>134</v>
      </c>
      <c r="B12" s="22"/>
      <c r="C12" s="59"/>
      <c r="D12" s="59"/>
      <c r="E12" s="41"/>
      <c r="F12" s="23"/>
      <c r="G12" s="22"/>
      <c r="H12" s="22"/>
      <c r="I12" s="22"/>
      <c r="J12" s="22"/>
      <c r="K12" s="141"/>
    </row>
    <row r="13" spans="1:18" ht="15.75" customHeight="1" x14ac:dyDescent="0.3">
      <c r="A13" s="25"/>
      <c r="B13" s="26"/>
      <c r="C13" s="117"/>
      <c r="D13" s="60"/>
      <c r="E13" s="68"/>
      <c r="F13" s="26"/>
      <c r="G13" s="26"/>
      <c r="H13" s="26"/>
      <c r="K13" s="142"/>
    </row>
    <row r="14" spans="1:18" ht="15.75" customHeight="1" x14ac:dyDescent="0.3">
      <c r="A14" s="169" t="s">
        <v>35</v>
      </c>
      <c r="B14" s="170"/>
      <c r="C14" s="170"/>
      <c r="D14" s="206" t="s">
        <v>52</v>
      </c>
      <c r="E14" s="207"/>
      <c r="F14" s="171" t="s">
        <v>24</v>
      </c>
      <c r="G14" s="173"/>
      <c r="H14" s="28" t="s">
        <v>40</v>
      </c>
      <c r="I14" s="171" t="s">
        <v>39</v>
      </c>
      <c r="J14" s="173"/>
      <c r="K14" s="142"/>
    </row>
    <row r="15" spans="1:18" ht="15.75" customHeight="1" x14ac:dyDescent="0.3">
      <c r="A15" s="186" t="s">
        <v>135</v>
      </c>
      <c r="B15" s="186"/>
      <c r="C15" s="186"/>
      <c r="D15" s="72">
        <v>6234.88</v>
      </c>
      <c r="E15" s="72" t="s">
        <v>18</v>
      </c>
      <c r="F15" s="88">
        <v>1500</v>
      </c>
      <c r="G15" s="89" t="s">
        <v>68</v>
      </c>
      <c r="H15" s="90" t="s">
        <v>168</v>
      </c>
      <c r="I15" s="205">
        <f>F15*D15</f>
        <v>9352320</v>
      </c>
      <c r="J15" s="205"/>
      <c r="K15" s="142"/>
      <c r="O15" s="18"/>
      <c r="P15" s="18"/>
      <c r="Q15" s="69"/>
      <c r="R15" s="18"/>
    </row>
    <row r="16" spans="1:18" ht="15.75" customHeight="1" x14ac:dyDescent="0.3">
      <c r="A16" s="186" t="s">
        <v>306</v>
      </c>
      <c r="B16" s="186"/>
      <c r="C16" s="186"/>
      <c r="D16" s="73">
        <f>D69+D70+D71+226.96+4.2+4.67+8.29+94.95+25.25+22.74+17.72*24+70.32</f>
        <v>936.25186680000002</v>
      </c>
      <c r="E16" s="73" t="s">
        <v>18</v>
      </c>
      <c r="F16" s="91">
        <v>662</v>
      </c>
      <c r="G16" s="92" t="s">
        <v>68</v>
      </c>
      <c r="H16" s="85" t="s">
        <v>168</v>
      </c>
      <c r="I16" s="176">
        <f>F16*D16</f>
        <v>619798.73582159996</v>
      </c>
      <c r="J16" s="178"/>
      <c r="K16" s="142"/>
    </row>
    <row r="17" spans="1:12" ht="15.75" customHeight="1" x14ac:dyDescent="0.3">
      <c r="A17" s="189" t="s">
        <v>268</v>
      </c>
      <c r="B17" s="190"/>
      <c r="C17" s="191"/>
      <c r="D17" s="73">
        <v>49</v>
      </c>
      <c r="E17" s="73" t="s">
        <v>19</v>
      </c>
      <c r="F17" s="91">
        <v>1500</v>
      </c>
      <c r="G17" s="92" t="s">
        <v>258</v>
      </c>
      <c r="H17" s="85" t="s">
        <v>168</v>
      </c>
      <c r="I17" s="176">
        <f>F17*D17</f>
        <v>73500</v>
      </c>
      <c r="J17" s="178"/>
      <c r="K17" s="142"/>
    </row>
    <row r="18" spans="1:12" ht="15.75" customHeight="1" x14ac:dyDescent="0.3">
      <c r="A18" s="185" t="s">
        <v>198</v>
      </c>
      <c r="B18" s="185"/>
      <c r="C18" s="185"/>
      <c r="D18" s="73">
        <v>1</v>
      </c>
      <c r="E18" s="73" t="s">
        <v>67</v>
      </c>
      <c r="F18" s="97">
        <v>350000</v>
      </c>
      <c r="G18" s="96" t="s">
        <v>145</v>
      </c>
      <c r="H18" s="86" t="s">
        <v>168</v>
      </c>
      <c r="I18" s="176">
        <f>+D18*F18</f>
        <v>350000</v>
      </c>
      <c r="J18" s="178"/>
      <c r="K18" s="142"/>
    </row>
    <row r="19" spans="1:12" x14ac:dyDescent="0.3">
      <c r="A19" s="217" t="s">
        <v>257</v>
      </c>
      <c r="B19" s="217"/>
      <c r="C19" s="217"/>
      <c r="D19" s="75">
        <f>A40</f>
        <v>77.44</v>
      </c>
      <c r="E19" s="75" t="s">
        <v>18</v>
      </c>
      <c r="F19" s="97">
        <v>1600</v>
      </c>
      <c r="G19" s="96" t="s">
        <v>68</v>
      </c>
      <c r="H19" s="86" t="s">
        <v>168</v>
      </c>
      <c r="I19" s="241">
        <f>+F19*D19</f>
        <v>123904</v>
      </c>
      <c r="J19" s="241"/>
      <c r="K19" s="142"/>
    </row>
    <row r="20" spans="1:12" x14ac:dyDescent="0.3">
      <c r="A20" s="217" t="s">
        <v>289</v>
      </c>
      <c r="B20" s="217"/>
      <c r="C20" s="217"/>
      <c r="D20" s="75">
        <f>A34</f>
        <v>373.65900000000005</v>
      </c>
      <c r="E20" s="75" t="s">
        <v>18</v>
      </c>
      <c r="F20" s="97">
        <v>1800</v>
      </c>
      <c r="G20" s="96" t="s">
        <v>68</v>
      </c>
      <c r="H20" s="86"/>
      <c r="I20" s="241">
        <f>+F20*D20</f>
        <v>672586.20000000007</v>
      </c>
      <c r="J20" s="241"/>
      <c r="K20" s="142"/>
    </row>
    <row r="21" spans="1:12" x14ac:dyDescent="0.3">
      <c r="A21" s="217" t="s">
        <v>259</v>
      </c>
      <c r="B21" s="217"/>
      <c r="C21" s="217"/>
      <c r="D21" s="75">
        <v>2</v>
      </c>
      <c r="E21" s="75" t="s">
        <v>19</v>
      </c>
      <c r="F21" s="97">
        <v>20000</v>
      </c>
      <c r="G21" s="96" t="s">
        <v>258</v>
      </c>
      <c r="H21" s="86" t="s">
        <v>168</v>
      </c>
      <c r="I21" s="241">
        <f>+F21*D21</f>
        <v>40000</v>
      </c>
      <c r="J21" s="241"/>
      <c r="K21" s="142"/>
    </row>
    <row r="22" spans="1:12" ht="15.75" customHeight="1" x14ac:dyDescent="0.3">
      <c r="A22" s="185" t="s">
        <v>394</v>
      </c>
      <c r="B22" s="185"/>
      <c r="C22" s="185"/>
      <c r="D22" s="73">
        <f>'Acabamentos de Piso e Parede'!B32</f>
        <v>351</v>
      </c>
      <c r="E22" s="73" t="s">
        <v>19</v>
      </c>
      <c r="F22" s="91">
        <v>250</v>
      </c>
      <c r="G22" s="92" t="s">
        <v>258</v>
      </c>
      <c r="H22" s="85" t="s">
        <v>168</v>
      </c>
      <c r="I22" s="221">
        <f>F22*D22</f>
        <v>87750</v>
      </c>
      <c r="J22" s="222"/>
      <c r="K22" s="142"/>
    </row>
    <row r="23" spans="1:12" ht="15.75" customHeight="1" x14ac:dyDescent="0.3">
      <c r="A23" s="210" t="s">
        <v>136</v>
      </c>
      <c r="B23" s="210"/>
      <c r="C23" s="210"/>
      <c r="D23" s="74">
        <v>814</v>
      </c>
      <c r="E23" s="74" t="s">
        <v>19</v>
      </c>
      <c r="F23" s="94">
        <v>1800</v>
      </c>
      <c r="G23" s="95" t="s">
        <v>258</v>
      </c>
      <c r="H23" s="84" t="s">
        <v>168</v>
      </c>
      <c r="I23" s="239">
        <f>F23*D23</f>
        <v>1465200</v>
      </c>
      <c r="J23" s="240"/>
      <c r="K23" s="142"/>
    </row>
    <row r="24" spans="1:12" ht="15.75" customHeight="1" x14ac:dyDescent="0.3">
      <c r="A24" s="208" t="s">
        <v>43</v>
      </c>
      <c r="B24" s="208"/>
      <c r="C24" s="208"/>
      <c r="D24" s="208"/>
      <c r="E24" s="208"/>
      <c r="F24" s="208"/>
      <c r="G24" s="208"/>
      <c r="H24" s="208"/>
      <c r="I24" s="204">
        <f>SUM(I15:J23)</f>
        <v>12785058.935821598</v>
      </c>
      <c r="J24" s="204"/>
      <c r="K24" s="35"/>
    </row>
    <row r="25" spans="1:12" ht="15.75" customHeight="1" x14ac:dyDescent="0.3">
      <c r="A25" s="187"/>
      <c r="B25" s="188"/>
      <c r="C25" s="188"/>
      <c r="D25" s="188"/>
      <c r="E25" s="188"/>
      <c r="F25" s="188"/>
      <c r="G25" s="188"/>
      <c r="H25" s="188"/>
      <c r="I25" s="87"/>
      <c r="J25" s="37"/>
      <c r="K25" s="143"/>
    </row>
    <row r="27" spans="1:12" x14ac:dyDescent="0.3">
      <c r="A27" s="11" t="s">
        <v>395</v>
      </c>
      <c r="D27" s="63">
        <f>D20/1.1</f>
        <v>339.69</v>
      </c>
      <c r="K27" s="63">
        <f>I24</f>
        <v>12785058.935821598</v>
      </c>
      <c r="L27" s="63">
        <f>K27/'Dados Gerais'!E15</f>
        <v>332.68874855798498</v>
      </c>
    </row>
    <row r="29" spans="1:12" x14ac:dyDescent="0.3">
      <c r="A29" s="11" t="s">
        <v>396</v>
      </c>
    </row>
    <row r="30" spans="1:12" x14ac:dyDescent="0.3">
      <c r="A30" s="11">
        <v>26.13</v>
      </c>
      <c r="B30" s="11" t="s">
        <v>397</v>
      </c>
      <c r="C30" s="11" t="s">
        <v>398</v>
      </c>
      <c r="F30" s="63"/>
    </row>
    <row r="31" spans="1:12" x14ac:dyDescent="0.3">
      <c r="A31" s="11">
        <v>1.1000000000000001</v>
      </c>
      <c r="B31" s="11" t="s">
        <v>397</v>
      </c>
      <c r="C31" s="11" t="s">
        <v>399</v>
      </c>
      <c r="F31" s="63"/>
    </row>
    <row r="32" spans="1:12" x14ac:dyDescent="0.3">
      <c r="A32" s="11">
        <f>A31*A30</f>
        <v>28.743000000000002</v>
      </c>
      <c r="B32" s="11" t="s">
        <v>274</v>
      </c>
      <c r="C32" s="11" t="s">
        <v>400</v>
      </c>
      <c r="F32" s="63"/>
    </row>
    <row r="33" spans="1:7" x14ac:dyDescent="0.3">
      <c r="A33" s="11">
        <v>13</v>
      </c>
      <c r="B33" s="11" t="s">
        <v>401</v>
      </c>
      <c r="C33" s="11" t="s">
        <v>402</v>
      </c>
      <c r="F33" s="63"/>
    </row>
    <row r="34" spans="1:7" x14ac:dyDescent="0.3">
      <c r="A34" s="11">
        <f>A33*A32</f>
        <v>373.65900000000005</v>
      </c>
      <c r="B34" s="11" t="s">
        <v>274</v>
      </c>
      <c r="C34" s="63" t="s">
        <v>403</v>
      </c>
      <c r="E34" s="11"/>
      <c r="F34" s="69"/>
      <c r="G34" s="69"/>
    </row>
    <row r="35" spans="1:7" x14ac:dyDescent="0.3">
      <c r="E35" s="11"/>
      <c r="F35" s="69"/>
      <c r="G35" s="69"/>
    </row>
    <row r="36" spans="1:7" x14ac:dyDescent="0.3">
      <c r="E36" s="11"/>
      <c r="F36" s="69"/>
      <c r="G36" s="69"/>
    </row>
    <row r="37" spans="1:7" x14ac:dyDescent="0.3">
      <c r="A37" s="11" t="s">
        <v>257</v>
      </c>
      <c r="E37" s="11"/>
      <c r="F37" s="69"/>
      <c r="G37" s="69"/>
    </row>
    <row r="38" spans="1:7" x14ac:dyDescent="0.3">
      <c r="A38" s="11">
        <v>3.52</v>
      </c>
      <c r="B38" s="11" t="s">
        <v>404</v>
      </c>
      <c r="C38" s="63" t="s">
        <v>405</v>
      </c>
      <c r="E38" s="11"/>
      <c r="F38" s="69"/>
      <c r="G38" s="69"/>
    </row>
    <row r="39" spans="1:7" x14ac:dyDescent="0.3">
      <c r="A39" s="11">
        <v>22</v>
      </c>
      <c r="B39" s="11" t="s">
        <v>401</v>
      </c>
      <c r="E39" s="11"/>
      <c r="F39" s="69"/>
      <c r="G39" s="69"/>
    </row>
    <row r="40" spans="1:7" x14ac:dyDescent="0.3">
      <c r="A40" s="11">
        <f>A39*A38</f>
        <v>77.44</v>
      </c>
      <c r="B40" s="11" t="s">
        <v>303</v>
      </c>
      <c r="C40" s="63" t="s">
        <v>406</v>
      </c>
      <c r="F40" s="63"/>
    </row>
    <row r="41" spans="1:7" x14ac:dyDescent="0.3">
      <c r="F41" s="69"/>
    </row>
    <row r="42" spans="1:7" x14ac:dyDescent="0.3">
      <c r="F42" s="69"/>
    </row>
    <row r="43" spans="1:7" x14ac:dyDescent="0.3">
      <c r="E43" s="11"/>
      <c r="F43" s="69"/>
    </row>
    <row r="44" spans="1:7" x14ac:dyDescent="0.3">
      <c r="E44" s="11"/>
      <c r="F44" s="69"/>
    </row>
    <row r="45" spans="1:7" x14ac:dyDescent="0.3">
      <c r="E45" s="11"/>
      <c r="F45" s="69"/>
    </row>
    <row r="46" spans="1:7" x14ac:dyDescent="0.3">
      <c r="E46" s="11"/>
    </row>
    <row r="47" spans="1:7" x14ac:dyDescent="0.3">
      <c r="E47" s="11"/>
      <c r="F47" s="69"/>
      <c r="G47" s="69"/>
    </row>
    <row r="48" spans="1:7" x14ac:dyDescent="0.3">
      <c r="E48" s="11"/>
      <c r="F48" s="69"/>
      <c r="G48" s="69"/>
    </row>
    <row r="49" spans="1:7" x14ac:dyDescent="0.3">
      <c r="E49" s="11"/>
      <c r="F49" s="69"/>
      <c r="G49" s="69"/>
    </row>
    <row r="50" spans="1:7" x14ac:dyDescent="0.3">
      <c r="E50" s="11"/>
      <c r="F50" s="69"/>
      <c r="G50" s="69"/>
    </row>
    <row r="51" spans="1:7" x14ac:dyDescent="0.3">
      <c r="E51" s="11"/>
      <c r="F51" s="69"/>
      <c r="G51" s="69"/>
    </row>
    <row r="52" spans="1:7" x14ac:dyDescent="0.3">
      <c r="E52" s="11"/>
      <c r="F52" s="69"/>
      <c r="G52" s="69"/>
    </row>
    <row r="53" spans="1:7" x14ac:dyDescent="0.3">
      <c r="E53" s="11"/>
      <c r="F53" s="69"/>
      <c r="G53" s="69"/>
    </row>
    <row r="54" spans="1:7" x14ac:dyDescent="0.3">
      <c r="E54" s="11"/>
      <c r="F54" s="69"/>
      <c r="G54" s="69"/>
    </row>
    <row r="55" spans="1:7" x14ac:dyDescent="0.3">
      <c r="E55" s="11"/>
      <c r="F55" s="69"/>
      <c r="G55" s="69"/>
    </row>
    <row r="56" spans="1:7" x14ac:dyDescent="0.3">
      <c r="E56" s="11"/>
      <c r="F56" s="69"/>
      <c r="G56" s="69"/>
    </row>
    <row r="57" spans="1:7" x14ac:dyDescent="0.3">
      <c r="E57" s="11"/>
      <c r="F57" s="69"/>
      <c r="G57" s="69"/>
    </row>
    <row r="58" spans="1:7" x14ac:dyDescent="0.3">
      <c r="A58" s="11" t="s">
        <v>276</v>
      </c>
      <c r="E58" s="11"/>
      <c r="F58" s="69"/>
      <c r="G58" s="69"/>
    </row>
    <row r="59" spans="1:7" x14ac:dyDescent="0.3">
      <c r="A59" s="11">
        <v>0.8</v>
      </c>
      <c r="B59" s="11">
        <v>0.6</v>
      </c>
      <c r="C59" s="63">
        <v>3</v>
      </c>
      <c r="D59" s="63">
        <f t="shared" ref="D59:D95" si="0">C59*B59*A59</f>
        <v>1.44</v>
      </c>
      <c r="E59" s="11"/>
      <c r="F59" s="69"/>
      <c r="G59" s="69"/>
    </row>
    <row r="60" spans="1:7" x14ac:dyDescent="0.3">
      <c r="A60" s="11">
        <v>2</v>
      </c>
      <c r="B60" s="11">
        <v>1.5</v>
      </c>
      <c r="C60" s="63">
        <v>1</v>
      </c>
      <c r="D60" s="63">
        <f t="shared" si="0"/>
        <v>3</v>
      </c>
      <c r="E60" s="11" t="s">
        <v>290</v>
      </c>
      <c r="F60" s="69"/>
      <c r="G60" s="69"/>
    </row>
    <row r="61" spans="1:7" x14ac:dyDescent="0.3">
      <c r="A61" s="11">
        <v>2</v>
      </c>
      <c r="B61" s="11">
        <v>2</v>
      </c>
      <c r="C61" s="63">
        <v>3</v>
      </c>
      <c r="D61" s="63">
        <f t="shared" si="0"/>
        <v>12</v>
      </c>
      <c r="E61" s="11" t="s">
        <v>290</v>
      </c>
      <c r="F61" s="69"/>
      <c r="G61" s="69"/>
    </row>
    <row r="62" spans="1:7" x14ac:dyDescent="0.3">
      <c r="A62" s="11">
        <v>1.2</v>
      </c>
      <c r="B62" s="11">
        <v>1</v>
      </c>
      <c r="C62" s="63">
        <v>2</v>
      </c>
      <c r="D62" s="63">
        <f t="shared" si="0"/>
        <v>2.4</v>
      </c>
      <c r="E62" s="11"/>
      <c r="F62" s="69"/>
      <c r="G62" s="69"/>
    </row>
    <row r="63" spans="1:7" x14ac:dyDescent="0.3">
      <c r="D63" s="63">
        <f t="shared" si="0"/>
        <v>0</v>
      </c>
      <c r="E63" s="11"/>
      <c r="F63" s="69"/>
      <c r="G63" s="69"/>
    </row>
    <row r="64" spans="1:7" x14ac:dyDescent="0.3">
      <c r="D64" s="63">
        <f>SUM(D31:D63)</f>
        <v>18.839999999999996</v>
      </c>
    </row>
    <row r="65" spans="1:7" x14ac:dyDescent="0.3">
      <c r="D65" s="63">
        <f t="shared" si="0"/>
        <v>0</v>
      </c>
      <c r="F65" s="118"/>
      <c r="G65" s="69"/>
    </row>
    <row r="66" spans="1:7" x14ac:dyDescent="0.3">
      <c r="A66" s="11" t="s">
        <v>291</v>
      </c>
      <c r="F66" s="118"/>
      <c r="G66" s="69"/>
    </row>
    <row r="67" spans="1:7" x14ac:dyDescent="0.3">
      <c r="D67" s="63">
        <f t="shared" si="0"/>
        <v>0</v>
      </c>
      <c r="F67" s="118"/>
      <c r="G67" s="69"/>
    </row>
    <row r="68" spans="1:7" x14ac:dyDescent="0.3">
      <c r="F68" s="118"/>
      <c r="G68" s="69"/>
    </row>
    <row r="69" spans="1:7" x14ac:dyDescent="0.3">
      <c r="A69" s="11" t="s">
        <v>293</v>
      </c>
      <c r="B69" s="11">
        <v>2.1</v>
      </c>
      <c r="C69" s="63">
        <v>4.4000000000000004</v>
      </c>
      <c r="D69" s="63">
        <f>C69*B69</f>
        <v>9.240000000000002</v>
      </c>
      <c r="F69" s="118"/>
      <c r="G69" s="69"/>
    </row>
    <row r="70" spans="1:7" x14ac:dyDescent="0.3">
      <c r="B70" s="11">
        <v>2.0979999999999999</v>
      </c>
      <c r="C70" s="63">
        <v>3.8965999999999998</v>
      </c>
      <c r="D70" s="63">
        <f>C70*B70</f>
        <v>8.1750667999999997</v>
      </c>
      <c r="F70" s="118"/>
      <c r="G70" s="69"/>
    </row>
    <row r="71" spans="1:7" x14ac:dyDescent="0.3">
      <c r="B71" s="11">
        <v>8.2219999999999995</v>
      </c>
      <c r="C71" s="63">
        <v>4.4000000000000004</v>
      </c>
      <c r="D71" s="63">
        <f>C71*B71</f>
        <v>36.1768</v>
      </c>
      <c r="F71" s="118"/>
      <c r="G71" s="69"/>
    </row>
    <row r="72" spans="1:7" x14ac:dyDescent="0.3">
      <c r="D72" s="63">
        <f t="shared" si="0"/>
        <v>0</v>
      </c>
      <c r="F72" s="118"/>
      <c r="G72" s="69"/>
    </row>
    <row r="73" spans="1:7" x14ac:dyDescent="0.3">
      <c r="A73" s="11" t="s">
        <v>292</v>
      </c>
      <c r="F73" s="118"/>
      <c r="G73" s="69"/>
    </row>
    <row r="74" spans="1:7" x14ac:dyDescent="0.3">
      <c r="A74" s="11">
        <v>2.1</v>
      </c>
      <c r="B74" s="11">
        <v>0.9</v>
      </c>
      <c r="C74" s="63">
        <v>1</v>
      </c>
      <c r="D74" s="63">
        <f t="shared" si="0"/>
        <v>1.8900000000000001</v>
      </c>
      <c r="F74" s="118"/>
      <c r="G74" s="69"/>
    </row>
    <row r="75" spans="1:7" x14ac:dyDescent="0.3">
      <c r="A75" s="11">
        <v>1.2</v>
      </c>
      <c r="B75" s="11">
        <v>1.2</v>
      </c>
      <c r="C75" s="63">
        <v>1</v>
      </c>
      <c r="D75" s="63">
        <f t="shared" si="0"/>
        <v>1.44</v>
      </c>
      <c r="F75" s="118"/>
      <c r="G75" s="69"/>
    </row>
    <row r="76" spans="1:7" x14ac:dyDescent="0.3">
      <c r="A76" s="11">
        <v>1.2</v>
      </c>
      <c r="B76" s="11">
        <v>2</v>
      </c>
      <c r="C76" s="63">
        <v>1</v>
      </c>
      <c r="D76" s="63">
        <f t="shared" si="0"/>
        <v>2.4</v>
      </c>
      <c r="F76" s="118"/>
      <c r="G76" s="69"/>
    </row>
    <row r="77" spans="1:7" x14ac:dyDescent="0.3">
      <c r="D77" s="63">
        <f t="shared" si="0"/>
        <v>0</v>
      </c>
      <c r="F77" s="118"/>
      <c r="G77" s="69"/>
    </row>
    <row r="78" spans="1:7" x14ac:dyDescent="0.3">
      <c r="A78" s="11" t="s">
        <v>294</v>
      </c>
      <c r="F78" s="118"/>
      <c r="G78" s="69"/>
    </row>
    <row r="79" spans="1:7" x14ac:dyDescent="0.3">
      <c r="A79" s="11">
        <v>2.1</v>
      </c>
      <c r="B79" s="11">
        <v>0.8</v>
      </c>
      <c r="C79" s="63">
        <v>1</v>
      </c>
      <c r="D79" s="63">
        <f t="shared" si="0"/>
        <v>1.6800000000000002</v>
      </c>
      <c r="F79" s="118"/>
      <c r="G79" s="69"/>
    </row>
    <row r="80" spans="1:7" x14ac:dyDescent="0.3">
      <c r="A80" s="11">
        <v>1.2</v>
      </c>
      <c r="B80" s="11">
        <v>2.1</v>
      </c>
      <c r="C80" s="63">
        <v>2</v>
      </c>
      <c r="D80" s="63">
        <f t="shared" si="0"/>
        <v>5.04</v>
      </c>
      <c r="F80" s="118"/>
      <c r="G80" s="69"/>
    </row>
    <row r="81" spans="1:7" x14ac:dyDescent="0.3">
      <c r="A81" s="11">
        <v>2.1</v>
      </c>
      <c r="B81" s="11">
        <v>1.45</v>
      </c>
      <c r="C81" s="63">
        <v>1</v>
      </c>
      <c r="D81" s="63">
        <f t="shared" si="0"/>
        <v>3.0449999999999999</v>
      </c>
      <c r="G81" s="69"/>
    </row>
    <row r="82" spans="1:7" x14ac:dyDescent="0.3">
      <c r="A82" s="11">
        <v>2.1</v>
      </c>
      <c r="B82" s="11">
        <v>0.7</v>
      </c>
      <c r="C82" s="63">
        <v>1</v>
      </c>
      <c r="D82" s="63">
        <f t="shared" si="0"/>
        <v>1.47</v>
      </c>
      <c r="E82" s="11"/>
      <c r="F82" s="69"/>
      <c r="G82" s="82"/>
    </row>
    <row r="83" spans="1:7" x14ac:dyDescent="0.3">
      <c r="A83" s="11">
        <v>2.1</v>
      </c>
      <c r="B83" s="11">
        <v>0.8</v>
      </c>
      <c r="C83" s="63">
        <v>1</v>
      </c>
      <c r="D83" s="63">
        <f t="shared" si="0"/>
        <v>1.6800000000000002</v>
      </c>
      <c r="E83" s="11"/>
      <c r="F83" s="69"/>
      <c r="G83" s="82"/>
    </row>
    <row r="84" spans="1:7" x14ac:dyDescent="0.3">
      <c r="A84" s="11">
        <v>2.2000000000000002</v>
      </c>
      <c r="B84" s="11">
        <v>1.1499999999999999</v>
      </c>
      <c r="C84" s="63">
        <v>1</v>
      </c>
      <c r="D84" s="63">
        <f t="shared" si="0"/>
        <v>2.5299999999999998</v>
      </c>
      <c r="E84" s="11"/>
      <c r="F84" s="69"/>
      <c r="G84" s="82"/>
    </row>
    <row r="85" spans="1:7" x14ac:dyDescent="0.3">
      <c r="A85" s="11">
        <v>2.1</v>
      </c>
      <c r="B85" s="11">
        <v>0.7</v>
      </c>
      <c r="C85" s="63">
        <v>1</v>
      </c>
      <c r="D85" s="63">
        <f t="shared" si="0"/>
        <v>1.47</v>
      </c>
      <c r="E85" s="11"/>
      <c r="F85" s="69"/>
      <c r="G85" s="82"/>
    </row>
    <row r="86" spans="1:7" x14ac:dyDescent="0.3">
      <c r="A86" s="11">
        <v>2.1</v>
      </c>
      <c r="B86" s="11">
        <v>0.8</v>
      </c>
      <c r="C86" s="63">
        <v>1</v>
      </c>
      <c r="D86" s="63">
        <f t="shared" si="0"/>
        <v>1.6800000000000002</v>
      </c>
      <c r="E86" s="11"/>
      <c r="F86" s="69"/>
      <c r="G86" s="82"/>
    </row>
    <row r="87" spans="1:7" x14ac:dyDescent="0.3">
      <c r="A87" s="11">
        <v>2.1</v>
      </c>
      <c r="B87" s="11">
        <v>0.9</v>
      </c>
      <c r="C87" s="63">
        <v>1</v>
      </c>
      <c r="D87" s="63">
        <f t="shared" si="0"/>
        <v>1.8900000000000001</v>
      </c>
      <c r="E87" s="11"/>
      <c r="F87" s="69"/>
      <c r="G87" s="82"/>
    </row>
    <row r="88" spans="1:7" x14ac:dyDescent="0.3">
      <c r="D88" s="63">
        <f t="shared" si="0"/>
        <v>0</v>
      </c>
      <c r="E88" s="11"/>
      <c r="F88" s="69"/>
      <c r="G88" s="82"/>
    </row>
    <row r="89" spans="1:7" x14ac:dyDescent="0.3">
      <c r="A89" s="11" t="s">
        <v>283</v>
      </c>
      <c r="E89" s="11"/>
      <c r="F89" s="69"/>
      <c r="G89" s="82"/>
    </row>
    <row r="90" spans="1:7" x14ac:dyDescent="0.3">
      <c r="A90" s="11">
        <v>1.2</v>
      </c>
      <c r="B90" s="11">
        <v>1</v>
      </c>
      <c r="C90" s="63">
        <v>2</v>
      </c>
      <c r="D90" s="63">
        <f t="shared" si="0"/>
        <v>2.4</v>
      </c>
      <c r="E90" s="11"/>
      <c r="F90" s="69"/>
      <c r="G90" s="82"/>
    </row>
    <row r="91" spans="1:7" x14ac:dyDescent="0.3">
      <c r="A91" s="11">
        <v>1.2</v>
      </c>
      <c r="B91" s="11">
        <v>1.2</v>
      </c>
      <c r="C91" s="63">
        <v>1</v>
      </c>
      <c r="D91" s="63">
        <f t="shared" si="0"/>
        <v>1.44</v>
      </c>
      <c r="E91" s="11"/>
      <c r="F91" s="69"/>
      <c r="G91" s="82"/>
    </row>
    <row r="92" spans="1:7" x14ac:dyDescent="0.3">
      <c r="A92" s="11">
        <v>1.6</v>
      </c>
      <c r="B92" s="11">
        <v>2.1</v>
      </c>
      <c r="C92" s="63">
        <v>2</v>
      </c>
      <c r="D92" s="63">
        <f t="shared" si="0"/>
        <v>6.7200000000000006</v>
      </c>
      <c r="E92" s="11"/>
      <c r="F92" s="69"/>
      <c r="G92" s="82"/>
    </row>
    <row r="93" spans="1:7" x14ac:dyDescent="0.3">
      <c r="A93" s="11">
        <v>0.65</v>
      </c>
      <c r="B93" s="11">
        <v>1.2</v>
      </c>
      <c r="C93" s="63">
        <v>6</v>
      </c>
      <c r="D93" s="63">
        <f t="shared" si="0"/>
        <v>4.68</v>
      </c>
      <c r="E93" s="11"/>
      <c r="F93" s="69"/>
      <c r="G93" s="82"/>
    </row>
    <row r="94" spans="1:7" x14ac:dyDescent="0.3">
      <c r="A94" s="11">
        <v>0.7</v>
      </c>
      <c r="B94" s="11">
        <v>2.1</v>
      </c>
      <c r="C94" s="63">
        <v>1</v>
      </c>
      <c r="D94" s="63">
        <f t="shared" si="0"/>
        <v>1.47</v>
      </c>
      <c r="E94" s="11"/>
      <c r="F94" s="69"/>
      <c r="G94" s="82"/>
    </row>
    <row r="95" spans="1:7" x14ac:dyDescent="0.3">
      <c r="A95" s="11">
        <v>0.8</v>
      </c>
      <c r="B95" s="11">
        <v>1.2</v>
      </c>
      <c r="C95" s="63">
        <v>44</v>
      </c>
      <c r="D95" s="63">
        <f t="shared" si="0"/>
        <v>42.24</v>
      </c>
      <c r="E95" s="11"/>
      <c r="F95" s="69"/>
      <c r="G95" s="82"/>
    </row>
    <row r="96" spans="1:7" x14ac:dyDescent="0.3">
      <c r="A96" s="11">
        <v>1</v>
      </c>
      <c r="B96" s="11">
        <v>2.1</v>
      </c>
      <c r="C96" s="63">
        <v>3</v>
      </c>
      <c r="D96" s="63">
        <f t="shared" ref="D96:D106" si="1">C96*B96*A96</f>
        <v>6.3000000000000007</v>
      </c>
      <c r="E96" s="11"/>
      <c r="F96" s="69"/>
    </row>
    <row r="97" spans="1:7" x14ac:dyDescent="0.3">
      <c r="A97" s="11">
        <v>0.7</v>
      </c>
      <c r="B97" s="11">
        <v>2.1</v>
      </c>
      <c r="C97" s="63">
        <v>1</v>
      </c>
      <c r="D97" s="63">
        <f t="shared" si="1"/>
        <v>1.47</v>
      </c>
      <c r="E97" s="11"/>
      <c r="F97" s="69"/>
      <c r="G97" s="82"/>
    </row>
    <row r="98" spans="1:7" x14ac:dyDescent="0.3">
      <c r="D98" s="63">
        <f t="shared" si="1"/>
        <v>0</v>
      </c>
      <c r="E98" s="11"/>
      <c r="F98" s="69"/>
      <c r="G98" s="82"/>
    </row>
    <row r="99" spans="1:7" x14ac:dyDescent="0.3">
      <c r="A99" s="11" t="s">
        <v>295</v>
      </c>
      <c r="E99" s="11"/>
      <c r="F99" s="69"/>
      <c r="G99" s="82"/>
    </row>
    <row r="100" spans="1:7" x14ac:dyDescent="0.3">
      <c r="A100" s="11">
        <v>0.8</v>
      </c>
      <c r="B100" s="11">
        <v>2.1</v>
      </c>
      <c r="C100" s="63">
        <v>1</v>
      </c>
      <c r="D100" s="63">
        <f t="shared" si="1"/>
        <v>1.6800000000000002</v>
      </c>
      <c r="E100" s="11"/>
      <c r="F100" s="69"/>
      <c r="G100" s="82"/>
    </row>
    <row r="101" spans="1:7" x14ac:dyDescent="0.3">
      <c r="D101" s="63">
        <f t="shared" si="1"/>
        <v>0</v>
      </c>
      <c r="E101" s="11"/>
      <c r="F101" s="69"/>
      <c r="G101" s="82"/>
    </row>
    <row r="102" spans="1:7" x14ac:dyDescent="0.3">
      <c r="A102" s="11" t="s">
        <v>296</v>
      </c>
      <c r="E102" s="11"/>
      <c r="F102" s="69"/>
      <c r="G102" s="82"/>
    </row>
    <row r="103" spans="1:7" x14ac:dyDescent="0.3">
      <c r="A103" s="11">
        <v>0.8</v>
      </c>
      <c r="B103" s="11">
        <v>2.1</v>
      </c>
      <c r="C103" s="63">
        <v>1</v>
      </c>
      <c r="D103" s="63">
        <f t="shared" si="1"/>
        <v>1.6800000000000002</v>
      </c>
      <c r="E103" s="11"/>
      <c r="F103" s="69"/>
      <c r="G103" s="82"/>
    </row>
    <row r="104" spans="1:7" x14ac:dyDescent="0.3">
      <c r="D104" s="63">
        <f t="shared" si="1"/>
        <v>0</v>
      </c>
      <c r="E104" s="11"/>
      <c r="F104" s="69"/>
      <c r="G104" s="82"/>
    </row>
    <row r="105" spans="1:7" x14ac:dyDescent="0.3">
      <c r="A105" s="11" t="s">
        <v>297</v>
      </c>
      <c r="E105" s="11"/>
      <c r="F105" s="69"/>
      <c r="G105" s="82"/>
    </row>
    <row r="106" spans="1:7" x14ac:dyDescent="0.3">
      <c r="A106" s="11">
        <v>0.8</v>
      </c>
      <c r="B106" s="11">
        <v>2.1</v>
      </c>
      <c r="C106" s="63">
        <v>1</v>
      </c>
      <c r="D106" s="63">
        <f t="shared" si="1"/>
        <v>1.6800000000000002</v>
      </c>
      <c r="G106" s="82"/>
    </row>
    <row r="107" spans="1:7" x14ac:dyDescent="0.3">
      <c r="G107" s="82"/>
    </row>
    <row r="108" spans="1:7" x14ac:dyDescent="0.3">
      <c r="A108" s="11" t="s">
        <v>298</v>
      </c>
      <c r="G108" s="82">
        <f>SUM(G35:G107)</f>
        <v>0</v>
      </c>
    </row>
    <row r="109" spans="1:7" x14ac:dyDescent="0.3">
      <c r="A109" s="11">
        <v>2.2000000000000002</v>
      </c>
      <c r="B109" s="11">
        <v>2.4</v>
      </c>
      <c r="C109" s="63">
        <v>2</v>
      </c>
      <c r="D109" s="63">
        <f t="shared" ref="D109:D114" si="2">C109*B109*A109</f>
        <v>10.56</v>
      </c>
    </row>
    <row r="110" spans="1:7" x14ac:dyDescent="0.3">
      <c r="A110" s="11">
        <v>2.4</v>
      </c>
      <c r="B110" s="11">
        <v>3.72</v>
      </c>
      <c r="C110" s="63">
        <v>1</v>
      </c>
      <c r="D110" s="63">
        <f t="shared" si="2"/>
        <v>8.9280000000000008</v>
      </c>
    </row>
    <row r="111" spans="1:7" x14ac:dyDescent="0.3">
      <c r="A111" s="11">
        <v>0.8</v>
      </c>
      <c r="B111" s="11">
        <v>2.4</v>
      </c>
      <c r="C111" s="63">
        <v>2</v>
      </c>
      <c r="D111" s="63">
        <f t="shared" si="2"/>
        <v>3.84</v>
      </c>
    </row>
    <row r="112" spans="1:7" x14ac:dyDescent="0.3">
      <c r="A112" s="11">
        <v>1</v>
      </c>
      <c r="B112" s="11">
        <v>2.4</v>
      </c>
      <c r="C112" s="63">
        <v>2</v>
      </c>
      <c r="D112" s="63">
        <f t="shared" si="2"/>
        <v>4.8</v>
      </c>
    </row>
    <row r="113" spans="1:4" x14ac:dyDescent="0.3">
      <c r="A113" s="11">
        <v>2.3820000000000001</v>
      </c>
      <c r="B113" s="11">
        <v>2.1958000000000002</v>
      </c>
      <c r="C113" s="63">
        <v>1</v>
      </c>
      <c r="D113" s="63">
        <f t="shared" si="2"/>
        <v>5.2303956000000005</v>
      </c>
    </row>
    <row r="114" spans="1:4" x14ac:dyDescent="0.3">
      <c r="D114" s="63">
        <f t="shared" si="2"/>
        <v>0</v>
      </c>
    </row>
    <row r="115" spans="1:4" x14ac:dyDescent="0.3">
      <c r="A115" s="11" t="s">
        <v>276</v>
      </c>
    </row>
    <row r="116" spans="1:4" x14ac:dyDescent="0.3">
      <c r="A116" s="11">
        <v>2.4</v>
      </c>
      <c r="B116" s="11">
        <v>1.25</v>
      </c>
      <c r="C116" s="63">
        <v>1</v>
      </c>
      <c r="D116" s="63">
        <f t="shared" ref="D116:D127" si="3">C116*B116*A116</f>
        <v>3</v>
      </c>
    </row>
    <row r="117" spans="1:4" x14ac:dyDescent="0.3">
      <c r="A117" s="11">
        <v>2.4</v>
      </c>
      <c r="B117" s="11">
        <v>1.65</v>
      </c>
      <c r="C117" s="63">
        <v>3</v>
      </c>
      <c r="D117" s="63">
        <f t="shared" si="3"/>
        <v>11.879999999999997</v>
      </c>
    </row>
    <row r="118" spans="1:4" x14ac:dyDescent="0.3">
      <c r="A118" s="11">
        <v>2.4</v>
      </c>
      <c r="B118" s="11">
        <v>2</v>
      </c>
      <c r="C118" s="63">
        <v>2</v>
      </c>
      <c r="D118" s="63">
        <f t="shared" si="3"/>
        <v>9.6</v>
      </c>
    </row>
    <row r="119" spans="1:4" x14ac:dyDescent="0.3">
      <c r="A119" s="11">
        <v>2.4</v>
      </c>
      <c r="B119" s="11">
        <v>2.4</v>
      </c>
      <c r="C119" s="63">
        <v>1</v>
      </c>
      <c r="D119" s="63">
        <f t="shared" si="3"/>
        <v>5.76</v>
      </c>
    </row>
    <row r="120" spans="1:4" x14ac:dyDescent="0.3">
      <c r="A120" s="11">
        <v>2.1</v>
      </c>
      <c r="B120" s="11">
        <v>5.12</v>
      </c>
      <c r="C120" s="63">
        <v>1</v>
      </c>
      <c r="D120" s="63">
        <f t="shared" si="3"/>
        <v>10.752000000000001</v>
      </c>
    </row>
    <row r="121" spans="1:4" x14ac:dyDescent="0.3">
      <c r="A121" s="11">
        <v>2.4</v>
      </c>
      <c r="B121" s="11">
        <v>1</v>
      </c>
      <c r="C121" s="63">
        <v>1</v>
      </c>
      <c r="D121" s="63">
        <f t="shared" si="3"/>
        <v>2.4</v>
      </c>
    </row>
    <row r="122" spans="1:4" x14ac:dyDescent="0.3">
      <c r="A122" s="11">
        <v>2.1</v>
      </c>
      <c r="B122" s="11">
        <v>7</v>
      </c>
      <c r="C122" s="63">
        <v>3</v>
      </c>
      <c r="D122" s="63">
        <f t="shared" si="3"/>
        <v>44.1</v>
      </c>
    </row>
    <row r="123" spans="1:4" x14ac:dyDescent="0.3">
      <c r="A123" s="11">
        <v>2.1</v>
      </c>
      <c r="B123" s="11">
        <v>0.8</v>
      </c>
      <c r="C123" s="63">
        <v>1</v>
      </c>
      <c r="D123" s="63">
        <f t="shared" si="3"/>
        <v>1.6800000000000002</v>
      </c>
    </row>
    <row r="124" spans="1:4" x14ac:dyDescent="0.3">
      <c r="A124" s="11">
        <v>2.4</v>
      </c>
      <c r="B124" s="11">
        <v>0.8</v>
      </c>
      <c r="C124" s="63">
        <v>3</v>
      </c>
      <c r="D124" s="63">
        <f t="shared" si="3"/>
        <v>5.7600000000000007</v>
      </c>
    </row>
    <row r="125" spans="1:4" x14ac:dyDescent="0.3">
      <c r="A125" s="11">
        <v>2.1</v>
      </c>
      <c r="B125" s="11">
        <v>1</v>
      </c>
      <c r="C125" s="63">
        <v>1</v>
      </c>
      <c r="D125" s="63">
        <f t="shared" si="3"/>
        <v>2.1</v>
      </c>
    </row>
    <row r="126" spans="1:4" x14ac:dyDescent="0.3">
      <c r="A126" s="11">
        <v>2.4</v>
      </c>
      <c r="B126" s="11">
        <v>1</v>
      </c>
      <c r="C126" s="63">
        <v>2</v>
      </c>
      <c r="D126" s="63">
        <f t="shared" si="3"/>
        <v>4.8</v>
      </c>
    </row>
    <row r="127" spans="1:4" x14ac:dyDescent="0.3">
      <c r="A127" s="11">
        <v>2.4</v>
      </c>
      <c r="B127" s="11">
        <v>1.1000000000000001</v>
      </c>
      <c r="C127" s="63">
        <v>2</v>
      </c>
      <c r="D127" s="63">
        <f t="shared" si="3"/>
        <v>5.28</v>
      </c>
    </row>
    <row r="129" spans="1:4" x14ac:dyDescent="0.3">
      <c r="A129" s="11" t="s">
        <v>299</v>
      </c>
    </row>
    <row r="130" spans="1:4" x14ac:dyDescent="0.3">
      <c r="A130" s="11">
        <v>2.4</v>
      </c>
      <c r="B130" s="11">
        <v>1.3</v>
      </c>
      <c r="C130" s="63">
        <v>2</v>
      </c>
      <c r="D130" s="63">
        <f t="shared" ref="D130:D137" si="4">C130*B130*A130</f>
        <v>6.24</v>
      </c>
    </row>
    <row r="131" spans="1:4" x14ac:dyDescent="0.3">
      <c r="A131" s="11">
        <v>2.4</v>
      </c>
      <c r="B131" s="11">
        <v>2</v>
      </c>
      <c r="C131" s="63">
        <v>1</v>
      </c>
      <c r="D131" s="63">
        <f t="shared" si="4"/>
        <v>4.8</v>
      </c>
    </row>
    <row r="132" spans="1:4" x14ac:dyDescent="0.3">
      <c r="A132" s="11">
        <v>2.4</v>
      </c>
      <c r="B132" s="11">
        <v>2.5</v>
      </c>
      <c r="C132" s="63">
        <v>1</v>
      </c>
      <c r="D132" s="63">
        <f t="shared" si="4"/>
        <v>6</v>
      </c>
    </row>
    <row r="133" spans="1:4" x14ac:dyDescent="0.3">
      <c r="A133" s="11">
        <v>2.4</v>
      </c>
      <c r="B133" s="11">
        <v>2.9</v>
      </c>
      <c r="C133" s="63">
        <v>1</v>
      </c>
      <c r="D133" s="63">
        <f t="shared" si="4"/>
        <v>6.96</v>
      </c>
    </row>
    <row r="134" spans="1:4" x14ac:dyDescent="0.3">
      <c r="A134" s="11">
        <v>4.75</v>
      </c>
      <c r="B134" s="11">
        <v>1</v>
      </c>
      <c r="C134" s="63">
        <v>1</v>
      </c>
      <c r="D134" s="63">
        <f t="shared" si="4"/>
        <v>4.75</v>
      </c>
    </row>
    <row r="135" spans="1:4" x14ac:dyDescent="0.3">
      <c r="A135" s="11">
        <v>2.1</v>
      </c>
      <c r="B135" s="11">
        <v>0.6</v>
      </c>
      <c r="C135" s="63">
        <v>1</v>
      </c>
      <c r="D135" s="63">
        <f t="shared" si="4"/>
        <v>1.26</v>
      </c>
    </row>
    <row r="136" spans="1:4" x14ac:dyDescent="0.3">
      <c r="A136" s="11">
        <v>2.1</v>
      </c>
      <c r="B136" s="11">
        <v>0.7</v>
      </c>
      <c r="C136" s="63">
        <v>4</v>
      </c>
      <c r="D136" s="63">
        <f t="shared" si="4"/>
        <v>5.88</v>
      </c>
    </row>
    <row r="137" spans="1:4" x14ac:dyDescent="0.3">
      <c r="A137" s="11">
        <v>2.1</v>
      </c>
      <c r="B137" s="11">
        <v>0.9</v>
      </c>
      <c r="C137" s="63">
        <v>1</v>
      </c>
      <c r="D137" s="63">
        <f t="shared" si="4"/>
        <v>1.8900000000000001</v>
      </c>
    </row>
    <row r="139" spans="1:4" x14ac:dyDescent="0.3">
      <c r="A139" s="11" t="s">
        <v>300</v>
      </c>
    </row>
    <row r="140" spans="1:4" x14ac:dyDescent="0.3">
      <c r="A140" s="11">
        <v>2.4</v>
      </c>
      <c r="B140" s="11">
        <v>2</v>
      </c>
      <c r="C140" s="63">
        <v>1</v>
      </c>
      <c r="D140" s="63">
        <f>C140*B140*A140</f>
        <v>4.8</v>
      </c>
    </row>
    <row r="142" spans="1:4" x14ac:dyDescent="0.3">
      <c r="A142" s="11" t="s">
        <v>301</v>
      </c>
    </row>
    <row r="143" spans="1:4" x14ac:dyDescent="0.3">
      <c r="A143" s="11">
        <v>2.4</v>
      </c>
      <c r="B143" s="11">
        <v>1</v>
      </c>
      <c r="C143" s="63">
        <v>1</v>
      </c>
      <c r="D143" s="63">
        <f t="shared" ref="D143:D144" si="5">C143*B143*A143</f>
        <v>2.4</v>
      </c>
    </row>
    <row r="144" spans="1:4" x14ac:dyDescent="0.3">
      <c r="A144" s="11">
        <v>1.165</v>
      </c>
      <c r="B144" s="11">
        <v>0.65</v>
      </c>
      <c r="C144" s="63">
        <v>1</v>
      </c>
      <c r="D144" s="63">
        <f t="shared" si="5"/>
        <v>0.75725000000000009</v>
      </c>
    </row>
    <row r="146" spans="1:6" x14ac:dyDescent="0.3">
      <c r="A146" s="11" t="s">
        <v>302</v>
      </c>
    </row>
    <row r="147" spans="1:6" x14ac:dyDescent="0.3">
      <c r="A147" s="11">
        <v>2.1</v>
      </c>
      <c r="B147" s="11">
        <v>0.8</v>
      </c>
      <c r="C147" s="63">
        <v>2</v>
      </c>
      <c r="D147" s="63">
        <f t="shared" ref="D147:D148" si="6">C147*B147*A147</f>
        <v>3.3600000000000003</v>
      </c>
    </row>
    <row r="148" spans="1:6" x14ac:dyDescent="0.3">
      <c r="A148" s="11">
        <v>1.3</v>
      </c>
      <c r="B148" s="11">
        <v>0.8</v>
      </c>
      <c r="C148" s="63">
        <v>1</v>
      </c>
      <c r="D148" s="63">
        <f t="shared" si="6"/>
        <v>1.04</v>
      </c>
    </row>
    <row r="150" spans="1:6" x14ac:dyDescent="0.3">
      <c r="D150" s="63">
        <f>SUM(D74:D148)</f>
        <v>288.58264560000003</v>
      </c>
      <c r="E150" s="121">
        <f>D150+D64</f>
        <v>307.42264560000001</v>
      </c>
      <c r="F150" s="18" t="s">
        <v>303</v>
      </c>
    </row>
    <row r="151" spans="1:6" x14ac:dyDescent="0.3">
      <c r="E151" s="69">
        <f>SUMIF(E31:E62,$E$60,D31:D62)</f>
        <v>15</v>
      </c>
      <c r="F151" s="18" t="s">
        <v>304</v>
      </c>
    </row>
    <row r="152" spans="1:6" x14ac:dyDescent="0.3">
      <c r="E152" s="69">
        <f>E150-E151</f>
        <v>292.42264560000001</v>
      </c>
      <c r="F152" s="18" t="s">
        <v>305</v>
      </c>
    </row>
  </sheetData>
  <mergeCells count="32">
    <mergeCell ref="A16:C16"/>
    <mergeCell ref="I16:J16"/>
    <mergeCell ref="A19:C19"/>
    <mergeCell ref="I19:J19"/>
    <mergeCell ref="A15:C15"/>
    <mergeCell ref="I15:J15"/>
    <mergeCell ref="B10:F10"/>
    <mergeCell ref="J10:K10"/>
    <mergeCell ref="A14:C14"/>
    <mergeCell ref="D14:E14"/>
    <mergeCell ref="F14:G14"/>
    <mergeCell ref="I14:J14"/>
    <mergeCell ref="A2:K4"/>
    <mergeCell ref="B7:K7"/>
    <mergeCell ref="B8:K8"/>
    <mergeCell ref="B9:F9"/>
    <mergeCell ref="J9:K9"/>
    <mergeCell ref="I22:J22"/>
    <mergeCell ref="A25:H25"/>
    <mergeCell ref="A17:C17"/>
    <mergeCell ref="A23:C23"/>
    <mergeCell ref="I17:J17"/>
    <mergeCell ref="I23:J23"/>
    <mergeCell ref="A18:C18"/>
    <mergeCell ref="I18:J18"/>
    <mergeCell ref="A24:H24"/>
    <mergeCell ref="I24:J24"/>
    <mergeCell ref="A21:C21"/>
    <mergeCell ref="I21:J21"/>
    <mergeCell ref="A20:C20"/>
    <mergeCell ref="I20:J20"/>
    <mergeCell ref="A22:C22"/>
  </mergeCells>
  <dataValidations disablePrompts="1" count="1">
    <dataValidation type="list" allowBlank="1" showInputMessage="1" showErrorMessage="1" sqref="J10" xr:uid="{00000000-0002-0000-0C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B2D4-1510-4D4F-9933-056D8A08AC12}">
  <sheetPr>
    <tabColor rgb="FF003C66"/>
  </sheetPr>
  <dimension ref="A2:H68"/>
  <sheetViews>
    <sheetView zoomScaleNormal="100" workbookViewId="0">
      <selection activeCell="H12" sqref="H12"/>
    </sheetView>
  </sheetViews>
  <sheetFormatPr defaultRowHeight="14.4" x14ac:dyDescent="0.3"/>
  <cols>
    <col min="1" max="1" width="106.5546875" bestFit="1" customWidth="1"/>
    <col min="3" max="3" width="15.6640625" bestFit="1" customWidth="1"/>
    <col min="4" max="4" width="8.88671875" style="114"/>
    <col min="7" max="7" width="14.88671875" bestFit="1" customWidth="1"/>
    <col min="8" max="8" width="9.33203125" style="114" bestFit="1" customWidth="1"/>
  </cols>
  <sheetData>
    <row r="2" spans="1:8" x14ac:dyDescent="0.3">
      <c r="A2" t="s">
        <v>201</v>
      </c>
      <c r="B2">
        <v>2</v>
      </c>
      <c r="C2" t="s">
        <v>248</v>
      </c>
      <c r="D2" s="114">
        <v>18.399999999999999</v>
      </c>
    </row>
    <row r="3" spans="1:8" x14ac:dyDescent="0.3">
      <c r="A3" t="s">
        <v>202</v>
      </c>
      <c r="B3">
        <v>2</v>
      </c>
      <c r="C3" t="s">
        <v>249</v>
      </c>
    </row>
    <row r="4" spans="1:8" x14ac:dyDescent="0.3">
      <c r="A4" t="s">
        <v>203</v>
      </c>
      <c r="B4">
        <v>1</v>
      </c>
      <c r="C4" t="s">
        <v>250</v>
      </c>
      <c r="D4" s="114">
        <v>3.4649999999999999</v>
      </c>
    </row>
    <row r="5" spans="1:8" x14ac:dyDescent="0.3">
      <c r="A5" t="s">
        <v>204</v>
      </c>
      <c r="B5">
        <v>1</v>
      </c>
      <c r="C5" t="s">
        <v>250</v>
      </c>
      <c r="D5" s="114">
        <v>1.7324999999999999</v>
      </c>
      <c r="G5" t="s">
        <v>254</v>
      </c>
      <c r="H5" s="114">
        <f>SUMIF(C:C,G5,D:D)</f>
        <v>400.52209999999991</v>
      </c>
    </row>
    <row r="6" spans="1:8" x14ac:dyDescent="0.3">
      <c r="A6" t="s">
        <v>205</v>
      </c>
      <c r="B6">
        <v>2</v>
      </c>
      <c r="C6" t="s">
        <v>250</v>
      </c>
      <c r="D6" s="114">
        <v>5.2751999999999999</v>
      </c>
      <c r="G6" t="s">
        <v>255</v>
      </c>
      <c r="H6" s="114">
        <f t="shared" ref="H6:H12" si="0">SUMIF(C:C,G6,D:D)</f>
        <v>1895.0600000000002</v>
      </c>
    </row>
    <row r="7" spans="1:8" x14ac:dyDescent="0.3">
      <c r="A7" t="s">
        <v>206</v>
      </c>
      <c r="B7">
        <v>1</v>
      </c>
      <c r="C7" t="s">
        <v>250</v>
      </c>
      <c r="D7" s="114">
        <v>4.1916000000000002</v>
      </c>
      <c r="G7" t="s">
        <v>252</v>
      </c>
      <c r="H7" s="114">
        <f>SUMIF(C:C,G7,B:B)</f>
        <v>218</v>
      </c>
    </row>
    <row r="8" spans="1:8" x14ac:dyDescent="0.3">
      <c r="A8" t="s">
        <v>207</v>
      </c>
      <c r="B8">
        <v>1</v>
      </c>
      <c r="C8" t="s">
        <v>253</v>
      </c>
      <c r="G8" t="s">
        <v>249</v>
      </c>
      <c r="H8" s="114">
        <f>SUMIF(C:C,G8,B:B)</f>
        <v>60</v>
      </c>
    </row>
    <row r="9" spans="1:8" x14ac:dyDescent="0.3">
      <c r="A9" t="s">
        <v>208</v>
      </c>
      <c r="B9">
        <v>19</v>
      </c>
      <c r="C9" t="s">
        <v>252</v>
      </c>
      <c r="G9" t="s">
        <v>253</v>
      </c>
      <c r="H9" s="114">
        <f>SUMIF(C:C,G9,B:B)</f>
        <v>1</v>
      </c>
    </row>
    <row r="10" spans="1:8" x14ac:dyDescent="0.3">
      <c r="A10" t="s">
        <v>209</v>
      </c>
      <c r="B10">
        <v>3</v>
      </c>
      <c r="C10" t="s">
        <v>250</v>
      </c>
      <c r="D10" s="114">
        <v>6.3</v>
      </c>
      <c r="G10" t="s">
        <v>251</v>
      </c>
      <c r="H10" s="114">
        <f>SUMIF(C:C,G10,D:D)</f>
        <v>46.62</v>
      </c>
    </row>
    <row r="11" spans="1:8" x14ac:dyDescent="0.3">
      <c r="A11" t="s">
        <v>210</v>
      </c>
      <c r="B11">
        <v>2</v>
      </c>
      <c r="C11" t="s">
        <v>250</v>
      </c>
      <c r="D11" s="114">
        <v>3.78</v>
      </c>
      <c r="G11" t="s">
        <v>248</v>
      </c>
      <c r="H11" s="114">
        <f>SUMIF(C:C,G11,B:B)</f>
        <v>2</v>
      </c>
    </row>
    <row r="12" spans="1:8" x14ac:dyDescent="0.3">
      <c r="A12" t="s">
        <v>211</v>
      </c>
      <c r="B12">
        <v>1</v>
      </c>
      <c r="C12" t="s">
        <v>250</v>
      </c>
      <c r="D12" s="114">
        <v>2.0076000000000001</v>
      </c>
      <c r="G12" t="s">
        <v>256</v>
      </c>
      <c r="H12" s="114">
        <f t="shared" si="0"/>
        <v>113.88000000000002</v>
      </c>
    </row>
    <row r="13" spans="1:8" x14ac:dyDescent="0.3">
      <c r="A13" t="s">
        <v>212</v>
      </c>
      <c r="C13" t="s">
        <v>255</v>
      </c>
      <c r="D13" s="114">
        <v>23.4526</v>
      </c>
      <c r="G13" t="s">
        <v>257</v>
      </c>
      <c r="H13" s="114">
        <v>109.3146</v>
      </c>
    </row>
    <row r="14" spans="1:8" x14ac:dyDescent="0.3">
      <c r="A14" t="s">
        <v>213</v>
      </c>
      <c r="C14" t="s">
        <v>254</v>
      </c>
      <c r="D14" s="114">
        <v>20.8062</v>
      </c>
    </row>
    <row r="15" spans="1:8" x14ac:dyDescent="0.3">
      <c r="A15" t="s">
        <v>214</v>
      </c>
      <c r="B15">
        <v>8</v>
      </c>
      <c r="C15" t="s">
        <v>249</v>
      </c>
    </row>
    <row r="16" spans="1:8" x14ac:dyDescent="0.3">
      <c r="A16" t="s">
        <v>215</v>
      </c>
      <c r="C16" t="s">
        <v>255</v>
      </c>
      <c r="D16" s="114">
        <v>124.1564</v>
      </c>
    </row>
    <row r="17" spans="1:4" x14ac:dyDescent="0.3">
      <c r="A17" t="s">
        <v>216</v>
      </c>
      <c r="B17">
        <v>2</v>
      </c>
      <c r="C17" t="s">
        <v>249</v>
      </c>
    </row>
    <row r="18" spans="1:4" x14ac:dyDescent="0.3">
      <c r="A18" t="s">
        <v>217</v>
      </c>
      <c r="B18">
        <v>2</v>
      </c>
      <c r="C18" t="s">
        <v>251</v>
      </c>
      <c r="D18" s="114">
        <v>2.94</v>
      </c>
    </row>
    <row r="19" spans="1:4" x14ac:dyDescent="0.3">
      <c r="A19" t="s">
        <v>218</v>
      </c>
      <c r="B19">
        <v>2</v>
      </c>
      <c r="C19" t="s">
        <v>251</v>
      </c>
      <c r="D19" s="114">
        <v>3.78</v>
      </c>
    </row>
    <row r="20" spans="1:4" x14ac:dyDescent="0.3">
      <c r="A20" t="s">
        <v>219</v>
      </c>
      <c r="B20">
        <v>5</v>
      </c>
      <c r="C20" t="s">
        <v>252</v>
      </c>
    </row>
    <row r="21" spans="1:4" x14ac:dyDescent="0.3">
      <c r="A21" t="s">
        <v>220</v>
      </c>
      <c r="B21">
        <v>1</v>
      </c>
      <c r="C21" t="s">
        <v>255</v>
      </c>
      <c r="D21" s="114">
        <v>14.7348</v>
      </c>
    </row>
    <row r="22" spans="1:4" x14ac:dyDescent="0.3">
      <c r="A22" t="s">
        <v>221</v>
      </c>
      <c r="C22" t="s">
        <v>255</v>
      </c>
      <c r="D22" s="114">
        <v>45.024799999999999</v>
      </c>
    </row>
    <row r="23" spans="1:4" x14ac:dyDescent="0.3">
      <c r="A23" t="s">
        <v>222</v>
      </c>
      <c r="C23" t="s">
        <v>254</v>
      </c>
      <c r="D23" s="114">
        <v>19.8809</v>
      </c>
    </row>
    <row r="24" spans="1:4" x14ac:dyDescent="0.3">
      <c r="A24" t="s">
        <v>223</v>
      </c>
      <c r="B24">
        <v>38</v>
      </c>
      <c r="C24" t="s">
        <v>249</v>
      </c>
    </row>
    <row r="25" spans="1:4" x14ac:dyDescent="0.3">
      <c r="A25" t="s">
        <v>224</v>
      </c>
      <c r="B25">
        <v>171</v>
      </c>
      <c r="C25" t="s">
        <v>252</v>
      </c>
    </row>
    <row r="26" spans="1:4" x14ac:dyDescent="0.3">
      <c r="A26" t="s">
        <v>225</v>
      </c>
      <c r="B26">
        <v>19</v>
      </c>
      <c r="C26" t="s">
        <v>251</v>
      </c>
      <c r="D26" s="114">
        <v>23.94</v>
      </c>
    </row>
    <row r="27" spans="1:4" x14ac:dyDescent="0.3">
      <c r="A27" t="s">
        <v>226</v>
      </c>
      <c r="B27">
        <v>19</v>
      </c>
      <c r="C27" t="s">
        <v>255</v>
      </c>
      <c r="D27" s="114">
        <v>482.98950000000002</v>
      </c>
    </row>
    <row r="28" spans="1:4" x14ac:dyDescent="0.3">
      <c r="A28" t="s">
        <v>227</v>
      </c>
      <c r="B28">
        <v>19</v>
      </c>
      <c r="C28" t="s">
        <v>255</v>
      </c>
      <c r="D28" s="114">
        <v>338.7396</v>
      </c>
    </row>
    <row r="29" spans="1:4" x14ac:dyDescent="0.3">
      <c r="A29" t="s">
        <v>228</v>
      </c>
      <c r="C29" t="s">
        <v>255</v>
      </c>
      <c r="D29" s="114">
        <v>530.63199999999995</v>
      </c>
    </row>
    <row r="30" spans="1:4" x14ac:dyDescent="0.3">
      <c r="A30" t="s">
        <v>229</v>
      </c>
      <c r="C30" t="s">
        <v>256</v>
      </c>
      <c r="D30" s="114">
        <v>90.155000000000001</v>
      </c>
    </row>
    <row r="31" spans="1:4" x14ac:dyDescent="0.3">
      <c r="A31" t="s">
        <v>230</v>
      </c>
      <c r="C31" t="s">
        <v>254</v>
      </c>
      <c r="D31" s="114">
        <v>297.255</v>
      </c>
    </row>
    <row r="32" spans="1:4" x14ac:dyDescent="0.3">
      <c r="A32" t="s">
        <v>216</v>
      </c>
      <c r="B32">
        <v>2</v>
      </c>
      <c r="C32" t="s">
        <v>249</v>
      </c>
    </row>
    <row r="33" spans="1:4" x14ac:dyDescent="0.3">
      <c r="A33" t="s">
        <v>231</v>
      </c>
      <c r="B33">
        <v>2</v>
      </c>
      <c r="C33" t="s">
        <v>252</v>
      </c>
    </row>
    <row r="34" spans="1:4" x14ac:dyDescent="0.3">
      <c r="A34" t="s">
        <v>232</v>
      </c>
      <c r="B34">
        <v>1</v>
      </c>
      <c r="C34" t="s">
        <v>251</v>
      </c>
      <c r="D34" s="114">
        <v>1.26</v>
      </c>
    </row>
    <row r="35" spans="1:4" x14ac:dyDescent="0.3">
      <c r="A35" t="s">
        <v>233</v>
      </c>
      <c r="B35">
        <v>1</v>
      </c>
      <c r="C35" t="s">
        <v>255</v>
      </c>
      <c r="D35" s="114">
        <v>15.21</v>
      </c>
    </row>
    <row r="36" spans="1:4" x14ac:dyDescent="0.3">
      <c r="A36" t="s">
        <v>234</v>
      </c>
      <c r="B36">
        <v>1</v>
      </c>
      <c r="C36" t="s">
        <v>255</v>
      </c>
      <c r="D36" s="114">
        <v>25.420500000000001</v>
      </c>
    </row>
    <row r="37" spans="1:4" x14ac:dyDescent="0.3">
      <c r="A37" t="s">
        <v>235</v>
      </c>
      <c r="B37">
        <v>1</v>
      </c>
      <c r="C37" t="s">
        <v>255</v>
      </c>
      <c r="D37" s="114">
        <v>17.828399999999998</v>
      </c>
    </row>
    <row r="38" spans="1:4" x14ac:dyDescent="0.3">
      <c r="A38" t="s">
        <v>236</v>
      </c>
      <c r="C38" t="s">
        <v>255</v>
      </c>
      <c r="D38" s="114">
        <v>27.928000000000001</v>
      </c>
    </row>
    <row r="39" spans="1:4" x14ac:dyDescent="0.3">
      <c r="A39" t="s">
        <v>237</v>
      </c>
      <c r="C39" t="s">
        <v>256</v>
      </c>
      <c r="D39" s="114">
        <v>4.7450000000000001</v>
      </c>
    </row>
    <row r="40" spans="1:4" x14ac:dyDescent="0.3">
      <c r="A40" t="s">
        <v>238</v>
      </c>
      <c r="C40" t="s">
        <v>254</v>
      </c>
      <c r="D40" s="114">
        <v>15.645</v>
      </c>
    </row>
    <row r="41" spans="1:4" x14ac:dyDescent="0.3">
      <c r="A41" t="s">
        <v>216</v>
      </c>
      <c r="B41">
        <v>2</v>
      </c>
      <c r="C41" t="s">
        <v>249</v>
      </c>
    </row>
    <row r="42" spans="1:4" x14ac:dyDescent="0.3">
      <c r="A42" t="s">
        <v>239</v>
      </c>
      <c r="B42">
        <v>7</v>
      </c>
      <c r="C42" t="s">
        <v>252</v>
      </c>
    </row>
    <row r="43" spans="1:4" x14ac:dyDescent="0.3">
      <c r="A43" t="s">
        <v>240</v>
      </c>
      <c r="B43">
        <v>2</v>
      </c>
      <c r="C43" t="s">
        <v>252</v>
      </c>
    </row>
    <row r="44" spans="1:4" x14ac:dyDescent="0.3">
      <c r="A44" t="s">
        <v>234</v>
      </c>
      <c r="B44">
        <v>1</v>
      </c>
      <c r="C44" t="s">
        <v>255</v>
      </c>
      <c r="D44" s="114">
        <v>25.420500000000001</v>
      </c>
    </row>
    <row r="45" spans="1:4" x14ac:dyDescent="0.3">
      <c r="A45" t="s">
        <v>235</v>
      </c>
      <c r="B45">
        <v>1</v>
      </c>
      <c r="C45" t="s">
        <v>255</v>
      </c>
      <c r="D45" s="114">
        <v>17.828399999999998</v>
      </c>
    </row>
    <row r="46" spans="1:4" x14ac:dyDescent="0.3">
      <c r="A46" t="s">
        <v>241</v>
      </c>
      <c r="C46" t="s">
        <v>255</v>
      </c>
      <c r="D46" s="114">
        <v>26.827999999999999</v>
      </c>
    </row>
    <row r="47" spans="1:4" x14ac:dyDescent="0.3">
      <c r="A47" t="s">
        <v>237</v>
      </c>
      <c r="C47" t="s">
        <v>256</v>
      </c>
      <c r="D47" s="114">
        <v>4.7450000000000001</v>
      </c>
    </row>
    <row r="48" spans="1:4" x14ac:dyDescent="0.3">
      <c r="A48" t="s">
        <v>238</v>
      </c>
      <c r="C48" t="s">
        <v>254</v>
      </c>
      <c r="D48" s="114">
        <v>15.645</v>
      </c>
    </row>
    <row r="49" spans="1:4" x14ac:dyDescent="0.3">
      <c r="A49" t="s">
        <v>216</v>
      </c>
      <c r="B49">
        <v>2</v>
      </c>
      <c r="C49" t="s">
        <v>249</v>
      </c>
    </row>
    <row r="50" spans="1:4" x14ac:dyDescent="0.3">
      <c r="A50" t="s">
        <v>242</v>
      </c>
      <c r="B50">
        <v>4</v>
      </c>
      <c r="C50" t="s">
        <v>252</v>
      </c>
    </row>
    <row r="51" spans="1:4" x14ac:dyDescent="0.3">
      <c r="A51" t="s">
        <v>232</v>
      </c>
      <c r="B51">
        <v>1</v>
      </c>
      <c r="C51" t="s">
        <v>251</v>
      </c>
      <c r="D51" s="114">
        <v>1.26</v>
      </c>
    </row>
    <row r="52" spans="1:4" x14ac:dyDescent="0.3">
      <c r="A52" t="s">
        <v>243</v>
      </c>
      <c r="B52">
        <v>1</v>
      </c>
      <c r="C52" t="s">
        <v>252</v>
      </c>
    </row>
    <row r="53" spans="1:4" x14ac:dyDescent="0.3">
      <c r="A53" t="s">
        <v>244</v>
      </c>
      <c r="B53">
        <v>1</v>
      </c>
      <c r="C53" t="s">
        <v>251</v>
      </c>
      <c r="D53" s="114">
        <v>10.5</v>
      </c>
    </row>
    <row r="54" spans="1:4" x14ac:dyDescent="0.3">
      <c r="A54" t="s">
        <v>234</v>
      </c>
      <c r="B54">
        <v>1</v>
      </c>
      <c r="C54" t="s">
        <v>255</v>
      </c>
      <c r="D54" s="114">
        <v>25.420500000000001</v>
      </c>
    </row>
    <row r="55" spans="1:4" x14ac:dyDescent="0.3">
      <c r="A55" t="s">
        <v>235</v>
      </c>
      <c r="B55">
        <v>1</v>
      </c>
      <c r="C55" t="s">
        <v>255</v>
      </c>
      <c r="D55" s="114">
        <v>17.828399999999998</v>
      </c>
    </row>
    <row r="56" spans="1:4" x14ac:dyDescent="0.3">
      <c r="A56" t="s">
        <v>236</v>
      </c>
      <c r="C56" t="s">
        <v>255</v>
      </c>
      <c r="D56" s="114">
        <v>27.928000000000001</v>
      </c>
    </row>
    <row r="57" spans="1:4" x14ac:dyDescent="0.3">
      <c r="A57" t="s">
        <v>237</v>
      </c>
      <c r="C57" t="s">
        <v>256</v>
      </c>
      <c r="D57" s="114">
        <v>4.7450000000000001</v>
      </c>
    </row>
    <row r="58" spans="1:4" x14ac:dyDescent="0.3">
      <c r="A58" t="s">
        <v>238</v>
      </c>
      <c r="C58" t="s">
        <v>254</v>
      </c>
      <c r="D58" s="114">
        <v>15.645</v>
      </c>
    </row>
    <row r="59" spans="1:4" x14ac:dyDescent="0.3">
      <c r="A59" t="s">
        <v>216</v>
      </c>
      <c r="B59">
        <v>2</v>
      </c>
      <c r="C59" t="s">
        <v>249</v>
      </c>
    </row>
    <row r="60" spans="1:4" x14ac:dyDescent="0.3">
      <c r="A60" t="s">
        <v>239</v>
      </c>
      <c r="B60">
        <v>7</v>
      </c>
      <c r="C60" t="s">
        <v>252</v>
      </c>
    </row>
    <row r="61" spans="1:4" x14ac:dyDescent="0.3">
      <c r="A61" t="s">
        <v>245</v>
      </c>
      <c r="B61">
        <v>1</v>
      </c>
      <c r="C61" t="s">
        <v>255</v>
      </c>
      <c r="D61" s="114">
        <v>5.61</v>
      </c>
    </row>
    <row r="62" spans="1:4" x14ac:dyDescent="0.3">
      <c r="A62" t="s">
        <v>246</v>
      </c>
      <c r="C62" t="s">
        <v>255</v>
      </c>
      <c r="D62" s="114">
        <v>69.707599999999999</v>
      </c>
    </row>
    <row r="63" spans="1:4" x14ac:dyDescent="0.3">
      <c r="A63" t="s">
        <v>237</v>
      </c>
      <c r="C63" t="s">
        <v>256</v>
      </c>
      <c r="D63" s="114">
        <v>4.7450000000000001</v>
      </c>
    </row>
    <row r="64" spans="1:4" x14ac:dyDescent="0.3">
      <c r="A64" t="s">
        <v>238</v>
      </c>
      <c r="C64" t="s">
        <v>254</v>
      </c>
      <c r="D64" s="114">
        <v>15.645</v>
      </c>
    </row>
    <row r="65" spans="1:4" x14ac:dyDescent="0.3">
      <c r="A65" t="s">
        <v>216</v>
      </c>
      <c r="B65">
        <v>2</v>
      </c>
      <c r="C65" t="s">
        <v>249</v>
      </c>
    </row>
    <row r="66" spans="1:4" x14ac:dyDescent="0.3">
      <c r="A66" t="s">
        <v>217</v>
      </c>
      <c r="B66">
        <v>2</v>
      </c>
      <c r="C66" t="s">
        <v>251</v>
      </c>
      <c r="D66" s="114">
        <v>2.94</v>
      </c>
    </row>
    <row r="67" spans="1:4" x14ac:dyDescent="0.3">
      <c r="A67" t="s">
        <v>247</v>
      </c>
      <c r="C67" t="s">
        <v>255</v>
      </c>
      <c r="D67" s="114">
        <v>32.372</v>
      </c>
    </row>
    <row r="68" spans="1:4" x14ac:dyDescent="0.3">
      <c r="A68" t="s">
        <v>237</v>
      </c>
      <c r="C68" t="s">
        <v>256</v>
      </c>
      <c r="D68" s="114">
        <v>4.7450000000000001</v>
      </c>
    </row>
  </sheetData>
  <autoFilter ref="A1:D68" xr:uid="{0567B2D4-1510-4D4F-9933-056D8A08AC12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3C66"/>
  </sheetPr>
  <dimension ref="A1:M57"/>
  <sheetViews>
    <sheetView showGridLines="0" topLeftCell="A13" zoomScaleNormal="100" zoomScaleSheetLayoutView="95" workbookViewId="0">
      <selection activeCell="A23" sqref="A23:H23"/>
    </sheetView>
  </sheetViews>
  <sheetFormatPr defaultColWidth="9.109375" defaultRowHeight="13.2" x14ac:dyDescent="0.3"/>
  <cols>
    <col min="1" max="1" width="22.6640625" style="11" customWidth="1"/>
    <col min="2" max="2" width="9.88671875" style="11" customWidth="1"/>
    <col min="3" max="3" width="10.33203125" style="11" bestFit="1" customWidth="1"/>
    <col min="4" max="4" width="14" style="63" customWidth="1"/>
    <col min="5" max="5" width="7.5546875" style="69" customWidth="1"/>
    <col min="6" max="6" width="11.5546875" style="18" customWidth="1"/>
    <col min="7" max="7" width="15.88671875" style="11" customWidth="1"/>
    <col min="8" max="8" width="12.88671875" style="11" customWidth="1"/>
    <col min="9" max="9" width="14.5546875" style="11" bestFit="1" customWidth="1"/>
    <col min="10" max="10" width="7.33203125" style="11" bestFit="1" customWidth="1"/>
    <col min="11" max="11" width="6.44140625" style="11" customWidth="1"/>
    <col min="12" max="12" width="12.44140625" style="11" bestFit="1" customWidth="1"/>
    <col min="13" max="13" width="13.5546875" style="11" bestFit="1" customWidth="1"/>
    <col min="14" max="16384" width="9.109375" style="11"/>
  </cols>
  <sheetData>
    <row r="1" spans="1:13" x14ac:dyDescent="0.3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M1" s="12"/>
    </row>
    <row r="2" spans="1:13" x14ac:dyDescent="0.3">
      <c r="A2" s="157" t="s">
        <v>138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12"/>
    </row>
    <row r="3" spans="1:13" x14ac:dyDescent="0.3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M3" s="12"/>
    </row>
    <row r="4" spans="1:13" x14ac:dyDescent="0.3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M4" s="12"/>
    </row>
    <row r="5" spans="1:13" ht="13.8" thickBot="1" x14ac:dyDescent="0.35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M5" s="12"/>
    </row>
    <row r="6" spans="1:13" x14ac:dyDescent="0.3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M6" s="12"/>
    </row>
    <row r="7" spans="1:13" x14ac:dyDescent="0.3">
      <c r="A7" s="5" t="s">
        <v>0</v>
      </c>
      <c r="B7" s="159" t="s">
        <v>182</v>
      </c>
      <c r="C7" s="159"/>
      <c r="D7" s="159"/>
      <c r="E7" s="159"/>
      <c r="F7" s="159"/>
      <c r="G7" s="159"/>
      <c r="H7" s="159"/>
      <c r="I7" s="159"/>
      <c r="J7" s="159"/>
      <c r="K7" s="159"/>
      <c r="M7" s="12"/>
    </row>
    <row r="8" spans="1:13" x14ac:dyDescent="0.3">
      <c r="A8" s="5" t="s">
        <v>1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M8" s="12"/>
    </row>
    <row r="9" spans="1:13" ht="15" customHeight="1" x14ac:dyDescent="0.3">
      <c r="A9" s="5" t="s">
        <v>2</v>
      </c>
      <c r="B9" s="161" t="s">
        <v>183</v>
      </c>
      <c r="C9" s="162"/>
      <c r="D9" s="162"/>
      <c r="E9" s="162"/>
      <c r="F9" s="163"/>
      <c r="G9" s="9" t="s">
        <v>10</v>
      </c>
      <c r="H9" s="47" t="s">
        <v>49</v>
      </c>
      <c r="I9" s="6" t="s">
        <v>6</v>
      </c>
      <c r="J9" s="160" t="s">
        <v>44</v>
      </c>
      <c r="K9" s="160"/>
    </row>
    <row r="10" spans="1:13" x14ac:dyDescent="0.3">
      <c r="A10" s="7" t="s">
        <v>3</v>
      </c>
      <c r="B10" s="164">
        <v>44294</v>
      </c>
      <c r="C10" s="165"/>
      <c r="D10" s="165"/>
      <c r="E10" s="165"/>
      <c r="F10" s="166"/>
      <c r="G10" s="9" t="s">
        <v>4</v>
      </c>
      <c r="H10" s="8" t="s">
        <v>5</v>
      </c>
      <c r="I10" s="6" t="s">
        <v>41</v>
      </c>
      <c r="J10" s="167" t="s">
        <v>8</v>
      </c>
      <c r="K10" s="168"/>
    </row>
    <row r="12" spans="1:13" ht="15.75" customHeight="1" x14ac:dyDescent="0.3">
      <c r="A12" s="21" t="s">
        <v>139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3" ht="15.75" customHeight="1" x14ac:dyDescent="0.3">
      <c r="A13" s="25"/>
      <c r="B13" s="26"/>
      <c r="C13" s="26"/>
      <c r="D13" s="60"/>
      <c r="E13" s="68"/>
      <c r="F13" s="26"/>
      <c r="G13" s="26"/>
      <c r="H13" s="26"/>
      <c r="K13" s="27"/>
    </row>
    <row r="14" spans="1:13" ht="15.75" customHeight="1" x14ac:dyDescent="0.3">
      <c r="A14" s="169" t="s">
        <v>35</v>
      </c>
      <c r="B14" s="170"/>
      <c r="C14" s="170"/>
      <c r="D14" s="206" t="s">
        <v>52</v>
      </c>
      <c r="E14" s="207"/>
      <c r="F14" s="171" t="s">
        <v>24</v>
      </c>
      <c r="G14" s="173"/>
      <c r="H14" s="28" t="s">
        <v>40</v>
      </c>
      <c r="I14" s="171" t="s">
        <v>39</v>
      </c>
      <c r="J14" s="173"/>
      <c r="K14" s="27"/>
    </row>
    <row r="15" spans="1:13" ht="26.4" x14ac:dyDescent="0.3">
      <c r="A15" s="196" t="s">
        <v>269</v>
      </c>
      <c r="B15" s="197"/>
      <c r="C15" s="198"/>
      <c r="D15" s="112">
        <f>F15*('Dados Gerais'!E21*'Dados Gerais'!E16)</f>
        <v>16779</v>
      </c>
      <c r="E15" s="112" t="s">
        <v>18</v>
      </c>
      <c r="F15" s="113">
        <v>3</v>
      </c>
      <c r="G15" s="90" t="s">
        <v>270</v>
      </c>
      <c r="H15" s="90" t="s">
        <v>42</v>
      </c>
      <c r="I15" s="242">
        <f>D15*F15*31</f>
        <v>1560447</v>
      </c>
      <c r="J15" s="243"/>
      <c r="K15" s="27"/>
      <c r="L15" s="102"/>
      <c r="M15" s="63"/>
    </row>
    <row r="16" spans="1:13" ht="15.75" customHeight="1" x14ac:dyDescent="0.3">
      <c r="A16" s="208" t="s">
        <v>43</v>
      </c>
      <c r="B16" s="208"/>
      <c r="C16" s="208"/>
      <c r="D16" s="208"/>
      <c r="E16" s="208"/>
      <c r="F16" s="208"/>
      <c r="G16" s="208"/>
      <c r="H16" s="208"/>
      <c r="I16" s="204">
        <f>SUM(I15:J15)</f>
        <v>1560447</v>
      </c>
      <c r="J16" s="204"/>
      <c r="K16" s="35"/>
    </row>
    <row r="17" spans="1:13" ht="15.75" customHeight="1" x14ac:dyDescent="0.3">
      <c r="A17" s="187"/>
      <c r="B17" s="188"/>
      <c r="C17" s="188"/>
      <c r="D17" s="188"/>
      <c r="E17" s="188"/>
      <c r="F17" s="188"/>
      <c r="G17" s="188"/>
      <c r="H17" s="188"/>
      <c r="I17" s="87"/>
      <c r="J17" s="37"/>
      <c r="K17" s="39"/>
    </row>
    <row r="18" spans="1:13" ht="15.75" customHeight="1" x14ac:dyDescent="0.3">
      <c r="F18" s="103"/>
      <c r="M18" s="102"/>
    </row>
    <row r="19" spans="1:13" ht="15.75" customHeight="1" x14ac:dyDescent="0.3">
      <c r="A19" s="21" t="s">
        <v>140</v>
      </c>
      <c r="B19" s="22"/>
      <c r="C19" s="22"/>
      <c r="D19" s="59"/>
      <c r="E19" s="41"/>
      <c r="F19" s="23"/>
      <c r="G19" s="22"/>
      <c r="H19" s="22"/>
      <c r="I19" s="22"/>
      <c r="J19" s="22"/>
      <c r="K19" s="24"/>
    </row>
    <row r="20" spans="1:13" ht="15.75" customHeight="1" x14ac:dyDescent="0.3">
      <c r="A20" s="25"/>
      <c r="B20" s="26"/>
      <c r="C20" s="26"/>
      <c r="D20" s="60"/>
      <c r="E20" s="68"/>
      <c r="F20" s="26"/>
      <c r="G20" s="26"/>
      <c r="H20" s="26"/>
      <c r="K20" s="27"/>
    </row>
    <row r="21" spans="1:13" ht="15.75" customHeight="1" x14ac:dyDescent="0.3">
      <c r="A21" s="169" t="s">
        <v>35</v>
      </c>
      <c r="B21" s="170"/>
      <c r="C21" s="170"/>
      <c r="D21" s="206" t="s">
        <v>52</v>
      </c>
      <c r="E21" s="207"/>
      <c r="F21" s="171" t="s">
        <v>24</v>
      </c>
      <c r="G21" s="173"/>
      <c r="H21" s="28" t="s">
        <v>40</v>
      </c>
      <c r="I21" s="171" t="s">
        <v>39</v>
      </c>
      <c r="J21" s="173"/>
      <c r="K21" s="27"/>
    </row>
    <row r="22" spans="1:13" x14ac:dyDescent="0.3">
      <c r="A22" s="186" t="s">
        <v>271</v>
      </c>
      <c r="B22" s="186"/>
      <c r="C22" s="186"/>
      <c r="D22" s="112">
        <f>D15</f>
        <v>16779</v>
      </c>
      <c r="E22" s="112" t="s">
        <v>18</v>
      </c>
      <c r="F22" s="113">
        <v>30</v>
      </c>
      <c r="G22" s="90" t="s">
        <v>68</v>
      </c>
      <c r="H22" s="90" t="s">
        <v>42</v>
      </c>
      <c r="I22" s="242">
        <f>+D22*F22</f>
        <v>503370</v>
      </c>
      <c r="J22" s="243"/>
      <c r="K22" s="27"/>
    </row>
    <row r="23" spans="1:13" ht="15.75" customHeight="1" x14ac:dyDescent="0.3">
      <c r="A23" s="208" t="s">
        <v>43</v>
      </c>
      <c r="B23" s="208"/>
      <c r="C23" s="208"/>
      <c r="D23" s="208"/>
      <c r="E23" s="208"/>
      <c r="F23" s="208"/>
      <c r="G23" s="208"/>
      <c r="H23" s="208"/>
      <c r="I23" s="204">
        <f>SUM(I22)</f>
        <v>503370</v>
      </c>
      <c r="J23" s="204"/>
      <c r="K23" s="35"/>
    </row>
    <row r="24" spans="1:13" ht="15.75" customHeight="1" x14ac:dyDescent="0.3">
      <c r="A24" s="187"/>
      <c r="B24" s="188"/>
      <c r="C24" s="188"/>
      <c r="D24" s="188"/>
      <c r="E24" s="188"/>
      <c r="F24" s="188"/>
      <c r="G24" s="188"/>
      <c r="H24" s="188"/>
      <c r="I24" s="87"/>
      <c r="J24" s="37"/>
      <c r="K24" s="39"/>
    </row>
    <row r="25" spans="1:13" ht="15.75" customHeight="1" x14ac:dyDescent="0.3">
      <c r="A25" s="21" t="s">
        <v>141</v>
      </c>
      <c r="B25" s="22"/>
      <c r="C25" s="22"/>
      <c r="D25" s="59"/>
      <c r="E25" s="41"/>
      <c r="F25" s="23"/>
      <c r="G25" s="22"/>
      <c r="H25" s="22"/>
      <c r="I25" s="22"/>
      <c r="J25" s="22"/>
      <c r="K25" s="24"/>
    </row>
    <row r="26" spans="1:13" ht="15.75" customHeight="1" x14ac:dyDescent="0.3">
      <c r="A26" s="25"/>
      <c r="B26" s="26"/>
      <c r="C26" s="26"/>
      <c r="D26" s="60"/>
      <c r="E26" s="68"/>
      <c r="F26" s="26"/>
      <c r="G26" s="26"/>
      <c r="H26" s="26"/>
      <c r="K26" s="27"/>
    </row>
    <row r="27" spans="1:13" ht="15.75" customHeight="1" x14ac:dyDescent="0.3">
      <c r="A27" s="169" t="s">
        <v>35</v>
      </c>
      <c r="B27" s="170"/>
      <c r="C27" s="170"/>
      <c r="D27" s="206" t="s">
        <v>52</v>
      </c>
      <c r="E27" s="207"/>
      <c r="F27" s="171" t="s">
        <v>24</v>
      </c>
      <c r="G27" s="173"/>
      <c r="H27" s="28" t="s">
        <v>40</v>
      </c>
      <c r="I27" s="171" t="s">
        <v>39</v>
      </c>
      <c r="J27" s="173"/>
      <c r="K27" s="27"/>
    </row>
    <row r="28" spans="1:13" ht="35.25" customHeight="1" x14ac:dyDescent="0.3">
      <c r="A28" s="217" t="s">
        <v>414</v>
      </c>
      <c r="B28" s="217"/>
      <c r="C28" s="217"/>
      <c r="D28" s="75">
        <v>1</v>
      </c>
      <c r="E28" s="75" t="s">
        <v>67</v>
      </c>
      <c r="F28" s="244">
        <f>D22*0.2*150</f>
        <v>503370</v>
      </c>
      <c r="G28" s="245"/>
      <c r="H28" s="90" t="s">
        <v>42</v>
      </c>
      <c r="I28" s="205">
        <f>F28*D28</f>
        <v>503370</v>
      </c>
      <c r="J28" s="205"/>
      <c r="K28" s="27"/>
      <c r="L28" s="82"/>
    </row>
    <row r="29" spans="1:13" ht="35.25" customHeight="1" x14ac:dyDescent="0.3">
      <c r="A29" s="217" t="s">
        <v>413</v>
      </c>
      <c r="B29" s="217"/>
      <c r="C29" s="217"/>
      <c r="D29" s="75">
        <v>1</v>
      </c>
      <c r="E29" s="75" t="s">
        <v>67</v>
      </c>
      <c r="F29" s="244">
        <v>450000</v>
      </c>
      <c r="G29" s="245"/>
      <c r="H29" s="90" t="s">
        <v>42</v>
      </c>
      <c r="I29" s="205">
        <f>F29*D29</f>
        <v>450000</v>
      </c>
      <c r="J29" s="205"/>
      <c r="K29" s="27"/>
      <c r="L29" s="82"/>
    </row>
    <row r="30" spans="1:13" ht="15.75" customHeight="1" x14ac:dyDescent="0.3">
      <c r="A30" s="208"/>
      <c r="B30" s="208"/>
      <c r="C30" s="208"/>
      <c r="D30" s="208"/>
      <c r="E30" s="208"/>
      <c r="F30" s="208"/>
      <c r="G30" s="208"/>
      <c r="H30" s="208"/>
      <c r="I30" s="204">
        <f>SUM(I28:J29)</f>
        <v>953370</v>
      </c>
      <c r="J30" s="204"/>
      <c r="K30" s="35"/>
    </row>
    <row r="31" spans="1:13" ht="15.75" customHeight="1" x14ac:dyDescent="0.3">
      <c r="A31" s="187"/>
      <c r="B31" s="188"/>
      <c r="C31" s="188"/>
      <c r="D31" s="188"/>
      <c r="E31" s="188"/>
      <c r="F31" s="188"/>
      <c r="G31" s="188"/>
      <c r="H31" s="188"/>
      <c r="I31" s="87"/>
      <c r="J31" s="37"/>
      <c r="K31" s="39"/>
    </row>
    <row r="32" spans="1:13" ht="15.75" customHeight="1" x14ac:dyDescent="0.3">
      <c r="I32" s="82">
        <f>I30+I23+I16</f>
        <v>3017187</v>
      </c>
      <c r="J32" s="11">
        <f>I32/'Dados Gerais'!E15</f>
        <v>78.512283145053445</v>
      </c>
    </row>
    <row r="33" spans="7:7" ht="15.75" customHeight="1" x14ac:dyDescent="0.3"/>
    <row r="34" spans="7:7" ht="15.75" customHeight="1" x14ac:dyDescent="0.3"/>
    <row r="35" spans="7:7" ht="15.75" customHeight="1" x14ac:dyDescent="0.3">
      <c r="G35" s="82"/>
    </row>
    <row r="36" spans="7:7" ht="15.75" customHeight="1" x14ac:dyDescent="0.3"/>
    <row r="37" spans="7:7" ht="15.75" customHeight="1" x14ac:dyDescent="0.3"/>
    <row r="38" spans="7:7" ht="15.75" customHeight="1" x14ac:dyDescent="0.3"/>
    <row r="39" spans="7:7" ht="15.75" customHeight="1" x14ac:dyDescent="0.3"/>
    <row r="40" spans="7:7" ht="15.75" customHeight="1" x14ac:dyDescent="0.3"/>
    <row r="41" spans="7:7" ht="15.75" customHeight="1" x14ac:dyDescent="0.3"/>
    <row r="42" spans="7:7" ht="15.75" customHeight="1" x14ac:dyDescent="0.3"/>
    <row r="43" spans="7:7" ht="15.75" customHeight="1" x14ac:dyDescent="0.3"/>
    <row r="44" spans="7:7" ht="15.75" customHeight="1" x14ac:dyDescent="0.3"/>
    <row r="45" spans="7:7" ht="15.75" customHeight="1" x14ac:dyDescent="0.3"/>
    <row r="46" spans="7:7" ht="15.75" customHeight="1" x14ac:dyDescent="0.3"/>
    <row r="47" spans="7:7" ht="15.75" customHeight="1" x14ac:dyDescent="0.3"/>
    <row r="48" spans="7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</sheetData>
  <mergeCells count="38">
    <mergeCell ref="B10:F10"/>
    <mergeCell ref="J10:K10"/>
    <mergeCell ref="A2:K4"/>
    <mergeCell ref="B7:K7"/>
    <mergeCell ref="B8:K8"/>
    <mergeCell ref="B9:F9"/>
    <mergeCell ref="J9:K9"/>
    <mergeCell ref="A14:C14"/>
    <mergeCell ref="D14:E14"/>
    <mergeCell ref="F14:G14"/>
    <mergeCell ref="I14:J14"/>
    <mergeCell ref="A15:C15"/>
    <mergeCell ref="I15:J15"/>
    <mergeCell ref="A31:H31"/>
    <mergeCell ref="D27:E27"/>
    <mergeCell ref="F27:G27"/>
    <mergeCell ref="I30:J30"/>
    <mergeCell ref="A30:H30"/>
    <mergeCell ref="A27:C27"/>
    <mergeCell ref="I27:J27"/>
    <mergeCell ref="A29:C29"/>
    <mergeCell ref="F29:G29"/>
    <mergeCell ref="I29:J29"/>
    <mergeCell ref="A28:C28"/>
    <mergeCell ref="F28:G28"/>
    <mergeCell ref="I28:J28"/>
    <mergeCell ref="A23:H23"/>
    <mergeCell ref="I23:J23"/>
    <mergeCell ref="A24:H24"/>
    <mergeCell ref="I16:J16"/>
    <mergeCell ref="A16:H16"/>
    <mergeCell ref="A17:H17"/>
    <mergeCell ref="A21:C21"/>
    <mergeCell ref="D21:E21"/>
    <mergeCell ref="F21:G21"/>
    <mergeCell ref="I21:J21"/>
    <mergeCell ref="A22:C22"/>
    <mergeCell ref="I22:J22"/>
  </mergeCells>
  <dataValidations disablePrompts="1" count="1">
    <dataValidation type="list" allowBlank="1" showInputMessage="1" showErrorMessage="1" sqref="J10" xr:uid="{00000000-0002-0000-0D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3C66"/>
  </sheetPr>
  <dimension ref="A1:M24"/>
  <sheetViews>
    <sheetView showGridLines="0" zoomScaleNormal="100" zoomScaleSheetLayoutView="95" workbookViewId="0">
      <selection activeCell="A21" sqref="A21:H21"/>
    </sheetView>
  </sheetViews>
  <sheetFormatPr defaultColWidth="9.109375" defaultRowHeight="13.2" x14ac:dyDescent="0.3"/>
  <cols>
    <col min="1" max="1" width="17.44140625" style="11" customWidth="1"/>
    <col min="2" max="2" width="9.88671875" style="11" customWidth="1"/>
    <col min="3" max="3" width="8.88671875" style="11" customWidth="1"/>
    <col min="4" max="4" width="14" style="63" customWidth="1"/>
    <col min="5" max="5" width="7.5546875" style="69" customWidth="1"/>
    <col min="6" max="6" width="11.5546875" style="18" customWidth="1"/>
    <col min="7" max="7" width="15.88671875" style="11" customWidth="1"/>
    <col min="8" max="8" width="12.88671875" style="11" customWidth="1"/>
    <col min="9" max="9" width="9.33203125" style="11" customWidth="1"/>
    <col min="10" max="10" width="13.109375" style="11" bestFit="1" customWidth="1"/>
    <col min="11" max="11" width="6.44140625" style="11" customWidth="1"/>
    <col min="12" max="12" width="11.33203125" style="11" bestFit="1" customWidth="1"/>
    <col min="13" max="16384" width="9.109375" style="11"/>
  </cols>
  <sheetData>
    <row r="1" spans="1:13" x14ac:dyDescent="0.3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M1" s="12"/>
    </row>
    <row r="2" spans="1:13" x14ac:dyDescent="0.3">
      <c r="A2" s="157" t="s">
        <v>144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12"/>
    </row>
    <row r="3" spans="1:13" x14ac:dyDescent="0.3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M3" s="12"/>
    </row>
    <row r="4" spans="1:13" x14ac:dyDescent="0.3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M4" s="12"/>
    </row>
    <row r="5" spans="1:13" ht="13.8" thickBot="1" x14ac:dyDescent="0.35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M5" s="12"/>
    </row>
    <row r="6" spans="1:13" x14ac:dyDescent="0.3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M6" s="12"/>
    </row>
    <row r="7" spans="1:13" x14ac:dyDescent="0.3">
      <c r="A7" s="5" t="s">
        <v>0</v>
      </c>
      <c r="B7" s="159" t="s">
        <v>182</v>
      </c>
      <c r="C7" s="159"/>
      <c r="D7" s="159"/>
      <c r="E7" s="159"/>
      <c r="F7" s="159"/>
      <c r="G7" s="159"/>
      <c r="H7" s="159"/>
      <c r="I7" s="159"/>
      <c r="J7" s="159"/>
      <c r="K7" s="159"/>
      <c r="M7" s="12"/>
    </row>
    <row r="8" spans="1:13" x14ac:dyDescent="0.3">
      <c r="A8" s="5" t="s">
        <v>1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M8" s="12"/>
    </row>
    <row r="9" spans="1:13" ht="15" customHeight="1" x14ac:dyDescent="0.3">
      <c r="A9" s="5" t="s">
        <v>2</v>
      </c>
      <c r="B9" s="161" t="s">
        <v>183</v>
      </c>
      <c r="C9" s="162"/>
      <c r="D9" s="162"/>
      <c r="E9" s="162"/>
      <c r="F9" s="163"/>
      <c r="G9" s="9" t="s">
        <v>10</v>
      </c>
      <c r="H9" s="47" t="s">
        <v>49</v>
      </c>
      <c r="I9" s="6" t="s">
        <v>6</v>
      </c>
      <c r="J9" s="160" t="s">
        <v>44</v>
      </c>
      <c r="K9" s="160"/>
    </row>
    <row r="10" spans="1:13" x14ac:dyDescent="0.3">
      <c r="A10" s="7" t="s">
        <v>3</v>
      </c>
      <c r="B10" s="164">
        <v>44294</v>
      </c>
      <c r="C10" s="165"/>
      <c r="D10" s="165"/>
      <c r="E10" s="165"/>
      <c r="F10" s="166"/>
      <c r="G10" s="9" t="s">
        <v>4</v>
      </c>
      <c r="H10" s="8" t="s">
        <v>5</v>
      </c>
      <c r="I10" s="6" t="s">
        <v>41</v>
      </c>
      <c r="J10" s="167" t="s">
        <v>8</v>
      </c>
      <c r="K10" s="168"/>
    </row>
    <row r="12" spans="1:13" ht="15.75" customHeight="1" x14ac:dyDescent="0.3">
      <c r="A12" s="21" t="s">
        <v>157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3" ht="15.75" customHeight="1" x14ac:dyDescent="0.3">
      <c r="A13" s="25"/>
      <c r="B13" s="26"/>
      <c r="C13" s="26"/>
      <c r="D13" s="60"/>
      <c r="E13" s="68"/>
      <c r="F13" s="26"/>
      <c r="G13" s="26"/>
      <c r="H13" s="26"/>
      <c r="K13" s="27"/>
    </row>
    <row r="14" spans="1:13" ht="15.75" customHeight="1" x14ac:dyDescent="0.3">
      <c r="A14" s="169" t="s">
        <v>35</v>
      </c>
      <c r="B14" s="170"/>
      <c r="C14" s="170"/>
      <c r="D14" s="206" t="s">
        <v>52</v>
      </c>
      <c r="E14" s="207"/>
      <c r="F14" s="171" t="s">
        <v>24</v>
      </c>
      <c r="G14" s="173"/>
      <c r="H14" s="28" t="s">
        <v>40</v>
      </c>
      <c r="I14" s="171" t="s">
        <v>39</v>
      </c>
      <c r="J14" s="173"/>
      <c r="K14" s="27"/>
    </row>
    <row r="15" spans="1:13" ht="15.75" customHeight="1" x14ac:dyDescent="0.3">
      <c r="A15" s="186" t="s">
        <v>408</v>
      </c>
      <c r="B15" s="186"/>
      <c r="C15" s="186"/>
      <c r="D15" s="72">
        <f>449.53*2</f>
        <v>899.06</v>
      </c>
      <c r="E15" s="72" t="s">
        <v>18</v>
      </c>
      <c r="F15" s="88">
        <v>70</v>
      </c>
      <c r="G15" s="89" t="s">
        <v>68</v>
      </c>
      <c r="H15" s="90" t="s">
        <v>42</v>
      </c>
      <c r="I15" s="205">
        <f t="shared" ref="I15:I20" si="0">+F15*D15</f>
        <v>62934.2</v>
      </c>
      <c r="J15" s="205"/>
      <c r="K15" s="27"/>
    </row>
    <row r="16" spans="1:13" ht="15.75" customHeight="1" x14ac:dyDescent="0.3">
      <c r="A16" s="185" t="s">
        <v>407</v>
      </c>
      <c r="B16" s="185"/>
      <c r="C16" s="185"/>
      <c r="D16" s="73">
        <f>D15</f>
        <v>899.06</v>
      </c>
      <c r="E16" s="73" t="s">
        <v>18</v>
      </c>
      <c r="F16" s="91">
        <f>235</f>
        <v>235</v>
      </c>
      <c r="G16" s="92" t="s">
        <v>68</v>
      </c>
      <c r="H16" s="85" t="s">
        <v>42</v>
      </c>
      <c r="I16" s="246">
        <f t="shared" si="0"/>
        <v>211279.09999999998</v>
      </c>
      <c r="J16" s="246"/>
      <c r="K16" s="27"/>
    </row>
    <row r="17" spans="1:11" ht="15.75" customHeight="1" x14ac:dyDescent="0.3">
      <c r="A17" s="185" t="s">
        <v>409</v>
      </c>
      <c r="B17" s="185"/>
      <c r="C17" s="185"/>
      <c r="D17" s="73">
        <f>35.22*2+25.26*2</f>
        <v>120.96000000000001</v>
      </c>
      <c r="E17" s="73" t="s">
        <v>20</v>
      </c>
      <c r="F17" s="91">
        <v>150</v>
      </c>
      <c r="G17" s="92" t="s">
        <v>330</v>
      </c>
      <c r="H17" s="85" t="s">
        <v>42</v>
      </c>
      <c r="I17" s="246">
        <f t="shared" si="0"/>
        <v>18144</v>
      </c>
      <c r="J17" s="246"/>
      <c r="K17" s="27"/>
    </row>
    <row r="18" spans="1:11" ht="15.75" customHeight="1" x14ac:dyDescent="0.3">
      <c r="A18" s="185" t="s">
        <v>410</v>
      </c>
      <c r="B18" s="185"/>
      <c r="C18" s="185"/>
      <c r="D18" s="73">
        <f>45.55+65.08+60.81</f>
        <v>171.44</v>
      </c>
      <c r="E18" s="73" t="s">
        <v>20</v>
      </c>
      <c r="F18" s="91">
        <v>50</v>
      </c>
      <c r="G18" s="92" t="s">
        <v>330</v>
      </c>
      <c r="H18" s="85" t="s">
        <v>42</v>
      </c>
      <c r="I18" s="246">
        <f t="shared" si="0"/>
        <v>8572</v>
      </c>
      <c r="J18" s="246"/>
      <c r="K18" s="27"/>
    </row>
    <row r="19" spans="1:11" ht="15.75" customHeight="1" x14ac:dyDescent="0.3">
      <c r="A19" s="185" t="s">
        <v>411</v>
      </c>
      <c r="B19" s="185"/>
      <c r="C19" s="185"/>
      <c r="D19" s="73">
        <f>508.91</f>
        <v>508.91</v>
      </c>
      <c r="E19" s="73" t="s">
        <v>20</v>
      </c>
      <c r="F19" s="91">
        <v>50</v>
      </c>
      <c r="G19" s="92" t="s">
        <v>330</v>
      </c>
      <c r="H19" s="85" t="s">
        <v>42</v>
      </c>
      <c r="I19" s="246">
        <f t="shared" si="0"/>
        <v>25445.5</v>
      </c>
      <c r="J19" s="246"/>
      <c r="K19" s="27"/>
    </row>
    <row r="20" spans="1:11" ht="15.75" customHeight="1" x14ac:dyDescent="0.3">
      <c r="A20" s="185" t="s">
        <v>412</v>
      </c>
      <c r="B20" s="185"/>
      <c r="C20" s="185"/>
      <c r="D20" s="73">
        <f>264.13077*2</f>
        <v>528.26153999999997</v>
      </c>
      <c r="E20" s="73" t="s">
        <v>18</v>
      </c>
      <c r="F20" s="91">
        <v>600</v>
      </c>
      <c r="G20" s="92" t="s">
        <v>68</v>
      </c>
      <c r="H20" s="85" t="s">
        <v>42</v>
      </c>
      <c r="I20" s="246">
        <f t="shared" si="0"/>
        <v>316956.924</v>
      </c>
      <c r="J20" s="246"/>
      <c r="K20" s="27"/>
    </row>
    <row r="21" spans="1:11" ht="15.75" customHeight="1" x14ac:dyDescent="0.3">
      <c r="A21" s="208" t="s">
        <v>43</v>
      </c>
      <c r="B21" s="208"/>
      <c r="C21" s="208"/>
      <c r="D21" s="208"/>
      <c r="E21" s="208"/>
      <c r="F21" s="208"/>
      <c r="G21" s="208"/>
      <c r="H21" s="208"/>
      <c r="I21" s="204">
        <f>SUM(I15:J20)</f>
        <v>643331.72399999993</v>
      </c>
      <c r="J21" s="204"/>
      <c r="K21" s="35"/>
    </row>
    <row r="22" spans="1:11" ht="15.75" customHeight="1" x14ac:dyDescent="0.3">
      <c r="A22" s="187"/>
      <c r="B22" s="188"/>
      <c r="C22" s="188"/>
      <c r="D22" s="188"/>
      <c r="E22" s="188"/>
      <c r="F22" s="188"/>
      <c r="G22" s="188"/>
      <c r="H22" s="188"/>
      <c r="I22" s="87"/>
      <c r="J22" s="37"/>
      <c r="K22" s="39"/>
    </row>
    <row r="23" spans="1:11" x14ac:dyDescent="0.3">
      <c r="B23" s="11" t="s">
        <v>278</v>
      </c>
    </row>
    <row r="24" spans="1:11" x14ac:dyDescent="0.3">
      <c r="A24" s="11" t="s">
        <v>279</v>
      </c>
      <c r="B24" s="11">
        <v>15</v>
      </c>
      <c r="J24" s="82">
        <f>I21</f>
        <v>643331.72399999993</v>
      </c>
      <c r="K24" s="11">
        <f>J24/'Dados Gerais'!E15</f>
        <v>16.740574074753528</v>
      </c>
    </row>
  </sheetData>
  <mergeCells count="26">
    <mergeCell ref="A2:K4"/>
    <mergeCell ref="B7:K7"/>
    <mergeCell ref="B8:K8"/>
    <mergeCell ref="B9:F9"/>
    <mergeCell ref="J9:K9"/>
    <mergeCell ref="I17:J17"/>
    <mergeCell ref="A19:C19"/>
    <mergeCell ref="I19:J19"/>
    <mergeCell ref="B10:F10"/>
    <mergeCell ref="J10:K10"/>
    <mergeCell ref="A22:H22"/>
    <mergeCell ref="A21:H21"/>
    <mergeCell ref="I21:J21"/>
    <mergeCell ref="A14:C14"/>
    <mergeCell ref="D14:E14"/>
    <mergeCell ref="F14:G14"/>
    <mergeCell ref="I14:J14"/>
    <mergeCell ref="A20:C20"/>
    <mergeCell ref="I20:J20"/>
    <mergeCell ref="A16:C16"/>
    <mergeCell ref="I16:J16"/>
    <mergeCell ref="A15:C15"/>
    <mergeCell ref="I15:J15"/>
    <mergeCell ref="A18:C18"/>
    <mergeCell ref="I18:J18"/>
    <mergeCell ref="A17:C17"/>
  </mergeCells>
  <dataValidations disablePrompts="1" count="1">
    <dataValidation type="list" allowBlank="1" showInputMessage="1" showErrorMessage="1" sqref="J10" xr:uid="{00000000-0002-0000-0E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3C66"/>
  </sheetPr>
  <dimension ref="A1:M27"/>
  <sheetViews>
    <sheetView showGridLines="0" topLeftCell="A6" zoomScale="115" zoomScaleNormal="115" zoomScaleSheetLayoutView="95" workbookViewId="0">
      <selection activeCell="H29" sqref="H29"/>
    </sheetView>
  </sheetViews>
  <sheetFormatPr defaultColWidth="9.109375" defaultRowHeight="13.2" x14ac:dyDescent="0.3"/>
  <cols>
    <col min="1" max="1" width="17.44140625" style="11" customWidth="1"/>
    <col min="2" max="2" width="9.88671875" style="11" customWidth="1"/>
    <col min="3" max="3" width="8.88671875" style="11" customWidth="1"/>
    <col min="4" max="4" width="14.109375" style="63" customWidth="1"/>
    <col min="5" max="5" width="7.5546875" style="69" customWidth="1"/>
    <col min="6" max="6" width="11.5546875" style="18" customWidth="1"/>
    <col min="7" max="7" width="15.88671875" style="11" customWidth="1"/>
    <col min="8" max="8" width="12.88671875" style="11" customWidth="1"/>
    <col min="9" max="9" width="9.33203125" style="11" customWidth="1"/>
    <col min="10" max="10" width="14.109375" style="11" bestFit="1" customWidth="1"/>
    <col min="11" max="11" width="6.44140625" style="11" customWidth="1"/>
    <col min="12" max="12" width="11.5546875" style="11" bestFit="1" customWidth="1"/>
    <col min="13" max="16384" width="9.109375" style="11"/>
  </cols>
  <sheetData>
    <row r="1" spans="1:13" x14ac:dyDescent="0.3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M1" s="12"/>
    </row>
    <row r="2" spans="1:13" x14ac:dyDescent="0.3">
      <c r="A2" s="157" t="s">
        <v>142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M2" s="12"/>
    </row>
    <row r="3" spans="1:13" x14ac:dyDescent="0.3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M3" s="12"/>
    </row>
    <row r="4" spans="1:13" x14ac:dyDescent="0.3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M4" s="12"/>
    </row>
    <row r="5" spans="1:13" ht="13.8" thickBot="1" x14ac:dyDescent="0.35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M5" s="12"/>
    </row>
    <row r="6" spans="1:13" x14ac:dyDescent="0.3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M6" s="12"/>
    </row>
    <row r="7" spans="1:13" x14ac:dyDescent="0.3">
      <c r="A7" s="5" t="s">
        <v>0</v>
      </c>
      <c r="B7" s="159" t="s">
        <v>182</v>
      </c>
      <c r="C7" s="159"/>
      <c r="D7" s="159"/>
      <c r="E7" s="159"/>
      <c r="F7" s="159"/>
      <c r="G7" s="159"/>
      <c r="H7" s="159"/>
      <c r="I7" s="159"/>
      <c r="J7" s="159"/>
      <c r="K7" s="159"/>
      <c r="M7" s="12"/>
    </row>
    <row r="8" spans="1:13" x14ac:dyDescent="0.3">
      <c r="A8" s="5" t="s">
        <v>1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M8" s="12"/>
    </row>
    <row r="9" spans="1:13" ht="15" customHeight="1" x14ac:dyDescent="0.3">
      <c r="A9" s="5" t="s">
        <v>2</v>
      </c>
      <c r="B9" s="161" t="s">
        <v>183</v>
      </c>
      <c r="C9" s="162"/>
      <c r="D9" s="162"/>
      <c r="E9" s="162"/>
      <c r="F9" s="163"/>
      <c r="G9" s="9" t="s">
        <v>10</v>
      </c>
      <c r="H9" s="47" t="s">
        <v>49</v>
      </c>
      <c r="I9" s="6" t="s">
        <v>6</v>
      </c>
      <c r="J9" s="160" t="s">
        <v>44</v>
      </c>
      <c r="K9" s="160"/>
    </row>
    <row r="10" spans="1:13" x14ac:dyDescent="0.3">
      <c r="A10" s="7" t="s">
        <v>3</v>
      </c>
      <c r="B10" s="164">
        <v>44294</v>
      </c>
      <c r="C10" s="165"/>
      <c r="D10" s="165"/>
      <c r="E10" s="165"/>
      <c r="F10" s="166"/>
      <c r="G10" s="9" t="s">
        <v>4</v>
      </c>
      <c r="H10" s="8" t="s">
        <v>5</v>
      </c>
      <c r="I10" s="6" t="s">
        <v>41</v>
      </c>
      <c r="J10" s="167" t="s">
        <v>8</v>
      </c>
      <c r="K10" s="168"/>
    </row>
    <row r="12" spans="1:13" ht="15.75" customHeight="1" x14ac:dyDescent="0.3">
      <c r="A12" s="21" t="s">
        <v>146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3" ht="15.75" customHeight="1" x14ac:dyDescent="0.3">
      <c r="A13" s="25"/>
      <c r="B13" s="26"/>
      <c r="C13" s="26"/>
      <c r="D13" s="60"/>
      <c r="E13" s="68"/>
      <c r="F13" s="26"/>
      <c r="G13" s="26"/>
      <c r="H13" s="26"/>
      <c r="K13" s="27"/>
    </row>
    <row r="14" spans="1:13" ht="15.75" customHeight="1" x14ac:dyDescent="0.3">
      <c r="A14" s="169" t="s">
        <v>35</v>
      </c>
      <c r="B14" s="170"/>
      <c r="C14" s="170"/>
      <c r="D14" s="206" t="s">
        <v>52</v>
      </c>
      <c r="E14" s="207"/>
      <c r="F14" s="171" t="s">
        <v>24</v>
      </c>
      <c r="G14" s="173"/>
      <c r="H14" s="28" t="s">
        <v>40</v>
      </c>
      <c r="I14" s="171" t="s">
        <v>39</v>
      </c>
      <c r="J14" s="173"/>
      <c r="K14" s="27"/>
    </row>
    <row r="15" spans="1:13" ht="15.75" customHeight="1" x14ac:dyDescent="0.3">
      <c r="A15" s="186" t="s">
        <v>147</v>
      </c>
      <c r="B15" s="186"/>
      <c r="C15" s="186"/>
      <c r="D15" s="72">
        <v>1</v>
      </c>
      <c r="E15" s="72" t="s">
        <v>67</v>
      </c>
      <c r="F15" s="81">
        <v>2500</v>
      </c>
      <c r="G15" s="89" t="s">
        <v>191</v>
      </c>
      <c r="H15" s="90" t="s">
        <v>168</v>
      </c>
      <c r="I15" s="199">
        <f>'Dados Gerais'!E22*F15+[2]MOBILIÁRIO!$E$94</f>
        <v>32804876.700000003</v>
      </c>
      <c r="J15" s="201"/>
      <c r="K15" s="27"/>
    </row>
    <row r="16" spans="1:13" ht="15.75" customHeight="1" x14ac:dyDescent="0.3">
      <c r="A16" s="185" t="s">
        <v>148</v>
      </c>
      <c r="B16" s="185"/>
      <c r="C16" s="185"/>
      <c r="D16" s="73">
        <v>1</v>
      </c>
      <c r="E16" s="73" t="s">
        <v>67</v>
      </c>
      <c r="F16" s="93">
        <v>25</v>
      </c>
      <c r="G16" s="92" t="s">
        <v>25</v>
      </c>
      <c r="H16" s="85" t="s">
        <v>168</v>
      </c>
      <c r="I16" s="176">
        <f>D16*F16*'Dados Gerais'!$E$15</f>
        <v>960737.25</v>
      </c>
      <c r="J16" s="178"/>
      <c r="K16" s="27"/>
      <c r="L16" s="82"/>
    </row>
    <row r="17" spans="1:12" ht="15.75" customHeight="1" x14ac:dyDescent="0.3">
      <c r="A17" s="185" t="s">
        <v>149</v>
      </c>
      <c r="B17" s="185"/>
      <c r="C17" s="185"/>
      <c r="D17" s="73">
        <v>1</v>
      </c>
      <c r="E17" s="73" t="s">
        <v>67</v>
      </c>
      <c r="F17" s="93">
        <v>30</v>
      </c>
      <c r="G17" s="92" t="s">
        <v>25</v>
      </c>
      <c r="H17" s="85" t="s">
        <v>168</v>
      </c>
      <c r="I17" s="176">
        <f>D17*F17*'Dados Gerais'!$E$15</f>
        <v>1152884.7</v>
      </c>
      <c r="J17" s="178"/>
      <c r="K17" s="27"/>
    </row>
    <row r="18" spans="1:12" ht="15.75" customHeight="1" x14ac:dyDescent="0.3">
      <c r="A18" s="185" t="s">
        <v>416</v>
      </c>
      <c r="B18" s="185"/>
      <c r="C18" s="185"/>
      <c r="D18" s="73">
        <v>103.5</v>
      </c>
      <c r="E18" s="73" t="s">
        <v>274</v>
      </c>
      <c r="F18" s="93">
        <v>300</v>
      </c>
      <c r="G18" s="92" t="s">
        <v>417</v>
      </c>
      <c r="H18" s="85" t="s">
        <v>168</v>
      </c>
      <c r="I18" s="176">
        <f>F18*D18</f>
        <v>31050</v>
      </c>
      <c r="J18" s="178"/>
      <c r="K18" s="27"/>
    </row>
    <row r="19" spans="1:12" ht="15.75" customHeight="1" x14ac:dyDescent="0.3">
      <c r="A19" s="210" t="s">
        <v>150</v>
      </c>
      <c r="B19" s="210"/>
      <c r="C19" s="210"/>
      <c r="D19" s="73">
        <v>1</v>
      </c>
      <c r="E19" s="73" t="s">
        <v>67</v>
      </c>
      <c r="F19" s="93">
        <v>15</v>
      </c>
      <c r="G19" s="95" t="s">
        <v>25</v>
      </c>
      <c r="H19" s="85" t="s">
        <v>168</v>
      </c>
      <c r="I19" s="192">
        <f>D19*F19*'Dados Gerais'!$E$15</f>
        <v>576442.35</v>
      </c>
      <c r="J19" s="194"/>
      <c r="K19" s="27"/>
    </row>
    <row r="20" spans="1:12" ht="15.75" customHeight="1" x14ac:dyDescent="0.3">
      <c r="A20" s="208" t="s">
        <v>43</v>
      </c>
      <c r="B20" s="208"/>
      <c r="C20" s="208"/>
      <c r="D20" s="208"/>
      <c r="E20" s="208"/>
      <c r="F20" s="208"/>
      <c r="G20" s="208"/>
      <c r="H20" s="208"/>
      <c r="I20" s="204">
        <f>SUM(I15:J19)</f>
        <v>35525991.000000007</v>
      </c>
      <c r="J20" s="204"/>
      <c r="K20" s="35"/>
    </row>
    <row r="21" spans="1:12" ht="15.75" customHeight="1" x14ac:dyDescent="0.3">
      <c r="A21" s="187"/>
      <c r="B21" s="188"/>
      <c r="C21" s="188"/>
      <c r="D21" s="188"/>
      <c r="E21" s="188"/>
      <c r="F21" s="188"/>
      <c r="G21" s="188"/>
      <c r="H21" s="188"/>
      <c r="I21" s="87"/>
      <c r="J21" s="37"/>
      <c r="K21" s="39"/>
    </row>
    <row r="22" spans="1:12" x14ac:dyDescent="0.3">
      <c r="J22" s="82"/>
    </row>
    <row r="23" spans="1:12" x14ac:dyDescent="0.3">
      <c r="A23" s="11" t="s">
        <v>309</v>
      </c>
      <c r="J23" s="82">
        <f>I20</f>
        <v>35525991.000000007</v>
      </c>
      <c r="L23" s="63">
        <f>J23/'Dados Gerais'!E15</f>
        <v>924.44606993223192</v>
      </c>
    </row>
    <row r="25" spans="1:12" x14ac:dyDescent="0.3">
      <c r="A25" s="63">
        <v>5700000</v>
      </c>
      <c r="B25" s="63" t="s">
        <v>43</v>
      </c>
    </row>
    <row r="26" spans="1:12" x14ac:dyDescent="0.3">
      <c r="A26" s="63">
        <v>4811.62</v>
      </c>
      <c r="B26" s="63" t="s">
        <v>275</v>
      </c>
    </row>
    <row r="27" spans="1:12" x14ac:dyDescent="0.3">
      <c r="A27" s="63">
        <f>A25/A26</f>
        <v>1184.6322028755387</v>
      </c>
      <c r="B27" s="63" t="s">
        <v>415</v>
      </c>
    </row>
  </sheetData>
  <mergeCells count="24">
    <mergeCell ref="B10:F10"/>
    <mergeCell ref="J10:K10"/>
    <mergeCell ref="A2:K4"/>
    <mergeCell ref="B7:K7"/>
    <mergeCell ref="B8:K8"/>
    <mergeCell ref="B9:F9"/>
    <mergeCell ref="J9:K9"/>
    <mergeCell ref="A16:C16"/>
    <mergeCell ref="I16:J16"/>
    <mergeCell ref="A20:H20"/>
    <mergeCell ref="I20:J20"/>
    <mergeCell ref="A14:C14"/>
    <mergeCell ref="D14:E14"/>
    <mergeCell ref="F14:G14"/>
    <mergeCell ref="I14:J14"/>
    <mergeCell ref="A15:C15"/>
    <mergeCell ref="I15:J15"/>
    <mergeCell ref="A17:C17"/>
    <mergeCell ref="I17:J17"/>
    <mergeCell ref="A21:H21"/>
    <mergeCell ref="A18:C18"/>
    <mergeCell ref="I18:J18"/>
    <mergeCell ref="A19:C19"/>
    <mergeCell ref="I19:J19"/>
  </mergeCells>
  <dataValidations disablePrompts="1" count="1">
    <dataValidation type="list" allowBlank="1" showInputMessage="1" showErrorMessage="1" sqref="J10" xr:uid="{00000000-0002-0000-10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35</vt:i4>
      </vt:variant>
    </vt:vector>
  </HeadingPairs>
  <TitlesOfParts>
    <vt:vector size="54" baseType="lpstr">
      <vt:lpstr>Dados Gerais</vt:lpstr>
      <vt:lpstr>Resumo</vt:lpstr>
      <vt:lpstr>Movimentação de Terra</vt:lpstr>
      <vt:lpstr>Conteções</vt:lpstr>
      <vt:lpstr>Infraestrutura</vt:lpstr>
      <vt:lpstr>Supraestrutura</vt:lpstr>
      <vt:lpstr>Alvenaria</vt:lpstr>
      <vt:lpstr>Instalações</vt:lpstr>
      <vt:lpstr>Sistemas especiais</vt:lpstr>
      <vt:lpstr>Impermeabilização</vt:lpstr>
      <vt:lpstr>Rev. Internos Piso e Parede</vt:lpstr>
      <vt:lpstr>Acabamentos de Teto</vt:lpstr>
      <vt:lpstr>Acabamentos de Piso e Parede</vt:lpstr>
      <vt:lpstr>Pintura Interna</vt:lpstr>
      <vt:lpstr>Esquadrias</vt:lpstr>
      <vt:lpstr>Auxiliar</vt:lpstr>
      <vt:lpstr>Rev. Fachada</vt:lpstr>
      <vt:lpstr>Cobertura</vt:lpstr>
      <vt:lpstr>Complementares</vt:lpstr>
      <vt:lpstr>'Acabamentos de Piso e Parede'!Area_de_impressao</vt:lpstr>
      <vt:lpstr>'Acabamentos de Teto'!Area_de_impressao</vt:lpstr>
      <vt:lpstr>Alvenaria!Area_de_impressao</vt:lpstr>
      <vt:lpstr>Cobertura!Area_de_impressao</vt:lpstr>
      <vt:lpstr>Complementares!Area_de_impressao</vt:lpstr>
      <vt:lpstr>Conteções!Area_de_impressao</vt:lpstr>
      <vt:lpstr>Esquadrias!Area_de_impressao</vt:lpstr>
      <vt:lpstr>Impermeabilização!Area_de_impressao</vt:lpstr>
      <vt:lpstr>Infraestrutura!Area_de_impressao</vt:lpstr>
      <vt:lpstr>Instalações!Area_de_impressao</vt:lpstr>
      <vt:lpstr>'Movimentação de Terra'!Area_de_impressao</vt:lpstr>
      <vt:lpstr>'Pintura Interna'!Area_de_impressao</vt:lpstr>
      <vt:lpstr>Resumo!Area_de_impressao</vt:lpstr>
      <vt:lpstr>'Rev. Fachada'!Area_de_impressao</vt:lpstr>
      <vt:lpstr>'Rev. Internos Piso e Parede'!Area_de_impressao</vt:lpstr>
      <vt:lpstr>'Sistemas especiais'!Area_de_impressao</vt:lpstr>
      <vt:lpstr>Supraestrutura!Area_de_impressao</vt:lpstr>
      <vt:lpstr>'Acabamentos de Piso e Parede'!Titulos_de_impressao</vt:lpstr>
      <vt:lpstr>'Acabamentos de Teto'!Titulos_de_impressao</vt:lpstr>
      <vt:lpstr>Alvenaria!Titulos_de_impressao</vt:lpstr>
      <vt:lpstr>Cobertura!Titulos_de_impressao</vt:lpstr>
      <vt:lpstr>Complementares!Titulos_de_impressao</vt:lpstr>
      <vt:lpstr>Conteções!Titulos_de_impressao</vt:lpstr>
      <vt:lpstr>'Dados Gerais'!Titulos_de_impressao</vt:lpstr>
      <vt:lpstr>Esquadrias!Titulos_de_impressao</vt:lpstr>
      <vt:lpstr>Impermeabilização!Titulos_de_impressao</vt:lpstr>
      <vt:lpstr>Infraestrutura!Titulos_de_impressao</vt:lpstr>
      <vt:lpstr>Instalações!Titulos_de_impressao</vt:lpstr>
      <vt:lpstr>'Movimentação de Terra'!Titulos_de_impressao</vt:lpstr>
      <vt:lpstr>'Pintura Interna'!Titulos_de_impressao</vt:lpstr>
      <vt:lpstr>Resumo!Titulos_de_impressao</vt:lpstr>
      <vt:lpstr>'Rev. Fachada'!Titulos_de_impressao</vt:lpstr>
      <vt:lpstr>'Rev. Internos Piso e Parede'!Titulos_de_impressao</vt:lpstr>
      <vt:lpstr>'Sistemas especiais'!Titulos_de_impressao</vt:lpstr>
      <vt:lpstr>Supraestrutura!Titulos_de_impressao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Luisa Romaniello</cp:lastModifiedBy>
  <cp:lastPrinted>2020-09-28T02:21:03Z</cp:lastPrinted>
  <dcterms:created xsi:type="dcterms:W3CDTF">2013-07-31T19:52:57Z</dcterms:created>
  <dcterms:modified xsi:type="dcterms:W3CDTF">2023-03-03T12:15:45Z</dcterms:modified>
</cp:coreProperties>
</file>