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Grupo EIS\04. Custo\04.1 Custo - Paramétrico\R02\02 - Diretos\"/>
    </mc:Choice>
  </mc:AlternateContent>
  <xr:revisionPtr revIDLastSave="0" documentId="13_ncr:1_{0ED2C969-E4C4-463F-9182-CADEBAD2095A}" xr6:coauthVersionLast="47" xr6:coauthVersionMax="47" xr10:uidLastSave="{00000000-0000-0000-0000-000000000000}"/>
  <bookViews>
    <workbookView xWindow="20370" yWindow="765" windowWidth="24240" windowHeight="13020" tabRatio="849" xr2:uid="{00000000-000D-0000-FFFF-FFFF00000000}"/>
  </bookViews>
  <sheets>
    <sheet name="Obra " sheetId="67" r:id="rId1"/>
    <sheet name="DADOS_INICIAIS" sheetId="46" r:id="rId2"/>
    <sheet name="MOVIMENTAÇÃO_DE_TERRA" sheetId="47" r:id="rId3"/>
    <sheet name="CONTENÇÕES" sheetId="49" r:id="rId4"/>
    <sheet name="INFRAESTRUTURA" sheetId="21" r:id="rId5"/>
    <sheet name="SUPRAESTRUTURA" sheetId="48" r:id="rId6"/>
    <sheet name="ALVENARIA" sheetId="61" r:id="rId7"/>
    <sheet name="IMPERMEABILIZAÇÃO" sheetId="62" r:id="rId8"/>
    <sheet name="INSTALAÇÕES" sheetId="58" r:id="rId9"/>
    <sheet name="SISTEMAS ESPECIAIS" sheetId="59" r:id="rId10"/>
    <sheet name="Rev. Internos Piso e Parede" sheetId="51" r:id="rId11"/>
    <sheet name="TETO" sheetId="63" r:id="rId12"/>
    <sheet name="Acabamentos de Piso e Parede" sheetId="53" r:id="rId13"/>
    <sheet name="PINTURA INTERNA" sheetId="64" r:id="rId14"/>
    <sheet name="ARQUITETURA" sheetId="68" r:id="rId15"/>
    <sheet name="ESQUADRIAS" sheetId="65" r:id="rId16"/>
    <sheet name="COBERTURA" sheetId="66" state="hidden" r:id="rId17"/>
    <sheet name="Rev. Fachada" sheetId="55" r:id="rId18"/>
    <sheet name="COMPLEMENTARES" sheetId="60" r:id="rId19"/>
    <sheet name="Auxiliar" sheetId="36" state="hidden" r:id="rId20"/>
  </sheets>
  <externalReferences>
    <externalReference r:id="rId21"/>
    <externalReference r:id="rId22"/>
    <externalReference r:id="rId23"/>
  </externalReferences>
  <definedNames>
    <definedName name="\0" localSheetId="16">#REF!</definedName>
    <definedName name="\0" localSheetId="18">#REF!</definedName>
    <definedName name="\0" localSheetId="1">#REF!</definedName>
    <definedName name="\0" localSheetId="8">#REF!</definedName>
    <definedName name="\0" localSheetId="2">#REF!</definedName>
    <definedName name="\0" localSheetId="0">#REF!</definedName>
    <definedName name="\0" localSheetId="9">#REF!</definedName>
    <definedName name="\0">#REF!</definedName>
    <definedName name="\1">#REF!</definedName>
    <definedName name="\a" localSheetId="1">#REF!</definedName>
    <definedName name="\a" localSheetId="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 localSheetId="1">#REF!</definedName>
    <definedName name="\m" localSheetId="0">#REF!</definedName>
    <definedName name="\m">#REF!</definedName>
    <definedName name="\o" localSheetId="0">#REF!</definedName>
    <definedName name="\o">#REF!</definedName>
    <definedName name="\p">#REF!</definedName>
    <definedName name="\r">#REF!</definedName>
    <definedName name="\T">#REF!</definedName>
    <definedName name="\xasd" localSheetId="0" hidden="1">{#N/A,#N/A,FALSE,"Plan1";#N/A,#N/A,FALSE,"Plan2"}</definedName>
    <definedName name="\xasd" hidden="1">{#N/A,#N/A,FALSE,"Plan1";#N/A,#N/A,FALSE,"Plan2"}</definedName>
    <definedName name="\z" localSheetId="0">#REF!</definedName>
    <definedName name="\z">#REF!</definedName>
    <definedName name="_" localSheetId="0" hidden="1">#REF!</definedName>
    <definedName name="_" hidden="1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hidden="1">{#N/A,#N/A,FALSE,"Plan1";#N/A,#N/A,FALSE,"Plan2"}</definedName>
    <definedName name="_\z">#REF!</definedName>
    <definedName name="__" localSheetId="0" hidden="1">#REF!</definedName>
    <definedName name="__" hidden="1">#REF!</definedName>
    <definedName name="__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0">#REF!</definedName>
    <definedName name="______ACR10">#REF!</definedName>
    <definedName name="______ACR15" localSheetId="0">#REF!</definedName>
    <definedName name="______ACR15">#REF!</definedName>
    <definedName name="______acr20" localSheetId="0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0">#REF!</definedName>
    <definedName name="_____ACR10">#REF!</definedName>
    <definedName name="_____ACR15" localSheetId="0">#REF!</definedName>
    <definedName name="_____ACR15">#REF!</definedName>
    <definedName name="_____acr20" localSheetId="0">#REF!</definedName>
    <definedName name="_____acr20">#REF!</definedName>
    <definedName name="_____acr5">#REF!</definedName>
    <definedName name="_____ARQ1">#REF!</definedName>
    <definedName name="_____key2" localSheetId="0" hidden="1">#REF!</definedName>
    <definedName name="_____key2" hidden="1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0" hidden="1">#REF!</definedName>
    <definedName name="____key2" hidden="1">#REF!</definedName>
    <definedName name="____la29" localSheetId="0" hidden="1">#REF!</definedName>
    <definedName name="____la29" hidden="1">#REF!</definedName>
    <definedName name="____la3" localSheetId="0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localSheetId="0" hidden="1">{"'장비'!$A$3:$M$12"}</definedName>
    <definedName name="____PK2" hidden="1">{"'장비'!$A$3:$M$12"}</definedName>
    <definedName name="____PKG3" localSheetId="0" hidden="1">{"'장비'!$A$3:$M$12"}</definedName>
    <definedName name="____PKG3" hidden="1">{"'장비'!$A$3:$M$12"}</definedName>
    <definedName name="____qqq222" localSheetId="0" hidden="1">{"'장비'!$A$3:$M$12"}</definedName>
    <definedName name="____qqq222" hidden="1">{"'장비'!$A$3:$M$12"}</definedName>
    <definedName name="_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localSheetId="0" hidden="1">#REF!</definedName>
    <definedName name="____x10" hidden="1">#REF!</definedName>
    <definedName name="____x11" localSheetId="0" hidden="1">#REF!</definedName>
    <definedName name="____x11" hidden="1">#REF!</definedName>
    <definedName name="____x12" localSheetId="0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0" hidden="1">#REF!</definedName>
    <definedName name="___key2" hidden="1">#REF!</definedName>
    <definedName name="___la29" localSheetId="0" hidden="1">#REF!</definedName>
    <definedName name="___la29" hidden="1">#REF!</definedName>
    <definedName name="___la3" localSheetId="0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localSheetId="0" hidden="1">{"'장비'!$A$3:$M$12"}</definedName>
    <definedName name="___PK2" hidden="1">{"'장비'!$A$3:$M$12"}</definedName>
    <definedName name="___PKG3" localSheetId="0" hidden="1">{"'장비'!$A$3:$M$12"}</definedName>
    <definedName name="___PKG3" hidden="1">{"'장비'!$A$3:$M$12"}</definedName>
    <definedName name="___qqq222" localSheetId="0" hidden="1">{"'장비'!$A$3:$M$12"}</definedName>
    <definedName name="___qqq222" hidden="1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localSheetId="0" hidden="1">#REF!</definedName>
    <definedName name="___x10" hidden="1">#REF!</definedName>
    <definedName name="___x11" localSheetId="0" hidden="1">#REF!</definedName>
    <definedName name="___x11" hidden="1">#REF!</definedName>
    <definedName name="___x12" localSheetId="0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localSheetId="0" hidden="1">#REF!</definedName>
    <definedName name="__123Graph_AGRA1" hidden="1">#REF!</definedName>
    <definedName name="__123Graph_ARES" localSheetId="0" hidden="1">#REF!</definedName>
    <definedName name="__123Graph_ARES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localSheetId="0" hidden="1">#REF!</definedName>
    <definedName name="__123Graph_C" hidden="1">#REF!</definedName>
    <definedName name="__123Graph_D" localSheetId="0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localSheetId="0" hidden="1">#REF!</definedName>
    <definedName name="__123Graph_XGRA1" hidden="1">#REF!</definedName>
    <definedName name="__123Graph_XRES" localSheetId="0" hidden="1">#REF!</definedName>
    <definedName name="__123Graph_XRES" hidden="1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0">#REF!</definedName>
    <definedName name="__htm2">#REF!</definedName>
    <definedName name="__htn2" localSheetId="0">#REF!</definedName>
    <definedName name="__htn2">#REF!</definedName>
    <definedName name="__iss2" localSheetId="0">#REF!</definedName>
    <definedName name="__iss2">#REF!</definedName>
    <definedName name="__key2" localSheetId="0" hidden="1">#REF!</definedName>
    <definedName name="__key2" hidden="1">#REF!</definedName>
    <definedName name="__la29" localSheetId="0" hidden="1">#REF!</definedName>
    <definedName name="__la29" hidden="1">#REF!</definedName>
    <definedName name="__la3" localSheetId="0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localSheetId="0" hidden="1">{"'장비'!$A$3:$M$12"}</definedName>
    <definedName name="__PK2" hidden="1">{"'장비'!$A$3:$M$12"}</definedName>
    <definedName name="__PKG3" localSheetId="0" hidden="1">{"'장비'!$A$3:$M$12"}</definedName>
    <definedName name="__PKG3" hidden="1">{"'장비'!$A$3:$M$12"}</definedName>
    <definedName name="__qqq222" localSheetId="0" hidden="1">{"'장비'!$A$3:$M$12"}</definedName>
    <definedName name="__qqq222" hidden="1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localSheetId="0" hidden="1">#REF!</definedName>
    <definedName name="__x10" hidden="1">#REF!</definedName>
    <definedName name="__x11" localSheetId="0" hidden="1">#REF!</definedName>
    <definedName name="__x11" hidden="1">#REF!</definedName>
    <definedName name="__x12" localSheetId="0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 localSheetId="0" hidden="1">#REF!</definedName>
    <definedName name="_1__123Graph_ACHART_1" hidden="1">#REF!</definedName>
    <definedName name="_10__123Graph_CCHART_1" localSheetId="0" hidden="1">#REF!</definedName>
    <definedName name="_10__123Graph_CCHART_1" hidden="1">#REF!</definedName>
    <definedName name="_11.SERV.TECNIC">#REF!</definedName>
    <definedName name="_11__123Graph_DCHART_1" localSheetId="0" hidden="1">#REF!</definedName>
    <definedName name="_11__123Graph_DCHART_1" hidden="1">#REF!</definedName>
    <definedName name="_12.GAST_GERAIS">#REF!</definedName>
    <definedName name="_12__123Graph_XChart_1A" hidden="1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 hidden="1">#REF!</definedName>
    <definedName name="_2">#REF!</definedName>
    <definedName name="_2__123Graph_BCHART_1" localSheetId="0" hidden="1">#REF!</definedName>
    <definedName name="_2__123Graph_BCHART_1" hidden="1">#REF!</definedName>
    <definedName name="_25.PREP.TERREN">#REF!</definedName>
    <definedName name="_27.FUND._ESCOR">#REF!</definedName>
    <definedName name="_2F" hidden="1">#REF!</definedName>
    <definedName name="_3__123Graph_XCHART_1" localSheetId="0" hidden="1">#REF!</definedName>
    <definedName name="_3__123Graph_XCHART_1" hidden="1">#REF!</definedName>
    <definedName name="_31_32_33.C_A">#REF!</definedName>
    <definedName name="_41.ALVENARIA">#REF!</definedName>
    <definedName name="_47.IMP._ISOLA.">#REF!</definedName>
    <definedName name="_5__123Graph_ACHART_1" localSheetId="0" hidden="1">#REF!</definedName>
    <definedName name="_5__123Graph_ACHART_1" hidden="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 hidden="1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 localSheetId="0" hidden="1">#REF!</definedName>
    <definedName name="_7__123Graph_ACHART_2" hidden="1">#REF!</definedName>
    <definedName name="_71_73.I.ELET_H">#REF!</definedName>
    <definedName name="_77.OUTRAS_INST.">#REF!</definedName>
    <definedName name="_78.ELEVADORES">#REF!</definedName>
    <definedName name="_8__123Graph_BChart_1A" hidden="1">#REF!</definedName>
    <definedName name="_81.APAR._SANIT">#REF!</definedName>
    <definedName name="_83_85.PINT_LIM">#REF!</definedName>
    <definedName name="_9__123Graph_BCHART_2" localSheetId="0" hidden="1">#REF!</definedName>
    <definedName name="_9__123Graph_BCHART_2" hidden="1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 hidden="1">"'54256040-62ff-475a-9348-dbdfce08df30'"</definedName>
    <definedName name="_ARQ1" localSheetId="0">#REF!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>#REF!</definedName>
    <definedName name="_Axe4">#REF!</definedName>
    <definedName name="_Builtin13" localSheetId="0" hidden="1">#REF!</definedName>
    <definedName name="_Builtin13" hidden="1">#REF!</definedName>
    <definedName name="_CAB1">#REF!</definedName>
    <definedName name="_CAB2">#REF!</definedName>
    <definedName name="_CO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ECS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localSheetId="0" hidden="1">#REF!</definedName>
    <definedName name="_Fill" hidden="1">#REF!</definedName>
    <definedName name="_fill1" localSheetId="0" hidden="1">#REF!</definedName>
    <definedName name="_fill1" hidden="1">#REF!</definedName>
    <definedName name="_FiltrarBancoDados2" localSheetId="0" hidden="1">#REF!</definedName>
    <definedName name="_FiltrarBancoDados2" hidden="1">#REF!</definedName>
    <definedName name="_xlnm._FilterDatabase" localSheetId="14" hidden="1">ARQUITETURA!$A$10:$D$113</definedName>
    <definedName name="_xlnm._FilterDatabase" localSheetId="19" hidden="1">Auxiliar!$A$1:$D$68</definedName>
    <definedName name="_xlnm._FilterDatabase" localSheetId="1" hidden="1">DADOS_INICIAIS!#REF!</definedName>
    <definedName name="_xlnm._FilterDatabase" localSheetId="0" hidden="1">#REF!</definedName>
    <definedName name="_xlnm._FilterDatabase" hidden="1">#REF!</definedName>
    <definedName name="_htm2" localSheetId="0">#REF!</definedName>
    <definedName name="_htm2">#REF!</definedName>
    <definedName name="_htn2" localSheetId="0">#REF!</definedName>
    <definedName name="_htn2">#REF!</definedName>
    <definedName name="_IA0542" localSheetId="0" hidden="1">{#N/A,#N/A,FALSE,"Plan1";#N/A,#N/A,FALSE,"Plan2"}</definedName>
    <definedName name="_IA0542" hidden="1">{#N/A,#N/A,FALSE,"Plan1";#N/A,#N/A,FALSE,"Plan2"}</definedName>
    <definedName name="_iss2" localSheetId="0">#REF!</definedName>
    <definedName name="_iss2">#REF!</definedName>
    <definedName name="_IV65617" localSheetId="0">#REF!</definedName>
    <definedName name="_IV65617">#REF!</definedName>
    <definedName name="_IV65999" localSheetId="0">#REF!</definedName>
    <definedName name="_IV65999">#REF!</definedName>
    <definedName name="_IV66000">#REF!</definedName>
    <definedName name="_IV67021">#REF!</definedName>
    <definedName name="_IV67022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hidden="1">#REF!</definedName>
    <definedName name="_key4" hidden="1">#REF!</definedName>
    <definedName name="_l">#REF!</definedName>
    <definedName name="_la29" localSheetId="0" hidden="1">#REF!</definedName>
    <definedName name="_la29" hidden="1">#REF!</definedName>
    <definedName name="_la3" localSheetId="0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localSheetId="0" hidden="1">#REF!</definedName>
    <definedName name="_MatMult_A" hidden="1">#REF!</definedName>
    <definedName name="_MatMult_AxB" hidden="1">#REF!</definedName>
    <definedName name="_MatMult_B" hidden="1">#REF!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localSheetId="0" hidden="1">255</definedName>
    <definedName name="_Order2" hidden="1">255</definedName>
    <definedName name="_Parse_Out" localSheetId="0" hidden="1">#REF!</definedName>
    <definedName name="_Parse_Out" hidden="1">#REF!</definedName>
    <definedName name="_PAV01" localSheetId="0">#REF!</definedName>
    <definedName name="_PAV01">#REF!</definedName>
    <definedName name="_PAV02" localSheetId="0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localSheetId="0" hidden="1">{"'장비'!$A$3:$M$12"}</definedName>
    <definedName name="_PK2" hidden="1">{"'장비'!$A$3:$M$12"}</definedName>
    <definedName name="_PKG3" localSheetId="0" hidden="1">{"'장비'!$A$3:$M$12"}</definedName>
    <definedName name="_PKG3" hidden="1">{"'장비'!$A$3:$M$12"}</definedName>
    <definedName name="_qqq222" localSheetId="0" hidden="1">{"'장비'!$A$3:$M$12"}</definedName>
    <definedName name="_qqq222" hidden="1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sfe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0" hidden="1">#REF!</definedName>
    <definedName name="_Sort" hidden="1">#REF!</definedName>
    <definedName name="_T" localSheetId="0">#REF!</definedName>
    <definedName name="_T">#REF!</definedName>
    <definedName name="_Table1_In1" localSheetId="0" hidden="1">#REF!</definedName>
    <definedName name="_Table1_In1" hidden="1">#REF!</definedName>
    <definedName name="_Table1_Out" hidden="1">#REF!</definedName>
    <definedName name="_wer3" localSheetId="0" hidden="1">{#N/A,#N/A,FALSE,"Plan1";#N/A,#N/A,FALSE,"Plan2"}</definedName>
    <definedName name="_wer3" hidden="1">{#N/A,#N/A,FALSE,"Plan1";#N/A,#N/A,FALSE,"Plan2"}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0" hidden="1">#REF!</definedName>
    <definedName name="_x10" hidden="1">#REF!</definedName>
    <definedName name="_x11" localSheetId="0" hidden="1">#REF!</definedName>
    <definedName name="_x11" hidden="1">#REF!</definedName>
    <definedName name="_x12" localSheetId="0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localSheetId="0" hidden="1">#REF!</definedName>
    <definedName name="_xlcn.WorksheetConnection_2018_03ResumoRGOObrasRJ.xlsbTabela1" hidden="1">#REF!</definedName>
    <definedName name="_xlcn.WorksheetConnection_ProjetocontrolefisicoefinanceiroRJ.xlsxTabela31" localSheetId="0" hidden="1">#REF!</definedName>
    <definedName name="_xlcn.WorksheetConnection_ProjetocontrolefisicoefinanceiroRJ.xlsxTabela31" hidden="1">#REF!</definedName>
    <definedName name="´cAE°eE¹" localSheetId="0" hidden="1">#REF!</definedName>
    <definedName name="´cAE°eE¹" hidden="1">#REF!</definedName>
    <definedName name="￠￥cAE¡ÆeEⓒo" hidden="1">#REF!</definedName>
    <definedName name="a" localSheetId="0" hidden="1">#REF!</definedName>
    <definedName name="a">#REF!</definedName>
    <definedName name="a\sgt" localSheetId="0" hidden="1">{#N/A,#N/A,FALSE,"Plan1";#N/A,#N/A,FALSE,"Plan2"}</definedName>
    <definedName name="a\sgt" hidden="1">{#N/A,#N/A,FALSE,"Plan1";#N/A,#N/A,FALSE,"Plan2"}</definedName>
    <definedName name="aa" localSheetId="1">#REF!</definedName>
    <definedName name="aa" localSheetId="0">#REF!</definedName>
    <definedName name="aa">#REF!</definedName>
    <definedName name="aaa">#REF!</definedName>
    <definedName name="aaaa" localSheetId="16">'[1]M.O.'!#REF!</definedName>
    <definedName name="aaaa" localSheetId="18">'[1]M.O.'!#REF!</definedName>
    <definedName name="aaaa" localSheetId="1">'[1]M.O.'!#REF!</definedName>
    <definedName name="aaaa" localSheetId="8">'[1]M.O.'!#REF!</definedName>
    <definedName name="aaaa" localSheetId="2">'[1]M.O.'!#REF!</definedName>
    <definedName name="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9">'[1]M.O.'!#REF!</definedName>
    <definedName name="aaaa">'[1]M.O.'!#REF!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0">#REF!</definedName>
    <definedName name="aaaadc">#REF!</definedName>
    <definedName name="aaacccc" localSheetId="0" hidden="1">{#N/A,#N/A,FALSE,"Plan1";#N/A,#N/A,FALSE,"Plan2"}</definedName>
    <definedName name="aaacccc" hidden="1">{#N/A,#N/A,FALSE,"Plan1";#N/A,#N/A,FALSE,"Plan2"}</definedName>
    <definedName name="aaas" localSheetId="0">#REF!</definedName>
    <definedName name="aaas">#REF!</definedName>
    <definedName name="AB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>#REF!</definedName>
    <definedName name="Abat_ISS" localSheetId="0">#REF!</definedName>
    <definedName name="Abat_ISS">#REF!</definedName>
    <definedName name="ab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localSheetId="0" hidden="1">#REF!</definedName>
    <definedName name="ABCD" hidden="1">#REF!</definedName>
    <definedName name="abebqt" localSheetId="0">#REF!</definedName>
    <definedName name="abebqt">#REF!</definedName>
    <definedName name="abr17RJ" localSheetId="0">#REF!</definedName>
    <definedName name="abr17RJ">#REF!</definedName>
    <definedName name="ABRIL">#REF!</definedName>
    <definedName name="ABRIL2001">#REF!</definedName>
    <definedName name="ac" localSheetId="0" hidden="1">#REF!</definedName>
    <definedName name="ac" hidden="1">#REF!</definedName>
    <definedName name="Acabam.">#REF!</definedName>
    <definedName name="ACADUC">#REF!</definedName>
    <definedName name="ACBEB">#REF!</definedName>
    <definedName name="ACBOMB">#REF!</definedName>
    <definedName name="AccessDatabase" hidden="1">"C:\posec\DATABASE\vlv_list\vlvlist1.mdb"</definedName>
    <definedName name="ACCHAF" localSheetId="0">#REF!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localSheetId="0" hidden="1">#REF!</definedName>
    <definedName name="acdb" hidden="1">#REF!</definedName>
    <definedName name="ACDER" localSheetId="0">#REF!</definedName>
    <definedName name="ACDER">#REF!</definedName>
    <definedName name="ACDIV" localSheetId="0">#REF!</definedName>
    <definedName name="ACDIV">#REF!</definedName>
    <definedName name="ACDS" localSheetId="0" hidden="1">#REF!</definedName>
    <definedName name="ACDS" hidden="1">#REF!</definedName>
    <definedName name="ACEQP">#REF!</definedName>
    <definedName name="ACHAFQT">#REF!</definedName>
    <definedName name="achar18" localSheetId="0" hidden="1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MUR">#REF!</definedName>
    <definedName name="açoeeer" localSheetId="0" hidden="1">{#N/A,#N/A,FALSE,"Plan1";#N/A,#N/A,FALSE,"Plan2"}</definedName>
    <definedName name="açoeeer" hidden="1">{#N/A,#N/A,FALSE,"Plan1";#N/A,#N/A,FALSE,"Plan2"}</definedName>
    <definedName name="ACOMP" localSheetId="0">#REF!</definedName>
    <definedName name="ACOMP">#REF!</definedName>
    <definedName name="ACONT2" localSheetId="0">#REF!</definedName>
    <definedName name="ACONT2">#REF!</definedName>
    <definedName name="ACPIPA" localSheetId="0">#REF!</definedName>
    <definedName name="ACPIPA">#REF!</definedName>
    <definedName name="ACTRANSP">#REF!</definedName>
    <definedName name="ACwvu.Características." localSheetId="0" hidden="1">#REF!</definedName>
    <definedName name="ACwvu.Características." hidden="1">#REF!</definedName>
    <definedName name="ACwvu.Ciclos." localSheetId="0" hidden="1">#REF!</definedName>
    <definedName name="ACwvu.Ciclos." hidden="1">#REF!</definedName>
    <definedName name="ACwvu.Custos." localSheetId="0" hidden="1">#REF!</definedName>
    <definedName name="ACwvu.Custos." hidden="1">#REF!</definedName>
    <definedName name="ACwvu.PLANILHA2." localSheetId="0" hidden="1">#REF!</definedName>
    <definedName name="ACwvu.PLANILHA2." hidden="1">#REF!</definedName>
    <definedName name="ACwvu.Recursos." hidden="1">#REF!</definedName>
    <definedName name="ad" localSheetId="0" hidden="1">{#N/A,#N/A,FALSE,"Plan1";#N/A,#N/A,FALSE,"Plan2"}</definedName>
    <definedName name="ad" hidden="1">{#N/A,#N/A,FALSE,"Plan1";#N/A,#N/A,FALSE,"Plan2"}</definedName>
    <definedName name="adads" localSheetId="0" hidden="1">{#N/A,#N/A,FALSE,"Plan1";#N/A,#N/A,FALSE,"Plan2"}</definedName>
    <definedName name="adads" hidden="1">{#N/A,#N/A,FALSE,"Plan1";#N/A,#N/A,FALSE,"Plan2"}</definedName>
    <definedName name="adads2" localSheetId="0" hidden="1">{#N/A,#N/A,FALSE,"Plan1";#N/A,#N/A,FALSE,"Plan2"}</definedName>
    <definedName name="adads2" hidden="1">{#N/A,#N/A,FALSE,"Plan1";#N/A,#N/A,FALSE,"Plan2"}</definedName>
    <definedName name="adced" localSheetId="0" hidden="1">{#N/A,#N/A,FALSE,"Plan1";#N/A,#N/A,FALSE,"Plan2"}</definedName>
    <definedName name="adced" hidden="1">{#N/A,#N/A,FALSE,"Plan1";#N/A,#N/A,FALSE,"Plan2"}</definedName>
    <definedName name="adced2" localSheetId="0" hidden="1">{#N/A,#N/A,FALSE,"Plan1";#N/A,#N/A,FALSE,"Plan2"}</definedName>
    <definedName name="adced2" hidden="1">{#N/A,#N/A,FALSE,"Plan1";#N/A,#N/A,FALSE,"Plan2"}</definedName>
    <definedName name="ader" localSheetId="0" hidden="1">{#N/A,#N/A,FALSE,"Plan1";#N/A,#N/A,FALSE,"Plan2"}</definedName>
    <definedName name="ader" hidden="1">{#N/A,#N/A,FALSE,"Plan1";#N/A,#N/A,FALSE,"Plan2"}</definedName>
    <definedName name="ader2" localSheetId="0" hidden="1">{#N/A,#N/A,FALSE,"Plan1";#N/A,#N/A,FALSE,"Plan2"}</definedName>
    <definedName name="ader2" hidden="1">{#N/A,#N/A,FALSE,"Plan1";#N/A,#N/A,FALSE,"Plan2"}</definedName>
    <definedName name="adesr" localSheetId="0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localSheetId="0" hidden="1">{#N/A,#N/A,FALSE,"Plan1";#N/A,#N/A,FALSE,"Plan2"}</definedName>
    <definedName name="adewr" hidden="1">{#N/A,#N/A,FALSE,"Plan1";#N/A,#N/A,FALSE,"Plan2"}</definedName>
    <definedName name="adf" localSheetId="0" hidden="1">{#N/A,#N/A,FALSE,"Plan1";#N/A,#N/A,FALSE,"Plan2"}</definedName>
    <definedName name="adf" hidden="1">{#N/A,#N/A,FALSE,"Plan1";#N/A,#N/A,FALSE,"Plan2"}</definedName>
    <definedName name="ADITIVO_BRUTO" localSheetId="0">#REF!</definedName>
    <definedName name="ADITIVO_BRUTO">#REF!</definedName>
    <definedName name="ADITIVO_LIQUIDO" localSheetId="0">#REF!</definedName>
    <definedName name="ADITIVO_LIQUIDO">#REF!</definedName>
    <definedName name="ADM.EXTERNA" localSheetId="0">#REF!</definedName>
    <definedName name="ADM.EXTERNA">#REF!</definedName>
    <definedName name="adsfr" localSheetId="0" hidden="1">{#N/A,#N/A,FALSE,"Plan1";#N/A,#N/A,FALSE,"Plan2"}</definedName>
    <definedName name="adsfr" hidden="1">{#N/A,#N/A,FALSE,"Plan1";#N/A,#N/A,FALSE,"Plan2"}</definedName>
    <definedName name="adssrgtg" localSheetId="0" hidden="1">{#N/A,#N/A,FALSE,"Plan1";#N/A,#N/A,FALSE,"Plan2"}</definedName>
    <definedName name="adssrgtg" hidden="1">{#N/A,#N/A,FALSE,"Plan1";#N/A,#N/A,FALSE,"Plan2"}</definedName>
    <definedName name="adtsetrr6t" localSheetId="0" hidden="1">{#N/A,#N/A,FALSE,"Plan1";#N/A,#N/A,FALSE,"Plan2"}</definedName>
    <definedName name="adtsetrr6t" hidden="1">{#N/A,#N/A,FALSE,"Plan1";#N/A,#N/A,FALSE,"Plan2"}</definedName>
    <definedName name="ADUCQT" localSheetId="0">#REF!</definedName>
    <definedName name="ADUCQT">#REF!</definedName>
    <definedName name="adwr" localSheetId="0" hidden="1">{#N/A,#N/A,FALSE,"Plan1";#N/A,#N/A,FALSE,"Plan2"}</definedName>
    <definedName name="adwr" hidden="1">{#N/A,#N/A,FALSE,"Plan1";#N/A,#N/A,FALSE,"Plan2"}</definedName>
    <definedName name="aeiresft" localSheetId="0" hidden="1">{#N/A,#N/A,FALSE,"Plan1";#N/A,#N/A,FALSE,"Plan2"}</definedName>
    <definedName name="aeiresft" hidden="1">{#N/A,#N/A,FALSE,"Plan1";#N/A,#N/A,FALSE,"Plan2"}</definedName>
    <definedName name="aEL3QE" localSheetId="0" hidden="1">{#N/A,#N/A,FALSE,"Plan1";#N/A,#N/A,FALSE,"Plan2"}</definedName>
    <definedName name="aEL3QE" hidden="1">{#N/A,#N/A,FALSE,"Plan1";#N/A,#N/A,FALSE,"Plan2"}</definedName>
    <definedName name="afeasfre" localSheetId="0" hidden="1">{#N/A,#N/A,FALSE,"Plan1";#N/A,#N/A,FALSE,"Plan2"}</definedName>
    <definedName name="afeasfre" hidden="1">{#N/A,#N/A,FALSE,"Plan1";#N/A,#N/A,FALSE,"Plan2"}</definedName>
    <definedName name="agdsf" localSheetId="0" hidden="1">#REF!</definedName>
    <definedName name="agdsf" hidden="1">#REF!</definedName>
    <definedName name="ago17RJ" localSheetId="0">#REF!</definedName>
    <definedName name="ago17RJ">#REF!</definedName>
    <definedName name="AGOSTO" localSheetId="0">#REF!</definedName>
    <definedName name="AGOSTO">#REF!</definedName>
    <definedName name="agu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0" hidden="1">{#N/A,#N/A,FALSE,"CCTV"}</definedName>
    <definedName name="AH" hidden="1">{#N/A,#N/A,FALSE,"CCTV"}</definedName>
    <definedName name="AITEM" localSheetId="0">#REF!</definedName>
    <definedName name="AITEM">#REF!</definedName>
    <definedName name="Ajudante_Geral" localSheetId="0">#REF!</definedName>
    <definedName name="Ajudante_Geral">#REF!</definedName>
    <definedName name="ajudante_mes" localSheetId="0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 localSheetId="16">[2]Geral!#REF!</definedName>
    <definedName name="angelo" localSheetId="18">[2]Geral!#REF!</definedName>
    <definedName name="angelo" localSheetId="1">[2]Geral!#REF!</definedName>
    <definedName name="angelo" localSheetId="8">[2]Geral!#REF!</definedName>
    <definedName name="angelo" localSheetId="2">[2]Geral!#REF!</definedName>
    <definedName name="angelo" localSheetId="0">[2]Geral!#REF!</definedName>
    <definedName name="angelo" localSheetId="9">[2]Geral!#REF!</definedName>
    <definedName name="angelo">[2]Geral!#REF!</definedName>
    <definedName name="anscount" localSheetId="0" hidden="1">3</definedName>
    <definedName name="anscount" hidden="1">3</definedName>
    <definedName name="AQE" localSheetId="0" hidden="1">{"'장비'!$A$3:$M$12"}</definedName>
    <definedName name="AQE" hidden="1">{"'장비'!$A$3:$M$12"}</definedName>
    <definedName name="AQTEMP1">#REF!</definedName>
    <definedName name="AQTEMP2">#REF!</definedName>
    <definedName name="ArComprimido" localSheetId="0" hidden="1">{"'Estimativa de Lançamento-JAN'!$A$1:$AI$85"}</definedName>
    <definedName name="ArComprimido" hidden="1">{"'Estimativa de Lançamento-JAN'!$A$1:$AI$85"}</definedName>
    <definedName name="area" localSheetId="0" hidden="1">{#N/A,#N/A,FALSE,"Plan1";#N/A,#N/A,FALSE,"Plan2"}</definedName>
    <definedName name="area">#REF!</definedName>
    <definedName name="área">#REF!</definedName>
    <definedName name="Área_Construída" localSheetId="0">#REF!</definedName>
    <definedName name="Área_Construída">#REF!</definedName>
    <definedName name="_xlnm.Print_Area" localSheetId="12">'Acabamentos de Piso e Parede'!$A$1:$H$29</definedName>
    <definedName name="_xlnm.Print_Area" localSheetId="6">ALVENARIA!$A$1:$I$24</definedName>
    <definedName name="_xlnm.Print_Area" localSheetId="16">COBERTURA!$A$1:$H$14</definedName>
    <definedName name="_xlnm.Print_Area" localSheetId="18">COMPLEMENTARES!$A$1:$G$17</definedName>
    <definedName name="_xlnm.Print_Area" localSheetId="3">CONTENÇÕES!$A$1:$I$45</definedName>
    <definedName name="_xlnm.Print_Area" localSheetId="1">DADOS_INICIAIS!$A$1:$G$28</definedName>
    <definedName name="_xlnm.Print_Area" localSheetId="15">ESQUADRIAS!$A$1:$I$21</definedName>
    <definedName name="_xlnm.Print_Area" localSheetId="7">IMPERMEABILIZAÇÃO!$A$1:$I$19</definedName>
    <definedName name="_xlnm.Print_Area" localSheetId="4">INFRAESTRUTURA!$A$1:$I$35</definedName>
    <definedName name="_xlnm.Print_Area" localSheetId="8">INSTALAÇÕES!$A$1:$E$34</definedName>
    <definedName name="_xlnm.Print_Area" localSheetId="2">MOVIMENTAÇÃO_DE_TERRA!$A$1:$G$25</definedName>
    <definedName name="_xlnm.Print_Area" localSheetId="0">'Obra '!$A$1:$O$71</definedName>
    <definedName name="_xlnm.Print_Area" localSheetId="13">'PINTURA INTERNA'!$A$1:$I$16</definedName>
    <definedName name="_xlnm.Print_Area" localSheetId="17">'Rev. Fachada'!$A$1:$H$26</definedName>
    <definedName name="_xlnm.Print_Area" localSheetId="10">'Rev. Internos Piso e Parede'!$A$1:$H$22</definedName>
    <definedName name="_xlnm.Print_Area" localSheetId="9">'SISTEMAS ESPECIAIS'!$A$1:$E$35</definedName>
    <definedName name="_xlnm.Print_Area" localSheetId="5">SUPRAESTRUTURA!$A$1:$I$18</definedName>
    <definedName name="_xlnm.Print_Area" localSheetId="11">TETO!$A$1:$I$15</definedName>
    <definedName name="_xlnm.Print_Area">#REF!</definedName>
    <definedName name="Área_impressão_IM" localSheetId="0">#REF!</definedName>
    <definedName name="Área_impressão_IM">#REF!</definedName>
    <definedName name="Área_Privativa" localSheetId="0">#REF!</definedName>
    <definedName name="Área_Privativa">#REF!</definedName>
    <definedName name="Área_Terreno" localSheetId="0">#REF!</definedName>
    <definedName name="Área_Terreno">#REF!</definedName>
    <definedName name="area1" localSheetId="0">#REF!</definedName>
    <definedName name="area1">#REF!</definedName>
    <definedName name="Areaimpresso" localSheetId="0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 hidden="1">"AS2DocumentBrowse"</definedName>
    <definedName name="asawe3" localSheetId="0" hidden="1">{#N/A,#N/A,FALSE,"Plan1";#N/A,#N/A,FALSE,"Plan2"}</definedName>
    <definedName name="asawe3" hidden="1">{#N/A,#N/A,FALSE,"Plan1";#N/A,#N/A,FALSE,"Plan2"}</definedName>
    <definedName name="ASD" localSheetId="0" hidden="1">17</definedName>
    <definedName name="ASD" hidden="1">17</definedName>
    <definedName name="ASDA" localSheetId="0" hidden="1">{#N/A,#N/A,FALSE,"Plan1";#N/A,#N/A,FALSE,"Plan2"}</definedName>
    <definedName name="ASDA" hidden="1">{#N/A,#N/A,FALSE,"Plan1";#N/A,#N/A,FALSE,"Plan2"}</definedName>
    <definedName name="asdade" localSheetId="0" hidden="1">{#N/A,#N/A,FALSE,"Plan1";#N/A,#N/A,FALSE,"Plan2"}</definedName>
    <definedName name="asdade" hidden="1">{#N/A,#N/A,FALSE,"Plan1";#N/A,#N/A,FALSE,"Plan2"}</definedName>
    <definedName name="asdas" localSheetId="0" hidden="1">{#N/A,#N/A,FALSE,"Plan1";#N/A,#N/A,FALSE,"Plan2"}</definedName>
    <definedName name="asdas" hidden="1">{#N/A,#N/A,FALSE,"Plan1";#N/A,#N/A,FALSE,"Plan2"}</definedName>
    <definedName name="asdawed" localSheetId="0" hidden="1">{#N/A,#N/A,FALSE,"Plan1";#N/A,#N/A,FALSE,"Plan2"}</definedName>
    <definedName name="asdawed" hidden="1">{#N/A,#N/A,FALSE,"Plan1";#N/A,#N/A,FALSE,"Plan2"}</definedName>
    <definedName name="ASDER" localSheetId="0" hidden="1">{#N/A,#N/A,FALSE,"Plan1";#N/A,#N/A,FALSE,"Plan2"}</definedName>
    <definedName name="ASDER" hidden="1">{#N/A,#N/A,FALSE,"Plan1";#N/A,#N/A,FALSE,"Plan2"}</definedName>
    <definedName name="asderr" localSheetId="0" hidden="1">{#N/A,#N/A,FALSE,"Plan1";#N/A,#N/A,FALSE,"Plan2"}</definedName>
    <definedName name="asderr" hidden="1">{#N/A,#N/A,FALSE,"Plan1";#N/A,#N/A,FALSE,"Plan2"}</definedName>
    <definedName name="asdesre" localSheetId="0" hidden="1">{#N/A,#N/A,FALSE,"Plan1";#N/A,#N/A,FALSE,"Plan2"}</definedName>
    <definedName name="asdesre" hidden="1">{#N/A,#N/A,FALSE,"Plan1";#N/A,#N/A,FALSE,"Plan2"}</definedName>
    <definedName name="asdewr" localSheetId="0" hidden="1">{#N/A,#N/A,FALSE,"Plan1";#N/A,#N/A,FALSE,"Plan2"}</definedName>
    <definedName name="asdewr" hidden="1">{#N/A,#N/A,FALSE,"Plan1";#N/A,#N/A,FALSE,"Plan2"}</definedName>
    <definedName name="ASDFASDF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0" hidden="1">{#N/A,#N/A,FALSE,"Plan1";#N/A,#N/A,FALSE,"Plan2"}</definedName>
    <definedName name="asdfs" hidden="1">{#N/A,#N/A,FALSE,"Plan1";#N/A,#N/A,FALSE,"Plan2"}</definedName>
    <definedName name="asdg" localSheetId="0" hidden="1">{#N/A,#N/A,FALSE,"Plan1";#N/A,#N/A,FALSE,"Plan2"}</definedName>
    <definedName name="asdg" hidden="1">{#N/A,#N/A,FALSE,"Plan1";#N/A,#N/A,FALSE,"Plan2"}</definedName>
    <definedName name="asdjksej" localSheetId="0" hidden="1">#REF!</definedName>
    <definedName name="asdjksej" hidden="1">#REF!</definedName>
    <definedName name="as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0" hidden="1">{#N/A,#N/A,FALSE,"Plan1";#N/A,#N/A,FALSE,"Plan2"}</definedName>
    <definedName name="asdlas" hidden="1">{#N/A,#N/A,FALSE,"Plan1";#N/A,#N/A,FALSE,"Plan2"}</definedName>
    <definedName name="asdqwe" localSheetId="0" hidden="1">{#N/A,#N/A,FALSE,"Plan1";#N/A,#N/A,FALSE,"Plan2"}</definedName>
    <definedName name="asdqwe" hidden="1">{#N/A,#N/A,FALSE,"Plan1";#N/A,#N/A,FALSE,"Plan2"}</definedName>
    <definedName name="asdsa" localSheetId="0" hidden="1">{#N/A,#N/A,FALSE,"Plan1";#N/A,#N/A,FALSE,"Plan2"}</definedName>
    <definedName name="asdsa" hidden="1">{#N/A,#N/A,FALSE,"Plan1";#N/A,#N/A,FALSE,"Plan2"}</definedName>
    <definedName name="asdser" localSheetId="0" hidden="1">{#N/A,#N/A,FALSE,"Plan1";#N/A,#N/A,FALSE,"Plan2"}</definedName>
    <definedName name="asdser" hidden="1">{#N/A,#N/A,FALSE,"Plan1";#N/A,#N/A,FALSE,"Plan2"}</definedName>
    <definedName name="asdwef" localSheetId="0" hidden="1">{#N/A,#N/A,FALSE,"Plan1";#N/A,#N/A,FALSE,"Plan2"}</definedName>
    <definedName name="asdwef" hidden="1">{#N/A,#N/A,FALSE,"Plan1";#N/A,#N/A,FALSE,"Plan2"}</definedName>
    <definedName name="aseiuw" localSheetId="0" hidden="1">#REF!</definedName>
    <definedName name="aseiuw" hidden="1">#REF!</definedName>
    <definedName name="ASET" localSheetId="0" hidden="1">{#N/A,#N/A,FALSE,"Plan1";#N/A,#N/A,FALSE,"Plan2"}</definedName>
    <definedName name="ASET" hidden="1">{#N/A,#N/A,FALSE,"Plan1";#N/A,#N/A,FALSE,"Plan2"}</definedName>
    <definedName name="asfDSF" localSheetId="0" hidden="1">{#N/A,#N/A,FALSE,"Plan1";#N/A,#N/A,FALSE,"Plan2"}</definedName>
    <definedName name="asfDSF" hidden="1">{#N/A,#N/A,FALSE,"Plan1";#N/A,#N/A,FALSE,"Plan2"}</definedName>
    <definedName name="ASFERTE" localSheetId="0" hidden="1">{#N/A,#N/A,FALSE,"Plan1";#N/A,#N/A,FALSE,"Plan2"}</definedName>
    <definedName name="ASFERTE" hidden="1">{#N/A,#N/A,FALSE,"Plan1";#N/A,#N/A,FALSE,"Plan2"}</definedName>
    <definedName name="asfl" localSheetId="0" hidden="1">{#N/A,#N/A,FALSE,"Plan1";#N/A,#N/A,FALSE,"Plan2"}</definedName>
    <definedName name="asfl" hidden="1">{#N/A,#N/A,FALSE,"Plan1";#N/A,#N/A,FALSE,"Plan2"}</definedName>
    <definedName name="asfsz" localSheetId="0" hidden="1">{#N/A,#N/A,FALSE,"Plan1";#N/A,#N/A,FALSE,"Plan2"}</definedName>
    <definedName name="asfsz" hidden="1">{#N/A,#N/A,FALSE,"Plan1";#N/A,#N/A,FALSE,"Plan2"}</definedName>
    <definedName name="askserf" localSheetId="0" hidden="1">{#N/A,#N/A,FALSE,"Plan1";#N/A,#N/A,FALSE,"Plan2"}</definedName>
    <definedName name="askserf" hidden="1">{#N/A,#N/A,FALSE,"Plan1";#N/A,#N/A,FALSE,"Plan2"}</definedName>
    <definedName name="ASSFSDF" localSheetId="0" hidden="1">{#N/A,#N/A,FALSE,"Plan1";#N/A,#N/A,FALSE,"Plan2"}</definedName>
    <definedName name="ASSFSDF" hidden="1">{#N/A,#N/A,FALSE,"Plan1";#N/A,#N/A,FALSE,"Plan2"}</definedName>
    <definedName name="asw" localSheetId="0" hidden="1">{#N/A,#N/A,FALSE,"Plan1";#N/A,#N/A,FALSE,"Plan2"}</definedName>
    <definedName name="asw" hidden="1">{#N/A,#N/A,FALSE,"Plan1";#N/A,#N/A,FALSE,"Plan2"}</definedName>
    <definedName name="Até_Chaves" localSheetId="0">#REF!</definedName>
    <definedName name="Até_Chaves">#REF!</definedName>
    <definedName name="ATIVOS" localSheetId="0" hidden="1">{#N/A,#N/A,FALSE,"F-01"}</definedName>
    <definedName name="ATIVOS" hidden="1">{#N/A,#N/A,FALSE,"F-01"}</definedName>
    <definedName name="Ato" localSheetId="0">#REF!</definedName>
    <definedName name="Ato">#REF!</definedName>
    <definedName name="ATUAL" localSheetId="0">#REF!</definedName>
    <definedName name="ATUAL">#REF!</definedName>
    <definedName name="aux" localSheetId="16">#REF!</definedName>
    <definedName name="aux" localSheetId="18">#REF!</definedName>
    <definedName name="aux" localSheetId="1">#REF!</definedName>
    <definedName name="aux" localSheetId="8">#REF!</definedName>
    <definedName name="aux" localSheetId="2">#REF!</definedName>
    <definedName name="aux" localSheetId="0">#REF!</definedName>
    <definedName name="aux" localSheetId="9">#REF!</definedName>
    <definedName name="aux">#REF!</definedName>
    <definedName name="AUXILIO">#REF!</definedName>
    <definedName name="avulsos">#REF!</definedName>
    <definedName name="awdjw" localSheetId="0" hidden="1">{#N/A,#N/A,FALSE,"Plan1";#N/A,#N/A,FALSE,"Plan2"}</definedName>
    <definedName name="awdjw" hidden="1">{#N/A,#N/A,FALSE,"Plan1";#N/A,#N/A,FALSE,"Plan2"}</definedName>
    <definedName name="aweqw4" localSheetId="0" hidden="1">{#N/A,#N/A,FALSE,"Plan1";#N/A,#N/A,FALSE,"Plan2"}</definedName>
    <definedName name="aweqw4" hidden="1">{#N/A,#N/A,FALSE,"Plan1";#N/A,#N/A,FALSE,"Plan2"}</definedName>
    <definedName name="awssdwaer" localSheetId="0" hidden="1">{#N/A,#N/A,FALSE,"Plan1";#N/A,#N/A,FALSE,"Plan2"}</definedName>
    <definedName name="awssdwaer" hidden="1">{#N/A,#N/A,FALSE,"Plan1";#N/A,#N/A,FALSE,"Plan2"}</definedName>
    <definedName name="AZ" localSheetId="0" hidden="1">#REF!</definedName>
    <definedName name="AZ" hidden="1">#REF!</definedName>
    <definedName name="b" localSheetId="0" hidden="1">{#N/A,#N/A,FALSE,"Plan1";#N/A,#N/A,FALSE,"Plan2"}</definedName>
    <definedName name="B">#REF!</definedName>
    <definedName name="BA" localSheetId="0">#REF!</definedName>
    <definedName name="BA">#REF!</definedName>
    <definedName name="balão1">"AutoForma 17"</definedName>
    <definedName name="BANCO" localSheetId="0">#REF!</definedName>
    <definedName name="BANCO">#REF!</definedName>
    <definedName name="Banco_dados_IM" localSheetId="0">#REF!</definedName>
    <definedName name="Banco_dados_IM">#REF!</definedName>
    <definedName name="_xlnm.Database" localSheetId="0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 localSheetId="0">OFFSET(#REF!,0,0,COUNTA(#REF!)+1,5)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 localSheetId="0">#REF!</definedName>
    <definedName name="bb">#REF!</definedName>
    <definedName name="bbb" localSheetId="0">#REF!</definedName>
    <definedName name="bbb">#REF!</definedName>
    <definedName name="bbbbbbbbbbbbbbb" localSheetId="0" hidden="1">{"'Edit'!$A$1:$V$2277"}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">#REF!</definedName>
    <definedName name="BDA" localSheetId="1">#REF!</definedName>
    <definedName name="BDA" localSheetId="0">#REF!</definedName>
    <definedName name="BDA">#REF!</definedName>
    <definedName name="bdfjghf" localSheetId="0" hidden="1">{#N/A,#N/A,FALSE,"Plan1";#N/A,#N/A,FALSE,"Plan2"}</definedName>
    <definedName name="bdfjghf" hidden="1">{#N/A,#N/A,FALSE,"Plan1";#N/A,#N/A,FALSE,"Plan2"}</definedName>
    <definedName name="BDI" localSheetId="0">#REF!</definedName>
    <definedName name="BDI">#REF!</definedName>
    <definedName name="bdzbfbdr" localSheetId="0" hidden="1">{#N/A,#N/A,FALSE,"Plan1";#N/A,#N/A,FALSE,"Plan2"}</definedName>
    <definedName name="bdzbfbdr" hidden="1">{#N/A,#N/A,FALSE,"Plan1";#N/A,#N/A,FALSE,"Plan2"}</definedName>
    <definedName name="be" localSheetId="0">#REF!</definedName>
    <definedName name="be">#REF!</definedName>
    <definedName name="bebqt" localSheetId="0">#REF!</definedName>
    <definedName name="bebqt">#REF!</definedName>
    <definedName name="bela_cdi" localSheetId="0">#REF!</definedName>
    <definedName name="bela_cdi">#REF!</definedName>
    <definedName name="bela_hist">#REF!</definedName>
    <definedName name="bela_uss">#REF!</definedName>
    <definedName name="bg" localSheetId="0" hidden="1">#REF!</definedName>
    <definedName name="bg" hidden="1">#REF!</definedName>
    <definedName name="BGG" localSheetId="0" hidden="1">{#N/A,#N/A,FALSE,"Plan1";#N/A,#N/A,FALSE,"Plan2"}</definedName>
    <definedName name="BGG" hidden="1">{#N/A,#N/A,FALSE,"Plan1";#N/A,#N/A,FALSE,"Plan2"}</definedName>
    <definedName name="bhjgfhfh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0" hidden="1">{#N/A,#N/A,FALSE,"Plan1";#N/A,#N/A,FALSE,"Plan2"}</definedName>
    <definedName name="BJSDKHFE" hidden="1">{#N/A,#N/A,FALSE,"Plan1";#N/A,#N/A,FALSE,"Plan2"}</definedName>
    <definedName name="bloco" localSheetId="0">#REF!</definedName>
    <definedName name="bloco">#REF!</definedName>
    <definedName name="BLPH1" localSheetId="0" hidden="1">#REF!</definedName>
    <definedName name="BLPH1" hidden="1">#REF!</definedName>
    <definedName name="BLPH100" localSheetId="0" hidden="1">#REF!</definedName>
    <definedName name="BLPH100" hidden="1">#REF!</definedName>
    <definedName name="BLPH101" localSheetId="0" hidden="1">#REF!</definedName>
    <definedName name="BLPH101" hidden="1">#REF!</definedName>
    <definedName name="BLPH102" localSheetId="0" hidden="1">#REF!</definedName>
    <definedName name="BLPH102" hidden="1">#REF!</definedName>
    <definedName name="BLPH103" localSheetId="0" hidden="1">#REF!</definedName>
    <definedName name="BLPH103" hidden="1">#REF!</definedName>
    <definedName name="BLPH104" localSheetId="0" hidden="1">#REF!</definedName>
    <definedName name="BLPH104" hidden="1">#REF!</definedName>
    <definedName name="BLPH107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localSheetId="0" hidden="1">#REF!</definedName>
    <definedName name="BLPH96" hidden="1">#REF!</definedName>
    <definedName name="BLPH97" localSheetId="0" hidden="1">#REF!</definedName>
    <definedName name="BLPH97" hidden="1">#REF!</definedName>
    <definedName name="BLPH98" localSheetId="0" hidden="1">#REF!</definedName>
    <definedName name="BLPH98" hidden="1">#REF!</definedName>
    <definedName name="BLPH99" localSheetId="0" hidden="1">#REF!</definedName>
    <definedName name="BLPH99" hidden="1">#REF!</definedName>
    <definedName name="bmdgghrtfde" localSheetId="0" hidden="1">{#N/A,#N/A,FALSE,"Plan1";#N/A,#N/A,FALSE,"Plan2"}</definedName>
    <definedName name="bmdgghrtfde" hidden="1">{#N/A,#N/A,FALSE,"Plan1";#N/A,#N/A,FALSE,"Plan2"}</definedName>
    <definedName name="bnkjhjhdfxgt" localSheetId="0" hidden="1">{#N/A,#N/A,FALSE,"Plan1";#N/A,#N/A,FALSE,"Plan2"}</definedName>
    <definedName name="bnkjhjhdfxgt" hidden="1">{#N/A,#N/A,FALSE,"Plan1";#N/A,#N/A,FALSE,"Plan2"}</definedName>
    <definedName name="BORBA2" localSheetId="0">#REF!</definedName>
    <definedName name="BORBA2">#REF!</definedName>
    <definedName name="BORDA1">#N/A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V" localSheetId="0" hidden="1">#REF!</definedName>
    <definedName name="BV" hidden="1">#REF!</definedName>
    <definedName name="bxnzfmkzxbhdf" localSheetId="0" hidden="1">{#N/A,#N/A,FALSE,"Plan1";#N/A,#N/A,FALSE,"Plan2"}</definedName>
    <definedName name="bxnzfmkzxbhdf" hidden="1">{#N/A,#N/A,FALSE,"Plan1";#N/A,#N/A,FALSE,"Plan2"}</definedName>
    <definedName name="ca" localSheetId="0">#REF!</definedName>
    <definedName name="ca">#REF!</definedName>
    <definedName name="CAB">#N/A</definedName>
    <definedName name="CAFS">"Carlos Antonio Fernandes da Silva"</definedName>
    <definedName name="CAGR" localSheetId="0">#REF!</definedName>
    <definedName name="CAGR">#REF!</definedName>
    <definedName name="caixa" localSheetId="0">#REF!</definedName>
    <definedName name="caixa">#REF!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0">#REF!</definedName>
    <definedName name="Cambio">#REF!</definedName>
    <definedName name="CAMP" localSheetId="0">#REF!</definedName>
    <definedName name="CAMP">#REF!</definedName>
    <definedName name="CAMPOS" localSheetId="0">#REF!</definedName>
    <definedName name="CAMPOS">#REF!</definedName>
    <definedName name="çaos\ewapo" localSheetId="0" hidden="1">{#N/A,#N/A,FALSE,"Plan1";#N/A,#N/A,FALSE,"Plan2"}</definedName>
    <definedName name="çaos\ewapo" hidden="1">{#N/A,#N/A,FALSE,"Plan1";#N/A,#N/A,FALSE,"Plan2"}</definedName>
    <definedName name="Capa" localSheetId="0">#REF!</definedName>
    <definedName name="Capa">#REF!</definedName>
    <definedName name="CAPA2" localSheetId="0">#REF!</definedName>
    <definedName name="CAPA2">#REF!</definedName>
    <definedName name="CAPA55">#REF!</definedName>
    <definedName name="CAPA55A">#REF!</definedName>
    <definedName name="CAPELA">#REF!</definedName>
    <definedName name="CARLA" hidden="1">#REF!</definedName>
    <definedName name="CARLOS1">#REF!</definedName>
    <definedName name="CARTÃO4">#REF!</definedName>
    <definedName name="CAT6_IP" localSheetId="0" hidden="1">{#N/A,#N/A,FALSE,"F-01"}</definedName>
    <definedName name="CAT6_IP" hidden="1">{#N/A,#N/A,FALSE,"F-01"}</definedName>
    <definedName name="categori45" localSheetId="0">#REF!</definedName>
    <definedName name="categori45">#REF!</definedName>
    <definedName name="CATEGORIA1" localSheetId="0">#REF!</definedName>
    <definedName name="CATEGORIA1">#REF!</definedName>
    <definedName name="CATEGORIA10" localSheetId="0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 localSheetId="0">OFFSET(#REF!,0,0,COUNTA(#REF!)+1,1)</definedName>
    <definedName name="CAUX2">OFFSET(#REF!,0,0,COUNTA(#REF!)+1,1)</definedName>
    <definedName name="CAUX3">OFFSET(#REF!,0,0,COUNTA(#REF!)+1,1)</definedName>
    <definedName name="CCC" localSheetId="0">#REF!</definedName>
    <definedName name="CCC">#REF!</definedName>
    <definedName name="ççç" localSheetId="0" hidden="1">{#N/A,#N/A,FALSE,"Plan1";#N/A,#N/A,FALSE,"Plan2"}</definedName>
    <definedName name="ççç" hidden="1">{#N/A,#N/A,FALSE,"Plan1";#N/A,#N/A,FALSE,"Plan2"}</definedName>
    <definedName name="cccc" localSheetId="0" hidden="1">{#N/A,#N/A,FALSE,"Plan1";#N/A,#N/A,FALSE,"Plan2"}</definedName>
    <definedName name="cccc" hidden="1">{#N/A,#N/A,FALSE,"Plan1";#N/A,#N/A,FALSE,"Plan2"}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0" hidden="1">{"HW",#N/A,FALSE,"1998"}</definedName>
    <definedName name="cccccccccccccccc" hidden="1">{"HW",#N/A,FALSE,"1998"}</definedName>
    <definedName name="cchart1" localSheetId="0" hidden="1">#REF!</definedName>
    <definedName name="cchart1" hidden="1">#REF!</definedName>
    <definedName name="cchart10" localSheetId="0" hidden="1">#REF!</definedName>
    <definedName name="cchart10" hidden="1">#REF!</definedName>
    <definedName name="cchart11" localSheetId="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0">#REF!</definedName>
    <definedName name="CD">#REF!</definedName>
    <definedName name="çdfmerf" localSheetId="0" hidden="1">{#N/A,#N/A,FALSE,"Plan1";#N/A,#N/A,FALSE,"Plan2"}</definedName>
    <definedName name="çdfmerf" hidden="1">{#N/A,#N/A,FALSE,"Plan1";#N/A,#N/A,FALSE,"Plan2"}</definedName>
    <definedName name="CDSGHE" localSheetId="0" hidden="1">{#N/A,#N/A,FALSE,"Plan1";#N/A,#N/A,FALSE,"Plan2"}</definedName>
    <definedName name="CDSGHE" hidden="1">{#N/A,#N/A,FALSE,"Plan1";#N/A,#N/A,FALSE,"Plan2"}</definedName>
    <definedName name="cdvthd" localSheetId="0">#REF!</definedName>
    <definedName name="cdvthd">#REF!</definedName>
    <definedName name="Cel_Constr" localSheetId="0">#REF!</definedName>
    <definedName name="Cel_Constr">#REF!</definedName>
    <definedName name="CestaExcel" localSheetId="0">#REF!</definedName>
    <definedName name="CestaExcel">#REF!</definedName>
    <definedName name="CevaG">#REF!</definedName>
    <definedName name="CevaGS">#REF!</definedName>
    <definedName name="çfhjglkjhkljy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0" hidden="1">{#N/A,#N/A,FALSE,"Plan1";#N/A,#N/A,FALSE,"Plan2"}</definedName>
    <definedName name="çflçf" hidden="1">{#N/A,#N/A,FALSE,"Plan1";#N/A,#N/A,FALSE,"Plan2"}</definedName>
    <definedName name="CHAFQT" localSheetId="0">#REF!</definedName>
    <definedName name="CHAFQT">#REF!</definedName>
    <definedName name="Chaves" localSheetId="0">#REF!</definedName>
    <definedName name="Chaves">#REF!</definedName>
    <definedName name="chfch" localSheetId="0" hidden="1">{#N/A,#N/A,FALSE,"Plan1";#N/A,#N/A,FALSE,"Plan2"}</definedName>
    <definedName name="chfch" hidden="1">{#N/A,#N/A,FALSE,"Plan1";#N/A,#N/A,FALSE,"Plan2"}</definedName>
    <definedName name="CI" localSheetId="0">#REF!</definedName>
    <definedName name="CI">#REF!</definedName>
    <definedName name="cidades" localSheetId="0">#REF!</definedName>
    <definedName name="cidades">#REF!</definedName>
    <definedName name="CIFIXA" localSheetId="0">#REF!</definedName>
    <definedName name="CIFIXA">#REF!</definedName>
    <definedName name="CINCO">#REF!</definedName>
    <definedName name="CITOTAL">#REF!</definedName>
    <definedName name="CIVAR">#REF!</definedName>
    <definedName name="ÇJKRÇLFS" localSheetId="0" hidden="1">{"Econ Consolidado",#N/A,FALSE,"Econ Consol";"Fluxo de Caixa",#N/A,FALSE,"Fluxo Caixa";"Investimentos",#N/A,FALSE,"Investimentos"}</definedName>
    <definedName name="ÇJKRÇLFS" hidden="1">{"Econ Consolidado",#N/A,FALSE,"Econ Consol";"Fluxo de Caixa",#N/A,FALSE,"Fluxo Caixa";"Investimentos",#N/A,FALSE,"Investimentos"}</definedName>
    <definedName name="ÇJsrejtçe" localSheetId="0" hidden="1">{#N/A,#N/A,FALSE,"Plan1";#N/A,#N/A,FALSE,"Plan2"}</definedName>
    <definedName name="ÇJsrejtçe" hidden="1">{#N/A,#N/A,FALSE,"Plan1";#N/A,#N/A,FALSE,"Plan2"}</definedName>
    <definedName name="çkaçekow" localSheetId="0" hidden="1">{#N/A,#N/A,FALSE,"Plan1";#N/A,#N/A,FALSE,"Plan2"}</definedName>
    <definedName name="çkaçekow" hidden="1">{#N/A,#N/A,FALSE,"Plan1";#N/A,#N/A,FALSE,"Plan2"}</definedName>
    <definedName name="ÇKSDOEKR" localSheetId="0" hidden="1">{#N/A,#N/A,FALSE,"Plan1";#N/A,#N/A,FALSE,"Plan2"}</definedName>
    <definedName name="ÇKSDOEKR" hidden="1">{#N/A,#N/A,FALSE,"Plan1";#N/A,#N/A,FALSE,"Plan2"}</definedName>
    <definedName name="çl" localSheetId="0" hidden="1">{#N/A,#N/A,FALSE,"Plan1";#N/A,#N/A,FALSE,"Plan2"}</definedName>
    <definedName name="çl" hidden="1">{#N/A,#N/A,FALSE,"Plan1";#N/A,#N/A,FALSE,"Plan2"}</definedName>
    <definedName name="çlassde" localSheetId="0" hidden="1">{#N/A,#N/A,FALSE,"Plan1";#N/A,#N/A,FALSE,"Plan2"}</definedName>
    <definedName name="çlassde" hidden="1">{#N/A,#N/A,FALSE,"Plan1";#N/A,#N/A,FALSE,"Plan2"}</definedName>
    <definedName name="Classificação" localSheetId="0">#REF!</definedName>
    <definedName name="Classificação">#REF!</definedName>
    <definedName name="çlçlç" localSheetId="0" hidden="1">{#N/A,#N/A,FALSE,"Plan1";#N/A,#N/A,FALSE,"Plan2"}</definedName>
    <definedName name="çlçlç" hidden="1">{#N/A,#N/A,FALSE,"Plan1";#N/A,#N/A,FALSE,"Plan2"}</definedName>
    <definedName name="çld" localSheetId="0" hidden="1">{#N/A,#N/A,FALSE,"Plan1";#N/A,#N/A,FALSE,"Plan2"}</definedName>
    <definedName name="çld" hidden="1">{#N/A,#N/A,FALSE,"Plan1";#N/A,#N/A,FALSE,"Plan2"}</definedName>
    <definedName name="çlererr" localSheetId="0" hidden="1">{#N/A,#N/A,FALSE,"Plan1";#N/A,#N/A,FALSE,"Plan2"}</definedName>
    <definedName name="çlererr" hidden="1">{#N/A,#N/A,FALSE,"Plan1";#N/A,#N/A,FALSE,"Plan2"}</definedName>
    <definedName name="çlertert" localSheetId="0" hidden="1">{#N/A,#N/A,FALSE,"Plan1";#N/A,#N/A,FALSE,"Plan2"}</definedName>
    <definedName name="çlertert" hidden="1">{#N/A,#N/A,FALSE,"Plan1";#N/A,#N/A,FALSE,"Plan2"}</definedName>
    <definedName name="çlkdflçkrlr" localSheetId="0" hidden="1">#REF!</definedName>
    <definedName name="çlkdflçkrlr" hidden="1">#REF!</definedName>
    <definedName name="çll" localSheetId="0" hidden="1">{#N/A,#N/A,FALSE,"Plan1";#N/A,#N/A,FALSE,"Plan2"}</definedName>
    <definedName name="çll" hidden="1">{#N/A,#N/A,FALSE,"Plan1";#N/A,#N/A,FALSE,"Plan2"}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0">#REF!</definedName>
    <definedName name="COBRANÇA">#REF!</definedName>
    <definedName name="Cod_Esquadrias" localSheetId="0">#REF!</definedName>
    <definedName name="Cod_Esquadrias">#REF!</definedName>
    <definedName name="CÓDG" localSheetId="0">OFFSET(#REF!,0,0,COUNTA(#REF!),1)</definedName>
    <definedName name="CÓDG">OFFSET(#REF!,0,0,COUNTA(#REF!),1)</definedName>
    <definedName name="codigo2" localSheetId="0">#REF!</definedName>
    <definedName name="codigo2">#REF!</definedName>
    <definedName name="codigo3" localSheetId="0">#REF!</definedName>
    <definedName name="codigo3">#REF!</definedName>
    <definedName name="CÓDT" localSheetId="0">OFFSET(#REF!,0,0,COUNTA(#REF!)+1,1)</definedName>
    <definedName name="CÓDT">OFFSET(#REF!,0,0,COUNTA(#REF!)+1,1)</definedName>
    <definedName name="COFINS" localSheetId="0">#REF!</definedName>
    <definedName name="COFINS">#REF!</definedName>
    <definedName name="cofins2" localSheetId="0">#REF!</definedName>
    <definedName name="cofins2">#REF!</definedName>
    <definedName name="COGS" localSheetId="0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localSheetId="0" hidden="1">{#N/A,#N/A,TRUE,"Quinzena 01 à 15-04-98 "}</definedName>
    <definedName name="CONFIRMAR" hidden="1">{#N/A,#N/A,TRUE,"Quinzena 01 à 15-04-98 "}</definedName>
    <definedName name="cont" localSheetId="0" hidden="1">{#N/A,#N/A,FALSE,"Plan1";#N/A,#N/A,FALSE,"Plan2"}</definedName>
    <definedName name="cont" hidden="1">{#N/A,#N/A,FALSE,"Plan1";#N/A,#N/A,FALSE,"Plan2"}</definedName>
    <definedName name="CONT1" localSheetId="0">#REF!</definedName>
    <definedName name="CONT1">#REF!</definedName>
    <definedName name="CONT2" localSheetId="0">#REF!</definedName>
    <definedName name="CONT2">#REF!</definedName>
    <definedName name="CONT3" localSheetId="0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 hidden="1">{#N/A,#N/A,FALSE,"Plan1";#N/A,#N/A,FALSE,"Plan2"}</definedName>
    <definedName name="Controle_tecnologico1" hidden="1">#REF!</definedName>
    <definedName name="CONVERSÃO">#REF!</definedName>
    <definedName name="cpmf">#REF!</definedName>
    <definedName name="Credor_Rel_Sienge">#REF!</definedName>
    <definedName name="_xlnm.Criteria">#REF!</definedName>
    <definedName name="CRONG">#REF!</definedName>
    <definedName name="cronograma" localSheetId="0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0" hidden="1">#REF!</definedName>
    <definedName name="çsdkfçdrkt" hidden="1">#REF!</definedName>
    <definedName name="C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0" hidden="1">{#N/A,#N/A,FALSE,"Plan1";#N/A,#N/A,FALSE,"Plan2"}</definedName>
    <definedName name="ÇSLÇDLFKD" hidden="1">{#N/A,#N/A,FALSE,"Plan1";#N/A,#N/A,FALSE,"Plan2"}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0">#REF!</definedName>
    <definedName name="CUST_DIR_IND">#REF!</definedName>
    <definedName name="CUSTINDIRETO" localSheetId="0">#REF!</definedName>
    <definedName name="CUSTINDIRETO">#REF!</definedName>
    <definedName name="CUSTO_DIR_IND" localSheetId="0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 localSheetId="0">#REF!</definedName>
    <definedName name="D">#REF!</definedName>
    <definedName name="da">#REF!</definedName>
    <definedName name="dalm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0" hidden="1">{#N/A,#N/A,FALSE,"Plan1";#N/A,#N/A,FALSE,"Plan2"}</definedName>
    <definedName name="dasfrt" hidden="1">{#N/A,#N/A,FALSE,"Plan1";#N/A,#N/A,FALSE,"Plan2"}</definedName>
    <definedName name="DATA" localSheetId="0">#REF!</definedName>
    <definedName name="DATA">#REF!</definedName>
    <definedName name="Data_base" localSheetId="0">#REF!</definedName>
    <definedName name="Data_base">#REF!</definedName>
    <definedName name="data_base_VL" localSheetId="0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 localSheetId="0" hidden="1">{#N/A,#N/A,FALSE,"Plan1";#N/A,#N/A,FALSE,"Plan2"}</definedName>
    <definedName name="DÇDL" hidden="1">{#N/A,#N/A,FALSE,"Plan1";#N/A,#N/A,FALSE,"Plan2"}</definedName>
    <definedName name="dchart26" localSheetId="0" hidden="1">#REF!</definedName>
    <definedName name="dchart26" hidden="1">#REF!</definedName>
    <definedName name="dchart31" localSheetId="0" hidden="1">#REF!</definedName>
    <definedName name="dchart31" hidden="1">#REF!</definedName>
    <definedName name="dcnsfgdjkgb" localSheetId="0" hidden="1">{#N/A,#N/A,FALSE,"Plan1";#N/A,#N/A,FALSE,"Plan2"}</definedName>
    <definedName name="dcnsfgdjkgb" hidden="1">{#N/A,#N/A,FALSE,"Plan1";#N/A,#N/A,FALSE,"Plan2"}</definedName>
    <definedName name="DÇWK" localSheetId="0" hidden="1">{#N/A,#N/A,FALSE,"Plan1";#N/A,#N/A,FALSE,"Plan2"}</definedName>
    <definedName name="DÇWK" hidden="1">{#N/A,#N/A,FALSE,"Plan1";#N/A,#N/A,FALSE,"Plan2"}</definedName>
    <definedName name="D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0" hidden="1">{"'장비'!$A$3:$M$12"}</definedName>
    <definedName name="DDD">#REF!</definedName>
    <definedName name="ddddd" localSheetId="0" hidden="1">{#N/A,#N/A,FALSE,"Plan1";#N/A,#N/A,FALSE,"Plan2"}</definedName>
    <definedName name="ddddd" hidden="1">{#N/A,#N/A,FALSE,"Plan1";#N/A,#N/A,FALSE,"Plan2"}</definedName>
    <definedName name="ddddddddddd" localSheetId="0">#REF!</definedName>
    <definedName name="ddddddddddd">#REF!</definedName>
    <definedName name="dddddddddddddddddddddddddd" localSheetId="0">#REF!</definedName>
    <definedName name="dddddddddddddddddddddddddd">#REF!</definedName>
    <definedName name="dddddddddddddppppppppp" localSheetId="0">#REF!</definedName>
    <definedName name="dddddddddddddppppppppp">#REF!</definedName>
    <definedName name="dde" localSheetId="0" hidden="1">{#N/A,#N/A,FALSE,"Plan1";#N/A,#N/A,FALSE,"Plan2"}</definedName>
    <definedName name="dde" hidden="1">{#N/A,#N/A,FALSE,"Plan1";#N/A,#N/A,FALSE,"Plan2"}</definedName>
    <definedName name="ddfs" localSheetId="0" hidden="1">#REF!</definedName>
    <definedName name="ddfs" hidden="1">#REF!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0" hidden="1">{#N/A,#N/A,FALSE,"Plan1";#N/A,#N/A,FALSE,"Plan2"}</definedName>
    <definedName name="DDGSFG" hidden="1">{#N/A,#N/A,FALSE,"Plan1";#N/A,#N/A,FALSE,"Plan2"}</definedName>
    <definedName name="dede" localSheetId="0" hidden="1">{#N/A,#N/A,FALSE,"Plan1";#N/A,#N/A,FALSE,"Plan2"}</definedName>
    <definedName name="dede" hidden="1">{#N/A,#N/A,FALSE,"Plan1";#N/A,#N/A,FALSE,"Plan2"}</definedName>
    <definedName name="defasagem" localSheetId="0">OFFSET(INDEX(#REF!,MATCH(#REF!,#REF!,0)),1,0,COUNTA(#REF!)-1)</definedName>
    <definedName name="defasagem">OFFSET(INDEX(#REF!,MATCH(#REF!,#REF!,0)),1,0,COUNTA(#REF!)-1)</definedName>
    <definedName name="depara" localSheetId="0">#REF!</definedName>
    <definedName name="depara">#REF!</definedName>
    <definedName name="DERIVQT" localSheetId="0">#REF!</definedName>
    <definedName name="DERIVQT">#REF!</definedName>
    <definedName name="des" localSheetId="0" hidden="1">{#N/A,#N/A,FALSE,"Plan1";#N/A,#N/A,FALSE,"Plan2"}</definedName>
    <definedName name="des" hidden="1">{#N/A,#N/A,FALSE,"Plan1";#N/A,#N/A,FALSE,"Plan2"}</definedName>
    <definedName name="desc" localSheetId="0" hidden="1">{#N/A,#N/A,FALSE,"Plan1";#N/A,#N/A,FALSE,"Plan2"}</definedName>
    <definedName name="desc" hidden="1">{#N/A,#N/A,FALSE,"Plan1";#N/A,#N/A,FALSE,"Plan2"}</definedName>
    <definedName name="DESCONTO" localSheetId="0">#REF!</definedName>
    <definedName name="DESCONTO">#REF!</definedName>
    <definedName name="DESCRIÇÃO_OBRA" localSheetId="0">#REF!</definedName>
    <definedName name="DESCRIÇÃO_OBRA">#REF!</definedName>
    <definedName name="DespFatur" localSheetId="0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0" hidden="1">{#N/A,#N/A,FALSE,"명세표"}</definedName>
    <definedName name="DFD" hidden="1">{#N/A,#N/A,FALSE,"명세표"}</definedName>
    <definedName name="dfdft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0" hidden="1">{#N/A,#N/A,FALSE,"Plan1";#N/A,#N/A,FALSE,"Plan2"}</definedName>
    <definedName name="dfdjgfdfgdf" hidden="1">{#N/A,#N/A,FALSE,"Plan1";#N/A,#N/A,FALSE,"Plan2"}</definedName>
    <definedName name="dfdrtrr" localSheetId="0" hidden="1">{#N/A,#N/A,FALSE,"Plan1";#N/A,#N/A,FALSE,"Plan2"}</definedName>
    <definedName name="dfdrtrr" hidden="1">{#N/A,#N/A,FALSE,"Plan1";#N/A,#N/A,FALSE,"Plan2"}</definedName>
    <definedName name="DFDSG" localSheetId="0" hidden="1">{#N/A,#N/A,FALSE,"Plan1";#N/A,#N/A,FALSE,"Plan2"}</definedName>
    <definedName name="DFDSG" hidden="1">{#N/A,#N/A,FALSE,"Plan1";#N/A,#N/A,FALSE,"Plan2"}</definedName>
    <definedName name="dfer" localSheetId="0" hidden="1">{#N/A,#N/A,FALSE,"Plan1";#N/A,#N/A,FALSE,"Plan2"}</definedName>
    <definedName name="dfer" hidden="1">{#N/A,#N/A,FALSE,"Plan1";#N/A,#N/A,FALSE,"Plan2"}</definedName>
    <definedName name="dffbty" localSheetId="0" hidden="1">{#N/A,#N/A,FALSE,"Plan1";#N/A,#N/A,FALSE,"Plan2"}</definedName>
    <definedName name="dffbty" hidden="1">{#N/A,#N/A,FALSE,"Plan1";#N/A,#N/A,FALSE,"Plan2"}</definedName>
    <definedName name="dffg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0" hidden="1">{#N/A,#N/A,FALSE,"Plan1";#N/A,#N/A,FALSE,"Plan2"}</definedName>
    <definedName name="dffhg" hidden="1">{#N/A,#N/A,FALSE,"Plan1";#N/A,#N/A,FALSE,"Plan2"}</definedName>
    <definedName name="dfg" localSheetId="0" hidden="1">{#N/A,#N/A,FALSE,"Plan1";#N/A,#N/A,FALSE,"Plan2"}</definedName>
    <definedName name="dfg" hidden="1">{#N/A,#N/A,FALSE,"Plan1";#N/A,#N/A,FALSE,"Plan2"}</definedName>
    <definedName name="dfgdf" localSheetId="0" hidden="1">{#N/A,#N/A,FALSE,"Plan1";#N/A,#N/A,FALSE,"Plan2"}</definedName>
    <definedName name="dfgdf" hidden="1">{#N/A,#N/A,FALSE,"Plan1";#N/A,#N/A,FALSE,"Plan2"}</definedName>
    <definedName name="dfgdytygr" localSheetId="0" hidden="1">{#N/A,#N/A,FALSE,"Plan1";#N/A,#N/A,FALSE,"Plan2"}</definedName>
    <definedName name="dfgdytygr" hidden="1">{#N/A,#N/A,FALSE,"Plan1";#N/A,#N/A,FALSE,"Plan2"}</definedName>
    <definedName name="dfgftrrdt5" localSheetId="0" hidden="1">{#N/A,#N/A,FALSE,"Plan1";#N/A,#N/A,FALSE,"Plan2"}</definedName>
    <definedName name="dfgftrrdt5" hidden="1">{#N/A,#N/A,FALSE,"Plan1";#N/A,#N/A,FALSE,"Plan2"}</definedName>
    <definedName name="dfgh" localSheetId="0">#REF!</definedName>
    <definedName name="dfgh">#REF!</definedName>
    <definedName name="dfghjfhsg" localSheetId="0" hidden="1">{#N/A,#N/A,FALSE,"Plan1";#N/A,#N/A,FALSE,"Plan2"}</definedName>
    <definedName name="dfghjfhsg" hidden="1">{#N/A,#N/A,FALSE,"Plan1";#N/A,#N/A,FALSE,"Plan2"}</definedName>
    <definedName name="dfgj" localSheetId="0" hidden="1">{#N/A,#N/A,FALSE,"Plan1";#N/A,#N/A,FALSE,"Plan2"}</definedName>
    <definedName name="dfgj" hidden="1">{#N/A,#N/A,FALSE,"Plan1";#N/A,#N/A,FALSE,"Plan2"}</definedName>
    <definedName name="dfgjfttyd" localSheetId="0" hidden="1">{#N/A,#N/A,FALSE,"Plan1";#N/A,#N/A,FALSE,"Plan2"}</definedName>
    <definedName name="dfgjfttyd" hidden="1">{#N/A,#N/A,FALSE,"Plan1";#N/A,#N/A,FALSE,"Plan2"}</definedName>
    <definedName name="dfgjjtdrtg" localSheetId="0" hidden="1">{#N/A,#N/A,FALSE,"Plan1";#N/A,#N/A,FALSE,"Plan2"}</definedName>
    <definedName name="dfgjjtdrtg" hidden="1">{#N/A,#N/A,FALSE,"Plan1";#N/A,#N/A,FALSE,"Plan2"}</definedName>
    <definedName name="dfgt" localSheetId="0" hidden="1">{#N/A,#N/A,FALSE,"Plan1";#N/A,#N/A,FALSE,"Plan2"}</definedName>
    <definedName name="dfgt" hidden="1">{#N/A,#N/A,FALSE,"Plan1";#N/A,#N/A,FALSE,"Plan2"}</definedName>
    <definedName name="dfgtrkjhk" localSheetId="0" hidden="1">{#N/A,#N/A,FALSE,"Plan1";#N/A,#N/A,FALSE,"Plan2"}</definedName>
    <definedName name="dfgtrkjhk" hidden="1">{#N/A,#N/A,FALSE,"Plan1";#N/A,#N/A,FALSE,"Plan2"}</definedName>
    <definedName name="dfgty" localSheetId="0" hidden="1">{#N/A,#N/A,FALSE,"Plan1";#N/A,#N/A,FALSE,"Plan2"}</definedName>
    <definedName name="dfgty" hidden="1">{#N/A,#N/A,FALSE,"Plan1";#N/A,#N/A,FALSE,"Plan2"}</definedName>
    <definedName name="dfhdgfdgf" localSheetId="0" hidden="1">{#N/A,#N/A,FALSE,"Plan1";#N/A,#N/A,FALSE,"Plan2"}</definedName>
    <definedName name="dfhdgfdgf" hidden="1">{#N/A,#N/A,FALSE,"Plan1";#N/A,#N/A,FALSE,"Plan2"}</definedName>
    <definedName name="DFHDJGJFHJGF" localSheetId="0" hidden="1">{#N/A,#N/A,FALSE,"Plan1";#N/A,#N/A,FALSE,"Plan2"}</definedName>
    <definedName name="DFHDJGJFHJGF" hidden="1">{#N/A,#N/A,FALSE,"Plan1";#N/A,#N/A,FALSE,"Plan2"}</definedName>
    <definedName name="dfhdyg" localSheetId="0" hidden="1">{#N/A,#N/A,FALSE,"Plan1";#N/A,#N/A,FALSE,"Plan2"}</definedName>
    <definedName name="dfhdyg" hidden="1">{#N/A,#N/A,FALSE,"Plan1";#N/A,#N/A,FALSE,"Plan2"}</definedName>
    <definedName name="DFHGDHUR" localSheetId="0" hidden="1">{#N/A,#N/A,FALSE,"Plan1";#N/A,#N/A,FALSE,"Plan2"}</definedName>
    <definedName name="DFHGDHUR" hidden="1">{#N/A,#N/A,FALSE,"Plan1";#N/A,#N/A,FALSE,"Plan2"}</definedName>
    <definedName name="dfhgjfgdhfjdrf" localSheetId="0" hidden="1">{#N/A,#N/A,FALSE,"Plan1";#N/A,#N/A,FALSE,"Plan2"}</definedName>
    <definedName name="dfhgjfgdhfjdrf" hidden="1">{#N/A,#N/A,FALSE,"Plan1";#N/A,#N/A,FALSE,"Plan2"}</definedName>
    <definedName name="dfhgkhfut" localSheetId="0" hidden="1">{#N/A,#N/A,FALSE,"Plan1";#N/A,#N/A,FALSE,"Plan2"}</definedName>
    <definedName name="dfhgkhfut" hidden="1">{#N/A,#N/A,FALSE,"Plan1";#N/A,#N/A,FALSE,"Plan2"}</definedName>
    <definedName name="dfhgkjdhkjghjd" localSheetId="0" hidden="1">#REF!</definedName>
    <definedName name="dfhgkjdhkjghjd" hidden="1">#REF!</definedName>
    <definedName name="dfhguitrhfg" localSheetId="0" hidden="1">{#N/A,#N/A,FALSE,"Plan1";#N/A,#N/A,FALSE,"Plan2"}</definedName>
    <definedName name="dfhguitrhfg" hidden="1">{#N/A,#N/A,FALSE,"Plan1";#N/A,#N/A,FALSE,"Plan2"}</definedName>
    <definedName name="DFHKHDGKJHDKS" localSheetId="0" hidden="1">{#N/A,#N/A,FALSE,"Plan1";#N/A,#N/A,FALSE,"Plan2"}</definedName>
    <definedName name="DFHKHDGKJHDKS" hidden="1">{#N/A,#N/A,FALSE,"Plan1";#N/A,#N/A,FALSE,"Plan2"}</definedName>
    <definedName name="dfijvnqienvvnjv" localSheetId="0">#REF!</definedName>
    <definedName name="dfijvnqienvvnjv">#REF!</definedName>
    <definedName name="dfjgjfhykj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0" hidden="1">{#N/A,#N/A,FALSE,"Plan1";#N/A,#N/A,FALSE,"Plan2"}</definedName>
    <definedName name="dfjkgtdftr" hidden="1">{#N/A,#N/A,FALSE,"Plan1";#N/A,#N/A,FALSE,"Plan2"}</definedName>
    <definedName name="dfkhg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0" hidden="1">{#N/A,#N/A,FALSE,"Plan1";#N/A,#N/A,FALSE,"Plan2"}</definedName>
    <definedName name="dfknfhkdrj" hidden="1">{#N/A,#N/A,FALSE,"Plan1";#N/A,#N/A,FALSE,"Plan2"}</definedName>
    <definedName name="dfnert" localSheetId="0" hidden="1">{#N/A,#N/A,FALSE,"Plan1";#N/A,#N/A,FALSE,"Plan2"}</definedName>
    <definedName name="dfnert" hidden="1">{#N/A,#N/A,FALSE,"Plan1";#N/A,#N/A,FALSE,"Plan2"}</definedName>
    <definedName name="dfrt" localSheetId="0" hidden="1">{#N/A,#N/A,FALSE,"Plan1";#N/A,#N/A,FALSE,"Plan2"}</definedName>
    <definedName name="dfrt" hidden="1">{#N/A,#N/A,FALSE,"Plan1";#N/A,#N/A,FALSE,"Plan2"}</definedName>
    <definedName name="dfsdr5tt" localSheetId="0" hidden="1">{#N/A,#N/A,FALSE,"Plan1";#N/A,#N/A,FALSE,"Plan2"}</definedName>
    <definedName name="dfsdr5tt" hidden="1">{#N/A,#N/A,FALSE,"Plan1";#N/A,#N/A,FALSE,"Plan2"}</definedName>
    <definedName name="dfsds" localSheetId="0" hidden="1">#REF!</definedName>
    <definedName name="dfsds" hidden="1">#REF!</definedName>
    <definedName name="dfsd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0" hidden="1">{#N/A,#N/A,FALSE,"Plan1";#N/A,#N/A,FALSE,"Plan2"}</definedName>
    <definedName name="dfsdtr" hidden="1">{#N/A,#N/A,FALSE,"Plan1";#N/A,#N/A,FALSE,"Plan2"}</definedName>
    <definedName name="dfsf" localSheetId="0" hidden="1">{#N/A,#N/A,FALSE,"Plan1";#N/A,#N/A,FALSE,"Plan2"}</definedName>
    <definedName name="dfsf" hidden="1">{#N/A,#N/A,FALSE,"Plan1";#N/A,#N/A,FALSE,"Plan2"}</definedName>
    <definedName name="DFT" localSheetId="0" hidden="1">{#N/A,#N/A,FALSE,"Plan1";#N/A,#N/A,FALSE,"Plan2"}</definedName>
    <definedName name="DFT" hidden="1">{#N/A,#N/A,FALSE,"Plan1";#N/A,#N/A,FALSE,"Plan2"}</definedName>
    <definedName name="DFTRTTY" localSheetId="0" hidden="1">{#N/A,#N/A,FALSE,"Plan1";#N/A,#N/A,FALSE,"Plan2"}</definedName>
    <definedName name="DFTRTTY" hidden="1">{#N/A,#N/A,FALSE,"Plan1";#N/A,#N/A,FALSE,"Plan2"}</definedName>
    <definedName name="dfurghifdjyhits" localSheetId="0" hidden="1">{#N/A,#N/A,FALSE,"Plan1";#N/A,#N/A,FALSE,"Plan2"}</definedName>
    <definedName name="dfurghifdjyhits" hidden="1">{#N/A,#N/A,FALSE,"Plan1";#N/A,#N/A,FALSE,"Plan2"}</definedName>
    <definedName name="dfxgdrged" localSheetId="0" hidden="1">{#N/A,#N/A,FALSE,"Plan1";#N/A,#N/A,FALSE,"Plan2"}</definedName>
    <definedName name="dfxgdrged" hidden="1">{#N/A,#N/A,FALSE,"Plan1";#N/A,#N/A,FALSE,"Plan2"}</definedName>
    <definedName name="dgfrtyt" localSheetId="0" hidden="1">{#N/A,#N/A,FALSE,"Plan1";#N/A,#N/A,FALSE,"Plan2"}</definedName>
    <definedName name="dgfrtyt" hidden="1">{#N/A,#N/A,FALSE,"Plan1";#N/A,#N/A,FALSE,"Plan2"}</definedName>
    <definedName name="dggfdg" localSheetId="0" hidden="1">{#N/A,#N/A,FALSE,"Plan1";#N/A,#N/A,FALSE,"Plan2"}</definedName>
    <definedName name="dggfdg" hidden="1">{#N/A,#N/A,FALSE,"Plan1";#N/A,#N/A,FALSE,"Plan2"}</definedName>
    <definedName name="dgldfhgkljslh" localSheetId="0" hidden="1">{#N/A,#N/A,FALSE,"Plan1";#N/A,#N/A,FALSE,"Plan2"}</definedName>
    <definedName name="dgldfhgkljslh" hidden="1">{#N/A,#N/A,FALSE,"Plan1";#N/A,#N/A,FALSE,"Plan2"}</definedName>
    <definedName name="dhfgdhrehrwe" localSheetId="0" hidden="1">{#N/A,#N/A,FALSE,"Plan1";#N/A,#N/A,FALSE,"Plan2"}</definedName>
    <definedName name="dhfgdhrehrwe" hidden="1">{#N/A,#N/A,FALSE,"Plan1";#N/A,#N/A,FALSE,"Plan2"}</definedName>
    <definedName name="dhgfdgrfgdfgd" localSheetId="0" hidden="1">{#N/A,#N/A,FALSE,"Plan1";#N/A,#N/A,FALSE,"Plan2"}</definedName>
    <definedName name="dhgfdgrfgdfgd" hidden="1">{#N/A,#N/A,FALSE,"Plan1";#N/A,#N/A,FALSE,"Plan2"}</definedName>
    <definedName name="dhkjfhdhfjdh" localSheetId="0" hidden="1">{#N/A,#N/A,FALSE,"Plan1";#N/A,#N/A,FALSE,"Plan2"}</definedName>
    <definedName name="dhkjfhdhfjdh" hidden="1">{#N/A,#N/A,FALSE,"Plan1";#N/A,#N/A,FALSE,"Plan2"}</definedName>
    <definedName name="DHTJRT" localSheetId="0" hidden="1">{#N/A,#N/A,FALSE,"Plan1";#N/A,#N/A,FALSE,"Plan2"}</definedName>
    <definedName name="DHTJRT" hidden="1">{#N/A,#N/A,FALSE,"Plan1";#N/A,#N/A,FALSE,"Plan2"}</definedName>
    <definedName name="DI" localSheetId="0">#REF!</definedName>
    <definedName name="DI">#REF!</definedName>
    <definedName name="dia3estac" localSheetId="0">#REF!</definedName>
    <definedName name="dia3estac">#REF!</definedName>
    <definedName name="diaestaca" localSheetId="0">#REF!</definedName>
    <definedName name="diaestaca">#REF!</definedName>
    <definedName name="diambase">#REF!</definedName>
    <definedName name="DIFQT">#REF!</definedName>
    <definedName name="dijghdhks" localSheetId="0" hidden="1">{#N/A,#N/A,FALSE,"Plan1";#N/A,#N/A,FALSE,"Plan2"}</definedName>
    <definedName name="dijghdhks" hidden="1">{#N/A,#N/A,FALSE,"Plan1";#N/A,#N/A,FALSE,"Plan2"}</definedName>
    <definedName name="DIMENSÕES" localSheetId="0">#REF!</definedName>
    <definedName name="DIMENSÕES">#REF!</definedName>
    <definedName name="DIR_OPER" localSheetId="0">#REF!</definedName>
    <definedName name="DIR_OPER">#REF!</definedName>
    <definedName name="DIR_TECNICO" localSheetId="0">#REF!</definedName>
    <definedName name="DIR_TECNICO">#REF!</definedName>
    <definedName name="direto" localSheetId="0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localSheetId="0" hidden="1">{#N/A,#N/A,FALSE,"Plan1";#N/A,#N/A,FALSE,"Plan2"}</definedName>
    <definedName name="djasdrjas" hidden="1">{#N/A,#N/A,FALSE,"Plan1";#N/A,#N/A,FALSE,"Plan2"}</definedName>
    <definedName name="dj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0" hidden="1">{#N/A,#N/A,FALSE,"Plan1";#N/A,#N/A,FALSE,"Plan2"}</definedName>
    <definedName name="djfkhjhfgrgdfh" hidden="1">{#N/A,#N/A,FALSE,"Plan1";#N/A,#N/A,FALSE,"Plan2"}</definedName>
    <definedName name="djfkhsdkjhf" localSheetId="0" hidden="1">{#N/A,#N/A,FALSE,"Plan1";#N/A,#N/A,FALSE,"Plan2"}</definedName>
    <definedName name="djfkhsdkjhf" hidden="1">{#N/A,#N/A,FALSE,"Plan1";#N/A,#N/A,FALSE,"Plan2"}</definedName>
    <definedName name="djfldjsgljslkjtg" localSheetId="0" hidden="1">{#N/A,#N/A,FALSE,"Plan1";#N/A,#N/A,FALSE,"Plan2"}</definedName>
    <definedName name="djfldjsgljslkjtg" hidden="1">{#N/A,#N/A,FALSE,"Plan1";#N/A,#N/A,FALSE,"Plan2"}</definedName>
    <definedName name="djflkdjgdth" localSheetId="0" hidden="1">{#N/A,#N/A,FALSE,"Plan1";#N/A,#N/A,FALSE,"Plan2"}</definedName>
    <definedName name="djflkdjgdth" hidden="1">{#N/A,#N/A,FALSE,"Plan1";#N/A,#N/A,FALSE,"Plan2"}</definedName>
    <definedName name="DJFLKDJGKTJYJT" localSheetId="0" hidden="1">{#N/A,#N/A,FALSE,"Plan1";#N/A,#N/A,FALSE,"Plan2"}</definedName>
    <definedName name="DJFLKDJGKTJYJT" hidden="1">{#N/A,#N/A,FALSE,"Plan1";#N/A,#N/A,FALSE,"Plan2"}</definedName>
    <definedName name="djgkfjgtiyty" localSheetId="0" hidden="1">{#N/A,#N/A,FALSE,"Plan1";#N/A,#N/A,FALSE,"Plan2"}</definedName>
    <definedName name="djgkfjgtiyty" hidden="1">{#N/A,#N/A,FALSE,"Plan1";#N/A,#N/A,FALSE,"Plan2"}</definedName>
    <definedName name="djrkehrjfhng" localSheetId="0" hidden="1">{#N/A,#N/A,FALSE,"Plan1";#N/A,#N/A,FALSE,"Plan2"}</definedName>
    <definedName name="djrkehrjfhng" hidden="1">{#N/A,#N/A,FALSE,"Plan1";#N/A,#N/A,FALSE,"Plan2"}</definedName>
    <definedName name="djswfr" localSheetId="0" hidden="1">#REF!</definedName>
    <definedName name="djswfr" hidden="1">#REF!</definedName>
    <definedName name="djtkjldfr" localSheetId="0" hidden="1">{#N/A,#N/A,FALSE,"Plan1";#N/A,#N/A,FALSE,"Plan2"}</definedName>
    <definedName name="djtkjldfr" hidden="1">{#N/A,#N/A,FALSE,"Plan1";#N/A,#N/A,FALSE,"Plan2"}</definedName>
    <definedName name="DJXDLFGDFG" localSheetId="0" hidden="1">{#N/A,#N/A,FALSE,"Plan1";#N/A,#N/A,FALSE,"Plan2"}</definedName>
    <definedName name="DJXDLFGDFG" hidden="1">{#N/A,#N/A,FALSE,"Plan1";#N/A,#N/A,FALSE,"Plan2"}</definedName>
    <definedName name="dkdkdkdkd" localSheetId="0" hidden="1">{#N/A,#N/A,FALSE,"명세표"}</definedName>
    <definedName name="dkdkdkdkd" hidden="1">{#N/A,#N/A,FALSE,"명세표"}</definedName>
    <definedName name="dkfhskgf" localSheetId="0" hidden="1">{#N/A,#N/A,FALSE,"Plan1";#N/A,#N/A,FALSE,"Plan2"}</definedName>
    <definedName name="dkfhskgf" hidden="1">{#N/A,#N/A,FALSE,"Plan1";#N/A,#N/A,FALSE,"Plan2"}</definedName>
    <definedName name="dkjfk" localSheetId="0" hidden="1">{#N/A,#N/A,FALSE,"Plan1";#N/A,#N/A,FALSE,"Plan2"}</definedName>
    <definedName name="dkjfk" hidden="1">{#N/A,#N/A,FALSE,"Plan1";#N/A,#N/A,FALSE,"Plan2"}</definedName>
    <definedName name="DKLD" localSheetId="0" hidden="1">{#N/A,#N/A,FALSE,"Plan1";#N/A,#N/A,FALSE,"Plan2"}</definedName>
    <definedName name="DKLD" hidden="1">{#N/A,#N/A,FALSE,"Plan1";#N/A,#N/A,FALSE,"Plan2"}</definedName>
    <definedName name="DKLFJDKFD" localSheetId="0" hidden="1">{#N/A,#N/A,FALSE,"Plan1";#N/A,#N/A,FALSE,"Plan2"}</definedName>
    <definedName name="DKLFJDKFD" hidden="1">{#N/A,#N/A,FALSE,"Plan1";#N/A,#N/A,FALSE,"Plan2"}</definedName>
    <definedName name="dklfjgirtgid" localSheetId="0" hidden="1">{#N/A,#N/A,FALSE,"Plan1";#N/A,#N/A,FALSE,"Plan2"}</definedName>
    <definedName name="dklfjgirtgid" hidden="1">{#N/A,#N/A,FALSE,"Plan1";#N/A,#N/A,FALSE,"Plan2"}</definedName>
    <definedName name="dklf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0" hidden="1">{#N/A,#N/A,FALSE,"Plan1";#N/A,#N/A,FALSE,"Plan2"}</definedName>
    <definedName name="dmbfmndbmtrhed" hidden="1">{#N/A,#N/A,FALSE,"Plan1";#N/A,#N/A,FALSE,"Plan2"}</definedName>
    <definedName name="DNFJKDHTKRE" localSheetId="0" hidden="1">{#N/A,#N/A,FALSE,"Plan1";#N/A,#N/A,FALSE,"Plan2"}</definedName>
    <definedName name="DNFJKDHTKRE" hidden="1">{#N/A,#N/A,FALSE,"Plan1";#N/A,#N/A,FALSE,"Plan2"}</definedName>
    <definedName name="d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0">#REF!</definedName>
    <definedName name="DOCUMENT">#REF!</definedName>
    <definedName name="DOIS" localSheetId="0">#REF!</definedName>
    <definedName name="DOIS">#REF!</definedName>
    <definedName name="dolar" localSheetId="0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 localSheetId="0">#REF!</definedName>
    <definedName name="DRE">#REF!</definedName>
    <definedName name="drewr" localSheetId="0" hidden="1">{#N/A,#N/A,FALSE,"Plan1";#N/A,#N/A,FALSE,"Plan2"}</definedName>
    <definedName name="drewr" hidden="1">{#N/A,#N/A,FALSE,"Plan1";#N/A,#N/A,FALSE,"Plan2"}</definedName>
    <definedName name="DRRJR" localSheetId="0" hidden="1">{#N/A,#N/A,FALSE,"Plan1";#N/A,#N/A,FALSE,"Plan2"}</definedName>
    <definedName name="DRRJR" hidden="1">{#N/A,#N/A,FALSE,"Plan1";#N/A,#N/A,FALSE,"Plan2"}</definedName>
    <definedName name="drtr" localSheetId="0" hidden="1">#REF!</definedName>
    <definedName name="drtr" hidden="1">#REF!</definedName>
    <definedName name="drtrt" localSheetId="0" hidden="1">{"'Estimativa de Lançamento-JAN'!$A$1:$AI$85"}</definedName>
    <definedName name="drtrt" hidden="1">{"'Estimativa de Lançamento-JAN'!$A$1:$AI$85"}</definedName>
    <definedName name="dsdrf" localSheetId="0" hidden="1">{#N/A,#N/A,FALSE,"Plan1";#N/A,#N/A,FALSE,"Plan2"}</definedName>
    <definedName name="dsdrf" hidden="1">{#N/A,#N/A,FALSE,"Plan1";#N/A,#N/A,FALSE,"Plan2"}</definedName>
    <definedName name="dsfdf" localSheetId="0" hidden="1">{#N/A,#N/A,FALSE,"Plan1";#N/A,#N/A,FALSE,"Plan2"}</definedName>
    <definedName name="dsfdf" hidden="1">{#N/A,#N/A,FALSE,"Plan1";#N/A,#N/A,FALSE,"Plan2"}</definedName>
    <definedName name="dsfg" localSheetId="0" hidden="1">{#N/A,#N/A,FALSE,"Plan1";#N/A,#N/A,FALSE,"Plan2"}</definedName>
    <definedName name="dsfg" hidden="1">{#N/A,#N/A,FALSE,"Plan1";#N/A,#N/A,FALSE,"Plan2"}</definedName>
    <definedName name="DSFKDSKH" localSheetId="0" hidden="1">{#N/A,#N/A,FALSE,"Plan1";#N/A,#N/A,FALSE,"Plan2"}</definedName>
    <definedName name="DSFKDSKH" hidden="1">{#N/A,#N/A,FALSE,"Plan1";#N/A,#N/A,FALSE,"Plan2"}</definedName>
    <definedName name="DSF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0" hidden="1">{#N/A,#N/A,FALSE,"Plan1";#N/A,#N/A,FALSE,"Plan2"}</definedName>
    <definedName name="dsfrtyy" hidden="1">{#N/A,#N/A,FALSE,"Plan1";#N/A,#N/A,FALSE,"Plan2"}</definedName>
    <definedName name="DSFSAD" localSheetId="0" hidden="1">{#N/A,#N/A,FALSE,"Plan1";#N/A,#N/A,FALSE,"Plan2"}</definedName>
    <definedName name="DSFSAD" hidden="1">{#N/A,#N/A,FALSE,"Plan1";#N/A,#N/A,FALSE,"Plan2"}</definedName>
    <definedName name="dsfsdf" localSheetId="0" hidden="1">{#N/A,#N/A,FALSE,"Plan1";#N/A,#N/A,FALSE,"Plan2"}</definedName>
    <definedName name="dsfsdf" hidden="1">{#N/A,#N/A,FALSE,"Plan1";#N/A,#N/A,FALSE,"Plan2"}</definedName>
    <definedName name="dsfsdgfb" localSheetId="0" hidden="1">{#N/A,#N/A,FALSE,"Plan1";#N/A,#N/A,FALSE,"Plan2"}</definedName>
    <definedName name="dsfsdgfb" hidden="1">{#N/A,#N/A,FALSE,"Plan1";#N/A,#N/A,FALSE,"Plan2"}</definedName>
    <definedName name="dsgfr" localSheetId="0" hidden="1">{#N/A,#N/A,FALSE,"Plan1";#N/A,#N/A,FALSE,"Plan2"}</definedName>
    <definedName name="dsgfr" hidden="1">{#N/A,#N/A,FALSE,"Plan1";#N/A,#N/A,FALSE,"Plan2"}</definedName>
    <definedName name="dshfkhkrhesru" localSheetId="0" hidden="1">{#N/A,#N/A,FALSE,"Plan1";#N/A,#N/A,FALSE,"Plan2"}</definedName>
    <definedName name="dshfkhkrhesru" hidden="1">{#N/A,#N/A,FALSE,"Plan1";#N/A,#N/A,FALSE,"Plan2"}</definedName>
    <definedName name="dsjkthkr" localSheetId="0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localSheetId="0" hidden="1">{#N/A,#N/A,FALSE,"Plan1";#N/A,#N/A,FALSE,"Plan2"}</definedName>
    <definedName name="DSLFJSLFJ" hidden="1">{#N/A,#N/A,FALSE,"Plan1";#N/A,#N/A,FALSE,"Plan2"}</definedName>
    <definedName name="dslfkf" hidden="1">4</definedName>
    <definedName name="dsrf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0" hidden="1">{#N/A,#N/A,FALSE,"Plan1";#N/A,#N/A,FALSE,"Plan2"}</definedName>
    <definedName name="dss" hidden="1">{#N/A,#N/A,FALSE,"Plan1";#N/A,#N/A,FALSE,"Plan2"}</definedName>
    <definedName name="dtgsrytt" localSheetId="0" hidden="1">{#N/A,#N/A,FALSE,"Plan1";#N/A,#N/A,FALSE,"Plan2"}</definedName>
    <definedName name="dtgsrytt" hidden="1">{#N/A,#N/A,FALSE,"Plan1";#N/A,#N/A,FALSE,"Plan2"}</definedName>
    <definedName name="dtrjkhtrgkfh" localSheetId="0" hidden="1">{#N/A,#N/A,FALSE,"Plan1";#N/A,#N/A,FALSE,"Plan2"}</definedName>
    <definedName name="dtrjkhtrgkfh" hidden="1">{#N/A,#N/A,FALSE,"Plan1";#N/A,#N/A,FALSE,"Plan2"}</definedName>
    <definedName name="dttjuk" localSheetId="0" hidden="1">{#N/A,#N/A,FALSE,"Plan1";#N/A,#N/A,FALSE,"Plan2"}</definedName>
    <definedName name="dttjuk" hidden="1">{#N/A,#N/A,FALSE,"Plan1";#N/A,#N/A,FALSE,"Plan2"}</definedName>
    <definedName name="dvtr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0" hidden="1">{#N/A,#N/A,FALSE,"Plan1";#N/A,#N/A,FALSE,"Plan2"}</definedName>
    <definedName name="dwetrt" hidden="1">{#N/A,#N/A,FALSE,"Plan1";#N/A,#N/A,FALSE,"Plan2"}</definedName>
    <definedName name="dwqhdjwqgdwq" localSheetId="0">#REF!</definedName>
    <definedName name="dwqhdjwqgdwq">#REF!</definedName>
    <definedName name="DY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0" hidden="1">{#N/A,#N/A,FALSE,"Plan1";#N/A,#N/A,FALSE,"Plan2"}</definedName>
    <definedName name="DYHYGJDHZKGF" hidden="1">{#N/A,#N/A,FALSE,"Plan1";#N/A,#N/A,FALSE,"Plan2"}</definedName>
    <definedName name="dzdfr" localSheetId="0" hidden="1">{#N/A,#N/A,FALSE,"Plan1";#N/A,#N/A,FALSE,"Plan2"}</definedName>
    <definedName name="dzdfr" hidden="1">{#N/A,#N/A,FALSE,"Plan1";#N/A,#N/A,FALSE,"Plan2"}</definedName>
    <definedName name="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0">#REF!</definedName>
    <definedName name="ea">#REF!</definedName>
    <definedName name="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0" hidden="1">{#N/A,#N/A,FALSE,"F-01"}</definedName>
    <definedName name="ECEW" hidden="1">{#N/A,#N/A,FALSE,"F-01"}</definedName>
    <definedName name="ECEW_1" localSheetId="0" hidden="1">{#N/A,#N/A,FALSE,"F-01"}</definedName>
    <definedName name="ECEW_1" hidden="1">{#N/A,#N/A,FALSE,"F-01"}</definedName>
    <definedName name="echart31" localSheetId="0" hidden="1">#REF!</definedName>
    <definedName name="echart31" hidden="1">#REF!</definedName>
    <definedName name="EcoPark" localSheetId="0">#REF!</definedName>
    <definedName name="EcoPark">#REF!</definedName>
    <definedName name="EC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0" hidden="1">{#N/A,#N/A,FALSE,"Plan1";#N/A,#N/A,FALSE,"Plan2"}</definedName>
    <definedName name="EDE" hidden="1">{#N/A,#N/A,FALSE,"Plan1";#N/A,#N/A,FALSE,"Plan2"}</definedName>
    <definedName name="ee" localSheetId="0">#REF!</definedName>
    <definedName name="ee">#REF!</definedName>
    <definedName name="eee" localSheetId="16" hidden="1">{#N/A,#N/A,FALSE,"ET-CAPA";#N/A,#N/A,FALSE,"ET-PAG1";#N/A,#N/A,FALSE,"ET-PAG2";#N/A,#N/A,FALSE,"ET-PAG3";#N/A,#N/A,FALSE,"ET-PAG4";#N/A,#N/A,FALSE,"ET-PAG5"}</definedName>
    <definedName name="eee" localSheetId="18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8" hidden="1">{#N/A,#N/A,FALSE,"ET-CAPA";#N/A,#N/A,FALSE,"ET-PAG1";#N/A,#N/A,FALSE,"ET-PAG2";#N/A,#N/A,FALSE,"ET-PAG3";#N/A,#N/A,FALSE,"ET-PAG4";#N/A,#N/A,FALSE,"ET-PAG5"}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9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 localSheetId="0">#REF!</definedName>
    <definedName name="EF">#REF!</definedName>
    <definedName name="efestfr" localSheetId="0" hidden="1">{#N/A,#N/A,FALSE,"Plan1";#N/A,#N/A,FALSE,"Plan2"}</definedName>
    <definedName name="efestfr" hidden="1">{#N/A,#N/A,FALSE,"Plan1";#N/A,#N/A,FALSE,"Plan2"}</definedName>
    <definedName name="EFICIÊNCIA" localSheetId="0">#REF!</definedName>
    <definedName name="EFICIÊNCIA">#REF!</definedName>
    <definedName name="Eficiência1" localSheetId="0">#REF!</definedName>
    <definedName name="Eficiência1">#REF!</definedName>
    <definedName name="efrdrt" localSheetId="0" hidden="1">{#N/A,#N/A,FALSE,"Plan1";#N/A,#N/A,FALSE,"Plan2"}</definedName>
    <definedName name="efrdrt" hidden="1">{#N/A,#N/A,FALSE,"Plan1";#N/A,#N/A,FALSE,"Plan2"}</definedName>
    <definedName name="efrg" localSheetId="0" hidden="1">{#N/A,#N/A,FALSE,"Plan1";#N/A,#N/A,FALSE,"Plan2"}</definedName>
    <definedName name="efrg" hidden="1">{#N/A,#N/A,FALSE,"Plan1";#N/A,#N/A,FALSE,"Plan2"}</definedName>
    <definedName name="efsgfr" localSheetId="0" hidden="1">{#N/A,#N/A,FALSE,"Plan1";#N/A,#N/A,FALSE,"Plan2"}</definedName>
    <definedName name="efsgfr" hidden="1">{#N/A,#N/A,FALSE,"Plan1";#N/A,#N/A,FALSE,"Plan2"}</definedName>
    <definedName name="eixo_x_fluxo_graf1" localSheetId="0">IFERROR(OFFSET(INDEX(#REF!,MATCH((INDEX(#REF!,MATCH(1,#REF!,0))),#REF!,0)),0,0,1,COUNTIF(#REF!,"&gt;=0")+COUNTIF(#REF!,"&lt;0")),0)</definedName>
    <definedName name="eixo_x_fluxo_graf1">IFERROR(OFFSET(INDEX(#REF!,MATCH((INDEX(#REF!,MATCH(1,#REF!,0))),#REF!,0)),0,0,1,COUNTIF(#REF!,"&gt;=0")+COUNTIF(#REF!,"&lt;0")),0)</definedName>
    <definedName name="eixo_x_graf2" localSheetId="0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 localSheetId="0">#REF!</definedName>
    <definedName name="eixo_x_graf3_distratos">#REF!</definedName>
    <definedName name="eixo_x_graf3_vendas" localSheetId="0">#REF!</definedName>
    <definedName name="eixo_x_graf3_vendas">#REF!</definedName>
    <definedName name="eixo_y_cury_graf2" localSheetId="0">IFERROR(OFFSET(INDEX(#REF!,MATCH((INDEX(#REF!,MATCH(1,#REF!,0))),#REF!,0)),0,0,1,COUNTIF(#REF!,"&gt;=0")+COUNTIF(#REF!,"&lt;0")),0)</definedName>
    <definedName name="eixo_y_cury_graf2">IFERROR(OFFSET(INDEX(#REF!,MATCH((INDEX(#REF!,MATCH(1,#REF!,0))),#REF!,0)),0,0,1,COUNTIF(#REF!,"&gt;=0")+COUNTIF(#REF!,"&lt;0")),0)</definedName>
    <definedName name="eixo_y_fluxo_graf1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0">#REF!</definedName>
    <definedName name="eixo_y_graf3">#REF!</definedName>
    <definedName name="eixo_y_socio_graf2" localSheetId="0">IFERROR(OFFSET(INDEX(#REF!,MATCH((INDEX(#REF!,MATCH(1,#REF!,0))),#REF!,0)),0,0,1,COUNTIF(#REF!,"&gt;=0")+COUNTIF(#REF!,"&lt;0")),0)</definedName>
    <definedName name="eixo_y_socio_graf2">IFERROR(OFFSET(INDEX(#REF!,MATCH((INDEX(#REF!,MATCH(1,#REF!,0))),#REF!,0)),0,0,1,COUNTIF(#REF!,"&gt;=0")+COUNTIF(#REF!,"&lt;0")),0)</definedName>
    <definedName name="eixo_y_viab_graf1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0">#REF!</definedName>
    <definedName name="EM">#REF!</definedName>
    <definedName name="Empreend" localSheetId="0">#REF!</definedName>
    <definedName name="Empreend">#REF!</definedName>
    <definedName name="Empreendimentos" localSheetId="0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0" hidden="1">{#N/A,#N/A,FALSE,"Plan1";#N/A,#N/A,FALSE,"Plan2"}</definedName>
    <definedName name="ergfhyu" hidden="1">{#N/A,#N/A,FALSE,"Plan1";#N/A,#N/A,FALSE,"Plan2"}</definedName>
    <definedName name="erne_cdi" localSheetId="0">#REF!</definedName>
    <definedName name="erne_cdi">#REF!</definedName>
    <definedName name="erne_hist" localSheetId="0">#REF!</definedName>
    <definedName name="erne_hist">#REF!</definedName>
    <definedName name="erne_uss" localSheetId="0">#REF!</definedName>
    <definedName name="erne_uss">#REF!</definedName>
    <definedName name="erte" localSheetId="0" hidden="1">#REF!</definedName>
    <definedName name="erte" hidden="1">#REF!</definedName>
    <definedName name="ESGFDSFD" localSheetId="0" hidden="1">{#N/A,#N/A,FALSE,"Plan1";#N/A,#N/A,FALSE,"Plan2"}</definedName>
    <definedName name="ESGFDSFD" hidden="1">{#N/A,#N/A,FALSE,"Plan1";#N/A,#N/A,FALSE,"Plan2"}</definedName>
    <definedName name="esp" localSheetId="0">#REF!</definedName>
    <definedName name="esp">#REF!</definedName>
    <definedName name="ESPESSURA" localSheetId="0">#REF!</definedName>
    <definedName name="ESPESSURA">#REF!</definedName>
    <definedName name="estaca" localSheetId="0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localSheetId="0" hidden="1">{#N/A,#N/A,FALSE,"Plan1";#N/A,#N/A,FALSE,"Plan2"}</definedName>
    <definedName name="EU" hidden="1">{#N/A,#N/A,FALSE,"Plan1";#N/A,#N/A,FALSE,"Plan2"}</definedName>
    <definedName name="EV__LASTREFTIME__" hidden="1">39965.7223611111</definedName>
    <definedName name="EVL" localSheetId="0" hidden="1">{"Econ Consolidado",#N/A,FALSE,"Econ Consol";"Fluxo de Caixa",#N/A,FALSE,"Fluxo Caixa";"Investimentos",#N/A,FALSE,"Investimentos"}</definedName>
    <definedName name="EVL" hidden="1">{"Econ Consolidado",#N/A,FALSE,"Econ Consol";"Fluxo de Caixa",#N/A,FALSE,"Fluxo Caixa";"Investimentos",#N/A,FALSE,"Investimentos"}</definedName>
    <definedName name="Evol." localSheetId="0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localSheetId="0" hidden="1">{#N/A,#N/A,FALSE,"Plan1";#N/A,#N/A,FALSE,"Plan2"}</definedName>
    <definedName name="ewfr" hidden="1">{#N/A,#N/A,FALSE,"Plan1";#N/A,#N/A,FALSE,"Plan2"}</definedName>
    <definedName name="exce_cdi" localSheetId="0">#REF!</definedName>
    <definedName name="exce_cdi">#REF!</definedName>
    <definedName name="exce_hist" localSheetId="0">#REF!</definedName>
    <definedName name="exce_hist">#REF!</definedName>
    <definedName name="exce_uss" localSheetId="0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localSheetId="0" hidden="1">{#N/A,#N/A,FALSE,"Plan1";#N/A,#N/A,FALSE,"Plan2"}</definedName>
    <definedName name="eyruieyteta" hidden="1">{#N/A,#N/A,FALSE,"Plan1";#N/A,#N/A,FALSE,"Plan2"}</definedName>
    <definedName name="f" localSheetId="0" hidden="1">{#N/A,#N/A,FALSE,"Plan1";#N/A,#N/A,FALSE,"Plan2"}</definedName>
    <definedName name="f">#REF!</definedName>
    <definedName name="FACULDADE" localSheetId="0">#REF!</definedName>
    <definedName name="FACULDADE">#REF!</definedName>
    <definedName name="FAL" localSheetId="0">#REF!</definedName>
    <definedName name="FAL">#REF!</definedName>
    <definedName name="farialima">#REF!</definedName>
    <definedName name="FAS" localSheetId="0" hidden="1">{"'Total'!$A$1","'Total'!$A$3"}</definedName>
    <definedName name="FAS" hidden="1">{"'Total'!$A$1","'Total'!$A$3"}</definedName>
    <definedName name="fasfasf" localSheetId="0" hidden="1">{#N/A,#N/A,TRUE,"Quinzena 01 à 15-04-98 "}</definedName>
    <definedName name="fasfasf" hidden="1">{#N/A,#N/A,TRUE,"Quinzena 01 à 15-04-98 "}</definedName>
    <definedName name="FATOR_K" localSheetId="0">#REF!</definedName>
    <definedName name="FATOR_K">#REF!</definedName>
    <definedName name="FATORK" localSheetId="0">#REF!</definedName>
    <definedName name="FATORK">#REF!</definedName>
    <definedName name="FBancaria" localSheetId="0">#REF!</definedName>
    <definedName name="FBancaria">#REF!</definedName>
    <definedName name="fchart31" localSheetId="0" hidden="1">#REF!</definedName>
    <definedName name="fchart31" hidden="1">#REF!</definedName>
    <definedName name="fddhght" localSheetId="0" hidden="1">{#N/A,#N/A,FALSE,"Plan1";#N/A,#N/A,FALSE,"Plan2"}</definedName>
    <definedName name="fddhght" hidden="1">{#N/A,#N/A,FALSE,"Plan1";#N/A,#N/A,FALSE,"Plan2"}</definedName>
    <definedName name="fdfgd" localSheetId="0" hidden="1">{#N/A,#N/A,FALSE,"Plan1";#N/A,#N/A,FALSE,"Plan2"}</definedName>
    <definedName name="fdfgd" hidden="1">{#N/A,#N/A,FALSE,"Plan1";#N/A,#N/A,FALSE,"Plan2"}</definedName>
    <definedName name="fdfng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0" hidden="1">{#N/A,#N/A,FALSE,"Plan1";#N/A,#N/A,FALSE,"Plan2"}</definedName>
    <definedName name="fdgaf" hidden="1">{#N/A,#N/A,FALSE,"Plan1";#N/A,#N/A,FALSE,"Plan2"}</definedName>
    <definedName name="fdgdf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0" hidden="1">{#N/A,#N/A,FALSE,"Plan1";#N/A,#N/A,FALSE,"Plan2"}</definedName>
    <definedName name="FDGFDJHGZEDR" hidden="1">{#N/A,#N/A,FALSE,"Plan1";#N/A,#N/A,FALSE,"Plan2"}</definedName>
    <definedName name="fdgfyhygfuj" localSheetId="0" hidden="1">{#N/A,#N/A,FALSE,"Plan1";#N/A,#N/A,FALSE,"Plan2"}</definedName>
    <definedName name="fdgfyhygfuj" hidden="1">{#N/A,#N/A,FALSE,"Plan1";#N/A,#N/A,FALSE,"Plan2"}</definedName>
    <definedName name="fdhgfdf" localSheetId="0" hidden="1">{#N/A,#N/A,FALSE,"Plan1";#N/A,#N/A,FALSE,"Plan2"}</definedName>
    <definedName name="fdhgfdf" hidden="1">{#N/A,#N/A,FALSE,"Plan1";#N/A,#N/A,FALSE,"Plan2"}</definedName>
    <definedName name="fdjfgdfjg" localSheetId="0" hidden="1">{#N/A,#N/A,FALSE,"Plan1";#N/A,#N/A,FALSE,"Plan2"}</definedName>
    <definedName name="fdjfgdfjg" hidden="1">{#N/A,#N/A,FALSE,"Plan1";#N/A,#N/A,FALSE,"Plan2"}</definedName>
    <definedName name="fdjghkshtygt" localSheetId="0" hidden="1">{#N/A,#N/A,FALSE,"Plan1";#N/A,#N/A,FALSE,"Plan2"}</definedName>
    <definedName name="fdjghkshtygt" hidden="1">{#N/A,#N/A,FALSE,"Plan1";#N/A,#N/A,FALSE,"Plan2"}</definedName>
    <definedName name="fdnhgf" localSheetId="0" hidden="1">{"'Estimativa de Lançamento-JAN'!$A$1:$AI$85"}</definedName>
    <definedName name="fdnhgf" hidden="1">{"'Estimativa de Lançamento-JAN'!$A$1:$AI$85"}</definedName>
    <definedName name="fdsf" localSheetId="0" hidden="1">{#N/A,#N/A,FALSE,"Plan1";#N/A,#N/A,FALSE,"Plan2"}</definedName>
    <definedName name="fdsf" hidden="1">{#N/A,#N/A,FALSE,"Plan1";#N/A,#N/A,FALSE,"Plan2"}</definedName>
    <definedName name="FE" localSheetId="0">#REF!</definedName>
    <definedName name="FE">#REF!</definedName>
    <definedName name="fefefefe" localSheetId="0">#REF!</definedName>
    <definedName name="fefefefe">#REF!</definedName>
    <definedName name="FER" localSheetId="0" hidden="1">#REF!</definedName>
    <definedName name="FER" hidden="1">#REF!</definedName>
    <definedName name="fev17RJ">#REF!</definedName>
    <definedName name="FEVEREIRO2001">#REF!</definedName>
    <definedName name="ff">#REF!</definedName>
    <definedName name="fffefes">#REF!</definedName>
    <definedName name="fffff" localSheetId="0" hidden="1">{#N/A,#N/A,FALSE,"Plan1";#N/A,#N/A,FALSE,"Plan2"}</definedName>
    <definedName name="fffff" hidden="1">{#N/A,#N/A,FALSE,"Plan1";#N/A,#N/A,FALSE,"Plan2"}</definedName>
    <definedName name="FFFFFFF" localSheetId="16">#REF!</definedName>
    <definedName name="FFFFFFF" localSheetId="18">#REF!</definedName>
    <definedName name="FFFFFFF" localSheetId="1">#REF!</definedName>
    <definedName name="FFFFFFF" localSheetId="8">#REF!</definedName>
    <definedName name="FFFFFFF" localSheetId="2">#REF!</definedName>
    <definedName name="FFFFFFF" localSheetId="0">#REF!</definedName>
    <definedName name="FFFFFFF" localSheetId="9">#REF!</definedName>
    <definedName name="FFFFFFF">#REF!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0" hidden="1">{#N/A,#N/A,FALSE,"Plan1";#N/A,#N/A,FALSE,"Plan2"}</definedName>
    <definedName name="fg" hidden="1">{#N/A,#N/A,FALSE,"Plan1";#N/A,#N/A,FALSE,"Plan2"}</definedName>
    <definedName name="fgg" localSheetId="0" hidden="1">{"'장비'!$A$3:$M$12"}</definedName>
    <definedName name="fgg" hidden="1">{"'장비'!$A$3:$M$12"}</definedName>
    <definedName name="fghfh" localSheetId="0" hidden="1">{"'Estimativa de Lançamento-JAN'!$A$1:$AI$85"}</definedName>
    <definedName name="fghfh" hidden="1">{"'Estimativa de Lançamento-JAN'!$A$1:$AI$85"}</definedName>
    <definedName name="fghgfh" localSheetId="0" hidden="1">{#N/A,#N/A,FALSE,"Plan1";#N/A,#N/A,FALSE,"Plan2"}</definedName>
    <definedName name="fghgfh" hidden="1">{#N/A,#N/A,FALSE,"Plan1";#N/A,#N/A,FALSE,"Plan2"}</definedName>
    <definedName name="FGJHFGK" localSheetId="0" hidden="1">{#N/A,#N/A,FALSE,"Plan1";#N/A,#N/A,FALSE,"Plan2"}</definedName>
    <definedName name="FGJHFGK" hidden="1">{#N/A,#N/A,FALSE,"Plan1";#N/A,#N/A,FALSE,"Plan2"}</definedName>
    <definedName name="fgktyhd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0" hidden="1">{#N/A,#N/A,FALSE,"Plan1";#N/A,#N/A,FALSE,"Plan2"}</definedName>
    <definedName name="fgtrgty" hidden="1">{#N/A,#N/A,FALSE,"Plan1";#N/A,#N/A,FALSE,"Plan2"}</definedName>
    <definedName name="fgty" localSheetId="0" hidden="1">#REF!</definedName>
    <definedName name="fgty" hidden="1">#REF!</definedName>
    <definedName name="fhgjfgyt" localSheetId="0" hidden="1">{#N/A,#N/A,FALSE,"Plan1";#N/A,#N/A,FALSE,"Plan2"}</definedName>
    <definedName name="fhgjfgyt" hidden="1">{#N/A,#N/A,FALSE,"Plan1";#N/A,#N/A,FALSE,"Plan2"}</definedName>
    <definedName name="fhgjkhtrfg" localSheetId="0" hidden="1">{#N/A,#N/A,FALSE,"Plan1";#N/A,#N/A,FALSE,"Plan2"}</definedName>
    <definedName name="fhgjkhtrfg" hidden="1">{#N/A,#N/A,FALSE,"Plan1";#N/A,#N/A,FALSE,"Plan2"}</definedName>
    <definedName name="FHGTGSRSG" localSheetId="0" hidden="1">{#N/A,#N/A,FALSE,"Plan1";#N/A,#N/A,FALSE,"Plan2"}</definedName>
    <definedName name="FHGTGSRSG" hidden="1">{#N/A,#N/A,FALSE,"Plan1";#N/A,#N/A,FALSE,"Plan2"}</definedName>
    <definedName name="FIELD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0" hidden="1">{#N/A,#N/A,TRUE,"Quinzena 01 à 15-04-98 "}</definedName>
    <definedName name="FILTRO" hidden="1">{#N/A,#N/A,TRUE,"Quinzena 01 à 15-04-98 "}</definedName>
    <definedName name="Filtro_Rel_Sienge" localSheetId="0">#REF!</definedName>
    <definedName name="Filtro_Rel_Sienge">#REF!</definedName>
    <definedName name="Firs_hist" localSheetId="0">#REF!</definedName>
    <definedName name="Firs_hist">#REF!</definedName>
    <definedName name="First_cdi" localSheetId="0">#REF!</definedName>
    <definedName name="First_cdi">#REF!</definedName>
    <definedName name="First_uss">#REF!</definedName>
    <definedName name="fjdhfgjdhtgu" localSheetId="0" hidden="1">{#N/A,#N/A,FALSE,"Plan1";#N/A,#N/A,FALSE,"Plan2"}</definedName>
    <definedName name="fjdhfgjdhtgu" hidden="1">{#N/A,#N/A,FALSE,"Plan1";#N/A,#N/A,FALSE,"Plan2"}</definedName>
    <definedName name="fjfjg" localSheetId="0" hidden="1">{#N/A,#N/A,FALSE,"명세표"}</definedName>
    <definedName name="fjfjg" hidden="1">{#N/A,#N/A,FALSE,"명세표"}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HJHG" hidden="1">{#N/A,#N/A,FALSE,"Plan1";#N/A,#N/A,FALSE,"Plan2"}</definedName>
    <definedName name="fjtgfh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0" hidden="1">{#N/A,#N/A,FALSE,"Plan1";#N/A,#N/A,FALSE,"Plan2"}</definedName>
    <definedName name="fkfw" hidden="1">{#N/A,#N/A,FALSE,"Plan1";#N/A,#N/A,FALSE,"Plan2"}</definedName>
    <definedName name="f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>#REF!</definedName>
    <definedName name="FL_1" localSheetId="0">#REF!</definedName>
    <definedName name="FL_1">#REF!</definedName>
    <definedName name="FL_2" localSheetId="0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 localSheetId="0">OFFSET(#REF!,6,0,COUNTA(#REF!))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localSheetId="0" hidden="1">{#N/A,#N/A,FALSE,"Plan1";#N/A,#N/A,FALSE,"Plan2"}</definedName>
    <definedName name="frçt4r" hidden="1">{#N/A,#N/A,FALSE,"Plan1";#N/A,#N/A,FALSE,"Plan2"}</definedName>
    <definedName name="frdtty" localSheetId="0" hidden="1">{#N/A,#N/A,FALSE,"Plan1";#N/A,#N/A,FALSE,"Plan2"}</definedName>
    <definedName name="frdtty" hidden="1">{#N/A,#N/A,FALSE,"Plan1";#N/A,#N/A,FALSE,"Plan2"}</definedName>
    <definedName name="fsdfs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0" hidden="1">{#N/A,#N/A,FALSE,"Plan1";#N/A,#N/A,FALSE,"Plan2"}</definedName>
    <definedName name="fuihgjk" hidden="1">{#N/A,#N/A,FALSE,"Plan1";#N/A,#N/A,FALSE,"Plan2"}</definedName>
    <definedName name="fuste" localSheetId="0">#REF!</definedName>
    <definedName name="fuste">#REF!</definedName>
    <definedName name="fxjghkfg" localSheetId="0" hidden="1">{#N/A,#N/A,FALSE,"Plan1";#N/A,#N/A,FALSE,"Plan2"}</definedName>
    <definedName name="fxjghkfg" hidden="1">{#N/A,#N/A,FALSE,"Plan1";#N/A,#N/A,FALSE,"Plan2"}</definedName>
    <definedName name="g_10" localSheetId="0">#REF!</definedName>
    <definedName name="g_10">#REF!</definedName>
    <definedName name="g_11" localSheetId="0">#REF!</definedName>
    <definedName name="g_11">#REF!</definedName>
    <definedName name="g_12" localSheetId="0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0">#REF!</definedName>
    <definedName name="GARAGEM">#REF!</definedName>
    <definedName name="garcia" localSheetId="0">#REF!</definedName>
    <definedName name="garcia">#REF!</definedName>
    <definedName name="GASTOS_JULHO" localSheetId="0">#REF!</definedName>
    <definedName name="GASTOS_JULHO">#REF!</definedName>
    <definedName name="gbdjkvhgd" localSheetId="0" hidden="1">{#N/A,#N/A,FALSE,"Plan1";#N/A,#N/A,FALSE,"Plan2"}</definedName>
    <definedName name="gbdjkvhgd" hidden="1">{#N/A,#N/A,FALSE,"Plan1";#N/A,#N/A,FALSE,"Plan2"}</definedName>
    <definedName name="gbdsjgsjfdgj" localSheetId="0" hidden="1">{#N/A,#N/A,FALSE,"Plan1";#N/A,#N/A,FALSE,"Plan2"}</definedName>
    <definedName name="gbdsjgsjfdgj" hidden="1">{#N/A,#N/A,FALSE,"Plan1";#N/A,#N/A,FALSE,"Plan2"}</definedName>
    <definedName name="gdfdhgfjgj" localSheetId="0" hidden="1">{#N/A,#N/A,FALSE,"Plan1";#N/A,#N/A,FALSE,"Plan2"}</definedName>
    <definedName name="gdfdhgfjgj" hidden="1">{#N/A,#N/A,FALSE,"Plan1";#N/A,#N/A,FALSE,"Plan2"}</definedName>
    <definedName name="gdfgdstggt" localSheetId="0" hidden="1">{#N/A,#N/A,FALSE,"Plan1";#N/A,#N/A,FALSE,"Plan2"}</definedName>
    <definedName name="gdfgdstggt" hidden="1">{#N/A,#N/A,FALSE,"Plan1";#N/A,#N/A,FALSE,"Plan2"}</definedName>
    <definedName name="GDFHGRJGFJDRF" localSheetId="0" hidden="1">{"Econ Consolidado",#N/A,FALSE,"Econ Consol";"Fluxo de Caixa",#N/A,FALSE,"Fluxo Caixa";"Investimentos",#N/A,FALSE,"Investimentos"}</definedName>
    <definedName name="GDFHGRJGFJDRF" hidden="1">{"Econ Consolidado",#N/A,FALSE,"Econ Consol";"Fluxo de Caixa",#N/A,FALSE,"Fluxo Caixa";"Investimentos",#N/A,FALSE,"Investimentos"}</definedName>
    <definedName name="gdfigfhuyuy" localSheetId="0" hidden="1">{#N/A,#N/A,FALSE,"Plan1";#N/A,#N/A,FALSE,"Plan2"}</definedName>
    <definedName name="gdfigfhuyuy" hidden="1">{#N/A,#N/A,FALSE,"Plan1";#N/A,#N/A,FALSE,"Plan2"}</definedName>
    <definedName name="gdfsgfew" localSheetId="0" hidden="1">{#N/A,#N/A,FALSE,"Plan1";#N/A,#N/A,FALSE,"Plan2"}</definedName>
    <definedName name="gdfsgfew" hidden="1">{#N/A,#N/A,FALSE,"Plan1";#N/A,#N/A,FALSE,"Plan2"}</definedName>
    <definedName name="gdhfgdhfgf" localSheetId="0" hidden="1">{#N/A,#N/A,FALSE,"Plan1";#N/A,#N/A,FALSE,"Plan2"}</definedName>
    <definedName name="gdhfgdhfgf" hidden="1">{#N/A,#N/A,FALSE,"Plan1";#N/A,#N/A,FALSE,"Plan2"}</definedName>
    <definedName name="gdsfhefrwrw" localSheetId="0" hidden="1">{#N/A,#N/A,FALSE,"Plan1";#N/A,#N/A,FALSE,"Plan2"}</definedName>
    <definedName name="gdsfhefrwrw" hidden="1">{#N/A,#N/A,FALSE,"Plan1";#N/A,#N/A,FALSE,"Plan2"}</definedName>
    <definedName name="GER_TECNICO" localSheetId="0">#REF!</definedName>
    <definedName name="GER_TECNICO">#REF!</definedName>
    <definedName name="Gerentes" localSheetId="0">#REF!</definedName>
    <definedName name="Gerentes">#REF!</definedName>
    <definedName name="geshrjhed" localSheetId="0" hidden="1">{#N/A,#N/A,FALSE,"Plan1";#N/A,#N/A,FALSE,"Plan2"}</definedName>
    <definedName name="geshrjhed" hidden="1">{#N/A,#N/A,FALSE,"Plan1";#N/A,#N/A,FALSE,"Plan2"}</definedName>
    <definedName name="gestao" localSheetId="0" hidden="1">OFFSET(INDEX(#REF!,MATCH(#REF!,#REF!,0)),1,0,COUNTA(#REF!)-1)</definedName>
    <definedName name="gestao" hidden="1">OFFSET(INDEX(#REF!,MATCH(#REF!,#REF!,0)),1,0,COUNTA(#REF!)-1)</definedName>
    <definedName name="gfdcgnkf" localSheetId="0" hidden="1">{#N/A,#N/A,FALSE,"Plan1";#N/A,#N/A,FALSE,"Plan2"}</definedName>
    <definedName name="gfdcgnkf" hidden="1">{#N/A,#N/A,FALSE,"Plan1";#N/A,#N/A,FALSE,"Plan2"}</definedName>
    <definedName name="gfdjtgur" localSheetId="0" hidden="1">{#N/A,#N/A,FALSE,"Plan1";#N/A,#N/A,FALSE,"Plan2"}</definedName>
    <definedName name="gfdjtgur" hidden="1">{#N/A,#N/A,FALSE,"Plan1";#N/A,#N/A,FALSE,"Plan2"}</definedName>
    <definedName name="gfdrtg" localSheetId="0" hidden="1">#REF!</definedName>
    <definedName name="gfdrtg" hidden="1">#REF!</definedName>
    <definedName name="gfgdhxgfdhf" localSheetId="0" hidden="1">{#N/A,#N/A,FALSE,"Plan1";#N/A,#N/A,FALSE,"Plan2"}</definedName>
    <definedName name="gfgdhxgfdhf" hidden="1">{#N/A,#N/A,FALSE,"Plan1";#N/A,#N/A,FALSE,"Plan2"}</definedName>
    <definedName name="gfhfdtgjb" localSheetId="0" hidden="1">{#N/A,#N/A,FALSE,"Plan1";#N/A,#N/A,FALSE,"Plan2"}</definedName>
    <definedName name="gfhfdtgjb" hidden="1">{#N/A,#N/A,FALSE,"Plan1";#N/A,#N/A,FALSE,"Plan2"}</definedName>
    <definedName name="gfjdshrtjhtged" localSheetId="0" hidden="1">{#N/A,#N/A,FALSE,"Plan1";#N/A,#N/A,FALSE,"Plan2"}</definedName>
    <definedName name="gfjdshrtjhtged" hidden="1">{#N/A,#N/A,FALSE,"Plan1";#N/A,#N/A,FALSE,"Plan2"}</definedName>
    <definedName name="gfjgkddgfd" localSheetId="0" hidden="1">{#N/A,#N/A,FALSE,"Plan1";#N/A,#N/A,FALSE,"Plan2"}</definedName>
    <definedName name="gfjgkddgfd" hidden="1">{#N/A,#N/A,FALSE,"Plan1";#N/A,#N/A,FALSE,"Plan2"}</definedName>
    <definedName name="gfsghjdgygr" localSheetId="0" hidden="1">{#N/A,#N/A,FALSE,"Plan1";#N/A,#N/A,FALSE,"Plan2"}</definedName>
    <definedName name="gfsghjdgygr" hidden="1">{#N/A,#N/A,FALSE,"Plan1";#N/A,#N/A,FALSE,"Plan2"}</definedName>
    <definedName name="gftfy" localSheetId="0" hidden="1">{#N/A,#N/A,FALSE,"Plan1";#N/A,#N/A,FALSE,"Plan2"}</definedName>
    <definedName name="gftfy" hidden="1">{#N/A,#N/A,FALSE,"Plan1";#N/A,#N/A,FALSE,"Plan2"}</definedName>
    <definedName name="gfty" localSheetId="0" hidden="1">{#N/A,#N/A,FALSE,"Plan1";#N/A,#N/A,FALSE,"Plan2"}</definedName>
    <definedName name="gfty" hidden="1">{#N/A,#N/A,FALSE,"Plan1";#N/A,#N/A,FALSE,"Plan2"}</definedName>
    <definedName name="GFUJU9" localSheetId="0" hidden="1">{#N/A,#N/A,FALSE,"Plan1";#N/A,#N/A,FALSE,"Plan2"}</definedName>
    <definedName name="GFUJU9" hidden="1">{#N/A,#N/A,FALSE,"Plan1";#N/A,#N/A,FALSE,"Plan2"}</definedName>
    <definedName name="ggg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0" hidden="1">{#N/A,#N/A,FALSE,"Plan1";#N/A,#N/A,FALSE,"Plan2"}</definedName>
    <definedName name="GGGG" hidden="1">{#N/A,#N/A,FALSE,"Plan1";#N/A,#N/A,FALSE,"Plan2"}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0" hidden="1">{"'장비'!$A$3:$M$12"}</definedName>
    <definedName name="gh" hidden="1">{"'장비'!$A$3:$M$12"}</definedName>
    <definedName name="ghfgdfrtert" localSheetId="0" hidden="1">{#N/A,#N/A,FALSE,"Plan1";#N/A,#N/A,FALSE,"Plan2"}</definedName>
    <definedName name="ghfgdfrtert" hidden="1">{#N/A,#N/A,FALSE,"Plan1";#N/A,#N/A,FALSE,"Plan2"}</definedName>
    <definedName name="ghfhghft" localSheetId="0" hidden="1">{#N/A,#N/A,FALSE,"Plan1";#N/A,#N/A,FALSE,"Plan2"}</definedName>
    <definedName name="ghfhghft" hidden="1">{#N/A,#N/A,FALSE,"Plan1";#N/A,#N/A,FALSE,"Plan2"}</definedName>
    <definedName name="ghjg" localSheetId="0" hidden="1">{"'Estimativa de Lançamento-JAN'!$A$1:$AI$85"}</definedName>
    <definedName name="ghjg" hidden="1">{"'Estimativa de Lançamento-JAN'!$A$1:$AI$85"}</definedName>
    <definedName name="ghkfhgh" localSheetId="0" hidden="1">{#N/A,#N/A,FALSE,"Plan1";#N/A,#N/A,FALSE,"Plan2"}</definedName>
    <definedName name="ghkfhgh" hidden="1">{#N/A,#N/A,FALSE,"Plan1";#N/A,#N/A,FALSE,"Plan2"}</definedName>
    <definedName name="ghkjh" localSheetId="0" hidden="1">{#N/A,#N/A,FALSE,"ENG'G(보호계전기)"}</definedName>
    <definedName name="ghkjh" hidden="1">{#N/A,#N/A,FALSE,"ENG'G(보호계전기)"}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0" hidden="1">{#N/A,#N/A,FALSE,"Plan1";#N/A,#N/A,FALSE,"Plan2"}</definedName>
    <definedName name="gjfhjktgcf" hidden="1">{#N/A,#N/A,FALSE,"Plan1";#N/A,#N/A,FALSE,"Plan2"}</definedName>
    <definedName name="GJ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0" hidden="1">{#N/A,#N/A,FALSE,"Plan1";#N/A,#N/A,FALSE,"Plan2"}</definedName>
    <definedName name="gjkhgjhjfggfjhfg" hidden="1">{#N/A,#N/A,FALSE,"Plan1";#N/A,#N/A,FALSE,"Plan2"}</definedName>
    <definedName name="glgl" localSheetId="0" hidden="1">{#N/A,#N/A,FALSE,"Plan1";#N/A,#N/A,FALSE,"Plan2"}</definedName>
    <definedName name="glgl" hidden="1">{#N/A,#N/A,FALSE,"Plan1";#N/A,#N/A,FALSE,"Plan2"}</definedName>
    <definedName name="global" localSheetId="0" hidden="1">{"'Estimativa de Lançamento-JAN'!$A$1:$AI$85"}</definedName>
    <definedName name="GLOBAL">#REF!</definedName>
    <definedName name="gnfrt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0">#REF!</definedName>
    <definedName name="grec_cdi">#REF!</definedName>
    <definedName name="grec_hist" localSheetId="0">#REF!</definedName>
    <definedName name="grec_hist">#REF!</definedName>
    <definedName name="grec_uss" localSheetId="0">#REF!</definedName>
    <definedName name="grec_uss">#REF!</definedName>
    <definedName name="grua">#REF!</definedName>
    <definedName name="GSDWJSTG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0" hidden="1">{#N/A,#N/A,FALSE,"Plan1";#N/A,#N/A,FALSE,"Plan2"}</definedName>
    <definedName name="gtuigsdyugsdf" hidden="1">{#N/A,#N/A,FALSE,"Plan1";#N/A,#N/A,FALSE,"Plan2"}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0" hidden="1">{#N/A,#N/A,FALSE,"CCTV"}</definedName>
    <definedName name="GV" hidden="1">{#N/A,#N/A,FALSE,"CCTV"}</definedName>
    <definedName name="h" localSheetId="0">#REF!</definedName>
    <definedName name="h">#REF!</definedName>
    <definedName name="hbjgjuae" localSheetId="0">#REF!</definedName>
    <definedName name="hbjgjuae">#REF!</definedName>
    <definedName name="hcjfkhdghfktg" localSheetId="0" hidden="1">{#N/A,#N/A,FALSE,"Plan1";#N/A,#N/A,FALSE,"Plan2"}</definedName>
    <definedName name="hcjfkhdghfktg" hidden="1">{#N/A,#N/A,FALSE,"Plan1";#N/A,#N/A,FALSE,"Plan2"}</definedName>
    <definedName name="hckhjfdkgfdg" localSheetId="0" hidden="1">#REF!</definedName>
    <definedName name="hckhjfdkgfdg" hidden="1">#REF!</definedName>
    <definedName name="hddfndgdf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0" hidden="1">{#N/A,#N/A,FALSE,"Plan1";#N/A,#N/A,FALSE,"Plan2"}</definedName>
    <definedName name="HDFGHGST" hidden="1">{#N/A,#N/A,FALSE,"Plan1";#N/A,#N/A,FALSE,"Plan2"}</definedName>
    <definedName name="HDFGJKHKFDHTY" localSheetId="0" hidden="1">{#N/A,#N/A,FALSE,"Plan1";#N/A,#N/A,FALSE,"Plan2"}</definedName>
    <definedName name="HDFGJKHKFDHTY" hidden="1">{#N/A,#N/A,FALSE,"Plan1";#N/A,#N/A,FALSE,"Plan2"}</definedName>
    <definedName name="hdfhdhrtgd" localSheetId="0" hidden="1">{#N/A,#N/A,FALSE,"Plan1";#N/A,#N/A,FALSE,"Plan2"}</definedName>
    <definedName name="hdfhdhrtgd" hidden="1">{#N/A,#N/A,FALSE,"Plan1";#N/A,#N/A,FALSE,"Plan2"}</definedName>
    <definedName name="hdfhftde" localSheetId="0" hidden="1">{#N/A,#N/A,FALSE,"Plan1";#N/A,#N/A,FALSE,"Plan2"}</definedName>
    <definedName name="hdfhftde" hidden="1">{#N/A,#N/A,FALSE,"Plan1";#N/A,#N/A,FALSE,"Plan2"}</definedName>
    <definedName name="hdfhgkdhgtrf" localSheetId="0" hidden="1">{#N/A,#N/A,FALSE,"Plan1";#N/A,#N/A,FALSE,"Plan2"}</definedName>
    <definedName name="hdfhgkdhgtrf" hidden="1">{#N/A,#N/A,FALSE,"Plan1";#N/A,#N/A,FALSE,"Plan2"}</definedName>
    <definedName name="hdfjhdkzhgdr" localSheetId="0" hidden="1">{#N/A,#N/A,FALSE,"Plan1";#N/A,#N/A,FALSE,"Plan2"}</definedName>
    <definedName name="hdfjhdkzhgdr" hidden="1">{#N/A,#N/A,FALSE,"Plan1";#N/A,#N/A,FALSE,"Plan2"}</definedName>
    <definedName name="hdfjkgvjgtd" localSheetId="0" hidden="1">{#N/A,#N/A,FALSE,"Plan1";#N/A,#N/A,FALSE,"Plan2"}</definedName>
    <definedName name="hdfjkgvjgtd" hidden="1">{#N/A,#N/A,FALSE,"Plan1";#N/A,#N/A,FALSE,"Plan2"}</definedName>
    <definedName name="hdfjkhdhrute" localSheetId="0" hidden="1">{#N/A,#N/A,FALSE,"Plan1";#N/A,#N/A,FALSE,"Plan2"}</definedName>
    <definedName name="hdfjkhdhrute" hidden="1">{#N/A,#N/A,FALSE,"Plan1";#N/A,#N/A,FALSE,"Plan2"}</definedName>
    <definedName name="HDFKGVF" localSheetId="0" hidden="1">{#N/A,#N/A,FALSE,"Plan1";#N/A,#N/A,FALSE,"Plan2"}</definedName>
    <definedName name="HDFKGVF" hidden="1">{#N/A,#N/A,FALSE,"Plan1";#N/A,#N/A,FALSE,"Plan2"}</definedName>
    <definedName name="hdgfhdgtdrt" localSheetId="0" hidden="1">{#N/A,#N/A,FALSE,"Plan1";#N/A,#N/A,FALSE,"Plan2"}</definedName>
    <definedName name="hdgfhdgtdrt" hidden="1">{#N/A,#N/A,FALSE,"Plan1";#N/A,#N/A,FALSE,"Plan2"}</definedName>
    <definedName name="hdghgtgtrgd" localSheetId="0" hidden="1">{#N/A,#N/A,FALSE,"Plan1";#N/A,#N/A,FALSE,"Plan2"}</definedName>
    <definedName name="hdghgtgtrgd" hidden="1">{#N/A,#N/A,FALSE,"Plan1";#N/A,#N/A,FALSE,"Plan2"}</definedName>
    <definedName name="HDHDGHTUHDTG" localSheetId="0" hidden="1">{#N/A,#N/A,FALSE,"Plan1";#N/A,#N/A,FALSE,"Plan2"}</definedName>
    <definedName name="HDHDGHTUHDTG" hidden="1">{#N/A,#N/A,FALSE,"Plan1";#N/A,#N/A,FALSE,"Plan2"}</definedName>
    <definedName name="hdhghfthrrhy" localSheetId="0" hidden="1">{#N/A,#N/A,FALSE,"Plan1";#N/A,#N/A,FALSE,"Plan2"}</definedName>
    <definedName name="hdhghfthrrhy" hidden="1">{#N/A,#N/A,FALSE,"Plan1";#N/A,#N/A,FALSE,"Plan2"}</definedName>
    <definedName name="hdkfjhydjh" localSheetId="0" hidden="1">{#N/A,#N/A,FALSE,"Plan1";#N/A,#N/A,FALSE,"Plan2"}</definedName>
    <definedName name="hdkfjhydjh" hidden="1">{#N/A,#N/A,FALSE,"Plan1";#N/A,#N/A,FALSE,"Plan2"}</definedName>
    <definedName name="hdsgfgrrdgr" localSheetId="0" hidden="1">{#N/A,#N/A,FALSE,"Plan1";#N/A,#N/A,FALSE,"Plan2"}</definedName>
    <definedName name="hdsgfgrrdgr" hidden="1">{#N/A,#N/A,FALSE,"Plan1";#N/A,#N/A,FALSE,"Plan2"}</definedName>
    <definedName name="hdtertkkdsa" localSheetId="0" hidden="1">{#N/A,#N/A,FALSE,"Plan1";#N/A,#N/A,FALSE,"Plan2"}</definedName>
    <definedName name="hdtertkkdsa" hidden="1">{#N/A,#N/A,FALSE,"Plan1";#N/A,#N/A,FALSE,"Plan2"}</definedName>
    <definedName name="Header" localSheetId="0">#REF!</definedName>
    <definedName name="Header">#REF!</definedName>
    <definedName name="HEDHA" localSheetId="0" hidden="1">{#N/A,#N/A,FALSE,"Plan1";#N/A,#N/A,FALSE,"Plan2"}</definedName>
    <definedName name="HEDHA" hidden="1">{#N/A,#N/A,FALSE,"Plan1";#N/A,#N/A,FALSE,"Plan2"}</definedName>
    <definedName name="hei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0">#REF!</definedName>
    <definedName name="HELP">#REF!</definedName>
    <definedName name="herkfdshfker" localSheetId="0" hidden="1">{#N/A,#N/A,FALSE,"Plan1";#N/A,#N/A,FALSE,"Plan2"}</definedName>
    <definedName name="herkfdshfker" hidden="1">{#N/A,#N/A,FALSE,"Plan1";#N/A,#N/A,FALSE,"Plan2"}</definedName>
    <definedName name="hersdtretyt" localSheetId="0" hidden="1">{#N/A,#N/A,FALSE,"Plan1";#N/A,#N/A,FALSE,"Plan2"}</definedName>
    <definedName name="hersdtretyt" hidden="1">{#N/A,#N/A,FALSE,"Plan1";#N/A,#N/A,FALSE,"Plan2"}</definedName>
    <definedName name="HFDJTHTR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0" hidden="1">{#N/A,#N/A,FALSE,"Plan1";#N/A,#N/A,FALSE,"Plan2"}</definedName>
    <definedName name="HFDKHGFR" hidden="1">{#N/A,#N/A,FALSE,"Plan1";#N/A,#N/A,FALSE,"Plan2"}</definedName>
    <definedName name="hfdkhgkfdhtj" localSheetId="0" hidden="1">{#N/A,#N/A,FALSE,"Plan1";#N/A,#N/A,FALSE,"Plan2"}</definedName>
    <definedName name="hfdkhgkfdhtj" hidden="1">{#N/A,#N/A,FALSE,"Plan1";#N/A,#N/A,FALSE,"Plan2"}</definedName>
    <definedName name="hfgfktgkhyt" localSheetId="0" hidden="1">{#N/A,#N/A,FALSE,"Plan1";#N/A,#N/A,FALSE,"Plan2"}</definedName>
    <definedName name="hfgfktgkhyt" hidden="1">{#N/A,#N/A,FALSE,"Plan1";#N/A,#N/A,FALSE,"Plan2"}</definedName>
    <definedName name="hfghdkhrgkjg" localSheetId="0" hidden="1">{#N/A,#N/A,FALSE,"Plan1";#N/A,#N/A,FALSE,"Plan2"}</definedName>
    <definedName name="hfghdkhrgkjg" hidden="1">{#N/A,#N/A,FALSE,"Plan1";#N/A,#N/A,FALSE,"Plan2"}</definedName>
    <definedName name="hfighfth" localSheetId="0" hidden="1">{#N/A,#N/A,FALSE,"Plan1";#N/A,#N/A,FALSE,"Plan2"}</definedName>
    <definedName name="hfighfth" hidden="1">{#N/A,#N/A,FALSE,"Plan1";#N/A,#N/A,FALSE,"Plan2"}</definedName>
    <definedName name="hfjghtfuyrf" localSheetId="0" hidden="1">{#N/A,#N/A,FALSE,"Plan1";#N/A,#N/A,FALSE,"Plan2"}</definedName>
    <definedName name="hfjghtfuyrf" hidden="1">{#N/A,#N/A,FALSE,"Plan1";#N/A,#N/A,FALSE,"Plan2"}</definedName>
    <definedName name="HFKJHDJGHFJ" localSheetId="0" hidden="1">{#N/A,#N/A,FALSE,"Plan1";#N/A,#N/A,FALSE,"Plan2"}</definedName>
    <definedName name="HFKJHDJGHFJ" hidden="1">{#N/A,#N/A,FALSE,"Plan1";#N/A,#N/A,FALSE,"Plan2"}</definedName>
    <definedName name="hgdesgfgsj" localSheetId="0" hidden="1">{#N/A,#N/A,FALSE,"Plan1";#N/A,#N/A,FALSE,"Plan2"}</definedName>
    <definedName name="hgdesgfgsj" hidden="1">{#N/A,#N/A,FALSE,"Plan1";#N/A,#N/A,FALSE,"Plan2"}</definedName>
    <definedName name="hgdgfd" localSheetId="0" hidden="1">{#N/A,#N/A,FALSE,"Plan1";#N/A,#N/A,FALSE,"Plan2"}</definedName>
    <definedName name="hgdgfd" hidden="1">{#N/A,#N/A,FALSE,"Plan1";#N/A,#N/A,FALSE,"Plan2"}</definedName>
    <definedName name="hgfhjkdfhj" localSheetId="0" hidden="1">{#N/A,#N/A,FALSE,"Plan1";#N/A,#N/A,FALSE,"Plan2"}</definedName>
    <definedName name="hgfhjkdfhj" hidden="1">{#N/A,#N/A,FALSE,"Plan1";#N/A,#N/A,FALSE,"Plan2"}</definedName>
    <definedName name="hgg" localSheetId="0" hidden="1">{#N/A,#N/A,FALSE,"Plan1";#N/A,#N/A,FALSE,"Plan2"}</definedName>
    <definedName name="hgg" hidden="1">{#N/A,#N/A,FALSE,"Plan1";#N/A,#N/A,FALSE,"Plan2"}</definedName>
    <definedName name="hgjdfgghg" localSheetId="0" hidden="1">{#N/A,#N/A,FALSE,"Plan1";#N/A,#N/A,FALSE,"Plan2"}</definedName>
    <definedName name="hgjdfgghg" hidden="1">{#N/A,#N/A,FALSE,"Plan1";#N/A,#N/A,FALSE,"Plan2"}</definedName>
    <definedName name="hgjkfdhg" localSheetId="0" hidden="1">{#N/A,#N/A,FALSE,"Plan1";#N/A,#N/A,FALSE,"Plan2"}</definedName>
    <definedName name="hgjkfdhg" hidden="1">{#N/A,#N/A,FALSE,"Plan1";#N/A,#N/A,FALSE,"Plan2"}</definedName>
    <definedName name="hgkdfhkfk" localSheetId="0" hidden="1">{#N/A,#N/A,FALSE,"Plan1";#N/A,#N/A,FALSE,"Plan2"}</definedName>
    <definedName name="hgkdfhkfk" hidden="1">{#N/A,#N/A,FALSE,"Plan1";#N/A,#N/A,FALSE,"Plan2"}</definedName>
    <definedName name="hgkjhdfhtrdyt" localSheetId="0" hidden="1">{#N/A,#N/A,FALSE,"Plan1";#N/A,#N/A,FALSE,"Plan2"}</definedName>
    <definedName name="hgkjhdfhtrdyt" hidden="1">{#N/A,#N/A,FALSE,"Plan1";#N/A,#N/A,FALSE,"Plan2"}</definedName>
    <definedName name="hgkjhdfkhgtfhg" localSheetId="0" hidden="1">{#N/A,#N/A,FALSE,"Plan1";#N/A,#N/A,FALSE,"Plan2"}</definedName>
    <definedName name="hgkjhdfkhgtfhg" hidden="1">{#N/A,#N/A,FALSE,"Plan1";#N/A,#N/A,FALSE,"Plan2"}</definedName>
    <definedName name="hgkjhkfhsdkdhgk" localSheetId="0" hidden="1">{#N/A,#N/A,FALSE,"Plan1";#N/A,#N/A,FALSE,"Plan2"}</definedName>
    <definedName name="hgkjhkfhsdkdhgk" hidden="1">{#N/A,#N/A,FALSE,"Plan1";#N/A,#N/A,FALSE,"Plan2"}</definedName>
    <definedName name="hgsufgdhghd" localSheetId="0" hidden="1">{#N/A,#N/A,FALSE,"Plan1";#N/A,#N/A,FALSE,"Plan2"}</definedName>
    <definedName name="hgsufgdhghd" hidden="1">{#N/A,#N/A,FALSE,"Plan1";#N/A,#N/A,FALSE,"Plan2"}</definedName>
    <definedName name="HHGFHTYUT" localSheetId="0" hidden="1">{#N/A,#N/A,FALSE,"Plan1";#N/A,#N/A,FALSE,"Plan2"}</definedName>
    <definedName name="HHGFHTYUT" hidden="1">{#N/A,#N/A,FALSE,"Plan1";#N/A,#N/A,FALSE,"Plan2"}</definedName>
    <definedName name="hhh" localSheetId="0" hidden="1">{"'Total'!$A$1","'Total'!$A$3"}</definedName>
    <definedName name="hhh" hidden="1">{"'Total'!$A$1","'Total'!$A$3"}</definedName>
    <definedName name="HHIHLK" localSheetId="0" hidden="1">#REF!</definedName>
    <definedName name="HHIHLK" hidden="1">#REF!</definedName>
    <definedName name="hik" localSheetId="0" hidden="1">{#N/A,#N/A,FALSE,"TABLE"}</definedName>
    <definedName name="hik" hidden="1">{#N/A,#N/A,FALSE,"TABLE"}</definedName>
    <definedName name="hist" localSheetId="0">#REF!</definedName>
    <definedName name="hist">#REF!</definedName>
    <definedName name="HIST1" localSheetId="0">#REF!</definedName>
    <definedName name="HIST1">#REF!</definedName>
    <definedName name="HISTEQ" localSheetId="0">#REF!</definedName>
    <definedName name="HISTEQ">#REF!</definedName>
    <definedName name="HISTOGRAMA">#REF!</definedName>
    <definedName name="hjdgtjdjxrfg" localSheetId="0" hidden="1">{#N/A,#N/A,FALSE,"Plan1";#N/A,#N/A,FALSE,"Plan2"}</definedName>
    <definedName name="hjdgtjdjxrfg" hidden="1">{#N/A,#N/A,FALSE,"Plan1";#N/A,#N/A,FALSE,"Plan2"}</definedName>
    <definedName name="HJFDGD" localSheetId="0" hidden="1">{#N/A,#N/A,FALSE,"Plan1";#N/A,#N/A,FALSE,"Plan2"}</definedName>
    <definedName name="HJFDGD" hidden="1">{#N/A,#N/A,FALSE,"Plan1";#N/A,#N/A,FALSE,"Plan2"}</definedName>
    <definedName name="HJGASD" localSheetId="0" hidden="1">{#N/A,#N/A,FALSE,"Plan1";#N/A,#N/A,FALSE,"Plan2"}</definedName>
    <definedName name="HJGASD" hidden="1">{#N/A,#N/A,FALSE,"Plan1";#N/A,#N/A,FALSE,"Plan2"}</definedName>
    <definedName name="HJGFGTFDG" localSheetId="0" hidden="1">{#N/A,#N/A,FALSE,"Plan1";#N/A,#N/A,FALSE,"Plan2"}</definedName>
    <definedName name="HJGFGTFDG" hidden="1">{#N/A,#N/A,FALSE,"Plan1";#N/A,#N/A,FALSE,"Plan2"}</definedName>
    <definedName name="hjgfhdsgfhsd" localSheetId="0" hidden="1">{#N/A,#N/A,FALSE,"Plan1";#N/A,#N/A,FALSE,"Plan2"}</definedName>
    <definedName name="hjgfhdsgfhsd" hidden="1">{#N/A,#N/A,FALSE,"Plan1";#N/A,#N/A,FALSE,"Plan2"}</definedName>
    <definedName name="hjgxfjgdjyftr" localSheetId="0" hidden="1">{#N/A,#N/A,FALSE,"Plan1";#N/A,#N/A,FALSE,"Plan2"}</definedName>
    <definedName name="hjgxfjgdjyftr" hidden="1">{#N/A,#N/A,FALSE,"Plan1";#N/A,#N/A,FALSE,"Plan2"}</definedName>
    <definedName name="hjgyugasd" localSheetId="0" hidden="1">{#N/A,#N/A,FALSE,"Plan1";#N/A,#N/A,FALSE,"Plan2"}</definedName>
    <definedName name="hjgyugasd" hidden="1">{#N/A,#N/A,FALSE,"Plan1";#N/A,#N/A,FALSE,"Plan2"}</definedName>
    <definedName name="hjjfyfy" localSheetId="0" hidden="1">{#N/A,#N/A,FALSE,"Plan1";#N/A,#N/A,FALSE,"Plan2"}</definedName>
    <definedName name="hjjfyfy" hidden="1">{#N/A,#N/A,FALSE,"Plan1";#N/A,#N/A,FALSE,"Plan2"}</definedName>
    <definedName name="hjkchkvjhdjkgh" localSheetId="0" hidden="1">{#N/A,#N/A,FALSE,"Plan1";#N/A,#N/A,FALSE,"Plan2"}</definedName>
    <definedName name="hjkchkvjhdjkgh" hidden="1">{#N/A,#N/A,FALSE,"Plan1";#N/A,#N/A,FALSE,"Plan2"}</definedName>
    <definedName name="hjkfjdyht" localSheetId="0" hidden="1">{#N/A,#N/A,FALSE,"Plan1";#N/A,#N/A,FALSE,"Plan2"}</definedName>
    <definedName name="hjkfjdyht" hidden="1">{#N/A,#N/A,FALSE,"Plan1";#N/A,#N/A,FALSE,"Plan2"}</definedName>
    <definedName name="hjsdffe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0" hidden="1">{#N/A,#N/A,FALSE,"Plan1";#N/A,#N/A,FALSE,"Plan2"}</definedName>
    <definedName name="hjsdkhk" hidden="1">{#N/A,#N/A,FALSE,"Plan1";#N/A,#N/A,FALSE,"Plan2"}</definedName>
    <definedName name="hjsdsdrjfrh" hidden="1">2</definedName>
    <definedName name="hjsrdfre" localSheetId="0" hidden="1">{"Econ Consolidado",#N/A,FALSE,"Econ Consol";"Fluxo de Caixa",#N/A,FALSE,"Fluxo Caixa";"Investimentos",#N/A,FALSE,"Investimentos"}</definedName>
    <definedName name="hjsrdfre" hidden="1">{"Econ Consolidado",#N/A,FALSE,"Econ Consol";"Fluxo de Caixa",#N/A,FALSE,"Fluxo Caixa";"Investimentos",#N/A,FALSE,"Investimentos"}</definedName>
    <definedName name="HKewewsr" localSheetId="0" hidden="1">{#N/A,#N/A,FALSE,"Plan1";#N/A,#N/A,FALSE,"Plan2"}</definedName>
    <definedName name="HKewewsr" hidden="1">{#N/A,#N/A,FALSE,"Plan1";#N/A,#N/A,FALSE,"Plan2"}</definedName>
    <definedName name="hkhdskacd" localSheetId="0" hidden="1">{#N/A,#N/A,FALSE,"Plan1";#N/A,#N/A,FALSE,"Plan2"}</definedName>
    <definedName name="hkhdskacd" hidden="1">{#N/A,#N/A,FALSE,"Plan1";#N/A,#N/A,FALSE,"Plan2"}</definedName>
    <definedName name="hkjfgfhgfh" localSheetId="0" hidden="1">{#N/A,#N/A,FALSE,"Plan1";#N/A,#N/A,FALSE,"Plan2"}</definedName>
    <definedName name="hkjfgfhgfh" hidden="1">{#N/A,#N/A,FALSE,"Plan1";#N/A,#N/A,FALSE,"Plan2"}</definedName>
    <definedName name="hkjfhgjkfhghfg" localSheetId="0" hidden="1">{#N/A,#N/A,FALSE,"Plan1";#N/A,#N/A,FALSE,"Plan2"}</definedName>
    <definedName name="hkjfhgjkfhghfg" hidden="1">{#N/A,#N/A,FALSE,"Plan1";#N/A,#N/A,FALSE,"Plan2"}</definedName>
    <definedName name="HKLZHFRH" localSheetId="0" hidden="1">{#N/A,#N/A,FALSE,"Plan1";#N/A,#N/A,FALSE,"Plan2"}</definedName>
    <definedName name="HKLZHFRH" hidden="1">{#N/A,#N/A,FALSE,"Plan1";#N/A,#N/A,FALSE,"Plan2"}</definedName>
    <definedName name="ho" localSheetId="0" hidden="1">{#N/A,#N/A,FALSE,"TABLE"}</definedName>
    <definedName name="ho" hidden="1">{#N/A,#N/A,FALSE,"TABLE"}</definedName>
    <definedName name="HOJE" localSheetId="0">#REF!</definedName>
    <definedName name="HOJE">#REF!</definedName>
    <definedName name="HONORARIOS" localSheetId="0">#REF!</definedName>
    <definedName name="HONORARIOS">#REF!</definedName>
    <definedName name="HOSPEDES" localSheetId="0">#REF!</definedName>
    <definedName name="HOSPEDES">#REF!</definedName>
    <definedName name="HOTEL">#REF!</definedName>
    <definedName name="hrterte" localSheetId="0" hidden="1">{#N/A,#N/A,FALSE,"Plan1";#N/A,#N/A,FALSE,"Plan2"}</definedName>
    <definedName name="hrterte" hidden="1">{#N/A,#N/A,FALSE,"Plan1";#N/A,#N/A,FALSE,"Plan2"}</definedName>
    <definedName name="hsdf" localSheetId="0" hidden="1">{#N/A,#N/A,FALSE,"Plan1";#N/A,#N/A,FALSE,"Plan2"}</definedName>
    <definedName name="hsdf" hidden="1">{#N/A,#N/A,FALSE,"Plan1";#N/A,#N/A,FALSE,"Plan2"}</definedName>
    <definedName name="hsdfgdgudrt" localSheetId="0" hidden="1">{#N/A,#N/A,FALSE,"Plan1";#N/A,#N/A,FALSE,"Plan2"}</definedName>
    <definedName name="hsdfgdgudrt" hidden="1">{#N/A,#N/A,FALSE,"Plan1";#N/A,#N/A,FALSE,"Plan2"}</definedName>
    <definedName name="hsdfjkdhur" localSheetId="0" hidden="1">{#N/A,#N/A,FALSE,"Plan1";#N/A,#N/A,FALSE,"Plan2"}</definedName>
    <definedName name="hsdfjkdhur" hidden="1">{#N/A,#N/A,FALSE,"Plan1";#N/A,#N/A,FALSE,"Plan2"}</definedName>
    <definedName name="hsdgftdh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0" hidden="1">{#N/A,#N/A,FALSE,"Plan1";#N/A,#N/A,FALSE,"Plan2"}</definedName>
    <definedName name="hsdjffd" hidden="1">{#N/A,#N/A,FALSE,"Plan1";#N/A,#N/A,FALSE,"Plan2"}</definedName>
    <definedName name="hsdjffe" localSheetId="0" hidden="1">{#N/A,#N/A,FALSE,"Plan1";#N/A,#N/A,FALSE,"Plan2"}</definedName>
    <definedName name="hsdjffe" hidden="1">{#N/A,#N/A,FALSE,"Plan1";#N/A,#N/A,FALSE,"Plan2"}</definedName>
    <definedName name="HSFIHDTR" localSheetId="0" hidden="1">{"Econ Consolidado",#N/A,FALSE,"Econ Consol";"Fluxo de Caixa",#N/A,FALSE,"Fluxo Caixa";"Investimentos",#N/A,FALSE,"Investimentos"}</definedName>
    <definedName name="HSFIHDTR" hidden="1">{"Econ Consolidado",#N/A,FALSE,"Econ Consol";"Fluxo de Caixa",#N/A,FALSE,"Fluxo Caixa";"Investimentos",#N/A,FALSE,"Investimentos"}</definedName>
    <definedName name="hsfjkdshrgf" localSheetId="0" hidden="1">{#N/A,#N/A,FALSE,"Plan1";#N/A,#N/A,FALSE,"Plan2"}</definedName>
    <definedName name="hsfjkdshrgf" hidden="1">{#N/A,#N/A,FALSE,"Plan1";#N/A,#N/A,FALSE,"Plan2"}</definedName>
    <definedName name="hthhrtetdre" localSheetId="0" hidden="1">{#N/A,#N/A,FALSE,"Plan1";#N/A,#N/A,FALSE,"Plan2"}</definedName>
    <definedName name="hthhrtetdre" hidden="1">{#N/A,#N/A,FALSE,"Plan1";#N/A,#N/A,FALSE,"Plan2"}</definedName>
    <definedName name="HTM" localSheetId="0">#REF!</definedName>
    <definedName name="HTM">#REF!</definedName>
    <definedName name="HTML_CodePage" hidden="1">949</definedName>
    <definedName name="HTML_Control" localSheetId="0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localSheetId="0" hidden="1">{"'Estimativa de Lançamento-JAN'!$A$1:$AI$85"}</definedName>
    <definedName name="HTML2_CONTROL" hidden="1">{"'Estimativa de Lançamento-JAN'!$A$1:$AI$85"}</definedName>
    <definedName name="HTML3_CONTROL" localSheetId="0" hidden="1">{"'Estimativa de Lançamento-JAN'!$A$1:$AI$85"}</definedName>
    <definedName name="HTML3_CONTROL" hidden="1">{"'Estimativa de Lançamento-JAN'!$A$1:$AI$85"}</definedName>
    <definedName name="HTMLControl" localSheetId="0" hidden="1">{"'Edit'!$A$1:$V$2277"}</definedName>
    <definedName name="HTMLControl" hidden="1">{"'Edit'!$A$1:$V$2277"}</definedName>
    <definedName name="HTN">#REF!</definedName>
    <definedName name="HVJKHGKFXHFD" localSheetId="0" hidden="1">{#N/A,#N/A,FALSE,"Plan1";#N/A,#N/A,FALSE,"Plan2"}</definedName>
    <definedName name="HVJKHGKFXHFD" hidden="1">{#N/A,#N/A,FALSE,"Plan1";#N/A,#N/A,FALSE,"Plan2"}</definedName>
    <definedName name="hwekjhekhf" localSheetId="0" hidden="1">{#N/A,#N/A,FALSE,"Plan1";#N/A,#N/A,FALSE,"Plan2"}</definedName>
    <definedName name="hwekjhekhf" hidden="1">{#N/A,#N/A,FALSE,"Plan1";#N/A,#N/A,FALSE,"Plan2"}</definedName>
    <definedName name="HXFRE" localSheetId="0" hidden="1">{#N/A,#N/A,FALSE,"Plan1";#N/A,#N/A,FALSE,"Plan2"}</definedName>
    <definedName name="HXFRE" hidden="1">{#N/A,#N/A,FALSE,"Plan1";#N/A,#N/A,FALSE,"Plan2"}</definedName>
    <definedName name="HXKJFGDKHG" localSheetId="0" hidden="1">{#N/A,#N/A,FALSE,"Plan1";#N/A,#N/A,FALSE,"Plan2"}</definedName>
    <definedName name="HXKJFGDKHG" hidden="1">{#N/A,#N/A,FALSE,"Plan1";#N/A,#N/A,FALSE,"Plan2"}</definedName>
    <definedName name="I" localSheetId="0">#REF!</definedName>
    <definedName name="I">#REF!</definedName>
    <definedName name="ibir_cdi" localSheetId="0">#REF!</definedName>
    <definedName name="ibir_cdi">#REF!</definedName>
    <definedName name="ibir_hist" localSheetId="0">#REF!</definedName>
    <definedName name="ibir_hist">#REF!</definedName>
    <definedName name="ibir_uss">#REF!</definedName>
    <definedName name="IC" localSheetId="0" hidden="1">#REF!</definedName>
    <definedName name="IC" hidden="1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localSheetId="0" hidden="1">{#N/A,#N/A,FALSE,"Plan1";#N/A,#N/A,FALSE,"Plan2"}</definedName>
    <definedName name="idfhgkjhfkthy" hidden="1">{#N/A,#N/A,FALSE,"Plan1";#N/A,#N/A,FALSE,"Plan2"}</definedName>
    <definedName name="ieroweft" localSheetId="0" hidden="1">{#N/A,#N/A,FALSE,"Plan1";#N/A,#N/A,FALSE,"Plan2"}</definedName>
    <definedName name="ieroweft" hidden="1">{#N/A,#N/A,FALSE,"Plan1";#N/A,#N/A,FALSE,"Plan2"}</definedName>
    <definedName name="iewpotqi5poejy" localSheetId="0" hidden="1">{#N/A,#N/A,FALSE,"Plan1";#N/A,#N/A,FALSE,"Plan2"}</definedName>
    <definedName name="iewpotqi5poejy" hidden="1">{#N/A,#N/A,FALSE,"Plan1";#N/A,#N/A,FALSE,"Plan2"}</definedName>
    <definedName name="ihdfifguhgfuiy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0" hidden="1">#REF!</definedName>
    <definedName name="iheidhgufr" hidden="1">#REF!</definedName>
    <definedName name="ihfdkjhktgrd" localSheetId="0" hidden="1">{#N/A,#N/A,FALSE,"Plan1";#N/A,#N/A,FALSE,"Plan2"}</definedName>
    <definedName name="ihfdkjhktgrd" hidden="1">{#N/A,#N/A,FALSE,"Plan1";#N/A,#N/A,FALSE,"Plan2"}</definedName>
    <definedName name="ihrtetw4r" localSheetId="0" hidden="1">{#N/A,#N/A,FALSE,"Plan1";#N/A,#N/A,FALSE,"Plan2"}</definedName>
    <definedName name="ihrtetw4r" hidden="1">{#N/A,#N/A,FALSE,"Plan1";#N/A,#N/A,FALSE,"Plan2"}</definedName>
    <definedName name="II" localSheetId="0">#REF!</definedName>
    <definedName name="II">#REF!</definedName>
    <definedName name="IIASDSAWE" localSheetId="0" hidden="1">{"Econ Consolidado",#N/A,FALSE,"Econ Consol";"Fluxo de Caixa",#N/A,FALSE,"Fluxo Caixa";"Investimentos",#N/A,FALSE,"Investimentos"}</definedName>
    <definedName name="IIASDSAWE" hidden="1">{"Econ Consolidado",#N/A,FALSE,"Econ Consol";"Fluxo de Caixa",#N/A,FALSE,"Fluxo Caixa";"Investimentos",#N/A,FALSE,"Investimentos"}</definedName>
    <definedName name="III" localSheetId="0">#REF!</definedName>
    <definedName name="III">#REF!</definedName>
    <definedName name="iins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0" hidden="1">{#N/A,#N/A,FALSE,"Plan1";#N/A,#N/A,FALSE,"Plan2"}</definedName>
    <definedName name="ilhweilrji4e" hidden="1">{#N/A,#N/A,FALSE,"Plan1";#N/A,#N/A,FALSE,"Plan2"}</definedName>
    <definedName name="ilsdr4w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0">#REF!</definedName>
    <definedName name="IM">#REF!</definedName>
    <definedName name="IMP" localSheetId="0" hidden="1">#REF!</definedName>
    <definedName name="IMP" hidden="1">#REF!</definedName>
    <definedName name="IMPERMEABILIZ." localSheetId="0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 localSheetId="0" hidden="1">#REF!</definedName>
    <definedName name="Index" hidden="1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0">#REF!</definedName>
    <definedName name="INSS_Bloqueado_Fin_Medição">#REF!</definedName>
    <definedName name="Inss_Bloqueado_Previsão_Fin_Medições" localSheetId="0">#REF!</definedName>
    <definedName name="Inss_Bloqueado_Previsão_Fin_Medições">#REF!</definedName>
    <definedName name="instalaçoe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0">OFFSET(#REF!,0,0,COUNTA(#REF!),1)</definedName>
    <definedName name="INSU">OFFSET(#REF!,0,0,COUNTA(#REF!),1)</definedName>
    <definedName name="INSUMOS" localSheetId="0">#REF!</definedName>
    <definedName name="INSUMOS">#REF!</definedName>
    <definedName name="INT.FILTRO.NBASE" localSheetId="0">#REF!</definedName>
    <definedName name="INT.FILTRO.NBASE">#REF!</definedName>
    <definedName name="INTEGRA" localSheetId="0" hidden="1">{"'Edit'!$A$1:$V$2277"}</definedName>
    <definedName name="INTEGRA" hidden="1">{"'Edit'!$A$1:$V$2277"}</definedName>
    <definedName name="IO">196.003</definedName>
    <definedName name="ioeriotyt" localSheetId="0" hidden="1">{#N/A,#N/A,FALSE,"Plan1";#N/A,#N/A,FALSE,"Plan2"}</definedName>
    <definedName name="ioeriotyt" hidden="1">{#N/A,#N/A,FALSE,"Plan1";#N/A,#N/A,FALSE,"Plan2"}</definedName>
    <definedName name="iohudtorh" localSheetId="0" hidden="1">{#N/A,#N/A,FALSE,"Plan1";#N/A,#N/A,FALSE,"Plan2"}</definedName>
    <definedName name="iohudtorh" hidden="1">{#N/A,#N/A,FALSE,"Plan1";#N/A,#N/A,FALSE,"Plan2"}</definedName>
    <definedName name="iojtkheayed" localSheetId="0" hidden="1">{#N/A,#N/A,FALSE,"Plan1";#N/A,#N/A,FALSE,"Plan2"}</definedName>
    <definedName name="iojtkheayed" hidden="1">{#N/A,#N/A,FALSE,"Plan1";#N/A,#N/A,FALSE,"Plan2"}</definedName>
    <definedName name="iouweroieuw4" localSheetId="0" hidden="1">{#N/A,#N/A,FALSE,"Plan1";#N/A,#N/A,FALSE,"Plan2"}</definedName>
    <definedName name="iouweroieuw4" hidden="1">{#N/A,#N/A,FALSE,"Plan1";#N/A,#N/A,FALSE,"Plan2"}</definedName>
    <definedName name="iphifpgh" localSheetId="0" hidden="1">{#N/A,#N/A,FALSE,"Plan1";#N/A,#N/A,FALSE,"Plan2"}</definedName>
    <definedName name="iphifpgh" hidden="1">{#N/A,#N/A,FALSE,"Plan1";#N/A,#N/A,FALSE,"Plan2"}</definedName>
    <definedName name="IPMF" localSheetId="0">#REF!</definedName>
    <definedName name="IPMF">#REF!</definedName>
    <definedName name="ipodsifgpd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0" hidden="1">{#N/A,#N/A,FALSE,"Plan1";#N/A,#N/A,FALSE,"Plan2"}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 localSheetId="0">#REF!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 localSheetId="16">#REF!</definedName>
    <definedName name="item_1" localSheetId="18">#REF!</definedName>
    <definedName name="item_1" localSheetId="1">#REF!</definedName>
    <definedName name="item_1" localSheetId="8">#REF!</definedName>
    <definedName name="item_1" localSheetId="2">#REF!</definedName>
    <definedName name="item_1" localSheetId="0">#REF!</definedName>
    <definedName name="item_1" localSheetId="9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0">#REF!</definedName>
    <definedName name="ITENS">#REF!</definedName>
    <definedName name="ITENS0" localSheetId="0">#REF!</definedName>
    <definedName name="ITENS0">#REF!</definedName>
    <definedName name="ITENS1" localSheetId="0">#REF!</definedName>
    <definedName name="ITENS1">#REF!</definedName>
    <definedName name="ITENSP">#REF!</definedName>
    <definedName name="ITENSPMED">#REF!</definedName>
    <definedName name="IUGFGDFUY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0">#REF!</definedName>
    <definedName name="IV">#REF!</definedName>
    <definedName name="iyguygiyt" localSheetId="0" hidden="1">{#N/A,#N/A,FALSE,"Plan1";#N/A,#N/A,FALSE,"Plan2"}</definedName>
    <definedName name="iyguygiyt" hidden="1">{#N/A,#N/A,FALSE,"Plan1";#N/A,#N/A,FALSE,"Plan2"}</definedName>
    <definedName name="iyuyheturtd" localSheetId="0" hidden="1">{#N/A,#N/A,FALSE,"Plan1";#N/A,#N/A,FALSE,"Plan2"}</definedName>
    <definedName name="iyuyheturtd" hidden="1">{#N/A,#N/A,FALSE,"Plan1";#N/A,#N/A,FALSE,"Plan2"}</definedName>
    <definedName name="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0" hidden="1">{#N/A,#N/A,FALSE,"Plan1";#N/A,#N/A,FALSE,"Plan2"}</definedName>
    <definedName name="jalejdasjf" hidden="1">{#N/A,#N/A,FALSE,"Plan1";#N/A,#N/A,FALSE,"Plan2"}</definedName>
    <definedName name="jan_05" localSheetId="0">#REF!</definedName>
    <definedName name="jan_05">#REF!</definedName>
    <definedName name="jan17RJ" localSheetId="0">#REF!</definedName>
    <definedName name="jan17RJ">#REF!</definedName>
    <definedName name="JANEIRO2001" localSheetId="0">#REF!</definedName>
    <definedName name="JANEIRO2001">#REF!</definedName>
    <definedName name="JASDJS" localSheetId="0" hidden="1">{#N/A,#N/A,FALSE,"Plan1";#N/A,#N/A,FALSE,"Plan2"}</definedName>
    <definedName name="JASDJS" hidden="1">{#N/A,#N/A,FALSE,"Plan1";#N/A,#N/A,FALSE,"Plan2"}</definedName>
    <definedName name="jaskldjlse" localSheetId="0" hidden="1">{#N/A,#N/A,FALSE,"Plan1";#N/A,#N/A,FALSE,"Plan2"}</definedName>
    <definedName name="jaskldjlse" hidden="1">{#N/A,#N/A,FALSE,"Plan1";#N/A,#N/A,FALSE,"Plan2"}</definedName>
    <definedName name="JASLDKLD" localSheetId="0" hidden="1">{#N/A,#N/A,FALSE,"Plan1";#N/A,#N/A,FALSE,"Plan2"}</definedName>
    <definedName name="JASLDKLD" hidden="1">{#N/A,#N/A,FALSE,"Plan1";#N/A,#N/A,FALSE,"Plan2"}</definedName>
    <definedName name="jasoe" localSheetId="0" hidden="1">#REF!</definedName>
    <definedName name="jasoe" hidden="1">#REF!</definedName>
    <definedName name="jbzxffcbgdhgft" localSheetId="0" hidden="1">#REF!</definedName>
    <definedName name="jbzxffcbgdhgft" hidden="1">#REF!</definedName>
    <definedName name="JÇDFHDF" localSheetId="0" hidden="1">{"Econ Consolidado",#N/A,FALSE,"Econ Consol";"Fluxo de Caixa",#N/A,FALSE,"Fluxo Caixa";"Investimentos",#N/A,FALSE,"Investimentos"}</definedName>
    <definedName name="JÇDFHDF" hidden="1">{"Econ Consolidado",#N/A,FALSE,"Econ Consol";"Fluxo de Caixa",#N/A,FALSE,"Fluxo Caixa";"Investimentos",#N/A,FALSE,"Investimentos"}</definedName>
    <definedName name="jdbgftbhr" localSheetId="0" hidden="1">{#N/A,#N/A,FALSE,"Plan1";#N/A,#N/A,FALSE,"Plan2"}</definedName>
    <definedName name="jdbgftbhr" hidden="1">{#N/A,#N/A,FALSE,"Plan1";#N/A,#N/A,FALSE,"Plan2"}</definedName>
    <definedName name="jdfgkrhgft" localSheetId="0" hidden="1">#REF!</definedName>
    <definedName name="jdfgkrhgft" hidden="1">#REF!</definedName>
    <definedName name="jdfgldfjgklh" localSheetId="0" hidden="1">{#N/A,#N/A,FALSE,"Plan1";#N/A,#N/A,FALSE,"Plan2"}</definedName>
    <definedName name="jdfgldfjgklh" hidden="1">{#N/A,#N/A,FALSE,"Plan1";#N/A,#N/A,FALSE,"Plan2"}</definedName>
    <definedName name="jdfhjkdrhjtkg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0" hidden="1">{#N/A,#N/A,FALSE,"Plan1";#N/A,#N/A,FALSE,"Plan2"}</definedName>
    <definedName name="jdfjdtrgt" hidden="1">{#N/A,#N/A,FALSE,"Plan1";#N/A,#N/A,FALSE,"Plan2"}</definedName>
    <definedName name="JDFJLDJR" localSheetId="0" hidden="1">{#N/A,#N/A,FALSE,"Plan1";#N/A,#N/A,FALSE,"Plan2"}</definedName>
    <definedName name="JDFJLDJR" hidden="1">{#N/A,#N/A,FALSE,"Plan1";#N/A,#N/A,FALSE,"Plan2"}</definedName>
    <definedName name="jdfkgitfgdrtt" localSheetId="0" hidden="1">{#N/A,#N/A,FALSE,"Plan1";#N/A,#N/A,FALSE,"Plan2"}</definedName>
    <definedName name="jdfkgitfgdrtt" hidden="1">{#N/A,#N/A,FALSE,"Plan1";#N/A,#N/A,FALSE,"Plan2"}</definedName>
    <definedName name="JDFKHFKJ" localSheetId="0" hidden="1">{#N/A,#N/A,FALSE,"Plan1";#N/A,#N/A,FALSE,"Plan2"}</definedName>
    <definedName name="JDFKHFKJ" hidden="1">{#N/A,#N/A,FALSE,"Plan1";#N/A,#N/A,FALSE,"Plan2"}</definedName>
    <definedName name="jdfklgtdtr" localSheetId="0" hidden="1">{#N/A,#N/A,FALSE,"Plan1";#N/A,#N/A,FALSE,"Plan2"}</definedName>
    <definedName name="jdfklgtdtr" hidden="1">{#N/A,#N/A,FALSE,"Plan1";#N/A,#N/A,FALSE,"Plan2"}</definedName>
    <definedName name="JDFKTHRT" localSheetId="0" hidden="1">{#N/A,#N/A,FALSE,"Plan1";#N/A,#N/A,FALSE,"Plan2"}</definedName>
    <definedName name="JDFKTHRT" hidden="1">{#N/A,#N/A,FALSE,"Plan1";#N/A,#N/A,FALSE,"Plan2"}</definedName>
    <definedName name="JDFLKJDRF" localSheetId="0" hidden="1">{#N/A,#N/A,FALSE,"Plan1";#N/A,#N/A,FALSE,"Plan2"}</definedName>
    <definedName name="JDFLKJDRF" hidden="1">{#N/A,#N/A,FALSE,"Plan1";#N/A,#N/A,FALSE,"Plan2"}</definedName>
    <definedName name="jdfzlkjgfdht" localSheetId="0" hidden="1">{#N/A,#N/A,FALSE,"Plan1";#N/A,#N/A,FALSE,"Plan2"}</definedName>
    <definedName name="jdfzlkjgfdht" hidden="1">{#N/A,#N/A,FALSE,"Plan1";#N/A,#N/A,FALSE,"Plan2"}</definedName>
    <definedName name="jdglhfghkt" localSheetId="0" hidden="1">{#N/A,#N/A,FALSE,"Plan1";#N/A,#N/A,FALSE,"Plan2"}</definedName>
    <definedName name="jdglhfghkt" hidden="1">{#N/A,#N/A,FALSE,"Plan1";#N/A,#N/A,FALSE,"Plan2"}</definedName>
    <definedName name="jdhfjdhgfd" localSheetId="0" hidden="1">{#N/A,#N/A,FALSE,"Plan1";#N/A,#N/A,FALSE,"Plan2"}</definedName>
    <definedName name="jdhfjdhgfd" hidden="1">{#N/A,#N/A,FALSE,"Plan1";#N/A,#N/A,FALSE,"Plan2"}</definedName>
    <definedName name="jdjdjdjd" localSheetId="0" hidden="1">{#N/A,#N/A,FALSE,"명세표"}</definedName>
    <definedName name="jdjdjdjd" hidden="1">{#N/A,#N/A,FALSE,"명세표"}</definedName>
    <definedName name="jdkfhgjhf" localSheetId="0" hidden="1">{#N/A,#N/A,FALSE,"Plan1";#N/A,#N/A,FALSE,"Plan2"}</definedName>
    <definedName name="jdkfhgjhf" hidden="1">{#N/A,#N/A,FALSE,"Plan1";#N/A,#N/A,FALSE,"Plan2"}</definedName>
    <definedName name="jdkfjdtr" localSheetId="0" hidden="1">{#N/A,#N/A,FALSE,"Plan1";#N/A,#N/A,FALSE,"Plan2"}</definedName>
    <definedName name="jdkfjdtr" hidden="1">{#N/A,#N/A,FALSE,"Plan1";#N/A,#N/A,FALSE,"Plan2"}</definedName>
    <definedName name="jdljgftldjti5r" localSheetId="0" hidden="1">{#N/A,#N/A,FALSE,"Plan1";#N/A,#N/A,FALSE,"Plan2"}</definedName>
    <definedName name="jdljgftldjti5r" hidden="1">{#N/A,#N/A,FALSE,"Plan1";#N/A,#N/A,FALSE,"Plan2"}</definedName>
    <definedName name="JDLKJDASGF" localSheetId="0" hidden="1">{#N/A,#N/A,FALSE,"Plan1";#N/A,#N/A,FALSE,"Plan2"}</definedName>
    <definedName name="JDLKJDASGF" hidden="1">{#N/A,#N/A,FALSE,"Plan1";#N/A,#N/A,FALSE,"Plan2"}</definedName>
    <definedName name="jdrfkdjfghrtfjg" localSheetId="0" hidden="1">{#N/A,#N/A,FALSE,"Plan1";#N/A,#N/A,FALSE,"Plan2"}</definedName>
    <definedName name="jdrfkdjfghrtfjg" hidden="1">{#N/A,#N/A,FALSE,"Plan1";#N/A,#N/A,FALSE,"Plan2"}</definedName>
    <definedName name="jdskfhdk" localSheetId="0" hidden="1">{#N/A,#N/A,FALSE,"Plan1";#N/A,#N/A,FALSE,"Plan2"}</definedName>
    <definedName name="jdskfhdk" hidden="1">{#N/A,#N/A,FALSE,"Plan1";#N/A,#N/A,FALSE,"Plan2"}</definedName>
    <definedName name="JDSKLGKDRHGGF" localSheetId="0" hidden="1">{#N/A,#N/A,FALSE,"Plan1";#N/A,#N/A,FALSE,"Plan2"}</definedName>
    <definedName name="JDSKLGKDRHGGF" hidden="1">{#N/A,#N/A,FALSE,"Plan1";#N/A,#N/A,FALSE,"Plan2"}</definedName>
    <definedName name="jefsgfr" localSheetId="0" hidden="1">{#N/A,#N/A,FALSE,"Plan1";#N/A,#N/A,FALSE,"Plan2"}</definedName>
    <definedName name="jefsgfr" hidden="1">{#N/A,#N/A,FALSE,"Plan1";#N/A,#N/A,FALSE,"Plan2"}</definedName>
    <definedName name="JERHIEHYURE" localSheetId="0" hidden="1">{#N/A,#N/A,FALSE,"Plan1";#N/A,#N/A,FALSE,"Plan2"}</definedName>
    <definedName name="JERHIEHYURE" hidden="1">{#N/A,#N/A,FALSE,"Plan1";#N/A,#N/A,FALSE,"Plan2"}</definedName>
    <definedName name="jfddlsrtyty" localSheetId="0" hidden="1">{#N/A,#N/A,FALSE,"Plan1";#N/A,#N/A,FALSE,"Plan2"}</definedName>
    <definedName name="jfddlsrtyty" hidden="1">{#N/A,#N/A,FALSE,"Plan1";#N/A,#N/A,FALSE,"Plan2"}</definedName>
    <definedName name="jfdjtgdjghitfyh" localSheetId="0" hidden="1">{#N/A,#N/A,FALSE,"Plan1";#N/A,#N/A,FALSE,"Plan2"}</definedName>
    <definedName name="jfdjtgdjghitfyh" hidden="1">{#N/A,#N/A,FALSE,"Plan1";#N/A,#N/A,FALSE,"Plan2"}</definedName>
    <definedName name="jfdkgkftftg" localSheetId="0" hidden="1">{#N/A,#N/A,FALSE,"Plan1";#N/A,#N/A,FALSE,"Plan2"}</definedName>
    <definedName name="jfdkgkftftg" hidden="1">{#N/A,#N/A,FALSE,"Plan1";#N/A,#N/A,FALSE,"Plan2"}</definedName>
    <definedName name="jfghjkfdhtkyr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0" hidden="1">{#N/A,#N/A,FALSE,"Plan1";#N/A,#N/A,FALSE,"Plan2"}</definedName>
    <definedName name="JFGJYHTY" hidden="1">{#N/A,#N/A,FALSE,"Plan1";#N/A,#N/A,FALSE,"Plan2"}</definedName>
    <definedName name="jfgkflcnjkglc" localSheetId="0" hidden="1">{#N/A,#N/A,FALSE,"Plan1";#N/A,#N/A,FALSE,"Plan2"}</definedName>
    <definedName name="jfgkflcnjkglc" hidden="1">{#N/A,#N/A,FALSE,"Plan1";#N/A,#N/A,FALSE,"Plan2"}</definedName>
    <definedName name="JFHRE" localSheetId="0" hidden="1">{#N/A,#N/A,FALSE,"Plan1";#N/A,#N/A,FALSE,"Plan2"}</definedName>
    <definedName name="JFHRE" hidden="1">{#N/A,#N/A,FALSE,"Plan1";#N/A,#N/A,FALSE,"Plan2"}</definedName>
    <definedName name="jfkdls5jtirjd" localSheetId="0" hidden="1">{#N/A,#N/A,FALSE,"Plan1";#N/A,#N/A,FALSE,"Plan2"}</definedName>
    <definedName name="jfkdls5jtirjd" hidden="1">{#N/A,#N/A,FALSE,"Plan1";#N/A,#N/A,FALSE,"Plan2"}</definedName>
    <definedName name="jfkljdkfcj" localSheetId="0" hidden="1">{#N/A,#N/A,FALSE,"Plan1";#N/A,#N/A,FALSE,"Plan2"}</definedName>
    <definedName name="jfkljdkfcj" hidden="1">{#N/A,#N/A,FALSE,"Plan1";#N/A,#N/A,FALSE,"Plan2"}</definedName>
    <definedName name="jfkrhdtghdut" localSheetId="0" hidden="1">{#N/A,#N/A,FALSE,"Plan1";#N/A,#N/A,FALSE,"Plan2"}</definedName>
    <definedName name="jfkrhdtghdut" hidden="1">{#N/A,#N/A,FALSE,"Plan1";#N/A,#N/A,FALSE,"Plan2"}</definedName>
    <definedName name="JFRESR" localSheetId="0" hidden="1">{#N/A,#N/A,FALSE,"Plan1";#N/A,#N/A,FALSE,"Plan2"}</definedName>
    <definedName name="JFRESR" hidden="1">{#N/A,#N/A,FALSE,"Plan1";#N/A,#N/A,FALSE,"Plan2"}</definedName>
    <definedName name="jgdfdgfjgdj" localSheetId="0" hidden="1">{#N/A,#N/A,FALSE,"Plan1";#N/A,#N/A,FALSE,"Plan2"}</definedName>
    <definedName name="jgdfdgfjgdj" hidden="1">{#N/A,#N/A,FALSE,"Plan1";#N/A,#N/A,FALSE,"Plan2"}</definedName>
    <definedName name="jgdfght" localSheetId="0" hidden="1">{#N/A,#N/A,FALSE,"Plan1";#N/A,#N/A,FALSE,"Plan2"}</definedName>
    <definedName name="jgdfght" hidden="1">{#N/A,#N/A,FALSE,"Plan1";#N/A,#N/A,FALSE,"Plan2"}</definedName>
    <definedName name="jgfgdsgfdhrf" localSheetId="0" hidden="1">{#N/A,#N/A,FALSE,"Plan1";#N/A,#N/A,FALSE,"Plan2"}</definedName>
    <definedName name="jgfgdsgfdhrf" hidden="1">{#N/A,#N/A,FALSE,"Plan1";#N/A,#N/A,FALSE,"Plan2"}</definedName>
    <definedName name="JGFJGTFT" localSheetId="0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localSheetId="0" hidden="1">{#N/A,#N/A,FALSE,"Plan1";#N/A,#N/A,FALSE,"Plan2"}</definedName>
    <definedName name="jgkjkhjuftgi" hidden="1">{#N/A,#N/A,FALSE,"Plan1";#N/A,#N/A,FALSE,"Plan2"}</definedName>
    <definedName name="jh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0" hidden="1">{#N/A,#N/A,FALSE,"Plan1";#N/A,#N/A,FALSE,"Plan2"}</definedName>
    <definedName name="jhdfjjhirft" hidden="1">{#N/A,#N/A,FALSE,"Plan1";#N/A,#N/A,FALSE,"Plan2"}</definedName>
    <definedName name="jhdfjkhtrdhf" localSheetId="0" hidden="1">{#N/A,#N/A,FALSE,"Plan1";#N/A,#N/A,FALSE,"Plan2"}</definedName>
    <definedName name="jhdfjkhtrdhf" hidden="1">{#N/A,#N/A,FALSE,"Plan1";#N/A,#N/A,FALSE,"Plan2"}</definedName>
    <definedName name="jhdfuthr" localSheetId="0" hidden="1">{#N/A,#N/A,FALSE,"Plan1";#N/A,#N/A,FALSE,"Plan2"}</definedName>
    <definedName name="jhdfuthr" hidden="1">{#N/A,#N/A,FALSE,"Plan1";#N/A,#N/A,FALSE,"Plan2"}</definedName>
    <definedName name="JHDFZGRDHF" localSheetId="0" hidden="1">{"Econ Consolidado",#N/A,FALSE,"Econ Consol";"Fluxo de Caixa",#N/A,FALSE,"Fluxo Caixa";"Investimentos",#N/A,FALSE,"Investimentos"}</definedName>
    <definedName name="JHDFZGRDHF" hidden="1">{"Econ Consolidado",#N/A,FALSE,"Econ Consol";"Fluxo de Caixa",#N/A,FALSE,"Fluxo Caixa";"Investimentos",#N/A,FALSE,"Investimentos"}</definedName>
    <definedName name="JHERKHKFGH" localSheetId="0" hidden="1">{#N/A,#N/A,FALSE,"Plan1";#N/A,#N/A,FALSE,"Plan2"}</definedName>
    <definedName name="JHERKHKFGH" hidden="1">{#N/A,#N/A,FALSE,"Plan1";#N/A,#N/A,FALSE,"Plan2"}</definedName>
    <definedName name="jhfhhztfhe" localSheetId="0" hidden="1">#REF!</definedName>
    <definedName name="jhfhhztfhe" hidden="1">#REF!</definedName>
    <definedName name="JHGKJFJFJGL" localSheetId="0" hidden="1">{#N/A,#N/A,FALSE,"Plan1";#N/A,#N/A,FALSE,"Plan2"}</definedName>
    <definedName name="JHGKJFJFJGL" hidden="1">{#N/A,#N/A,FALSE,"Plan1";#N/A,#N/A,FALSE,"Plan2"}</definedName>
    <definedName name="jhsdjkhfuks" localSheetId="0" hidden="1">{#N/A,#N/A,FALSE,"Plan1";#N/A,#N/A,FALSE,"Plan2"}</definedName>
    <definedName name="jhsdjkhfuks" hidden="1">{#N/A,#N/A,FALSE,"Plan1";#N/A,#N/A,FALSE,"Plan2"}</definedName>
    <definedName name="jisdrkje" localSheetId="0" hidden="1">{#N/A,#N/A,FALSE,"Plan1";#N/A,#N/A,FALSE,"Plan2"}</definedName>
    <definedName name="jisdrkje" hidden="1">{#N/A,#N/A,FALSE,"Plan1";#N/A,#N/A,FALSE,"Plan2"}</definedName>
    <definedName name="jishfrieyhtau" localSheetId="0" hidden="1">{#N/A,#N/A,FALSE,"Plan1";#N/A,#N/A,FALSE,"Plan2"}</definedName>
    <definedName name="jishfrieyhtau" hidden="1">{#N/A,#N/A,FALSE,"Plan1";#N/A,#N/A,FALSE,"Plan2"}</definedName>
    <definedName name="jiu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0" hidden="1">{"'Apr-00'!$B$4:$AD$44"}</definedName>
    <definedName name="jj" hidden="1">{"'Apr-00'!$B$4:$AD$44"}</definedName>
    <definedName name="jjfdsktyhhy" localSheetId="0" hidden="1">{#N/A,#N/A,FALSE,"Plan1";#N/A,#N/A,FALSE,"Plan2"}</definedName>
    <definedName name="jjfdsktyhhy" hidden="1">{#N/A,#N/A,FALSE,"Plan1";#N/A,#N/A,FALSE,"Plan2"}</definedName>
    <definedName name="jjjjjjjjjjjjjjjjjjjj" localSheetId="0">#REF!</definedName>
    <definedName name="jjjjjjjjjjjjjjjjjjjj">#REF!</definedName>
    <definedName name="jjkjkjk" localSheetId="0" hidden="1">{#N/A,#N/A,FALSE,"Plan1";#N/A,#N/A,FALSE,"Plan2"}</definedName>
    <definedName name="jjkjkjk" hidden="1">{#N/A,#N/A,FALSE,"Plan1";#N/A,#N/A,FALSE,"Plan2"}</definedName>
    <definedName name="JKDCK" localSheetId="0" hidden="1">{#N/A,#N/A,FALSE,"Plan1";#N/A,#N/A,FALSE,"Plan2"}</definedName>
    <definedName name="JKDCK" hidden="1">{#N/A,#N/A,FALSE,"Plan1";#N/A,#N/A,FALSE,"Plan2"}</definedName>
    <definedName name="JKDFHKHFR" localSheetId="0" hidden="1">{#N/A,#N/A,FALSE,"Plan1";#N/A,#N/A,FALSE,"Plan2"}</definedName>
    <definedName name="JKDFHKHFR" hidden="1">{#N/A,#N/A,FALSE,"Plan1";#N/A,#N/A,FALSE,"Plan2"}</definedName>
    <definedName name="JKDFTRDRJ" localSheetId="0" hidden="1">{#N/A,#N/A,FALSE,"Plan1";#N/A,#N/A,FALSE,"Plan2"}</definedName>
    <definedName name="JKDFTRDRJ" hidden="1">{#N/A,#N/A,FALSE,"Plan1";#N/A,#N/A,FALSE,"Plan2"}</definedName>
    <definedName name="jkdhfukhddf" localSheetId="0" hidden="1">{#N/A,#N/A,FALSE,"Plan1";#N/A,#N/A,FALSE,"Plan2"}</definedName>
    <definedName name="jkdhfukhddf" hidden="1">{#N/A,#N/A,FALSE,"Plan1";#N/A,#N/A,FALSE,"Plan2"}</definedName>
    <definedName name="JKDRKGJHTD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0" hidden="1">{#N/A,#N/A,FALSE,"Plan1";#N/A,#N/A,FALSE,"Plan2"}</definedName>
    <definedName name="jkelsjreja" hidden="1">{#N/A,#N/A,FALSE,"Plan1";#N/A,#N/A,FALSE,"Plan2"}</definedName>
    <definedName name="jkfhjgkfhghh" localSheetId="0" hidden="1">{#N/A,#N/A,FALSE,"Plan1";#N/A,#N/A,FALSE,"Plan2"}</definedName>
    <definedName name="jkfhjgkfhghh" hidden="1">{#N/A,#N/A,FALSE,"Plan1";#N/A,#N/A,FALSE,"Plan2"}</definedName>
    <definedName name="jkhderjkhes" localSheetId="0" hidden="1">{#N/A,#N/A,FALSE,"Plan1";#N/A,#N/A,FALSE,"Plan2"}</definedName>
    <definedName name="jkhderjkhes" hidden="1">{#N/A,#N/A,FALSE,"Plan1";#N/A,#N/A,FALSE,"Plan2"}</definedName>
    <definedName name="jkhdfhfd" localSheetId="0" hidden="1">{#N/A,#N/A,FALSE,"Plan1";#N/A,#N/A,FALSE,"Plan2"}</definedName>
    <definedName name="jkhdfhfd" hidden="1">{#N/A,#N/A,FALSE,"Plan1";#N/A,#N/A,FALSE,"Plan2"}</definedName>
    <definedName name="jkhfhest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0" hidden="1">{#N/A,#N/A,FALSE,"Plan1";#N/A,#N/A,FALSE,"Plan2"}</definedName>
    <definedName name="JKHFKJHGKFTHUDET" hidden="1">{#N/A,#N/A,FALSE,"Plan1";#N/A,#N/A,FALSE,"Plan2"}</definedName>
    <definedName name="JKHGDHFUHTG" localSheetId="0" hidden="1">{#N/A,#N/A,FALSE,"Plan1";#N/A,#N/A,FALSE,"Plan2"}</definedName>
    <definedName name="JKHGDHFUHTG" hidden="1">{#N/A,#N/A,FALSE,"Plan1";#N/A,#N/A,FALSE,"Plan2"}</definedName>
    <definedName name="jkhsdzjkfyiu" localSheetId="0" hidden="1">{#N/A,#N/A,FALSE,"Plan1";#N/A,#N/A,FALSE,"Plan2"}</definedName>
    <definedName name="jkhsdzjkfyiu" hidden="1">{#N/A,#N/A,FALSE,"Plan1";#N/A,#N/A,FALSE,"Plan2"}</definedName>
    <definedName name="jkjsdkhfdhrf" localSheetId="0" hidden="1">{#N/A,#N/A,FALSE,"Plan1";#N/A,#N/A,FALSE,"Plan2"}</definedName>
    <definedName name="jkjsdkhfdhrf" hidden="1">{#N/A,#N/A,FALSE,"Plan1";#N/A,#N/A,FALSE,"Plan2"}</definedName>
    <definedName name="jklgfsjgtjtg" localSheetId="0" hidden="1">{#N/A,#N/A,FALSE,"Plan1";#N/A,#N/A,FALSE,"Plan2"}</definedName>
    <definedName name="jklgfsjgtjtg" hidden="1">{#N/A,#N/A,FALSE,"Plan1";#N/A,#N/A,FALSE,"Plan2"}</definedName>
    <definedName name="jksldfjsdhf" localSheetId="0" hidden="1">{#N/A,#N/A,FALSE,"Plan1";#N/A,#N/A,FALSE,"Plan2"}</definedName>
    <definedName name="jksldfjsdhf" hidden="1">{#N/A,#N/A,FALSE,"Plan1";#N/A,#N/A,FALSE,"Plan2"}</definedName>
    <definedName name="jkxhcjkhfr" localSheetId="0" hidden="1">{#N/A,#N/A,FALSE,"Plan1";#N/A,#N/A,FALSE,"Plan2"}</definedName>
    <definedName name="jkxhcjkhfr" hidden="1">{#N/A,#N/A,FALSE,"Plan1";#N/A,#N/A,FALSE,"Plan2"}</definedName>
    <definedName name="JNGCKFKJFGH" localSheetId="0" hidden="1">{#N/A,#N/A,FALSE,"Plan1";#N/A,#N/A,FALSE,"Plan2"}</definedName>
    <definedName name="JNGCKFKJFGH" hidden="1">{#N/A,#N/A,FALSE,"Plan1";#N/A,#N/A,FALSE,"Plan2"}</definedName>
    <definedName name="JOALDO" localSheetId="0">#REF!</definedName>
    <definedName name="JOALDO">#REF!</definedName>
    <definedName name="joao_cdi" localSheetId="0">#REF!</definedName>
    <definedName name="joao_cdi">#REF!</definedName>
    <definedName name="joao_hist" localSheetId="0">#REF!</definedName>
    <definedName name="joao_hist">#REF!</definedName>
    <definedName name="joao_uss">#REF!</definedName>
    <definedName name="JREJRW" localSheetId="0" hidden="1">{#N/A,#N/A,FALSE,"Plan1";#N/A,#N/A,FALSE,"Plan2"}</definedName>
    <definedName name="JREJRW" hidden="1">{#N/A,#N/A,FALSE,"Plan1";#N/A,#N/A,FALSE,"Plan2"}</definedName>
    <definedName name="JSADKAH" localSheetId="0" hidden="1">{"Econ Consolidado",#N/A,FALSE,"Econ Consol";"Fluxo de Caixa",#N/A,FALSE,"Fluxo Caixa";"Investimentos",#N/A,FALSE,"Investimentos"}</definedName>
    <definedName name="JSADKAH" hidden="1">{"Econ Consolidado",#N/A,FALSE,"Econ Consol";"Fluxo de Caixa",#N/A,FALSE,"Fluxo Caixa";"Investimentos",#N/A,FALSE,"Investimentos"}</definedName>
    <definedName name="JSDAJRE" localSheetId="0" hidden="1">{#N/A,#N/A,FALSE,"Plan1";#N/A,#N/A,FALSE,"Plan2"}</definedName>
    <definedName name="JSDAJRE" hidden="1">{#N/A,#N/A,FALSE,"Plan1";#N/A,#N/A,FALSE,"Plan2"}</definedName>
    <definedName name="jsdffs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0" hidden="1">{#N/A,#N/A,FALSE,"Plan1";#N/A,#N/A,FALSE,"Plan2"}</definedName>
    <definedName name="jsdfjgx" hidden="1">{#N/A,#N/A,FALSE,"Plan1";#N/A,#N/A,FALSE,"Plan2"}</definedName>
    <definedName name="jsdfkgnfr" localSheetId="0" hidden="1">#REF!</definedName>
    <definedName name="jsdfkgnfr" hidden="1">#REF!</definedName>
    <definedName name="jsdfsdfd" localSheetId="0" hidden="1">{#N/A,#N/A,FALSE,"Plan1";#N/A,#N/A,FALSE,"Plan2"}</definedName>
    <definedName name="jsdfsdfd" hidden="1">{#N/A,#N/A,FALSE,"Plan1";#N/A,#N/A,FALSE,"Plan2"}</definedName>
    <definedName name="jsdljficd" localSheetId="0" hidden="1">{#N/A,#N/A,FALSE,"Plan1";#N/A,#N/A,FALSE,"Plan2"}</definedName>
    <definedName name="jsdljficd" hidden="1">{#N/A,#N/A,FALSE,"Plan1";#N/A,#N/A,FALSE,"Plan2"}</definedName>
    <definedName name="JSDTLFJDRG" localSheetId="0" hidden="1">{#N/A,#N/A,FALSE,"Plan1";#N/A,#N/A,FALSE,"Plan2"}</definedName>
    <definedName name="JSDTLFJDRG" hidden="1">{#N/A,#N/A,FALSE,"Plan1";#N/A,#N/A,FALSE,"Plan2"}</definedName>
    <definedName name="jsfjsjferwea" localSheetId="0" hidden="1">{#N/A,#N/A,FALSE,"Plan1";#N/A,#N/A,FALSE,"Plan2"}</definedName>
    <definedName name="jsfjsjferwea" hidden="1">{#N/A,#N/A,FALSE,"Plan1";#N/A,#N/A,FALSE,"Plan2"}</definedName>
    <definedName name="jslrjer" localSheetId="0" hidden="1">{#N/A,#N/A,FALSE,"Plan1";#N/A,#N/A,FALSE,"Plan2"}</definedName>
    <definedName name="jslrjer" hidden="1">{#N/A,#N/A,FALSE,"Plan1";#N/A,#N/A,FALSE,"Plan2"}</definedName>
    <definedName name="juklhkhdf" localSheetId="0" hidden="1">{#N/A,#N/A,FALSE,"Plan1";#N/A,#N/A,FALSE,"Plan2"}</definedName>
    <definedName name="juklhkhdf" hidden="1">{#N/A,#N/A,FALSE,"Plan1";#N/A,#N/A,FALSE,"Plan2"}</definedName>
    <definedName name="jul17RJ" localSheetId="0">#REF!</definedName>
    <definedName name="jul17RJ">#REF!</definedName>
    <definedName name="JULHO" localSheetId="0">#REF!</definedName>
    <definedName name="JULHO">#REF!</definedName>
    <definedName name="JULHO2001" localSheetId="0">#REF!</definedName>
    <definedName name="JULHO2001">#REF!</definedName>
    <definedName name="JULHO99" localSheetId="0" hidden="1">{#N/A,#N/A,TRUE,"Quinzena 01 à 15-04-98 "}</definedName>
    <definedName name="JULHO99" hidden="1">{#N/A,#N/A,TRUE,"Quinzena 01 à 15-04-98 "}</definedName>
    <definedName name="jun17RJ" localSheetId="0">#REF!</definedName>
    <definedName name="jun17RJ">#REF!</definedName>
    <definedName name="JUNHO" localSheetId="0">#REF!</definedName>
    <definedName name="JUNHO">#REF!</definedName>
    <definedName name="JUNHO2001" localSheetId="0">#REF!</definedName>
    <definedName name="JUNHO2001">#REF!</definedName>
    <definedName name="JurosTpMes">#REF!</definedName>
    <definedName name="jwekljd" localSheetId="0" hidden="1">{#N/A,#N/A,FALSE,"Plan1";#N/A,#N/A,FALSE,"Plan2"}</definedName>
    <definedName name="jwekljd" hidden="1">{#N/A,#N/A,FALSE,"Plan1";#N/A,#N/A,FALSE,"Plan2"}</definedName>
    <definedName name="JWEOITORU5Y" localSheetId="0" hidden="1">{#N/A,#N/A,FALSE,"Plan1";#N/A,#N/A,FALSE,"Plan2"}</definedName>
    <definedName name="JWEOITORU5Y" hidden="1">{#N/A,#N/A,FALSE,"Plan1";#N/A,#N/A,FALSE,"Plan2"}</definedName>
    <definedName name="jxdfjsrf" localSheetId="0" hidden="1">{#N/A,#N/A,FALSE,"Plan1";#N/A,#N/A,FALSE,"Plan2"}</definedName>
    <definedName name="jxdfjsrf" hidden="1">{#N/A,#N/A,FALSE,"Plan1";#N/A,#N/A,FALSE,"Plan2"}</definedName>
    <definedName name="jxdklfj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0" hidden="1">#REF!</definedName>
    <definedName name="JY" hidden="1">#REF!</definedName>
    <definedName name="jzsdjkszl" localSheetId="0" hidden="1">{#N/A,#N/A,FALSE,"Plan1";#N/A,#N/A,FALSE,"Plan2"}</definedName>
    <definedName name="jzsdjkszl" hidden="1">{#N/A,#N/A,FALSE,"Plan1";#N/A,#N/A,FALSE,"Plan2"}</definedName>
    <definedName name="JZXFKLJLDJF" localSheetId="0" hidden="1">{#N/A,#N/A,FALSE,"Plan1";#N/A,#N/A,FALSE,"Plan2"}</definedName>
    <definedName name="JZXFKLJLDJF" hidden="1">{#N/A,#N/A,FALSE,"Plan1";#N/A,#N/A,FALSE,"Plan2"}</definedName>
    <definedName name="jzxklfdlvgfg" localSheetId="0" hidden="1">{#N/A,#N/A,FALSE,"Plan1";#N/A,#N/A,FALSE,"Plan2"}</definedName>
    <definedName name="jzxklfdlvgfg" hidden="1">{#N/A,#N/A,FALSE,"Plan1";#N/A,#N/A,FALSE,"Plan2"}</definedName>
    <definedName name="k" localSheetId="0" hidden="1">{#N/A,#N/A,FALSE,"Plan1";#N/A,#N/A,FALSE,"Plan2"}</definedName>
    <definedName name="k" hidden="1">{#N/A,#N/A,FALSE,"Plan1";#N/A,#N/A,FALSE,"Plan2"}</definedName>
    <definedName name="K_1" localSheetId="0">#REF!</definedName>
    <definedName name="K_1">#REF!</definedName>
    <definedName name="kaedkroswr" localSheetId="0" hidden="1">{"Econ Consolidado",#N/A,FALSE,"Econ Consol";"Fluxo de Caixa",#N/A,FALSE,"Fluxo Caixa";"Investimentos",#N/A,FALSE,"Investimentos"}</definedName>
    <definedName name="kaedkroswr" hidden="1">{"Econ Consolidado",#N/A,FALSE,"Econ Consol";"Fluxo de Caixa",#N/A,FALSE,"Fluxo Caixa";"Investimentos",#N/A,FALSE,"Investimentos"}</definedName>
    <definedName name="kapa" localSheetId="0">#REF!</definedName>
    <definedName name="kapa">#REF!</definedName>
    <definedName name="kç\lKçaksdçaqew" localSheetId="0" hidden="1">{#N/A,#N/A,FALSE,"Plan1";#N/A,#N/A,FALSE,"Plan2"}</definedName>
    <definedName name="kç\lKçaksdçaqew" hidden="1">{#N/A,#N/A,FALSE,"Plan1";#N/A,#N/A,FALSE,"Plan2"}</definedName>
    <definedName name="kçdasekr" localSheetId="0" hidden="1">{#N/A,#N/A,FALSE,"Plan1";#N/A,#N/A,FALSE,"Plan2"}</definedName>
    <definedName name="kçdasekr" hidden="1">{#N/A,#N/A,FALSE,"Plan1";#N/A,#N/A,FALSE,"Plan2"}</definedName>
    <definedName name="kçfdljtredr" localSheetId="0" hidden="1">{#N/A,#N/A,FALSE,"Plan1";#N/A,#N/A,FALSE,"Plan2"}</definedName>
    <definedName name="kçfdljtredr" hidden="1">{#N/A,#N/A,FALSE,"Plan1";#N/A,#N/A,FALSE,"Plan2"}</definedName>
    <definedName name="KCIVIL" localSheetId="0">#REF!</definedName>
    <definedName name="KCIVIL">#REF!</definedName>
    <definedName name="kclçkglf" localSheetId="0" hidden="1">{#N/A,#N/A,FALSE,"Plan1";#N/A,#N/A,FALSE,"Plan2"}</definedName>
    <definedName name="kclçkglf" hidden="1">{#N/A,#N/A,FALSE,"Plan1";#N/A,#N/A,FALSE,"Plan2"}</definedName>
    <definedName name="kçlkasçkere" localSheetId="0" hidden="1">{#N/A,#N/A,FALSE,"Plan1";#N/A,#N/A,FALSE,"Plan2"}</definedName>
    <definedName name="kçlkasçkere" hidden="1">{#N/A,#N/A,FALSE,"Plan1";#N/A,#N/A,FALSE,"Plan2"}</definedName>
    <definedName name="kdfbngtjkbf" localSheetId="0" hidden="1">{#N/A,#N/A,FALSE,"Plan1";#N/A,#N/A,FALSE,"Plan2"}</definedName>
    <definedName name="kdfbngtjkbf" hidden="1">{#N/A,#N/A,FALSE,"Plan1";#N/A,#N/A,FALSE,"Plan2"}</definedName>
    <definedName name="kdfhkghkrh" localSheetId="0" hidden="1">{#N/A,#N/A,FALSE,"Plan1";#N/A,#N/A,FALSE,"Plan2"}</definedName>
    <definedName name="kdfhkghkrh" hidden="1">{#N/A,#N/A,FALSE,"Plan1";#N/A,#N/A,FALSE,"Plan2"}</definedName>
    <definedName name="kdfier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0" hidden="1">{#N/A,#N/A,FALSE,"Plan1";#N/A,#N/A,FALSE,"Plan2"}</definedName>
    <definedName name="kdfkçrkf" hidden="1">{#N/A,#N/A,FALSE,"Plan1";#N/A,#N/A,FALSE,"Plan2"}</definedName>
    <definedName name="kdfljlfr" localSheetId="0" hidden="1">{#N/A,#N/A,FALSE,"Plan1";#N/A,#N/A,FALSE,"Plan2"}</definedName>
    <definedName name="kdfljlfr" hidden="1">{#N/A,#N/A,FALSE,"Plan1";#N/A,#N/A,FALSE,"Plan2"}</definedName>
    <definedName name="kdhfgkdfhytgu" localSheetId="0" hidden="1">{#N/A,#N/A,FALSE,"Plan1";#N/A,#N/A,FALSE,"Plan2"}</definedName>
    <definedName name="kdhfgkdfhytgu" hidden="1">{#N/A,#N/A,FALSE,"Plan1";#N/A,#N/A,FALSE,"Plan2"}</definedName>
    <definedName name="kdhgftfg" localSheetId="0" hidden="1">{#N/A,#N/A,FALSE,"Plan1";#N/A,#N/A,FALSE,"Plan2"}</definedName>
    <definedName name="kdhgftfg" hidden="1">{#N/A,#N/A,FALSE,"Plan1";#N/A,#N/A,FALSE,"Plan2"}</definedName>
    <definedName name="KDHKFGKKHGF" localSheetId="0" hidden="1">{#N/A,#N/A,FALSE,"Plan1";#N/A,#N/A,FALSE,"Plan2"}</definedName>
    <definedName name="KDHKFGKKHGF" hidden="1">{#N/A,#N/A,FALSE,"Plan1";#N/A,#N/A,FALSE,"Plan2"}</definedName>
    <definedName name="kdjfdr" localSheetId="0" hidden="1">#REF!</definedName>
    <definedName name="kdjfdr" hidden="1">#REF!</definedName>
    <definedName name="kdjgkfjgd" localSheetId="0" hidden="1">{#N/A,#N/A,FALSE,"Plan1";#N/A,#N/A,FALSE,"Plan2"}</definedName>
    <definedName name="kdjgkfjgd" hidden="1">{#N/A,#N/A,FALSE,"Plan1";#N/A,#N/A,FALSE,"Plan2"}</definedName>
    <definedName name="kdjglkdlgjd" localSheetId="0" hidden="1">{#N/A,#N/A,FALSE,"Plan1";#N/A,#N/A,FALSE,"Plan2"}</definedName>
    <definedName name="kdjglkdlgjd" hidden="1">{#N/A,#N/A,FALSE,"Plan1";#N/A,#N/A,FALSE,"Plan2"}</definedName>
    <definedName name="kdjsfkldjgkty" localSheetId="0" hidden="1">{#N/A,#N/A,FALSE,"Plan1";#N/A,#N/A,FALSE,"Plan2"}</definedName>
    <definedName name="kdjsfkldjgkty" hidden="1">{#N/A,#N/A,FALSE,"Plan1";#N/A,#N/A,FALSE,"Plan2"}</definedName>
    <definedName name="KDJU" localSheetId="0" hidden="1">{"'장비'!$A$3:$M$12"}</definedName>
    <definedName name="KDJU" hidden="1">{"'장비'!$A$3:$M$12"}</definedName>
    <definedName name="kdkjhgdkfhjk" localSheetId="0" hidden="1">{#N/A,#N/A,FALSE,"Plan1";#N/A,#N/A,FALSE,"Plan2"}</definedName>
    <definedName name="kdkjhgdkfhjk" hidden="1">{#N/A,#N/A,FALSE,"Plan1";#N/A,#N/A,FALSE,"Plan2"}</definedName>
    <definedName name="kdsf" localSheetId="0" hidden="1">{#N/A,#N/A,FALSE,"Plan1";#N/A,#N/A,FALSE,"Plan2"}</definedName>
    <definedName name="kdsf" hidden="1">{#N/A,#N/A,FALSE,"Plan1";#N/A,#N/A,FALSE,"Plan2"}</definedName>
    <definedName name="kdsr" localSheetId="0" hidden="1">{#N/A,#N/A,FALSE,"Plan1";#N/A,#N/A,FALSE,"Plan2"}</definedName>
    <definedName name="kdsr" hidden="1">{#N/A,#N/A,FALSE,"Plan1";#N/A,#N/A,FALSE,"Plan2"}</definedName>
    <definedName name="kergtfdstr" localSheetId="0" hidden="1">{#N/A,#N/A,FALSE,"Plan1";#N/A,#N/A,FALSE,"Plan2"}</definedName>
    <definedName name="kergtfdstr" hidden="1">{#N/A,#N/A,FALSE,"Plan1";#N/A,#N/A,FALSE,"Plan2"}</definedName>
    <definedName name="kesp" localSheetId="0">#REF!</definedName>
    <definedName name="kesp">#REF!</definedName>
    <definedName name="KFDKTHGT" localSheetId="0" hidden="1">{#N/A,#N/A,FALSE,"Plan1";#N/A,#N/A,FALSE,"Plan2"}</definedName>
    <definedName name="KFDKTHGT" hidden="1">{#N/A,#N/A,FALSE,"Plan1";#N/A,#N/A,FALSE,"Plan2"}</definedName>
    <definedName name="kfdxlfdzs" localSheetId="0" hidden="1">{"Econ Consolidado",#N/A,FALSE,"Econ Consol";"Fluxo de Caixa",#N/A,FALSE,"Fluxo Caixa";"Investimentos",#N/A,FALSE,"Investimentos"}</definedName>
    <definedName name="kfdxlfdzs" hidden="1">{"Econ Consolidado",#N/A,FALSE,"Econ Consol";"Fluxo de Caixa",#N/A,FALSE,"Fluxo Caixa";"Investimentos",#N/A,FALSE,"Investimentos"}</definedName>
    <definedName name="kfgkhjkjhy" localSheetId="0" hidden="1">{#N/A,#N/A,FALSE,"Plan1";#N/A,#N/A,FALSE,"Plan2"}</definedName>
    <definedName name="kfgkhjkjhy" hidden="1">{#N/A,#N/A,FALSE,"Plan1";#N/A,#N/A,FALSE,"Plan2"}</definedName>
    <definedName name="KFJFDSDF" localSheetId="0" hidden="1">{#N/A,#N/A,FALSE,"Plan1";#N/A,#N/A,FALSE,"Plan2"}</definedName>
    <definedName name="KFJFDSDF" hidden="1">{#N/A,#N/A,FALSE,"Plan1";#N/A,#N/A,FALSE,"Plan2"}</definedName>
    <definedName name="kfnkeasd" localSheetId="0" hidden="1">{#N/A,#N/A,FALSE,"Plan1";#N/A,#N/A,FALSE,"Plan2"}</definedName>
    <definedName name="kfnkeasd" hidden="1">{#N/A,#N/A,FALSE,"Plan1";#N/A,#N/A,FALSE,"Plan2"}</definedName>
    <definedName name="khdjkfkjhtg" localSheetId="0" hidden="1">{#N/A,#N/A,FALSE,"Plan1";#N/A,#N/A,FALSE,"Plan2"}</definedName>
    <definedName name="khdjkfkjhtg" hidden="1">{#N/A,#N/A,FALSE,"Plan1";#N/A,#N/A,FALSE,"Plan2"}</definedName>
    <definedName name="khdkfjhhfsdg" localSheetId="0" hidden="1">{#N/A,#N/A,FALSE,"Plan1";#N/A,#N/A,FALSE,"Plan2"}</definedName>
    <definedName name="khdkfjhhfsdg" hidden="1">{#N/A,#N/A,FALSE,"Plan1";#N/A,#N/A,FALSE,"Plan2"}</definedName>
    <definedName name="khdkjfhgudytu" localSheetId="0" hidden="1">{#N/A,#N/A,FALSE,"Plan1";#N/A,#N/A,FALSE,"Plan2"}</definedName>
    <definedName name="khdkjfhgudytu" hidden="1">{#N/A,#N/A,FALSE,"Plan1";#N/A,#N/A,FALSE,"Plan2"}</definedName>
    <definedName name="khfdghhhgd" localSheetId="0" hidden="1">{#N/A,#N/A,FALSE,"Plan1";#N/A,#N/A,FALSE,"Plan2"}</definedName>
    <definedName name="khfdghhhgd" hidden="1">{#N/A,#N/A,FALSE,"Plan1";#N/A,#N/A,FALSE,"Plan2"}</definedName>
    <definedName name="khfdkjhsdjf" localSheetId="0" hidden="1">{#N/A,#N/A,FALSE,"Plan1";#N/A,#N/A,FALSE,"Plan2"}</definedName>
    <definedName name="khfdkjhsdjf" hidden="1">{#N/A,#N/A,FALSE,"Plan1";#N/A,#N/A,FALSE,"Plan2"}</definedName>
    <definedName name="khgdkftfy" localSheetId="0" hidden="1">{#N/A,#N/A,FALSE,"Plan1";#N/A,#N/A,FALSE,"Plan2"}</definedName>
    <definedName name="khgdkftfy" hidden="1">{#N/A,#N/A,FALSE,"Plan1";#N/A,#N/A,FALSE,"Plan2"}</definedName>
    <definedName name="khgfhhtuhf" localSheetId="0" hidden="1">{#N/A,#N/A,FALSE,"Plan1";#N/A,#N/A,FALSE,"Plan2"}</definedName>
    <definedName name="khgfhhtuhf" hidden="1">{#N/A,#N/A,FALSE,"Plan1";#N/A,#N/A,FALSE,"Plan2"}</definedName>
    <definedName name="khjkh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0" hidden="1">{#N/A,#N/A,FALSE,"Plan1";#N/A,#N/A,FALSE,"Plan2"}</definedName>
    <definedName name="KHJKLSDF" hidden="1">{#N/A,#N/A,FALSE,"Plan1";#N/A,#N/A,FALSE,"Plan2"}</definedName>
    <definedName name="kieret" localSheetId="0" hidden="1">{#N/A,#N/A,FALSE,"Plan1";#N/A,#N/A,FALSE,"Plan2"}</definedName>
    <definedName name="kieret" hidden="1">{#N/A,#N/A,FALSE,"Plan1";#N/A,#N/A,FALSE,"Plan2"}</definedName>
    <definedName name="kiweokwr" localSheetId="0" hidden="1">#REF!</definedName>
    <definedName name="kiweokwr" hidden="1">#REF!</definedName>
    <definedName name="kjchkfhsezk" localSheetId="0" hidden="1">{#N/A,#N/A,FALSE,"Plan1";#N/A,#N/A,FALSE,"Plan2"}</definedName>
    <definedName name="kjchkfhsezk" hidden="1">{#N/A,#N/A,FALSE,"Plan1";#N/A,#N/A,FALSE,"Plan2"}</definedName>
    <definedName name="kjdghksef" localSheetId="0" hidden="1">{#N/A,#N/A,FALSE,"Plan1";#N/A,#N/A,FALSE,"Plan2"}</definedName>
    <definedName name="kjdghksef" hidden="1">{#N/A,#N/A,FALSE,"Plan1";#N/A,#N/A,FALSE,"Plan2"}</definedName>
    <definedName name="kjdkftyhtert" localSheetId="0" hidden="1">{#N/A,#N/A,FALSE,"Plan1";#N/A,#N/A,FALSE,"Plan2"}</definedName>
    <definedName name="kjdkftyhtert" hidden="1">{#N/A,#N/A,FALSE,"Plan1";#N/A,#N/A,FALSE,"Plan2"}</definedName>
    <definedName name="kjdlfkjds" localSheetId="0" hidden="1">{#N/A,#N/A,FALSE,"Plan1";#N/A,#N/A,FALSE,"Plan2"}</definedName>
    <definedName name="kjdlfkjds" hidden="1">{#N/A,#N/A,FALSE,"Plan1";#N/A,#N/A,FALSE,"Plan2"}</definedName>
    <definedName name="kjdzhfytrfy" localSheetId="0" hidden="1">{#N/A,#N/A,FALSE,"Plan1";#N/A,#N/A,FALSE,"Plan2"}</definedName>
    <definedName name="kjdzhfytrfy" hidden="1">{#N/A,#N/A,FALSE,"Plan1";#N/A,#N/A,FALSE,"Plan2"}</definedName>
    <definedName name="kjhdfgjthdft" localSheetId="0" hidden="1">{#N/A,#N/A,FALSE,"Plan1";#N/A,#N/A,FALSE,"Plan2"}</definedName>
    <definedName name="kjhdfgjthdft" hidden="1">{#N/A,#N/A,FALSE,"Plan1";#N/A,#N/A,FALSE,"Plan2"}</definedName>
    <definedName name="kjhsdf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0" hidden="1">{#N/A,#N/A,FALSE,"Plan1";#N/A,#N/A,FALSE,"Plan2"}</definedName>
    <definedName name="kjhsiorf" hidden="1">{#N/A,#N/A,FALSE,"Plan1";#N/A,#N/A,FALSE,"Plan2"}</definedName>
    <definedName name="KJ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0" hidden="1">{#N/A,#N/A,FALSE,"Plan1";#N/A,#N/A,FALSE,"Plan2"}</definedName>
    <definedName name="kjjwww" hidden="1">{#N/A,#N/A,FALSE,"Plan1";#N/A,#N/A,FALSE,"Plan2"}</definedName>
    <definedName name="kjl" localSheetId="0" hidden="1">{#N/A,#N/A,FALSE,"ENG'G(보호계전기)"}</definedName>
    <definedName name="kjl" hidden="1">{#N/A,#N/A,FALSE,"ENG'G(보호계전기)"}</definedName>
    <definedName name="KJOI" localSheetId="0" hidden="1">{#N/A,#N/A,FALSE,"Plan1";#N/A,#N/A,FALSE,"Plan2"}</definedName>
    <definedName name="KJOI" hidden="1">{#N/A,#N/A,FALSE,"Plan1";#N/A,#N/A,FALSE,"Plan2"}</definedName>
    <definedName name="kjqwerw" localSheetId="0" hidden="1">{#N/A,#N/A,FALSE,"Plan1";#N/A,#N/A,FALSE,"Plan2"}</definedName>
    <definedName name="kjqwerw" hidden="1">{#N/A,#N/A,FALSE,"Plan1";#N/A,#N/A,FALSE,"Plan2"}</definedName>
    <definedName name="kjsfert" localSheetId="0" hidden="1">{#N/A,#N/A,FALSE,"Plan1";#N/A,#N/A,FALSE,"Plan2"}</definedName>
    <definedName name="kjsfert" hidden="1">{#N/A,#N/A,FALSE,"Plan1";#N/A,#N/A,FALSE,"Plan2"}</definedName>
    <definedName name="KJXCFKR" localSheetId="0" hidden="1">{#N/A,#N/A,FALSE,"Plan1";#N/A,#N/A,FALSE,"Plan2"}</definedName>
    <definedName name="KJXCFKR" hidden="1">{#N/A,#N/A,FALSE,"Plan1";#N/A,#N/A,FALSE,"Plan2"}</definedName>
    <definedName name="KJXDFD" localSheetId="0" hidden="1">{#N/A,#N/A,FALSE,"Plan1";#N/A,#N/A,FALSE,"Plan2"}</definedName>
    <definedName name="KJXDFD" hidden="1">{#N/A,#N/A,FALSE,"Plan1";#N/A,#N/A,FALSE,"Plan2"}</definedName>
    <definedName name="kjydhfkjghkjfh" localSheetId="0" hidden="1">#REF!</definedName>
    <definedName name="kjydhfkjghkjfh" hidden="1">#REF!</definedName>
    <definedName name="kk" localSheetId="0">#REF!</definedName>
    <definedName name="kk">#REF!</definedName>
    <definedName name="kk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0" hidden="1">{#N/A,#N/A,FALSE,"Plan1";#N/A,#N/A,FALSE,"Plan2"}</definedName>
    <definedName name="kkk" hidden="1">{#N/A,#N/A,FALSE,"Plan1";#N/A,#N/A,FALSE,"Plan2"}</definedName>
    <definedName name="kkkkk" localSheetId="0" hidden="1">{#N/A,#N/A,FALSE,"Plan1";#N/A,#N/A,FALSE,"Plan2"}</definedName>
    <definedName name="kkkkk" hidden="1">{#N/A,#N/A,FALSE,"Plan1";#N/A,#N/A,FALSE,"Plan2"}</definedName>
    <definedName name="kkkkkk" localSheetId="0" hidden="1">{#N/A,#N/A,FALSE,"Plan1";#N/A,#N/A,FALSE,"Plan2"}</definedName>
    <definedName name="kkkkkk" hidden="1">{#N/A,#N/A,FALSE,"Plan1";#N/A,#N/A,FALSE,"Plan2"}</definedName>
    <definedName name="kk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0" hidden="1">{#N/A,#N/A,FALSE,"Plan1";#N/A,#N/A,FALSE,"Plan2"}</definedName>
    <definedName name="kksaklçer" hidden="1">{#N/A,#N/A,FALSE,"Plan1";#N/A,#N/A,FALSE,"Plan2"}</definedName>
    <definedName name="kksarde" localSheetId="0" hidden="1">{#N/A,#N/A,FALSE,"Plan1";#N/A,#N/A,FALSE,"Plan2"}</definedName>
    <definedName name="kksarde" hidden="1">{#N/A,#N/A,FALSE,"Plan1";#N/A,#N/A,FALSE,"Plan2"}</definedName>
    <definedName name="klaskldjsw" localSheetId="0" hidden="1">{#N/A,#N/A,FALSE,"Plan1";#N/A,#N/A,FALSE,"Plan2"}</definedName>
    <definedName name="klaskldjsw" hidden="1">{#N/A,#N/A,FALSE,"Plan1";#N/A,#N/A,FALSE,"Plan2"}</definedName>
    <definedName name="klçkop" localSheetId="0" hidden="1">{#N/A,#N/A,FALSE,"Plan1";#N/A,#N/A,FALSE,"Plan2"}</definedName>
    <definedName name="klçkop" hidden="1">{#N/A,#N/A,FALSE,"Plan1";#N/A,#N/A,FALSE,"Plan2"}</definedName>
    <definedName name="KLDFNTRDT" localSheetId="0" hidden="1">{#N/A,#N/A,FALSE,"Plan1";#N/A,#N/A,FALSE,"Plan2"}</definedName>
    <definedName name="KLDFNTRDT" hidden="1">{#N/A,#N/A,FALSE,"Plan1";#N/A,#N/A,FALSE,"Plan2"}</definedName>
    <definedName name="klhjsdklhdf" localSheetId="0" hidden="1">{#N/A,#N/A,FALSE,"Plan1";#N/A,#N/A,FALSE,"Plan2"}</definedName>
    <definedName name="klhjsdklhdf" hidden="1">{#N/A,#N/A,FALSE,"Plan1";#N/A,#N/A,FALSE,"Plan2"}</definedName>
    <definedName name="KLHSKLRHWE" localSheetId="0" hidden="1">{#N/A,#N/A,FALSE,"Plan1";#N/A,#N/A,FALSE,"Plan2"}</definedName>
    <definedName name="KLHSKLRHWE" hidden="1">{#N/A,#N/A,FALSE,"Plan1";#N/A,#N/A,FALSE,"Plan2"}</definedName>
    <definedName name="KLJASKJD" localSheetId="0" hidden="1">{#N/A,#N/A,FALSE,"Plan1";#N/A,#N/A,FALSE,"Plan2"}</definedName>
    <definedName name="KLJASKJD" hidden="1">{#N/A,#N/A,FALSE,"Plan1";#N/A,#N/A,FALSE,"Plan2"}</definedName>
    <definedName name="KLJDXL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0" hidden="1">{#N/A,#N/A,FALSE,"Plan1";#N/A,#N/A,FALSE,"Plan2"}</definedName>
    <definedName name="kljeflwr" hidden="1">{#N/A,#N/A,FALSE,"Plan1";#N/A,#N/A,FALSE,"Plan2"}</definedName>
    <definedName name="kljflgjrf" localSheetId="0" hidden="1">{#N/A,#N/A,FALSE,"Plan1";#N/A,#N/A,FALSE,"Plan2"}</definedName>
    <definedName name="kljflgjrf" hidden="1">{#N/A,#N/A,FALSE,"Plan1";#N/A,#N/A,FALSE,"Plan2"}</definedName>
    <definedName name="kljgfdfr" localSheetId="0" hidden="1">{#N/A,#N/A,FALSE,"Plan1";#N/A,#N/A,FALSE,"Plan2"}</definedName>
    <definedName name="kljgfdfr" hidden="1">{#N/A,#N/A,FALSE,"Plan1";#N/A,#N/A,FALSE,"Plan2"}</definedName>
    <definedName name="kljgfjrt" localSheetId="0" hidden="1">{#N/A,#N/A,FALSE,"Plan1";#N/A,#N/A,FALSE,"Plan2"}</definedName>
    <definedName name="kljgfjrt" hidden="1">{#N/A,#N/A,FALSE,"Plan1";#N/A,#N/A,FALSE,"Plan2"}</definedName>
    <definedName name="kljlkdfj" localSheetId="0" hidden="1">{#N/A,#N/A,FALSE,"Plan1";#N/A,#N/A,FALSE,"Plan2"}</definedName>
    <definedName name="kljlkdfj" hidden="1">{#N/A,#N/A,FALSE,"Plan1";#N/A,#N/A,FALSE,"Plan2"}</definedName>
    <definedName name="kljsakjfr" localSheetId="0" hidden="1">{#N/A,#N/A,FALSE,"Plan1";#N/A,#N/A,FALSE,"Plan2"}</definedName>
    <definedName name="kljsakjfr" hidden="1">{#N/A,#N/A,FALSE,"Plan1";#N/A,#N/A,FALSE,"Plan2"}</definedName>
    <definedName name="kljsdje" localSheetId="0" hidden="1">{#N/A,#N/A,FALSE,"Plan1";#N/A,#N/A,FALSE,"Plan2"}</definedName>
    <definedName name="kljsdje" hidden="1">{#N/A,#N/A,FALSE,"Plan1";#N/A,#N/A,FALSE,"Plan2"}</definedName>
    <definedName name="kljsfwe" localSheetId="0" hidden="1">{#N/A,#N/A,FALSE,"Plan1";#N/A,#N/A,FALSE,"Plan2"}</definedName>
    <definedName name="kljsfwe" hidden="1">{#N/A,#N/A,FALSE,"Plan1";#N/A,#N/A,FALSE,"Plan2"}</definedName>
    <definedName name="klk" localSheetId="0" hidden="1">{#N/A,#N/A,FALSE,"Plan1";#N/A,#N/A,FALSE,"Plan2"}</definedName>
    <definedName name="klk" hidden="1">{#N/A,#N/A,FALSE,"Plan1";#N/A,#N/A,FALSE,"Plan2"}</definedName>
    <definedName name="KLKKLKÇJÇ" localSheetId="0" hidden="1">{#N/A,#N/A,FALSE,"Plan1";#N/A,#N/A,FALSE,"Plan2"}</definedName>
    <definedName name="KLKKLKÇJÇ" hidden="1">{#N/A,#N/A,FALSE,"Plan1";#N/A,#N/A,FALSE,"Plan2"}</definedName>
    <definedName name="KLSDFT" localSheetId="0" hidden="1">{#N/A,#N/A,FALSE,"Plan1";#N/A,#N/A,FALSE,"Plan2"}</definedName>
    <definedName name="KLSDFT" hidden="1">{#N/A,#N/A,FALSE,"Plan1";#N/A,#N/A,FALSE,"Plan2"}</definedName>
    <definedName name="KLSDHSJKHF" localSheetId="0" hidden="1">{#N/A,#N/A,FALSE,"Plan1";#N/A,#N/A,FALSE,"Plan2"}</definedName>
    <definedName name="KLSDHSJKHF" hidden="1">{#N/A,#N/A,FALSE,"Plan1";#N/A,#N/A,FALSE,"Plan2"}</definedName>
    <definedName name="klsdkre" localSheetId="0" hidden="1">{#N/A,#N/A,FALSE,"Plan1";#N/A,#N/A,FALSE,"Plan2"}</definedName>
    <definedName name="klsdkre" hidden="1">{#N/A,#N/A,FALSE,"Plan1";#N/A,#N/A,FALSE,"Plan2"}</definedName>
    <definedName name="KLSIDJE" localSheetId="0" hidden="1">{#N/A,#N/A,FALSE,"Plan1";#N/A,#N/A,FALSE,"Plan2"}</definedName>
    <definedName name="KLSIDJE" hidden="1">{#N/A,#N/A,FALSE,"Plan1";#N/A,#N/A,FALSE,"Plan2"}</definedName>
    <definedName name="klsjarsf" localSheetId="0" hidden="1">{#N/A,#N/A,FALSE,"Plan1";#N/A,#N/A,FALSE,"Plan2"}</definedName>
    <definedName name="klsjarsf" hidden="1">{#N/A,#N/A,FALSE,"Plan1";#N/A,#N/A,FALSE,"Plan2"}</definedName>
    <definedName name="klsjdwe" localSheetId="0" hidden="1">#REF!</definedName>
    <definedName name="klsjdwe" hidden="1">#REF!</definedName>
    <definedName name="klxhjfdkhser" localSheetId="0" hidden="1">{#N/A,#N/A,FALSE,"Plan1";#N/A,#N/A,FALSE,"Plan2"}</definedName>
    <definedName name="klxhjfdkhser" hidden="1">{#N/A,#N/A,FALSE,"Plan1";#N/A,#N/A,FALSE,"Plan2"}</definedName>
    <definedName name="kopipnsdfne" localSheetId="0" hidden="1">{#N/A,#N/A,FALSE,"Plan1";#N/A,#N/A,FALSE,"Plan2"}</definedName>
    <definedName name="kopipnsdfne" hidden="1">{#N/A,#N/A,FALSE,"Plan1";#N/A,#N/A,FALSE,"Plan2"}</definedName>
    <definedName name="kp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0" hidden="1">{#N/A,#N/A,FALSE,"Plan1";#N/A,#N/A,FALSE,"Plan2"}</definedName>
    <definedName name="KSDLDF" hidden="1">{#N/A,#N/A,FALSE,"Plan1";#N/A,#N/A,FALSE,"Plan2"}</definedName>
    <definedName name="ksdlkfsçzd" localSheetId="0" hidden="1">{#N/A,#N/A,FALSE,"Plan1";#N/A,#N/A,FALSE,"Plan2"}</definedName>
    <definedName name="ksdlkfsçzd" hidden="1">{#N/A,#N/A,FALSE,"Plan1";#N/A,#N/A,FALSE,"Plan2"}</definedName>
    <definedName name="KSDNFK" localSheetId="0">#REF!</definedName>
    <definedName name="KSDNFK">#REF!</definedName>
    <definedName name="ksdoçierfe" localSheetId="0" hidden="1">{#N/A,#N/A,FALSE,"Plan1";#N/A,#N/A,FALSE,"Plan2"}</definedName>
    <definedName name="ksdoçierfe" hidden="1">{#N/A,#N/A,FALSE,"Plan1";#N/A,#N/A,FALSE,"Plan2"}</definedName>
    <definedName name="ksdtrdrkf" localSheetId="0" hidden="1">{#N/A,#N/A,FALSE,"Plan1";#N/A,#N/A,FALSE,"Plan2"}</definedName>
    <definedName name="ksdtrdrkf" hidden="1">{#N/A,#N/A,FALSE,"Plan1";#N/A,#N/A,FALSE,"Plan2"}</definedName>
    <definedName name="KSFÇJDFJL" localSheetId="0" hidden="1">{#N/A,#N/A,FALSE,"Plan1";#N/A,#N/A,FALSE,"Plan2"}</definedName>
    <definedName name="KSFÇJDFJL" hidden="1">{#N/A,#N/A,FALSE,"Plan1";#N/A,#N/A,FALSE,"Plan2"}</definedName>
    <definedName name="ksfhse" localSheetId="0" hidden="1">{#N/A,#N/A,FALSE,"Plan1";#N/A,#N/A,FALSE,"Plan2"}</definedName>
    <definedName name="ksfhse" hidden="1">{#N/A,#N/A,FALSE,"Plan1";#N/A,#N/A,FALSE,"Plan2"}</definedName>
    <definedName name="KSRKOE" localSheetId="0" hidden="1">{#N/A,#N/A,FALSE,"Plan1";#N/A,#N/A,FALSE,"Plan2"}</definedName>
    <definedName name="KSRKOE" hidden="1">{#N/A,#N/A,FALSE,"Plan1";#N/A,#N/A,FALSE,"Plan2"}</definedName>
    <definedName name="KSWKE" localSheetId="0" hidden="1">{#N/A,#N/A,FALSE,"Plan1";#N/A,#N/A,FALSE,"Plan2"}</definedName>
    <definedName name="KSWKE" hidden="1">{#N/A,#N/A,FALSE,"Plan1";#N/A,#N/A,FALSE,"Plan2"}</definedName>
    <definedName name="kubus" localSheetId="0">#REF!</definedName>
    <definedName name="kubus">#REF!</definedName>
    <definedName name="kubus1" localSheetId="0">#REF!</definedName>
    <definedName name="kubus1">#REF!</definedName>
    <definedName name="kysdusf" localSheetId="0" hidden="1">{#N/A,#N/A,FALSE,"Plan1";#N/A,#N/A,FALSE,"Plan2"}</definedName>
    <definedName name="kysdusf" hidden="1">{#N/A,#N/A,FALSE,"Plan1";#N/A,#N/A,FALSE,"Plan2"}</definedName>
    <definedName name="kzslçdkçle" localSheetId="0" hidden="1">{#N/A,#N/A,FALSE,"Plan1";#N/A,#N/A,FALSE,"Plan2"}</definedName>
    <definedName name="kzslçdkçle" hidden="1">{#N/A,#N/A,FALSE,"Plan1";#N/A,#N/A,FALSE,"Plan2"}</definedName>
    <definedName name="L_" localSheetId="0">#REF!</definedName>
    <definedName name="L_">#REF!</definedName>
    <definedName name="LAEKWRK" localSheetId="0" hidden="1">{#N/A,#N/A,FALSE,"Plan1";#N/A,#N/A,FALSE,"Plan2"}</definedName>
    <definedName name="LAEKWRK" hidden="1">{#N/A,#N/A,FALSE,"Plan1";#N/A,#N/A,FALSE,"Plan2"}</definedName>
    <definedName name="laeqwep" localSheetId="0" hidden="1">#REF!</definedName>
    <definedName name="laeqwep" hidden="1">#REF!</definedName>
    <definedName name="LAKDEWRF" localSheetId="0" hidden="1">{#N/A,#N/A,FALSE,"Plan1";#N/A,#N/A,FALSE,"Plan2"}</definedName>
    <definedName name="LAKDEWRF" hidden="1">{#N/A,#N/A,FALSE,"Plan1";#N/A,#N/A,FALSE,"Plan2"}</definedName>
    <definedName name="Lancamentos" localSheetId="0">#REF!</definedName>
    <definedName name="Lancamentos">#REF!</definedName>
    <definedName name="LARGURA" localSheetId="0">#REF!</definedName>
    <definedName name="LARGURA">#REF!</definedName>
    <definedName name="LASÇDSRLF" localSheetId="0" hidden="1">{#N/A,#N/A,FALSE,"Plan1";#N/A,#N/A,FALSE,"Plan2"}</definedName>
    <definedName name="LASÇDSRLF" hidden="1">{#N/A,#N/A,FALSE,"Plan1";#N/A,#N/A,FALSE,"Plan2"}</definedName>
    <definedName name="LASDAKWE" hidden="1">25</definedName>
    <definedName name="lasrlswer" localSheetId="0" hidden="1">{#N/A,#N/A,FALSE,"Plan1";#N/A,#N/A,FALSE,"Plan2"}</definedName>
    <definedName name="lasrlswer" hidden="1">{#N/A,#N/A,FALSE,"Plan1";#N/A,#N/A,FALSE,"Plan2"}</definedName>
    <definedName name="LAZER" localSheetId="0">#REF!</definedName>
    <definedName name="LAZER">#REF!</definedName>
    <definedName name="lbla1" localSheetId="0" hidden="1">#REF!</definedName>
    <definedName name="lbla1" hidden="1">#REF!</definedName>
    <definedName name="lbla10" localSheetId="0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localSheetId="0" hidden="1">{#N/A,#N/A,FALSE,"Plan1";#N/A,#N/A,FALSE,"Plan2"}</definedName>
    <definedName name="lçadple4r" hidden="1">{#N/A,#N/A,FALSE,"Plan1";#N/A,#N/A,FALSE,"Plan2"}</definedName>
    <definedName name="lçasser" localSheetId="0" hidden="1">{#N/A,#N/A,FALSE,"Plan1";#N/A,#N/A,FALSE,"Plan2"}</definedName>
    <definedName name="lçasser" hidden="1">{#N/A,#N/A,FALSE,"Plan1";#N/A,#N/A,FALSE,"Plan2"}</definedName>
    <definedName name="lcdgjtklfrn" localSheetId="0" hidden="1">{#N/A,#N/A,FALSE,"Plan1";#N/A,#N/A,FALSE,"Plan2"}</definedName>
    <definedName name="lcdgjtklfrn" hidden="1">{#N/A,#N/A,FALSE,"Plan1";#N/A,#N/A,FALSE,"Plan2"}</definedName>
    <definedName name="lçfklsdkçaer" localSheetId="0" hidden="1">{#N/A,#N/A,FALSE,"Plan1";#N/A,#N/A,FALSE,"Plan2"}</definedName>
    <definedName name="lçfklsdkçaer" hidden="1">{#N/A,#N/A,FALSE,"Plan1";#N/A,#N/A,FALSE,"Plan2"}</definedName>
    <definedName name="lçjkgf" localSheetId="0" hidden="1">{#N/A,#N/A,FALSE,"Plan1";#N/A,#N/A,FALSE,"Plan2"}</definedName>
    <definedName name="lçjkgf" hidden="1">{#N/A,#N/A,FALSE,"Plan1";#N/A,#N/A,FALSE,"Plan2"}</definedName>
    <definedName name="LÇJSLDFJ" localSheetId="0" hidden="1">{#N/A,#N/A,FALSE,"Plan1";#N/A,#N/A,FALSE,"Plan2"}</definedName>
    <definedName name="LÇJSLDFJ" hidden="1">{#N/A,#N/A,FALSE,"Plan1";#N/A,#N/A,FALSE,"Plan2"}</definedName>
    <definedName name="LÇKÇSDRLK" localSheetId="0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0" hidden="1">{#N/A,#N/A,FALSE,"Plan1";#N/A,#N/A,FALSE,"Plan2"}</definedName>
    <definedName name="lçlfklçdglfdgt" hidden="1">{#N/A,#N/A,FALSE,"Plan1";#N/A,#N/A,FALSE,"Plan2"}</definedName>
    <definedName name="lçslrr4r" localSheetId="0" hidden="1">{#N/A,#N/A,FALSE,"Plan1";#N/A,#N/A,FALSE,"Plan2"}</definedName>
    <definedName name="lçslrr4r" hidden="1">{#N/A,#N/A,FALSE,"Plan1";#N/A,#N/A,FALSE,"Plan2"}</definedName>
    <definedName name="ldfjgry" localSheetId="0" hidden="1">{#N/A,#N/A,FALSE,"Plan1";#N/A,#N/A,FALSE,"Plan2"}</definedName>
    <definedName name="ldfjgry" hidden="1">{#N/A,#N/A,FALSE,"Plan1";#N/A,#N/A,FALSE,"Plan2"}</definedName>
    <definedName name="ldfjgtilrf" localSheetId="0" hidden="1">{#N/A,#N/A,FALSE,"Plan1";#N/A,#N/A,FALSE,"Plan2"}</definedName>
    <definedName name="ldfjgtilrf" hidden="1">{#N/A,#N/A,FALSE,"Plan1";#N/A,#N/A,FALSE,"Plan2"}</definedName>
    <definedName name="ldk" localSheetId="0" hidden="1">{#N/A,#N/A,FALSE,"Plan1";#N/A,#N/A,FALSE,"Plan2"}</definedName>
    <definedName name="ldk" hidden="1">{#N/A,#N/A,FALSE,"Plan1";#N/A,#N/A,FALSE,"Plan2"}</definedName>
    <definedName name="ldkgkdfjgkh" localSheetId="0" hidden="1">{#N/A,#N/A,FALSE,"Plan1";#N/A,#N/A,FALSE,"Plan2"}</definedName>
    <definedName name="ldkgkdfjgkh" hidden="1">{#N/A,#N/A,FALSE,"Plan1";#N/A,#N/A,FALSE,"Plan2"}</definedName>
    <definedName name="LDTJGR" localSheetId="0" hidden="1">{#N/A,#N/A,FALSE,"Plan1";#N/A,#N/A,FALSE,"Plan2"}</definedName>
    <definedName name="LDTJGR" hidden="1">{#N/A,#N/A,FALSE,"Plan1";#N/A,#N/A,FALSE,"Plan2"}</definedName>
    <definedName name="Leg" localSheetId="0" hidden="1">#REF!</definedName>
    <definedName name="Leg" hidden="1">#REF!</definedName>
    <definedName name="legr_cdi" localSheetId="0">#REF!</definedName>
    <definedName name="legr_cdi">#REF!</definedName>
    <definedName name="legr_hist" localSheetId="0">#REF!</definedName>
    <definedName name="legr_hist">#REF!</definedName>
    <definedName name="legr_uss">#REF!</definedName>
    <definedName name="LEKG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0">#REF!</definedName>
    <definedName name="LEVANTAMENTO">#REF!</definedName>
    <definedName name="lfjdjrt" localSheetId="0" hidden="1">{#N/A,#N/A,FALSE,"Plan1";#N/A,#N/A,FALSE,"Plan2"}</definedName>
    <definedName name="lfjdjrt" hidden="1">{#N/A,#N/A,FALSE,"Plan1";#N/A,#N/A,FALSE,"Plan2"}</definedName>
    <definedName name="LI" localSheetId="0">#REF!</definedName>
    <definedName name="LI">#REF!</definedName>
    <definedName name="LIDER_OPER" localSheetId="0">#REF!</definedName>
    <definedName name="LIDER_OPER">#REF!</definedName>
    <definedName name="lidfjgklruf" localSheetId="0" hidden="1">{#N/A,#N/A,FALSE,"Plan1";#N/A,#N/A,FALSE,"Plan2"}</definedName>
    <definedName name="lidfjgklruf" hidden="1">{#N/A,#N/A,FALSE,"Plan1";#N/A,#N/A,FALSE,"Plan2"}</definedName>
    <definedName name="LII" localSheetId="0">#REF!</definedName>
    <definedName name="LII">#REF!</definedName>
    <definedName name="LIII" localSheetId="0">#REF!</definedName>
    <definedName name="LIII">#REF!</definedName>
    <definedName name="LIMBO" localSheetId="0">#REF!</definedName>
    <definedName name="LIMBO">#REF!</definedName>
    <definedName name="limcount" hidden="1">3</definedName>
    <definedName name="LIN" localSheetId="0">#REF!</definedName>
    <definedName name="LIN">#REF!</definedName>
    <definedName name="lis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0">#REF!</definedName>
    <definedName name="LISTA">#REF!</definedName>
    <definedName name="LISTA_CONTAS" localSheetId="0">#REF!</definedName>
    <definedName name="LISTA_CONTAS">#REF!</definedName>
    <definedName name="lista_empresa" localSheetId="0">OFFSET(INDEX(#REF!,MATCH(#REF!,#REF!,0)),1,0,COUNTA(#REF!)-1)</definedName>
    <definedName name="lista_empresa">OFFSET(INDEX(#REF!,MATCH(#REF!,#REF!,0)),1,0,COUNTA(#REF!)-1)</definedName>
    <definedName name="LISTA_FORNECEDORES" localSheetId="0">#REF!</definedName>
    <definedName name="LISTA_FORNECEDORES">#REF!</definedName>
    <definedName name="LISTSEL" localSheetId="0">#REF!</definedName>
    <definedName name="LISTSEL">#REF!</definedName>
    <definedName name="listt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0">#REF!</definedName>
    <definedName name="LIV">#REF!</definedName>
    <definedName name="LIX" localSheetId="0">#REF!</definedName>
    <definedName name="LIX">#REF!</definedName>
    <definedName name="ljdfkgyt" localSheetId="0" hidden="1">{#N/A,#N/A,FALSE,"Plan1";#N/A,#N/A,FALSE,"Plan2"}</definedName>
    <definedName name="ljdfkgyt" hidden="1">{#N/A,#N/A,FALSE,"Plan1";#N/A,#N/A,FALSE,"Plan2"}</definedName>
    <definedName name="LJDFLJRL" localSheetId="0" hidden="1">{#N/A,#N/A,FALSE,"Plan1";#N/A,#N/A,FALSE,"Plan2"}</definedName>
    <definedName name="LJDFLJRL" hidden="1">{#N/A,#N/A,FALSE,"Plan1";#N/A,#N/A,FALSE,"Plan2"}</definedName>
    <definedName name="ljsdfrd" localSheetId="0" hidden="1">{#N/A,#N/A,FALSE,"Plan1";#N/A,#N/A,FALSE,"Plan2"}</definedName>
    <definedName name="ljsdfrd" hidden="1">{#N/A,#N/A,FALSE,"Plan1";#N/A,#N/A,FALSE,"Plan2"}</definedName>
    <definedName name="LJSFLDJDLKFJG" localSheetId="0" hidden="1">#REF!</definedName>
    <definedName name="LJSFLDJDLKFJG" hidden="1">#REF!</definedName>
    <definedName name="LK" localSheetId="0" hidden="1">{#N/A,#N/A,TRUE,"Quinzena 01 à 15-04-98 "}</definedName>
    <definedName name="LK" hidden="1">{#N/A,#N/A,TRUE,"Quinzena 01 à 15-04-98 "}</definedName>
    <definedName name="lkasdkeo" localSheetId="0" hidden="1">{#N/A,#N/A,FALSE,"Plan1";#N/A,#N/A,FALSE,"Plan2"}</definedName>
    <definedName name="lkasdkeo" hidden="1">{#N/A,#N/A,FALSE,"Plan1";#N/A,#N/A,FALSE,"Plan2"}</definedName>
    <definedName name="lkdeas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0" hidden="1">{#N/A,#N/A,FALSE,"Plan1";#N/A,#N/A,FALSE,"Plan2"}</definedName>
    <definedName name="lkdzxfsdrf" hidden="1">{#N/A,#N/A,FALSE,"Plan1";#N/A,#N/A,FALSE,"Plan2"}</definedName>
    <definedName name="lkfdkçtktr" localSheetId="0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localSheetId="0" hidden="1">{#N/A,#N/A,FALSE,"Plan1";#N/A,#N/A,FALSE,"Plan2"}</definedName>
    <definedName name="LKSSDKÇ\E" hidden="1">{#N/A,#N/A,FALSE,"Plan1";#N/A,#N/A,FALSE,"Plan2"}</definedName>
    <definedName name="lkt" localSheetId="0" hidden="1">{#N/A,#N/A,FALSE,"Plan1";#N/A,#N/A,FALSE,"Plan2"}</definedName>
    <definedName name="lkt" hidden="1">{#N/A,#N/A,FALSE,"Plan1";#N/A,#N/A,FALSE,"Plan2"}</definedName>
    <definedName name="lktlyklt" localSheetId="0" hidden="1">{#N/A,#N/A,FALSE,"Plan1";#N/A,#N/A,FALSE,"Plan2"}</definedName>
    <definedName name="lktlyklt" hidden="1">{#N/A,#N/A,FALSE,"Plan1";#N/A,#N/A,FALSE,"Plan2"}</definedName>
    <definedName name="LKTTYT" localSheetId="0" hidden="1">{#N/A,#N/A,FALSE,"Plan1";#N/A,#N/A,FALSE,"Plan2"}</definedName>
    <definedName name="LKTTYT" hidden="1">{#N/A,#N/A,FALSE,"Plan1";#N/A,#N/A,FALSE,"Plan2"}</definedName>
    <definedName name="llgg" localSheetId="0" hidden="1">{#N/A,#N/A,FALSE,"Plan1";#N/A,#N/A,FALSE,"Plan2"}</definedName>
    <definedName name="llgg" hidden="1">{#N/A,#N/A,FALSE,"Plan1";#N/A,#N/A,FALSE,"Plan2"}</definedName>
    <definedName name="LLL" localSheetId="0" hidden="1">{#N/A,#N/A,FALSE,"Plan1";#N/A,#N/A,FALSE,"Plan2"}</definedName>
    <definedName name="LLL" hidden="1">{#N/A,#N/A,FALSE,"Plan1";#N/A,#N/A,FALSE,"Plan2"}</definedName>
    <definedName name="LM_AR" localSheetId="0" hidden="1">{#N/A,#N/A,FALSE,"F-01"}</definedName>
    <definedName name="LM_AR" hidden="1">{#N/A,#N/A,FALSE,"F-01"}</definedName>
    <definedName name="LM_AT" localSheetId="0" hidden="1">{#N/A,#N/A,FALSE,"F-01"}</definedName>
    <definedName name="LM_AT" hidden="1">{#N/A,#N/A,FALSE,"F-01"}</definedName>
    <definedName name="LM_INC" localSheetId="0" hidden="1">{#N/A,#N/A,FALSE,"F-01"}</definedName>
    <definedName name="LM_INC" hidden="1">{#N/A,#N/A,FALSE,"F-01"}</definedName>
    <definedName name="LMPAS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0">#REF!</definedName>
    <definedName name="LOCALMENU">#REF!</definedName>
    <definedName name="LOCALOBRA" localSheetId="0">#REF!</definedName>
    <definedName name="LOCALOBRA">#REF!</definedName>
    <definedName name="LS" localSheetId="16">'[1]M.O.'!#REF!</definedName>
    <definedName name="LS" localSheetId="18">'[1]M.O.'!#REF!</definedName>
    <definedName name="LS" localSheetId="1">'[1]M.O.'!#REF!</definedName>
    <definedName name="LS" localSheetId="8">'[1]M.O.'!#REF!</definedName>
    <definedName name="LS" localSheetId="2">'[1]M.O.'!#REF!</definedName>
    <definedName name="LS" localSheetId="0">'[1]M.O.'!#REF!</definedName>
    <definedName name="LS" localSheetId="9">'[1]M.O.'!#REF!</definedName>
    <definedName name="LS">'[1]M.O.'!#REF!</definedName>
    <definedName name="LSDFKLDKFTR" localSheetId="0" hidden="1">{#N/A,#N/A,FALSE,"Plan1";#N/A,#N/A,FALSE,"Plan2"}</definedName>
    <definedName name="LSDFKLDKFTR" hidden="1">{#N/A,#N/A,FALSE,"Plan1";#N/A,#N/A,FALSE,"Plan2"}</definedName>
    <definedName name="lsdjs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0" hidden="1">{#N/A,#N/A,FALSE,"Plan1";#N/A,#N/A,FALSE,"Plan2"}</definedName>
    <definedName name="lsdkljfkg" hidden="1">{#N/A,#N/A,FALSE,"Plan1";#N/A,#N/A,FALSE,"Plan2"}</definedName>
    <definedName name="lsdsder" localSheetId="0" hidden="1">{#N/A,#N/A,FALSE,"Plan1";#N/A,#N/A,FALSE,"Plan2"}</definedName>
    <definedName name="lsdsder" hidden="1">{#N/A,#N/A,FALSE,"Plan1";#N/A,#N/A,FALSE,"Plan2"}</definedName>
    <definedName name="ltj6ljyhdjhngças" localSheetId="0" hidden="1">{#N/A,#N/A,FALSE,"Plan1";#N/A,#N/A,FALSE,"Plan2"}</definedName>
    <definedName name="ltj6ljyhdjhngças" hidden="1">{#N/A,#N/A,FALSE,"Plan1";#N/A,#N/A,FALSE,"Plan2"}</definedName>
    <definedName name="LUCRO" localSheetId="0">#REF!</definedName>
    <definedName name="LUCRO">#REF!</definedName>
    <definedName name="luis_cdi" localSheetId="0">#REF!</definedName>
    <definedName name="luis_cdi">#REF!</definedName>
    <definedName name="luis_hist" localSheetId="0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 localSheetId="0" hidden="1">#REF!</definedName>
    <definedName name="lwaeddew" hidden="1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0">#REF!</definedName>
    <definedName name="MADRI">#REF!</definedName>
    <definedName name="mai17RJ" localSheetId="0">#REF!</definedName>
    <definedName name="mai17RJ">#REF!</definedName>
    <definedName name="MAIO" localSheetId="0">#REF!</definedName>
    <definedName name="MAIO">#REF!</definedName>
    <definedName name="MAIO2001">#REF!</definedName>
    <definedName name="MAISAP" localSheetId="0" hidden="1">{#N/A,#N/A,FALSE,"Plan1";#N/A,#N/A,FALSE,"Plan2"}</definedName>
    <definedName name="MAISAP" hidden="1">{#N/A,#N/A,FALSE,"Plan1";#N/A,#N/A,FALSE,"Plan2"}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0">#REF!</definedName>
    <definedName name="MAO_DE_OBRA">#REF!</definedName>
    <definedName name="mar17RJ" localSheetId="0">#REF!</definedName>
    <definedName name="mar17RJ">#REF!</definedName>
    <definedName name="MARCAX" localSheetId="0">#REF!</definedName>
    <definedName name="MARCAX">#REF!</definedName>
    <definedName name="MARÇO">#REF!</definedName>
    <definedName name="MARÇO2001">#REF!</definedName>
    <definedName name="martha">#REF!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0">#REF!</definedName>
    <definedName name="MATERIAL">#REF!</definedName>
    <definedName name="mattubcu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0" hidden="1">{#N/A,#N/A,FALSE,"Plan1";#N/A,#N/A,FALSE,"Plan2"}</definedName>
    <definedName name="MAURILIO" hidden="1">{#N/A,#N/A,FALSE,"Plan1";#N/A,#N/A,FALSE,"Plan2"}</definedName>
    <definedName name="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0">#REF!</definedName>
    <definedName name="MCMV">#REF!</definedName>
    <definedName name="mdfgtr" localSheetId="0" hidden="1">{#N/A,#N/A,FALSE,"Plan1";#N/A,#N/A,FALSE,"Plan2"}</definedName>
    <definedName name="mdfgtr" hidden="1">{#N/A,#N/A,FALSE,"Plan1";#N/A,#N/A,FALSE,"Plan2"}</definedName>
    <definedName name="MDSÇLFJKJSD" localSheetId="0" hidden="1">{#N/A,#N/A,FALSE,"Plan1";#N/A,#N/A,FALSE,"Plan2"}</definedName>
    <definedName name="MDSÇLFJKJSD" hidden="1">{#N/A,#N/A,FALSE,"Plan1";#N/A,#N/A,FALSE,"Plan2"}</definedName>
    <definedName name="ME" localSheetId="0" hidden="1">{"HW",#N/A,FALSE,"1998"}</definedName>
    <definedName name="ME" hidden="1">{"HW",#N/A,FALSE,"1998"}</definedName>
    <definedName name="Medido_Fin_Medições" localSheetId="0">#REF!</definedName>
    <definedName name="Medido_Fin_Medições">#REF!</definedName>
    <definedName name="melo_cdi" localSheetId="0">#REF!</definedName>
    <definedName name="melo_cdi">#REF!</definedName>
    <definedName name="melo_hist" localSheetId="0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 localSheetId="16">#REF!</definedName>
    <definedName name="MENU" localSheetId="18">#REF!</definedName>
    <definedName name="MENU" localSheetId="1">#REF!</definedName>
    <definedName name="MENU" localSheetId="8">#REF!</definedName>
    <definedName name="MENU" localSheetId="2">#REF!</definedName>
    <definedName name="MENU" localSheetId="0">#REF!</definedName>
    <definedName name="MENU" localSheetId="9">#REF!</definedName>
    <definedName name="MENU">#REF!</definedName>
    <definedName name="MENU1" localSheetId="1">#REF!</definedName>
    <definedName name="MENU1" localSheetId="0">#REF!</definedName>
    <definedName name="MENU1">#REF!</definedName>
    <definedName name="MENU2" localSheetId="1">#REF!</definedName>
    <definedName name="MENU2" localSheetId="0">#REF!</definedName>
    <definedName name="MENU2">#REF!</definedName>
    <definedName name="MENU3" localSheetId="0">#REF!</definedName>
    <definedName name="MENU3">#REF!</definedName>
    <definedName name="MENU4" localSheetId="0">#REF!</definedName>
    <definedName name="MENU4">#REF!</definedName>
    <definedName name="MENU5" localSheetId="0">#REF!</definedName>
    <definedName name="MENU5">#REF!</definedName>
    <definedName name="MENU6" localSheetId="0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0">#REF!</definedName>
    <definedName name="meta_venda">#REF!</definedName>
    <definedName name="MetaBP" localSheetId="0">#REF!</definedName>
    <definedName name="MetaBP">#REF!</definedName>
    <definedName name="MILENA" localSheetId="0" hidden="1">#REF!</definedName>
    <definedName name="MILENA" hidden="1">#REF!</definedName>
    <definedName name="Minha_Casa_Minha_Vida">#REF!</definedName>
    <definedName name="MLMÇLKJKI" localSheetId="0" hidden="1">{#N/A,#N/A,FALSE,"Plan1";#N/A,#N/A,FALSE,"Plan2"}</definedName>
    <definedName name="MLMÇLKJKI" hidden="1">{#N/A,#N/A,FALSE,"Plan1";#N/A,#N/A,FALSE,"Plan2"}</definedName>
    <definedName name="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0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0" hidden="1">{#N/A,#N/A,FALSE,"Plan1";#N/A,#N/A,FALSE,"Plan2"}</definedName>
    <definedName name="MNBXFKGS" hidden="1">{#N/A,#N/A,FALSE,"Plan1";#N/A,#N/A,FALSE,"Plan2"}</definedName>
    <definedName name="mncvbgcvmc" localSheetId="0" hidden="1">{#N/A,#N/A,FALSE,"Plan1";#N/A,#N/A,FALSE,"Plan2"}</definedName>
    <definedName name="mncvbgcvmc" hidden="1">{#N/A,#N/A,FALSE,"Plan1";#N/A,#N/A,FALSE,"Plan2"}</definedName>
    <definedName name="MNDKZSFNCEA" localSheetId="0" hidden="1">{#N/A,#N/A,FALSE,"Plan1";#N/A,#N/A,FALSE,"Plan2"}</definedName>
    <definedName name="MNDKZSFNCEA" hidden="1">{#N/A,#N/A,FALSE,"Plan1";#N/A,#N/A,FALSE,"Plan2"}</definedName>
    <definedName name="mnhdshfgfhd" localSheetId="0" hidden="1">{#N/A,#N/A,FALSE,"Plan1";#N/A,#N/A,FALSE,"Plan2"}</definedName>
    <definedName name="mnhdshfgfhd" hidden="1">{#N/A,#N/A,FALSE,"Plan1";#N/A,#N/A,FALSE,"Plan2"}</definedName>
    <definedName name="mo" localSheetId="0">#REF!</definedName>
    <definedName name="mo">#REF!</definedName>
    <definedName name="mobr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0" hidden="1">{#N/A,#N/A,FALSE,"cdi";#N/A,#N/A,FALSE,"debent";#N/A,#N/A,FALSE,"fdos";#N/A,#N/A,FALSE,"resumo"}</definedName>
    <definedName name="Modelo1" hidden="1">{#N/A,#N/A,FALSE,"cdi";#N/A,#N/A,FALSE,"debent";#N/A,#N/A,FALSE,"fdos";#N/A,#N/A,FALSE,"resumo"}</definedName>
    <definedName name="Modelo1a" localSheetId="0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0">#REF!</definedName>
    <definedName name="módulo">#REF!</definedName>
    <definedName name="mond_cdi" localSheetId="0">#REF!</definedName>
    <definedName name="mond_cdi">#REF!</definedName>
    <definedName name="mond_hist" localSheetId="0">#REF!</definedName>
    <definedName name="mond_hist">#REF!</definedName>
    <definedName name="mond_uss">#REF!</definedName>
    <definedName name="MP" localSheetId="0" hidden="1">{#N/A,#N/A,FALSE,"CCTV"}</definedName>
    <definedName name="MP" hidden="1">{#N/A,#N/A,FALSE,"CCTV"}</definedName>
    <definedName name="MSDFJKDT" hidden="1">25</definedName>
    <definedName name="MSDRFSWER" localSheetId="0" hidden="1">{"Econ Consolidado",#N/A,FALSE,"Econ Consol";"Fluxo de Caixa",#N/A,FALSE,"Fluxo Caixa";"Investimentos",#N/A,FALSE,"Investimentos"}</definedName>
    <definedName name="MSDRFSWER" hidden="1">{"Econ Consolidado",#N/A,FALSE,"Econ Consol";"Fluxo de Caixa",#N/A,FALSE,"Fluxo Caixa";"Investimentos",#N/A,FALSE,"Investimentos"}</definedName>
    <definedName name="MURBOMB" localSheetId="0">#REF!</definedName>
    <definedName name="MURBOMB">#REF!</definedName>
    <definedName name="mzshdjshjs" localSheetId="0" hidden="1">{#N/A,#N/A,FALSE,"Plan1";#N/A,#N/A,FALSE,"Plan2"}</definedName>
    <definedName name="mzshdjshjs" hidden="1">{#N/A,#N/A,FALSE,"Plan1";#N/A,#N/A,FALSE,"Plan2"}</definedName>
    <definedName name="na" localSheetId="0" hidden="1">{#N/A,#N/A,FALSE,"$170M Cash";#N/A,#N/A,FALSE,"$250M Cash";#N/A,#N/A,FALSE,"$325M Cash"}</definedName>
    <definedName name="na" hidden="1">{#N/A,#N/A,FALSE,"$170M Cash";#N/A,#N/A,FALSE,"$250M Cash";#N/A,#N/A,FALSE,"$325M Cash"}</definedName>
    <definedName name="ncdgrdhrtg" localSheetId="0" hidden="1">{#N/A,#N/A,FALSE,"Plan1";#N/A,#N/A,FALSE,"Plan2"}</definedName>
    <definedName name="ncdgrdhrtg" hidden="1">{#N/A,#N/A,FALSE,"Plan1";#N/A,#N/A,FALSE,"Plan2"}</definedName>
    <definedName name="nchngdfhgdh" localSheetId="0" hidden="1">{#N/A,#N/A,FALSE,"Plan1";#N/A,#N/A,FALSE,"Plan2"}</definedName>
    <definedName name="nchngdfhgdh" hidden="1">{#N/A,#N/A,FALSE,"Plan1";#N/A,#N/A,FALSE,"Plan2"}</definedName>
    <definedName name="NCJFKNGJHF" localSheetId="0" hidden="1">{#N/A,#N/A,FALSE,"Plan1";#N/A,#N/A,FALSE,"Plan2"}</definedName>
    <definedName name="NCJFKNGJHF" hidden="1">{#N/A,#N/A,FALSE,"Plan1";#N/A,#N/A,FALSE,"Plan2"}</definedName>
    <definedName name="NDATA" localSheetId="0">#REF!</definedName>
    <definedName name="NDATA">#REF!</definedName>
    <definedName name="ndcxhgdhf" localSheetId="0" hidden="1">{#N/A,#N/A,FALSE,"Plan1";#N/A,#N/A,FALSE,"Plan2"}</definedName>
    <definedName name="ndcxhgdhf" hidden="1">{#N/A,#N/A,FALSE,"Plan1";#N/A,#N/A,FALSE,"Plan2"}</definedName>
    <definedName name="ndfjnjkrhdgt" localSheetId="0" hidden="1">{#N/A,#N/A,FALSE,"Plan1";#N/A,#N/A,FALSE,"Plan2"}</definedName>
    <definedName name="ndfjnjkrhdgt" hidden="1">{#N/A,#N/A,FALSE,"Plan1";#N/A,#N/A,FALSE,"Plan2"}</definedName>
    <definedName name="ndfkghkjthfyst" localSheetId="0" hidden="1">{#N/A,#N/A,FALSE,"Plan1";#N/A,#N/A,FALSE,"Plan2"}</definedName>
    <definedName name="ndfkghkjthfyst" hidden="1">{#N/A,#N/A,FALSE,"Plan1";#N/A,#N/A,FALSE,"Plan2"}</definedName>
    <definedName name="ndfldslvjnvberugberqubquierbv" localSheetId="0">#REF!</definedName>
    <definedName name="ndfldslvjnvberugberqubquierbv">#REF!</definedName>
    <definedName name="NDJGKFKGHUFG" localSheetId="0" hidden="1">{#N/A,#N/A,FALSE,"Plan1";#N/A,#N/A,FALSE,"Plan2"}</definedName>
    <definedName name="NDJGKFKGHUFG" hidden="1">{#N/A,#N/A,FALSE,"Plan1";#N/A,#N/A,FALSE,"Plan2"}</definedName>
    <definedName name="ndrjkt" localSheetId="0" hidden="1">{#N/A,#N/A,FALSE,"Plan1";#N/A,#N/A,FALSE,"Plan2"}</definedName>
    <definedName name="ndrjkt" hidden="1">{#N/A,#N/A,FALSE,"Plan1";#N/A,#N/A,FALSE,"Plan2"}</definedName>
    <definedName name="new" localSheetId="0" hidden="1">{#N/A,#N/A,FALSE,"Global by BU";#N/A,#N/A,FALSE,"U.S. by BU";#N/A,#N/A,FALSE,"Canada by BU";#N/A,#N/A,FALSE,"Europe by BU";#N/A,#N/A,FALSE,"Asia by BU";#N/A,#N/A,FALSE,"Cala by BU"}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localSheetId="0" hidden="1">{#N/A,#N/A,FALSE,"CCTV"}</definedName>
    <definedName name="NEWNAME" hidden="1">{#N/A,#N/A,FALSE,"CCTV"}</definedName>
    <definedName name="nfgjkhvhfghn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0" hidden="1">{#N/A,#N/A,FALSE,"Plan1";#N/A,#N/A,FALSE,"Plan2"}</definedName>
    <definedName name="nfkhdjkthde" hidden="1">{#N/A,#N/A,FALSE,"Plan1";#N/A,#N/A,FALSE,"Plan2"}</definedName>
    <definedName name="n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0" hidden="1">{#N/A,#N/A,FALSE,"Plan1";#N/A,#N/A,FALSE,"Plan2"}</definedName>
    <definedName name="NHJHFDSHF" hidden="1">{#N/A,#N/A,FALSE,"Plan1";#N/A,#N/A,FALSE,"Plan2"}</definedName>
    <definedName name="NJSDFHERTG" localSheetId="0" hidden="1">{#N/A,#N/A,FALSE,"Plan1";#N/A,#N/A,FALSE,"Plan2"}</definedName>
    <definedName name="NJSDFHERTG" hidden="1">{#N/A,#N/A,FALSE,"Plan1";#N/A,#N/A,FALSE,"Plan2"}</definedName>
    <definedName name="nkfnsskdn" localSheetId="0" hidden="1">{#N/A,#N/A,FALSE,"Plan1";#N/A,#N/A,FALSE,"Plan2"}</definedName>
    <definedName name="nkfnsskdn" hidden="1">{#N/A,#N/A,FALSE,"Plan1";#N/A,#N/A,FALSE,"Plan2"}</definedName>
    <definedName name="NKJL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0">#REF!</definedName>
    <definedName name="nl">#REF!</definedName>
    <definedName name="nlaksjdwe" localSheetId="0" hidden="1">{#N/A,#N/A,FALSE,"Plan1";#N/A,#N/A,FALSE,"Plan2"}</definedName>
    <definedName name="nlaksjdwe" hidden="1">{#N/A,#N/A,FALSE,"Plan1";#N/A,#N/A,FALSE,"Plan2"}</definedName>
    <definedName name="nljsdfljfdsfr" localSheetId="0" hidden="1">{#N/A,#N/A,FALSE,"Plan1";#N/A,#N/A,FALSE,"Plan2"}</definedName>
    <definedName name="nljsdfljfdsfr" hidden="1">{#N/A,#N/A,FALSE,"Plan1";#N/A,#N/A,FALSE,"Plan2"}</definedName>
    <definedName name="nm_k1" localSheetId="0">#REF!</definedName>
    <definedName name="nm_k1">#REF!</definedName>
    <definedName name="nm_k2" localSheetId="0">#REF!</definedName>
    <definedName name="nm_k2">#REF!</definedName>
    <definedName name="nm_k3" localSheetId="0">#REF!</definedName>
    <definedName name="nm_k3">#REF!</definedName>
    <definedName name="nmjdfhxj" localSheetId="0" hidden="1">{#N/A,#N/A,FALSE,"Plan1";#N/A,#N/A,FALSE,"Plan2"}</definedName>
    <definedName name="nmjdfhxj" hidden="1">{#N/A,#N/A,FALSE,"Plan1";#N/A,#N/A,FALSE,"Plan2"}</definedName>
    <definedName name="nnmn" localSheetId="0" hidden="1">{#N/A,#N/A,FALSE,"Plan1";#N/A,#N/A,FALSE,"Plan2"}</definedName>
    <definedName name="nnmn" hidden="1">{#N/A,#N/A,FALSE,"Plan1";#N/A,#N/A,FALSE,"Plan2"}</definedName>
    <definedName name="nnn" localSheetId="0" hidden="1">{#N/A,#N/A,FALSE,"Plan1";#N/A,#N/A,FALSE,"Plan2"}</definedName>
    <definedName name="nnn" hidden="1">{#N/A,#N/A,FALSE,"Plan1";#N/A,#N/A,FALSE,"Plan2"}</definedName>
    <definedName name="nnnnnnnnnnn" localSheetId="0" hidden="1">{"HW",#N/A,FALSE,"1998"}</definedName>
    <definedName name="nnnnnnnnnnn" hidden="1">{"HW",#N/A,FALSE,"1998"}</definedName>
    <definedName name="NNNNNNNNNNNNNNN" localSheetId="0" hidden="1">{#N/A,#N/A,FALSE,"Plan1";#N/A,#N/A,FALSE,"Plan2"}</definedName>
    <definedName name="NNNNNNNNNNNNNNN" hidden="1">{#N/A,#N/A,FALSE,"Plan1";#N/A,#N/A,FALSE,"Plan2"}</definedName>
    <definedName name="nnnnnnnnnnnnnnnnnnnn" localSheetId="0" hidden="1">{#N/A,#N/A,FALSE,"Plan1";#N/A,#N/A,FALSE,"Plan2"}</definedName>
    <definedName name="nnnnnnnnnnnnnnnnnnnn" hidden="1">{#N/A,#N/A,FALSE,"Plan1";#N/A,#N/A,FALSE,"Plan2"}</definedName>
    <definedName name="NNXFT" localSheetId="0" hidden="1">{#N/A,#N/A,FALSE,"Plan1";#N/A,#N/A,FALSE,"Plan2"}</definedName>
    <definedName name="NNXFT" hidden="1">{#N/A,#N/A,FALSE,"Plan1";#N/A,#N/A,FALSE,"Plan2"}</definedName>
    <definedName name="no" localSheetId="0">#REF!</definedName>
    <definedName name="no">#REF!</definedName>
    <definedName name="NOME" localSheetId="0">#REF!</definedName>
    <definedName name="NOME">#REF!</definedName>
    <definedName name="nome2" localSheetId="0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localSheetId="0" hidden="1">{#N/A,#N/A,FALSE,"Plan1";#N/A,#N/A,FALSE,"Plan2"}</definedName>
    <definedName name="nsdkfndgfdnatf" hidden="1">{#N/A,#N/A,FALSE,"Plan1";#N/A,#N/A,FALSE,"Plan2"}</definedName>
    <definedName name="nsfljdiljrf" localSheetId="0" hidden="1">{#N/A,#N/A,FALSE,"Plan1";#N/A,#N/A,FALSE,"Plan2"}</definedName>
    <definedName name="nsfljdiljrf" hidden="1">{#N/A,#N/A,FALSE,"Plan1";#N/A,#N/A,FALSE,"Plan2"}</definedName>
    <definedName name="NUCOPIAS" localSheetId="0">#REF!</definedName>
    <definedName name="NUCOPIAS">#REF!</definedName>
    <definedName name="NUMOBRA" localSheetId="0">#REF!</definedName>
    <definedName name="NUMOBRA">#REF!</definedName>
    <definedName name="NutN" localSheetId="0">#REF!</definedName>
    <definedName name="NutN">#REF!</definedName>
    <definedName name="nzxcnnjkd" localSheetId="0" hidden="1">{#N/A,#N/A,FALSE,"Plan1";#N/A,#N/A,FALSE,"Plan2"}</definedName>
    <definedName name="nzxcnnjkd" hidden="1">{#N/A,#N/A,FALSE,"Plan1";#N/A,#N/A,FALSE,"Plan2"}</definedName>
    <definedName name="OAE" localSheetId="0">#REF!</definedName>
    <definedName name="OAE">#REF!</definedName>
    <definedName name="OBRA" localSheetId="0">#REF!</definedName>
    <definedName name="OBRA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 hidden="1">25</definedName>
    <definedName name="odfuudor" localSheetId="0" hidden="1">{#N/A,#N/A,FALSE,"Plan1";#N/A,#N/A,FALSE,"Plan2"}</definedName>
    <definedName name="odfuudor" hidden="1">{#N/A,#N/A,FALSE,"Plan1";#N/A,#N/A,FALSE,"Plan2"}</definedName>
    <definedName name="ODH" localSheetId="0" hidden="1">#REF!</definedName>
    <definedName name="ODH" hidden="1">#REF!</definedName>
    <definedName name="oficial_mes" localSheetId="0">#REF!</definedName>
    <definedName name="oficial_mes">#REF!</definedName>
    <definedName name="oficial2_mes" localSheetId="0">#REF!</definedName>
    <definedName name="oficial2_mes">#REF!</definedName>
    <definedName name="oiditrot" localSheetId="0" hidden="1">{#N/A,#N/A,FALSE,"Plan1";#N/A,#N/A,FALSE,"Plan2"}</definedName>
    <definedName name="oiditrot" hidden="1">{#N/A,#N/A,FALSE,"Plan1";#N/A,#N/A,FALSE,"Plan2"}</definedName>
    <definedName name="oio" localSheetId="0" hidden="1">{#N/A,#N/A,FALSE,"Plan1";#N/A,#N/A,FALSE,"Plan2"}</definedName>
    <definedName name="oio" hidden="1">{#N/A,#N/A,FALSE,"Plan1";#N/A,#N/A,FALSE,"Plan2"}</definedName>
    <definedName name="OITO" localSheetId="0">#REF!</definedName>
    <definedName name="OITO">#REF!</definedName>
    <definedName name="oiufioorif" localSheetId="0" hidden="1">#REF!</definedName>
    <definedName name="oiufioorif" hidden="1">#REF!</definedName>
    <definedName name="OJÇLJ" localSheetId="0" hidden="1">{#N/A,#N/A,FALSE,"Plan1";#N/A,#N/A,FALSE,"Plan2"}</definedName>
    <definedName name="OJÇLJ" hidden="1">{#N/A,#N/A,FALSE,"Plan1";#N/A,#N/A,FALSE,"Plan2"}</definedName>
    <definedName name="ojkdfit" localSheetId="0" hidden="1">{#N/A,#N/A,FALSE,"Plan1";#N/A,#N/A,FALSE,"Plan2"}</definedName>
    <definedName name="ojkdfit" hidden="1">{#N/A,#N/A,FALSE,"Plan1";#N/A,#N/A,FALSE,"Plan2"}</definedName>
    <definedName name="oMISSOS" localSheetId="0" hidden="1">#REF!</definedName>
    <definedName name="oMISSOS" hidden="1">#REF!</definedName>
    <definedName name="ONZE" localSheetId="0">#REF!</definedName>
    <definedName name="ONZE">#REF!</definedName>
    <definedName name="ooo" localSheetId="0" hidden="1">{#N/A,#N/A,FALSE,"Plan1";#N/A,#N/A,FALSE,"Plan2"}</definedName>
    <definedName name="ooo" hidden="1">{#N/A,#N/A,FALSE,"Plan1";#N/A,#N/A,FALSE,"Plan2"}</definedName>
    <definedName name="OPASEDWED" localSheetId="0" hidden="1">{"Econ Consolidado",#N/A,FALSE,"Econ Consol";"Fluxo de Caixa",#N/A,FALSE,"Fluxo Caixa";"Investimentos",#N/A,FALSE,"Investimentos"}</definedName>
    <definedName name="OPASEDWED" hidden="1">{"Econ Consolidado",#N/A,FALSE,"Econ Consol";"Fluxo de Caixa",#N/A,FALSE,"Fluxo Caixa";"Investimentos",#N/A,FALSE,"Investimentos"}</definedName>
    <definedName name="opcao_taxa_desconto" localSheetId="0">#REF!</definedName>
    <definedName name="opcao_taxa_desconto">#REF!</definedName>
    <definedName name="opções" localSheetId="0">#REF!</definedName>
    <definedName name="opções">#REF!</definedName>
    <definedName name="opiwre" localSheetId="0" hidden="1">{#N/A,#N/A,FALSE,"Plan1";#N/A,#N/A,FALSE,"Plan2"}</definedName>
    <definedName name="opiwre" hidden="1">{#N/A,#N/A,FALSE,"Plan1";#N/A,#N/A,FALSE,"Plan2"}</definedName>
    <definedName name="ORCAMEN" localSheetId="0">#REF!</definedName>
    <definedName name="ORCAMEN">#REF!</definedName>
    <definedName name="Orcamentistas" localSheetId="0">#REF!</definedName>
    <definedName name="Orcamentistas">#REF!</definedName>
    <definedName name="origem_recebiveis" localSheetId="0">#REF!</definedName>
    <definedName name="origem_recebiveis">#REF!</definedName>
    <definedName name="origem_unidades">#REF!</definedName>
    <definedName name="Origem2_Recebimento_Fin_Medições">#REF!</definedName>
    <definedName name="os" localSheetId="0" hidden="1">{#N/A,#N/A,FALSE,"TABLE"}</definedName>
    <definedName name="os" hidden="1">{#N/A,#N/A,FALSE,"TABLE"}</definedName>
    <definedName name="osca_cdi" localSheetId="0">#REF!</definedName>
    <definedName name="osca_cdi">#REF!</definedName>
    <definedName name="osca_hist" localSheetId="0">#REF!</definedName>
    <definedName name="osca_hist">#REF!</definedName>
    <definedName name="osca_uss" localSheetId="0">#REF!</definedName>
    <definedName name="osca_uss">#REF!</definedName>
    <definedName name="otodgkrjglsrd" localSheetId="0" hidden="1">{#N/A,#N/A,FALSE,"Plan1";#N/A,#N/A,FALSE,"Plan2"}</definedName>
    <definedName name="otodgkrjglsrd" hidden="1">{#N/A,#N/A,FALSE,"Plan1";#N/A,#N/A,FALSE,"Plan2"}</definedName>
    <definedName name="OUERWRSR" localSheetId="0" hidden="1">{#N/A,#N/A,FALSE,"Plan1";#N/A,#N/A,FALSE,"Plan2"}</definedName>
    <definedName name="OUERWRSR" hidden="1">{#N/A,#N/A,FALSE,"Plan1";#N/A,#N/A,FALSE,"Plan2"}</definedName>
    <definedName name="out17RJ" localSheetId="0">#REF!</definedName>
    <definedName name="out17RJ">#REF!</definedName>
    <definedName name="outro" localSheetId="0" hidden="1">#REF!</definedName>
    <definedName name="outro" hidden="1">#REF!</definedName>
    <definedName name="OUTROS" localSheetId="0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0">#REF!</definedName>
    <definedName name="oxfo_cdi">#REF!</definedName>
    <definedName name="oxfo_hist" localSheetId="0">#REF!</definedName>
    <definedName name="oxfo_hist">#REF!</definedName>
    <definedName name="oxfo_uss" localSheetId="0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 localSheetId="0">ROW()-Linha_Cabeçalho</definedName>
    <definedName name="Pagamento_Num">ROW()-Linha_Cabeçalho</definedName>
    <definedName name="Pago_Até_2015_Controladoria" localSheetId="0">#REF!</definedName>
    <definedName name="Pago_Até_2015_Controladoria">#REF!</definedName>
    <definedName name="Pal_Workbook_GUID" hidden="1">"3HURD34M2XKWJ5V6M4BWCR5Q"</definedName>
    <definedName name="PAP" localSheetId="0">#REF!</definedName>
    <definedName name="PAP">#REF!</definedName>
    <definedName name="PARAM_FIS_1" localSheetId="0">#REF!</definedName>
    <definedName name="PARAM_FIS_1">#REF!</definedName>
    <definedName name="PARAM_FIS_2" localSheetId="0">#REF!</definedName>
    <definedName name="PARAM_FIS_2">#REF!</definedName>
    <definedName name="ParamValues1" localSheetId="0">[3]ParamValues!$A$1:$A$39</definedName>
    <definedName name="ParamValues1">[3]ParamValues!$A$1:$A$39</definedName>
    <definedName name="ParamValues2">#REF!</definedName>
    <definedName name="Parao_E" localSheetId="0">#REF!</definedName>
    <definedName name="Parao_E">#REF!</definedName>
    <definedName name="Parede1" localSheetId="0">#REF!</definedName>
    <definedName name="Parede1">#REF!</definedName>
    <definedName name="Parede2" localSheetId="0">#REF!</definedName>
    <definedName name="Parede2">#REF!</definedName>
    <definedName name="PAREDES">#REF!</definedName>
    <definedName name="PAV" localSheetId="16">#REF!</definedName>
    <definedName name="PAV" localSheetId="18">#REF!</definedName>
    <definedName name="PAV" localSheetId="1">#REF!</definedName>
    <definedName name="PAV" localSheetId="8">#REF!</definedName>
    <definedName name="PAV" localSheetId="2">#REF!</definedName>
    <definedName name="PAV" localSheetId="0">#REF!</definedName>
    <definedName name="PAV" localSheetId="9">#REF!</definedName>
    <definedName name="PAV">#REF!</definedName>
    <definedName name="PAVILHAO">#REF!</definedName>
    <definedName name="PAVT">#REF!</definedName>
    <definedName name="pçgktr" hidden="1">#REF!</definedName>
    <definedName name="PDER">#REF!</definedName>
    <definedName name="PDIVERS">#REF!</definedName>
    <definedName name="PE">#REF!</definedName>
    <definedName name="PEMD">#REF!</definedName>
    <definedName name="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0">#REF!</definedName>
    <definedName name="perfura">#REF!</definedName>
    <definedName name="Perímetro_lajão" localSheetId="0">#REF!</definedName>
    <definedName name="Perímetro_lajão">#REF!</definedName>
    <definedName name="Perímetro_Terreno" localSheetId="0">#REF!</definedName>
    <definedName name="Perímetro_Terreno">#REF!</definedName>
    <definedName name="Perímetro_torre" localSheetId="0">#REF!</definedName>
    <definedName name="Perímetro_torre">#REF!</definedName>
    <definedName name="pessoal" localSheetId="0">#REF!</definedName>
    <definedName name="pessoal">#REF!</definedName>
    <definedName name="petro2" localSheetId="0" hidden="1">#REF!</definedName>
    <definedName name="petro2" hidden="1">#REF!</definedName>
    <definedName name="PhyG">#REF!</definedName>
    <definedName name="PhyGS">#REF!</definedName>
    <definedName name="PI">#REF!</definedName>
    <definedName name="piaz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0">#REF!</definedName>
    <definedName name="PIEQUIP">#REF!</definedName>
    <definedName name="Pintura">'[1]M.O.'!#REF!</definedName>
    <definedName name="PIS_COFINS" localSheetId="0">#REF!</definedName>
    <definedName name="PIS_COFINS">#REF!</definedName>
    <definedName name="PisCofins" localSheetId="0">#REF!</definedName>
    <definedName name="PisCofins">#REF!</definedName>
    <definedName name="Piso1">#REF!</definedName>
    <definedName name="Piso2">#REF!</definedName>
    <definedName name="PISOS">#REF!</definedName>
    <definedName name="PL">#REF!</definedName>
    <definedName name="PLACAS" localSheetId="0" hidden="1">{#N/A,#N/A,TRUE,"Quinzena 01 à 15-04-98 "}</definedName>
    <definedName name="PLACAS" hidden="1">{#N/A,#N/A,TRUE,"Quinzena 01 à 15-04-98 "}</definedName>
    <definedName name="Placas_Areas" localSheetId="0" hidden="1">{#N/A,#N/A,TRUE,"Quinzena 01 à 15-04-98 "}</definedName>
    <definedName name="Placas_Areas" hidden="1">{#N/A,#N/A,TRUE,"Quinzena 01 à 15-04-98 "}</definedName>
    <definedName name="plan" localSheetId="0" hidden="1">#REF!</definedName>
    <definedName name="PLAN">#REF!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0">#REF!</definedName>
    <definedName name="PLANILHA">#REF!</definedName>
    <definedName name="Planilha2" localSheetId="0">#REF!</definedName>
    <definedName name="Planilha2">#REF!</definedName>
    <definedName name="plasçdeaw" localSheetId="0" hidden="1">{#N/A,#N/A,FALSE,"Plan1";#N/A,#N/A,FALSE,"Plan2"}</definedName>
    <definedName name="plasçdeaw" hidden="1">{#N/A,#N/A,FALSE,"Plan1";#N/A,#N/A,FALSE,"Plan2"}</definedName>
    <definedName name="plaslrswe" localSheetId="0" hidden="1">{#N/A,#N/A,FALSE,"Plan1";#N/A,#N/A,FALSE,"Plan2"}</definedName>
    <definedName name="plaslrswe" hidden="1">{#N/A,#N/A,FALSE,"Plan1";#N/A,#N/A,FALSE,"Plan2"}</definedName>
    <definedName name="pls" localSheetId="0" hidden="1">#REF!</definedName>
    <definedName name="pls" hidden="1">#REF!</definedName>
    <definedName name="plsearpef" localSheetId="0" hidden="1">{#N/A,#N/A,FALSE,"Plan1";#N/A,#N/A,FALSE,"Plan2"}</definedName>
    <definedName name="plsearpef" hidden="1">{#N/A,#N/A,FALSE,"Plan1";#N/A,#N/A,FALSE,"Plan2"}</definedName>
    <definedName name="plss" localSheetId="0" hidden="1">{#N/A,#N/A,FALSE,"Plan1";#N/A,#N/A,FALSE,"Plan2"}</definedName>
    <definedName name="plss" hidden="1">{#N/A,#N/A,FALSE,"Plan1";#N/A,#N/A,FALSE,"Plan2"}</definedName>
    <definedName name="PMUR" localSheetId="0">#REF!</definedName>
    <definedName name="PMUR">#REF!</definedName>
    <definedName name="PN2건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0">#REF!</definedName>
    <definedName name="Ponderações">#REF!</definedName>
    <definedName name="Pós_Chaves" localSheetId="0">#REF!</definedName>
    <definedName name="Pós_Chaves">#REF!</definedName>
    <definedName name="pr" localSheetId="0">#REF!</definedName>
    <definedName name="pr">#REF!</definedName>
    <definedName name="PRAZO">#REF!</definedName>
    <definedName name="Prazo_da_Estrutura" localSheetId="0">#REF!</definedName>
    <definedName name="Prazo_da_Estrutura">#REF!</definedName>
    <definedName name="PRAZO_EDITAL">#REF!</definedName>
    <definedName name="Prazo_Obra" localSheetId="0">#REF!</definedName>
    <definedName name="Prazo_Obra">#REF!</definedName>
    <definedName name="PRAZO_ORC">#REF!</definedName>
    <definedName name="prazo2">#REF!</definedName>
    <definedName name="PRE" localSheetId="0">#REF!</definedName>
    <definedName name="PRE">#REF!</definedName>
    <definedName name="PREÇ" localSheetId="0">OFFSET(#REF!,0,0,COUNTA(#REF!),1)</definedName>
    <definedName name="PREÇ">OFFSET(#REF!,0,0,COUNTA(#REF!),1)</definedName>
    <definedName name="Previsão_Inicial_abr_16" localSheetId="0">#REF!</definedName>
    <definedName name="Previsão_Inicial_abr_16">#REF!</definedName>
    <definedName name="Previsão_Inicial_ago_16" localSheetId="0">#REF!</definedName>
    <definedName name="Previsão_Inicial_ago_16">#REF!</definedName>
    <definedName name="Previsão_Inicial_dez_16" localSheetId="0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localSheetId="0" hidden="1">{#N/A,#N/A,FALSE,"$170M Cash";#N/A,#N/A,FALSE,"$250M Cash";#N/A,#N/A,FALSE,"$325M Cash"}</definedName>
    <definedName name="print" hidden="1">{#N/A,#N/A,FALSE,"$170M Cash";#N/A,#N/A,FALSE,"$250M Cash";#N/A,#N/A,FALSE,"$325M Cash"}</definedName>
    <definedName name="Print_Area">#REF!</definedName>
    <definedName name="Print_Area_MI" localSheetId="0">#REF!</definedName>
    <definedName name="Print_Area_MI">#REF!</definedName>
    <definedName name="Print_Titles">#REF!</definedName>
    <definedName name="PRINT_TITLES_MI" localSheetId="0">#REF!</definedName>
    <definedName name="PRINT_TITLES_MI">#REF!</definedName>
    <definedName name="programa">#REF!</definedName>
    <definedName name="Programaa">#REF!</definedName>
    <definedName name="Projeção_torre" localSheetId="0">#REF!</definedName>
    <definedName name="Projeção_torre">#REF!</definedName>
    <definedName name="projeto_nome_com" localSheetId="0">IF((COUNTA(#REF!)-2)&gt;1,"TERRENO "&amp;VLOOKUP(#REF!,#REF!,8,0),VLOOKUP(#REF!,#REF!,3,0))</definedName>
    <definedName name="projeto_nome_com">IF((COUNTA(#REF!)-2)&gt;1,"TERRENO "&amp;VLOOKUP(#REF!,#REF!,8,0),VLOOKUP(#REF!,#REF!,3,0))</definedName>
    <definedName name="PROPAGANDA" localSheetId="0">#REF!</definedName>
    <definedName name="PROPAGANDA">#REF!</definedName>
    <definedName name="ptirigyiotut" localSheetId="0" hidden="1">{#N/A,#N/A,FALSE,"Plan1";#N/A,#N/A,FALSE,"Plan2"}</definedName>
    <definedName name="ptirigyiotut" hidden="1">{#N/A,#N/A,FALSE,"Plan1";#N/A,#N/A,FALSE,"Plan2"}</definedName>
    <definedName name="PWER3" localSheetId="0" hidden="1">{#N/A,#N/A,FALSE,"Plan1";#N/A,#N/A,FALSE,"Plan2"}</definedName>
    <definedName name="PWER3" hidden="1">{#N/A,#N/A,FALSE,"Plan1";#N/A,#N/A,FALSE,"Plan2"}</definedName>
    <definedName name="q" localSheetId="0" hidden="1">#REF!</definedName>
    <definedName name="q">#REF!</definedName>
    <definedName name="QCLIENTE_PCLIENTE" localSheetId="0">#REF!</definedName>
    <definedName name="QCLIENTE_PCLIENTE">#REF!</definedName>
    <definedName name="QCliente_PCliente1" localSheetId="0">#REF!</definedName>
    <definedName name="QCliente_PCliente1">#REF!</definedName>
    <definedName name="qe" localSheetId="0">#REF!</definedName>
    <definedName name="qe">#REF!</definedName>
    <definedName name="qee" localSheetId="0">#REF!</definedName>
    <definedName name="qee">#REF!</definedName>
    <definedName name="qkqh1" localSheetId="0" hidden="1">{#N/A,#N/A,FALSE,"명세표"}</definedName>
    <definedName name="qkqh1" hidden="1">{#N/A,#N/A,FALSE,"명세표"}</definedName>
    <definedName name="QOAS_POAS" localSheetId="0">#REF!</definedName>
    <definedName name="QOAS_POAS">#REF!</definedName>
    <definedName name="Q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0">#REF!:#REF!</definedName>
    <definedName name="QQQ">#REF!:#REF!</definedName>
    <definedName name="QQQQQQQQ" localSheetId="0" hidden="1">#REF!</definedName>
    <definedName name="QQQQQQQQ" hidden="1">#REF!</definedName>
    <definedName name="QREAL_PCLIENTE" localSheetId="0">#REF!</definedName>
    <definedName name="QREAL_PCLIENTE">#REF!</definedName>
    <definedName name="QReal_PCliente1" localSheetId="0">#REF!</definedName>
    <definedName name="QReal_PCliente1">#REF!</definedName>
    <definedName name="QSQWSE" localSheetId="0" hidden="1">{#N/A,#N/A,FALSE,"Plan1";#N/A,#N/A,FALSE,"Plan2"}</definedName>
    <definedName name="QSQWSE" hidden="1">{#N/A,#N/A,FALSE,"Plan1";#N/A,#N/A,FALSE,"Plan2"}</definedName>
    <definedName name="qtd_mensal" localSheetId="0">#REF!</definedName>
    <definedName name="qtd_mensal">#REF!</definedName>
    <definedName name="qtd3esta" localSheetId="0">#REF!</definedName>
    <definedName name="qtd3esta">#REF!</definedName>
    <definedName name="qtdbase" localSheetId="0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 localSheetId="0">#REF!</definedName>
    <definedName name="Quant_Aptos">#REF!</definedName>
    <definedName name="Quant_Cremalheira" localSheetId="0">#REF!</definedName>
    <definedName name="Quant_Cremalheira">#REF!</definedName>
    <definedName name="Quant_grua" localSheetId="0">#REF!</definedName>
    <definedName name="Quant_grua">#REF!</definedName>
    <definedName name="Quant_pav_lajão" localSheetId="0">#REF!</definedName>
    <definedName name="Quant_pav_lajão">#REF!</definedName>
    <definedName name="Quant_tipo" localSheetId="0">#REF!</definedName>
    <definedName name="Quant_tipo">#REF!</definedName>
    <definedName name="Quant_torres" localSheetId="0">#REF!</definedName>
    <definedName name="Quant_torres">#REF!</definedName>
    <definedName name="Quantidade_Elevadores" localSheetId="0">#REF!</definedName>
    <definedName name="Quantidade_Elevadores">#REF!</definedName>
    <definedName name="QUANTP">#REF!</definedName>
    <definedName name="QUATRO">#REF!</definedName>
    <definedName name="QUINZE">#REF!</definedName>
    <definedName name="qwdqw" localSheetId="0" hidden="1">{#N/A,#N/A,FALSE,"Plan1";#N/A,#N/A,FALSE,"Plan2"}</definedName>
    <definedName name="qwdqw" hidden="1">{#N/A,#N/A,FALSE,"Plan1";#N/A,#N/A,FALSE,"Plan2"}</definedName>
    <definedName name="qweqwe" localSheetId="0" hidden="1">{#N/A,#N/A,FALSE,"Plan1";#N/A,#N/A,FALSE,"Plan2"}</definedName>
    <definedName name="qweqwe" hidden="1">{#N/A,#N/A,FALSE,"Plan1";#N/A,#N/A,FALSE,"Plan2"}</definedName>
    <definedName name="qweqwe4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0" hidden="1">#REF!</definedName>
    <definedName name="qwewqe" hidden="1">#REF!</definedName>
    <definedName name="qwqw" localSheetId="0" hidden="1">#REF!</definedName>
    <definedName name="qwqw" hidden="1">#REF!</definedName>
    <definedName name="R.imobAtualiz" localSheetId="0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localSheetId="0" hidden="1">{"HW",#N/A,FALSE,"1998"}</definedName>
    <definedName name="RADIO" hidden="1">{"HW",#N/A,FALSE,"1998"}</definedName>
    <definedName name="RANGE" localSheetId="0">#REF!</definedName>
    <definedName name="RANGE">#REF!</definedName>
    <definedName name="RANGE1" localSheetId="0">#REF!</definedName>
    <definedName name="RANGE1">#REF!</definedName>
    <definedName name="RANGE2" localSheetId="0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0">#REF!</definedName>
    <definedName name="reforsu">#REF!</definedName>
    <definedName name="REL_RJ" localSheetId="0">#REF!</definedName>
    <definedName name="REL_RJ">#REF!</definedName>
    <definedName name="REL_SP">#REF!</definedName>
    <definedName name="relat3">#REF!</definedName>
    <definedName name="ren" localSheetId="0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0">#REF!</definedName>
    <definedName name="RESUMO">#REF!</definedName>
    <definedName name="RESUMO2" localSheetId="0" hidden="1">{#N/A,#N/A,TRUE,"Quinzena 01 à 15-04-98 "}</definedName>
    <definedName name="RESUMO2" hidden="1">{#N/A,#N/A,TRUE,"Quinzena 01 à 15-04-98 "}</definedName>
    <definedName name="REV" localSheetId="0">#REF!</definedName>
    <definedName name="REV">#REF!</definedName>
    <definedName name="RF" localSheetId="0" hidden="1">{#N/A,#N/A,FALSE,"CCTV"}</definedName>
    <definedName name="RF" hidden="1">{#N/A,#N/A,FALSE,"CCTV"}</definedName>
    <definedName name="rgedrfrgfdg" localSheetId="0" hidden="1">{#N/A,#N/A,FALSE,"Plan1";#N/A,#N/A,FALSE,"Plan2"}</definedName>
    <definedName name="rgedrfrgfdg" hidden="1">{#N/A,#N/A,FALSE,"Plan1";#N/A,#N/A,FALSE,"Plan2"}</definedName>
    <definedName name="rhdrmq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0">#REF!</definedName>
    <definedName name="RI">#REF!</definedName>
    <definedName name="ridbeb" localSheetId="0">#REF!</definedName>
    <definedName name="ridbeb">#REF!</definedName>
    <definedName name="RIDCHAF" localSheetId="0">#REF!</definedName>
    <definedName name="RIDCHAF">#REF!</definedName>
    <definedName name="ridres05">#REF!</definedName>
    <definedName name="RIDRES10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 localSheetId="0">#REF!</definedName>
    <definedName name="RO">#REF!</definedName>
    <definedName name="Rodapé" localSheetId="0">#REF!</definedName>
    <definedName name="Rodapé">#REF!</definedName>
    <definedName name="RODAPÉS" localSheetId="0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 localSheetId="0" hidden="1">#REF!</definedName>
    <definedName name="RRR" hidden="1">#REF!</definedName>
    <definedName name="rrrrr" localSheetId="0" hidden="1">{"'장비'!$A$3:$M$12"}</definedName>
    <definedName name="rrrrr" hidden="1">{"'장비'!$A$3:$M$12"}</definedName>
    <definedName name="rrrrrrrr" localSheetId="0" hidden="1">{"'장비'!$A$3:$M$12"}</definedName>
    <definedName name="rrrrrrrr" hidden="1">{"'장비'!$A$3:$M$12"}</definedName>
    <definedName name="rrrrrrrrrrr" localSheetId="0" hidden="1">{#N/A,#N/A,TRUE,"Quinzena 01 à 15-04-98 "}</definedName>
    <definedName name="rrrrrrrrrrr" hidden="1">{#N/A,#N/A,TRUE,"Quinzena 01 à 15-04-98 "}</definedName>
    <definedName name="RSEQ" localSheetId="0">#REF!</definedName>
    <definedName name="RSEQ">#REF!</definedName>
    <definedName name="RSUBTOT" localSheetId="0">#REF!</definedName>
    <definedName name="RSUBTOT">#REF!</definedName>
    <definedName name="rtitbeb" localSheetId="0">#REF!</definedName>
    <definedName name="rtitbeb">#REF!</definedName>
    <definedName name="RTITCHAF">#REF!</definedName>
    <definedName name="rtubos">#REF!</definedName>
    <definedName name="RTYE" localSheetId="0" hidden="1">{"'장비'!$A$3:$M$12"}</definedName>
    <definedName name="RTYE" hidden="1">{"'장비'!$A$3:$M$12"}</definedName>
    <definedName name="s">#REF!</definedName>
    <definedName name="sa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>#REF!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0" hidden="1">{#N/A,#N/A,FALSE,"Plan1";#N/A,#N/A,FALSE,"Plan2"}</definedName>
    <definedName name="sadasd" hidden="1">{#N/A,#N/A,FALSE,"Plan1";#N/A,#N/A,FALSE,"Plan2"}</definedName>
    <definedName name="sadke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0" hidden="1">{#N/A,#N/A,FALSE,"Plan1";#N/A,#N/A,FALSE,"Plan2"}</definedName>
    <definedName name="sadkrjkedft" hidden="1">{#N/A,#N/A,FALSE,"Plan1";#N/A,#N/A,FALSE,"Plan2"}</definedName>
    <definedName name="SADSRTR" localSheetId="0" hidden="1">{#N/A,#N/A,FALSE,"Plan1";#N/A,#N/A,FALSE,"Plan2"}</definedName>
    <definedName name="SADSRTR" hidden="1">{#N/A,#N/A,FALSE,"Plan1";#N/A,#N/A,FALSE,"Plan2"}</definedName>
    <definedName name="sadwde" localSheetId="0" hidden="1">{#N/A,#N/A,FALSE,"Plan1";#N/A,#N/A,FALSE,"Plan2"}</definedName>
    <definedName name="sadwde" hidden="1">{#N/A,#N/A,FALSE,"Plan1";#N/A,#N/A,FALSE,"Plan2"}</definedName>
    <definedName name="Salas" localSheetId="0">#REF!</definedName>
    <definedName name="Salas">#REF!</definedName>
    <definedName name="sanjay" localSheetId="0" hidden="1">{#N/A,#N/A,FALSE,"TABLE"}</definedName>
    <definedName name="sanjay" hidden="1">{#N/A,#N/A,FALSE,"TABLE"}</definedName>
    <definedName name="sapata" localSheetId="0">#REF!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localSheetId="0" hidden="1">{#N/A,#N/A,FALSE,"Plan1";#N/A,#N/A,FALSE,"Plan2"}</definedName>
    <definedName name="SAS" hidden="1">{#N/A,#N/A,FALSE,"Plan1";#N/A,#N/A,FALSE,"Plan2"}</definedName>
    <definedName name="sasads" localSheetId="0" hidden="1">{#N/A,#N/A,FALSE,"Plan1";#N/A,#N/A,FALSE,"Plan2"}</definedName>
    <definedName name="sasads" hidden="1">{#N/A,#N/A,FALSE,"Plan1";#N/A,#N/A,FALSE,"Plan2"}</definedName>
    <definedName name="SC" localSheetId="0" hidden="1">#REF!</definedName>
    <definedName name="SC" hidden="1">#REF!</definedName>
    <definedName name="sçadldfsfd" hidden="1">25</definedName>
    <definedName name="sda" localSheetId="0">#REF!</definedName>
    <definedName name="sda">#REF!</definedName>
    <definedName name="sda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0" hidden="1">{#N/A,#N/A,FALSE,"Plan1";#N/A,#N/A,FALSE,"Plan2"}</definedName>
    <definedName name="SDAOTGFR" hidden="1">{#N/A,#N/A,FALSE,"Plan1";#N/A,#N/A,FALSE,"Plan2"}</definedName>
    <definedName name="sdckd" localSheetId="0" hidden="1">{#N/A,#N/A,FALSE,"Plan1";#N/A,#N/A,FALSE,"Plan2"}</definedName>
    <definedName name="sdckd" hidden="1">{#N/A,#N/A,FALSE,"Plan1";#N/A,#N/A,FALSE,"Plan2"}</definedName>
    <definedName name="SDDFKSEDE" localSheetId="0" hidden="1">{#N/A,#N/A,FALSE,"Plan1";#N/A,#N/A,FALSE,"Plan2"}</definedName>
    <definedName name="SDDFKSEDE" hidden="1">{#N/A,#N/A,FALSE,"Plan1";#N/A,#N/A,FALSE,"Plan2"}</definedName>
    <definedName name="sddkslker" localSheetId="0" hidden="1">{#N/A,#N/A,FALSE,"Plan1";#N/A,#N/A,FALSE,"Plan2"}</definedName>
    <definedName name="sddkslker" hidden="1">{#N/A,#N/A,FALSE,"Plan1";#N/A,#N/A,FALSE,"Plan2"}</definedName>
    <definedName name="sdefr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0" hidden="1">#REF!</definedName>
    <definedName name="sdert" hidden="1">#REF!</definedName>
    <definedName name="sd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0" hidden="1">{#N/A,#N/A,FALSE,"Plan1";#N/A,#N/A,FALSE,"Plan2"}</definedName>
    <definedName name="sdfdds" hidden="1">{#N/A,#N/A,FALSE,"Plan1";#N/A,#N/A,FALSE,"Plan2"}</definedName>
    <definedName name="sdfdfc" localSheetId="0" hidden="1">{#N/A,#N/A,FALSE,"Plan1";#N/A,#N/A,FALSE,"Plan2"}</definedName>
    <definedName name="sdfdfc" hidden="1">{#N/A,#N/A,FALSE,"Plan1";#N/A,#N/A,FALSE,"Plan2"}</definedName>
    <definedName name="sdfdf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0" hidden="1">{#N/A,#N/A,FALSE,"Plan1";#N/A,#N/A,FALSE,"Plan2"}</definedName>
    <definedName name="sdfdgft" hidden="1">{#N/A,#N/A,FALSE,"Plan1";#N/A,#N/A,FALSE,"Plan2"}</definedName>
    <definedName name="sdfdsf" localSheetId="0" hidden="1">{#N/A,#N/A,FALSE,"Plan1";#N/A,#N/A,FALSE,"Plan2"}</definedName>
    <definedName name="sdfdsf" hidden="1">{#N/A,#N/A,FALSE,"Plan1";#N/A,#N/A,FALSE,"Plan2"}</definedName>
    <definedName name="sdfdsf\da" localSheetId="0" hidden="1">{#N/A,#N/A,FALSE,"Plan1";#N/A,#N/A,FALSE,"Plan2"}</definedName>
    <definedName name="sdfdsf\da" hidden="1">{#N/A,#N/A,FALSE,"Plan1";#N/A,#N/A,FALSE,"Plan2"}</definedName>
    <definedName name="SDFEDRT" localSheetId="0" hidden="1">{#N/A,#N/A,FALSE,"Plan1";#N/A,#N/A,FALSE,"Plan2"}</definedName>
    <definedName name="SDFEDRT" hidden="1">{#N/A,#N/A,FALSE,"Plan1";#N/A,#N/A,FALSE,"Plan2"}</definedName>
    <definedName name="sdfer" localSheetId="0" hidden="1">{#N/A,#N/A,FALSE,"Plan1";#N/A,#N/A,FALSE,"Plan2"}</definedName>
    <definedName name="sdfer" hidden="1">{#N/A,#N/A,FALSE,"Plan1";#N/A,#N/A,FALSE,"Plan2"}</definedName>
    <definedName name="sdferr" localSheetId="0" hidden="1">{#N/A,#N/A,FALSE,"Plan1";#N/A,#N/A,FALSE,"Plan2"}</definedName>
    <definedName name="sdferr" hidden="1">{#N/A,#N/A,FALSE,"Plan1";#N/A,#N/A,FALSE,"Plan2"}</definedName>
    <definedName name="sdfe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0" hidden="1">{#N/A,#N/A,FALSE,"Plan1";#N/A,#N/A,FALSE,"Plan2"}</definedName>
    <definedName name="SDFGJFSRF" hidden="1">{#N/A,#N/A,FALSE,"Plan1";#N/A,#N/A,FALSE,"Plan2"}</definedName>
    <definedName name="sdfgtr" localSheetId="0" hidden="1">{#N/A,#N/A,FALSE,"Plan1";#N/A,#N/A,FALSE,"Plan2"}</definedName>
    <definedName name="sdfgtr" hidden="1">{#N/A,#N/A,FALSE,"Plan1";#N/A,#N/A,FALSE,"Plan2"}</definedName>
    <definedName name="sdfjdetrt" localSheetId="0" hidden="1">{#N/A,#N/A,FALSE,"Plan1";#N/A,#N/A,FALSE,"Plan2"}</definedName>
    <definedName name="sdfjdetrt" hidden="1">{#N/A,#N/A,FALSE,"Plan1";#N/A,#N/A,FALSE,"Plan2"}</definedName>
    <definedName name="SDFJDRTJEIDR" localSheetId="0" hidden="1">{#N/A,#N/A,FALSE,"Plan1";#N/A,#N/A,FALSE,"Plan2"}</definedName>
    <definedName name="SDFJDRTJEIDR" hidden="1">{#N/A,#N/A,FALSE,"Plan1";#N/A,#N/A,FALSE,"Plan2"}</definedName>
    <definedName name="sdfjergtij" localSheetId="0" hidden="1">{#N/A,#N/A,FALSE,"Plan1";#N/A,#N/A,FALSE,"Plan2"}</definedName>
    <definedName name="sdfjergtij" hidden="1">{#N/A,#N/A,FALSE,"Plan1";#N/A,#N/A,FALSE,"Plan2"}</definedName>
    <definedName name="SDFOPJKWE" localSheetId="0" hidden="1">{#N/A,#N/A,FALSE,"Plan1";#N/A,#N/A,FALSE,"Plan2"}</definedName>
    <definedName name="SDFOPJKWE" hidden="1">{#N/A,#N/A,FALSE,"Plan1";#N/A,#N/A,FALSE,"Plan2"}</definedName>
    <definedName name="sdfrdt5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0" hidden="1">{#N/A,#N/A,FALSE,"Plan1";#N/A,#N/A,FALSE,"Plan2"}</definedName>
    <definedName name="sdfrt" hidden="1">{#N/A,#N/A,FALSE,"Plan1";#N/A,#N/A,FALSE,"Plan2"}</definedName>
    <definedName name="SDFRTKK" localSheetId="0" hidden="1">{#N/A,#N/A,FALSE,"Plan1";#N/A,#N/A,FALSE,"Plan2"}</definedName>
    <definedName name="SDFRTKK" hidden="1">{#N/A,#N/A,FALSE,"Plan1";#N/A,#N/A,FALSE,"Plan2"}</definedName>
    <definedName name="SDFRTR" localSheetId="0" hidden="1">{#N/A,#N/A,FALSE,"Plan1";#N/A,#N/A,FALSE,"Plan2"}</definedName>
    <definedName name="SDFRTR" hidden="1">{#N/A,#N/A,FALSE,"Plan1";#N/A,#N/A,FALSE,"Plan2"}</definedName>
    <definedName name="sdfry6" localSheetId="0" hidden="1">{#N/A,#N/A,FALSE,"Plan1";#N/A,#N/A,FALSE,"Plan2"}</definedName>
    <definedName name="sdfry6" hidden="1">{#N/A,#N/A,FALSE,"Plan1";#N/A,#N/A,FALSE,"Plan2"}</definedName>
    <definedName name="sdfsaf" localSheetId="0" hidden="1">{#N/A,#N/A,FALSE,"Plan1";#N/A,#N/A,FALSE,"Plan2"}</definedName>
    <definedName name="sdfsaf" hidden="1">{#N/A,#N/A,FALSE,"Plan1";#N/A,#N/A,FALSE,"Plan2"}</definedName>
    <definedName name="sdfsd" localSheetId="0" hidden="1">{"'Estimativa de Lançamento-JAN'!$A$1:$AI$85"}</definedName>
    <definedName name="sdfsd" hidden="1">{"'Estimativa de Lançamento-JAN'!$A$1:$AI$85"}</definedName>
    <definedName name="sdfsdfg" localSheetId="0" hidden="1">{#N/A,#N/A,FALSE,"Plan1";#N/A,#N/A,FALSE,"Plan2"}</definedName>
    <definedName name="sdfsdfg" hidden="1">{#N/A,#N/A,FALSE,"Plan1";#N/A,#N/A,FALSE,"Plan2"}</definedName>
    <definedName name="SDFSDFK" localSheetId="0" hidden="1">{#N/A,#N/A,FALSE,"Plan1";#N/A,#N/A,FALSE,"Plan2"}</definedName>
    <definedName name="SDFSDFK" hidden="1">{#N/A,#N/A,FALSE,"Plan1";#N/A,#N/A,FALSE,"Plan2"}</definedName>
    <definedName name="sdfsdgftret" localSheetId="0" hidden="1">{#N/A,#N/A,FALSE,"Plan1";#N/A,#N/A,FALSE,"Plan2"}</definedName>
    <definedName name="sdfsdgftret" hidden="1">{#N/A,#N/A,FALSE,"Plan1";#N/A,#N/A,FALSE,"Plan2"}</definedName>
    <definedName name="sdfsdr" hidden="1">1</definedName>
    <definedName name="sdfsf" localSheetId="0" hidden="1">{#N/A,#N/A,FALSE,"Plan1";#N/A,#N/A,FALSE,"Plan2"}</definedName>
    <definedName name="sdfsf" hidden="1">{#N/A,#N/A,FALSE,"Plan1";#N/A,#N/A,FALSE,"Plan2"}</definedName>
    <definedName name="SDFSFRT" localSheetId="0" hidden="1">{"Econ Consolidado",#N/A,FALSE,"Econ Consol";"Fluxo de Caixa",#N/A,FALSE,"Fluxo Caixa";"Investimentos",#N/A,FALSE,"Investimentos"}</definedName>
    <definedName name="SDFSFRT" hidden="1">{"Econ Consolidado",#N/A,FALSE,"Econ Consol";"Fluxo de Caixa",#N/A,FALSE,"Fluxo Caixa";"Investimentos",#N/A,FALSE,"Investimentos"}</definedName>
    <definedName name="sdfsr" localSheetId="0" hidden="1">{#N/A,#N/A,FALSE,"Plan1";#N/A,#N/A,FALSE,"Plan2"}</definedName>
    <definedName name="sdfsr" hidden="1">{#N/A,#N/A,FALSE,"Plan1";#N/A,#N/A,FALSE,"Plan2"}</definedName>
    <definedName name="sdfty" localSheetId="0" hidden="1">{#N/A,#N/A,FALSE,"Plan1";#N/A,#N/A,FALSE,"Plan2"}</definedName>
    <definedName name="sdfty" hidden="1">{#N/A,#N/A,FALSE,"Plan1";#N/A,#N/A,FALSE,"Plan2"}</definedName>
    <definedName name="sdgdf" localSheetId="0" hidden="1">{#N/A,#N/A,FALSE,"Plan1";#N/A,#N/A,FALSE,"Plan2"}</definedName>
    <definedName name="sdgdf" hidden="1">{#N/A,#N/A,FALSE,"Plan1";#N/A,#N/A,FALSE,"Plan2"}</definedName>
    <definedName name="sdgfrt" localSheetId="0" hidden="1">{#N/A,#N/A,FALSE,"Plan1";#N/A,#N/A,FALSE,"Plan2"}</definedName>
    <definedName name="sdgfrt" hidden="1">{#N/A,#N/A,FALSE,"Plan1";#N/A,#N/A,FALSE,"Plan2"}</definedName>
    <definedName name="sdgft" localSheetId="0" hidden="1">{#N/A,#N/A,FALSE,"Plan1";#N/A,#N/A,FALSE,"Plan2"}</definedName>
    <definedName name="sdgft" hidden="1">{#N/A,#N/A,FALSE,"Plan1";#N/A,#N/A,FALSE,"Plan2"}</definedName>
    <definedName name="sdgt" localSheetId="0" hidden="1">{#N/A,#N/A,FALSE,"Plan1";#N/A,#N/A,FALSE,"Plan2"}</definedName>
    <definedName name="sdgt" hidden="1">{#N/A,#N/A,FALSE,"Plan1";#N/A,#N/A,FALSE,"Plan2"}</definedName>
    <definedName name="sdgtry" localSheetId="0" hidden="1">#REF!</definedName>
    <definedName name="sdgtry" hidden="1">#REF!</definedName>
    <definedName name="sdhfghdsfg" localSheetId="0" hidden="1">{#N/A,#N/A,FALSE,"Plan1";#N/A,#N/A,FALSE,"Plan2"}</definedName>
    <definedName name="sdhfghdsfg" hidden="1">{#N/A,#N/A,FALSE,"Plan1";#N/A,#N/A,FALSE,"Plan2"}</definedName>
    <definedName name="SDHFJKHDFJRE" localSheetId="0" hidden="1">{#N/A,#N/A,FALSE,"Plan1";#N/A,#N/A,FALSE,"Plan2"}</definedName>
    <definedName name="SDHFJKHDFJRE" hidden="1">{#N/A,#N/A,FALSE,"Plan1";#N/A,#N/A,FALSE,"Plan2"}</definedName>
    <definedName name="SDHKFDRKGTR" localSheetId="0" hidden="1">{#N/A,#N/A,FALSE,"Plan1";#N/A,#N/A,FALSE,"Plan2"}</definedName>
    <definedName name="SDHKFDRKGTR" hidden="1">{#N/A,#N/A,FALSE,"Plan1";#N/A,#N/A,FALSE,"Plan2"}</definedName>
    <definedName name="sdjdswger" localSheetId="0" hidden="1">{#N/A,#N/A,FALSE,"Plan1";#N/A,#N/A,FALSE,"Plan2"}</definedName>
    <definedName name="sdjdswger" hidden="1">{#N/A,#N/A,FALSE,"Plan1";#N/A,#N/A,FALSE,"Plan2"}</definedName>
    <definedName name="sdjfdf" localSheetId="0" hidden="1">{#N/A,#N/A,FALSE,"Plan1";#N/A,#N/A,FALSE,"Plan2"}</definedName>
    <definedName name="sdjfdf" hidden="1">{#N/A,#N/A,FALSE,"Plan1";#N/A,#N/A,FALSE,"Plan2"}</definedName>
    <definedName name="sdjfhdjk" localSheetId="0" hidden="1">{#N/A,#N/A,FALSE,"Plan1";#N/A,#N/A,FALSE,"Plan2"}</definedName>
    <definedName name="sdjfhdjk" hidden="1">{#N/A,#N/A,FALSE,"Plan1";#N/A,#N/A,FALSE,"Plan2"}</definedName>
    <definedName name="SDJFJDER" localSheetId="0" hidden="1">{#N/A,#N/A,FALSE,"Plan1";#N/A,#N/A,FALSE,"Plan2"}</definedName>
    <definedName name="SDJFJDER" hidden="1">{#N/A,#N/A,FALSE,"Plan1";#N/A,#N/A,FALSE,"Plan2"}</definedName>
    <definedName name="sdjflsdjfl" localSheetId="0" hidden="1">{#N/A,#N/A,FALSE,"Plan1";#N/A,#N/A,FALSE,"Plan2"}</definedName>
    <definedName name="sdjflsdjfl" hidden="1">{#N/A,#N/A,FALSE,"Plan1";#N/A,#N/A,FALSE,"Plan2"}</definedName>
    <definedName name="SDJHF" localSheetId="0" hidden="1">{#N/A,#N/A,FALSE,"Plan1";#N/A,#N/A,FALSE,"Plan2"}</definedName>
    <definedName name="SDJHF" hidden="1">{#N/A,#N/A,FALSE,"Plan1";#N/A,#N/A,FALSE,"Plan2"}</definedName>
    <definedName name="sdjrderertrr" localSheetId="0" hidden="1">{#N/A,#N/A,FALSE,"Plan1";#N/A,#N/A,FALSE,"Plan2"}</definedName>
    <definedName name="sdjrderertrr" hidden="1">{#N/A,#N/A,FALSE,"Plan1";#N/A,#N/A,FALSE,"Plan2"}</definedName>
    <definedName name="sdkdjk" localSheetId="0" hidden="1">{#N/A,#N/A,FALSE,"Plan1";#N/A,#N/A,FALSE,"Plan2"}</definedName>
    <definedName name="sdkdjk" hidden="1">{#N/A,#N/A,FALSE,"Plan1";#N/A,#N/A,FALSE,"Plan2"}</definedName>
    <definedName name="sdkfjhkdgfhk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0" hidden="1">{#N/A,#N/A,FALSE,"Plan1";#N/A,#N/A,FALSE,"Plan2"}</definedName>
    <definedName name="sdkfnjd" hidden="1">{#N/A,#N/A,FALSE,"Plan1";#N/A,#N/A,FALSE,"Plan2"}</definedName>
    <definedName name="sdkk" localSheetId="0" hidden="1">{#N/A,#N/A,FALSE,"Plan1";#N/A,#N/A,FALSE,"Plan2"}</definedName>
    <definedName name="sdkk" hidden="1">{#N/A,#N/A,FALSE,"Plan1";#N/A,#N/A,FALSE,"Plan2"}</definedName>
    <definedName name="sdlfsdflj" localSheetId="0" hidden="1">{#N/A,#N/A,FALSE,"Plan1";#N/A,#N/A,FALSE,"Plan2"}</definedName>
    <definedName name="sdlfsdflj" hidden="1">{#N/A,#N/A,FALSE,"Plan1";#N/A,#N/A,FALSE,"Plan2"}</definedName>
    <definedName name="sdmfmdfsgfd" localSheetId="0" hidden="1">{#N/A,#N/A,FALSE,"Plan1";#N/A,#N/A,FALSE,"Plan2"}</definedName>
    <definedName name="sdmfmdfsgfd" hidden="1">{#N/A,#N/A,FALSE,"Plan1";#N/A,#N/A,FALSE,"Plan2"}</definedName>
    <definedName name="sd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0" hidden="1">{#N/A,#N/A,FALSE,"Plan1";#N/A,#N/A,FALSE,"Plan2"}</definedName>
    <definedName name="sdrfgt" hidden="1">{#N/A,#N/A,FALSE,"Plan1";#N/A,#N/A,FALSE,"Plan2"}</definedName>
    <definedName name="sdsd" localSheetId="0" hidden="1">{#N/A,#N/A,FALSE,"Plan1";#N/A,#N/A,FALSE,"Plan2"}</definedName>
    <definedName name="sdsd" hidden="1">{#N/A,#N/A,FALSE,"Plan1";#N/A,#N/A,FALSE,"Plan2"}</definedName>
    <definedName name="sdser" localSheetId="0" hidden="1">{#N/A,#N/A,FALSE,"Plan1";#N/A,#N/A,FALSE,"Plan2"}</definedName>
    <definedName name="sdser" hidden="1">{#N/A,#N/A,FALSE,"Plan1";#N/A,#N/A,FALSE,"Plan2"}</definedName>
    <definedName name="sdsre" localSheetId="0" hidden="1">{#N/A,#N/A,FALSE,"Plan1";#N/A,#N/A,FALSE,"Plan2"}</definedName>
    <definedName name="sdsre" hidden="1">{#N/A,#N/A,FALSE,"Plan1";#N/A,#N/A,FALSE,"Plan2"}</definedName>
    <definedName name="sdss" localSheetId="0" hidden="1">{#N/A,#N/A,FALSE,"Plan1";#N/A,#N/A,FALSE,"Plan2"}</definedName>
    <definedName name="sdss" hidden="1">{#N/A,#N/A,FALSE,"Plan1";#N/A,#N/A,FALSE,"Plan2"}</definedName>
    <definedName name="sdtrtg" localSheetId="0" hidden="1">#REF!</definedName>
    <definedName name="sdtrtg" hidden="1">#REF!</definedName>
    <definedName name="sdusi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0" hidden="1">{"Econ Consolidado",#N/A,FALSE,"Econ Consol";"Fluxo de Caixa",#N/A,FALSE,"Fluxo Caixa";"Investimentos",#N/A,FALSE,"Investimentos"}</definedName>
    <definedName name="SDWER" hidden="1">{"Econ Consolidado",#N/A,FALSE,"Econ Consol";"Fluxo de Caixa",#N/A,FALSE,"Fluxo Caixa";"Investimentos",#N/A,FALSE,"Investimentos"}</definedName>
    <definedName name="sdxfrt" localSheetId="0" hidden="1">{#N/A,#N/A,FALSE,"Plan1";#N/A,#N/A,FALSE,"Plan2"}</definedName>
    <definedName name="sdxfrt" hidden="1">{#N/A,#N/A,FALSE,"Plan1";#N/A,#N/A,FALSE,"Plan2"}</definedName>
    <definedName name="SDZFERF" localSheetId="0" hidden="1">{#N/A,#N/A,FALSE,"Plan1";#N/A,#N/A,FALSE,"Plan2"}</definedName>
    <definedName name="SDZFERF" hidden="1">{#N/A,#N/A,FALSE,"Plan1";#N/A,#N/A,FALSE,"Plan2"}</definedName>
    <definedName name="se" localSheetId="0">#REF!</definedName>
    <definedName name="se">#REF!</definedName>
    <definedName name="SEDE" localSheetId="0">#REF!</definedName>
    <definedName name="SEDE">#REF!</definedName>
    <definedName name="sefret4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0">#REF!</definedName>
    <definedName name="SEG">#REF!</definedName>
    <definedName name="segftru" localSheetId="0" hidden="1">{#N/A,#N/A,FALSE,"Plan1";#N/A,#N/A,FALSE,"Plan2"}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 localSheetId="0">#REF!</definedName>
    <definedName name="SEIS">#REF!</definedName>
    <definedName name="sencount" localSheetId="0" hidden="1">3</definedName>
    <definedName name="sencount" hidden="1">3</definedName>
    <definedName name="SEQUENCIA" localSheetId="0">#REF!</definedName>
    <definedName name="SEQUENCIA">#REF!</definedName>
    <definedName name="SEREWRSWE" localSheetId="0" hidden="1">{"tabela",#N/A,FALSE,"Tabela";"decoração",#N/A,FALSE,"Decor.";"Informações",#N/A,FALSE,"Inform."}</definedName>
    <definedName name="SEREWRSWE" hidden="1">{"tabela",#N/A,FALSE,"Tabela";"decoração",#N/A,FALSE,"Decor.";"Informações",#N/A,FALSE,"Inform."}</definedName>
    <definedName name="Set_17" localSheetId="0">#REF!</definedName>
    <definedName name="Set_17">#REF!</definedName>
    <definedName name="SETE" localSheetId="0">#REF!</definedName>
    <definedName name="SETE">#REF!</definedName>
    <definedName name="SETEMBRO" localSheetId="0">#REF!</definedName>
    <definedName name="SETEMBRO">#REF!</definedName>
    <definedName name="setRJ17">#REF!</definedName>
    <definedName name="severo">#REF!</definedName>
    <definedName name="sf" localSheetId="0" hidden="1">{#N/A,#N/A,FALSE,"Plan1";#N/A,#N/A,FALSE,"Plan2"}</definedName>
    <definedName name="sf" hidden="1">{#N/A,#N/A,FALSE,"Plan1";#N/A,#N/A,FALSE,"Plan2"}</definedName>
    <definedName name="sfcre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0" hidden="1">{#N/A,#N/A,FALSE,"Plan1";#N/A,#N/A,FALSE,"Plan2"}</definedName>
    <definedName name="sfddfd" hidden="1">{#N/A,#N/A,FALSE,"Plan1";#N/A,#N/A,FALSE,"Plan2"}</definedName>
    <definedName name="sfds" localSheetId="0" hidden="1">{#N/A,#N/A,FALSE,"Plan1";#N/A,#N/A,FALSE,"Plan2"}</definedName>
    <definedName name="sfds" hidden="1">{#N/A,#N/A,FALSE,"Plan1";#N/A,#N/A,FALSE,"Plan2"}</definedName>
    <definedName name="sfdsd" localSheetId="0" hidden="1">{#N/A,#N/A,FALSE,"Plan1";#N/A,#N/A,FALSE,"Plan2"}</definedName>
    <definedName name="sfdsd" hidden="1">{#N/A,#N/A,FALSE,"Plan1";#N/A,#N/A,FALSE,"Plan2"}</definedName>
    <definedName name="SFDSF" hidden="1">34</definedName>
    <definedName name="sfrsdrgt" localSheetId="0" hidden="1">{#N/A,#N/A,FALSE,"Plan1";#N/A,#N/A,FALSE,"Plan2"}</definedName>
    <definedName name="sfrsdrgt" hidden="1">{#N/A,#N/A,FALSE,"Plan1";#N/A,#N/A,FALSE,"Plan2"}</definedName>
    <definedName name="SFRT" localSheetId="0" hidden="1">{#N/A,#N/A,FALSE,"Plan1";#N/A,#N/A,FALSE,"Plan2"}</definedName>
    <definedName name="SFRT" hidden="1">{#N/A,#N/A,FALSE,"Plan1";#N/A,#N/A,FALSE,"Plan2"}</definedName>
    <definedName name="sfsdferf" localSheetId="0" hidden="1">{#N/A,#N/A,FALSE,"Plan1";#N/A,#N/A,FALSE,"Plan2"}</definedName>
    <definedName name="sfsdferf" hidden="1">{#N/A,#N/A,FALSE,"Plan1";#N/A,#N/A,FALSE,"Plan2"}</definedName>
    <definedName name="sfsdfs" hidden="1">34</definedName>
    <definedName name="SFSDS" localSheetId="0" hidden="1">{#N/A,#N/A,FALSE,"Plan1";#N/A,#N/A,FALSE,"Plan2"}</definedName>
    <definedName name="SFSDS" hidden="1">{#N/A,#N/A,FALSE,"Plan1";#N/A,#N/A,FALSE,"Plan2"}</definedName>
    <definedName name="SGarantia" localSheetId="0">#REF!</definedName>
    <definedName name="SGarantia">#REF!</definedName>
    <definedName name="sgtghty" localSheetId="0" hidden="1">{#N/A,#N/A,FALSE,"Plan1";#N/A,#N/A,FALSE,"Plan2"}</definedName>
    <definedName name="sgtghty" hidden="1">{#N/A,#N/A,FALSE,"Plan1";#N/A,#N/A,FALSE,"Plan2"}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7">#N/A</definedName>
    <definedName name="SHARED_FORMULA_8">#N/A</definedName>
    <definedName name="SHARED_FORMULA_9">#N/A</definedName>
    <definedName name="SIH" localSheetId="0">#REF!</definedName>
    <definedName name="SIH">#REF!</definedName>
    <definedName name="SISTEM1" localSheetId="0">#REF!</definedName>
    <definedName name="SISTEM1">#REF!</definedName>
    <definedName name="SISTEM2">#REF!</definedName>
    <definedName name="SIV" localSheetId="0">#REF!</definedName>
    <definedName name="SIV">#REF!</definedName>
    <definedName name="sjawe" localSheetId="0" hidden="1">{#N/A,#N/A,FALSE,"Plan1";#N/A,#N/A,FALSE,"Plan2"}</definedName>
    <definedName name="sjawe" hidden="1">{#N/A,#N/A,FALSE,"Plan1";#N/A,#N/A,FALSE,"Plan2"}</definedName>
    <definedName name="sjdffd" localSheetId="0" hidden="1">{#N/A,#N/A,FALSE,"Plan1";#N/A,#N/A,FALSE,"Plan2"}</definedName>
    <definedName name="sjdffd" hidden="1">{#N/A,#N/A,FALSE,"Plan1";#N/A,#N/A,FALSE,"Plan2"}</definedName>
    <definedName name="SJDFHDJ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0" hidden="1">{#N/A,#N/A,FALSE,"Plan1";#N/A,#N/A,FALSE,"Plan2"}</definedName>
    <definedName name="SJDHFHRE" hidden="1">{#N/A,#N/A,FALSE,"Plan1";#N/A,#N/A,FALSE,"Plan2"}</definedName>
    <definedName name="SJDKJDE" localSheetId="0" hidden="1">{"Econ Consolidado",#N/A,FALSE,"Econ Consol";"Fluxo de Caixa",#N/A,FALSE,"Fluxo Caixa";"Investimentos",#N/A,FALSE,"Investimentos"}</definedName>
    <definedName name="SJDKJDE" hidden="1">{"Econ Consolidado",#N/A,FALSE,"Econ Consol";"Fluxo de Caixa",#N/A,FALSE,"Fluxo Caixa";"Investimentos",#N/A,FALSE,"Investimentos"}</definedName>
    <definedName name="sjekwjri" localSheetId="0" hidden="1">{#N/A,#N/A,FALSE,"Plan1";#N/A,#N/A,FALSE,"Plan2"}</definedName>
    <definedName name="sjekwjri" hidden="1">{#N/A,#N/A,FALSE,"Plan1";#N/A,#N/A,FALSE,"Plan2"}</definedName>
    <definedName name="sjfkdhsfds" localSheetId="0" hidden="1">{#N/A,#N/A,FALSE,"Plan1";#N/A,#N/A,FALSE,"Plan2"}</definedName>
    <definedName name="sjfkdhsfds" hidden="1">{#N/A,#N/A,FALSE,"Plan1";#N/A,#N/A,FALSE,"Plan2"}</definedName>
    <definedName name="sjkdljslkrje" localSheetId="0" hidden="1">{#N/A,#N/A,FALSE,"Plan1";#N/A,#N/A,FALSE,"Plan2"}</definedName>
    <definedName name="sjkdljslkrje" hidden="1">{#N/A,#N/A,FALSE,"Plan1";#N/A,#N/A,FALSE,"Plan2"}</definedName>
    <definedName name="skadadaszs" localSheetId="0" hidden="1">{#N/A,#N/A,FALSE,"Plan1";#N/A,#N/A,FALSE,"Plan2"}</definedName>
    <definedName name="skadadaszs" hidden="1">{#N/A,#N/A,FALSE,"Plan1";#N/A,#N/A,FALSE,"Plan2"}</definedName>
    <definedName name="SKASH" localSheetId="0" hidden="1">{#N/A,#N/A,FALSE,"Plan1";#N/A,#N/A,FALSE,"Plan2"}</definedName>
    <definedName name="SKASH" hidden="1">{#N/A,#N/A,FALSE,"Plan1";#N/A,#N/A,FALSE,"Plan2"}</definedName>
    <definedName name="skldfrde" localSheetId="0" hidden="1">{#N/A,#N/A,FALSE,"Plan1";#N/A,#N/A,FALSE,"Plan2"}</definedName>
    <definedName name="skldfrde" hidden="1">{#N/A,#N/A,FALSE,"Plan1";#N/A,#N/A,FALSE,"Plan2"}</definedName>
    <definedName name="skosroer" localSheetId="0" hidden="1">{#N/A,#N/A,FALSE,"Plan1";#N/A,#N/A,FALSE,"Plan2"}</definedName>
    <definedName name="skosroer" hidden="1">{#N/A,#N/A,FALSE,"Plan1";#N/A,#N/A,FALSE,"Plan2"}</definedName>
    <definedName name="SO" localSheetId="0">#REF!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 localSheetId="0">#REF!</definedName>
    <definedName name="soma">#REF!</definedName>
    <definedName name="sp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0" hidden="1">{#N/A,#N/A,FALSE,"Plan1";#N/A,#N/A,FALSE,"Plan2"}</definedName>
    <definedName name="sQEWWE" hidden="1">{#N/A,#N/A,FALSE,"Plan1";#N/A,#N/A,FALSE,"Plan2"}</definedName>
    <definedName name="SR" localSheetId="0" hidden="1">#REF!</definedName>
    <definedName name="SR" hidden="1">#REF!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0" hidden="1">#REF!</definedName>
    <definedName name="ss">#REF!</definedName>
    <definedName name="sssss" localSheetId="0" hidden="1">#REF!</definedName>
    <definedName name="sssss" hidden="1">#REF!</definedName>
    <definedName name="stake_cury">#REF!</definedName>
    <definedName name="status_projeto" localSheetId="0" hidden="1">OFFSET(INDEX(#REF!,MATCH(#REF!,#REF!,0)),1,0,COUNTA(#REF!)-1)</definedName>
    <definedName name="status_projeto" hidden="1">OFFSET(INDEX(#REF!,MATCH(#REF!,#REF!,0)),1,0,COUNTA(#REF!)-1)</definedName>
    <definedName name="SUB_TOTAL_1" localSheetId="0">#REF!</definedName>
    <definedName name="SUB_TOTAL_1">#REF!</definedName>
    <definedName name="SUBDER" localSheetId="0">#REF!</definedName>
    <definedName name="SUBDER">#REF!</definedName>
    <definedName name="SUBDIV" localSheetId="0">#REF!</definedName>
    <definedName name="SUBDIV">#REF!</definedName>
    <definedName name="SUBEQP">#REF!</definedName>
    <definedName name="SUBMUR">#REF!</definedName>
    <definedName name="summ" localSheetId="0" hidden="1">#REF!</definedName>
    <definedName name="summ" hidden="1">#REF!</definedName>
    <definedName name="susref" localSheetId="0">#REF!</definedName>
    <definedName name="susref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_actual">#REF!</definedName>
    <definedName name="t_cc">#REF!</definedName>
    <definedName name="t_KSB1_Transport">#REF!</definedName>
    <definedName name="tab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0">#REF!</definedName>
    <definedName name="TAB_GASTOS">#REF!</definedName>
    <definedName name="TABACABAMENTOS" localSheetId="0">#REF!</definedName>
    <definedName name="TABACABAMENTOS">#REF!</definedName>
    <definedName name="tabela" localSheetId="0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 localSheetId="0">#REF!</definedName>
    <definedName name="tania">#REF!</definedName>
    <definedName name="TAUX2" localSheetId="0">OFFSET(#REF!,0,0,COUNTA(#REF!)+1,1)</definedName>
    <definedName name="TAUX2">OFFSET(#REF!,0,0,COUNTA(#REF!)+1,1)</definedName>
    <definedName name="TAUX3">OFFSET(#REF!,0,0,COUNTA(#REF!)+1,1)</definedName>
    <definedName name="TAXA_VENTO" localSheetId="0">#REF!</definedName>
    <definedName name="TAXA_VENTO">#REF!</definedName>
    <definedName name="TAXAS" localSheetId="0">#REF!</definedName>
    <definedName name="TAXAS">#REF!</definedName>
    <definedName name="TbDin" localSheetId="0">OFFSET(#REF!,0,0,COUNTA(#REF!),13)</definedName>
    <definedName name="TbDin">OFFSET(#REF!,0,0,COUNTA(#REF!),13)</definedName>
    <definedName name="tc" localSheetId="0">#REF!</definedName>
    <definedName name="tc">#REF!</definedName>
    <definedName name="TE" localSheetId="0">#REF!</definedName>
    <definedName name="TE">#REF!</definedName>
    <definedName name="TECLA">#REF!</definedName>
    <definedName name="Tendência_Obra_Controladoria">#REF!</definedName>
    <definedName name="TERRENO">#REF!</definedName>
    <definedName name="Test" localSheetId="0" hidden="1">{"'Edit'!$A$1:$V$2277"}</definedName>
    <definedName name="Test" hidden="1">{"'Edit'!$A$1:$V$2277"}</definedName>
    <definedName name="TESTANDO" localSheetId="0" hidden="1">{#N/A,#N/A,TRUE,"Quinzena 01 à 15-04-98 "}</definedName>
    <definedName name="TESTANDO" hidden="1">{#N/A,#N/A,TRUE,"Quinzena 01 à 15-04-98 "}</definedName>
    <definedName name="teste" localSheetId="0">#REF!</definedName>
    <definedName name="teste">#REF!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0">#REF!</definedName>
    <definedName name="teste3">#REF!</definedName>
    <definedName name="TESTHKEY" localSheetId="0">#REF!</definedName>
    <definedName name="TESTHKEY">#REF!</definedName>
    <definedName name="teto1" localSheetId="0">#REF!</definedName>
    <definedName name="teto1">#REF!</definedName>
    <definedName name="Teto2">#REF!</definedName>
    <definedName name="tetuytw">#REF!</definedName>
    <definedName name="TextRefCopyRangeCount" hidden="1">1</definedName>
    <definedName name="thjgsergsr" localSheetId="0" hidden="1">{#N/A,#N/A,FALSE,"Plan1";#N/A,#N/A,FALSE,"Plan2"}</definedName>
    <definedName name="thjgsergsr" hidden="1">{#N/A,#N/A,FALSE,"Plan1";#N/A,#N/A,FALSE,"Plan2"}</definedName>
    <definedName name="THYJ" localSheetId="0" hidden="1">{#N/A,#N/A,FALSE,"Plan1";#N/A,#N/A,FALSE,"Plan2"}</definedName>
    <definedName name="THYJ" hidden="1">{#N/A,#N/A,FALSE,"Plan1";#N/A,#N/A,FALSE,"Plan2"}</definedName>
    <definedName name="tihjgih" localSheetId="0" hidden="1">{#N/A,#N/A,FALSE,"Plan1";#N/A,#N/A,FALSE,"Plan2"}</definedName>
    <definedName name="tihjgih" hidden="1">{#N/A,#N/A,FALSE,"Plan1";#N/A,#N/A,FALSE,"Plan2"}</definedName>
    <definedName name="TIPO_CTT" localSheetId="0">#REF!</definedName>
    <definedName name="TIPO_CTT">#REF!</definedName>
    <definedName name="Tipo_de_Diretoria" localSheetId="0">#REF!</definedName>
    <definedName name="Tipo_de_Diretoria">#REF!</definedName>
    <definedName name="Tipo_de_Gestao" localSheetId="0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 localSheetId="0">#REF!</definedName>
    <definedName name="titulos">#REF!</definedName>
    <definedName name="_xlnm.Print_Titles" localSheetId="12">'Acabamentos de Piso e Parede'!$7:$11</definedName>
    <definedName name="_xlnm.Print_Titles" localSheetId="6">ALVENARIA!$2:$2</definedName>
    <definedName name="_xlnm.Print_Titles" localSheetId="16">COBERTURA!#REF!</definedName>
    <definedName name="_xlnm.Print_Titles" localSheetId="18">COMPLEMENTARES!#REF!</definedName>
    <definedName name="_xlnm.Print_Titles" localSheetId="3">CONTENÇÕES!$2:$2</definedName>
    <definedName name="_xlnm.Print_Titles" localSheetId="1">DADOS_INICIAIS!$1:$6</definedName>
    <definedName name="_xlnm.Print_Titles" localSheetId="15">ESQUADRIAS!$2:$2</definedName>
    <definedName name="_xlnm.Print_Titles" localSheetId="7">IMPERMEABILIZAÇÃO!$2:$2</definedName>
    <definedName name="_xlnm.Print_Titles" localSheetId="4">INFRAESTRUTURA!$2:$2</definedName>
    <definedName name="_xlnm.Print_Titles" localSheetId="8">INSTALAÇÕES!#REF!</definedName>
    <definedName name="_xlnm.Print_Titles" localSheetId="2">MOVIMENTAÇÃO_DE_TERRA!#REF!</definedName>
    <definedName name="_xlnm.Print_Titles" localSheetId="0">#REF!</definedName>
    <definedName name="_xlnm.Print_Titles" localSheetId="13">'PINTURA INTERNA'!$2:$2</definedName>
    <definedName name="_xlnm.Print_Titles" localSheetId="17">'Rev. Fachada'!$7:$11</definedName>
    <definedName name="_xlnm.Print_Titles" localSheetId="10">'Rev. Internos Piso e Parede'!$7:$11</definedName>
    <definedName name="_xlnm.Print_Titles" localSheetId="9">'SISTEMAS ESPECIAIS'!#REF!</definedName>
    <definedName name="_xlnm.Print_Titles" localSheetId="5">SUPRAESTRUTURA!$2:$2</definedName>
    <definedName name="_xlnm.Print_Titles" localSheetId="11">TETO!$2:$2</definedName>
    <definedName name="_xlnm.Print_Titles">#REF!</definedName>
    <definedName name="Títulos_impressão_IM" localSheetId="0">#REF!</definedName>
    <definedName name="Títulos_impressão_IM">#REF!</definedName>
    <definedName name="TMO" localSheetId="0">#REF!</definedName>
    <definedName name="TMO">#REF!</definedName>
    <definedName name="TOLTAL2">#REF!</definedName>
    <definedName name="TOT" localSheetId="16">#REF!</definedName>
    <definedName name="TOT" localSheetId="18">#REF!</definedName>
    <definedName name="TOT" localSheetId="1">#REF!</definedName>
    <definedName name="TOT" localSheetId="8">#REF!</definedName>
    <definedName name="TOT" localSheetId="2">#REF!</definedName>
    <definedName name="TOT" localSheetId="0">#REF!</definedName>
    <definedName name="TOT" localSheetId="9">#REF!</definedName>
    <definedName name="TOT">#REF!</definedName>
    <definedName name="tot3estac">#REF!</definedName>
    <definedName name="TOTAIS">#REF!</definedName>
    <definedName name="Total" localSheetId="1">#REF!</definedName>
    <definedName name="Total" localSheetId="0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 localSheetId="0">OFFSET(#REF!,0,0,COUNTA(#REF!),1)</definedName>
    <definedName name="TOTG">OFFSET(#REF!,0,0,COUNTA(#REF!),1)</definedName>
    <definedName name="totperfura" localSheetId="0">#REF!</definedName>
    <definedName name="totperfura">#REF!</definedName>
    <definedName name="TOTQTS" localSheetId="0">#REF!</definedName>
    <definedName name="TOTQTS">#REF!</definedName>
    <definedName name="TOTT" localSheetId="0">OFFSET(#REF!,0,0,COUNTA(#REF!)+1,1)</definedName>
    <definedName name="TOTT">OFFSET(#REF!,0,0,COUNTA(#REF!)+1,1)</definedName>
    <definedName name="TR" localSheetId="0">#REF!</definedName>
    <definedName name="TR">#REF!</definedName>
    <definedName name="Transferencia1" localSheetId="0">#REF!</definedName>
    <definedName name="Transferencia1">#REF!</definedName>
    <definedName name="TRES" localSheetId="0">#REF!</definedName>
    <definedName name="TRES">#REF!</definedName>
    <definedName name="TREZE">#REF!</definedName>
    <definedName name="tri">#REF!</definedName>
    <definedName name="Trimestre_data_base">#REF!</definedName>
    <definedName name="trjyidih" localSheetId="0" hidden="1">{#N/A,#N/A,FALSE,"Plan1";#N/A,#N/A,FALSE,"Plan2"}</definedName>
    <definedName name="trjyidih" hidden="1">{#N/A,#N/A,FALSE,"Plan1";#N/A,#N/A,FALSE,"Plan2"}</definedName>
    <definedName name="TRP" localSheetId="0">#REF!</definedName>
    <definedName name="TRP">#REF!</definedName>
    <definedName name="TTT" localSheetId="0">#REF!</definedName>
    <definedName name="TTT">#REF!</definedName>
    <definedName name="TURNO">#REF!</definedName>
    <definedName name="tuyedjsksj" localSheetId="0" hidden="1">{#N/A,#N/A,FALSE,"Plan1";#N/A,#N/A,FALSE,"Plan2"}</definedName>
    <definedName name="tuyedjsksj" hidden="1">{#N/A,#N/A,FALSE,"Plan1";#N/A,#N/A,FALSE,"Plan2"}</definedName>
    <definedName name="TX_ADM" localSheetId="0">#REF!</definedName>
    <definedName name="TX_ADM">#REF!</definedName>
    <definedName name="tx_desconto_real" localSheetId="0">#REF!</definedName>
    <definedName name="tx_desconto_real">#REF!</definedName>
    <definedName name="TxAplicMes" localSheetId="0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localSheetId="0" hidden="1">{#N/A,#N/A,FALSE,"Plan1";#N/A,#N/A,FALSE,"Plan2"}</definedName>
    <definedName name="TYHGFHFHG" hidden="1">{#N/A,#N/A,FALSE,"Plan1";#N/A,#N/A,FALSE,"Plan2"}</definedName>
    <definedName name="u" localSheetId="16" hidden="1">{#N/A,#N/A,FALSE,"ET-CAPA";#N/A,#N/A,FALSE,"ET-PAG1";#N/A,#N/A,FALSE,"ET-PAG2";#N/A,#N/A,FALSE,"ET-PAG3";#N/A,#N/A,FALSE,"ET-PAG4";#N/A,#N/A,FALSE,"ET-PAG5"}</definedName>
    <definedName name="u" localSheetId="18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8" hidden="1">{#N/A,#N/A,FALSE,"ET-CAPA";#N/A,#N/A,FALSE,"ET-PAG1";#N/A,#N/A,FALSE,"ET-PAG2";#N/A,#N/A,FALSE,"ET-PAG3";#N/A,#N/A,FALSE,"ET-PAG4";#N/A,#N/A,FALSE,"ET-PAG5"}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9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localSheetId="0" hidden="1">{#N/A,#N/A,FALSE,"Plan1";#N/A,#N/A,FALSE,"Plan2"}</definedName>
    <definedName name="udhgfhfg" hidden="1">{#N/A,#N/A,FALSE,"Plan1";#N/A,#N/A,FALSE,"Plan2"}</definedName>
    <definedName name="ueiutriuef" localSheetId="0" hidden="1">{#N/A,#N/A,FALSE,"Plan1";#N/A,#N/A,FALSE,"Plan2"}</definedName>
    <definedName name="ueiutriuef" hidden="1">{#N/A,#N/A,FALSE,"Plan1";#N/A,#N/A,FALSE,"Plan2"}</definedName>
    <definedName name="UENSIT" localSheetId="0">#REF!</definedName>
    <definedName name="UENSIT">#REF!</definedName>
    <definedName name="UENSITS" localSheetId="0">#REF!</definedName>
    <definedName name="UENSITS">#REF!</definedName>
    <definedName name="UHGSDUS" localSheetId="0" hidden="1">{#N/A,#N/A,FALSE,"Plan1";#N/A,#N/A,FALSE,"Plan2"}</definedName>
    <definedName name="UHGSDUS" hidden="1">{#N/A,#N/A,FALSE,"Plan1";#N/A,#N/A,FALSE,"Plan2"}</definedName>
    <definedName name="UI" localSheetId="0" hidden="1">#REF!</definedName>
    <definedName name="UI" hidden="1">#REF!</definedName>
    <definedName name="UIHWER45R" localSheetId="0" hidden="1">{#N/A,#N/A,FALSE,"Plan1";#N/A,#N/A,FALSE,"Plan2"}</definedName>
    <definedName name="UIHWER45R" hidden="1">{#N/A,#N/A,FALSE,"Plan1";#N/A,#N/A,FALSE,"Plan2"}</definedName>
    <definedName name="uiosderuiu" localSheetId="0" hidden="1">{#N/A,#N/A,FALSE,"Plan1";#N/A,#N/A,FALSE,"Plan2"}</definedName>
    <definedName name="uiosderuiu" hidden="1">{#N/A,#N/A,FALSE,"Plan1";#N/A,#N/A,FALSE,"Plan2"}</definedName>
    <definedName name="UIOURET" localSheetId="0" hidden="1">{#N/A,#N/A,FALSE,"Plan1";#N/A,#N/A,FALSE,"Plan2"}</definedName>
    <definedName name="UIOURET" hidden="1">{#N/A,#N/A,FALSE,"Plan1";#N/A,#N/A,FALSE,"Plan2"}</definedName>
    <definedName name="uiwuer" localSheetId="0" hidden="1">{#N/A,#N/A,FALSE,"Plan1";#N/A,#N/A,FALSE,"Plan2"}</definedName>
    <definedName name="uiwuer" hidden="1">{#N/A,#N/A,FALSE,"Plan1";#N/A,#N/A,FALSE,"Plan2"}</definedName>
    <definedName name="UKHDFDSGUDFKD" localSheetId="0" hidden="1">{#N/A,#N/A,FALSE,"Plan1";#N/A,#N/A,FALSE,"Plan2"}</definedName>
    <definedName name="UKHDFDSGUDFKD" hidden="1">{#N/A,#N/A,FALSE,"Plan1";#N/A,#N/A,FALSE,"Plan2"}</definedName>
    <definedName name="um" localSheetId="0" hidden="1">0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 localSheetId="0">OFFSET(#REF!,0,0,COUNTA(#REF!),1)</definedName>
    <definedName name="UNID">OFFSET(#REF!,0,0,COUNTA(#REF!),1)</definedName>
    <definedName name="uni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0">#REF!</definedName>
    <definedName name="univ_cdi">#REF!</definedName>
    <definedName name="univ_hist" localSheetId="0">#REF!</definedName>
    <definedName name="univ_hist">#REF!</definedName>
    <definedName name="univ_uss" localSheetId="0">#REF!</definedName>
    <definedName name="univ_uss">#REF!</definedName>
    <definedName name="UPS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0" hidden="1">{#N/A,#N/A,FALSE,"Plan1";#N/A,#N/A,FALSE,"Plan2"}</definedName>
    <definedName name="uryrtyt" hidden="1">{#N/A,#N/A,FALSE,"Plan1";#N/A,#N/A,FALSE,"Plan2"}</definedName>
    <definedName name="V" localSheetId="0">#REF!</definedName>
    <definedName name="V">#REF!</definedName>
    <definedName name="VALIDADE_EXECUÇÃO" localSheetId="0">#REF!</definedName>
    <definedName name="VALIDADE_EXECUÇÃO">#REF!</definedName>
    <definedName name="Valor_PLS_Controladoria" localSheetId="0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0">#REF!</definedName>
    <definedName name="VAOS">#REF!</definedName>
    <definedName name="vdsgfrhgfr" localSheetId="0" hidden="1">{#N/A,#N/A,FALSE,"Plan1";#N/A,#N/A,FALSE,"Plan2"}</definedName>
    <definedName name="vdsgfrhgfr" hidden="1">{#N/A,#N/A,FALSE,"Plan1";#N/A,#N/A,FALSE,"Plan2"}</definedName>
    <definedName name="Veiculos" localSheetId="0">#REF!</definedName>
    <definedName name="Veiculos">#REF!</definedName>
    <definedName name="VENDA_ADOTADA" localSheetId="0">#REF!</definedName>
    <definedName name="VENDA_ADOTADA">#REF!</definedName>
    <definedName name="VENDAFINAL_R" localSheetId="0">#REF!</definedName>
    <definedName name="VENDAFINAL_R">#REF!</definedName>
    <definedName name="VENDAFINAL_U">#REF!</definedName>
    <definedName name="Vendas">#REF!</definedName>
    <definedName name="vendas_">#REF!</definedName>
    <definedName name="VERIFICAR" localSheetId="0" hidden="1">{#N/A,#N/A,TRUE,"Quinzena 01 à 15-04-98 "}</definedName>
    <definedName name="VERIFICAR" hidden="1">{#N/A,#N/A,TRUE,"Quinzena 01 à 15-04-98 "}</definedName>
    <definedName name="versao_estudo" localSheetId="0">#REF!</definedName>
    <definedName name="versao_estudo">#REF!</definedName>
    <definedName name="vfbg" localSheetId="0">#REF!</definedName>
    <definedName name="vfbg">#REF!</definedName>
    <definedName name="vfnijfd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0" hidden="1">{#N/A,#N/A,FALSE,"Plan1";#N/A,#N/A,FALSE,"Plan2"}</definedName>
    <definedName name="VFV" hidden="1">{#N/A,#N/A,FALSE,"Plan1";#N/A,#N/A,FALSE,"Plan2"}</definedName>
    <definedName name="VI" localSheetId="0">#REF!</definedName>
    <definedName name="VI">#REF!</definedName>
    <definedName name="VINTE" localSheetId="0">#REF!</definedName>
    <definedName name="VINTE">#REF!</definedName>
    <definedName name="visao_cashflow" localSheetId="0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localSheetId="0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0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0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0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0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0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0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0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 localSheetId="0">#REF!</definedName>
    <definedName name="VOLUME1">#REF!</definedName>
    <definedName name="VOLUME2" localSheetId="0">#REF!</definedName>
    <definedName name="VOLUME2">#REF!</definedName>
    <definedName name="VOLUME3">#REF!</definedName>
    <definedName name="VSDHFGDFGR" localSheetId="0" hidden="1">{#N/A,#N/A,FALSE,"Plan1";#N/A,#N/A,FALSE,"Plan2"}</definedName>
    <definedName name="VSDHFGDFGR" hidden="1">{#N/A,#N/A,FALSE,"Plan1";#N/A,#N/A,FALSE,"Plan2"}</definedName>
    <definedName name="vvbb" localSheetId="0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0" hidden="1">{#N/A,#N/A,FALSE,"Plan1";#N/A,#N/A,FALSE,"Plan2"}</definedName>
    <definedName name="vvcbnb" hidden="1">{#N/A,#N/A,FALSE,"Plan1";#N/A,#N/A,FALSE,"Plan2"}</definedName>
    <definedName name="vvvvv" localSheetId="0" hidden="1">{"Econ Consolidado",#N/A,FALSE,"Econ Consol";"Fluxo de Caixa",#N/A,FALSE,"Fluxo Caixa";"Investimentos",#N/A,FALSE,"Investimentos"}</definedName>
    <definedName name="vvvvv" hidden="1">{"Econ Consolidado",#N/A,FALSE,"Econ Consol";"Fluxo de Caixa",#N/A,FALSE,"Fluxo Caixa";"Investimentos",#N/A,FALSE,"Investimentos"}</definedName>
    <definedName name="vvvvvv" localSheetId="0" hidden="1">{#N/A,#N/A,FALSE,"Plan1";#N/A,#N/A,FALSE,"Plan2"}</definedName>
    <definedName name="vvvvvv" hidden="1">{#N/A,#N/A,FALSE,"Plan1";#N/A,#N/A,FALSE,"Plan2"}</definedName>
    <definedName name="vvvvvvvvvvvvvvvvv" localSheetId="0" hidden="1">{"HW",#N/A,FALSE,"1998"}</definedName>
    <definedName name="vvvvvvvvvvvvvvvvv" hidden="1">{"HW",#N/A,FALSE,"1998"}</definedName>
    <definedName name="VX" localSheetId="0" hidden="1">#REF!</definedName>
    <definedName name="VX" hidden="1">#REF!</definedName>
    <definedName name="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>#REF!</definedName>
    <definedName name="wacc" localSheetId="0">#REF!</definedName>
    <definedName name="wacc">#REF!</definedName>
    <definedName name="wadalrdjlaev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0" hidden="1">#REF!</definedName>
    <definedName name="wdewr" hidden="1">#REF!</definedName>
    <definedName name="WE" localSheetId="0" hidden="1">#REF!</definedName>
    <definedName name="WE" hidden="1">#REF!</definedName>
    <definedName name="weki_9701.xls" localSheetId="0" hidden="1">#REF!</definedName>
    <definedName name="weki_9701.xls" hidden="1">#REF!</definedName>
    <definedName name="wekir9701.xls" hidden="1">#REF!</definedName>
    <definedName name="werw4tr" localSheetId="0" hidden="1">{#N/A,#N/A,FALSE,"Plan1";#N/A,#N/A,FALSE,"Plan2"}</definedName>
    <definedName name="werw4tr" hidden="1">{#N/A,#N/A,FALSE,"Plan1";#N/A,#N/A,FALSE,"Plan2"}</definedName>
    <definedName name="wetoedjtkdr" localSheetId="0" hidden="1">{#N/A,#N/A,FALSE,"Plan1";#N/A,#N/A,FALSE,"Plan2"}</definedName>
    <definedName name="wetoedjtkdr" hidden="1">{#N/A,#N/A,FALSE,"Plan1";#N/A,#N/A,FALSE,"Plan2"}</definedName>
    <definedName name="WHATS" localSheetId="0" hidden="1">{"'Edit'!$A$1:$V$2277"}</definedName>
    <definedName name="WHATS" hidden="1">{"'Edit'!$A$1:$V$2277"}</definedName>
    <definedName name="win.VESSE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0">#REF!</definedName>
    <definedName name="WITENS">#REF!</definedName>
    <definedName name="WKJHIR" localSheetId="0" hidden="1">{#N/A,#N/A,FALSE,"Plan1";#N/A,#N/A,FALSE,"Plan2"}</definedName>
    <definedName name="WKJHIR" hidden="1">{#N/A,#N/A,FALSE,"Plan1";#N/A,#N/A,FALSE,"Plan2"}</definedName>
    <definedName name="WLQ" localSheetId="0" hidden="1">{#N/A,#N/A,FALSE,"명세표"}</definedName>
    <definedName name="WLQ" hidden="1">{#N/A,#N/A,FALSE,"명세표"}</definedName>
    <definedName name="WNMLOCAL" localSheetId="0">#REF!</definedName>
    <definedName name="WNMLOCAL">#REF!</definedName>
    <definedName name="WNMMUN" localSheetId="0">#REF!</definedName>
    <definedName name="WNMMUN">#REF!</definedName>
    <definedName name="WNMSERV" localSheetId="0">#REF!</definedName>
    <definedName name="WNMSERV">#REF!</definedName>
    <definedName name="worl_cdi">#REF!</definedName>
    <definedName name="worl_hist">#REF!</definedName>
    <definedName name="worl_uss">#REF!</definedName>
    <definedName name="WRITE" localSheetId="0" hidden="1">{#N/A,#N/A,FALSE,"CCTV"}</definedName>
    <definedName name="WRITE" hidden="1">{#N/A,#N/A,FALSE,"CCTV"}</definedName>
    <definedName name="wrn.BM." localSheetId="0" hidden="1">{#N/A,#N/A,FALSE,"CCTV"}</definedName>
    <definedName name="wrn.BM." hidden="1">{#N/A,#N/A,FALSE,"CCTV"}</definedName>
    <definedName name="wrn.Brita98.xls." localSheetId="0" hidden="1">{#N/A,#N/A,TRUE,"Quinzena 01 à 15-04-98 "}</definedName>
    <definedName name="wrn.Brita98.xls." hidden="1">{#N/A,#N/A,TRUE,"Quinzena 01 à 15-04-98 "}</definedName>
    <definedName name="wrn.Completo." localSheetId="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0" hidden="1">{"EconCons",#N/A,TRUE,"Econômico - Consolidado";"CaixaCons",#N/A,TRUE,"Caixa - Consolidado";"InvestCons",#N/A,TRUE,"Invest Consolidado"}</definedName>
    <definedName name="wrn.Cons." hidden="1">{"EconCons",#N/A,TRUE,"Econômico - Consolidado";"CaixaCons",#N/A,TRUE,"Caixa - Consolidado";"InvestCons",#N/A,TRUE,"Invest Consolidado"}</definedName>
    <definedName name="wrn.Consolidado." localSheetId="0" hidden="1">{"Econ Consolidado",#N/A,FALSE,"Econ Consol";"Fluxo de Caixa",#N/A,FALSE,"Fluxo Caixa";"Investimentos",#N/A,FALSE,"Investimentos"}</definedName>
    <definedName name="wrn.Consolidado." hidden="1">{"Econ Consolidado",#N/A,FALSE,"Econ Consol";"Fluxo de Caixa",#N/A,FALSE,"Fluxo Caixa";"Investimentos",#N/A,FALSE,"Investimentos"}</definedName>
    <definedName name="wrn.GERAL." localSheetId="16" hidden="1">{#N/A,#N/A,FALSE,"ET-CAPA";#N/A,#N/A,FALSE,"ET-PAG1";#N/A,#N/A,FALSE,"ET-PAG2";#N/A,#N/A,FALSE,"ET-PAG3";#N/A,#N/A,FALSE,"ET-PAG4";#N/A,#N/A,FALSE,"ET-PAG5"}</definedName>
    <definedName name="wrn.GERAL." localSheetId="18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9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localSheetId="0" hidden="1">{#N/A,#N/A,FALSE,"cdi";#N/A,#N/A,FALSE,"debent";#N/A,#N/A,FALSE,"fdos";#N/A,#N/A,FALSE,"resumo"}</definedName>
    <definedName name="wrn.HAGE." hidden="1">{#N/A,#N/A,FALSE,"cdi";#N/A,#N/A,FALSE,"debent";#N/A,#N/A,FALSE,"fdos";#N/A,#N/A,FALSE,"resumo"}</definedName>
    <definedName name="wrn.HAGE01" localSheetId="0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localSheetId="0" hidden="1">{"HW",#N/A,FALSE,"1998"}</definedName>
    <definedName name="wrn.HW." hidden="1">{"HW",#N/A,FALSE,"1998"}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0" hidden="1">{#N/A,#N/A,FALSE,"Plan1";#N/A,#N/A,FALSE,"Plan2"}</definedName>
    <definedName name="wrn.IMPRESSO." hidden="1">{#N/A,#N/A,FALSE,"Plan1";#N/A,#N/A,FALSE,"Plan2"}</definedName>
    <definedName name="wrn.Imprimir." localSheetId="0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 hidden="1">{#N/A,#N/A,FALSE,"ALVENARIA";#N/A,#N/A,FALSE,"BLOCOS";#N/A,#N/A,FALSE,"CINTAS";#N/A,#N/A,FALSE,"CORTINA";#N/A,#N/A,FALSE,"LAJES";#N/A,#N/A,FALSE,"PILARES";#N/A,#N/A,FALSE,"VIGAS"}</definedName>
    <definedName name="wrn.Month._.Report._.Package." localSheetId="0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0" hidden="1">{#N/A,#N/A,FALSE,"F-01"}</definedName>
    <definedName name="wrn.Planiha._.de._.Medição._.F._.01." hidden="1">{#N/A,#N/A,FALSE,"F-01"}</definedName>
    <definedName name="wrn.Planiha._.de._.Medição._.F._.01._1" localSheetId="0" hidden="1">{#N/A,#N/A,FALSE,"F-01"}</definedName>
    <definedName name="wrn.Planiha._.de._.Medição._.F._.01._1" hidden="1">{#N/A,#N/A,FALSE,"F-01"}</definedName>
    <definedName name="wrn.Planilha_de_Medição_F_02" localSheetId="0" hidden="1">{#N/A,#N/A,FALSE,"F-01"}</definedName>
    <definedName name="wrn.Planilha_de_Medição_F_02" hidden="1">{#N/A,#N/A,FALSE,"F-01"}</definedName>
    <definedName name="wrn.print._.all." localSheetId="0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All." localSheetId="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0" hidden="1">{#N/A,#N/A,FALSE,"Sheet1";#N/A,#N/A,FALSE,"Sheet2";#N/A,#N/A,FALSE,"Sheet3"}</definedName>
    <definedName name="wrn.PrintCurr." hidden="1">{#N/A,#N/A,FALSE,"Sheet1";#N/A,#N/A,FALSE,"Sheet2";#N/A,#N/A,FALSE,"Sheet3"}</definedName>
    <definedName name="wrn.PrintPrev1." localSheetId="0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0" hidden="1">{#N/A,#N/A,FALSE,"Sheet7";#N/A,#N/A,FALSE,"Sheet8";#N/A,#N/A,FALSE,"Sheet9"}</definedName>
    <definedName name="wrn.PrintPrev2." hidden="1">{#N/A,#N/A,FALSE,"Sheet7";#N/A,#N/A,FALSE,"Sheet8";#N/A,#N/A,FALSE,"Sheet9"}</definedName>
    <definedName name="wrn.Quadros._.relatório.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0" hidden="1">{#N/A,#N/A,FALSE,"TABLE"}</definedName>
    <definedName name="wrn.STAFFS." hidden="1">{#N/A,#N/A,FALSE,"TABLE"}</definedName>
    <definedName name="wrn.TERCEIRO.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0" hidden="1">{#N/A,#N/A,FALSE,"명세표"}</definedName>
    <definedName name="wrn.test1." hidden="1">{#N/A,#N/A,FALSE,"명세표"}</definedName>
    <definedName name="wrn.Unidades." localSheetId="0" hidden="1">{"Rio Branco",#N/A,FALSE,"Rio Branco";"Itajaí",#N/A,FALSE,"Itajaí";"Pinheiro Machado",#N/A,FALSE,"PMachado";"Esteio",#N/A,FALSE,"Esteio"}</definedName>
    <definedName name="wrn.Unidades." hidden="1">{"Rio Branco",#N/A,FALSE,"Rio Branco";"Itajaí",#N/A,FALSE,"Itajaí";"Pinheiro Machado",#N/A,FALSE,"PMachado";"Esteio",#N/A,FALSE,"Esteio"}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0" hidden="1">{#N/A,#N/A,FALSE,"Sheet1";#N/A,#N/A,FALSE,"Sheet2";#N/A,#N/A,FALSE,"TAB96-1"}</definedName>
    <definedName name="wrn.견적." hidden="1">{#N/A,#N/A,FALSE,"Sheet1";#N/A,#N/A,FALSE,"Sheet2";#N/A,#N/A,FALSE,"TAB96-1"}</definedName>
    <definedName name="wrn.보호계전기." localSheetId="0" hidden="1">{#N/A,#N/A,FALSE,"ENG'G(보호계전기)"}</definedName>
    <definedName name="wrn.보호계전기." hidden="1">{#N/A,#N/A,FALSE,"ENG'G(보호계전기)"}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1.Cons." localSheetId="0" hidden="1">{"EconCons",#N/A,TRUE,"Econômico - Consolidado";"CaixaCons",#N/A,TRUE,"Caixa - Consolidado";"InvestCons",#N/A,TRUE,"Invest Consolidado"}</definedName>
    <definedName name="wrn1.Cons." hidden="1">{"EconCons",#N/A,TRUE,"Econômico - Consolidado";"CaixaCons",#N/A,TRUE,"Caixa - Consolidado";"InvestCons",#N/A,TRUE,"Invest Consolidado"}</definedName>
    <definedName name="wrn1.print._.all." localSheetId="0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S" localSheetId="0" hidden="1">{"'장비'!$A$3:$M$12"}</definedName>
    <definedName name="WRS" hidden="1">{"'장비'!$A$3:$M$12"}</definedName>
    <definedName name="wrt" localSheetId="0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0">#REF!</definedName>
    <definedName name="X">#REF!</definedName>
    <definedName name="XALFA" localSheetId="0">#REF!</definedName>
    <definedName name="XALFA">#REF!</definedName>
    <definedName name="XC" localSheetId="0">#REF!</definedName>
    <definedName name="XC">#REF!</definedName>
    <definedName name="xcfrt" localSheetId="0" hidden="1">{#N/A,#N/A,FALSE,"Plan1";#N/A,#N/A,FALSE,"Plan2"}</definedName>
    <definedName name="xcfrt" hidden="1">{#N/A,#N/A,FALSE,"Plan1";#N/A,#N/A,FALSE,"Plan2"}</definedName>
    <definedName name="xcgjkfghf" localSheetId="0" hidden="1">{#N/A,#N/A,FALSE,"Plan1";#N/A,#N/A,FALSE,"Plan2"}</definedName>
    <definedName name="xcgjkfghf" hidden="1">{#N/A,#N/A,FALSE,"Plan1";#N/A,#N/A,FALSE,"Plan2"}</definedName>
    <definedName name="XCGJKVHFDG" localSheetId="0" hidden="1">{#N/A,#N/A,FALSE,"Plan1";#N/A,#N/A,FALSE,"Plan2"}</definedName>
    <definedName name="XCGJKVHFDG" hidden="1">{#N/A,#N/A,FALSE,"Plan1";#N/A,#N/A,FALSE,"Plan2"}</definedName>
    <definedName name="xcgtrty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0">#REF!</definedName>
    <definedName name="XCI">#REF!</definedName>
    <definedName name="XCII" localSheetId="0">#REF!</definedName>
    <definedName name="XCII">#REF!</definedName>
    <definedName name="XCIII" localSheetId="0">#REF!</definedName>
    <definedName name="XCIII">#REF!</definedName>
    <definedName name="XCIV">#REF!</definedName>
    <definedName name="XCIX">#REF!</definedName>
    <definedName name="xçl" localSheetId="0" hidden="1">{#N/A,#N/A,FALSE,"Plan1";#N/A,#N/A,FALSE,"Plan2"}</definedName>
    <definedName name="xçl" hidden="1">{#N/A,#N/A,FALSE,"Plan1";#N/A,#N/A,FALSE,"Plan2"}</definedName>
    <definedName name="xcndj" localSheetId="0" hidden="1">{#N/A,#N/A,FALSE,"Plan1";#N/A,#N/A,FALSE,"Plan2"}</definedName>
    <definedName name="xcndj" hidden="1">{#N/A,#N/A,FALSE,"Plan1";#N/A,#N/A,FALSE,"Plan2"}</definedName>
    <definedName name="XCV" localSheetId="0">#REF!</definedName>
    <definedName name="XCV">#REF!</definedName>
    <definedName name="XCVGGT" localSheetId="0" hidden="1">{#N/A,#N/A,FALSE,"Plan1";#N/A,#N/A,FALSE,"Plan2"}</definedName>
    <definedName name="XCVGGT" hidden="1">{#N/A,#N/A,FALSE,"Plan1";#N/A,#N/A,FALSE,"Plan2"}</definedName>
    <definedName name="XCVI" localSheetId="0">#REF!</definedName>
    <definedName name="XCVI">#REF!</definedName>
    <definedName name="XCVII" localSheetId="0">#REF!</definedName>
    <definedName name="XCVII">#REF!</definedName>
    <definedName name="XCVIII" localSheetId="0">#REF!</definedName>
    <definedName name="XCVIII">#REF!</definedName>
    <definedName name="xcvrg" localSheetId="0" hidden="1">{#N/A,#N/A,FALSE,"Plan1";#N/A,#N/A,FALSE,"Plan2"}</definedName>
    <definedName name="xcvrg" hidden="1">{#N/A,#N/A,FALSE,"Plan1";#N/A,#N/A,FALSE,"Plan2"}</definedName>
    <definedName name="XDATA" localSheetId="0">#REF!</definedName>
    <definedName name="XDATA">#REF!</definedName>
    <definedName name="xdfe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0" hidden="1">{#N/A,#N/A,FALSE,"Plan1";#N/A,#N/A,FALSE,"Plan2"}</definedName>
    <definedName name="xdgtyhyt" hidden="1">{#N/A,#N/A,FALSE,"Plan1";#N/A,#N/A,FALSE,"Plan2"}</definedName>
    <definedName name="xfdlfj" localSheetId="0" hidden="1">{#N/A,#N/A,FALSE,"Plan1";#N/A,#N/A,FALSE,"Plan2"}</definedName>
    <definedName name="xfdlfj" hidden="1">{#N/A,#N/A,FALSE,"Plan1";#N/A,#N/A,FALSE,"Plan2"}</definedName>
    <definedName name="xfdxfdf" localSheetId="0" hidden="1">{#N/A,#N/A,FALSE,"Plan1";#N/A,#N/A,FALSE,"Plan2"}</definedName>
    <definedName name="xfdxfdf" hidden="1">{#N/A,#N/A,FALSE,"Plan1";#N/A,#N/A,FALSE,"Plan2"}</definedName>
    <definedName name="XFJKLDJKLG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0" hidden="1">{#N/A,#N/A,FALSE,"Plan1";#N/A,#N/A,FALSE,"Plan2"}</definedName>
    <definedName name="xfrty" hidden="1">{#N/A,#N/A,FALSE,"Plan1";#N/A,#N/A,FALSE,"Plan2"}</definedName>
    <definedName name="XFT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0" hidden="1">{"Econ Consolidado",#N/A,FALSE,"Econ Consol";"Fluxo de Caixa",#N/A,FALSE,"Fluxo Caixa";"Investimentos",#N/A,FALSE,"Investimentos"}</definedName>
    <definedName name="xfvchdhhd" hidden="1">{"Econ Consolidado",#N/A,FALSE,"Econ Consol";"Fluxo de Caixa",#N/A,FALSE,"Fluxo Caixa";"Investimentos",#N/A,FALSE,"Investimentos"}</definedName>
    <definedName name="xfvgcfgt" localSheetId="0" hidden="1">{#N/A,#N/A,FALSE,"Plan1";#N/A,#N/A,FALSE,"Plan2"}</definedName>
    <definedName name="xfvgcfgt" hidden="1">{#N/A,#N/A,FALSE,"Plan1";#N/A,#N/A,FALSE,"Plan2"}</definedName>
    <definedName name="xgrg" localSheetId="0" hidden="1">{#N/A,#N/A,FALSE,"Plan1";#N/A,#N/A,FALSE,"Plan2"}</definedName>
    <definedName name="xgrg" hidden="1">{#N/A,#N/A,FALSE,"Plan1";#N/A,#N/A,FALSE,"Plan2"}</definedName>
    <definedName name="XI" localSheetId="0">#REF!</definedName>
    <definedName name="XI">#REF!</definedName>
    <definedName name="XII" localSheetId="0">#REF!</definedName>
    <definedName name="XII">#REF!</definedName>
    <definedName name="XIII" localSheetId="0">#REF!</definedName>
    <definedName name="XIII">#REF!</definedName>
    <definedName name="XITEM">#REF!</definedName>
    <definedName name="XIV">#REF!</definedName>
    <definedName name="XLOC">#REF!</definedName>
    <definedName name="xmght" localSheetId="0" hidden="1">{#N/A,#N/A,FALSE,"Plan1";#N/A,#N/A,FALSE,"Plan2"}</definedName>
    <definedName name="xmght" hidden="1">{#N/A,#N/A,FALSE,"Plan1";#N/A,#N/A,FALSE,"Plan2"}</definedName>
    <definedName name="xnInforme_quantos_bebedouros____bebqt__if_bebqt__0__xlQt.bebedouros_invalida___ENTER_p_reinformar__xresp__branch_rqtderv" localSheetId="0">#REF!</definedName>
    <definedName name="xnInforme_quantos_bebedouros____bebqt__if_bebqt__0__xlQt.bebedouros_invalida___ENTER_p_reinformar__xresp__branch_rqtderv">#REF!</definedName>
    <definedName name="XNUCOPIAS" localSheetId="0">#REF!</definedName>
    <definedName name="XNUCOPIAS">#REF!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localSheetId="0" hidden="1">#REF!</definedName>
    <definedName name="XREF_COLUMN_1" hidden="1">#REF!</definedName>
    <definedName name="XREF_COLUMN_2" localSheetId="0" hidden="1">#REF!</definedName>
    <definedName name="XREF_COLUMN_2" hidden="1">#REF!</definedName>
    <definedName name="XREF_COLUMN_3" localSheetId="0" hidden="1">#REF!</definedName>
    <definedName name="XREF_COLUMN_3" hidden="1">#REF!</definedName>
    <definedName name="XREF_COLUMN_4" hidden="1">#REF!</definedName>
    <definedName name="XRefColumnsCount" hidden="1">1</definedName>
    <definedName name="XRefCopy2" localSheetId="0" hidden="1">#REF!</definedName>
    <definedName name="XRefCopy2" hidden="1">#REF!</definedName>
    <definedName name="XRefCopy3Row" localSheetId="0" hidden="1">#REF!</definedName>
    <definedName name="XRefCopy3Row" hidden="1">#REF!</definedName>
    <definedName name="XRefCopy4Row" localSheetId="0" hidden="1">#REF!</definedName>
    <definedName name="XRefCopy4Row" hidden="1">#REF!</definedName>
    <definedName name="XRefCopy6" hidden="1">#REF!</definedName>
    <definedName name="XRefCopyRangeCount" hidden="1">1</definedName>
    <definedName name="XRefPaste2" localSheetId="0" hidden="1">#REF!</definedName>
    <definedName name="XRefPaste2" hidden="1">#REF!</definedName>
    <definedName name="XRefPaste4" localSheetId="0" hidden="1">#REF!</definedName>
    <definedName name="XRefPaste4" hidden="1">#REF!</definedName>
    <definedName name="XRefPaste5" localSheetId="0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RESP" localSheetId="0">#REF!</definedName>
    <definedName name="XRESP">#REF!</definedName>
    <definedName name="XTITRES" localSheetId="0">#REF!</definedName>
    <definedName name="XTITRES">#REF!</definedName>
    <definedName name="XV" localSheetId="0">#REF!</definedName>
    <definedName name="XV">#REF!</definedName>
    <definedName name="xx" localSheetId="0" hidden="1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>#REF!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localSheetId="16">#REF!</definedName>
    <definedName name="xxxx" localSheetId="18">#REF!</definedName>
    <definedName name="xxxx" localSheetId="1">#REF!</definedName>
    <definedName name="xxxx" localSheetId="8">#REF!</definedName>
    <definedName name="xxxx" localSheetId="2">#REF!</definedName>
    <definedName name="xxxx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9">#REF!</definedName>
    <definedName name="xxxx">#REF!</definedName>
    <definedName name="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0" hidden="1">{"'Edit'!$A$1:$V$2277"}</definedName>
    <definedName name="xxxxxxxxxxxx">#REF!</definedName>
    <definedName name="xxxxxxxxxxxxxx" localSheetId="0" hidden="1">{#N/A,#N/A,FALSE,"Plan1";#N/A,#N/A,FALSE,"Plan2"}</definedName>
    <definedName name="xxxxxxxxxxxxxx" hidden="1">{#N/A,#N/A,FALSE,"Plan1";#N/A,#N/A,FALSE,"Plan2"}</definedName>
    <definedName name="xzfrt" localSheetId="0" hidden="1">{#N/A,#N/A,FALSE,"Plan1";#N/A,#N/A,FALSE,"Plan2"}</definedName>
    <definedName name="xzfrt" hidden="1">{#N/A,#N/A,FALSE,"Plan1";#N/A,#N/A,FALSE,"Plan2"}</definedName>
    <definedName name="yeitrtged" localSheetId="0" hidden="1">{#N/A,#N/A,FALSE,"Plan1";#N/A,#N/A,FALSE,"Plan2"}</definedName>
    <definedName name="yeitrtged" hidden="1">{#N/A,#N/A,FALSE,"Plan1";#N/A,#N/A,FALSE,"Plan2"}</definedName>
    <definedName name="yhdfiuygrui" localSheetId="0" hidden="1">{#N/A,#N/A,FALSE,"Plan1";#N/A,#N/A,FALSE,"Plan2"}</definedName>
    <definedName name="yhdfiuygrui" hidden="1">{#N/A,#N/A,FALSE,"Plan1";#N/A,#N/A,FALSE,"Plan2"}</definedName>
    <definedName name="YRGUYDRIY" localSheetId="0" hidden="1">{"Econ Consolidado",#N/A,FALSE,"Econ Consol";"Fluxo de Caixa",#N/A,FALSE,"Fluxo Caixa";"Investimentos",#N/A,FALSE,"Investimentos"}</definedName>
    <definedName name="YRGUYDRIY" hidden="1">{"Econ Consolidado",#N/A,FALSE,"Econ Consol";"Fluxo de Caixa",#N/A,FALSE,"Fluxo Caixa";"Investimentos",#N/A,FALSE,"Investimentos"}</definedName>
    <definedName name="ytdju" localSheetId="0">#REF!</definedName>
    <definedName name="ytdju">#REF!</definedName>
    <definedName name="yuegursdmksf" localSheetId="0" hidden="1">{#N/A,#N/A,FALSE,"Plan1";#N/A,#N/A,FALSE,"Plan2"}</definedName>
    <definedName name="yuegursdmksf" hidden="1">{#N/A,#N/A,FALSE,"Plan1";#N/A,#N/A,FALSE,"Plan2"}</definedName>
    <definedName name="yuekl4fr" localSheetId="0" hidden="1">{#N/A,#N/A,FALSE,"Plan1";#N/A,#N/A,FALSE,"Plan2"}</definedName>
    <definedName name="yuekl4fr" hidden="1">{#N/A,#N/A,FALSE,"Plan1";#N/A,#N/A,FALSE,"Plan2"}</definedName>
    <definedName name="yureytuyrea" localSheetId="0" hidden="1">{#N/A,#N/A,FALSE,"Plan1";#N/A,#N/A,FALSE,"Plan2"}</definedName>
    <definedName name="yureytuyrea" hidden="1">{#N/A,#N/A,FALSE,"Plan1";#N/A,#N/A,FALSE,"Plan2"}</definedName>
    <definedName name="z" localSheetId="0" hidden="1">{"'Estimativa de Lançamento-JAN'!$A$1:$AI$85"}</definedName>
    <definedName name="z" hidden="1">{"'Estimativa de Lançamento-JAN'!$A$1:$AI$85"}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localSheetId="0" hidden="1">#REF!</definedName>
    <definedName name="Z_022B7420_7F94_427F_B370_84030F9B3342_.wvu.FilterData" hidden="1">#REF!</definedName>
    <definedName name="Z_04BC043C_175B_412D_8093_6F29CD74FBAE_.wvu.FilterData" localSheetId="0" hidden="1">#REF!</definedName>
    <definedName name="Z_04BC043C_175B_412D_8093_6F29CD74FBAE_.wvu.FilterData" hidden="1">#REF!</definedName>
    <definedName name="Z_058B9256_CB4D_4C39_834D_D693FEEB491F_.wvu.FilterData" localSheetId="0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localSheetId="0" hidden="1">#REF!</definedName>
    <definedName name="Z_14D375AC_5615_46DE_8EE3_95915B2A8B54_.wvu.FilterData" hidden="1">#REF!</definedName>
    <definedName name="Z_15697660_066E_11D5_AF15_00010242ED40_.wvu.PrintArea" localSheetId="0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localSheetId="0" hidden="1">#REF!,#REF!</definedName>
    <definedName name="Z_60DF8B29_1C1F_4B50_BDA8_B8E0C7DD04C3_.wvu.Cols" hidden="1">#REF!,#REF!</definedName>
    <definedName name="Z_60DF8B29_1C1F_4B50_BDA8_B8E0C7DD04C3_.wvu.FilterData" localSheetId="0" hidden="1">#REF!</definedName>
    <definedName name="Z_60DF8B29_1C1F_4B50_BDA8_B8E0C7DD04C3_.wvu.FilterData" hidden="1">#REF!</definedName>
    <definedName name="Z_615F4A4D_D5AB_4A04_81F5_F436484247A5_.wvu.FilterData" localSheetId="0" hidden="1">#REF!</definedName>
    <definedName name="Z_615F4A4D_D5AB_4A04_81F5_F436484247A5_.wvu.FilterData" hidden="1">#REF!</definedName>
    <definedName name="Z_616443B5_6F0D_4082_9223_F71B54305366_.wvu.FilterData" localSheetId="0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localSheetId="0" hidden="1">#REF!,#REF!</definedName>
    <definedName name="Z_E3FFE9E0_6C4F_4FB4_A56E_FBE96871B5C8_.wvu.Cols" hidden="1">#REF!,#REF!</definedName>
    <definedName name="Z_E3FFE9E0_6C4F_4FB4_A56E_FBE96871B5C8_.wvu.FilterData" localSheetId="0" hidden="1">#REF!</definedName>
    <definedName name="Z_E3FFE9E0_6C4F_4FB4_A56E_FBE96871B5C8_.wvu.FilterData" hidden="1">#REF!</definedName>
    <definedName name="Z_E42D429F_E4E8_41D2_9176_83C726BAF8E3_.wvu.FilterData" localSheetId="0" hidden="1">#REF!</definedName>
    <definedName name="Z_E42D429F_E4E8_41D2_9176_83C726BAF8E3_.wvu.FilterData" hidden="1">#REF!</definedName>
    <definedName name="Z_E491B72F_902A_11D7_9C1E_0004231B06E7_.wvu.FilterData" localSheetId="0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localSheetId="0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localSheetId="0" hidden="1">{#N/A,#N/A,FALSE,"Plan1";#N/A,#N/A,FALSE,"Plan2"}</definedName>
    <definedName name="zcdçskld" hidden="1">{#N/A,#N/A,FALSE,"Plan1";#N/A,#N/A,FALSE,"Plan2"}</definedName>
    <definedName name="zcsdrfrt" localSheetId="0" hidden="1">{#N/A,#N/A,FALSE,"Plan1";#N/A,#N/A,FALSE,"Plan2"}</definedName>
    <definedName name="zcsdrfrt" hidden="1">{#N/A,#N/A,FALSE,"Plan1";#N/A,#N/A,FALSE,"Plan2"}</definedName>
    <definedName name="ZDRE" localSheetId="0" hidden="1">{#N/A,#N/A,FALSE,"Plan1";#N/A,#N/A,FALSE,"Plan2"}</definedName>
    <definedName name="ZDRE" hidden="1">{#N/A,#N/A,FALSE,"Plan1";#N/A,#N/A,FALSE,"Plan2"}</definedName>
    <definedName name="ZEZE" localSheetId="0">#REF!</definedName>
    <definedName name="ZEZE">#REF!</definedName>
    <definedName name="ZIN" localSheetId="0">#REF!</definedName>
    <definedName name="ZIN">#REF!</definedName>
    <definedName name="ZINS" localSheetId="0">#REF!</definedName>
    <definedName name="ZINS">#REF!</definedName>
    <definedName name="ZSADF" localSheetId="0" hidden="1">{#N/A,#N/A,FALSE,"Plan1";#N/A,#N/A,FALSE,"Plan2"}</definedName>
    <definedName name="ZSADF" hidden="1">{#N/A,#N/A,FALSE,"Plan1";#N/A,#N/A,FALSE,"Plan2"}</definedName>
    <definedName name="zsads" localSheetId="0" hidden="1">{#N/A,#N/A,FALSE,"Plan1";#N/A,#N/A,FALSE,"Plan2"}</definedName>
    <definedName name="zsads" hidden="1">{#N/A,#N/A,FALSE,"Plan1";#N/A,#N/A,FALSE,"Plan2"}</definedName>
    <definedName name="ZSDFSETR" localSheetId="0" hidden="1">#REF!</definedName>
    <definedName name="ZSDFSETR" hidden="1">#REF!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0" hidden="1">{#N/A,#N/A,FALSE,"Plan1";#N/A,#N/A,FALSE,"Plan2"}</definedName>
    <definedName name="zxccdf" hidden="1">{#N/A,#N/A,FALSE,"Plan1";#N/A,#N/A,FALSE,"Plan2"}</definedName>
    <definedName name="zxcdsf" localSheetId="0" hidden="1">#REF!</definedName>
    <definedName name="zxcdsf" hidden="1">#REF!</definedName>
    <definedName name="zxcfdstrrt" localSheetId="0" hidden="1">{#N/A,#N/A,FALSE,"Plan1";#N/A,#N/A,FALSE,"Plan2"}</definedName>
    <definedName name="zxcfdstrrt" hidden="1">{#N/A,#N/A,FALSE,"Plan1";#N/A,#N/A,FALSE,"Plan2"}</definedName>
    <definedName name="zxcx" localSheetId="0" hidden="1">{#N/A,#N/A,FALSE,"Plan1";#N/A,#N/A,FALSE,"Plan2"}</definedName>
    <definedName name="zxcx" hidden="1">{#N/A,#N/A,FALSE,"Plan1";#N/A,#N/A,FALSE,"Plan2"}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0" hidden="1">{#N/A,#N/A,FALSE,"Plan1";#N/A,#N/A,FALSE,"Plan2"}</definedName>
    <definedName name="ZXFHDFRHDF" hidden="1">{#N/A,#N/A,FALSE,"Plan1";#N/A,#N/A,FALSE,"Plan2"}</definedName>
    <definedName name="ZZ" localSheetId="0">#REF!</definedName>
    <definedName name="ZZ">#REF!</definedName>
    <definedName name="zzdftr" localSheetId="0" hidden="1">{#N/A,#N/A,FALSE,"Plan1";#N/A,#N/A,FALSE,"Plan2"}</definedName>
    <definedName name="zzdftr" hidden="1">{#N/A,#N/A,FALSE,"Plan1";#N/A,#N/A,FALSE,"Plan2"}</definedName>
    <definedName name="zzz" localSheetId="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>#REF!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0" hidden="1">{"'장비'!$A$3:$M$12"}</definedName>
    <definedName name="ㄱㄷㄱㄷㄱㄱㅎㄺㄷ" hidden="1">{"'장비'!$A$3:$M$12"}</definedName>
    <definedName name="가나다" hidden="1">#REF!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localSheetId="0" hidden="1">#REF!</definedName>
    <definedName name="견적조건" hidden="1">#REF!</definedName>
    <definedName name="계약고햔황2" localSheetId="0" hidden="1">#REF!</definedName>
    <definedName name="계약고햔황2" hidden="1">#REF!</definedName>
    <definedName name="계약고현황2" localSheetId="0" hidden="1">#REF!</definedName>
    <definedName name="계약고현황2" hidden="1">#REF!</definedName>
    <definedName name="고문" localSheetId="0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0" hidden="1">{#N/A,#N/A,FALSE,"ENG'G(보호계전기)"}</definedName>
    <definedName name="공급구분표_수정" hidden="1">{#N/A,#N/A,FALSE,"ENG'G(보호계전기)"}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localSheetId="0" hidden="1">#REF!</definedName>
    <definedName name="ㄴㄴㄴㄴ" hidden="1">#REF!</definedName>
    <definedName name="내역" localSheetId="0" hidden="1">{#N/A,#N/A,FALSE,"CCTV"}</definedName>
    <definedName name="내역" hidden="1">{#N/A,#N/A,FALSE,"CCTV"}</definedName>
    <definedName name="ㄷㄳ" localSheetId="0" hidden="1">{"'장비'!$A$3:$M$12"}</definedName>
    <definedName name="ㄷㄳ" hidden="1">{"'장비'!$A$3:$M$12"}</definedName>
    <definedName name="ㄷㄷㄷㄷ" localSheetId="0" hidden="1">{"'장비'!$A$3:$M$12"}</definedName>
    <definedName name="ㄷㄷㄷㄷ" hidden="1">{"'장비'!$A$3:$M$12"}</definedName>
    <definedName name="ㄷㅈㅂㄷ" localSheetId="0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localSheetId="0" hidden="1">{"'장비'!$A$3:$M$12"}</definedName>
    <definedName name="ㄹㄹ" hidden="1">{"'장비'!$A$3:$M$12"}</definedName>
    <definedName name="ㄹㄹㄹ" hidden="1">#REF!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0" hidden="1">{#N/A,#N/A,FALSE,"현장 NCR 분석";#N/A,#N/A,FALSE,"현장품질감사";#N/A,#N/A,FALSE,"현장품질감사"}</definedName>
    <definedName name="러러러" hidden="1">{#N/A,#N/A,FALSE,"현장 NCR 분석";#N/A,#N/A,FALSE,"현장품질감사";#N/A,#N/A,FALSE,"현장품질감사"}</definedName>
    <definedName name="ㅁ" localSheetId="0" hidden="1">{#N/A,#N/A,FALSE,"명세표"}</definedName>
    <definedName name="ㅁ" hidden="1">{#N/A,#N/A,FALSE,"명세표"}</definedName>
    <definedName name="ㅁㄱ해ㅜ5" localSheetId="0" hidden="1">#REF!</definedName>
    <definedName name="ㅁㄱ해ㅜ5" hidden="1">#REF!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0" hidden="1">{#N/A,#N/A,FALSE,"명세표"}</definedName>
    <definedName name="ㅁㅁ" hidden="1">{#N/A,#N/A,FALSE,"명세표"}</definedName>
    <definedName name="ㅁㅁㅁ" localSheetId="0" hidden="1">#REF!</definedName>
    <definedName name="ㅁㅁㅁ" hidden="1">#REF!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0" hidden="1">{#N/A,#N/A,FALSE,"명세표"}</definedName>
    <definedName name="머" hidden="1">{#N/A,#N/A,FALSE,"명세표"}</definedName>
    <definedName name="ㅂㅂㅂㅂ" localSheetId="0" hidden="1">{#N/A,#N/A,FALSE,"명세표"}</definedName>
    <definedName name="ㅂㅂㅂㅂ" hidden="1">{#N/A,#N/A,FALSE,"명세표"}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0" hidden="1">{"'장비'!$A$3:$M$12"}</definedName>
    <definedName name="ㅂㅈㄱㅂㅈㄷㄱ" hidden="1">{"'장비'!$A$3:$M$12"}</definedName>
    <definedName name="ㅂㅈㄷ" localSheetId="0" hidden="1">{"'장비'!$A$3:$M$12"}</definedName>
    <definedName name="ㅂㅈㄷ" hidden="1">{"'장비'!$A$3:$M$12"}</definedName>
    <definedName name="ㅂㅈㄷㄷㅂㅈㅈㅂ" localSheetId="0" hidden="1">{"'장비'!$A$3:$M$12"}</definedName>
    <definedName name="ㅂㅈㄷㄷㅂㅈㅈㅂ" hidden="1">{"'장비'!$A$3:$M$12"}</definedName>
    <definedName name="ㅂㅈㄷㅂㅈ" localSheetId="0" hidden="1">{"'장비'!$A$3:$M$12"}</definedName>
    <definedName name="ㅂㅈㄷㅂㅈ" hidden="1">{"'장비'!$A$3:$M$12"}</definedName>
    <definedName name="ㅂㅈㄷㅂㅈㅈㅂㄷ" localSheetId="0" hidden="1">{"'장비'!$A$3:$M$12"}</definedName>
    <definedName name="ㅂㅈㄷㅂㅈㅈㅂㄷ" hidden="1">{"'장비'!$A$3:$M$12"}</definedName>
    <definedName name="ㅂㅈㄷㅈㅂㄷ" localSheetId="0" hidden="1">{"'장비'!$A$3:$M$12"}</definedName>
    <definedName name="ㅂㅈㄷㅈㅂㄷ" hidden="1">{"'장비'!$A$3:$M$12"}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0" hidden="1">#REF!</definedName>
    <definedName name="보충" hidden="1">#REF!</definedName>
    <definedName name="보호" localSheetId="0" hidden="1">{#N/A,#N/A,FALSE,"ENG'G(보호계전기)"}</definedName>
    <definedName name="보호" hidden="1">{#N/A,#N/A,FALSE,"ENG'G(보호계전기)"}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0" hidden="1">#REF!</definedName>
    <definedName name="부대공사" hidden="1">#REF!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0" hidden="1">{"'장비'!$A$3:$M$12"}</definedName>
    <definedName name="ㅅㄱㄱㄷ" hidden="1">{"'장비'!$A$3:$M$12"}</definedName>
    <definedName name="ㅅㅅㅅㅅㅅ" localSheetId="0" hidden="1">{"'장비'!$A$3:$M$12"}</definedName>
    <definedName name="ㅅㅅㅅㅅㅅ" hidden="1">{"'장비'!$A$3:$M$12"}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0" hidden="1">#REF!</definedName>
    <definedName name="사업계획수정" hidden="1">#REF!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0" hidden="1">#REF!</definedName>
    <definedName name="사업부양식2" hidden="1">#REF!</definedName>
    <definedName name="산출" localSheetId="0" hidden="1">#REF!</definedName>
    <definedName name="산출" hidden="1">#REF!</definedName>
    <definedName name="새안" localSheetId="0" hidden="1">{#N/A,#N/A,FALSE,"TABLE"}</definedName>
    <definedName name="새안" hidden="1">{#N/A,#N/A,FALSE,"TABLE"}</definedName>
    <definedName name="석항" localSheetId="0" hidden="1">{#N/A,#N/A,FALSE,"명세표"}</definedName>
    <definedName name="석항" hidden="1">{#N/A,#N/A,FALSE,"명세표"}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0" hidden="1">#REF!</definedName>
    <definedName name="손익계산서" hidden="1">#REF!</definedName>
    <definedName name="쇼ㅗㅎ로" localSheetId="0" hidden="1">{"'장비'!$A$3:$M$12"}</definedName>
    <definedName name="쇼ㅗㅎ로" hidden="1">{"'장비'!$A$3:$M$12"}</definedName>
    <definedName name="수" hidden="1">#REF!</definedName>
    <definedName name="수당" hidden="1">#N/A</definedName>
    <definedName name="신설" localSheetId="0" hidden="1">{#N/A,#N/A,FALSE,"명세표"}</definedName>
    <definedName name="신설" hidden="1">{#N/A,#N/A,FALSE,"명세표"}</definedName>
    <definedName name="실적총괄1" localSheetId="0" hidden="1">#REF!</definedName>
    <definedName name="실적총괄1" hidden="1">#REF!</definedName>
    <definedName name="실총" localSheetId="0" hidden="1">#REF!</definedName>
    <definedName name="실총" hidden="1">#REF!</definedName>
    <definedName name="ㅇㄹㄹ" localSheetId="0" hidden="1">#REF!</definedName>
    <definedName name="ㅇㄹㄹ" hidden="1">#REF!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localSheetId="0" hidden="1">#REF!</definedName>
    <definedName name="ㅇㅇㅇㅇ" hidden="1">#REF!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0" hidden="1">#REF!</definedName>
    <definedName name="이월" hidden="1">#REF!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0" hidden="1">{#N/A,#N/A,FALSE,"명세표"}</definedName>
    <definedName name="ㅈ" hidden="1">{#N/A,#N/A,FALSE,"명세표"}</definedName>
    <definedName name="ㅈㅈㅈㅈ" localSheetId="0" hidden="1">{#N/A,#N/A,FALSE,"명세표"}</definedName>
    <definedName name="ㅈㅈㅈㅈ" hidden="1">{#N/A,#N/A,FALSE,"명세표"}</definedName>
    <definedName name="자미" localSheetId="0" hidden="1">{#N/A,#N/A,FALSE,"명세표"}</definedName>
    <definedName name="자미" hidden="1">{#N/A,#N/A,FALSE,"명세표"}</definedName>
    <definedName name="자운" localSheetId="0" hidden="1">#REF!</definedName>
    <definedName name="자운" hidden="1">#REF!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0" hidden="1">#REF!</definedName>
    <definedName name="전계장금액" hidden="1">#REF!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0" hidden="1">#REF!</definedName>
    <definedName name="전선조장" hidden="1">#REF!</definedName>
    <definedName name="조직표현장" localSheetId="0" hidden="1">#REF!</definedName>
    <definedName name="조직표현장" hidden="1">#REF!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0" hidden="1">{#N/A,#N/A,FALSE,"ENG'G(보호계전기)"}</definedName>
    <definedName name="중량비교검토" hidden="1">{#N/A,#N/A,FALSE,"ENG'G(보호계전기)"}</definedName>
    <definedName name="집계" localSheetId="0" hidden="1">{#N/A,#N/A,FALSE,"명세표"}</definedName>
    <definedName name="집계" hidden="1">{#N/A,#N/A,FALSE,"명세표"}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0" hidden="1">{#N/A,#N/A,FALSE,"명세표"}</definedName>
    <definedName name="ㅋㅁ" hidden="1">{#N/A,#N/A,FALSE,"명세표"}</definedName>
    <definedName name="ㅋㅋㅋ" localSheetId="0" hidden="1">{#N/A,#N/A,FALSE,"명세표"}</definedName>
    <definedName name="ㅋㅋㅋ" hidden="1">{#N/A,#N/A,FALSE,"명세표"}</definedName>
    <definedName name="ㅌㅌ" localSheetId="0" hidden="1">{#N/A,#N/A,FALSE,"명세표"}</definedName>
    <definedName name="ㅌㅌ" hidden="1">{#N/A,#N/A,FALSE,"명세표"}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0" hidden="1">{"'장비'!$A$3:$M$12"}</definedName>
    <definedName name="ㅎㅎㅎㅎ" hidden="1">{"'장비'!$A$3:$M$12"}</definedName>
    <definedName name="하하하" localSheetId="0" hidden="1">{#N/A,#N/A,FALSE,"명세표"}</definedName>
    <definedName name="하하하" hidden="1">{#N/A,#N/A,FALSE,"명세표"}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0" hidden="1">{#N/A,#N/A,FALSE,"명세표"}</definedName>
    <definedName name="호호호" hidden="1">{#N/A,#N/A,FALSE,"명세표"}</definedName>
    <definedName name="ㅏㅏㅏ" localSheetId="0" hidden="1">{#N/A,#N/A,FALSE,"명세표"}</definedName>
    <definedName name="ㅏㅏㅏ" hidden="1">{#N/A,#N/A,FALSE,"명세표"}</definedName>
    <definedName name="ㅔㅔ" localSheetId="0" hidden="1">{#N/A,#N/A,FALSE,"명세표"}</definedName>
    <definedName name="ㅔㅔ" hidden="1">{#N/A,#N/A,FALSE,"명세표"}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0" hidden="1">{"'장비'!$A$3:$M$12"}</definedName>
    <definedName name="ㅗ홓ㅎ로" hidden="1">{"'장비'!$A$3:$M$12"}</definedName>
    <definedName name="ㅗㅗ" localSheetId="0" hidden="1">{#N/A,#N/A,FALSE,"명세표"}</definedName>
    <definedName name="ㅗㅗ" hidden="1">{#N/A,#N/A,FALSE,"명세표"}</definedName>
    <definedName name="ㅗㅗㅗㅗㅗ" localSheetId="0" hidden="1">{"'장비'!$A$3:$M$12"}</definedName>
    <definedName name="ㅗㅗㅗㅗㅗ" hidden="1">{"'장비'!$A$3:$M$12"}</definedName>
    <definedName name="ㅛ" localSheetId="0" hidden="1">{"'장비'!$A$3:$M$12"}</definedName>
    <definedName name="ㅛ" hidden="1">{"'장비'!$A$3:$M$12"}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0" hidden="1">{"'장비'!$A$3:$M$12"}</definedName>
    <definedName name="ㅛㅛㅛ" hidden="1">{"'장비'!$A$3:$M$12"}</definedName>
    <definedName name="ㅜ" localSheetId="0" hidden="1">{#N/A,#N/A,FALSE,"명세표"}</definedName>
    <definedName name="ㅜ" hidden="1">{#N/A,#N/A,FALSE,"명세표"}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0" hidden="1">{#N/A,#N/A,FALSE,"명세표"}</definedName>
    <definedName name="ㅡㅡ" hidden="1">{#N/A,#N/A,FALSE,"명세표"}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60" l="1"/>
  <c r="D30" i="58"/>
  <c r="F17" i="62"/>
  <c r="F10" i="62"/>
  <c r="C10" i="67"/>
  <c r="J12" i="63"/>
  <c r="J13" i="63"/>
  <c r="J11" i="63"/>
  <c r="J10" i="63"/>
  <c r="D37" i="49"/>
  <c r="H38" i="49"/>
  <c r="D23" i="55"/>
  <c r="Q17" i="55"/>
  <c r="R17" i="55" s="1"/>
  <c r="R18" i="55" s="1"/>
  <c r="R16" i="55"/>
  <c r="Q16" i="55"/>
  <c r="P17" i="55"/>
  <c r="P16" i="55"/>
  <c r="B23" i="55"/>
  <c r="B22" i="55"/>
  <c r="B15" i="55"/>
  <c r="B19" i="63" l="1"/>
  <c r="K59" i="48" l="1"/>
  <c r="C14" i="67"/>
  <c r="D9" i="60"/>
  <c r="L16" i="65"/>
  <c r="J16" i="65"/>
  <c r="I16" i="65"/>
  <c r="D13" i="64"/>
  <c r="B18" i="51"/>
  <c r="J39" i="49" l="1"/>
  <c r="G36" i="49"/>
  <c r="H37" i="49"/>
  <c r="I36" i="49"/>
  <c r="H36" i="49"/>
  <c r="I31" i="21"/>
  <c r="I30" i="21"/>
  <c r="I29" i="21"/>
  <c r="K32" i="21"/>
  <c r="I28" i="21"/>
  <c r="L21" i="21"/>
  <c r="J21" i="21"/>
  <c r="K22" i="21"/>
  <c r="I21" i="21"/>
  <c r="I20" i="21"/>
  <c r="I19" i="21"/>
  <c r="I16" i="21"/>
  <c r="I14" i="21"/>
  <c r="K60" i="48"/>
  <c r="L60" i="48" s="1"/>
  <c r="I57" i="48"/>
  <c r="F57" i="48"/>
  <c r="J60" i="48"/>
  <c r="J56" i="48"/>
  <c r="L56" i="48"/>
  <c r="I53" i="48"/>
  <c r="K56" i="48"/>
  <c r="I58" i="48"/>
  <c r="I55" i="48"/>
  <c r="I54" i="48"/>
  <c r="I52" i="48"/>
  <c r="I51" i="48"/>
  <c r="I21" i="61"/>
  <c r="J21" i="61" s="1"/>
  <c r="I20" i="61"/>
  <c r="I19" i="61"/>
  <c r="J19" i="61" s="1"/>
  <c r="I18" i="61"/>
  <c r="J18" i="61" s="1"/>
  <c r="I17" i="61"/>
  <c r="I16" i="61"/>
  <c r="J16" i="61" s="1"/>
  <c r="I15" i="61"/>
  <c r="J15" i="61" s="1"/>
  <c r="I14" i="61"/>
  <c r="I13" i="61"/>
  <c r="J13" i="61" s="1"/>
  <c r="I12" i="61"/>
  <c r="J12" i="61" s="1"/>
  <c r="I11" i="61"/>
  <c r="J11" i="61" s="1"/>
  <c r="I10" i="61"/>
  <c r="J10" i="61" s="1"/>
  <c r="L22" i="61"/>
  <c r="L21" i="61"/>
  <c r="L20" i="61"/>
  <c r="L19" i="61"/>
  <c r="L18" i="61"/>
  <c r="L17" i="61"/>
  <c r="L16" i="61"/>
  <c r="L15" i="61"/>
  <c r="L14" i="61"/>
  <c r="L13" i="61"/>
  <c r="L12" i="61"/>
  <c r="L11" i="61"/>
  <c r="L10" i="61"/>
  <c r="K22" i="61"/>
  <c r="J14" i="61"/>
  <c r="J17" i="61"/>
  <c r="J20" i="61"/>
  <c r="J22" i="61"/>
  <c r="I20" i="51"/>
  <c r="I19" i="51"/>
  <c r="I18" i="51"/>
  <c r="L16" i="51"/>
  <c r="L17" i="51"/>
  <c r="L18" i="51"/>
  <c r="L15" i="51"/>
  <c r="J18" i="51"/>
  <c r="J16" i="51"/>
  <c r="J15" i="51"/>
  <c r="I17" i="51"/>
  <c r="J17" i="51" s="1"/>
  <c r="G17" i="53"/>
  <c r="J17" i="53"/>
  <c r="D23" i="53"/>
  <c r="D24" i="53"/>
  <c r="I16" i="53"/>
  <c r="I15" i="53"/>
  <c r="J27" i="53"/>
  <c r="J24" i="53"/>
  <c r="J23" i="53"/>
  <c r="J22" i="53"/>
  <c r="J21" i="53"/>
  <c r="J20" i="53"/>
  <c r="J18" i="53"/>
  <c r="J16" i="53"/>
  <c r="J15" i="53"/>
  <c r="G27" i="53"/>
  <c r="G24" i="53"/>
  <c r="G23" i="53"/>
  <c r="G22" i="53"/>
  <c r="G12" i="64"/>
  <c r="L15" i="65"/>
  <c r="G19" i="65"/>
  <c r="G18" i="65"/>
  <c r="G17" i="65"/>
  <c r="G16" i="65"/>
  <c r="G14" i="65"/>
  <c r="G13" i="65"/>
  <c r="G12" i="65"/>
  <c r="G11" i="65"/>
  <c r="G10" i="65"/>
  <c r="G34" i="55"/>
  <c r="G17" i="55"/>
  <c r="G30" i="55"/>
  <c r="G22" i="55"/>
  <c r="G15" i="55"/>
  <c r="J22" i="55"/>
  <c r="J15" i="55"/>
  <c r="I22" i="55"/>
  <c r="J30" i="55"/>
  <c r="I30" i="55"/>
  <c r="L30" i="55"/>
  <c r="L22" i="55"/>
  <c r="L15" i="55"/>
  <c r="I18" i="65"/>
  <c r="J18" i="65" s="1"/>
  <c r="I17" i="65"/>
  <c r="J17" i="65" s="1"/>
  <c r="I19" i="65"/>
  <c r="I14" i="65"/>
  <c r="J14" i="65" s="1"/>
  <c r="I13" i="65"/>
  <c r="J13" i="65" s="1"/>
  <c r="I12" i="65"/>
  <c r="I11" i="65"/>
  <c r="J11" i="65" s="1"/>
  <c r="L19" i="65"/>
  <c r="L18" i="65"/>
  <c r="L17" i="65"/>
  <c r="L14" i="65"/>
  <c r="L13" i="65"/>
  <c r="L12" i="65"/>
  <c r="L11" i="65"/>
  <c r="L10" i="65"/>
  <c r="J12" i="65"/>
  <c r="J19" i="65"/>
  <c r="L16" i="53"/>
  <c r="L17" i="53"/>
  <c r="L18" i="53"/>
  <c r="L19" i="53"/>
  <c r="L20" i="53"/>
  <c r="L21" i="53"/>
  <c r="L22" i="53"/>
  <c r="L23" i="53"/>
  <c r="L24" i="53"/>
  <c r="L25" i="53"/>
  <c r="L26" i="53"/>
  <c r="L27" i="53"/>
  <c r="L15" i="53"/>
  <c r="J19" i="53"/>
  <c r="J25" i="53"/>
  <c r="J26" i="53"/>
  <c r="J12" i="64"/>
  <c r="L12" i="64"/>
  <c r="I10" i="65"/>
  <c r="J10" i="65" s="1"/>
  <c r="F13" i="64"/>
  <c r="F14" i="64" s="1"/>
  <c r="I27" i="53"/>
  <c r="D27" i="53"/>
  <c r="I24" i="53"/>
  <c r="I23" i="53"/>
  <c r="K18" i="53"/>
  <c r="I18" i="53"/>
  <c r="D18" i="53"/>
  <c r="K16" i="53"/>
  <c r="D16" i="53"/>
  <c r="K15" i="53"/>
  <c r="D15" i="53"/>
  <c r="D19" i="65"/>
  <c r="D14" i="65"/>
  <c r="D10" i="65"/>
  <c r="E48" i="68"/>
  <c r="D17" i="65"/>
  <c r="E50" i="68"/>
  <c r="D13" i="65"/>
  <c r="D11" i="65"/>
  <c r="B24" i="53"/>
  <c r="B23" i="53"/>
  <c r="G19" i="53"/>
  <c r="D22" i="53"/>
  <c r="C39" i="53"/>
  <c r="C40" i="53"/>
  <c r="C41" i="53"/>
  <c r="C42" i="53"/>
  <c r="C43" i="53"/>
  <c r="C44" i="53"/>
  <c r="C38" i="53"/>
  <c r="B21" i="53"/>
  <c r="G21" i="53" s="1"/>
  <c r="B20" i="53"/>
  <c r="B43" i="53"/>
  <c r="C20" i="63"/>
  <c r="C21" i="63"/>
  <c r="C22" i="63"/>
  <c r="B22" i="63" s="1"/>
  <c r="C23" i="63"/>
  <c r="C24" i="63"/>
  <c r="B24" i="63" s="1"/>
  <c r="C25" i="63"/>
  <c r="B25" i="63" s="1"/>
  <c r="C26" i="63"/>
  <c r="B26" i="63" s="1"/>
  <c r="C27" i="63"/>
  <c r="B27" i="63" s="1"/>
  <c r="C28" i="63"/>
  <c r="B28" i="63" s="1"/>
  <c r="C29" i="63"/>
  <c r="B29" i="63" s="1"/>
  <c r="C30" i="63"/>
  <c r="B30" i="63" s="1"/>
  <c r="C31" i="63"/>
  <c r="B31" i="63" s="1"/>
  <c r="C32" i="63"/>
  <c r="B32" i="63" s="1"/>
  <c r="D11" i="63"/>
  <c r="G11" i="63" s="1"/>
  <c r="D10" i="63"/>
  <c r="G10" i="63" s="1"/>
  <c r="B23" i="63"/>
  <c r="B19" i="51"/>
  <c r="L19" i="51" s="1"/>
  <c r="D30" i="55"/>
  <c r="D22" i="55"/>
  <c r="G23" i="55"/>
  <c r="B30" i="55"/>
  <c r="B17" i="51"/>
  <c r="G23" i="61"/>
  <c r="G22" i="61"/>
  <c r="G21" i="61"/>
  <c r="G20" i="61"/>
  <c r="G19" i="61"/>
  <c r="G18" i="61"/>
  <c r="G17" i="61"/>
  <c r="G16" i="61"/>
  <c r="G15" i="61"/>
  <c r="G14" i="61"/>
  <c r="G13" i="61"/>
  <c r="G12" i="61"/>
  <c r="G11" i="61"/>
  <c r="M10" i="63" l="1"/>
  <c r="M11" i="63"/>
  <c r="K10" i="63"/>
  <c r="K11" i="63"/>
  <c r="D13" i="63"/>
  <c r="B20" i="63"/>
  <c r="J23" i="55"/>
  <c r="J19" i="51"/>
  <c r="L23" i="55"/>
  <c r="B17" i="53"/>
  <c r="D22" i="61"/>
  <c r="D21" i="61"/>
  <c r="D20" i="61"/>
  <c r="D19" i="61"/>
  <c r="D18" i="61"/>
  <c r="D16" i="61"/>
  <c r="D12" i="61"/>
  <c r="D17" i="61"/>
  <c r="D13" i="61"/>
  <c r="D11" i="61"/>
  <c r="G13" i="63" l="1"/>
  <c r="M13" i="63"/>
  <c r="K13" i="63"/>
  <c r="B16" i="53"/>
  <c r="B22" i="53" s="1"/>
  <c r="B31" i="58"/>
  <c r="D30" i="59" l="1"/>
  <c r="N30" i="67"/>
  <c r="L30" i="67"/>
  <c r="K30" i="67"/>
  <c r="J30" i="67"/>
  <c r="H30" i="67"/>
  <c r="D15" i="61" l="1"/>
  <c r="F59" i="48"/>
  <c r="F37" i="49" l="1"/>
  <c r="F9" i="60" l="1"/>
  <c r="G16" i="53"/>
  <c r="G15" i="53"/>
  <c r="F12" i="64" l="1"/>
  <c r="B45" i="53"/>
  <c r="B37" i="53"/>
  <c r="B36" i="53"/>
  <c r="B35" i="53"/>
  <c r="B38" i="53"/>
  <c r="B39" i="53"/>
  <c r="B40" i="53"/>
  <c r="B41" i="53"/>
  <c r="B42" i="53"/>
  <c r="B44" i="53"/>
  <c r="B27" i="53" l="1"/>
  <c r="C31" i="59" l="1"/>
  <c r="F19" i="65"/>
  <c r="J3" i="49" l="1"/>
  <c r="J4" i="49" s="1"/>
  <c r="B8" i="59"/>
  <c r="C25" i="59"/>
  <c r="J5" i="49" l="1"/>
  <c r="D36" i="49" s="1"/>
  <c r="D39" i="49"/>
  <c r="B21" i="63"/>
  <c r="D12" i="63" s="1"/>
  <c r="B18" i="53"/>
  <c r="G18" i="53" s="1"/>
  <c r="G12" i="63" l="1"/>
  <c r="G14" i="63" s="1"/>
  <c r="M12" i="63"/>
  <c r="K12" i="63"/>
  <c r="G39" i="49"/>
  <c r="K39" i="49"/>
  <c r="D38" i="49"/>
  <c r="G37" i="49"/>
  <c r="I37" i="49"/>
  <c r="F20" i="61"/>
  <c r="D14" i="61"/>
  <c r="G38" i="49" l="1"/>
  <c r="I38" i="49"/>
  <c r="D12" i="64"/>
  <c r="L13" i="64" l="1"/>
  <c r="J13" i="64"/>
  <c r="G6" i="48" l="1"/>
  <c r="E26" i="46" l="1"/>
  <c r="E23" i="46"/>
  <c r="E22" i="46"/>
  <c r="E25" i="46" s="1"/>
  <c r="D53" i="48" s="1"/>
  <c r="E20" i="46"/>
  <c r="E19" i="46"/>
  <c r="E16" i="46"/>
  <c r="E13" i="46"/>
  <c r="E10" i="46"/>
  <c r="E8" i="46"/>
  <c r="E68" i="67"/>
  <c r="E63" i="67"/>
  <c r="E21" i="46" s="1"/>
  <c r="E54" i="67"/>
  <c r="N29" i="67"/>
  <c r="L29" i="67"/>
  <c r="K29" i="67"/>
  <c r="J29" i="67"/>
  <c r="H29" i="67"/>
  <c r="N28" i="67"/>
  <c r="L28" i="67"/>
  <c r="K28" i="67"/>
  <c r="J28" i="67"/>
  <c r="H28" i="67"/>
  <c r="C18" i="67" s="1"/>
  <c r="E12" i="46" s="1"/>
  <c r="N27" i="67"/>
  <c r="L27" i="67"/>
  <c r="K27" i="67"/>
  <c r="J27" i="67"/>
  <c r="H27" i="67"/>
  <c r="N26" i="67"/>
  <c r="L26" i="67"/>
  <c r="K26" i="67"/>
  <c r="J26" i="67"/>
  <c r="H26" i="67"/>
  <c r="N25" i="67"/>
  <c r="L25" i="67"/>
  <c r="K25" i="67"/>
  <c r="J25" i="67"/>
  <c r="H25" i="67"/>
  <c r="N24" i="67"/>
  <c r="L24" i="67"/>
  <c r="K24" i="67"/>
  <c r="J24" i="67"/>
  <c r="H24" i="67"/>
  <c r="K22" i="67"/>
  <c r="F18" i="67"/>
  <c r="E14" i="46" s="1"/>
  <c r="C12" i="67"/>
  <c r="F10" i="67"/>
  <c r="E15" i="46" s="1"/>
  <c r="E9" i="46"/>
  <c r="L53" i="48" l="1"/>
  <c r="J53" i="48"/>
  <c r="S18" i="55"/>
  <c r="D40" i="59"/>
  <c r="G25" i="53"/>
  <c r="G26" i="53"/>
  <c r="D19" i="59"/>
  <c r="D31" i="58"/>
  <c r="E31" i="58" s="1"/>
  <c r="D13" i="62"/>
  <c r="F24" i="62"/>
  <c r="B9" i="59"/>
  <c r="F12" i="67"/>
  <c r="E11" i="46" s="1"/>
  <c r="D15" i="62"/>
  <c r="D54" i="48"/>
  <c r="B7" i="59"/>
  <c r="D16" i="65"/>
  <c r="D25" i="59"/>
  <c r="G28" i="53" l="1"/>
  <c r="J54" i="48"/>
  <c r="L54" i="48"/>
  <c r="C27" i="59"/>
  <c r="D27" i="59" s="1"/>
  <c r="D24" i="55" l="1"/>
  <c r="D18" i="65"/>
  <c r="D15" i="55" l="1"/>
  <c r="G31" i="55" l="1"/>
  <c r="G33" i="55"/>
  <c r="D30" i="48"/>
  <c r="D28" i="48"/>
  <c r="D29" i="48" s="1"/>
  <c r="D26" i="48"/>
  <c r="D27" i="48" s="1"/>
  <c r="G27" i="48" s="1"/>
  <c r="D25" i="48"/>
  <c r="G25" i="48" s="1"/>
  <c r="D24" i="48"/>
  <c r="G24" i="48" s="1"/>
  <c r="G32" i="55" l="1"/>
  <c r="H25" i="48"/>
  <c r="F28" i="48"/>
  <c r="B32" i="21"/>
  <c r="G26" i="48"/>
  <c r="F29" i="21"/>
  <c r="F19" i="21"/>
  <c r="E30" i="47"/>
  <c r="B15" i="47" l="1"/>
  <c r="D10" i="60" l="1"/>
  <c r="D33" i="59"/>
  <c r="D32" i="59" l="1"/>
  <c r="D29" i="21"/>
  <c r="D30" i="21" l="1"/>
  <c r="J30" i="21" s="1"/>
  <c r="J29" i="21"/>
  <c r="G29" i="21"/>
  <c r="D10" i="66"/>
  <c r="D31" i="59"/>
  <c r="D11" i="62"/>
  <c r="C34" i="59" l="1"/>
  <c r="D34" i="59" s="1"/>
  <c r="D34" i="61"/>
  <c r="D33" i="61"/>
  <c r="D32" i="61"/>
  <c r="D31" i="61"/>
  <c r="D30" i="61"/>
  <c r="D29" i="61"/>
  <c r="D28" i="61"/>
  <c r="D57" i="48"/>
  <c r="D31" i="21"/>
  <c r="D10" i="21"/>
  <c r="J10" i="21" l="1"/>
  <c r="L10" i="21"/>
  <c r="G31" i="21"/>
  <c r="J31" i="21"/>
  <c r="D58" i="48"/>
  <c r="G58" i="48" s="1"/>
  <c r="L57" i="48"/>
  <c r="G57" i="48"/>
  <c r="J57" i="48"/>
  <c r="D17" i="21"/>
  <c r="D22" i="21"/>
  <c r="D15" i="21"/>
  <c r="D13" i="21"/>
  <c r="D11" i="21"/>
  <c r="D35" i="61"/>
  <c r="F60" i="48"/>
  <c r="G60" i="48" s="1"/>
  <c r="D59" i="48"/>
  <c r="F54" i="48"/>
  <c r="D55" i="48"/>
  <c r="G53" i="48"/>
  <c r="D52" i="48"/>
  <c r="F56" i="48"/>
  <c r="J11" i="21" l="1"/>
  <c r="L11" i="21"/>
  <c r="D14" i="21"/>
  <c r="J13" i="21"/>
  <c r="L13" i="21"/>
  <c r="D16" i="21"/>
  <c r="L15" i="21"/>
  <c r="J15" i="21"/>
  <c r="J22" i="21"/>
  <c r="L22" i="21"/>
  <c r="J17" i="21"/>
  <c r="L17" i="21"/>
  <c r="G55" i="48"/>
  <c r="J55" i="48"/>
  <c r="L55" i="48"/>
  <c r="G59" i="48"/>
  <c r="J59" i="48"/>
  <c r="L59" i="48"/>
  <c r="D51" i="48"/>
  <c r="J52" i="48"/>
  <c r="L52" i="48"/>
  <c r="J58" i="48"/>
  <c r="L58" i="48"/>
  <c r="G56" i="48"/>
  <c r="G54" i="48"/>
  <c r="G52" i="48"/>
  <c r="L16" i="21" l="1"/>
  <c r="J16" i="21"/>
  <c r="J14" i="21"/>
  <c r="L14" i="21"/>
  <c r="L51" i="48"/>
  <c r="J51" i="48"/>
  <c r="G51" i="48"/>
  <c r="G61" i="48" s="1"/>
  <c r="G64" i="48" s="1"/>
  <c r="D18" i="21" l="1"/>
  <c r="G18" i="21" l="1"/>
  <c r="J18" i="21"/>
  <c r="L18" i="21"/>
  <c r="D20" i="58"/>
  <c r="D21" i="58"/>
  <c r="G33" i="61" l="1"/>
  <c r="G32" i="61"/>
  <c r="F35" i="61"/>
  <c r="D36" i="61" l="1"/>
  <c r="G35" i="61"/>
  <c r="G31" i="61"/>
  <c r="F31" i="48"/>
  <c r="F16" i="48"/>
  <c r="F30" i="48"/>
  <c r="D15" i="48"/>
  <c r="D13" i="48"/>
  <c r="D14" i="48" s="1"/>
  <c r="D23" i="48"/>
  <c r="D22" i="48" s="1"/>
  <c r="D12" i="48"/>
  <c r="D11" i="48"/>
  <c r="G28" i="48" l="1"/>
  <c r="J31" i="61"/>
  <c r="J32" i="61" s="1"/>
  <c r="G16" i="51" l="1"/>
  <c r="D10" i="64"/>
  <c r="G15" i="51" l="1"/>
  <c r="D11" i="64"/>
  <c r="G11" i="62"/>
  <c r="D28" i="59"/>
  <c r="D26" i="59"/>
  <c r="B16" i="55" l="1"/>
  <c r="G10" i="66"/>
  <c r="G11" i="66"/>
  <c r="G12" i="66"/>
  <c r="G9" i="66"/>
  <c r="G13" i="66" s="1"/>
  <c r="D12" i="60"/>
  <c r="F12" i="60" s="1"/>
  <c r="D13" i="60"/>
  <c r="F13" i="60" s="1"/>
  <c r="D14" i="60"/>
  <c r="F14" i="60" s="1"/>
  <c r="D15" i="60"/>
  <c r="F15" i="60" s="1"/>
  <c r="D11" i="60"/>
  <c r="F11" i="60" s="1"/>
  <c r="F15" i="65"/>
  <c r="F13" i="65"/>
  <c r="G11" i="64"/>
  <c r="G10" i="64"/>
  <c r="G22" i="64"/>
  <c r="H22" i="64" s="1"/>
  <c r="I15" i="65" l="1"/>
  <c r="J15" i="65" s="1"/>
  <c r="G15" i="65"/>
  <c r="F16" i="60"/>
  <c r="G15" i="66"/>
  <c r="G16" i="55" l="1"/>
  <c r="H15" i="66"/>
  <c r="D29" i="59" l="1"/>
  <c r="D35" i="59" s="1"/>
  <c r="D32" i="58"/>
  <c r="E32" i="58" s="1"/>
  <c r="D33" i="58"/>
  <c r="E33" i="58" s="1"/>
  <c r="E30" i="58"/>
  <c r="D24" i="58"/>
  <c r="D22" i="58"/>
  <c r="D23" i="58"/>
  <c r="D19" i="58"/>
  <c r="D8" i="58"/>
  <c r="D9" i="58"/>
  <c r="D10" i="58"/>
  <c r="D11" i="58"/>
  <c r="D12" i="58"/>
  <c r="D13" i="58"/>
  <c r="D7" i="58"/>
  <c r="D18" i="59"/>
  <c r="D17" i="59"/>
  <c r="D16" i="59"/>
  <c r="D9" i="59"/>
  <c r="D8" i="59"/>
  <c r="F12" i="48"/>
  <c r="G12" i="48"/>
  <c r="D10" i="59" l="1"/>
  <c r="G34" i="61"/>
  <c r="D7" i="59"/>
  <c r="D25" i="58"/>
  <c r="E25" i="58" s="1"/>
  <c r="D11" i="59" l="1"/>
  <c r="D21" i="47"/>
  <c r="D22" i="47" s="1"/>
  <c r="F16" i="62" l="1"/>
  <c r="G16" i="62" s="1"/>
  <c r="G13" i="62"/>
  <c r="D14" i="62"/>
  <c r="G14" i="62" s="1"/>
  <c r="G30" i="61"/>
  <c r="G29" i="61"/>
  <c r="F13" i="48"/>
  <c r="G11" i="48"/>
  <c r="F45" i="48"/>
  <c r="G45" i="48" s="1"/>
  <c r="F44" i="48"/>
  <c r="D44" i="48"/>
  <c r="F42" i="48"/>
  <c r="D42" i="48"/>
  <c r="D43" i="48" s="1"/>
  <c r="G43" i="48" s="1"/>
  <c r="F41" i="48"/>
  <c r="D41" i="48"/>
  <c r="D40" i="48"/>
  <c r="G40" i="48" s="1"/>
  <c r="D39" i="48"/>
  <c r="G39" i="48" s="1"/>
  <c r="D38" i="48"/>
  <c r="G38" i="48" s="1"/>
  <c r="G31" i="48"/>
  <c r="G29" i="48"/>
  <c r="G23" i="48"/>
  <c r="K17" i="48"/>
  <c r="L17" i="48" s="1"/>
  <c r="G16" i="48"/>
  <c r="G21" i="21"/>
  <c r="F15" i="47"/>
  <c r="D30" i="47"/>
  <c r="F30" i="47" s="1"/>
  <c r="B39" i="49"/>
  <c r="D20" i="59"/>
  <c r="D41" i="59"/>
  <c r="D14" i="58"/>
  <c r="E14" i="58" s="1"/>
  <c r="D34" i="58"/>
  <c r="D43" i="59" l="1"/>
  <c r="D10" i="62"/>
  <c r="G10" i="62" s="1"/>
  <c r="G15" i="62"/>
  <c r="D17" i="62"/>
  <c r="G17" i="62" s="1"/>
  <c r="F18" i="60"/>
  <c r="F31" i="47"/>
  <c r="H30" i="47"/>
  <c r="G28" i="61"/>
  <c r="G36" i="61"/>
  <c r="G44" i="48"/>
  <c r="G41" i="48"/>
  <c r="D37" i="48"/>
  <c r="G37" i="48" s="1"/>
  <c r="G22" i="48"/>
  <c r="G42" i="48"/>
  <c r="G30" i="48"/>
  <c r="D10" i="48"/>
  <c r="G10" i="48" s="1"/>
  <c r="D36" i="58"/>
  <c r="G32" i="48" l="1"/>
  <c r="G37" i="61"/>
  <c r="G18" i="60"/>
  <c r="E43" i="59"/>
  <c r="E36" i="58"/>
  <c r="E38" i="58" s="1"/>
  <c r="G46" i="48"/>
  <c r="G40" i="49"/>
  <c r="G46" i="49" s="1"/>
  <c r="A28" i="53"/>
  <c r="D29" i="49" l="1"/>
  <c r="B29" i="49"/>
  <c r="F29" i="49" s="1"/>
  <c r="D27" i="49"/>
  <c r="G27" i="49" s="1"/>
  <c r="D26" i="49"/>
  <c r="G26" i="49" s="1"/>
  <c r="G20" i="49"/>
  <c r="D10" i="49"/>
  <c r="D11" i="49" s="1"/>
  <c r="D12" i="49" s="1"/>
  <c r="G12" i="49" s="1"/>
  <c r="G29" i="49" l="1"/>
  <c r="D28" i="49"/>
  <c r="G28" i="49" s="1"/>
  <c r="D15" i="49"/>
  <c r="D16" i="49" s="1"/>
  <c r="G16" i="49" s="1"/>
  <c r="D13" i="49"/>
  <c r="D14" i="49" s="1"/>
  <c r="F32" i="21"/>
  <c r="D32" i="21"/>
  <c r="L32" i="21" s="1"/>
  <c r="F15" i="48"/>
  <c r="D28" i="21"/>
  <c r="F16" i="47"/>
  <c r="G28" i="21" l="1"/>
  <c r="J28" i="21"/>
  <c r="D12" i="62"/>
  <c r="G15" i="48"/>
  <c r="G13" i="48"/>
  <c r="G32" i="21"/>
  <c r="G14" i="21"/>
  <c r="G30" i="21"/>
  <c r="G30" i="49"/>
  <c r="D17" i="49"/>
  <c r="B17" i="49"/>
  <c r="G14" i="49"/>
  <c r="G16" i="21"/>
  <c r="D9" i="47"/>
  <c r="G33" i="21" l="1"/>
  <c r="G12" i="62"/>
  <c r="G18" i="62" s="1"/>
  <c r="G20" i="62" s="1"/>
  <c r="F22" i="47"/>
  <c r="F21" i="47"/>
  <c r="F9" i="47"/>
  <c r="F10" i="47" s="1"/>
  <c r="D18" i="49"/>
  <c r="G18" i="49" s="1"/>
  <c r="D19" i="49"/>
  <c r="G19" i="49" s="1"/>
  <c r="G17" i="49"/>
  <c r="H20" i="62" l="1"/>
  <c r="H23" i="62" s="1"/>
  <c r="D23" i="47"/>
  <c r="F23" i="47" s="1"/>
  <c r="G21" i="49"/>
  <c r="H46" i="49" s="1"/>
  <c r="G14" i="48" l="1"/>
  <c r="G17" i="48" s="1"/>
  <c r="H11" i="36"/>
  <c r="H10" i="36"/>
  <c r="H9" i="36"/>
  <c r="H8" i="36"/>
  <c r="H7" i="36"/>
  <c r="H6" i="36"/>
  <c r="H12" i="36"/>
  <c r="H5" i="36"/>
  <c r="H64" i="48" l="1"/>
  <c r="H66" i="48" s="1"/>
  <c r="D12" i="21"/>
  <c r="G22" i="21"/>
  <c r="D19" i="21" l="1"/>
  <c r="J12" i="21"/>
  <c r="L12" i="21"/>
  <c r="G12" i="21"/>
  <c r="D20" i="21" l="1"/>
  <c r="J19" i="21"/>
  <c r="L19" i="21"/>
  <c r="D24" i="47"/>
  <c r="F24" i="47" s="1"/>
  <c r="F25" i="47" s="1"/>
  <c r="F33" i="47" s="1"/>
  <c r="G33" i="47" s="1"/>
  <c r="G19" i="21"/>
  <c r="G20" i="21"/>
  <c r="J20" i="21" l="1"/>
  <c r="L20" i="21"/>
  <c r="G10" i="61"/>
  <c r="G23" i="21"/>
  <c r="G36" i="21" s="1"/>
  <c r="D14" i="64" l="1"/>
  <c r="H36" i="21"/>
  <c r="H38" i="21" s="1"/>
  <c r="G14" i="64" l="1"/>
  <c r="J14" i="64"/>
  <c r="L14" i="64"/>
  <c r="G13" i="64"/>
  <c r="G15" i="64" s="1"/>
  <c r="G17" i="64" s="1"/>
  <c r="H17" i="64" s="1"/>
  <c r="H19" i="64" s="1"/>
  <c r="B24" i="55"/>
  <c r="G24" i="55" s="1"/>
  <c r="G25" i="55" s="1"/>
  <c r="G37" i="55" s="1"/>
  <c r="H37" i="55" s="1"/>
  <c r="H38" i="55" l="1"/>
  <c r="G18" i="51"/>
  <c r="D18" i="51"/>
  <c r="G20" i="53"/>
  <c r="G19" i="51" l="1"/>
  <c r="D19" i="51"/>
  <c r="B20" i="51"/>
  <c r="L20" i="51" l="1"/>
  <c r="J20" i="51"/>
  <c r="D20" i="51"/>
  <c r="G20" i="51"/>
  <c r="G16" i="63" l="1"/>
  <c r="H16" i="63" s="1"/>
  <c r="H19" i="63" s="1"/>
  <c r="G20" i="65" l="1"/>
  <c r="G22" i="65" s="1"/>
  <c r="H22" i="65" s="1"/>
  <c r="G31" i="53"/>
  <c r="H31" i="53" s="1"/>
  <c r="H33" i="53" s="1"/>
  <c r="G40" i="61" l="1"/>
  <c r="G17" i="51"/>
  <c r="G21" i="51" s="1"/>
  <c r="G24" i="51" s="1"/>
  <c r="H24" i="51" s="1"/>
  <c r="H26" i="51" s="1"/>
  <c r="D17" i="51"/>
  <c r="G43" i="61" l="1"/>
  <c r="H43" i="61" s="1"/>
  <c r="H40" i="6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5" authorId="0" shapeId="0" xr:uid="{255BEB06-A237-439E-9203-EB5CCD91F641}">
      <text>
        <r>
          <rPr>
            <b/>
            <sz val="9"/>
            <color indexed="81"/>
            <rFont val="Segoe UI"/>
            <family val="2"/>
          </rPr>
          <t>TEMPO DE EXECUÇÃO DO SUBOLO</t>
        </r>
      </text>
    </comment>
    <comment ref="B23" authorId="0" shapeId="0" xr:uid="{24E26533-CC5C-4581-B306-D492C246179F}">
      <text>
        <r>
          <rPr>
            <b/>
            <sz val="9"/>
            <color indexed="81"/>
            <rFont val="Segoe UI"/>
            <family val="2"/>
          </rPr>
          <t>EMPOLAMENTO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F38" authorId="0" shapeId="0" xr:uid="{B8E6D01F-BF9F-4E0E-ABB1-4922AC3F78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9" authorId="0" shapeId="0" xr:uid="{D8DF5BAD-98F5-43BE-892A-4FA5FBCF8F29}">
      <text>
        <r>
          <rPr>
            <sz val="9"/>
            <color indexed="81"/>
            <rFont val="Segoe UI"/>
            <family val="2"/>
          </rPr>
          <t>30% de perda</t>
        </r>
      </text>
    </comment>
    <comment ref="G29" authorId="0" shapeId="0" xr:uid="{D8202987-3B4C-45BF-B1C8-25FB05DD6B6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0" authorId="0" shapeId="0" xr:uid="{3898590B-17B9-40D2-A0C6-EB5B71EBE615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0" authorId="0" shapeId="0" xr:uid="{7A7D1CAA-C999-4F28-8CCA-47A34CF3D7FD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10" authorId="0" shapeId="0" xr:uid="{D074337E-44C5-47F9-A8F8-6780F729DF55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12" authorId="0" shapeId="0" xr:uid="{3A59A200-8D3A-4012-A665-0423F25263A7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12" authorId="0" shapeId="0" xr:uid="{9AE509B4-3181-43D0-BD36-6FD2A5B68901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13" authorId="0" shapeId="0" xr:uid="{42D385EB-E97A-4FF8-9E25-D21E9843584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14" authorId="0" shapeId="0" xr:uid="{393D86CF-22CF-427B-9EAE-26D0BC5FE81B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22" authorId="0" shapeId="0" xr:uid="{D3A1D1C5-76BD-4435-935F-C7E4F70B0C4A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22" authorId="0" shapeId="0" xr:uid="{907FE9F7-0D4F-46D9-A2C0-C5B647773F5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24" authorId="0" shapeId="0" xr:uid="{5D1C62E2-BA6D-4CB7-883E-07C5706393A9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24" authorId="0" shapeId="0" xr:uid="{75A226B3-F4D8-4436-B76B-327301C9F037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D25" authorId="0" shapeId="0" xr:uid="{9C29D9F4-3A90-45B0-8D33-A7A9EA7C25E0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28" authorId="0" shapeId="0" xr:uid="{F18420EE-B641-4973-84F8-1AFE5AFC91A5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29" authorId="0" shapeId="0" xr:uid="{CFAE0208-C94E-4720-A99A-392F739C2D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37" authorId="0" shapeId="0" xr:uid="{4ECB0ED9-6BCD-4505-A135-121E331946FF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37" authorId="0" shapeId="0" xr:uid="{81951B11-7B56-420D-ADD3-188465EF4D7F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42" authorId="0" shapeId="0" xr:uid="{E32EABE4-D24C-453B-9857-2D95D3F5FDBF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B51" authorId="0" shapeId="0" xr:uid="{A5B116E8-B653-4F25-BF25-2F85AD2A5008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51" authorId="0" shapeId="0" xr:uid="{AEB90F6D-E8CD-4DCC-9D59-AC6FB9ADEFF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53" authorId="0" shapeId="0" xr:uid="{7C934DBF-7F45-4419-B9D3-A49B4A1EC07E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57" authorId="0" shapeId="0" xr:uid="{B5E182E8-9D95-4E0F-AA19-F669731AA80B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58" authorId="0" shapeId="0" xr:uid="{09657194-E7DE-4003-90B7-F70AC1A0E4D4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G64" authorId="0" shapeId="0" xr:uid="{9AA28148-10EA-4C94-BDBE-5135BF849D19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40" authorId="0" shapeId="0" xr:uid="{F99D21DE-C680-41FC-80BD-D01F80D77713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sharedStrings.xml><?xml version="1.0" encoding="utf-8"?>
<sst xmlns="http://schemas.openxmlformats.org/spreadsheetml/2006/main" count="1732" uniqueCount="732">
  <si>
    <t>Obra</t>
  </si>
  <si>
    <t>Revisão</t>
  </si>
  <si>
    <t>m²</t>
  </si>
  <si>
    <t>un</t>
  </si>
  <si>
    <t>m</t>
  </si>
  <si>
    <t>Parâmetro</t>
  </si>
  <si>
    <t>R$ / AC</t>
  </si>
  <si>
    <t>AT</t>
  </si>
  <si>
    <t>AC</t>
  </si>
  <si>
    <t>NP</t>
  </si>
  <si>
    <t>NPT</t>
  </si>
  <si>
    <t>APT</t>
  </si>
  <si>
    <t>PPT</t>
  </si>
  <si>
    <t>NS</t>
  </si>
  <si>
    <t>Descrição</t>
  </si>
  <si>
    <t>Identificador</t>
  </si>
  <si>
    <t>Valor total</t>
  </si>
  <si>
    <t>TOTAL</t>
  </si>
  <si>
    <t>Quantidade</t>
  </si>
  <si>
    <t>ESCAVAÇÃO E REATERRO DE VALAS</t>
  </si>
  <si>
    <t>Escavação mecanizada para blocos e baldrames</t>
  </si>
  <si>
    <t>Reaterro para blocos e baldrames</t>
  </si>
  <si>
    <t>m³</t>
  </si>
  <si>
    <t>Armação</t>
  </si>
  <si>
    <t>Concreto</t>
  </si>
  <si>
    <t>Mão de obra</t>
  </si>
  <si>
    <t>kg</t>
  </si>
  <si>
    <t>vb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</si>
  <si>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</si>
  <si>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</si>
  <si>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</si>
  <si>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</si>
  <si>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</si>
  <si>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</si>
  <si>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kg / m³</t>
  </si>
  <si>
    <t>AE</t>
  </si>
  <si>
    <t>AL</t>
  </si>
  <si>
    <t>m² / AC</t>
  </si>
  <si>
    <t>m³ / AC</t>
  </si>
  <si>
    <t>APE</t>
  </si>
  <si>
    <t>NPD</t>
  </si>
  <si>
    <t>ND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</si>
  <si>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</si>
  <si>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</si>
  <si>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</si>
  <si>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</si>
  <si>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</si>
  <si>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</si>
  <si>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</si>
  <si>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</si>
  <si>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</si>
  <si>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</si>
  <si>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</si>
  <si>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</si>
  <si>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</si>
  <si>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</si>
  <si>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</si>
  <si>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</si>
  <si>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</si>
  <si>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</si>
  <si>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</si>
  <si>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</si>
  <si>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</si>
  <si>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</si>
  <si>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</si>
  <si>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</si>
  <si>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</si>
  <si>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</si>
  <si>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</si>
  <si>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</si>
  <si>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</si>
  <si>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</si>
  <si>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</si>
  <si>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</si>
  <si>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</si>
  <si>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</si>
  <si>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</si>
  <si>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</si>
  <si>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</si>
  <si>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</si>
  <si>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</si>
  <si>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</si>
  <si>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</si>
  <si>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</si>
  <si>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</si>
  <si>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</si>
  <si>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</si>
  <si>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</si>
  <si>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</si>
  <si>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</si>
  <si>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</si>
  <si>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</si>
  <si>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</si>
  <si>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</si>
  <si>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</si>
  <si>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</si>
  <si>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</si>
  <si>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</si>
  <si>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</si>
  <si>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 xml:space="preserve">Concreto </t>
  </si>
  <si>
    <t>REGULARIZAÇÃO E APILOAMENTO DE FUNDO DE VALAS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</si>
  <si>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</si>
  <si>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</si>
  <si>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</si>
  <si>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</si>
  <si>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</si>
  <si>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FUNDAÇÃO PROFUNDA</t>
  </si>
  <si>
    <t>Número de Estacas</t>
  </si>
  <si>
    <t>un / APE</t>
  </si>
  <si>
    <t>Mobilização</t>
  </si>
  <si>
    <t>FUNDAÇÃO RASA</t>
  </si>
  <si>
    <t>Fabricação, montagem e desmontagem de forma para blocos e baldrames resinado</t>
  </si>
  <si>
    <t>m³ / APE</t>
  </si>
  <si>
    <t>m² / APE</t>
  </si>
  <si>
    <t>Estaca Hélice Continua Diâmetro 60</t>
  </si>
  <si>
    <t>Armação 6,3mm</t>
  </si>
  <si>
    <t>Cubetas</t>
  </si>
  <si>
    <t>Empresa</t>
  </si>
  <si>
    <t>Preço unitário</t>
  </si>
  <si>
    <t>M</t>
  </si>
  <si>
    <t>M2</t>
  </si>
  <si>
    <t>MOVIMENTAÇÃO DE TERRA</t>
  </si>
  <si>
    <t>INFRAESTRUTURA</t>
  </si>
  <si>
    <t>UN</t>
  </si>
  <si>
    <t>Rebaixamento de lençol</t>
  </si>
  <si>
    <t>Armação 16mm</t>
  </si>
  <si>
    <t>DADOS OBRA</t>
  </si>
  <si>
    <t>Unidade</t>
  </si>
  <si>
    <t>ÁREA DO TERRENO</t>
  </si>
  <si>
    <t>ÁREA TOTAL CONSTRUÍDA</t>
  </si>
  <si>
    <t>NÚMERO TOTAL DE PAVIMENTOS</t>
  </si>
  <si>
    <t>NÚMERO DE PAVIMENTOS TIPO</t>
  </si>
  <si>
    <t>NÚMERO DE PAVIMENTOS TIPO DIFERENCIADOS</t>
  </si>
  <si>
    <t>NÚMERO DE PAVIMENTOS DUPLEX</t>
  </si>
  <si>
    <t>ÁREA DE PROJEÇÃO DA TORRE</t>
  </si>
  <si>
    <t>PERÍMETRO DE PROJEÇÃO DA TORRE</t>
  </si>
  <si>
    <t>ÁREA DE LAZER</t>
  </si>
  <si>
    <t xml:space="preserve">ÁREA DO EMBASAMENTO </t>
  </si>
  <si>
    <t>ÁREA DE SUBSOLOS</t>
  </si>
  <si>
    <t>S</t>
  </si>
  <si>
    <t>NÚMERO DE SUBSOLOS</t>
  </si>
  <si>
    <t>ÁREA DE PROJEÇÃO DO EMBASAMENTO</t>
  </si>
  <si>
    <t>PERÍMETRO DE PROJEÇÃO DE EMBAMENTO</t>
  </si>
  <si>
    <t>NÚMERO DE PAVIMENTOS DE EMBASAMENTO</t>
  </si>
  <si>
    <t>Movimentação de terra das estacas</t>
  </si>
  <si>
    <t>Escavação</t>
  </si>
  <si>
    <t>Preço unitário de escavação (R$ / m3)</t>
  </si>
  <si>
    <t>Volume total de escavação (m3)</t>
  </si>
  <si>
    <t>Altura do subsolo (m)</t>
  </si>
  <si>
    <t>Área de subsolo (m)</t>
  </si>
  <si>
    <t>ESCAVAÇÃO VERTICAL DE SUBSOLO</t>
  </si>
  <si>
    <t>Preço unitário de rebaixamento (R$ / dias)</t>
  </si>
  <si>
    <t>Quantidade (dias)</t>
  </si>
  <si>
    <t>REBAIXAMENTO DE LENÇOL FREÁTICO</t>
  </si>
  <si>
    <t>PE</t>
  </si>
  <si>
    <t>NE</t>
  </si>
  <si>
    <t>Movimentação de bota-fora</t>
  </si>
  <si>
    <t>m³ / Vol Escavação</t>
  </si>
  <si>
    <t>Área de lastro (m²)</t>
  </si>
  <si>
    <t>Preço unitário (R$ / m2)</t>
  </si>
  <si>
    <t>Preço unitário (R$ / m3)</t>
  </si>
  <si>
    <t>Estaca Hélice Continua Diâmetro 50</t>
  </si>
  <si>
    <t>Estaca Hélice Continua Diâmetro 40</t>
  </si>
  <si>
    <t xml:space="preserve">m/un </t>
  </si>
  <si>
    <t>un / APT*NPT</t>
  </si>
  <si>
    <t>un / AE</t>
  </si>
  <si>
    <t>CONTENÇÃO</t>
  </si>
  <si>
    <t>CORTINA DE ESTACAS</t>
  </si>
  <si>
    <t>PAREDE DIAFRAGMA</t>
  </si>
  <si>
    <t>TOTAL ALVENARIA</t>
  </si>
  <si>
    <t>Média</t>
  </si>
  <si>
    <t>R$ / m²</t>
  </si>
  <si>
    <t>Serviços complementares</t>
  </si>
  <si>
    <t>Alvenaria refratárias</t>
  </si>
  <si>
    <t>m² / APT</t>
  </si>
  <si>
    <t>Alvenaria cobertura / reservatório</t>
  </si>
  <si>
    <t xml:space="preserve">Alvenaria escadas </t>
  </si>
  <si>
    <t>m² / APT*(NPT+2ND)</t>
  </si>
  <si>
    <t>Alvenaria tipo</t>
  </si>
  <si>
    <t>m² / AL</t>
  </si>
  <si>
    <t>Alvenaria lazer</t>
  </si>
  <si>
    <t>m² / AE</t>
  </si>
  <si>
    <t>Alvenaria embasamento</t>
  </si>
  <si>
    <t>Referência</t>
  </si>
  <si>
    <t>ALVENARIA</t>
  </si>
  <si>
    <t>R00</t>
  </si>
  <si>
    <t>Data</t>
  </si>
  <si>
    <t>Cliente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</si>
  <si>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</si>
  <si>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>TOTAL REVESTIMENTOS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</si>
  <si>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</si>
  <si>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Reboco</t>
  </si>
  <si>
    <t>Chapisco</t>
  </si>
  <si>
    <t>Manta acústica</t>
  </si>
  <si>
    <t>Contrapiso</t>
  </si>
  <si>
    <t>REVESTIMENTOS INTERNOS EM PISO E PAREDE</t>
  </si>
  <si>
    <t>Chapisco e reboco</t>
  </si>
  <si>
    <t>Estucamento</t>
  </si>
  <si>
    <t>COBERTURA</t>
  </si>
  <si>
    <t>TOTAL ACABAMENTOS</t>
  </si>
  <si>
    <t>Revestimentos de Parede</t>
  </si>
  <si>
    <t>Soleiras e peitoris</t>
  </si>
  <si>
    <t>Rodapés</t>
  </si>
  <si>
    <t xml:space="preserve">m² </t>
  </si>
  <si>
    <t>Paver</t>
  </si>
  <si>
    <t>Piscina</t>
  </si>
  <si>
    <t>ACABAMENTOS EM PISO E PAREDE</t>
  </si>
  <si>
    <t xml:space="preserve">Textura escadas </t>
  </si>
  <si>
    <t>Pintura acrílica antiderrapante</t>
  </si>
  <si>
    <t>Pintura piso epoxi</t>
  </si>
  <si>
    <t>TOTAL FACHADA</t>
  </si>
  <si>
    <t>-</t>
  </si>
  <si>
    <t>ACABAMENTOS ESPECIAIS</t>
  </si>
  <si>
    <t>PINTURA</t>
  </si>
  <si>
    <t>REVESTIMENTOS ARGAMASSADOS</t>
  </si>
  <si>
    <t>TOTAL IMPERMEABILIZAÇÃO</t>
  </si>
  <si>
    <t>Proteção Mecânica</t>
  </si>
  <si>
    <t>Impermeabilização de peitoril</t>
  </si>
  <si>
    <t>Impermeabilizações com manta asfaltica</t>
  </si>
  <si>
    <t>Impermeabilizações cimenticias</t>
  </si>
  <si>
    <t>Ralos</t>
  </si>
  <si>
    <t>Baldrames</t>
  </si>
  <si>
    <t>Poço do elevador</t>
  </si>
  <si>
    <t>Regularização de Superfície</t>
  </si>
  <si>
    <t>IMPERMEABILIZAÇÃO</t>
  </si>
  <si>
    <t>Esquadrias de Madeira</t>
  </si>
  <si>
    <t>Portão de alumínio</t>
  </si>
  <si>
    <t>Corrimão madeira</t>
  </si>
  <si>
    <t>Guarda-corpo - vidro</t>
  </si>
  <si>
    <t>Serralherias</t>
  </si>
  <si>
    <t>PCF</t>
  </si>
  <si>
    <t>Esquadrias de Alumínio</t>
  </si>
  <si>
    <t>ESQUADRIAS</t>
  </si>
  <si>
    <t>TOTAL INSTALAÇÕES</t>
  </si>
  <si>
    <t>Instalações de Proteção e Aterramento - SPDA</t>
  </si>
  <si>
    <t>Instalações de GLP</t>
  </si>
  <si>
    <t>Instalações Preventivas</t>
  </si>
  <si>
    <t>INSTALAÇÕES PREVENTIVAS E GLP</t>
  </si>
  <si>
    <t>Mão de Obra para Instalações Hidráulicas</t>
  </si>
  <si>
    <t>Louças e Metais</t>
  </si>
  <si>
    <t>Instalações Sanitárias</t>
  </si>
  <si>
    <t>Instalações de Águas Pluviais</t>
  </si>
  <si>
    <t>Instalações de Água Quente</t>
  </si>
  <si>
    <t>Instalações de Água Fria</t>
  </si>
  <si>
    <t>INSTALAÇÕES HIDROSSANITÁRIAS</t>
  </si>
  <si>
    <t>Mão de Obra para Instalações Elétricas</t>
  </si>
  <si>
    <t>Equipamentos e Iluminação</t>
  </si>
  <si>
    <t>Acabamentos Elétricos</t>
  </si>
  <si>
    <t>Quadros e Disjuntores</t>
  </si>
  <si>
    <t>Cabos e Fiações</t>
  </si>
  <si>
    <t>Eletrodutos e Eletrocalhas</t>
  </si>
  <si>
    <t>Entrada de Energia</t>
  </si>
  <si>
    <t>INSTALAÇÕES ELÉTRICAS</t>
  </si>
  <si>
    <t>INSTALAÇÕES</t>
  </si>
  <si>
    <t>TOTAL SISTEMAS ESPECIAIS</t>
  </si>
  <si>
    <t>Outros sistemas</t>
  </si>
  <si>
    <t>OUTROS SISTEMAS ESPECIAIS</t>
  </si>
  <si>
    <t>Infra de carro elétrico</t>
  </si>
  <si>
    <t>Grupo de geradores</t>
  </si>
  <si>
    <t>Elevadores</t>
  </si>
  <si>
    <t>Preço Unitário</t>
  </si>
  <si>
    <t>EQUIPAMENTOS</t>
  </si>
  <si>
    <t>Automação, telecomunicação e sistemas de segurança</t>
  </si>
  <si>
    <t>TV e internet</t>
  </si>
  <si>
    <t>Interfone</t>
  </si>
  <si>
    <t>CFTV</t>
  </si>
  <si>
    <t>COMUNICAÇÃO</t>
  </si>
  <si>
    <t>Churrasqueiras</t>
  </si>
  <si>
    <t>Ventokit</t>
  </si>
  <si>
    <t>Instalação de Ar Condicionado</t>
  </si>
  <si>
    <t>Infraestrutura para Instalação de Ar Condicionado</t>
  </si>
  <si>
    <t>CLIMATIZAÇÃO, EXAUSTÃO MECÂNICA E PRESSURIZAÇÃO</t>
  </si>
  <si>
    <t>SISTEMAS ESPECIAIS</t>
  </si>
  <si>
    <t>TOTAL COMPLEMENTARES</t>
  </si>
  <si>
    <t>Limpeza</t>
  </si>
  <si>
    <t>Desmobilização</t>
  </si>
  <si>
    <t>Ligações definitivas</t>
  </si>
  <si>
    <t>Paisagismo</t>
  </si>
  <si>
    <t>Comunicação visual</t>
  </si>
  <si>
    <t>R$ / AL</t>
  </si>
  <si>
    <t>Móveis e decoração</t>
  </si>
  <si>
    <t>SERVIÇOS COMPLEMENTARES</t>
  </si>
  <si>
    <t>COMPLEMENTARES</t>
  </si>
  <si>
    <t>Connect</t>
  </si>
  <si>
    <t>Passe</t>
  </si>
  <si>
    <t>Arquitetura base</t>
  </si>
  <si>
    <t>UNIDADES RESIDENCIAIS</t>
  </si>
  <si>
    <t>UR</t>
  </si>
  <si>
    <t>Dormitórios</t>
  </si>
  <si>
    <t>Banheiros</t>
  </si>
  <si>
    <t>UNIDADES COMERCIAIS</t>
  </si>
  <si>
    <t>UC</t>
  </si>
  <si>
    <t>dorm</t>
  </si>
  <si>
    <t>ban</t>
  </si>
  <si>
    <t>Arquivo base</t>
  </si>
  <si>
    <t>PAREDE DE CONCRETO</t>
  </si>
  <si>
    <t>Lastro de concreto magto e=5cm</t>
  </si>
  <si>
    <t>Observação</t>
  </si>
  <si>
    <t>Definição trazida do Celebration da Passe</t>
  </si>
  <si>
    <t>Concreto (40 Mpa)</t>
  </si>
  <si>
    <t>Apoio e arrasamento de estacas</t>
  </si>
  <si>
    <t>Perfuração de vigas</t>
  </si>
  <si>
    <t>R$ / NP</t>
  </si>
  <si>
    <t>Coeficiente originário do Gran Torino (R$ 160,00/un)</t>
  </si>
  <si>
    <t>Jogos</t>
  </si>
  <si>
    <t>SUPRAESTRUTURA - LAJE MACIÇA</t>
  </si>
  <si>
    <t>SUPRAESTRUTURA - LAJE TRELIÇADA</t>
  </si>
  <si>
    <t>Nova utiliza a verba de 1.500,00 por pav</t>
  </si>
  <si>
    <t>PAREDES E PAINÉIS</t>
  </si>
  <si>
    <t>Drywall tipo</t>
  </si>
  <si>
    <t>CHU</t>
  </si>
  <si>
    <t>m² * CHU</t>
  </si>
  <si>
    <t>perda</t>
  </si>
  <si>
    <t>m³ / Vol infra</t>
  </si>
  <si>
    <t>Escoramento</t>
  </si>
  <si>
    <t>Bombas</t>
  </si>
  <si>
    <t>m / FORRO</t>
  </si>
  <si>
    <t>PINTURA INTERNA</t>
  </si>
  <si>
    <t>REVESTIMENTOS E ACABAMENTOS DE TETO</t>
  </si>
  <si>
    <t xml:space="preserve"> m² / AC</t>
  </si>
  <si>
    <t>Estrutura e telhamento</t>
  </si>
  <si>
    <t>Pergolados</t>
  </si>
  <si>
    <t>Passarelas</t>
  </si>
  <si>
    <t>TELHADO</t>
  </si>
  <si>
    <t>Textura</t>
  </si>
  <si>
    <t>Polimento de concreto</t>
  </si>
  <si>
    <t>Piso alisado</t>
  </si>
  <si>
    <t>TOTAL ESQUADRIAS</t>
  </si>
  <si>
    <t xml:space="preserve">un </t>
  </si>
  <si>
    <t>Estaca Hélice Continua Diâmetro 80</t>
  </si>
  <si>
    <t xml:space="preserve">Armação </t>
  </si>
  <si>
    <t>SUPRAESTRUTURA - LAJE PROTENDIDA</t>
  </si>
  <si>
    <t>RS / m²</t>
  </si>
  <si>
    <t>kg / m²</t>
  </si>
  <si>
    <t>Protensão - lajes - materiais</t>
  </si>
  <si>
    <t>Protensão - lajes - cabos</t>
  </si>
  <si>
    <t>Protensão - lajes - serviços</t>
  </si>
  <si>
    <t>und / pav</t>
  </si>
  <si>
    <t>pav</t>
  </si>
  <si>
    <t>Piso de concreto armado</t>
  </si>
  <si>
    <t>Base obra Trindade Parkside</t>
  </si>
  <si>
    <t>ALVENARIA - DRYWALL</t>
  </si>
  <si>
    <t>Sistema de aquecimento</t>
  </si>
  <si>
    <t>Equipamento de piscina</t>
  </si>
  <si>
    <t>TOTAL FORRO</t>
  </si>
  <si>
    <t>Fechadura Biometrica</t>
  </si>
  <si>
    <t>Spa</t>
  </si>
  <si>
    <t>Grama sintetica</t>
  </si>
  <si>
    <t>Pele de vidro</t>
  </si>
  <si>
    <t xml:space="preserve">Gradil </t>
  </si>
  <si>
    <t>ACM embasamento</t>
  </si>
  <si>
    <t>Zapata</t>
  </si>
  <si>
    <t>Ckock</t>
  </si>
  <si>
    <t>HPSC0457</t>
  </si>
  <si>
    <t>4 meses</t>
  </si>
  <si>
    <t>SUPRAESTRUTURA - LAJE CUBETAS PROTENDIDAS</t>
  </si>
  <si>
    <t>Custos connect executivo</t>
  </si>
  <si>
    <t>Trtamento de friso</t>
  </si>
  <si>
    <t>Led vertical</t>
  </si>
  <si>
    <t>R$ / m</t>
  </si>
  <si>
    <t>Brise Amadeirado embasamento</t>
  </si>
  <si>
    <t>Vinilico</t>
  </si>
  <si>
    <t>Patilha</t>
  </si>
  <si>
    <t>lojas</t>
  </si>
  <si>
    <t>Pressurização de escada</t>
  </si>
  <si>
    <t>DADOS DO EMPREENDIMENTO</t>
  </si>
  <si>
    <t xml:space="preserve">Projeto: </t>
  </si>
  <si>
    <t>ENDEREÇO DA OBRA:</t>
  </si>
  <si>
    <t>RUA PROFESSOR RENATO BARBOSA | JURERÊ | FLORIANÓPOLIS</t>
  </si>
  <si>
    <t xml:space="preserve">Empresa: </t>
  </si>
  <si>
    <t>Cidade/ES:</t>
  </si>
  <si>
    <t>Florianópolis /SC</t>
  </si>
  <si>
    <t xml:space="preserve">Revisão: </t>
  </si>
  <si>
    <t>R00 -Valquiria</t>
  </si>
  <si>
    <t>CNPJ:</t>
  </si>
  <si>
    <t>51.382.701/0001-73</t>
  </si>
  <si>
    <t xml:space="preserve">Pazo de Obra: </t>
  </si>
  <si>
    <t xml:space="preserve">Nº Unid. Residenciais: </t>
  </si>
  <si>
    <t xml:space="preserve">Nº Elevadores: </t>
  </si>
  <si>
    <t>Imagens</t>
  </si>
  <si>
    <t xml:space="preserve">Área do Terreno: </t>
  </si>
  <si>
    <t xml:space="preserve">Nº Unid. Comerciais: </t>
  </si>
  <si>
    <t xml:space="preserve">Área Construída: </t>
  </si>
  <si>
    <t xml:space="preserve">Nº Pavimentos: </t>
  </si>
  <si>
    <t xml:space="preserve">Área Privativa: </t>
  </si>
  <si>
    <t xml:space="preserve">Total de Dormitórios: </t>
  </si>
  <si>
    <t>Área de Lazer:</t>
  </si>
  <si>
    <t xml:space="preserve">Nº Subsolos: </t>
  </si>
  <si>
    <t>Área Comercial:</t>
  </si>
  <si>
    <t xml:space="preserve">Nº Vagas: </t>
  </si>
  <si>
    <t xml:space="preserve">Nº Banheiros: </t>
  </si>
  <si>
    <t xml:space="preserve">Nº Churrasqueiras: </t>
  </si>
  <si>
    <t xml:space="preserve">Torre </t>
  </si>
  <si>
    <t>Pavimento</t>
  </si>
  <si>
    <t>Área</t>
  </si>
  <si>
    <t>Área Privativa</t>
  </si>
  <si>
    <t>Perímetro</t>
  </si>
  <si>
    <t>Pé direito</t>
  </si>
  <si>
    <t>Churrasqueira</t>
  </si>
  <si>
    <t>Quartos</t>
  </si>
  <si>
    <t>Ar - Condicionado
Ponto</t>
  </si>
  <si>
    <t>Ar - Condicionado
Equipamento</t>
  </si>
  <si>
    <t>Nº Unidades</t>
  </si>
  <si>
    <t>Torre A</t>
  </si>
  <si>
    <t>SUBSOLO 01</t>
  </si>
  <si>
    <t>1º PAV-TÉRREO</t>
  </si>
  <si>
    <t>1º PAV-MEZANINO</t>
  </si>
  <si>
    <t>2º PAVIMENTO</t>
  </si>
  <si>
    <t>3º PAVIMENTO</t>
  </si>
  <si>
    <t>4º PAVIMENTO</t>
  </si>
  <si>
    <t>5º PAVIMENTO</t>
  </si>
  <si>
    <t>6º PAVIMENTO</t>
  </si>
  <si>
    <t>7º PAVIMENTO</t>
  </si>
  <si>
    <t>PLANO COBERTURA</t>
  </si>
  <si>
    <t>BARRILETE</t>
  </si>
  <si>
    <t>CASA DE MÁQUINAS</t>
  </si>
  <si>
    <t>RESERVATÓRIO</t>
  </si>
  <si>
    <t>Torre</t>
  </si>
  <si>
    <t xml:space="preserve">Área </t>
  </si>
  <si>
    <t>QUADRO DE ÁREAS</t>
  </si>
  <si>
    <t>DESCOMPRESSÃO FUNCIONÁRIO</t>
  </si>
  <si>
    <t>REFEITÓRIO E ÁREA DE DESCANSO</t>
  </si>
  <si>
    <t>BANHEIRO E VESTIÁRIO</t>
  </si>
  <si>
    <t>DEPÓSITO BANCADA</t>
  </si>
  <si>
    <t>ROUPA LIMPA</t>
  </si>
  <si>
    <t>ROUPA SUJA</t>
  </si>
  <si>
    <t>DEPÓSITO DE LIXO</t>
  </si>
  <si>
    <t>CISTERNA ENTERRADA</t>
  </si>
  <si>
    <t xml:space="preserve">SUBESTAÇÃO </t>
  </si>
  <si>
    <t>GLP</t>
  </si>
  <si>
    <t>RECEPÇÃO</t>
  </si>
  <si>
    <t>MALEIRO</t>
  </si>
  <si>
    <t>RESTAURANTE/COZ</t>
  </si>
  <si>
    <t>PCD</t>
  </si>
  <si>
    <t>SALA COMERCIAL 01</t>
  </si>
  <si>
    <t>SALA COMERCIAL 02</t>
  </si>
  <si>
    <t>ÁREA SEM INFORMAÇÃO DE USO</t>
  </si>
  <si>
    <t>VARANDA</t>
  </si>
  <si>
    <t>ÁREA COMUM</t>
  </si>
  <si>
    <t>CIRCULAÇÃO</t>
  </si>
  <si>
    <t>ÁREA DESCOBERTA</t>
  </si>
  <si>
    <t>PISCINA</t>
  </si>
  <si>
    <t xml:space="preserve">GRUPO EIS </t>
  </si>
  <si>
    <t xml:space="preserve"> Jurerê Blue</t>
  </si>
  <si>
    <t>DADOS</t>
  </si>
  <si>
    <t>Titulo</t>
  </si>
  <si>
    <t>QUANTITATIVO</t>
  </si>
  <si>
    <t>Obra Modelo</t>
  </si>
  <si>
    <t>Nome cliente</t>
  </si>
  <si>
    <t>Cidade</t>
  </si>
  <si>
    <t>São Paulo</t>
  </si>
  <si>
    <t>Endereço</t>
  </si>
  <si>
    <t>Avenida Paulista, S/N</t>
  </si>
  <si>
    <t>Obra BIM</t>
  </si>
  <si>
    <t>QUANTITATIVOS</t>
  </si>
  <si>
    <t>Item</t>
  </si>
  <si>
    <t>Unid.</t>
  </si>
  <si>
    <t>1.</t>
  </si>
  <si>
    <t>Geral parade</t>
  </si>
  <si>
    <t>Basic Wall:SM-EXT-ALV-BE14   20cm-PT1/PT1</t>
  </si>
  <si>
    <t>Basic Wall:SM-INT-ALV-BE11.5   15cm-PT1/PT1</t>
  </si>
  <si>
    <t>Basic Wall:SM-INT-ALV-BE19   22cm-PT1/PT1</t>
  </si>
  <si>
    <t>Basic Wall:SM-INT-ALV-BE11.5   11.5cm</t>
  </si>
  <si>
    <t>Basic Wall:SM-INT-ALV-BE11.5   16.5cm-PT1/PT1</t>
  </si>
  <si>
    <t>Basic Wall:SM-INT-ALV-BE14   20cm-PT1/PT1</t>
  </si>
  <si>
    <t>Basic Wall:SM-EXT-ALV-BE19   22cm-PT1/PT1</t>
  </si>
  <si>
    <t>Basic Wall:SM-INT-ALV-BE14   17cm-PT1/PT1</t>
  </si>
  <si>
    <t>Basic Wall:SM-INT-DRW-MM90   9,5cm-GA1/GA1</t>
  </si>
  <si>
    <t>2.</t>
  </si>
  <si>
    <t>Serviços complementares para alvenaria</t>
  </si>
  <si>
    <t>ENCUNHAMENTO</t>
  </si>
  <si>
    <t>3.</t>
  </si>
  <si>
    <t>Esquadrias de alumínio</t>
  </si>
  <si>
    <t>Railing:SM-COR-H=92/70cm-Fixado na Parede-Barras Circulares-Suportes S.Canopla</t>
  </si>
  <si>
    <t>Railing:SM-GPO-h=110cm-Corrimão 92cm-Barras Circulares-Postes Retangulares-Painel Barras Circulares Horizontais</t>
  </si>
  <si>
    <t>SM-PJA-ALU-X Folhas Correr-2 Direções:4 Folhas-340x240cm-Vidro 8mm</t>
  </si>
  <si>
    <t>SM-PJA-VID-CWA-1 Folha Abrir Pivotante:Vidro 8mm</t>
  </si>
  <si>
    <t>Railing:SM-GPO-h=110cm-Corrimão 92cm-Painel Vidro VD1-Fixação Inferior-Embutido</t>
  </si>
  <si>
    <t>Railing:SM-GPO-h=110cm-S.Corrimão-Painel Vidro VD1-Fixação Inferior-Embutido</t>
  </si>
  <si>
    <t>SM-JAN-ALU-X Folhas Maximar:1 Folha-060x080cm-Vidro 8mm</t>
  </si>
  <si>
    <t>4.</t>
  </si>
  <si>
    <t>Pele de Vidro</t>
  </si>
  <si>
    <t>SM-PAN-CWA-Vidro 8mm-By Category</t>
  </si>
  <si>
    <t>SM-CWA-Vidro 8mm-By Category-Montante Tipo Blindex-By Category</t>
  </si>
  <si>
    <t>5.</t>
  </si>
  <si>
    <t>Esquadrias de madeira</t>
  </si>
  <si>
    <t>SM-POR-MAD-1 Folha Abrir:080x210cm</t>
  </si>
  <si>
    <t>SM-POR-MAD-1 Folha Abrir:090x210cm</t>
  </si>
  <si>
    <t>SM-POR-MAD-1 Folha Abrir:080x210cm   C/ Guarnição-C/ Barra PNE</t>
  </si>
  <si>
    <t>6.</t>
  </si>
  <si>
    <t>Esquadrias de Metálicas</t>
  </si>
  <si>
    <t>SM-POR-ELV-2 Folhas Correr:090x210cm</t>
  </si>
  <si>
    <t>SM-POR-PCI-1 Folha Abrir:090x210cm</t>
  </si>
  <si>
    <t>SM-POR-ELV-2 Folhas Correr:110x210cm</t>
  </si>
  <si>
    <t>7.</t>
  </si>
  <si>
    <t>Acabamentos de Piso</t>
  </si>
  <si>
    <t>PISO PARA ESCADAS (DEFINIR MATERIAL)</t>
  </si>
  <si>
    <t>SM-RAM-Carros-Inc.20%-Esp.15cm-By Category</t>
  </si>
  <si>
    <t>8.</t>
  </si>
  <si>
    <t>Acabamento em teto</t>
  </si>
  <si>
    <t>Compound Ceiling:SM-FOR-3.00cm  FG1</t>
  </si>
  <si>
    <t>9.</t>
  </si>
  <si>
    <t>Peitoris</t>
  </si>
  <si>
    <t>PEITORIL DE GRANITO</t>
  </si>
  <si>
    <t>10.</t>
  </si>
  <si>
    <t>Soleira</t>
  </si>
  <si>
    <t>SOLEIRA DE GRANITO</t>
  </si>
  <si>
    <t>Bloco de 09</t>
  </si>
  <si>
    <t>Bloco de 11,5</t>
  </si>
  <si>
    <t>Bloco de 14</t>
  </si>
  <si>
    <t>Bloco de 19</t>
  </si>
  <si>
    <t>Drywall tipo RU</t>
  </si>
  <si>
    <t>Encunhamento</t>
  </si>
  <si>
    <t>Tela amarração alvenaria</t>
  </si>
  <si>
    <t>Verga e contraverga</t>
  </si>
  <si>
    <t>11.</t>
  </si>
  <si>
    <t>Vergas e Contravergas</t>
  </si>
  <si>
    <t>VERGA E CONTRA VERGA - PORTAS</t>
  </si>
  <si>
    <t>VERGA E CONTRA VERGA - JANELAS</t>
  </si>
  <si>
    <t>CPU Blue Cost</t>
  </si>
  <si>
    <t>Piso Cerâmico Garagens</t>
  </si>
  <si>
    <t>Piso Cerâmico halls, Circulaçõa, áreas Comuns e banheiros unidades</t>
  </si>
  <si>
    <t>Ladrilho Hidraulico Rampa</t>
  </si>
  <si>
    <t>Forro gesso Acartonado RU</t>
  </si>
  <si>
    <t>Forro gesso Acartonado ST</t>
  </si>
  <si>
    <t>Tratamento de concreto Aparente</t>
  </si>
  <si>
    <t>PAVIMENTOS</t>
  </si>
  <si>
    <t xml:space="preserve">Acartonado </t>
  </si>
  <si>
    <t>Subestação de Energia</t>
  </si>
  <si>
    <t>1 por unidade no lazer</t>
  </si>
  <si>
    <t>Altura</t>
  </si>
  <si>
    <t xml:space="preserve">Perímetro </t>
  </si>
  <si>
    <t>Mureta Guia</t>
  </si>
  <si>
    <t>Contenção</t>
  </si>
  <si>
    <t>Viga Coroamento</t>
  </si>
  <si>
    <t>Espessura</t>
  </si>
  <si>
    <t>Repetição</t>
  </si>
  <si>
    <t>FACHADA VENTILADA COM PORCELANATO</t>
  </si>
  <si>
    <t>*Cotação cliente</t>
  </si>
  <si>
    <t>Mão de obra - SERVIÇO ESPECIALIZADO PAREDE DIAFRAGMA</t>
  </si>
  <si>
    <t>Resina e Mão de obra</t>
  </si>
  <si>
    <t>*ìndice da All - Acácias JK</t>
  </si>
  <si>
    <t>m2</t>
  </si>
  <si>
    <t>Ceramica Paredes</t>
  </si>
  <si>
    <t>Pintura Interna Paredes</t>
  </si>
  <si>
    <t>Pintura Interna Teto</t>
  </si>
  <si>
    <t>Fechadura consideraeda no Coline é de 1500,00</t>
  </si>
  <si>
    <t>Móveis e decoração - ENXOVAL ÁREAS PRIVATIVAS</t>
  </si>
  <si>
    <t>* Base Trindade</t>
  </si>
  <si>
    <t>R$ / AP</t>
  </si>
  <si>
    <t>8º PAVIMENTO</t>
  </si>
  <si>
    <t>*Estimado</t>
  </si>
  <si>
    <t>*Cotação mercado</t>
  </si>
  <si>
    <t>Equipamento Carro Elétrico</t>
  </si>
  <si>
    <t>*Valor recebido do cliente</t>
  </si>
  <si>
    <t>Estimado com Base no Redentor</t>
  </si>
  <si>
    <t>Instalações Sprinklers</t>
  </si>
  <si>
    <t>Basic Wall:SM-EXT-ALV-BE11.5   11.5cm</t>
  </si>
  <si>
    <t>Basic Wall:SM-EXT-ALV-BE11.5   16.5cm-PT1/PT1</t>
  </si>
  <si>
    <t>Basic Wall:SM-EXT-ALV-BE11.5   16.5cm-PT1/PT1 - Ventilada</t>
  </si>
  <si>
    <t>Basic Wall:SM-EXT-ALV-BE14   20cm-PT1/PT1 - Ventilada</t>
  </si>
  <si>
    <t>Basic Wall:SM-INT-REV   01.5cm-PT1</t>
  </si>
  <si>
    <t>Basic Wall:SM-EST-CON-CN0   20cm</t>
  </si>
  <si>
    <t>Basic Wall:SM-INT-DRW-MM48   07.5cm-GA1/GA1</t>
  </si>
  <si>
    <t>Basic Wall:SM-EXT-ALV-BE14   20cm-CE1/CE1 - Ventilada</t>
  </si>
  <si>
    <t>Basic Wall:SM-EXT-ALV-BE14   20cm-CON1/CON1</t>
  </si>
  <si>
    <t>Basic Wall:SM-EXT-ALV-BE14   20cm-PT1/CE1 - Ventilada</t>
  </si>
  <si>
    <t>Basic Wall:SM-EXT-ALV-BE14   20cm-PT1/CON1</t>
  </si>
  <si>
    <t>Basic Wall:SM-EXT-ALV-BE14   20cm-PT1/CON1 - Ventilada</t>
  </si>
  <si>
    <t>Basic Wall:SM-EXT-ALV-BE14   30cm-PT1/CON1 - Ventilada</t>
  </si>
  <si>
    <t>Basic Wall:SM-INT-DRW-MM120   12cm-GA1/GA1</t>
  </si>
  <si>
    <t>Basic Wall:SM-INT-DRW-MM150   15cm-GA1/GA1</t>
  </si>
  <si>
    <t>Basic Wall:SM-EXT-ALV-BE14   20cm-CE1/CE1</t>
  </si>
  <si>
    <t>Basic Wall:SM-INT-DRW-MM90   10cm-GA1/GA1</t>
  </si>
  <si>
    <t>Basic Wall:SM-EST-CON-CN0   25cm</t>
  </si>
  <si>
    <t>23.30.10.17.21 - P.ABRIR.2F.VENEZIANA:180x210</t>
  </si>
  <si>
    <t>Railing:C04 - SM-GPO-h=110cm-Barras Circulares-Postes Retangulares-Painel Barras Circulares Horizontais</t>
  </si>
  <si>
    <t>23.30.10.17.21 - P.ABRIR.2F.VENEZIANA:150X160cm</t>
  </si>
  <si>
    <t>Railing:SM-GPO-h=110cm-Corrimão 92cm-Painel Vidro VD1-Fixação Inferior-Sobreposto</t>
  </si>
  <si>
    <t>SM-JAN-VEN-ALU-1 Folha Fixa-Tela Aramada:125x120cm</t>
  </si>
  <si>
    <t>SM-JAN-VEN-ALU-1 Folha Fixa-Tela Aramada:20x20cm</t>
  </si>
  <si>
    <t>SM-PJA-VID-CWA-X Folhas Correr-2 Direções:2 Folhas-Vidro 8mm</t>
  </si>
  <si>
    <t>SM-POR-ALU-1 Folha Abrir-Veneziana:070x210cm   C/ Estrutura Central</t>
  </si>
  <si>
    <t>SM-PJA-ALU-X Folhas Correr-1 Direção:2 Folhas-240x240cm-Vidro 8mm</t>
  </si>
  <si>
    <t>SM-JAN-ALU-X Folhas Maximar - X Folhas Fixas Inf:2 Folhas(1-1)-100x200cm-Vidro 8mm</t>
  </si>
  <si>
    <t>SM-JAN-ALU-X Folhas Maximar - X Folhas Fixas Inf:3 Folhas(2-1)-133x200cm-Vidro 8mm</t>
  </si>
  <si>
    <t>SM-JAN-ALU-X Folhas Maximar - X Folhas Fixas Inf:3 Folhas(2-1)-180x200cm-Vidro 8mm</t>
  </si>
  <si>
    <t>SM-PJA-ALU-X Folhas Correr-1 Direção:3 Folhas-240x240cm-Vidro 8mm</t>
  </si>
  <si>
    <t>SM-PJA-VID-CWA-1 Folha Abrir Pivotante:Vidro 20mm</t>
  </si>
  <si>
    <t>SM-PJA-VID-CWA-1 Folha Abrir Pivotante:BOX</t>
  </si>
  <si>
    <t>SM-POR-ALU-1 Folha Abrir-Veneziana:060x210cm   C/ Estrutura Central</t>
  </si>
  <si>
    <t>SM-POR-ALU-2 Folhas Abrir-Veneziana:200x210cm</t>
  </si>
  <si>
    <t>Railing:SM-GPO-h=130cm-S.Corrimão-Painel Vidro VD1-Fixação Inferior-Embutido</t>
  </si>
  <si>
    <t>SM-JAN-ALU-X Folhas Maximar:1 Folha-060x060cm-Vidro 8mm</t>
  </si>
  <si>
    <t>SM-JAN-ALU-X Folhas Maximar - X Folhas Fixas Inf:2 Folhas(1-1)-100x210cm-Vidro 8mm</t>
  </si>
  <si>
    <t>SM-JAN-VEN-ALU-1 Folha Fixa-Tela Aramada:30x35cm</t>
  </si>
  <si>
    <t>SM-PJA-ALU-1 Folha Abrir-Vidro:080x210cm-Vidro 8mm   C/ Estrutura Central</t>
  </si>
  <si>
    <t>SM-PJA-ALU-X Folhas Correr-2 Direções:4 Folhas-240x480cm-Vidro 8mm</t>
  </si>
  <si>
    <t>SM-PJA-ALU-X Folhas Correr-2 Direções:6 Folhas-210x680cm-Vidro 8mm</t>
  </si>
  <si>
    <t>SM-CWA-Vidro 20mm-By Category-Montante Tipo Blindex</t>
  </si>
  <si>
    <t>SM-POR-MAD-1 Folha Abrir:080x210cm   C/ Guarnição</t>
  </si>
  <si>
    <t>Floor:SM-EXT-CTP-REV-05cm  CM0</t>
  </si>
  <si>
    <t>Floor:SM-EXT-CTP-REV-05cm  PV1</t>
  </si>
  <si>
    <t>Floor:SM-INT-CTP-REV-08cm  CM0_CE1-60x60cm</t>
  </si>
  <si>
    <t>Floor:SM-OFF-05cm   GM1</t>
  </si>
  <si>
    <t>Monolithic Landing:SM-15cm-By Category-Piso/Espelho-Igual ao Lance</t>
  </si>
  <si>
    <t>Estucamento Paredes</t>
  </si>
  <si>
    <t>ESTUCAMENTO (Pilar ou Viga) (maior que 0,25 m²)</t>
  </si>
  <si>
    <t>ESTUCAMENTO (Pilar ou Viga)</t>
  </si>
  <si>
    <t>Outros</t>
  </si>
  <si>
    <t>SM-VIG-AÇO-I ou H:15x19cm-GERDAU W200x35,9(H)AC0 (Pilar ou Viga)</t>
  </si>
  <si>
    <t/>
  </si>
  <si>
    <t>12.</t>
  </si>
  <si>
    <t>13.</t>
  </si>
  <si>
    <t>14.</t>
  </si>
  <si>
    <t>Lajes</t>
  </si>
  <si>
    <t>Floor:SM-EST-CON-20cm  CN0</t>
  </si>
  <si>
    <t>Floor:SM-EST-CON-12cm  CN0</t>
  </si>
  <si>
    <t>Floor:SM-EST-CON-25cm  CN0</t>
  </si>
  <si>
    <t>Floor:SM-EST-CON-19cm  CN0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</si>
  <si>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</si>
  <si>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</si>
  <si>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</si>
  <si>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</si>
  <si>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</si>
  <si>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</si>
  <si>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</si>
  <si>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</si>
  <si>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</si>
  <si>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</si>
  <si>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</si>
  <si>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</si>
  <si>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</si>
  <si>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</si>
  <si>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</si>
  <si>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</si>
  <si>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</si>
  <si>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</si>
  <si>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</si>
  <si>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</si>
  <si>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</si>
  <si>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</si>
  <si>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</si>
  <si>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</si>
  <si>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</si>
  <si>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</si>
  <si>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2.1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</si>
  <si>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</si>
  <si>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</si>
  <si>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</si>
  <si>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</si>
  <si>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</si>
  <si>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</si>
  <si>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</si>
  <si>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</si>
  <si>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</si>
  <si>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</si>
  <si>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</si>
  <si>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</si>
  <si>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</si>
  <si>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</si>
  <si>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</si>
  <si>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</si>
  <si>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</si>
  <si>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</si>
  <si>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</si>
  <si>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</si>
  <si>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</si>
  <si>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</si>
  <si>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</si>
  <si>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</si>
  <si>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</si>
  <si>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</si>
  <si>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</si>
  <si>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</si>
  <si>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</si>
  <si>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</si>
  <si>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3.31</t>
  </si>
  <si>
    <t>4.1</t>
  </si>
  <si>
    <t>4.2</t>
  </si>
  <si>
    <t>4.3</t>
  </si>
  <si>
    <t>5.1</t>
  </si>
  <si>
    <t>5.2</t>
  </si>
  <si>
    <t>5.3</t>
  </si>
  <si>
    <t>5.4</t>
  </si>
  <si>
    <t>6.1</t>
  </si>
  <si>
    <t>6.2</t>
  </si>
  <si>
    <t>6.3</t>
  </si>
  <si>
    <t>7.1</t>
  </si>
  <si>
    <t>7.2</t>
  </si>
  <si>
    <t>7.3</t>
  </si>
  <si>
    <t>7.4</t>
  </si>
  <si>
    <t>7.5</t>
  </si>
  <si>
    <t>7.6</t>
  </si>
  <si>
    <t>7.7</t>
  </si>
  <si>
    <t>8.1</t>
  </si>
  <si>
    <t>9.1</t>
  </si>
  <si>
    <t>9.2</t>
  </si>
  <si>
    <t>10.1</t>
  </si>
  <si>
    <t>10.2</t>
  </si>
  <si>
    <t>11.1</t>
  </si>
  <si>
    <t>12.1</t>
  </si>
  <si>
    <t>13.1</t>
  </si>
  <si>
    <t>13.2</t>
  </si>
  <si>
    <t>14.1</t>
  </si>
  <si>
    <t>14.2</t>
  </si>
  <si>
    <t>14.3</t>
  </si>
  <si>
    <t>14.4</t>
  </si>
  <si>
    <t>Basic Wall:SM-EXT-ALV-BE11.5   15cm-PT1/PT1</t>
  </si>
  <si>
    <t>Basic Wall:SM-EXT-ALV-BE14   17cm-PT1/PT1 - Ventilada</t>
  </si>
  <si>
    <t>Basic Wall:SM-EXT-ALV-BE19   22cm-PT1/PT1 - Ventilada</t>
  </si>
  <si>
    <t>1.27</t>
  </si>
  <si>
    <t>1.28</t>
  </si>
  <si>
    <t>1.29</t>
  </si>
  <si>
    <t>1.30</t>
  </si>
  <si>
    <t>Drywall tipo ST</t>
  </si>
  <si>
    <t>Selador</t>
  </si>
  <si>
    <t>*Fachada Ventilada</t>
  </si>
  <si>
    <t>RU</t>
  </si>
  <si>
    <t>Piso Vinílico</t>
  </si>
  <si>
    <t>Soleiras</t>
  </si>
  <si>
    <t>MT</t>
  </si>
  <si>
    <t>MO</t>
  </si>
  <si>
    <t>Terceirizado</t>
  </si>
  <si>
    <t>Emp</t>
  </si>
  <si>
    <t>Terceiro</t>
  </si>
  <si>
    <t>MT Total</t>
  </si>
  <si>
    <t>MO Total</t>
  </si>
  <si>
    <t>Versão Sem Fachada Ventilada Com Textura Comum</t>
  </si>
  <si>
    <t>Qtdade</t>
  </si>
  <si>
    <t>Custo Unit</t>
  </si>
  <si>
    <t>Custo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</si>
</sst>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.##0.00_-;\-* #.##0.00_-;_-* &quot;-&quot;??_-;_-@_-"/>
    <numFmt numFmtId="166" formatCode="_-* #,##0.0000_-;\-* #,##0.0000_-;_-* &quot;-&quot;??_-;_-@_-"/>
    <numFmt numFmtId="167" formatCode="_(* #,##0.00_);_(* \(#,##0.00\);_(* &quot;-&quot;??_);_(@_)"/>
    <numFmt numFmtId="168" formatCode="dd/mm/yy;@"/>
    <numFmt numFmtId="169" formatCode="00\ &quot;Meses&quot;"/>
    <numFmt numFmtId="170" formatCode="00\ &quot;un&quot;"/>
    <numFmt numFmtId="171" formatCode="00\ &quot;M²&quot;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sz val="10"/>
      <color rgb="FFFF0000"/>
      <name val="Roboto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Poppins"/>
    </font>
    <font>
      <sz val="10"/>
      <color theme="1"/>
      <name val="Poppins"/>
    </font>
    <font>
      <sz val="10"/>
      <name val="Poppins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b/>
      <sz val="9"/>
      <color indexed="81"/>
      <name val="Segoe UI"/>
      <family val="2"/>
    </font>
    <font>
      <b/>
      <sz val="10"/>
      <color theme="0"/>
      <name val="Roboto"/>
    </font>
    <font>
      <sz val="11"/>
      <color rgb="FFFF0000"/>
      <name val="Roboto"/>
    </font>
    <font>
      <sz val="11"/>
      <name val="Roboto"/>
    </font>
    <font>
      <sz val="11"/>
      <name val="Poppins"/>
    </font>
    <font>
      <b/>
      <sz val="11"/>
      <color theme="0"/>
      <name val="Roboto"/>
    </font>
    <font>
      <b/>
      <sz val="10"/>
      <color theme="1"/>
      <name val="Roboto"/>
    </font>
    <font>
      <sz val="10"/>
      <name val="Roboto"/>
    </font>
    <font>
      <b/>
      <u/>
      <sz val="10"/>
      <color theme="1"/>
      <name val="Roboto"/>
    </font>
    <font>
      <sz val="10"/>
      <color rgb="FF000000"/>
      <name val="Roboto"/>
    </font>
    <font>
      <b/>
      <sz val="14"/>
      <color rgb="FF293549"/>
      <name val="Roboto"/>
    </font>
    <font>
      <b/>
      <sz val="14"/>
      <color rgb="FF255AE5"/>
      <name val="Roboto"/>
    </font>
    <font>
      <b/>
      <sz val="11"/>
      <color rgb="FFFF0000"/>
      <name val="Roboto"/>
    </font>
    <font>
      <b/>
      <sz val="10"/>
      <color rgb="FFFF0000"/>
      <name val="Roboto"/>
    </font>
    <font>
      <sz val="9"/>
      <color indexed="81"/>
      <name val="Segoe UI"/>
      <family val="2"/>
    </font>
    <font>
      <sz val="11"/>
      <color rgb="FFFF0000"/>
      <name val="Poppins"/>
    </font>
    <font>
      <sz val="8"/>
      <name val="Arial"/>
      <family val="2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sz val="9.5"/>
      <name val="Calibri"/>
      <family val="2"/>
      <scheme val="minor"/>
    </font>
    <font>
      <sz val="1"/>
      <name val="Calibri"/>
      <family val="2"/>
      <scheme val="minor"/>
    </font>
    <font>
      <b/>
      <i/>
      <sz val="9"/>
      <color theme="0"/>
      <name val="Calibri"/>
      <family val="2"/>
      <scheme val="minor"/>
    </font>
    <font>
      <i/>
      <sz val="10"/>
      <color rgb="FF121212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4"/>
      <name val="Calibri"/>
      <family val="2"/>
      <scheme val="minor"/>
    </font>
    <font>
      <i/>
      <sz val="4"/>
      <name val="Calibri"/>
      <family val="2"/>
      <scheme val="minor"/>
    </font>
    <font>
      <i/>
      <sz val="4"/>
      <color rgb="FF1212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ECECE"/>
        <bgColor rgb="FFCECE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1851D6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800080"/>
        <bgColor indexed="64"/>
      </patternFill>
    </fill>
    <fill>
      <patternFill patternType="solid">
        <fgColor rgb="FFA077B5"/>
        <bgColor indexed="64"/>
      </patternFill>
    </fill>
    <fill>
      <patternFill patternType="solid">
        <fgColor rgb="FFF6F4F6"/>
        <bgColor indexed="64"/>
      </patternFill>
    </fill>
    <fill>
      <patternFill patternType="solid">
        <fgColor rgb="FF00B050"/>
        <bgColor indexed="64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CECECE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29292F"/>
      </bottom>
      <diagonal/>
    </border>
    <border>
      <left style="medium">
        <color indexed="64"/>
      </left>
      <right/>
      <top style="thin">
        <color rgb="FF29292F"/>
      </top>
      <bottom style="hair">
        <color rgb="FF29292F"/>
      </bottom>
      <diagonal/>
    </border>
    <border>
      <left/>
      <right/>
      <top style="thin">
        <color rgb="FF29292F"/>
      </top>
      <bottom style="hair">
        <color rgb="FF29292F"/>
      </bottom>
      <diagonal/>
    </border>
    <border>
      <left/>
      <right style="medium">
        <color indexed="64"/>
      </right>
      <top style="thin">
        <color rgb="FF29292F"/>
      </top>
      <bottom style="hair">
        <color rgb="FF29292F"/>
      </bottom>
      <diagonal/>
    </border>
    <border>
      <left style="medium">
        <color indexed="64"/>
      </left>
      <right/>
      <top style="hair">
        <color rgb="FF29292F"/>
      </top>
      <bottom style="hair">
        <color rgb="FF29292F"/>
      </bottom>
      <diagonal/>
    </border>
    <border>
      <left/>
      <right/>
      <top style="hair">
        <color rgb="FF29292F"/>
      </top>
      <bottom style="hair">
        <color rgb="FF29292F"/>
      </bottom>
      <diagonal/>
    </border>
    <border>
      <left/>
      <right style="medium">
        <color indexed="64"/>
      </right>
      <top style="hair">
        <color rgb="FF29292F"/>
      </top>
      <bottom style="hair">
        <color rgb="FF29292F"/>
      </bottom>
      <diagonal/>
    </border>
    <border>
      <left style="medium">
        <color indexed="64"/>
      </left>
      <right/>
      <top style="hair">
        <color rgb="FF29292F"/>
      </top>
      <bottom style="medium">
        <color indexed="64"/>
      </bottom>
      <diagonal/>
    </border>
    <border>
      <left/>
      <right/>
      <top style="hair">
        <color rgb="FF29292F"/>
      </top>
      <bottom style="medium">
        <color indexed="64"/>
      </bottom>
      <diagonal/>
    </border>
    <border>
      <left/>
      <right style="medium">
        <color indexed="64"/>
      </right>
      <top style="hair">
        <color rgb="FF29292F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8" fillId="0" borderId="0"/>
    <xf numFmtId="167" fontId="2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2" fillId="0" borderId="0"/>
  </cellStyleXfs>
  <cellXfs count="36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0" fillId="0" borderId="0" xfId="1" applyFont="1"/>
    <xf numFmtId="0" fontId="9" fillId="5" borderId="15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43" fontId="6" fillId="2" borderId="9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/>
    <xf numFmtId="0" fontId="9" fillId="5" borderId="16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3" fontId="6" fillId="2" borderId="10" xfId="1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2" borderId="17" xfId="0" applyFont="1" applyFill="1" applyBorder="1"/>
    <xf numFmtId="0" fontId="12" fillId="2" borderId="19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2" borderId="20" xfId="0" applyFont="1" applyFill="1" applyBorder="1"/>
    <xf numFmtId="0" fontId="14" fillId="2" borderId="20" xfId="0" applyFont="1" applyFill="1" applyBorder="1"/>
    <xf numFmtId="0" fontId="7" fillId="2" borderId="19" xfId="0" applyFont="1" applyFill="1" applyBorder="1"/>
    <xf numFmtId="0" fontId="5" fillId="6" borderId="15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 wrapText="1"/>
    </xf>
    <xf numFmtId="43" fontId="5" fillId="6" borderId="22" xfId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23" xfId="0" applyFont="1" applyFill="1" applyBorder="1" applyAlignment="1">
      <alignment vertical="center" wrapText="1"/>
    </xf>
    <xf numFmtId="43" fontId="7" fillId="2" borderId="4" xfId="1" applyFont="1" applyFill="1" applyBorder="1" applyAlignment="1">
      <alignment horizontal="center" vertical="center" wrapText="1"/>
    </xf>
    <xf numFmtId="43" fontId="7" fillId="2" borderId="24" xfId="1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43" fontId="7" fillId="2" borderId="5" xfId="1" applyFont="1" applyFill="1" applyBorder="1" applyAlignment="1">
      <alignment horizontal="center" vertical="center" wrapText="1"/>
    </xf>
    <xf numFmtId="43" fontId="7" fillId="2" borderId="13" xfId="1" applyFont="1" applyFill="1" applyBorder="1" applyAlignment="1">
      <alignment vertical="center" wrapText="1"/>
    </xf>
    <xf numFmtId="0" fontId="7" fillId="2" borderId="26" xfId="0" applyFont="1" applyFill="1" applyBorder="1" applyAlignment="1">
      <alignment vertical="center" wrapText="1"/>
    </xf>
    <xf numFmtId="43" fontId="7" fillId="2" borderId="27" xfId="1" applyFont="1" applyFill="1" applyBorder="1" applyAlignment="1">
      <alignment horizontal="center" vertical="center" wrapText="1"/>
    </xf>
    <xf numFmtId="43" fontId="7" fillId="2" borderId="14" xfId="1" applyFont="1" applyFill="1" applyBorder="1" applyAlignment="1">
      <alignment vertical="center" wrapText="1"/>
    </xf>
    <xf numFmtId="0" fontId="14" fillId="2" borderId="28" xfId="0" applyFont="1" applyFill="1" applyBorder="1"/>
    <xf numFmtId="0" fontId="14" fillId="2" borderId="29" xfId="0" applyFont="1" applyFill="1" applyBorder="1" applyAlignment="1">
      <alignment horizontal="center"/>
    </xf>
    <xf numFmtId="43" fontId="14" fillId="2" borderId="29" xfId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14" fillId="2" borderId="30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9" fontId="3" fillId="0" borderId="0" xfId="6" applyFont="1" applyAlignment="1">
      <alignment vertical="center"/>
    </xf>
    <xf numFmtId="0" fontId="17" fillId="0" borderId="0" xfId="0" applyFont="1" applyAlignment="1">
      <alignment vertical="center"/>
    </xf>
    <xf numFmtId="43" fontId="17" fillId="5" borderId="0" xfId="1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0" fontId="18" fillId="0" borderId="33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43" fontId="10" fillId="0" borderId="33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 wrapText="1"/>
    </xf>
    <xf numFmtId="43" fontId="10" fillId="4" borderId="0" xfId="1" applyFont="1" applyFill="1" applyBorder="1" applyAlignment="1">
      <alignment vertical="center" wrapText="1"/>
    </xf>
    <xf numFmtId="43" fontId="10" fillId="4" borderId="10" xfId="1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43" fontId="21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3" fontId="10" fillId="0" borderId="1" xfId="1" applyFont="1" applyBorder="1" applyAlignment="1">
      <alignment vertical="center" wrapText="1"/>
    </xf>
    <xf numFmtId="43" fontId="10" fillId="0" borderId="1" xfId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/>
    </xf>
    <xf numFmtId="43" fontId="10" fillId="0" borderId="10" xfId="1" applyFont="1" applyBorder="1" applyAlignment="1">
      <alignment horizontal="left" vertical="center" wrapText="1"/>
    </xf>
    <xf numFmtId="43" fontId="10" fillId="0" borderId="0" xfId="1" applyFont="1" applyBorder="1" applyAlignment="1">
      <alignment horizontal="left" vertical="center" wrapText="1"/>
    </xf>
    <xf numFmtId="43" fontId="10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horizontal="left" vertical="center" wrapText="1"/>
    </xf>
    <xf numFmtId="9" fontId="10" fillId="4" borderId="10" xfId="1" applyNumberFormat="1" applyFont="1" applyFill="1" applyBorder="1" applyAlignment="1">
      <alignment vertical="center" wrapText="1"/>
    </xf>
    <xf numFmtId="2" fontId="10" fillId="4" borderId="10" xfId="1" applyNumberFormat="1" applyFont="1" applyFill="1" applyBorder="1" applyAlignment="1">
      <alignment vertical="center" wrapText="1"/>
    </xf>
    <xf numFmtId="0" fontId="10" fillId="0" borderId="35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19" fillId="0" borderId="0" xfId="1" applyFont="1" applyAlignment="1">
      <alignment horizontal="center" vertical="center"/>
    </xf>
    <xf numFmtId="0" fontId="26" fillId="5" borderId="0" xfId="0" applyFont="1" applyFill="1" applyAlignment="1">
      <alignment vertical="center"/>
    </xf>
    <xf numFmtId="43" fontId="26" fillId="5" borderId="0" xfId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0" xfId="1" applyFont="1" applyBorder="1" applyAlignment="1">
      <alignment horizontal="center" vertical="center"/>
    </xf>
    <xf numFmtId="44" fontId="10" fillId="0" borderId="1" xfId="10" applyFont="1" applyBorder="1" applyAlignment="1">
      <alignment horizontal="left" vertical="center" wrapText="1"/>
    </xf>
    <xf numFmtId="44" fontId="10" fillId="0" borderId="1" xfId="10" applyFont="1" applyBorder="1" applyAlignment="1">
      <alignment horizontal="center" vertical="center"/>
    </xf>
    <xf numFmtId="44" fontId="21" fillId="7" borderId="1" xfId="10" applyFont="1" applyFill="1" applyBorder="1" applyAlignment="1">
      <alignment horizontal="center" vertical="center"/>
    </xf>
    <xf numFmtId="44" fontId="27" fillId="8" borderId="6" xfId="10" applyFont="1" applyFill="1" applyBorder="1" applyAlignment="1">
      <alignment horizontal="center" vertical="center"/>
    </xf>
    <xf numFmtId="44" fontId="10" fillId="8" borderId="1" xfId="10" applyFont="1" applyFill="1" applyBorder="1" applyAlignment="1">
      <alignment horizontal="left" vertical="center" wrapText="1"/>
    </xf>
    <xf numFmtId="44" fontId="10" fillId="8" borderId="1" xfId="10" applyFont="1" applyFill="1" applyBorder="1" applyAlignment="1">
      <alignment horizontal="center" vertical="center"/>
    </xf>
    <xf numFmtId="44" fontId="19" fillId="0" borderId="0" xfId="10" applyFont="1" applyAlignment="1">
      <alignment vertical="center"/>
    </xf>
    <xf numFmtId="44" fontId="25" fillId="0" borderId="0" xfId="10" applyFont="1" applyAlignment="1">
      <alignment vertical="center"/>
    </xf>
    <xf numFmtId="44" fontId="26" fillId="5" borderId="0" xfId="10" applyFont="1" applyFill="1" applyBorder="1" applyAlignment="1">
      <alignment vertical="center"/>
    </xf>
    <xf numFmtId="44" fontId="26" fillId="0" borderId="0" xfId="10" applyFont="1" applyAlignment="1">
      <alignment vertical="center"/>
    </xf>
    <xf numFmtId="44" fontId="10" fillId="0" borderId="33" xfId="10" applyFont="1" applyBorder="1" applyAlignment="1">
      <alignment vertical="center"/>
    </xf>
    <xf numFmtId="44" fontId="18" fillId="0" borderId="0" xfId="10" applyFont="1" applyBorder="1" applyAlignment="1">
      <alignment vertical="center"/>
    </xf>
    <xf numFmtId="44" fontId="10" fillId="0" borderId="0" xfId="10" applyFont="1" applyAlignment="1">
      <alignment vertical="center"/>
    </xf>
    <xf numFmtId="44" fontId="21" fillId="7" borderId="1" xfId="10" applyFont="1" applyFill="1" applyBorder="1" applyAlignment="1">
      <alignment horizontal="center" vertical="center" wrapText="1"/>
    </xf>
    <xf numFmtId="44" fontId="18" fillId="0" borderId="0" xfId="10" applyFont="1" applyAlignment="1">
      <alignment vertical="center"/>
    </xf>
    <xf numFmtId="44" fontId="10" fillId="0" borderId="0" xfId="10" applyFont="1" applyBorder="1" applyAlignment="1">
      <alignment horizontal="center" vertical="center" wrapText="1"/>
    </xf>
    <xf numFmtId="44" fontId="17" fillId="0" borderId="0" xfId="10" applyFont="1" applyAlignment="1">
      <alignment vertical="center"/>
    </xf>
    <xf numFmtId="44" fontId="17" fillId="5" borderId="0" xfId="10" applyFont="1" applyFill="1" applyBorder="1" applyAlignment="1">
      <alignment vertical="center"/>
    </xf>
    <xf numFmtId="44" fontId="10" fillId="0" borderId="34" xfId="10" applyFont="1" applyBorder="1" applyAlignment="1">
      <alignment horizontal="center" vertical="center"/>
    </xf>
    <xf numFmtId="44" fontId="16" fillId="0" borderId="0" xfId="10" applyFont="1" applyAlignment="1">
      <alignment vertical="center"/>
    </xf>
    <xf numFmtId="44" fontId="23" fillId="8" borderId="6" xfId="1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28" fillId="9" borderId="6" xfId="1" applyFont="1" applyFill="1" applyBorder="1" applyAlignment="1">
      <alignment horizontal="center" vertical="center"/>
    </xf>
    <xf numFmtId="43" fontId="28" fillId="10" borderId="6" xfId="1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3" fontId="3" fillId="0" borderId="39" xfId="1" applyFont="1" applyBorder="1" applyAlignment="1">
      <alignment horizontal="center" vertical="center" wrapText="1"/>
    </xf>
    <xf numFmtId="43" fontId="28" fillId="10" borderId="40" xfId="1" applyFont="1" applyFill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43" fontId="3" fillId="0" borderId="43" xfId="1" applyFont="1" applyBorder="1" applyAlignment="1">
      <alignment horizontal="center" vertical="center" wrapText="1"/>
    </xf>
    <xf numFmtId="43" fontId="3" fillId="0" borderId="44" xfId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166" fontId="3" fillId="0" borderId="47" xfId="1" applyNumberFormat="1" applyFont="1" applyBorder="1" applyAlignment="1">
      <alignment horizontal="center" vertical="center"/>
    </xf>
    <xf numFmtId="43" fontId="3" fillId="0" borderId="47" xfId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28" fillId="9" borderId="49" xfId="0" applyFont="1" applyFill="1" applyBorder="1" applyAlignment="1">
      <alignment horizontal="center" vertical="center"/>
    </xf>
    <xf numFmtId="0" fontId="28" fillId="9" borderId="50" xfId="0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43" fontId="28" fillId="0" borderId="0" xfId="1" applyFont="1" applyBorder="1" applyAlignment="1">
      <alignment horizontal="center" vertical="center"/>
    </xf>
    <xf numFmtId="43" fontId="28" fillId="0" borderId="0" xfId="1" applyFont="1" applyBorder="1" applyAlignment="1">
      <alignment vertical="center"/>
    </xf>
    <xf numFmtId="0" fontId="30" fillId="0" borderId="54" xfId="0" applyFont="1" applyBorder="1" applyAlignment="1">
      <alignment vertical="center"/>
    </xf>
    <xf numFmtId="0" fontId="3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56" xfId="0" applyFont="1" applyBorder="1" applyAlignment="1">
      <alignment horizontal="center" vertical="center"/>
    </xf>
    <xf numFmtId="43" fontId="3" fillId="0" borderId="56" xfId="1" applyFont="1" applyBorder="1" applyAlignment="1">
      <alignment horizontal="center" vertical="center"/>
    </xf>
    <xf numFmtId="43" fontId="3" fillId="0" borderId="56" xfId="1" applyFont="1" applyBorder="1" applyAlignment="1">
      <alignment vertical="center"/>
    </xf>
    <xf numFmtId="0" fontId="30" fillId="0" borderId="57" xfId="0" applyFont="1" applyBorder="1" applyAlignment="1">
      <alignment vertical="center"/>
    </xf>
    <xf numFmtId="14" fontId="3" fillId="11" borderId="58" xfId="0" applyNumberFormat="1" applyFont="1" applyFill="1" applyBorder="1" applyAlignment="1">
      <alignment vertical="center"/>
    </xf>
    <xf numFmtId="14" fontId="3" fillId="11" borderId="59" xfId="0" applyNumberFormat="1" applyFont="1" applyFill="1" applyBorder="1" applyAlignment="1">
      <alignment vertical="center"/>
    </xf>
    <xf numFmtId="14" fontId="3" fillId="11" borderId="60" xfId="0" applyNumberFormat="1" applyFont="1" applyFill="1" applyBorder="1" applyAlignment="1">
      <alignment vertical="center"/>
    </xf>
    <xf numFmtId="0" fontId="3" fillId="12" borderId="61" xfId="0" applyFont="1" applyFill="1" applyBorder="1" applyAlignment="1">
      <alignment horizontal="left" vertical="center"/>
    </xf>
    <xf numFmtId="14" fontId="3" fillId="11" borderId="62" xfId="0" applyNumberFormat="1" applyFont="1" applyFill="1" applyBorder="1" applyAlignment="1">
      <alignment horizontal="left" vertical="center"/>
    </xf>
    <xf numFmtId="14" fontId="3" fillId="11" borderId="63" xfId="0" applyNumberFormat="1" applyFont="1" applyFill="1" applyBorder="1" applyAlignment="1">
      <alignment horizontal="left" vertical="center"/>
    </xf>
    <xf numFmtId="14" fontId="3" fillId="11" borderId="60" xfId="0" applyNumberFormat="1" applyFont="1" applyFill="1" applyBorder="1" applyAlignment="1">
      <alignment horizontal="left" vertical="center"/>
    </xf>
    <xf numFmtId="0" fontId="3" fillId="12" borderId="64" xfId="0" applyFont="1" applyFill="1" applyBorder="1" applyAlignment="1">
      <alignment vertical="center"/>
    </xf>
    <xf numFmtId="14" fontId="3" fillId="11" borderId="62" xfId="0" applyNumberFormat="1" applyFont="1" applyFill="1" applyBorder="1" applyAlignment="1">
      <alignment vertical="center"/>
    </xf>
    <xf numFmtId="14" fontId="3" fillId="11" borderId="63" xfId="0" applyNumberFormat="1" applyFont="1" applyFill="1" applyBorder="1" applyAlignment="1">
      <alignment vertical="center"/>
    </xf>
    <xf numFmtId="49" fontId="3" fillId="11" borderId="60" xfId="0" applyNumberFormat="1" applyFont="1" applyFill="1" applyBorder="1" applyAlignment="1">
      <alignment vertical="center"/>
    </xf>
    <xf numFmtId="0" fontId="31" fillId="12" borderId="64" xfId="0" applyFont="1" applyFill="1" applyBorder="1" applyAlignment="1">
      <alignment vertical="center"/>
    </xf>
    <xf numFmtId="0" fontId="3" fillId="11" borderId="65" xfId="0" applyFont="1" applyFill="1" applyBorder="1" applyAlignment="1">
      <alignment vertical="center"/>
    </xf>
    <xf numFmtId="0" fontId="3" fillId="11" borderId="66" xfId="0" applyFont="1" applyFill="1" applyBorder="1" applyAlignment="1">
      <alignment vertical="center"/>
    </xf>
    <xf numFmtId="0" fontId="3" fillId="11" borderId="60" xfId="0" applyFont="1" applyFill="1" applyBorder="1" applyAlignment="1">
      <alignment vertical="center"/>
    </xf>
    <xf numFmtId="0" fontId="31" fillId="12" borderId="67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3" fillId="12" borderId="0" xfId="0" applyFont="1" applyFill="1" applyAlignment="1">
      <alignment vertical="center"/>
    </xf>
    <xf numFmtId="0" fontId="29" fillId="0" borderId="68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3" fillId="12" borderId="68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" fillId="0" borderId="37" xfId="0" applyNumberFormat="1" applyFont="1" applyBorder="1" applyAlignment="1">
      <alignment vertical="center"/>
    </xf>
    <xf numFmtId="0" fontId="3" fillId="0" borderId="69" xfId="0" applyFont="1" applyBorder="1" applyAlignment="1">
      <alignment horizontal="center" vertical="center" wrapText="1"/>
    </xf>
    <xf numFmtId="166" fontId="3" fillId="0" borderId="70" xfId="1" applyNumberFormat="1" applyFont="1" applyBorder="1" applyAlignment="1">
      <alignment horizontal="center" vertical="center"/>
    </xf>
    <xf numFmtId="43" fontId="3" fillId="0" borderId="70" xfId="1" applyFont="1" applyBorder="1" applyAlignment="1">
      <alignment horizontal="center" vertical="center" wrapText="1"/>
    </xf>
    <xf numFmtId="43" fontId="3" fillId="0" borderId="71" xfId="1" applyFont="1" applyBorder="1" applyAlignment="1">
      <alignment horizontal="center" vertical="center" wrapText="1"/>
    </xf>
    <xf numFmtId="0" fontId="3" fillId="0" borderId="72" xfId="0" applyFont="1" applyBorder="1" applyAlignment="1">
      <alignment horizontal="left" vertical="center" wrapText="1"/>
    </xf>
    <xf numFmtId="0" fontId="3" fillId="0" borderId="73" xfId="0" applyFont="1" applyBorder="1" applyAlignment="1">
      <alignment horizontal="left" vertical="center" wrapText="1"/>
    </xf>
    <xf numFmtId="0" fontId="3" fillId="0" borderId="72" xfId="0" applyFont="1" applyBorder="1" applyAlignment="1">
      <alignment vertical="center" wrapText="1"/>
    </xf>
    <xf numFmtId="2" fontId="3" fillId="0" borderId="43" xfId="1" applyNumberFormat="1" applyFont="1" applyBorder="1" applyAlignment="1">
      <alignment horizontal="center" vertical="center" wrapText="1"/>
    </xf>
    <xf numFmtId="43" fontId="0" fillId="0" borderId="0" xfId="0" applyNumberFormat="1"/>
    <xf numFmtId="43" fontId="28" fillId="10" borderId="76" xfId="1" applyFont="1" applyFill="1" applyBorder="1" applyAlignment="1">
      <alignment horizontal="center" vertical="center"/>
    </xf>
    <xf numFmtId="166" fontId="29" fillId="0" borderId="70" xfId="1" applyNumberFormat="1" applyFont="1" applyBorder="1" applyAlignment="1">
      <alignment horizontal="center" vertical="center"/>
    </xf>
    <xf numFmtId="0" fontId="29" fillId="0" borderId="73" xfId="0" applyFont="1" applyBorder="1" applyAlignment="1">
      <alignment horizontal="left" vertical="center" wrapText="1"/>
    </xf>
    <xf numFmtId="43" fontId="29" fillId="0" borderId="71" xfId="1" applyFont="1" applyBorder="1" applyAlignment="1">
      <alignment horizontal="center" vertical="center" wrapText="1"/>
    </xf>
    <xf numFmtId="0" fontId="29" fillId="0" borderId="72" xfId="0" applyFont="1" applyBorder="1" applyAlignment="1">
      <alignment vertical="center" wrapText="1"/>
    </xf>
    <xf numFmtId="0" fontId="29" fillId="0" borderId="72" xfId="0" applyFont="1" applyBorder="1" applyAlignment="1">
      <alignment horizontal="left" vertical="center" wrapText="1"/>
    </xf>
    <xf numFmtId="43" fontId="35" fillId="0" borderId="0" xfId="1" applyFont="1" applyBorder="1" applyAlignment="1">
      <alignment vertical="center"/>
    </xf>
    <xf numFmtId="43" fontId="29" fillId="0" borderId="0" xfId="1" applyFont="1" applyFill="1" applyBorder="1" applyAlignment="1">
      <alignment horizontal="center" vertical="center" wrapText="1"/>
    </xf>
    <xf numFmtId="44" fontId="10" fillId="0" borderId="1" xfId="1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2" borderId="78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6" fillId="2" borderId="79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14" fontId="6" fillId="2" borderId="2" xfId="0" applyNumberFormat="1" applyFont="1" applyFill="1" applyBorder="1" applyAlignment="1">
      <alignment vertical="center" wrapText="1"/>
    </xf>
    <xf numFmtId="0" fontId="6" fillId="2" borderId="78" xfId="0" applyFont="1" applyFill="1" applyBorder="1" applyAlignment="1">
      <alignment horizontal="center" vertical="center" wrapText="1"/>
    </xf>
    <xf numFmtId="43" fontId="37" fillId="4" borderId="10" xfId="1" applyFont="1" applyFill="1" applyBorder="1" applyAlignment="1">
      <alignment vertical="center" wrapText="1"/>
    </xf>
    <xf numFmtId="44" fontId="19" fillId="0" borderId="0" xfId="0" applyNumberFormat="1" applyFont="1" applyAlignment="1">
      <alignment vertical="center"/>
    </xf>
    <xf numFmtId="44" fontId="16" fillId="0" borderId="0" xfId="0" applyNumberFormat="1" applyFont="1" applyAlignment="1">
      <alignment vertical="center"/>
    </xf>
    <xf numFmtId="43" fontId="26" fillId="0" borderId="1" xfId="1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43" fontId="7" fillId="2" borderId="0" xfId="0" applyNumberFormat="1" applyFont="1" applyFill="1" applyAlignment="1">
      <alignment horizontal="center"/>
    </xf>
    <xf numFmtId="43" fontId="26" fillId="4" borderId="10" xfId="1" applyFont="1" applyFill="1" applyBorder="1" applyAlignment="1">
      <alignment vertical="center" wrapText="1"/>
    </xf>
    <xf numFmtId="0" fontId="18" fillId="13" borderId="33" xfId="0" applyFont="1" applyFill="1" applyBorder="1" applyAlignment="1">
      <alignment vertical="center"/>
    </xf>
    <xf numFmtId="43" fontId="26" fillId="0" borderId="1" xfId="1" applyFont="1" applyFill="1" applyBorder="1" applyAlignment="1">
      <alignment vertical="center" wrapText="1"/>
    </xf>
    <xf numFmtId="44" fontId="10" fillId="0" borderId="1" xfId="10" applyFont="1" applyFill="1" applyBorder="1" applyAlignment="1">
      <alignment horizontal="left" vertical="center" wrapText="1"/>
    </xf>
    <xf numFmtId="0" fontId="3" fillId="0" borderId="80" xfId="0" applyFont="1" applyBorder="1" applyAlignment="1">
      <alignment horizontal="left" vertical="center" wrapText="1"/>
    </xf>
    <xf numFmtId="2" fontId="3" fillId="0" borderId="81" xfId="1" applyNumberFormat="1" applyFont="1" applyBorder="1" applyAlignment="1">
      <alignment horizontal="center" vertical="center" wrapText="1"/>
    </xf>
    <xf numFmtId="0" fontId="7" fillId="2" borderId="0" xfId="0" applyFont="1" applyFill="1" applyAlignment="1">
      <alignment horizontal="left"/>
    </xf>
    <xf numFmtId="43" fontId="3" fillId="0" borderId="39" xfId="0" applyNumberFormat="1" applyFont="1" applyBorder="1" applyAlignment="1">
      <alignment vertical="center"/>
    </xf>
    <xf numFmtId="17" fontId="39" fillId="14" borderId="82" xfId="11" applyNumberFormat="1" applyFont="1" applyFill="1" applyBorder="1" applyAlignment="1">
      <alignment vertical="center"/>
    </xf>
    <xf numFmtId="17" fontId="39" fillId="14" borderId="83" xfId="11" applyNumberFormat="1" applyFont="1" applyFill="1" applyBorder="1" applyAlignment="1">
      <alignment vertical="center"/>
    </xf>
    <xf numFmtId="0" fontId="41" fillId="0" borderId="0" xfId="11" applyFont="1"/>
    <xf numFmtId="0" fontId="42" fillId="0" borderId="85" xfId="11" applyFont="1" applyBorder="1" applyAlignment="1">
      <alignment vertical="center"/>
    </xf>
    <xf numFmtId="0" fontId="43" fillId="0" borderId="86" xfId="11" applyFont="1" applyBorder="1" applyAlignment="1">
      <alignment horizontal="right" vertical="center"/>
    </xf>
    <xf numFmtId="0" fontId="42" fillId="0" borderId="86" xfId="11" applyFont="1" applyBorder="1" applyAlignment="1">
      <alignment vertical="center"/>
    </xf>
    <xf numFmtId="0" fontId="42" fillId="0" borderId="86" xfId="11" applyFont="1" applyBorder="1" applyAlignment="1">
      <alignment horizontal="right" vertical="center"/>
    </xf>
    <xf numFmtId="0" fontId="42" fillId="0" borderId="86" xfId="11" applyFont="1" applyBorder="1" applyAlignment="1">
      <alignment horizontal="left" vertical="center"/>
    </xf>
    <xf numFmtId="0" fontId="42" fillId="0" borderId="87" xfId="11" applyFont="1" applyBorder="1" applyAlignment="1">
      <alignment vertical="center"/>
    </xf>
    <xf numFmtId="0" fontId="44" fillId="0" borderId="0" xfId="11" applyFont="1" applyAlignment="1">
      <alignment vertical="center"/>
    </xf>
    <xf numFmtId="0" fontId="42" fillId="0" borderId="0" xfId="11" applyFont="1" applyAlignment="1">
      <alignment vertical="center"/>
    </xf>
    <xf numFmtId="0" fontId="42" fillId="0" borderId="88" xfId="11" applyFont="1" applyBorder="1" applyAlignment="1">
      <alignment vertical="center"/>
    </xf>
    <xf numFmtId="0" fontId="43" fillId="0" borderId="89" xfId="11" applyFont="1" applyBorder="1" applyAlignment="1">
      <alignment horizontal="right" vertical="center"/>
    </xf>
    <xf numFmtId="0" fontId="42" fillId="0" borderId="89" xfId="11" applyFont="1" applyBorder="1" applyAlignment="1">
      <alignment vertical="center"/>
    </xf>
    <xf numFmtId="0" fontId="42" fillId="0" borderId="89" xfId="11" applyFont="1" applyBorder="1" applyAlignment="1">
      <alignment horizontal="right" vertical="center"/>
    </xf>
    <xf numFmtId="0" fontId="42" fillId="0" borderId="89" xfId="11" applyFont="1" applyBorder="1" applyAlignment="1">
      <alignment horizontal="left" vertical="center"/>
    </xf>
    <xf numFmtId="168" fontId="45" fillId="0" borderId="89" xfId="12" quotePrefix="1" applyNumberFormat="1" applyFont="1" applyFill="1" applyBorder="1" applyAlignment="1">
      <alignment horizontal="left" vertical="center"/>
    </xf>
    <xf numFmtId="0" fontId="42" fillId="0" borderId="90" xfId="11" applyFont="1" applyBorder="1" applyAlignment="1">
      <alignment vertical="center"/>
    </xf>
    <xf numFmtId="0" fontId="41" fillId="0" borderId="0" xfId="11" applyFont="1" applyAlignment="1">
      <alignment vertical="center"/>
    </xf>
    <xf numFmtId="0" fontId="42" fillId="0" borderId="91" xfId="11" applyFont="1" applyBorder="1" applyAlignment="1">
      <alignment vertical="center"/>
    </xf>
    <xf numFmtId="0" fontId="43" fillId="0" borderId="92" xfId="11" applyFont="1" applyBorder="1" applyAlignment="1">
      <alignment horizontal="right" vertical="center"/>
    </xf>
    <xf numFmtId="0" fontId="42" fillId="0" borderId="92" xfId="11" applyFont="1" applyBorder="1" applyAlignment="1">
      <alignment vertical="center"/>
    </xf>
    <xf numFmtId="0" fontId="42" fillId="0" borderId="92" xfId="11" applyFont="1" applyBorder="1" applyAlignment="1">
      <alignment horizontal="right" vertical="center"/>
    </xf>
    <xf numFmtId="0" fontId="42" fillId="0" borderId="92" xfId="11" applyFont="1" applyBorder="1" applyAlignment="1">
      <alignment horizontal="left" vertical="center"/>
    </xf>
    <xf numFmtId="0" fontId="42" fillId="0" borderId="93" xfId="11" applyFont="1" applyBorder="1" applyAlignment="1">
      <alignment vertical="center"/>
    </xf>
    <xf numFmtId="0" fontId="46" fillId="0" borderId="0" xfId="13" applyNumberFormat="1" applyFont="1" applyFill="1" applyBorder="1" applyAlignment="1"/>
    <xf numFmtId="0" fontId="42" fillId="0" borderId="0" xfId="13" applyNumberFormat="1" applyFont="1" applyFill="1" applyBorder="1" applyAlignment="1"/>
    <xf numFmtId="0" fontId="47" fillId="15" borderId="2" xfId="13" applyFont="1" applyFill="1" applyBorder="1" applyAlignment="1">
      <alignment vertical="center"/>
    </xf>
    <xf numFmtId="169" fontId="48" fillId="16" borderId="94" xfId="13" applyNumberFormat="1" applyFont="1" applyFill="1" applyBorder="1" applyAlignment="1">
      <alignment vertical="center" wrapText="1"/>
    </xf>
    <xf numFmtId="0" fontId="47" fillId="15" borderId="2" xfId="13" applyFont="1" applyFill="1" applyBorder="1" applyAlignment="1">
      <alignment horizontal="right" vertical="center"/>
    </xf>
    <xf numFmtId="170" fontId="48" fillId="16" borderId="94" xfId="13" applyNumberFormat="1" applyFont="1" applyFill="1" applyBorder="1" applyAlignment="1">
      <alignment vertical="center" wrapText="1"/>
    </xf>
    <xf numFmtId="170" fontId="48" fillId="16" borderId="0" xfId="13" applyNumberFormat="1" applyFont="1" applyFill="1" applyBorder="1" applyAlignment="1">
      <alignment vertical="center" wrapText="1"/>
    </xf>
    <xf numFmtId="0" fontId="50" fillId="0" borderId="0" xfId="13" applyNumberFormat="1" applyFont="1" applyFill="1" applyBorder="1" applyAlignment="1"/>
    <xf numFmtId="0" fontId="51" fillId="0" borderId="0" xfId="13" applyNumberFormat="1" applyFont="1" applyFill="1" applyBorder="1" applyAlignment="1"/>
    <xf numFmtId="170" fontId="52" fillId="16" borderId="0" xfId="13" applyNumberFormat="1" applyFont="1" applyFill="1" applyBorder="1" applyAlignment="1">
      <alignment vertical="center" wrapText="1"/>
    </xf>
    <xf numFmtId="0" fontId="50" fillId="0" borderId="19" xfId="13" applyNumberFormat="1" applyFont="1" applyFill="1" applyBorder="1" applyAlignment="1"/>
    <xf numFmtId="0" fontId="50" fillId="0" borderId="20" xfId="13" applyNumberFormat="1" applyFont="1" applyFill="1" applyBorder="1" applyAlignment="1"/>
    <xf numFmtId="0" fontId="50" fillId="0" borderId="0" xfId="13" applyNumberFormat="1" applyFont="1" applyFill="1" applyBorder="1" applyAlignment="1">
      <alignment horizontal="center" wrapText="1"/>
    </xf>
    <xf numFmtId="171" fontId="48" fillId="16" borderId="94" xfId="13" applyNumberFormat="1" applyFont="1" applyFill="1" applyBorder="1" applyAlignment="1">
      <alignment vertical="center" wrapText="1"/>
    </xf>
    <xf numFmtId="0" fontId="42" fillId="0" borderId="19" xfId="13" applyNumberFormat="1" applyFont="1" applyFill="1" applyBorder="1" applyAlignment="1"/>
    <xf numFmtId="0" fontId="42" fillId="0" borderId="20" xfId="13" applyNumberFormat="1" applyFont="1" applyFill="1" applyBorder="1" applyAlignment="1"/>
    <xf numFmtId="0" fontId="42" fillId="0" borderId="28" xfId="13" applyNumberFormat="1" applyFont="1" applyFill="1" applyBorder="1" applyAlignment="1"/>
    <xf numFmtId="0" fontId="42" fillId="0" borderId="29" xfId="13" applyNumberFormat="1" applyFont="1" applyFill="1" applyBorder="1" applyAlignment="1"/>
    <xf numFmtId="0" fontId="42" fillId="0" borderId="30" xfId="13" applyNumberFormat="1" applyFont="1" applyFill="1" applyBorder="1" applyAlignment="1"/>
    <xf numFmtId="0" fontId="49" fillId="15" borderId="15" xfId="13" applyFont="1" applyFill="1" applyBorder="1" applyAlignment="1">
      <alignment horizontal="center" vertical="center"/>
    </xf>
    <xf numFmtId="0" fontId="49" fillId="15" borderId="21" xfId="13" applyFont="1" applyFill="1" applyBorder="1" applyAlignment="1">
      <alignment horizontal="center" vertical="center"/>
    </xf>
    <xf numFmtId="0" fontId="49" fillId="15" borderId="8" xfId="13" applyFont="1" applyFill="1" applyBorder="1" applyAlignment="1">
      <alignment horizontal="center" vertical="center"/>
    </xf>
    <xf numFmtId="0" fontId="49" fillId="15" borderId="8" xfId="13" applyFont="1" applyFill="1" applyBorder="1" applyAlignment="1">
      <alignment horizontal="center" vertical="center" wrapText="1"/>
    </xf>
    <xf numFmtId="0" fontId="49" fillId="15" borderId="22" xfId="13" applyFont="1" applyFill="1" applyBorder="1" applyAlignment="1">
      <alignment horizontal="center" vertical="center"/>
    </xf>
    <xf numFmtId="0" fontId="42" fillId="0" borderId="96" xfId="13" applyNumberFormat="1" applyFont="1" applyFill="1" applyBorder="1" applyAlignment="1">
      <alignment horizontal="center"/>
    </xf>
    <xf numFmtId="0" fontId="42" fillId="0" borderId="97" xfId="13" applyNumberFormat="1" applyFont="1" applyFill="1" applyBorder="1" applyAlignment="1">
      <alignment horizontal="left"/>
    </xf>
    <xf numFmtId="0" fontId="42" fillId="0" borderId="97" xfId="13" applyNumberFormat="1" applyFont="1" applyFill="1" applyBorder="1" applyAlignment="1">
      <alignment horizontal="center"/>
    </xf>
    <xf numFmtId="0" fontId="42" fillId="0" borderId="98" xfId="13" applyNumberFormat="1" applyFont="1" applyFill="1" applyBorder="1" applyAlignment="1">
      <alignment horizontal="center"/>
    </xf>
    <xf numFmtId="0" fontId="42" fillId="0" borderId="99" xfId="13" applyNumberFormat="1" applyFont="1" applyFill="1" applyBorder="1" applyAlignment="1">
      <alignment horizontal="center"/>
    </xf>
    <xf numFmtId="0" fontId="42" fillId="0" borderId="100" xfId="13" applyNumberFormat="1" applyFont="1" applyFill="1" applyBorder="1" applyAlignment="1">
      <alignment horizontal="center"/>
    </xf>
    <xf numFmtId="0" fontId="42" fillId="0" borderId="101" xfId="13" applyNumberFormat="1" applyFont="1" applyFill="1" applyBorder="1" applyAlignment="1">
      <alignment horizontal="left"/>
    </xf>
    <xf numFmtId="0" fontId="42" fillId="0" borderId="101" xfId="13" applyNumberFormat="1" applyFont="1" applyFill="1" applyBorder="1" applyAlignment="1">
      <alignment horizontal="center"/>
    </xf>
    <xf numFmtId="0" fontId="42" fillId="0" borderId="102" xfId="13" applyNumberFormat="1" applyFont="1" applyFill="1" applyBorder="1" applyAlignment="1">
      <alignment horizontal="center"/>
    </xf>
    <xf numFmtId="0" fontId="42" fillId="0" borderId="103" xfId="13" applyNumberFormat="1" applyFont="1" applyFill="1" applyBorder="1" applyAlignment="1">
      <alignment horizontal="center"/>
    </xf>
    <xf numFmtId="43" fontId="42" fillId="0" borderId="0" xfId="1" applyFont="1" applyFill="1" applyBorder="1" applyAlignment="1"/>
    <xf numFmtId="0" fontId="53" fillId="0" borderId="97" xfId="13" applyNumberFormat="1" applyFont="1" applyFill="1" applyBorder="1" applyAlignment="1">
      <alignment horizontal="left"/>
    </xf>
    <xf numFmtId="0" fontId="53" fillId="0" borderId="99" xfId="13" applyNumberFormat="1" applyFont="1" applyFill="1" applyBorder="1" applyAlignment="1">
      <alignment horizontal="center"/>
    </xf>
    <xf numFmtId="2" fontId="42" fillId="0" borderId="0" xfId="13" applyNumberFormat="1" applyFont="1" applyFill="1" applyBorder="1" applyAlignment="1"/>
    <xf numFmtId="0" fontId="10" fillId="0" borderId="35" xfId="0" applyFont="1" applyBorder="1" applyAlignment="1">
      <alignment horizontal="left" vertical="center" wrapText="1"/>
    </xf>
    <xf numFmtId="0" fontId="2" fillId="0" borderId="0" xfId="2"/>
    <xf numFmtId="9" fontId="0" fillId="2" borderId="107" xfId="14" applyFont="1" applyFill="1" applyBorder="1" applyAlignment="1">
      <alignment horizontal="center" vertical="center"/>
    </xf>
    <xf numFmtId="0" fontId="2" fillId="0" borderId="0" xfId="2" applyAlignment="1">
      <alignment horizontal="center"/>
    </xf>
    <xf numFmtId="0" fontId="2" fillId="0" borderId="0" xfId="2" applyAlignment="1">
      <alignment horizontal="center" vertical="center"/>
    </xf>
    <xf numFmtId="0" fontId="0" fillId="18" borderId="116" xfId="0" applyFill="1" applyBorder="1" applyAlignment="1">
      <alignment horizontal="left" vertical="center"/>
    </xf>
    <xf numFmtId="0" fontId="0" fillId="18" borderId="116" xfId="0" applyFill="1" applyBorder="1" applyAlignment="1">
      <alignment horizontal="left" vertical="center" wrapText="1"/>
    </xf>
    <xf numFmtId="1" fontId="0" fillId="18" borderId="116" xfId="0" applyNumberFormat="1" applyFill="1" applyBorder="1" applyAlignment="1">
      <alignment horizontal="center" vertical="center"/>
    </xf>
    <xf numFmtId="2" fontId="0" fillId="18" borderId="116" xfId="0" applyNumberFormat="1" applyFill="1" applyBorder="1" applyAlignment="1">
      <alignment horizontal="center" vertical="center"/>
    </xf>
    <xf numFmtId="0" fontId="0" fillId="2" borderId="117" xfId="0" applyFill="1" applyBorder="1" applyAlignment="1">
      <alignment horizontal="left" vertical="center"/>
    </xf>
    <xf numFmtId="0" fontId="0" fillId="2" borderId="117" xfId="0" applyFill="1" applyBorder="1" applyAlignment="1">
      <alignment horizontal="left" vertical="center" wrapText="1"/>
    </xf>
    <xf numFmtId="1" fontId="0" fillId="2" borderId="117" xfId="0" applyNumberFormat="1" applyFill="1" applyBorder="1" applyAlignment="1">
      <alignment horizontal="center" vertical="center"/>
    </xf>
    <xf numFmtId="2" fontId="0" fillId="2" borderId="117" xfId="0" applyNumberFormat="1" applyFill="1" applyBorder="1" applyAlignment="1">
      <alignment horizontal="center" vertical="center"/>
    </xf>
    <xf numFmtId="0" fontId="0" fillId="19" borderId="117" xfId="0" applyFill="1" applyBorder="1" applyAlignment="1">
      <alignment horizontal="left" vertical="center"/>
    </xf>
    <xf numFmtId="0" fontId="0" fillId="19" borderId="117" xfId="0" applyFill="1" applyBorder="1" applyAlignment="1">
      <alignment horizontal="left" vertical="center" wrapText="1"/>
    </xf>
    <xf numFmtId="1" fontId="0" fillId="19" borderId="117" xfId="0" applyNumberFormat="1" applyFill="1" applyBorder="1" applyAlignment="1">
      <alignment horizontal="center" vertical="center"/>
    </xf>
    <xf numFmtId="2" fontId="0" fillId="19" borderId="117" xfId="0" applyNumberFormat="1" applyFill="1" applyBorder="1" applyAlignment="1">
      <alignment horizontal="center" vertical="center"/>
    </xf>
    <xf numFmtId="0" fontId="3" fillId="0" borderId="72" xfId="0" applyFont="1" applyBorder="1" applyAlignment="1">
      <alignment horizontal="left" vertical="center"/>
    </xf>
    <xf numFmtId="2" fontId="42" fillId="0" borderId="97" xfId="13" applyNumberFormat="1" applyFont="1" applyFill="1" applyBorder="1" applyAlignment="1">
      <alignment horizontal="left"/>
    </xf>
    <xf numFmtId="0" fontId="19" fillId="0" borderId="0" xfId="0" applyFont="1" applyAlignment="1">
      <alignment horizontal="right" vertical="center"/>
    </xf>
    <xf numFmtId="43" fontId="26" fillId="13" borderId="10" xfId="1" applyFont="1" applyFill="1" applyBorder="1" applyAlignment="1">
      <alignment vertical="center" wrapText="1"/>
    </xf>
    <xf numFmtId="0" fontId="19" fillId="0" borderId="0" xfId="0" applyNumberFormat="1" applyFont="1" applyAlignment="1">
      <alignment vertical="center"/>
    </xf>
    <xf numFmtId="43" fontId="19" fillId="0" borderId="0" xfId="0" applyNumberFormat="1" applyFont="1" applyAlignment="1">
      <alignment vertical="center"/>
    </xf>
    <xf numFmtId="0" fontId="10" fillId="0" borderId="35" xfId="0" applyFont="1" applyBorder="1" applyAlignment="1">
      <alignment horizontal="left" vertical="center" wrapText="1"/>
    </xf>
    <xf numFmtId="0" fontId="0" fillId="0" borderId="0" xfId="0"/>
    <xf numFmtId="0" fontId="55" fillId="2" borderId="104" xfId="0" applyFont="1" applyFill="1" applyBorder="1"/>
    <xf numFmtId="0" fontId="0" fillId="2" borderId="105" xfId="0" applyFill="1" applyBorder="1"/>
    <xf numFmtId="0" fontId="55" fillId="2" borderId="106" xfId="0" applyFont="1" applyFill="1" applyBorder="1" applyAlignment="1">
      <alignment horizontal="center"/>
    </xf>
    <xf numFmtId="0" fontId="55" fillId="2" borderId="108" xfId="0" applyFont="1" applyFill="1" applyBorder="1" applyAlignment="1">
      <alignment horizontal="center"/>
    </xf>
    <xf numFmtId="0" fontId="0" fillId="2" borderId="109" xfId="0" applyFill="1" applyBorder="1" applyAlignment="1">
      <alignment horizontal="center" vertical="center"/>
    </xf>
    <xf numFmtId="0" fontId="0" fillId="2" borderId="110" xfId="0" applyFill="1" applyBorder="1" applyAlignment="1">
      <alignment horizontal="center"/>
    </xf>
    <xf numFmtId="0" fontId="0" fillId="2" borderId="111" xfId="0" applyFill="1" applyBorder="1" applyAlignment="1">
      <alignment horizontal="center" vertical="center"/>
    </xf>
    <xf numFmtId="0" fontId="55" fillId="2" borderId="110" xfId="0" applyFont="1" applyFill="1" applyBorder="1" applyAlignment="1">
      <alignment horizontal="center"/>
    </xf>
    <xf numFmtId="0" fontId="55" fillId="2" borderId="111" xfId="0" applyFont="1" applyFill="1" applyBorder="1" applyAlignment="1">
      <alignment horizontal="center" vertical="center"/>
    </xf>
    <xf numFmtId="0" fontId="55" fillId="2" borderId="112" xfId="0" applyFont="1" applyFill="1" applyBorder="1" applyAlignment="1">
      <alignment horizontal="center"/>
    </xf>
    <xf numFmtId="0" fontId="55" fillId="2" borderId="113" xfId="0" applyFont="1" applyFill="1" applyBorder="1" applyAlignment="1">
      <alignment horizontal="center" vertical="center"/>
    </xf>
    <xf numFmtId="2" fontId="2" fillId="0" borderId="0" xfId="2" applyNumberFormat="1"/>
    <xf numFmtId="2" fontId="0" fillId="20" borderId="117" xfId="0" applyNumberFormat="1" applyFill="1" applyBorder="1" applyAlignment="1">
      <alignment horizontal="center" vertical="center"/>
    </xf>
    <xf numFmtId="2" fontId="19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43" fontId="4" fillId="0" borderId="0" xfId="1" applyFont="1" applyAlignment="1">
      <alignment vertical="center"/>
    </xf>
    <xf numFmtId="43" fontId="4" fillId="0" borderId="0" xfId="1" applyFont="1" applyAlignment="1">
      <alignment horizontal="center" vertical="center"/>
    </xf>
    <xf numFmtId="44" fontId="10" fillId="13" borderId="1" xfId="10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17" fontId="40" fillId="14" borderId="84" xfId="11" applyNumberFormat="1" applyFont="1" applyFill="1" applyBorder="1" applyAlignment="1">
      <alignment horizontal="center" vertical="center"/>
    </xf>
    <xf numFmtId="0" fontId="49" fillId="15" borderId="82" xfId="13" applyFont="1" applyFill="1" applyBorder="1" applyAlignment="1">
      <alignment horizontal="center" vertical="center"/>
    </xf>
    <xf numFmtId="0" fontId="49" fillId="15" borderId="83" xfId="13" applyFont="1" applyFill="1" applyBorder="1" applyAlignment="1">
      <alignment horizontal="center" vertical="center"/>
    </xf>
    <xf numFmtId="0" fontId="49" fillId="15" borderId="95" xfId="13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0" fillId="0" borderId="0" xfId="0"/>
    <xf numFmtId="0" fontId="28" fillId="10" borderId="6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8" fillId="10" borderId="42" xfId="0" applyFont="1" applyFill="1" applyBorder="1" applyAlignment="1">
      <alignment horizontal="center" vertical="center" wrapText="1"/>
    </xf>
    <xf numFmtId="0" fontId="28" fillId="10" borderId="41" xfId="0" applyFont="1" applyFill="1" applyBorder="1" applyAlignment="1">
      <alignment horizontal="center" vertical="center" wrapText="1"/>
    </xf>
    <xf numFmtId="43" fontId="28" fillId="9" borderId="52" xfId="1" applyFont="1" applyFill="1" applyBorder="1" applyAlignment="1">
      <alignment horizontal="center" vertical="center"/>
    </xf>
    <xf numFmtId="43" fontId="28" fillId="9" borderId="51" xfId="1" applyFont="1" applyFill="1" applyBorder="1" applyAlignment="1">
      <alignment horizontal="center" vertical="center"/>
    </xf>
    <xf numFmtId="0" fontId="28" fillId="9" borderId="52" xfId="0" applyFont="1" applyFill="1" applyBorder="1" applyAlignment="1">
      <alignment horizontal="center" vertical="center"/>
    </xf>
    <xf numFmtId="0" fontId="28" fillId="9" borderId="51" xfId="0" applyFont="1" applyFill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28" fillId="10" borderId="77" xfId="0" applyFont="1" applyFill="1" applyBorder="1" applyAlignment="1">
      <alignment horizontal="center" vertical="center" wrapText="1"/>
    </xf>
    <xf numFmtId="0" fontId="54" fillId="17" borderId="80" xfId="0" applyFont="1" applyFill="1" applyBorder="1" applyAlignment="1">
      <alignment horizontal="center" vertical="center"/>
    </xf>
    <xf numFmtId="0" fontId="54" fillId="17" borderId="0" xfId="0" applyFont="1" applyFill="1" applyAlignment="1">
      <alignment horizontal="center" vertical="center"/>
    </xf>
    <xf numFmtId="0" fontId="55" fillId="2" borderId="114" xfId="0" applyFont="1" applyFill="1" applyBorder="1" applyAlignment="1">
      <alignment horizontal="center"/>
    </xf>
    <xf numFmtId="0" fontId="55" fillId="2" borderId="0" xfId="0" applyFont="1" applyFill="1" applyAlignment="1">
      <alignment horizontal="center"/>
    </xf>
    <xf numFmtId="0" fontId="55" fillId="2" borderId="115" xfId="0" applyFont="1" applyFill="1" applyBorder="1" applyAlignment="1">
      <alignment horizontal="center"/>
    </xf>
    <xf numFmtId="0" fontId="54" fillId="17" borderId="78" xfId="0" applyFont="1" applyFill="1" applyBorder="1" applyAlignment="1">
      <alignment horizontal="center" vertical="center"/>
    </xf>
    <xf numFmtId="0" fontId="54" fillId="17" borderId="33" xfId="0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</cellXfs>
  <cellStyles count="15">
    <cellStyle name="Moeda" xfId="10" builtinId="4"/>
    <cellStyle name="Normal" xfId="0" builtinId="0"/>
    <cellStyle name="Normal 10" xfId="11" xr:uid="{BA8F89B6-91ED-4126-A69F-91944AEBC21D}"/>
    <cellStyle name="Normal 2" xfId="2" xr:uid="{00000000-0005-0000-0000-000001000000}"/>
    <cellStyle name="Normal 2 4" xfId="13" xr:uid="{61427BC9-91B4-4E6F-AC17-17520BE9AC85}"/>
    <cellStyle name="Normal 3" xfId="7" xr:uid="{E04F1BAC-8E74-4A37-9445-C7335308FD48}"/>
    <cellStyle name="Normal 7" xfId="5" xr:uid="{B5D56057-44D1-4A2B-9814-263CBEA5E92D}"/>
    <cellStyle name="Porcentagem" xfId="6" builtinId="5"/>
    <cellStyle name="Porcentagem 2" xfId="14" xr:uid="{94A2CC83-9E87-49CB-8CE2-484183CAF5A1}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3 2 2" xfId="12" xr:uid="{25848F0E-1F68-4516-B56B-E0CC6B31E532}"/>
    <cellStyle name="Vírgula 4" xfId="9" xr:uid="{36500701-2F34-46A0-BEC0-E5982B15FF0A}"/>
  </cellStyles>
  <dxfs count="0"/>
  <tableStyles count="0" defaultTableStyle="TableStyleMedium2" defaultPivotStyle="PivotStyleLight16"/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423657</xdr:colOff>
      <xdr:row>0</xdr:row>
      <xdr:rowOff>322339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21D6966-FF57-41F6-B239-19EADC6703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283" b="39658"/>
        <a:stretch/>
      </xdr:blipFill>
      <xdr:spPr bwMode="auto">
        <a:xfrm>
          <a:off x="0" y="0"/>
          <a:ext cx="1566657" cy="322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522209</xdr:colOff>
      <xdr:row>39</xdr:row>
      <xdr:rowOff>12613</xdr:rowOff>
    </xdr:from>
    <xdr:to>
      <xdr:col>14</xdr:col>
      <xdr:colOff>552450</xdr:colOff>
      <xdr:row>56</xdr:row>
      <xdr:rowOff>142876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F80E14C-E084-4AFD-A695-454B44B99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1859" y="6527713"/>
          <a:ext cx="6440566" cy="2882988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114302</xdr:colOff>
      <xdr:row>66</xdr:row>
      <xdr:rowOff>95250</xdr:rowOff>
    </xdr:from>
    <xdr:to>
      <xdr:col>9</xdr:col>
      <xdr:colOff>619126</xdr:colOff>
      <xdr:row>71</xdr:row>
      <xdr:rowOff>20535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34C5FC6-03E6-4A75-83EB-6C37DF295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33952" y="10982325"/>
          <a:ext cx="3000374" cy="734910"/>
        </a:xfrm>
        <a:prstGeom prst="rect">
          <a:avLst/>
        </a:prstGeom>
      </xdr:spPr>
    </xdr:pic>
    <xdr:clientData/>
  </xdr:twoCellAnchor>
  <xdr:twoCellAnchor editAs="oneCell">
    <xdr:from>
      <xdr:col>6</xdr:col>
      <xdr:colOff>95249</xdr:colOff>
      <xdr:row>57</xdr:row>
      <xdr:rowOff>0</xdr:rowOff>
    </xdr:from>
    <xdr:to>
      <xdr:col>9</xdr:col>
      <xdr:colOff>647700</xdr:colOff>
      <xdr:row>66</xdr:row>
      <xdr:rowOff>62034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D3DF788-3943-4B39-9E10-FE696225D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14899" y="9429750"/>
          <a:ext cx="3048001" cy="1519359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</xdr:colOff>
      <xdr:row>57</xdr:row>
      <xdr:rowOff>9782</xdr:rowOff>
    </xdr:from>
    <xdr:to>
      <xdr:col>14</xdr:col>
      <xdr:colOff>445294</xdr:colOff>
      <xdr:row>61</xdr:row>
      <xdr:rowOff>152400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ACBED74-D0B4-4661-B2B2-0874DBDA5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20050" y="9439532"/>
          <a:ext cx="3655219" cy="79031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63</xdr:row>
      <xdr:rowOff>1</xdr:rowOff>
    </xdr:from>
    <xdr:to>
      <xdr:col>12</xdr:col>
      <xdr:colOff>425518</xdr:colOff>
      <xdr:row>68</xdr:row>
      <xdr:rowOff>123826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BDD72A4-D073-43D2-824A-EC93A782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01000" y="10401301"/>
          <a:ext cx="1959043" cy="933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97595</xdr:colOff>
      <xdr:row>0</xdr:row>
      <xdr:rowOff>225491</xdr:rowOff>
    </xdr:from>
    <xdr:to>
      <xdr:col>6</xdr:col>
      <xdr:colOff>1521657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0A8EF1-5172-424E-904A-801C19B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45" y="225491"/>
          <a:ext cx="1424062" cy="2398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887FC87-A112-41C2-8D6C-E71A2E39EE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CD5673A-8A7E-4D4B-95CE-ED066E2308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331695</xdr:colOff>
      <xdr:row>1</xdr:row>
      <xdr:rowOff>134472</xdr:rowOff>
    </xdr:from>
    <xdr:to>
      <xdr:col>3</xdr:col>
      <xdr:colOff>495300</xdr:colOff>
      <xdr:row>6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9ACFB5-EFBD-4CEF-94BD-526CC1993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8770" y="296397"/>
          <a:ext cx="706530" cy="798978"/>
        </a:xfrm>
        <a:prstGeom prst="rect">
          <a:avLst/>
        </a:prstGeom>
      </xdr:spPr>
    </xdr:pic>
    <xdr:clientData/>
  </xdr:twoCellAnchor>
  <xdr:twoCellAnchor editAs="oneCell">
    <xdr:from>
      <xdr:col>2</xdr:col>
      <xdr:colOff>331695</xdr:colOff>
      <xdr:row>1</xdr:row>
      <xdr:rowOff>134472</xdr:rowOff>
    </xdr:from>
    <xdr:to>
      <xdr:col>3</xdr:col>
      <xdr:colOff>495300</xdr:colOff>
      <xdr:row>6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307F549-FA90-4697-A448-6C0C93FB5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8770" y="296397"/>
          <a:ext cx="706530" cy="798978"/>
        </a:xfrm>
        <a:prstGeom prst="rect">
          <a:avLst/>
        </a:prstGeom>
      </xdr:spPr>
    </xdr:pic>
    <xdr:clientData/>
  </xdr:twoCellAnchor>
  <xdr:twoCellAnchor editAs="oneCell">
    <xdr:from>
      <xdr:col>2</xdr:col>
      <xdr:colOff>331695</xdr:colOff>
      <xdr:row>1</xdr:row>
      <xdr:rowOff>134472</xdr:rowOff>
    </xdr:from>
    <xdr:to>
      <xdr:col>3</xdr:col>
      <xdr:colOff>495300</xdr:colOff>
      <xdr:row>6</xdr:row>
      <xdr:rowOff>123825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8F35B1D-82B3-4544-8F97-7D7D452C8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6720" y="363072"/>
          <a:ext cx="706530" cy="7989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11B8AAF6-A5B4-4006-9C3C-189C0CC6AA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95250</xdr:colOff>
      <xdr:row>37</xdr:row>
      <xdr:rowOff>28602</xdr:rowOff>
    </xdr:from>
    <xdr:to>
      <xdr:col>4</xdr:col>
      <xdr:colOff>47625</xdr:colOff>
      <xdr:row>50</xdr:row>
      <xdr:rowOff>153050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2B1F754-5F6E-4806-920C-020AE34D0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6619902"/>
          <a:ext cx="5534025" cy="25342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DE8C-2FE9-46D4-9925-492614BC41C3}">
  <sheetPr>
    <tabColor theme="1"/>
    <pageSetUpPr fitToPage="1"/>
  </sheetPr>
  <dimension ref="A1:S76"/>
  <sheetViews>
    <sheetView showGridLines="0" tabSelected="1" zoomScaleNormal="100" zoomScaleSheetLayoutView="90" workbookViewId="0">
      <pane ySplit="4" topLeftCell="A5" activePane="bottomLeft" state="frozen"/>
      <selection pane="bottomLeft" activeCell="C10" sqref="C10"/>
    </sheetView>
  </sheetViews>
  <sheetFormatPr defaultRowHeight="12.75" x14ac:dyDescent="0.2"/>
  <cols>
    <col min="1" max="1" width="1.85546875" style="234" customWidth="1"/>
    <col min="2" max="2" width="15.28515625" style="234" customWidth="1"/>
    <col min="3" max="3" width="17.7109375" style="234" customWidth="1"/>
    <col min="4" max="4" width="14.42578125" style="234" customWidth="1"/>
    <col min="5" max="5" width="18.140625" style="234" customWidth="1"/>
    <col min="6" max="6" width="10" style="234" customWidth="1"/>
    <col min="7" max="7" width="9.28515625" style="234" customWidth="1"/>
    <col min="8" max="8" width="17.85546875" style="234" bestFit="1" customWidth="1"/>
    <col min="9" max="9" width="10.28515625" style="234" bestFit="1" customWidth="1"/>
    <col min="10" max="11" width="10.28515625" style="234" customWidth="1"/>
    <col min="12" max="12" width="12.7109375" style="234" bestFit="1" customWidth="1"/>
    <col min="13" max="14" width="12.7109375" style="234" customWidth="1"/>
    <col min="15" max="16" width="10.28515625" style="234" customWidth="1"/>
    <col min="17" max="17" width="2.42578125" style="234" customWidth="1"/>
    <col min="18" max="16384" width="9.140625" style="234"/>
  </cols>
  <sheetData>
    <row r="1" spans="1:19" s="210" customFormat="1" ht="26.25" x14ac:dyDescent="0.2">
      <c r="A1" s="208"/>
      <c r="B1" s="209"/>
      <c r="C1" s="315" t="s">
        <v>365</v>
      </c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</row>
    <row r="2" spans="1:19" s="218" customFormat="1" ht="15" customHeight="1" x14ac:dyDescent="0.25">
      <c r="A2" s="211"/>
      <c r="B2" s="212" t="s">
        <v>366</v>
      </c>
      <c r="C2" s="215" t="s">
        <v>443</v>
      </c>
      <c r="D2" s="214"/>
      <c r="E2" s="212" t="s">
        <v>367</v>
      </c>
      <c r="F2" s="215" t="s">
        <v>368</v>
      </c>
      <c r="G2" s="215"/>
      <c r="H2" s="215"/>
      <c r="I2" s="215"/>
      <c r="J2" s="213"/>
      <c r="K2" s="213"/>
      <c r="L2" s="215"/>
      <c r="M2" s="213"/>
      <c r="N2" s="213"/>
      <c r="O2" s="213"/>
      <c r="P2" s="213"/>
      <c r="Q2" s="216"/>
      <c r="R2" s="217"/>
      <c r="S2" s="217"/>
    </row>
    <row r="3" spans="1:19" s="226" customFormat="1" ht="15" customHeight="1" x14ac:dyDescent="0.25">
      <c r="A3" s="219"/>
      <c r="B3" s="220" t="s">
        <v>369</v>
      </c>
      <c r="C3" s="223" t="s">
        <v>442</v>
      </c>
      <c r="D3" s="222"/>
      <c r="E3" s="220" t="s">
        <v>370</v>
      </c>
      <c r="F3" s="223" t="s">
        <v>371</v>
      </c>
      <c r="G3" s="223"/>
      <c r="H3" s="223"/>
      <c r="I3" s="223"/>
      <c r="J3" s="224"/>
      <c r="K3" s="224"/>
      <c r="L3" s="223"/>
      <c r="M3" s="221"/>
      <c r="N3" s="221"/>
      <c r="O3" s="221"/>
      <c r="P3" s="221"/>
      <c r="Q3" s="225"/>
    </row>
    <row r="4" spans="1:19" s="226" customFormat="1" ht="15" customHeight="1" thickBot="1" x14ac:dyDescent="0.3">
      <c r="A4" s="227"/>
      <c r="B4" s="228" t="s">
        <v>372</v>
      </c>
      <c r="C4" s="231" t="s">
        <v>373</v>
      </c>
      <c r="D4" s="230"/>
      <c r="E4" s="228" t="s">
        <v>374</v>
      </c>
      <c r="F4" s="231" t="s">
        <v>375</v>
      </c>
      <c r="G4" s="231"/>
      <c r="H4" s="231"/>
      <c r="I4" s="231"/>
      <c r="J4" s="229"/>
      <c r="K4" s="229"/>
      <c r="L4" s="231"/>
      <c r="M4" s="229"/>
      <c r="N4" s="229"/>
      <c r="O4" s="229"/>
      <c r="P4" s="229"/>
      <c r="Q4" s="232"/>
    </row>
    <row r="5" spans="1:19" s="233" customFormat="1" ht="6" thickBot="1" x14ac:dyDescent="0.2"/>
    <row r="6" spans="1:19" ht="18" customHeight="1" x14ac:dyDescent="0.2">
      <c r="B6" s="235" t="s">
        <v>376</v>
      </c>
      <c r="C6" s="236">
        <v>36</v>
      </c>
      <c r="E6" s="237" t="s">
        <v>377</v>
      </c>
      <c r="F6" s="238">
        <v>66</v>
      </c>
      <c r="G6" s="239"/>
      <c r="H6" s="237" t="s">
        <v>378</v>
      </c>
      <c r="I6" s="238">
        <v>2</v>
      </c>
      <c r="J6" s="239"/>
      <c r="K6" s="316" t="s">
        <v>379</v>
      </c>
      <c r="L6" s="317"/>
      <c r="M6" s="317"/>
      <c r="N6" s="317"/>
      <c r="O6" s="317"/>
      <c r="P6" s="318"/>
    </row>
    <row r="7" spans="1:19" s="240" customFormat="1" ht="6.75" x14ac:dyDescent="0.15">
      <c r="B7" s="241"/>
      <c r="E7" s="241"/>
      <c r="H7" s="241"/>
      <c r="J7" s="242"/>
      <c r="K7" s="243"/>
      <c r="P7" s="244"/>
      <c r="Q7" s="245"/>
    </row>
    <row r="8" spans="1:19" ht="18" customHeight="1" x14ac:dyDescent="0.2">
      <c r="B8" s="235" t="s">
        <v>380</v>
      </c>
      <c r="C8" s="246">
        <v>720</v>
      </c>
      <c r="E8" s="237" t="s">
        <v>381</v>
      </c>
      <c r="F8" s="238">
        <v>3</v>
      </c>
      <c r="G8" s="239"/>
      <c r="H8" s="237"/>
      <c r="I8" s="238"/>
      <c r="J8" s="239"/>
      <c r="K8" s="247"/>
      <c r="P8" s="248"/>
    </row>
    <row r="9" spans="1:19" s="240" customFormat="1" ht="6.75" x14ac:dyDescent="0.15">
      <c r="B9" s="241"/>
      <c r="E9" s="241"/>
      <c r="H9" s="241"/>
      <c r="J9" s="242"/>
      <c r="K9" s="243"/>
      <c r="P9" s="244"/>
    </row>
    <row r="10" spans="1:19" ht="18" customHeight="1" x14ac:dyDescent="0.2">
      <c r="B10" s="235" t="s">
        <v>382</v>
      </c>
      <c r="C10" s="246">
        <f>SUM($D$21:$D$36)</f>
        <v>5347.8600000000006</v>
      </c>
      <c r="E10" s="237" t="s">
        <v>383</v>
      </c>
      <c r="F10" s="238">
        <f>COUNTA(C21:C35)</f>
        <v>14</v>
      </c>
      <c r="G10" s="239"/>
      <c r="H10" s="237"/>
      <c r="I10" s="238"/>
      <c r="J10" s="239"/>
      <c r="K10" s="247"/>
      <c r="P10" s="248"/>
    </row>
    <row r="11" spans="1:19" s="240" customFormat="1" ht="6.75" x14ac:dyDescent="0.15">
      <c r="B11" s="241"/>
      <c r="E11" s="241"/>
      <c r="H11" s="241"/>
      <c r="J11" s="242"/>
      <c r="K11" s="243"/>
      <c r="P11" s="244"/>
    </row>
    <row r="12" spans="1:19" ht="18" customHeight="1" x14ac:dyDescent="0.2">
      <c r="B12" s="235" t="s">
        <v>384</v>
      </c>
      <c r="C12" s="246">
        <f>SUM($E$21:$E$35)</f>
        <v>2972.3999999999996</v>
      </c>
      <c r="E12" s="237" t="s">
        <v>385</v>
      </c>
      <c r="F12" s="238">
        <f>SUM(J20:J36)</f>
        <v>77</v>
      </c>
      <c r="G12" s="239"/>
      <c r="H12" s="237"/>
      <c r="I12" s="238"/>
      <c r="J12" s="239"/>
      <c r="K12" s="247"/>
      <c r="P12" s="248"/>
    </row>
    <row r="13" spans="1:19" s="240" customFormat="1" ht="6.75" x14ac:dyDescent="0.15">
      <c r="B13" s="241"/>
      <c r="E13" s="241"/>
      <c r="H13" s="241"/>
      <c r="J13" s="242"/>
      <c r="K13" s="243"/>
      <c r="P13" s="244"/>
    </row>
    <row r="14" spans="1:19" ht="18" customHeight="1" x14ac:dyDescent="0.2">
      <c r="B14" s="235" t="s">
        <v>386</v>
      </c>
      <c r="C14" s="246">
        <f>SUM(E39:E46,E51:E56,E63:E68)</f>
        <v>813.67</v>
      </c>
      <c r="E14" s="237" t="s">
        <v>387</v>
      </c>
      <c r="F14" s="238">
        <v>1</v>
      </c>
      <c r="G14" s="239"/>
      <c r="H14" s="237"/>
      <c r="I14" s="238"/>
      <c r="J14" s="239"/>
      <c r="K14" s="247"/>
      <c r="P14" s="248"/>
    </row>
    <row r="15" spans="1:19" s="240" customFormat="1" ht="6.75" x14ac:dyDescent="0.15">
      <c r="J15" s="242"/>
      <c r="K15" s="243"/>
      <c r="P15" s="244"/>
    </row>
    <row r="16" spans="1:19" ht="18" customHeight="1" x14ac:dyDescent="0.2">
      <c r="B16" s="235" t="s">
        <v>388</v>
      </c>
      <c r="C16" s="246">
        <v>311.82</v>
      </c>
      <c r="E16" s="237" t="s">
        <v>389</v>
      </c>
      <c r="F16" s="238">
        <v>14</v>
      </c>
      <c r="G16" s="239"/>
      <c r="H16" s="237"/>
      <c r="I16" s="238"/>
      <c r="J16" s="239"/>
      <c r="K16" s="247"/>
      <c r="P16" s="248"/>
    </row>
    <row r="17" spans="2:16" s="240" customFormat="1" ht="6.75" x14ac:dyDescent="0.15">
      <c r="J17" s="242"/>
      <c r="K17" s="243"/>
      <c r="P17" s="244"/>
    </row>
    <row r="18" spans="2:16" ht="18" customHeight="1" thickBot="1" x14ac:dyDescent="0.25">
      <c r="B18" s="237" t="s">
        <v>390</v>
      </c>
      <c r="C18" s="238">
        <f>SUM(H20:H36)</f>
        <v>81</v>
      </c>
      <c r="E18" s="237" t="s">
        <v>391</v>
      </c>
      <c r="F18" s="238">
        <f>SUM(I20:I36)</f>
        <v>0</v>
      </c>
      <c r="G18" s="239"/>
      <c r="H18" s="237"/>
      <c r="I18" s="238"/>
      <c r="J18" s="239"/>
      <c r="K18" s="249"/>
      <c r="L18" s="250"/>
      <c r="M18" s="250"/>
      <c r="N18" s="250"/>
      <c r="O18" s="250"/>
      <c r="P18" s="251"/>
    </row>
    <row r="19" spans="2:16" ht="13.5" thickBot="1" x14ac:dyDescent="0.25"/>
    <row r="20" spans="2:16" ht="22.5" x14ac:dyDescent="0.2">
      <c r="B20" s="252" t="s">
        <v>392</v>
      </c>
      <c r="C20" s="253" t="s">
        <v>393</v>
      </c>
      <c r="D20" s="253" t="s">
        <v>394</v>
      </c>
      <c r="E20" s="253" t="s">
        <v>395</v>
      </c>
      <c r="F20" s="253" t="s">
        <v>396</v>
      </c>
      <c r="G20" s="254" t="s">
        <v>397</v>
      </c>
      <c r="H20" s="254" t="s">
        <v>289</v>
      </c>
      <c r="I20" s="254" t="s">
        <v>398</v>
      </c>
      <c r="J20" s="254" t="s">
        <v>399</v>
      </c>
      <c r="K20" s="254" t="s">
        <v>268</v>
      </c>
      <c r="L20" s="255" t="s">
        <v>400</v>
      </c>
      <c r="M20" s="255" t="s">
        <v>401</v>
      </c>
      <c r="N20" s="254" t="s">
        <v>220</v>
      </c>
      <c r="O20" s="254" t="s">
        <v>402</v>
      </c>
      <c r="P20" s="256"/>
    </row>
    <row r="21" spans="2:16" x14ac:dyDescent="0.2">
      <c r="B21" s="257" t="s">
        <v>403</v>
      </c>
      <c r="C21" s="258" t="s">
        <v>404</v>
      </c>
      <c r="D21" s="259">
        <v>624</v>
      </c>
      <c r="E21" s="259">
        <v>150</v>
      </c>
      <c r="F21" s="259">
        <v>99.93</v>
      </c>
      <c r="G21" s="260">
        <v>3.06</v>
      </c>
      <c r="H21" s="260"/>
      <c r="I21" s="260"/>
      <c r="J21" s="260"/>
      <c r="K21" s="260"/>
      <c r="L21" s="260"/>
      <c r="M21" s="260"/>
      <c r="N21" s="260">
        <v>13</v>
      </c>
      <c r="O21" s="260"/>
      <c r="P21" s="261"/>
    </row>
    <row r="22" spans="2:16" x14ac:dyDescent="0.2">
      <c r="B22" s="257" t="s">
        <v>403</v>
      </c>
      <c r="C22" s="258" t="s">
        <v>405</v>
      </c>
      <c r="D22" s="259">
        <v>593.66999999999996</v>
      </c>
      <c r="E22" s="259"/>
      <c r="F22" s="259">
        <v>87.82</v>
      </c>
      <c r="G22" s="260">
        <v>3.24</v>
      </c>
      <c r="H22" s="260">
        <v>4</v>
      </c>
      <c r="I22" s="260"/>
      <c r="J22" s="260"/>
      <c r="K22" s="260">
        <f>H22</f>
        <v>4</v>
      </c>
      <c r="L22" s="260">
        <v>4</v>
      </c>
      <c r="M22" s="260">
        <v>4</v>
      </c>
      <c r="N22" s="260">
        <v>7</v>
      </c>
      <c r="O22" s="260">
        <v>3</v>
      </c>
      <c r="P22" s="261"/>
    </row>
    <row r="23" spans="2:16" x14ac:dyDescent="0.2">
      <c r="B23" s="257" t="s">
        <v>403</v>
      </c>
      <c r="C23" s="258" t="s">
        <v>406</v>
      </c>
      <c r="D23" s="259">
        <v>301.01</v>
      </c>
      <c r="E23" s="259"/>
      <c r="F23" s="259">
        <v>87.82</v>
      </c>
      <c r="G23" s="260">
        <v>3.24</v>
      </c>
      <c r="H23" s="260"/>
      <c r="I23" s="260"/>
      <c r="J23" s="260"/>
      <c r="K23" s="260"/>
      <c r="L23" s="260"/>
      <c r="M23" s="260"/>
      <c r="N23" s="260">
        <v>3</v>
      </c>
      <c r="O23" s="260"/>
      <c r="P23" s="261"/>
    </row>
    <row r="24" spans="2:16" x14ac:dyDescent="0.2">
      <c r="B24" s="257" t="s">
        <v>403</v>
      </c>
      <c r="C24" s="258" t="s">
        <v>407</v>
      </c>
      <c r="D24" s="259">
        <v>464.43</v>
      </c>
      <c r="E24" s="259">
        <v>403.2</v>
      </c>
      <c r="F24" s="259">
        <v>93.9</v>
      </c>
      <c r="G24" s="260">
        <v>3.24</v>
      </c>
      <c r="H24" s="260">
        <f>O24</f>
        <v>11</v>
      </c>
      <c r="I24" s="260"/>
      <c r="J24" s="260">
        <f>O24</f>
        <v>11</v>
      </c>
      <c r="K24" s="260">
        <f>O24</f>
        <v>11</v>
      </c>
      <c r="L24" s="260">
        <f>O24</f>
        <v>11</v>
      </c>
      <c r="M24" s="260"/>
      <c r="N24" s="260">
        <f>4*O24</f>
        <v>44</v>
      </c>
      <c r="O24" s="260">
        <v>11</v>
      </c>
      <c r="P24" s="261"/>
    </row>
    <row r="25" spans="2:16" x14ac:dyDescent="0.2">
      <c r="B25" s="257" t="s">
        <v>403</v>
      </c>
      <c r="C25" s="258" t="s">
        <v>408</v>
      </c>
      <c r="D25" s="259">
        <v>464.43</v>
      </c>
      <c r="E25" s="259">
        <v>403.2</v>
      </c>
      <c r="F25" s="259">
        <v>93.9</v>
      </c>
      <c r="G25" s="260">
        <v>3.24</v>
      </c>
      <c r="H25" s="260">
        <f t="shared" ref="H25:H29" si="0">O25</f>
        <v>11</v>
      </c>
      <c r="I25" s="260"/>
      <c r="J25" s="260">
        <f t="shared" ref="J25:J29" si="1">O25</f>
        <v>11</v>
      </c>
      <c r="K25" s="260">
        <f t="shared" ref="K25:K29" si="2">O25</f>
        <v>11</v>
      </c>
      <c r="L25" s="260">
        <f t="shared" ref="L25:L29" si="3">O25</f>
        <v>11</v>
      </c>
      <c r="M25" s="260"/>
      <c r="N25" s="260">
        <f t="shared" ref="N25:N29" si="4">4*O25</f>
        <v>44</v>
      </c>
      <c r="O25" s="260">
        <v>11</v>
      </c>
      <c r="P25" s="261"/>
    </row>
    <row r="26" spans="2:16" x14ac:dyDescent="0.2">
      <c r="B26" s="257" t="s">
        <v>403</v>
      </c>
      <c r="C26" s="258" t="s">
        <v>409</v>
      </c>
      <c r="D26" s="259">
        <v>464.43</v>
      </c>
      <c r="E26" s="259">
        <v>403.2</v>
      </c>
      <c r="F26" s="259">
        <v>93.9</v>
      </c>
      <c r="G26" s="260">
        <v>3.24</v>
      </c>
      <c r="H26" s="260">
        <f t="shared" si="0"/>
        <v>11</v>
      </c>
      <c r="I26" s="260"/>
      <c r="J26" s="260">
        <f t="shared" si="1"/>
        <v>11</v>
      </c>
      <c r="K26" s="260">
        <f t="shared" si="2"/>
        <v>11</v>
      </c>
      <c r="L26" s="260">
        <f t="shared" si="3"/>
        <v>11</v>
      </c>
      <c r="M26" s="260"/>
      <c r="N26" s="260">
        <f t="shared" si="4"/>
        <v>44</v>
      </c>
      <c r="O26" s="260">
        <v>11</v>
      </c>
      <c r="P26" s="261"/>
    </row>
    <row r="27" spans="2:16" x14ac:dyDescent="0.2">
      <c r="B27" s="257" t="s">
        <v>403</v>
      </c>
      <c r="C27" s="258" t="s">
        <v>410</v>
      </c>
      <c r="D27" s="259">
        <v>464.43</v>
      </c>
      <c r="E27" s="259">
        <v>403.2</v>
      </c>
      <c r="F27" s="259">
        <v>93.9</v>
      </c>
      <c r="G27" s="260">
        <v>3.24</v>
      </c>
      <c r="H27" s="260">
        <f t="shared" si="0"/>
        <v>11</v>
      </c>
      <c r="I27" s="260"/>
      <c r="J27" s="260">
        <f t="shared" si="1"/>
        <v>11</v>
      </c>
      <c r="K27" s="260">
        <f t="shared" si="2"/>
        <v>11</v>
      </c>
      <c r="L27" s="260">
        <f t="shared" si="3"/>
        <v>11</v>
      </c>
      <c r="M27" s="260"/>
      <c r="N27" s="260">
        <f t="shared" si="4"/>
        <v>44</v>
      </c>
      <c r="O27" s="260">
        <v>11</v>
      </c>
      <c r="P27" s="261"/>
    </row>
    <row r="28" spans="2:16" x14ac:dyDescent="0.2">
      <c r="B28" s="257" t="s">
        <v>403</v>
      </c>
      <c r="C28" s="258" t="s">
        <v>411</v>
      </c>
      <c r="D28" s="259">
        <v>464.43</v>
      </c>
      <c r="E28" s="259">
        <v>403.2</v>
      </c>
      <c r="F28" s="259">
        <v>93.9</v>
      </c>
      <c r="G28" s="260">
        <v>3.24</v>
      </c>
      <c r="H28" s="260">
        <f t="shared" si="0"/>
        <v>11</v>
      </c>
      <c r="I28" s="260"/>
      <c r="J28" s="260">
        <f t="shared" si="1"/>
        <v>11</v>
      </c>
      <c r="K28" s="260">
        <f t="shared" si="2"/>
        <v>11</v>
      </c>
      <c r="L28" s="260">
        <f t="shared" si="3"/>
        <v>11</v>
      </c>
      <c r="M28" s="260"/>
      <c r="N28" s="260">
        <f t="shared" si="4"/>
        <v>44</v>
      </c>
      <c r="O28" s="260">
        <v>11</v>
      </c>
      <c r="P28" s="261"/>
    </row>
    <row r="29" spans="2:16" x14ac:dyDescent="0.2">
      <c r="B29" s="257" t="s">
        <v>403</v>
      </c>
      <c r="C29" s="258" t="s">
        <v>412</v>
      </c>
      <c r="D29" s="259">
        <v>464.43</v>
      </c>
      <c r="E29" s="259">
        <v>403.2</v>
      </c>
      <c r="F29" s="259">
        <v>93.9</v>
      </c>
      <c r="G29" s="260">
        <v>3.24</v>
      </c>
      <c r="H29" s="260">
        <f t="shared" si="0"/>
        <v>11</v>
      </c>
      <c r="I29" s="260"/>
      <c r="J29" s="260">
        <f t="shared" si="1"/>
        <v>11</v>
      </c>
      <c r="K29" s="260">
        <f t="shared" si="2"/>
        <v>11</v>
      </c>
      <c r="L29" s="260">
        <f t="shared" si="3"/>
        <v>11</v>
      </c>
      <c r="M29" s="260"/>
      <c r="N29" s="260">
        <f t="shared" si="4"/>
        <v>44</v>
      </c>
      <c r="O29" s="260">
        <v>11</v>
      </c>
      <c r="P29" s="261"/>
    </row>
    <row r="30" spans="2:16" x14ac:dyDescent="0.2">
      <c r="B30" s="257" t="s">
        <v>403</v>
      </c>
      <c r="C30" s="258" t="s">
        <v>550</v>
      </c>
      <c r="D30" s="259">
        <v>464.43</v>
      </c>
      <c r="E30" s="259">
        <v>403.2</v>
      </c>
      <c r="F30" s="259">
        <v>93.9</v>
      </c>
      <c r="G30" s="260">
        <v>3.24</v>
      </c>
      <c r="H30" s="260">
        <f t="shared" ref="H30" si="5">O30</f>
        <v>11</v>
      </c>
      <c r="I30" s="260"/>
      <c r="J30" s="260">
        <f t="shared" ref="J30" si="6">O30</f>
        <v>11</v>
      </c>
      <c r="K30" s="260">
        <f t="shared" ref="K30" si="7">O30</f>
        <v>11</v>
      </c>
      <c r="L30" s="260">
        <f t="shared" ref="L30" si="8">O30</f>
        <v>11</v>
      </c>
      <c r="M30" s="260"/>
      <c r="N30" s="260">
        <f t="shared" ref="N30" si="9">4*O30</f>
        <v>44</v>
      </c>
      <c r="O30" s="260">
        <v>11</v>
      </c>
      <c r="P30" s="261"/>
    </row>
    <row r="31" spans="2:16" x14ac:dyDescent="0.2">
      <c r="B31" s="257" t="s">
        <v>403</v>
      </c>
      <c r="C31" s="258" t="s">
        <v>413</v>
      </c>
      <c r="D31" s="259">
        <v>425.51</v>
      </c>
      <c r="E31" s="259"/>
      <c r="F31" s="259">
        <v>93.9</v>
      </c>
      <c r="G31" s="260">
        <v>3.24</v>
      </c>
      <c r="H31" s="260"/>
      <c r="I31" s="260"/>
      <c r="J31" s="260"/>
      <c r="K31" s="260"/>
      <c r="L31" s="260">
        <v>3</v>
      </c>
      <c r="M31" s="260">
        <v>3</v>
      </c>
      <c r="N31" s="260">
        <v>5</v>
      </c>
      <c r="O31" s="260"/>
      <c r="P31" s="261"/>
    </row>
    <row r="32" spans="2:16" x14ac:dyDescent="0.2">
      <c r="B32" s="257" t="s">
        <v>403</v>
      </c>
      <c r="C32" s="258" t="s">
        <v>414</v>
      </c>
      <c r="D32" s="259">
        <v>61.02</v>
      </c>
      <c r="E32" s="259"/>
      <c r="F32" s="259">
        <v>37.6</v>
      </c>
      <c r="G32" s="260">
        <v>3.24</v>
      </c>
      <c r="H32" s="260"/>
      <c r="I32" s="260"/>
      <c r="J32" s="260"/>
      <c r="K32" s="260"/>
      <c r="L32" s="260"/>
      <c r="M32" s="260"/>
      <c r="N32" s="260"/>
      <c r="O32" s="260"/>
      <c r="P32" s="261"/>
    </row>
    <row r="33" spans="2:16" x14ac:dyDescent="0.2">
      <c r="B33" s="257" t="s">
        <v>403</v>
      </c>
      <c r="C33" s="258" t="s">
        <v>415</v>
      </c>
      <c r="D33" s="259">
        <v>30.62</v>
      </c>
      <c r="E33" s="259"/>
      <c r="F33" s="259">
        <v>37.6</v>
      </c>
      <c r="G33" s="260">
        <v>1.6</v>
      </c>
      <c r="H33" s="260"/>
      <c r="I33" s="260"/>
      <c r="J33" s="260"/>
      <c r="K33" s="260"/>
      <c r="L33" s="260"/>
      <c r="M33" s="260"/>
      <c r="N33" s="260"/>
      <c r="O33" s="260"/>
      <c r="P33" s="261"/>
    </row>
    <row r="34" spans="2:16" x14ac:dyDescent="0.2">
      <c r="B34" s="257" t="s">
        <v>403</v>
      </c>
      <c r="C34" s="258" t="s">
        <v>416</v>
      </c>
      <c r="D34" s="259">
        <v>61.02</v>
      </c>
      <c r="E34" s="259"/>
      <c r="F34" s="259">
        <v>37.6</v>
      </c>
      <c r="G34" s="260">
        <v>2</v>
      </c>
      <c r="H34" s="260"/>
      <c r="I34" s="260"/>
      <c r="J34" s="260"/>
      <c r="K34" s="260"/>
      <c r="L34" s="260"/>
      <c r="M34" s="260"/>
      <c r="N34" s="260"/>
      <c r="O34" s="260"/>
      <c r="P34" s="261"/>
    </row>
    <row r="35" spans="2:16" x14ac:dyDescent="0.2">
      <c r="B35" s="257" t="s">
        <v>403</v>
      </c>
      <c r="C35" s="258"/>
      <c r="D35" s="259"/>
      <c r="E35" s="259"/>
      <c r="F35" s="259"/>
      <c r="G35" s="260"/>
      <c r="H35" s="260"/>
      <c r="I35" s="260"/>
      <c r="J35" s="260"/>
      <c r="K35" s="260"/>
      <c r="L35" s="260"/>
      <c r="M35" s="260"/>
      <c r="N35" s="260"/>
      <c r="O35" s="260"/>
      <c r="P35" s="261"/>
    </row>
    <row r="36" spans="2:16" ht="13.5" thickBot="1" x14ac:dyDescent="0.25">
      <c r="B36" s="262"/>
      <c r="C36" s="263"/>
      <c r="D36" s="264"/>
      <c r="E36" s="264"/>
      <c r="F36" s="264"/>
      <c r="G36" s="265"/>
      <c r="H36" s="265"/>
      <c r="I36" s="265"/>
      <c r="J36" s="265"/>
      <c r="K36" s="265"/>
      <c r="L36" s="265"/>
      <c r="M36" s="265"/>
      <c r="N36" s="265"/>
      <c r="O36" s="265"/>
      <c r="P36" s="266"/>
    </row>
    <row r="37" spans="2:16" ht="13.5" thickBot="1" x14ac:dyDescent="0.25"/>
    <row r="38" spans="2:16" ht="15" customHeight="1" x14ac:dyDescent="0.2">
      <c r="B38" s="252" t="s">
        <v>417</v>
      </c>
      <c r="C38" s="253" t="s">
        <v>393</v>
      </c>
      <c r="D38" s="253" t="s">
        <v>14</v>
      </c>
      <c r="E38" s="256" t="s">
        <v>418</v>
      </c>
      <c r="G38" s="316" t="s">
        <v>419</v>
      </c>
      <c r="H38" s="317"/>
      <c r="I38" s="317"/>
      <c r="J38" s="317"/>
      <c r="K38" s="317"/>
      <c r="L38" s="317"/>
      <c r="M38" s="317"/>
      <c r="N38" s="317"/>
      <c r="O38" s="317"/>
      <c r="P38" s="318"/>
    </row>
    <row r="39" spans="2:16" x14ac:dyDescent="0.2">
      <c r="B39" s="257" t="s">
        <v>403</v>
      </c>
      <c r="C39" s="258" t="s">
        <v>404</v>
      </c>
      <c r="D39" s="258" t="s">
        <v>420</v>
      </c>
      <c r="E39" s="261">
        <v>11.27</v>
      </c>
      <c r="F39" s="267"/>
      <c r="G39" s="247"/>
      <c r="P39" s="248"/>
    </row>
    <row r="40" spans="2:16" x14ac:dyDescent="0.2">
      <c r="B40" s="257" t="s">
        <v>403</v>
      </c>
      <c r="C40" s="258" t="s">
        <v>404</v>
      </c>
      <c r="D40" s="258" t="s">
        <v>421</v>
      </c>
      <c r="E40" s="261">
        <v>24.16</v>
      </c>
      <c r="G40" s="247"/>
      <c r="P40" s="248"/>
    </row>
    <row r="41" spans="2:16" x14ac:dyDescent="0.2">
      <c r="B41" s="257" t="s">
        <v>403</v>
      </c>
      <c r="C41" s="258" t="s">
        <v>404</v>
      </c>
      <c r="D41" s="258" t="s">
        <v>422</v>
      </c>
      <c r="E41" s="261">
        <v>5.57</v>
      </c>
      <c r="G41" s="247"/>
      <c r="P41" s="248"/>
    </row>
    <row r="42" spans="2:16" x14ac:dyDescent="0.2">
      <c r="B42" s="257" t="s">
        <v>403</v>
      </c>
      <c r="C42" s="258" t="s">
        <v>404</v>
      </c>
      <c r="D42" s="258" t="s">
        <v>422</v>
      </c>
      <c r="E42" s="261">
        <v>5.4</v>
      </c>
      <c r="G42" s="247"/>
      <c r="P42" s="248"/>
    </row>
    <row r="43" spans="2:16" x14ac:dyDescent="0.2">
      <c r="B43" s="257" t="s">
        <v>403</v>
      </c>
      <c r="C43" s="258" t="s">
        <v>404</v>
      </c>
      <c r="D43" s="258" t="s">
        <v>423</v>
      </c>
      <c r="E43" s="261">
        <v>12.53</v>
      </c>
      <c r="G43" s="247"/>
      <c r="P43" s="248"/>
    </row>
    <row r="44" spans="2:16" x14ac:dyDescent="0.2">
      <c r="B44" s="257" t="s">
        <v>403</v>
      </c>
      <c r="C44" s="258" t="s">
        <v>404</v>
      </c>
      <c r="D44" s="258" t="s">
        <v>424</v>
      </c>
      <c r="E44" s="261">
        <v>13.65</v>
      </c>
      <c r="G44" s="247"/>
      <c r="P44" s="248"/>
    </row>
    <row r="45" spans="2:16" x14ac:dyDescent="0.2">
      <c r="B45" s="257" t="s">
        <v>403</v>
      </c>
      <c r="C45" s="258" t="s">
        <v>404</v>
      </c>
      <c r="D45" s="258" t="s">
        <v>425</v>
      </c>
      <c r="E45" s="261">
        <v>14.74</v>
      </c>
      <c r="G45" s="247"/>
      <c r="P45" s="248"/>
    </row>
    <row r="46" spans="2:16" x14ac:dyDescent="0.2">
      <c r="B46" s="257" t="s">
        <v>403</v>
      </c>
      <c r="C46" s="258" t="s">
        <v>404</v>
      </c>
      <c r="D46" s="258" t="s">
        <v>426</v>
      </c>
      <c r="E46" s="261">
        <v>15.04</v>
      </c>
      <c r="G46" s="247"/>
      <c r="P46" s="248"/>
    </row>
    <row r="47" spans="2:16" x14ac:dyDescent="0.2">
      <c r="B47" s="257" t="s">
        <v>403</v>
      </c>
      <c r="C47" s="258" t="s">
        <v>404</v>
      </c>
      <c r="D47" s="268" t="s">
        <v>427</v>
      </c>
      <c r="E47" s="269">
        <v>69</v>
      </c>
      <c r="G47" s="247"/>
      <c r="P47" s="248"/>
    </row>
    <row r="48" spans="2:16" x14ac:dyDescent="0.2">
      <c r="B48" s="257" t="s">
        <v>403</v>
      </c>
      <c r="C48" s="258" t="s">
        <v>405</v>
      </c>
      <c r="D48" s="268" t="s">
        <v>428</v>
      </c>
      <c r="E48" s="269">
        <v>2.6</v>
      </c>
      <c r="G48" s="247"/>
      <c r="P48" s="248"/>
    </row>
    <row r="49" spans="2:16" x14ac:dyDescent="0.2">
      <c r="B49" s="257" t="s">
        <v>403</v>
      </c>
      <c r="C49" s="258" t="s">
        <v>405</v>
      </c>
      <c r="D49" s="268" t="s">
        <v>429</v>
      </c>
      <c r="E49" s="269">
        <v>2.52</v>
      </c>
      <c r="G49" s="247"/>
      <c r="P49" s="248"/>
    </row>
    <row r="50" spans="2:16" x14ac:dyDescent="0.2">
      <c r="B50" s="257" t="s">
        <v>403</v>
      </c>
      <c r="C50" s="258" t="s">
        <v>405</v>
      </c>
      <c r="D50" s="268" t="s">
        <v>429</v>
      </c>
      <c r="E50" s="269">
        <v>3.33</v>
      </c>
      <c r="G50" s="247"/>
      <c r="P50" s="248"/>
    </row>
    <row r="51" spans="2:16" x14ac:dyDescent="0.2">
      <c r="B51" s="257" t="s">
        <v>403</v>
      </c>
      <c r="C51" s="258" t="s">
        <v>405</v>
      </c>
      <c r="D51" s="258" t="s">
        <v>426</v>
      </c>
      <c r="E51" s="261">
        <v>9.36</v>
      </c>
      <c r="G51" s="247"/>
      <c r="P51" s="248"/>
    </row>
    <row r="52" spans="2:16" x14ac:dyDescent="0.2">
      <c r="B52" s="257" t="s">
        <v>403</v>
      </c>
      <c r="C52" s="258" t="s">
        <v>405</v>
      </c>
      <c r="D52" s="258" t="s">
        <v>430</v>
      </c>
      <c r="E52" s="261">
        <v>44.25</v>
      </c>
      <c r="G52" s="247"/>
      <c r="P52" s="248"/>
    </row>
    <row r="53" spans="2:16" x14ac:dyDescent="0.2">
      <c r="B53" s="257" t="s">
        <v>403</v>
      </c>
      <c r="C53" s="258" t="s">
        <v>405</v>
      </c>
      <c r="D53" s="258" t="s">
        <v>431</v>
      </c>
      <c r="E53" s="261">
        <v>3.96</v>
      </c>
      <c r="G53" s="247"/>
      <c r="P53" s="248"/>
    </row>
    <row r="54" spans="2:16" x14ac:dyDescent="0.2">
      <c r="B54" s="257" t="s">
        <v>403</v>
      </c>
      <c r="C54" s="258" t="s">
        <v>405</v>
      </c>
      <c r="D54" s="268" t="s">
        <v>432</v>
      </c>
      <c r="E54" s="261">
        <f>112.78+27.78</f>
        <v>140.56</v>
      </c>
      <c r="G54" s="247"/>
      <c r="P54" s="248"/>
    </row>
    <row r="55" spans="2:16" x14ac:dyDescent="0.2">
      <c r="B55" s="257" t="s">
        <v>403</v>
      </c>
      <c r="C55" s="258" t="s">
        <v>405</v>
      </c>
      <c r="D55" s="268" t="s">
        <v>433</v>
      </c>
      <c r="E55" s="261">
        <v>3.76</v>
      </c>
      <c r="G55" s="247"/>
      <c r="P55" s="248"/>
    </row>
    <row r="56" spans="2:16" x14ac:dyDescent="0.2">
      <c r="B56" s="257" t="s">
        <v>403</v>
      </c>
      <c r="C56" s="258" t="s">
        <v>405</v>
      </c>
      <c r="D56" s="268" t="s">
        <v>433</v>
      </c>
      <c r="E56" s="261">
        <v>3.76</v>
      </c>
      <c r="G56" s="247"/>
      <c r="P56" s="248"/>
    </row>
    <row r="57" spans="2:16" x14ac:dyDescent="0.2">
      <c r="B57" s="257" t="s">
        <v>403</v>
      </c>
      <c r="C57" s="258" t="s">
        <v>405</v>
      </c>
      <c r="D57" s="268" t="s">
        <v>434</v>
      </c>
      <c r="E57" s="269">
        <v>48.26</v>
      </c>
      <c r="G57" s="247"/>
      <c r="P57" s="248"/>
    </row>
    <row r="58" spans="2:16" x14ac:dyDescent="0.2">
      <c r="B58" s="257" t="s">
        <v>403</v>
      </c>
      <c r="C58" s="258" t="s">
        <v>405</v>
      </c>
      <c r="D58" s="268" t="s">
        <v>433</v>
      </c>
      <c r="E58" s="269">
        <v>3.786</v>
      </c>
      <c r="G58" s="247"/>
      <c r="P58" s="248"/>
    </row>
    <row r="59" spans="2:16" x14ac:dyDescent="0.2">
      <c r="B59" s="257" t="s">
        <v>403</v>
      </c>
      <c r="C59" s="258" t="s">
        <v>405</v>
      </c>
      <c r="D59" s="268" t="s">
        <v>435</v>
      </c>
      <c r="E59" s="269">
        <v>48.26</v>
      </c>
      <c r="G59" s="247"/>
      <c r="P59" s="248"/>
    </row>
    <row r="60" spans="2:16" x14ac:dyDescent="0.2">
      <c r="B60" s="257" t="s">
        <v>403</v>
      </c>
      <c r="C60" s="258" t="s">
        <v>405</v>
      </c>
      <c r="D60" s="268" t="s">
        <v>433</v>
      </c>
      <c r="E60" s="269">
        <v>3.786</v>
      </c>
      <c r="G60" s="247"/>
      <c r="P60" s="248"/>
    </row>
    <row r="61" spans="2:16" x14ac:dyDescent="0.2">
      <c r="B61" s="257" t="s">
        <v>403</v>
      </c>
      <c r="C61" s="258" t="s">
        <v>406</v>
      </c>
      <c r="D61" s="268" t="s">
        <v>434</v>
      </c>
      <c r="E61" s="269">
        <v>21.42</v>
      </c>
      <c r="G61" s="247"/>
      <c r="P61" s="248"/>
    </row>
    <row r="62" spans="2:16" x14ac:dyDescent="0.2">
      <c r="B62" s="257" t="s">
        <v>403</v>
      </c>
      <c r="C62" s="258" t="s">
        <v>406</v>
      </c>
      <c r="D62" s="268" t="s">
        <v>435</v>
      </c>
      <c r="E62" s="269">
        <v>17.170000000000002</v>
      </c>
      <c r="G62" s="247"/>
      <c r="P62" s="248"/>
    </row>
    <row r="63" spans="2:16" x14ac:dyDescent="0.2">
      <c r="B63" s="257" t="s">
        <v>403</v>
      </c>
      <c r="C63" s="258" t="s">
        <v>406</v>
      </c>
      <c r="D63" s="258" t="s">
        <v>436</v>
      </c>
      <c r="E63" s="261">
        <f>49.33+78.82+30.42</f>
        <v>158.57</v>
      </c>
      <c r="G63" s="247"/>
      <c r="P63" s="248"/>
    </row>
    <row r="64" spans="2:16" x14ac:dyDescent="0.2">
      <c r="B64" s="257" t="s">
        <v>403</v>
      </c>
      <c r="C64" s="258" t="s">
        <v>406</v>
      </c>
      <c r="D64" s="258" t="s">
        <v>437</v>
      </c>
      <c r="E64" s="261">
        <v>18.239999999999998</v>
      </c>
      <c r="G64" s="247"/>
      <c r="P64" s="248"/>
    </row>
    <row r="65" spans="2:16" x14ac:dyDescent="0.2">
      <c r="B65" s="257" t="s">
        <v>403</v>
      </c>
      <c r="C65" s="258" t="s">
        <v>413</v>
      </c>
      <c r="D65" s="258" t="s">
        <v>438</v>
      </c>
      <c r="E65" s="261">
        <v>104.96</v>
      </c>
      <c r="G65" s="247"/>
      <c r="P65" s="248"/>
    </row>
    <row r="66" spans="2:16" x14ac:dyDescent="0.2">
      <c r="B66" s="257" t="s">
        <v>403</v>
      </c>
      <c r="C66" s="258" t="s">
        <v>413</v>
      </c>
      <c r="D66" s="258" t="s">
        <v>439</v>
      </c>
      <c r="E66" s="261">
        <v>10.86</v>
      </c>
      <c r="G66" s="247"/>
      <c r="P66" s="248"/>
    </row>
    <row r="67" spans="2:16" x14ac:dyDescent="0.2">
      <c r="B67" s="257" t="s">
        <v>403</v>
      </c>
      <c r="C67" s="258" t="s">
        <v>413</v>
      </c>
      <c r="D67" s="258" t="s">
        <v>440</v>
      </c>
      <c r="E67" s="261">
        <v>175.53</v>
      </c>
      <c r="G67" s="247"/>
      <c r="P67" s="248"/>
    </row>
    <row r="68" spans="2:16" x14ac:dyDescent="0.2">
      <c r="B68" s="257" t="s">
        <v>403</v>
      </c>
      <c r="C68" s="258" t="s">
        <v>413</v>
      </c>
      <c r="D68" s="258" t="s">
        <v>441</v>
      </c>
      <c r="E68" s="261">
        <f>3*12.5</f>
        <v>37.5</v>
      </c>
      <c r="G68" s="247"/>
      <c r="P68" s="248"/>
    </row>
    <row r="69" spans="2:16" x14ac:dyDescent="0.2">
      <c r="B69" s="257" t="s">
        <v>403</v>
      </c>
      <c r="C69" s="258" t="s">
        <v>413</v>
      </c>
      <c r="D69" s="258"/>
      <c r="E69" s="261"/>
      <c r="G69" s="247"/>
      <c r="P69" s="248"/>
    </row>
    <row r="70" spans="2:16" x14ac:dyDescent="0.2">
      <c r="B70" s="257" t="s">
        <v>403</v>
      </c>
      <c r="C70" s="258" t="s">
        <v>413</v>
      </c>
      <c r="D70" s="258"/>
      <c r="E70" s="261"/>
      <c r="G70" s="247"/>
      <c r="P70" s="248"/>
    </row>
    <row r="71" spans="2:16" x14ac:dyDescent="0.2">
      <c r="B71" s="257" t="s">
        <v>403</v>
      </c>
      <c r="C71" s="258"/>
      <c r="D71" s="258"/>
      <c r="E71" s="261"/>
      <c r="G71" s="247"/>
      <c r="P71" s="248"/>
    </row>
    <row r="72" spans="2:16" ht="13.5" thickBot="1" x14ac:dyDescent="0.25">
      <c r="B72" s="262"/>
      <c r="C72" s="263"/>
      <c r="D72" s="263"/>
      <c r="E72" s="266"/>
      <c r="F72" s="270"/>
      <c r="G72" s="249"/>
      <c r="H72" s="250"/>
      <c r="I72" s="250"/>
      <c r="J72" s="250"/>
      <c r="K72" s="250"/>
      <c r="L72" s="250"/>
      <c r="M72" s="250"/>
      <c r="N72" s="250"/>
      <c r="O72" s="250"/>
      <c r="P72" s="251"/>
    </row>
    <row r="76" spans="2:16" x14ac:dyDescent="0.2">
      <c r="E76" s="270"/>
    </row>
  </sheetData>
  <mergeCells count="3">
    <mergeCell ref="C1:Q1"/>
    <mergeCell ref="K6:P6"/>
    <mergeCell ref="G38:P38"/>
  </mergeCells>
  <phoneticPr fontId="56" type="noConversion"/>
  <pageMargins left="0.511811024" right="0.511811024" top="0.78740157499999996" bottom="0.78740157499999996" header="0.31496062000000002" footer="0.31496062000000002"/>
  <pageSetup paperSize="9" scale="49" fitToHeight="0" orientation="portrait" r:id="rId1"/>
  <colBreaks count="1" manualBreakCount="1">
    <brk id="1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AD-C2EE-4E14-BE9E-4A287CFE07C4}">
  <sheetPr>
    <pageSetUpPr fitToPage="1"/>
  </sheetPr>
  <dimension ref="A1:G28"/>
  <sheetViews>
    <sheetView view="pageBreakPreview" topLeftCell="A13" zoomScale="85" zoomScaleNormal="115" zoomScaleSheetLayoutView="85" workbookViewId="0">
      <selection activeCell="E21" sqref="E21"/>
    </sheetView>
  </sheetViews>
  <sheetFormatPr defaultRowHeight="21.75" x14ac:dyDescent="0.6"/>
  <cols>
    <col min="1" max="1" width="19.140625" style="41" customWidth="1"/>
    <col min="2" max="2" width="83.7109375" style="42" customWidth="1"/>
    <col min="3" max="4" width="11.28515625" style="42" customWidth="1"/>
    <col min="5" max="5" width="11.28515625" style="43" customWidth="1"/>
    <col min="6" max="6" width="11.140625" style="44" customWidth="1"/>
    <col min="7" max="7" width="24" style="41" customWidth="1"/>
    <col min="8" max="9" width="9.28515625" bestFit="1" customWidth="1"/>
  </cols>
  <sheetData>
    <row r="1" spans="1:7" ht="18" customHeight="1" x14ac:dyDescent="0.6">
      <c r="A1" s="4" t="s">
        <v>0</v>
      </c>
      <c r="B1" s="5" t="s">
        <v>351</v>
      </c>
      <c r="C1" s="6"/>
      <c r="D1" s="6"/>
      <c r="E1" s="7"/>
      <c r="F1" s="8"/>
      <c r="G1" s="9"/>
    </row>
    <row r="2" spans="1:7" ht="18" customHeight="1" x14ac:dyDescent="0.6">
      <c r="A2" s="10" t="s">
        <v>117</v>
      </c>
      <c r="B2" s="11" t="s">
        <v>352</v>
      </c>
      <c r="C2" s="12"/>
      <c r="D2" s="12"/>
      <c r="E2" s="13"/>
      <c r="F2" s="14"/>
      <c r="G2" s="15"/>
    </row>
    <row r="3" spans="1:7" ht="18" customHeight="1" x14ac:dyDescent="0.6">
      <c r="A3" s="10" t="s">
        <v>1</v>
      </c>
      <c r="B3" s="11" t="s">
        <v>185</v>
      </c>
      <c r="C3" s="12"/>
      <c r="D3" s="12"/>
      <c r="E3" s="13"/>
      <c r="F3" s="14"/>
      <c r="G3" s="15"/>
    </row>
    <row r="4" spans="1:7" ht="18" customHeight="1" x14ac:dyDescent="0.6">
      <c r="A4" s="10" t="s">
        <v>285</v>
      </c>
      <c r="B4" s="11" t="s">
        <v>353</v>
      </c>
      <c r="C4" s="12"/>
      <c r="D4" s="12"/>
      <c r="E4" s="13"/>
      <c r="F4" s="14"/>
      <c r="G4" s="20"/>
    </row>
    <row r="5" spans="1:7" ht="25.15" customHeight="1" x14ac:dyDescent="0.25">
      <c r="A5" s="319" t="s">
        <v>126</v>
      </c>
      <c r="B5" s="320"/>
      <c r="C5" s="320"/>
      <c r="D5" s="320"/>
      <c r="E5" s="320"/>
      <c r="F5" s="320"/>
      <c r="G5" s="321"/>
    </row>
    <row r="6" spans="1:7" ht="14.45" customHeight="1" thickBot="1" x14ac:dyDescent="0.65">
      <c r="A6" s="16"/>
      <c r="B6" s="17"/>
      <c r="C6" s="17"/>
      <c r="D6" s="17"/>
      <c r="E6" s="18"/>
      <c r="F6" s="19"/>
      <c r="G6" s="20"/>
    </row>
    <row r="7" spans="1:7" x14ac:dyDescent="0.6">
      <c r="A7" s="22"/>
      <c r="B7" s="23" t="s">
        <v>14</v>
      </c>
      <c r="C7" s="24" t="s">
        <v>15</v>
      </c>
      <c r="D7" s="24" t="s">
        <v>127</v>
      </c>
      <c r="E7" s="25" t="s">
        <v>18</v>
      </c>
      <c r="F7" s="26"/>
      <c r="G7" s="21"/>
    </row>
    <row r="8" spans="1:7" x14ac:dyDescent="0.6">
      <c r="A8" s="22"/>
      <c r="B8" s="27" t="s">
        <v>128</v>
      </c>
      <c r="C8" s="28" t="s">
        <v>7</v>
      </c>
      <c r="D8" s="28" t="s">
        <v>120</v>
      </c>
      <c r="E8" s="29">
        <f>'Obra '!C8</f>
        <v>720</v>
      </c>
      <c r="F8" s="26"/>
      <c r="G8" s="21"/>
    </row>
    <row r="9" spans="1:7" x14ac:dyDescent="0.6">
      <c r="A9" s="22"/>
      <c r="B9" s="30" t="s">
        <v>129</v>
      </c>
      <c r="C9" s="31" t="s">
        <v>8</v>
      </c>
      <c r="D9" s="31" t="s">
        <v>120</v>
      </c>
      <c r="E9" s="32">
        <f>'Obra '!C10</f>
        <v>5347.8600000000006</v>
      </c>
      <c r="F9" s="26"/>
      <c r="G9" s="21"/>
    </row>
    <row r="10" spans="1:7" x14ac:dyDescent="0.6">
      <c r="A10" s="22"/>
      <c r="B10" s="30" t="s">
        <v>286</v>
      </c>
      <c r="C10" s="31" t="s">
        <v>287</v>
      </c>
      <c r="D10" s="31" t="s">
        <v>123</v>
      </c>
      <c r="E10" s="32">
        <f>'Obra '!F6</f>
        <v>66</v>
      </c>
      <c r="F10" s="199"/>
      <c r="G10" s="21"/>
    </row>
    <row r="11" spans="1:7" x14ac:dyDescent="0.6">
      <c r="A11" s="22"/>
      <c r="B11" s="30" t="s">
        <v>288</v>
      </c>
      <c r="C11" s="31" t="s">
        <v>292</v>
      </c>
      <c r="D11" s="31" t="s">
        <v>123</v>
      </c>
      <c r="E11" s="32">
        <f>'Obra '!F12</f>
        <v>77</v>
      </c>
      <c r="F11" s="26"/>
      <c r="G11" s="21"/>
    </row>
    <row r="12" spans="1:7" x14ac:dyDescent="0.6">
      <c r="A12" s="22"/>
      <c r="B12" s="30" t="s">
        <v>289</v>
      </c>
      <c r="C12" s="31" t="s">
        <v>293</v>
      </c>
      <c r="D12" s="31" t="s">
        <v>123</v>
      </c>
      <c r="E12" s="32">
        <f>'Obra '!$C$18</f>
        <v>81</v>
      </c>
      <c r="F12" s="26"/>
      <c r="G12" s="21"/>
    </row>
    <row r="13" spans="1:7" x14ac:dyDescent="0.6">
      <c r="A13" s="22"/>
      <c r="B13" s="30" t="s">
        <v>290</v>
      </c>
      <c r="C13" s="31" t="s">
        <v>291</v>
      </c>
      <c r="D13" s="31" t="s">
        <v>123</v>
      </c>
      <c r="E13" s="32">
        <f>'Obra '!$F$8</f>
        <v>3</v>
      </c>
      <c r="F13" s="26"/>
      <c r="G13" s="21"/>
    </row>
    <row r="14" spans="1:7" x14ac:dyDescent="0.6">
      <c r="A14" s="22"/>
      <c r="B14" s="30" t="s">
        <v>267</v>
      </c>
      <c r="C14" s="31" t="s">
        <v>310</v>
      </c>
      <c r="D14" s="31" t="s">
        <v>123</v>
      </c>
      <c r="E14" s="32">
        <f>'Obra '!$F$18</f>
        <v>0</v>
      </c>
      <c r="F14" s="206"/>
      <c r="G14" s="21"/>
    </row>
    <row r="15" spans="1:7" x14ac:dyDescent="0.6">
      <c r="A15" s="22"/>
      <c r="B15" s="30" t="s">
        <v>130</v>
      </c>
      <c r="C15" s="31" t="s">
        <v>9</v>
      </c>
      <c r="D15" s="31" t="s">
        <v>123</v>
      </c>
      <c r="E15" s="32">
        <f>'Obra '!$F$10</f>
        <v>14</v>
      </c>
      <c r="F15" s="26"/>
      <c r="G15" s="21"/>
    </row>
    <row r="16" spans="1:7" x14ac:dyDescent="0.6">
      <c r="A16" s="22"/>
      <c r="B16" s="30" t="s">
        <v>131</v>
      </c>
      <c r="C16" s="31" t="s">
        <v>10</v>
      </c>
      <c r="D16" s="31" t="s">
        <v>123</v>
      </c>
      <c r="E16" s="32">
        <f>COUNTA('Obra '!C24:C31)</f>
        <v>8</v>
      </c>
      <c r="F16" s="26"/>
      <c r="G16" s="21"/>
    </row>
    <row r="17" spans="1:7" x14ac:dyDescent="0.6">
      <c r="A17" s="22"/>
      <c r="B17" s="30" t="s">
        <v>132</v>
      </c>
      <c r="C17" s="31" t="s">
        <v>40</v>
      </c>
      <c r="D17" s="31" t="s">
        <v>123</v>
      </c>
      <c r="E17" s="32">
        <v>1</v>
      </c>
      <c r="F17" s="26"/>
      <c r="G17" s="21"/>
    </row>
    <row r="18" spans="1:7" x14ac:dyDescent="0.6">
      <c r="A18" s="22"/>
      <c r="B18" s="30" t="s">
        <v>133</v>
      </c>
      <c r="C18" s="31" t="s">
        <v>41</v>
      </c>
      <c r="D18" s="31" t="s">
        <v>123</v>
      </c>
      <c r="E18" s="32">
        <v>0</v>
      </c>
      <c r="F18" s="26"/>
      <c r="G18" s="21"/>
    </row>
    <row r="19" spans="1:7" x14ac:dyDescent="0.6">
      <c r="A19" s="22"/>
      <c r="B19" s="30" t="s">
        <v>134</v>
      </c>
      <c r="C19" s="31" t="s">
        <v>11</v>
      </c>
      <c r="D19" s="31" t="s">
        <v>120</v>
      </c>
      <c r="E19" s="32">
        <f>'Obra '!D24</f>
        <v>464.43</v>
      </c>
      <c r="F19" s="26"/>
      <c r="G19" s="21"/>
    </row>
    <row r="20" spans="1:7" x14ac:dyDescent="0.6">
      <c r="A20" s="22"/>
      <c r="B20" s="30" t="s">
        <v>135</v>
      </c>
      <c r="C20" s="31" t="s">
        <v>12</v>
      </c>
      <c r="D20" s="31" t="s">
        <v>119</v>
      </c>
      <c r="E20" s="32">
        <f>'Obra '!F24</f>
        <v>93.9</v>
      </c>
      <c r="F20" s="26"/>
      <c r="G20" s="21"/>
    </row>
    <row r="21" spans="1:7" x14ac:dyDescent="0.6">
      <c r="A21" s="22"/>
      <c r="B21" s="30" t="s">
        <v>136</v>
      </c>
      <c r="C21" s="31" t="s">
        <v>36</v>
      </c>
      <c r="D21" s="31" t="s">
        <v>120</v>
      </c>
      <c r="E21" s="32">
        <f>'Obra '!$C$14</f>
        <v>813.67</v>
      </c>
      <c r="F21" s="26"/>
      <c r="G21" s="21"/>
    </row>
    <row r="22" spans="1:7" x14ac:dyDescent="0.6">
      <c r="A22" s="22"/>
      <c r="B22" s="30" t="s">
        <v>137</v>
      </c>
      <c r="C22" s="31" t="s">
        <v>35</v>
      </c>
      <c r="D22" s="31" t="s">
        <v>120</v>
      </c>
      <c r="E22" s="32">
        <f>'Obra '!D22</f>
        <v>593.66999999999996</v>
      </c>
      <c r="F22" s="26"/>
      <c r="G22" s="21"/>
    </row>
    <row r="23" spans="1:7" x14ac:dyDescent="0.6">
      <c r="A23" s="22"/>
      <c r="B23" s="30" t="s">
        <v>138</v>
      </c>
      <c r="C23" s="31" t="s">
        <v>139</v>
      </c>
      <c r="D23" s="31" t="s">
        <v>120</v>
      </c>
      <c r="E23" s="32">
        <f>'Obra '!D21</f>
        <v>624</v>
      </c>
      <c r="F23" s="26"/>
      <c r="G23" s="21"/>
    </row>
    <row r="24" spans="1:7" x14ac:dyDescent="0.6">
      <c r="A24" s="22"/>
      <c r="B24" s="30" t="s">
        <v>140</v>
      </c>
      <c r="C24" s="31" t="s">
        <v>13</v>
      </c>
      <c r="D24" s="31" t="s">
        <v>123</v>
      </c>
      <c r="E24" s="32">
        <v>1</v>
      </c>
      <c r="F24" s="26"/>
      <c r="G24" s="21"/>
    </row>
    <row r="25" spans="1:7" x14ac:dyDescent="0.6">
      <c r="A25" s="22"/>
      <c r="B25" s="30" t="s">
        <v>141</v>
      </c>
      <c r="C25" s="31" t="s">
        <v>39</v>
      </c>
      <c r="D25" s="31" t="s">
        <v>120</v>
      </c>
      <c r="E25" s="32">
        <f>E22</f>
        <v>593.66999999999996</v>
      </c>
      <c r="F25" s="26"/>
      <c r="G25" s="21"/>
    </row>
    <row r="26" spans="1:7" x14ac:dyDescent="0.6">
      <c r="A26" s="22"/>
      <c r="B26" s="30" t="s">
        <v>142</v>
      </c>
      <c r="C26" s="31" t="s">
        <v>154</v>
      </c>
      <c r="D26" s="31" t="s">
        <v>119</v>
      </c>
      <c r="E26" s="32">
        <f>'Obra '!F22</f>
        <v>87.82</v>
      </c>
      <c r="F26" s="26"/>
      <c r="G26" s="21"/>
    </row>
    <row r="27" spans="1:7" ht="22.5" thickBot="1" x14ac:dyDescent="0.65">
      <c r="A27" s="22"/>
      <c r="B27" s="33" t="s">
        <v>143</v>
      </c>
      <c r="C27" s="34" t="s">
        <v>155</v>
      </c>
      <c r="D27" s="34" t="s">
        <v>123</v>
      </c>
      <c r="E27" s="35">
        <v>3</v>
      </c>
      <c r="F27" s="26"/>
      <c r="G27" s="21"/>
    </row>
    <row r="28" spans="1:7" ht="22.5" thickBot="1" x14ac:dyDescent="0.65">
      <c r="A28" s="36"/>
      <c r="B28" s="37"/>
      <c r="C28" s="37"/>
      <c r="D28" s="37"/>
      <c r="E28" s="38"/>
      <c r="F28" s="39"/>
      <c r="G28" s="40"/>
    </row>
  </sheetData>
  <mergeCells count="1">
    <mergeCell ref="A5:G5"/>
  </mergeCells>
  <pageMargins left="0.51181102362204722" right="0.51181102362204722" top="0.78740157480314965" bottom="0.78740157480314965" header="0.31496062992125984" footer="0.31496062992125984"/>
  <pageSetup paperSize="9" scale="53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7BB-C74E-481B-9724-B93989582F70}">
  <sheetPr>
    <tabColor rgb="FF92D050"/>
  </sheetPr>
  <dimension ref="A1:K33"/>
  <sheetViews>
    <sheetView showGridLines="0" topLeftCell="A19" zoomScale="85" zoomScaleNormal="85" zoomScaleSheetLayoutView="95" workbookViewId="0">
      <selection activeCell="D30" sqref="D30"/>
    </sheetView>
  </sheetViews>
  <sheetFormatPr defaultColWidth="9.140625" defaultRowHeight="19.5" x14ac:dyDescent="0.25"/>
  <cols>
    <col min="1" max="1" width="53" style="45" bestFit="1" customWidth="1"/>
    <col min="2" max="3" width="27" style="45" customWidth="1"/>
    <col min="4" max="4" width="27" style="46" customWidth="1"/>
    <col min="5" max="6" width="27" style="107" customWidth="1"/>
    <col min="7" max="7" width="31.7109375" style="107" customWidth="1"/>
    <col min="8" max="16384" width="9.140625" style="1"/>
  </cols>
  <sheetData>
    <row r="1" spans="1:9" x14ac:dyDescent="0.25">
      <c r="A1" s="48"/>
      <c r="B1" s="48"/>
      <c r="C1" s="48"/>
      <c r="D1" s="51"/>
      <c r="E1" s="104"/>
      <c r="F1" s="104"/>
      <c r="G1" s="104"/>
      <c r="I1" s="2"/>
    </row>
    <row r="2" spans="1:9" ht="28.5" x14ac:dyDescent="0.25">
      <c r="A2" s="326" t="s">
        <v>121</v>
      </c>
      <c r="B2" s="327"/>
      <c r="C2" s="327"/>
      <c r="D2" s="327"/>
      <c r="E2" s="327"/>
      <c r="F2" s="327"/>
      <c r="G2" s="328"/>
      <c r="I2" s="2"/>
    </row>
    <row r="3" spans="1:9" ht="28.5" customHeight="1" x14ac:dyDescent="0.25">
      <c r="A3" s="186" t="s">
        <v>186</v>
      </c>
      <c r="B3" s="192">
        <v>45472</v>
      </c>
      <c r="C3" s="190"/>
      <c r="D3" s="190"/>
      <c r="E3" s="190"/>
      <c r="F3" s="190"/>
      <c r="G3" s="191"/>
      <c r="I3" s="2"/>
    </row>
    <row r="4" spans="1:9" ht="28.5" customHeight="1" x14ac:dyDescent="0.25">
      <c r="A4" s="186" t="s">
        <v>294</v>
      </c>
      <c r="B4" s="193" t="s">
        <v>211</v>
      </c>
      <c r="C4" s="188"/>
      <c r="D4" s="188"/>
      <c r="E4" s="188"/>
      <c r="F4" s="188"/>
      <c r="G4" s="189"/>
      <c r="I4" s="2"/>
    </row>
    <row r="5" spans="1:9" x14ac:dyDescent="0.25">
      <c r="A5" s="50"/>
      <c r="B5" s="50"/>
      <c r="C5" s="50"/>
      <c r="D5" s="49"/>
      <c r="E5" s="105"/>
      <c r="F5" s="104"/>
      <c r="G5" s="104"/>
      <c r="I5" s="2"/>
    </row>
    <row r="6" spans="1:9" s="55" customFormat="1" ht="21.75" x14ac:dyDescent="0.25">
      <c r="A6" s="52" t="s">
        <v>150</v>
      </c>
      <c r="B6" s="53"/>
      <c r="C6" s="53"/>
      <c r="D6" s="54"/>
      <c r="E6" s="98"/>
      <c r="F6" s="98"/>
      <c r="G6" s="98"/>
    </row>
    <row r="7" spans="1:9" s="55" customFormat="1" ht="21.75" x14ac:dyDescent="0.25">
      <c r="A7" s="56"/>
      <c r="B7" s="57"/>
      <c r="C7" s="57"/>
      <c r="D7" s="58"/>
      <c r="E7" s="99"/>
      <c r="F7" s="100"/>
      <c r="G7" s="100"/>
    </row>
    <row r="8" spans="1:9" s="55" customFormat="1" ht="42" customHeight="1" x14ac:dyDescent="0.25">
      <c r="A8" s="63" t="s">
        <v>14</v>
      </c>
      <c r="B8" s="64" t="s">
        <v>149</v>
      </c>
      <c r="C8" s="64" t="s">
        <v>148</v>
      </c>
      <c r="D8" s="65" t="s">
        <v>147</v>
      </c>
      <c r="E8" s="101" t="s">
        <v>146</v>
      </c>
      <c r="F8" s="90" t="s">
        <v>16</v>
      </c>
      <c r="G8" s="90" t="s">
        <v>297</v>
      </c>
    </row>
    <row r="9" spans="1:9" s="55" customFormat="1" ht="21.75" x14ac:dyDescent="0.25">
      <c r="A9" s="66" t="s">
        <v>145</v>
      </c>
      <c r="B9" s="67">
        <v>623.17999999999995</v>
      </c>
      <c r="C9" s="67">
        <v>3.06</v>
      </c>
      <c r="D9" s="68">
        <f>C9*B9</f>
        <v>1906.9307999999999</v>
      </c>
      <c r="E9" s="88">
        <v>36.36</v>
      </c>
      <c r="F9" s="89">
        <f>E9*D9*1.1</f>
        <v>76269.604276800004</v>
      </c>
      <c r="G9" s="67"/>
    </row>
    <row r="10" spans="1:9" s="55" customFormat="1" ht="21.75" x14ac:dyDescent="0.25">
      <c r="A10" s="325" t="s">
        <v>17</v>
      </c>
      <c r="B10" s="325"/>
      <c r="C10" s="325"/>
      <c r="D10" s="325"/>
      <c r="E10" s="325"/>
      <c r="F10" s="90">
        <f>SUM(F9:F9)</f>
        <v>76269.604276800004</v>
      </c>
      <c r="G10" s="90"/>
    </row>
    <row r="11" spans="1:9" s="55" customFormat="1" ht="21.75" x14ac:dyDescent="0.25">
      <c r="A11" s="329"/>
      <c r="B11" s="329"/>
      <c r="C11" s="329"/>
      <c r="D11" s="329"/>
      <c r="E11" s="329"/>
      <c r="F11" s="100"/>
      <c r="G11" s="100"/>
    </row>
    <row r="12" spans="1:9" s="55" customFormat="1" ht="21.75" x14ac:dyDescent="0.25">
      <c r="A12" s="52" t="s">
        <v>153</v>
      </c>
      <c r="B12" s="53"/>
      <c r="C12" s="53"/>
      <c r="D12" s="54"/>
      <c r="E12" s="98"/>
      <c r="F12" s="98"/>
      <c r="G12" s="98"/>
    </row>
    <row r="13" spans="1:9" s="55" customFormat="1" ht="21.75" x14ac:dyDescent="0.25">
      <c r="A13" s="56"/>
      <c r="B13" s="57"/>
      <c r="C13" s="57"/>
      <c r="D13" s="58"/>
      <c r="E13" s="99"/>
      <c r="F13" s="100"/>
      <c r="G13" s="100"/>
    </row>
    <row r="14" spans="1:9" s="55" customFormat="1" ht="42" customHeight="1" x14ac:dyDescent="0.25">
      <c r="A14" s="63" t="s">
        <v>14</v>
      </c>
      <c r="B14" s="64" t="s">
        <v>152</v>
      </c>
      <c r="C14" s="64"/>
      <c r="D14" s="65"/>
      <c r="E14" s="101" t="s">
        <v>151</v>
      </c>
      <c r="F14" s="90" t="s">
        <v>16</v>
      </c>
      <c r="G14" s="90" t="s">
        <v>297</v>
      </c>
    </row>
    <row r="15" spans="1:9" s="55" customFormat="1" ht="21.75" x14ac:dyDescent="0.25">
      <c r="A15" s="66" t="s">
        <v>124</v>
      </c>
      <c r="B15" s="67">
        <f>4*30</f>
        <v>120</v>
      </c>
      <c r="C15" s="74"/>
      <c r="D15" s="75"/>
      <c r="E15" s="88">
        <v>200</v>
      </c>
      <c r="F15" s="89">
        <f>B15*E15*1.1</f>
        <v>26400.000000000004</v>
      </c>
      <c r="G15" s="67" t="s">
        <v>354</v>
      </c>
    </row>
    <row r="16" spans="1:9" s="55" customFormat="1" ht="21.75" x14ac:dyDescent="0.25">
      <c r="A16" s="325" t="s">
        <v>17</v>
      </c>
      <c r="B16" s="325"/>
      <c r="C16" s="325"/>
      <c r="D16" s="325"/>
      <c r="E16" s="325"/>
      <c r="F16" s="90">
        <f>SUM(F15:F15)</f>
        <v>26400.000000000004</v>
      </c>
      <c r="G16" s="90"/>
    </row>
    <row r="17" spans="1:11" s="55" customFormat="1" ht="21.75" x14ac:dyDescent="0.25">
      <c r="A17" s="329"/>
      <c r="B17" s="329"/>
      <c r="C17" s="329"/>
      <c r="D17" s="329"/>
      <c r="E17" s="329"/>
      <c r="F17" s="100"/>
      <c r="G17" s="100"/>
    </row>
    <row r="18" spans="1:11" s="55" customFormat="1" ht="21.75" x14ac:dyDescent="0.25">
      <c r="A18" s="52" t="s">
        <v>19</v>
      </c>
      <c r="B18" s="53"/>
      <c r="C18" s="53"/>
      <c r="D18" s="54"/>
      <c r="E18" s="98"/>
      <c r="F18" s="98"/>
      <c r="G18" s="98"/>
    </row>
    <row r="19" spans="1:11" s="55" customFormat="1" ht="21.75" x14ac:dyDescent="0.25">
      <c r="A19" s="56"/>
      <c r="B19" s="57"/>
      <c r="C19" s="57"/>
      <c r="D19" s="58"/>
      <c r="E19" s="99"/>
      <c r="F19" s="100"/>
      <c r="G19" s="100"/>
    </row>
    <row r="20" spans="1:11" s="55" customFormat="1" ht="42" customHeight="1" x14ac:dyDescent="0.25">
      <c r="A20" s="63" t="s">
        <v>14</v>
      </c>
      <c r="B20" s="330" t="s">
        <v>5</v>
      </c>
      <c r="C20" s="331"/>
      <c r="D20" s="65" t="s">
        <v>147</v>
      </c>
      <c r="E20" s="101" t="s">
        <v>160</v>
      </c>
      <c r="F20" s="90" t="s">
        <v>16</v>
      </c>
      <c r="G20" s="90" t="s">
        <v>297</v>
      </c>
    </row>
    <row r="21" spans="1:11" s="55" customFormat="1" ht="43.5" x14ac:dyDescent="0.25">
      <c r="A21" s="70" t="s">
        <v>20</v>
      </c>
      <c r="B21" s="62">
        <v>1.3</v>
      </c>
      <c r="C21" s="62" t="s">
        <v>313</v>
      </c>
      <c r="D21" s="72">
        <f>B21*INFRAESTRUTURA!D29</f>
        <v>501.65114999999997</v>
      </c>
      <c r="E21" s="88">
        <v>36.36</v>
      </c>
      <c r="F21" s="106">
        <f>E21*D21*1.1</f>
        <v>20064.039395399999</v>
      </c>
      <c r="G21" s="67"/>
    </row>
    <row r="22" spans="1:11" s="55" customFormat="1" ht="26.25" customHeight="1" x14ac:dyDescent="0.25">
      <c r="A22" s="70" t="s">
        <v>21</v>
      </c>
      <c r="B22" s="62">
        <v>0.6</v>
      </c>
      <c r="C22" s="62" t="s">
        <v>157</v>
      </c>
      <c r="D22" s="72">
        <f>D21-INFRAESTRUTURA!D29</f>
        <v>115.76564999999999</v>
      </c>
      <c r="E22" s="88">
        <v>14.55</v>
      </c>
      <c r="F22" s="106">
        <f>E22*D22*1.1</f>
        <v>1852.8292282500001</v>
      </c>
      <c r="G22" s="67"/>
    </row>
    <row r="23" spans="1:11" s="55" customFormat="1" ht="21.75" x14ac:dyDescent="0.25">
      <c r="A23" s="70" t="s">
        <v>156</v>
      </c>
      <c r="B23" s="62">
        <v>1.3</v>
      </c>
      <c r="C23" s="62"/>
      <c r="D23" s="72">
        <f>(D21-D22)*B23</f>
        <v>501.65114999999997</v>
      </c>
      <c r="E23" s="88">
        <v>45.45</v>
      </c>
      <c r="F23" s="106">
        <f>E23*D23*1.1</f>
        <v>25080.04924425</v>
      </c>
      <c r="G23" s="67"/>
    </row>
    <row r="24" spans="1:11" s="55" customFormat="1" ht="21.75" x14ac:dyDescent="0.25">
      <c r="A24" s="69" t="s">
        <v>144</v>
      </c>
      <c r="B24" s="61">
        <v>1</v>
      </c>
      <c r="C24" s="61" t="s">
        <v>22</v>
      </c>
      <c r="D24" s="73">
        <f>INFRAESTRUTURA!D19</f>
        <v>623.44906210489444</v>
      </c>
      <c r="E24" s="88">
        <v>68.180000000000007</v>
      </c>
      <c r="F24" s="106">
        <f>E24*D24*1.1</f>
        <v>46757.432759742878</v>
      </c>
      <c r="G24" s="67"/>
    </row>
    <row r="25" spans="1:11" s="55" customFormat="1" ht="21.75" x14ac:dyDescent="0.25">
      <c r="A25" s="325" t="s">
        <v>17</v>
      </c>
      <c r="B25" s="325"/>
      <c r="C25" s="325"/>
      <c r="D25" s="325"/>
      <c r="E25" s="325"/>
      <c r="F25" s="90">
        <f>SUM(F21:F24)</f>
        <v>93754.350627642882</v>
      </c>
      <c r="G25" s="90"/>
    </row>
    <row r="26" spans="1:11" x14ac:dyDescent="0.25">
      <c r="K26" s="47"/>
    </row>
    <row r="27" spans="1:11" ht="21.75" x14ac:dyDescent="0.25">
      <c r="A27" s="52" t="s">
        <v>100</v>
      </c>
      <c r="B27" s="53"/>
      <c r="C27" s="53"/>
      <c r="D27" s="54"/>
      <c r="E27" s="98"/>
      <c r="F27" s="98"/>
      <c r="G27" s="98"/>
    </row>
    <row r="28" spans="1:11" ht="21.75" x14ac:dyDescent="0.25">
      <c r="A28" s="56"/>
      <c r="B28" s="57"/>
      <c r="C28" s="57"/>
      <c r="D28" s="58"/>
      <c r="E28" s="99"/>
      <c r="F28" s="100"/>
      <c r="G28" s="100"/>
    </row>
    <row r="29" spans="1:11" ht="43.5" x14ac:dyDescent="0.25">
      <c r="A29" s="63" t="s">
        <v>14</v>
      </c>
      <c r="B29" s="330" t="s">
        <v>5</v>
      </c>
      <c r="C29" s="331"/>
      <c r="D29" s="65" t="s">
        <v>158</v>
      </c>
      <c r="E29" s="101" t="s">
        <v>159</v>
      </c>
      <c r="F29" s="90" t="s">
        <v>16</v>
      </c>
      <c r="G29" s="90" t="s">
        <v>297</v>
      </c>
    </row>
    <row r="30" spans="1:11" ht="43.5" x14ac:dyDescent="0.25">
      <c r="A30" s="70" t="s">
        <v>296</v>
      </c>
      <c r="B30" s="62">
        <v>0.8</v>
      </c>
      <c r="C30" s="62" t="s">
        <v>113</v>
      </c>
      <c r="D30" s="72">
        <f>B30*DADOS_INICIAIS!E25</f>
        <v>474.93599999999998</v>
      </c>
      <c r="E30" s="88">
        <f>370*0.1</f>
        <v>37</v>
      </c>
      <c r="F30" s="106">
        <f>E30*D30*1.1</f>
        <v>19329.895199999999</v>
      </c>
      <c r="G30" s="67" t="s">
        <v>298</v>
      </c>
      <c r="H30" s="1">
        <f>F30/DADOS_INICIAIS!E25</f>
        <v>32.56</v>
      </c>
      <c r="I30" s="100"/>
    </row>
    <row r="31" spans="1:11" ht="21.75" x14ac:dyDescent="0.25">
      <c r="A31" s="325" t="s">
        <v>17</v>
      </c>
      <c r="B31" s="325"/>
      <c r="C31" s="325"/>
      <c r="D31" s="325"/>
      <c r="E31" s="325"/>
      <c r="F31" s="90">
        <f>SUM(F30:F30)</f>
        <v>19329.895199999999</v>
      </c>
      <c r="G31" s="90"/>
    </row>
    <row r="33" spans="1:7" ht="23.25" customHeight="1" x14ac:dyDescent="0.25">
      <c r="A33" s="322" t="s">
        <v>103</v>
      </c>
      <c r="B33" s="323"/>
      <c r="C33" s="323"/>
      <c r="D33" s="323"/>
      <c r="E33" s="324"/>
      <c r="F33" s="108">
        <f>F10+F16+F25+F31</f>
        <v>215753.85010444288</v>
      </c>
      <c r="G33" s="108">
        <f>F33/DADOS_INICIAIS!E9</f>
        <v>40.343960033441952</v>
      </c>
    </row>
  </sheetData>
  <mergeCells count="10">
    <mergeCell ref="A33:E33"/>
    <mergeCell ref="A25:E25"/>
    <mergeCell ref="A2:G2"/>
    <mergeCell ref="A10:E10"/>
    <mergeCell ref="A11:E11"/>
    <mergeCell ref="B20:C20"/>
    <mergeCell ref="B29:C29"/>
    <mergeCell ref="A31:E31"/>
    <mergeCell ref="A16:E16"/>
    <mergeCell ref="A17:E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B24-4A14-470C-9528-250F4A4412CB}">
  <sheetPr>
    <tabColor rgb="FF92D050"/>
  </sheetPr>
  <dimension ref="A1:M46"/>
  <sheetViews>
    <sheetView showGridLines="0" topLeftCell="A31" zoomScale="80" zoomScaleNormal="80" zoomScaleSheetLayoutView="95" workbookViewId="0">
      <selection activeCell="D39" sqref="D39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15.140625" style="94" customWidth="1"/>
    <col min="9" max="9" width="18.7109375" style="55" bestFit="1" customWidth="1"/>
    <col min="10" max="10" width="9.140625" style="55"/>
    <col min="11" max="11" width="13.140625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3" x14ac:dyDescent="0.25">
      <c r="D1" s="79"/>
      <c r="E1" s="55"/>
      <c r="H1" s="95"/>
      <c r="I1" s="80"/>
      <c r="J1" s="79"/>
    </row>
    <row r="2" spans="1:13" x14ac:dyDescent="0.25">
      <c r="J2" s="55" t="s">
        <v>531</v>
      </c>
      <c r="K2" s="55" t="s">
        <v>530</v>
      </c>
      <c r="L2" s="55" t="s">
        <v>535</v>
      </c>
      <c r="M2" s="55" t="s">
        <v>536</v>
      </c>
    </row>
    <row r="3" spans="1:13" ht="28.5" x14ac:dyDescent="0.25">
      <c r="A3" s="326" t="s">
        <v>166</v>
      </c>
      <c r="B3" s="334"/>
      <c r="C3" s="334"/>
      <c r="D3" s="327"/>
      <c r="E3" s="327"/>
      <c r="F3" s="327"/>
      <c r="G3" s="327"/>
      <c r="H3" s="328"/>
      <c r="I3" s="290" t="s">
        <v>533</v>
      </c>
      <c r="J3" s="55">
        <f>'Obra '!F21</f>
        <v>99.93</v>
      </c>
      <c r="K3" s="55">
        <v>7.6</v>
      </c>
      <c r="L3" s="55">
        <v>0.2</v>
      </c>
      <c r="M3" s="55">
        <v>1</v>
      </c>
    </row>
    <row r="4" spans="1:13" ht="19.5" x14ac:dyDescent="0.25">
      <c r="A4" s="186" t="s">
        <v>186</v>
      </c>
      <c r="B4" s="192"/>
      <c r="C4" s="190"/>
      <c r="D4" s="190"/>
      <c r="E4" s="190"/>
      <c r="F4" s="190"/>
      <c r="G4" s="190"/>
      <c r="H4" s="191"/>
      <c r="I4" s="290" t="s">
        <v>534</v>
      </c>
      <c r="J4" s="55">
        <f>J3</f>
        <v>99.93</v>
      </c>
      <c r="K4" s="55">
        <v>0.6</v>
      </c>
      <c r="L4" s="55">
        <v>0.2</v>
      </c>
      <c r="M4" s="55">
        <v>1</v>
      </c>
    </row>
    <row r="5" spans="1:13" ht="19.5" x14ac:dyDescent="0.25">
      <c r="A5" s="186" t="s">
        <v>294</v>
      </c>
      <c r="B5" s="187"/>
      <c r="C5" s="188"/>
      <c r="D5" s="188"/>
      <c r="E5" s="188"/>
      <c r="F5" s="188"/>
      <c r="G5" s="188"/>
      <c r="H5" s="189"/>
      <c r="I5" s="290" t="s">
        <v>532</v>
      </c>
      <c r="J5" s="55">
        <f>J4</f>
        <v>99.93</v>
      </c>
      <c r="K5" s="55">
        <v>1.1000000000000001</v>
      </c>
      <c r="L5" s="55">
        <v>0.1</v>
      </c>
      <c r="M5" s="55">
        <v>2</v>
      </c>
    </row>
    <row r="6" spans="1:13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3" ht="21.75" hidden="1" x14ac:dyDescent="0.25">
      <c r="A7" s="52" t="s">
        <v>167</v>
      </c>
      <c r="B7" s="52"/>
      <c r="C7" s="52"/>
      <c r="D7" s="53"/>
      <c r="E7" s="53"/>
      <c r="F7" s="98"/>
      <c r="G7" s="98"/>
      <c r="H7" s="98"/>
    </row>
    <row r="8" spans="1:13" ht="21.75" hidden="1" x14ac:dyDescent="0.25">
      <c r="A8" s="56"/>
      <c r="B8" s="56"/>
      <c r="C8" s="56"/>
      <c r="D8" s="57"/>
      <c r="E8" s="57"/>
      <c r="F8" s="99"/>
      <c r="G8" s="100"/>
      <c r="H8" s="100"/>
    </row>
    <row r="9" spans="1:13" ht="42" hidden="1" customHeight="1" x14ac:dyDescent="0.25">
      <c r="A9" s="63" t="s">
        <v>14</v>
      </c>
      <c r="B9" s="330" t="s">
        <v>5</v>
      </c>
      <c r="C9" s="331"/>
      <c r="D9" s="330" t="s">
        <v>18</v>
      </c>
      <c r="E9" s="331"/>
      <c r="F9" s="101" t="s">
        <v>118</v>
      </c>
      <c r="G9" s="90" t="s">
        <v>16</v>
      </c>
      <c r="H9" s="100"/>
    </row>
    <row r="10" spans="1:13" ht="21.75" hidden="1" x14ac:dyDescent="0.25">
      <c r="A10" s="66" t="s">
        <v>107</v>
      </c>
      <c r="B10" s="62">
        <v>0.15</v>
      </c>
      <c r="C10" s="62" t="s">
        <v>108</v>
      </c>
      <c r="D10" s="67">
        <f>B10*DADOS_INICIAIS!E25</f>
        <v>89.050499999999985</v>
      </c>
      <c r="E10" s="67" t="s">
        <v>3</v>
      </c>
      <c r="F10" s="92"/>
      <c r="G10" s="93"/>
      <c r="H10" s="102"/>
    </row>
    <row r="11" spans="1:13" ht="21.75" hidden="1" x14ac:dyDescent="0.25">
      <c r="A11" s="332" t="s">
        <v>162</v>
      </c>
      <c r="B11" s="76">
        <v>0.1</v>
      </c>
      <c r="C11" s="62"/>
      <c r="D11" s="67">
        <f>B11*$D$10</f>
        <v>8.9050499999999992</v>
      </c>
      <c r="E11" s="67" t="s">
        <v>3</v>
      </c>
      <c r="F11" s="92"/>
      <c r="G11" s="93"/>
      <c r="H11" s="102"/>
    </row>
    <row r="12" spans="1:13" ht="21.75" hidden="1" x14ac:dyDescent="0.25">
      <c r="A12" s="333"/>
      <c r="B12" s="77">
        <v>20</v>
      </c>
      <c r="C12" s="62" t="s">
        <v>163</v>
      </c>
      <c r="D12" s="67">
        <f>B12*D11</f>
        <v>178.101</v>
      </c>
      <c r="E12" s="67" t="s">
        <v>4</v>
      </c>
      <c r="F12" s="88"/>
      <c r="G12" s="89">
        <f>F12*D12</f>
        <v>0</v>
      </c>
      <c r="H12" s="102"/>
    </row>
    <row r="13" spans="1:13" ht="21.75" hidden="1" x14ac:dyDescent="0.25">
      <c r="A13" s="332" t="s">
        <v>161</v>
      </c>
      <c r="B13" s="76">
        <v>0.5</v>
      </c>
      <c r="C13" s="62"/>
      <c r="D13" s="67">
        <f>B13*$D$10</f>
        <v>44.525249999999993</v>
      </c>
      <c r="E13" s="67" t="s">
        <v>3</v>
      </c>
      <c r="F13" s="92"/>
      <c r="G13" s="93"/>
      <c r="H13" s="102"/>
    </row>
    <row r="14" spans="1:13" ht="21.75" hidden="1" x14ac:dyDescent="0.25">
      <c r="A14" s="333"/>
      <c r="B14" s="77">
        <v>20</v>
      </c>
      <c r="C14" s="62" t="s">
        <v>163</v>
      </c>
      <c r="D14" s="67">
        <f>B14*D13</f>
        <v>890.50499999999988</v>
      </c>
      <c r="E14" s="67" t="s">
        <v>4</v>
      </c>
      <c r="F14" s="88"/>
      <c r="G14" s="89">
        <f>F14*D14</f>
        <v>0</v>
      </c>
      <c r="H14" s="102"/>
    </row>
    <row r="15" spans="1:13" ht="21.75" hidden="1" x14ac:dyDescent="0.25">
      <c r="A15" s="332" t="s">
        <v>114</v>
      </c>
      <c r="B15" s="76">
        <v>0.4</v>
      </c>
      <c r="C15" s="62" t="s">
        <v>108</v>
      </c>
      <c r="D15" s="67">
        <f>B15*$D$10</f>
        <v>35.620199999999997</v>
      </c>
      <c r="E15" s="67" t="s">
        <v>3</v>
      </c>
      <c r="F15" s="92"/>
      <c r="G15" s="93"/>
      <c r="H15" s="102"/>
    </row>
    <row r="16" spans="1:13" ht="21.75" hidden="1" x14ac:dyDescent="0.25">
      <c r="A16" s="333"/>
      <c r="B16" s="77">
        <v>20</v>
      </c>
      <c r="C16" s="62" t="s">
        <v>163</v>
      </c>
      <c r="D16" s="67">
        <f>B16*D15</f>
        <v>712.404</v>
      </c>
      <c r="E16" s="67" t="s">
        <v>4</v>
      </c>
      <c r="F16" s="88"/>
      <c r="G16" s="89">
        <f>F16*D16</f>
        <v>0</v>
      </c>
      <c r="H16" s="102"/>
    </row>
    <row r="17" spans="1:8" ht="21.75" hidden="1" x14ac:dyDescent="0.25">
      <c r="A17" s="66" t="s">
        <v>24</v>
      </c>
      <c r="B17" s="62">
        <f>(PI()*0.4^2)/4*D14+(PI()*0.5^2)/4*D16+(PI()*0.6^2)/4*D12</f>
        <v>302.1412283263777</v>
      </c>
      <c r="C17" s="62" t="s">
        <v>108</v>
      </c>
      <c r="D17" s="67">
        <f>(PI()*0.4^2)/4*D14+(PI()*0.5^2)/4*D16+(PI()*0.6^2)/4*D12</f>
        <v>302.1412283263777</v>
      </c>
      <c r="E17" s="67" t="s">
        <v>22</v>
      </c>
      <c r="F17" s="88"/>
      <c r="G17" s="89">
        <f>F17*D17</f>
        <v>0</v>
      </c>
      <c r="H17" s="102"/>
    </row>
    <row r="18" spans="1:8" ht="21.75" hidden="1" x14ac:dyDescent="0.25">
      <c r="A18" s="66" t="s">
        <v>115</v>
      </c>
      <c r="B18" s="62">
        <v>1.6575131198547477</v>
      </c>
      <c r="C18" s="62" t="s">
        <v>34</v>
      </c>
      <c r="D18" s="67">
        <f>B18*D17</f>
        <v>500.80304999999998</v>
      </c>
      <c r="E18" s="67" t="s">
        <v>26</v>
      </c>
      <c r="F18" s="88"/>
      <c r="G18" s="89">
        <f>F18*D18</f>
        <v>0</v>
      </c>
      <c r="H18" s="102"/>
    </row>
    <row r="19" spans="1:8" ht="21.75" hidden="1" x14ac:dyDescent="0.25">
      <c r="A19" s="66" t="s">
        <v>125</v>
      </c>
      <c r="B19" s="62">
        <v>10.178337551067401</v>
      </c>
      <c r="C19" s="62" t="s">
        <v>34</v>
      </c>
      <c r="D19" s="67">
        <f>B19*D17</f>
        <v>3075.2954099999997</v>
      </c>
      <c r="E19" s="67" t="s">
        <v>26</v>
      </c>
      <c r="F19" s="88"/>
      <c r="G19" s="89">
        <f>F19*D19</f>
        <v>0</v>
      </c>
      <c r="H19" s="102"/>
    </row>
    <row r="20" spans="1:8" ht="21.75" hidden="1" x14ac:dyDescent="0.25">
      <c r="A20" s="66" t="s">
        <v>109</v>
      </c>
      <c r="B20" s="62">
        <v>1</v>
      </c>
      <c r="C20" s="62" t="s">
        <v>27</v>
      </c>
      <c r="D20" s="67">
        <v>1</v>
      </c>
      <c r="E20" s="67" t="s">
        <v>27</v>
      </c>
      <c r="F20" s="88"/>
      <c r="G20" s="89">
        <f>F20*D20</f>
        <v>0</v>
      </c>
      <c r="H20" s="102"/>
    </row>
    <row r="21" spans="1:8" ht="21.75" hidden="1" x14ac:dyDescent="0.25">
      <c r="A21" s="325" t="s">
        <v>17</v>
      </c>
      <c r="B21" s="325"/>
      <c r="C21" s="325"/>
      <c r="D21" s="325"/>
      <c r="E21" s="325"/>
      <c r="F21" s="325"/>
      <c r="G21" s="90">
        <f>SUM(G10:G20)</f>
        <v>0</v>
      </c>
      <c r="H21" s="103"/>
    </row>
    <row r="22" spans="1:8" hidden="1" x14ac:dyDescent="0.25"/>
    <row r="23" spans="1:8" ht="21.75" hidden="1" x14ac:dyDescent="0.25">
      <c r="A23" s="52" t="s">
        <v>295</v>
      </c>
      <c r="B23" s="52"/>
      <c r="C23" s="52"/>
      <c r="D23" s="53"/>
      <c r="E23" s="53"/>
      <c r="F23" s="98"/>
      <c r="G23" s="98"/>
      <c r="H23" s="98"/>
    </row>
    <row r="24" spans="1:8" ht="21.75" hidden="1" x14ac:dyDescent="0.25">
      <c r="A24" s="56"/>
      <c r="B24" s="56"/>
      <c r="C24" s="56"/>
      <c r="D24" s="57"/>
      <c r="E24" s="57"/>
      <c r="F24" s="99"/>
      <c r="G24" s="100"/>
      <c r="H24" s="100"/>
    </row>
    <row r="25" spans="1:8" ht="21.75" hidden="1" x14ac:dyDescent="0.25">
      <c r="A25" s="63" t="s">
        <v>14</v>
      </c>
      <c r="B25" s="330" t="s">
        <v>5</v>
      </c>
      <c r="C25" s="331"/>
      <c r="D25" s="330" t="s">
        <v>18</v>
      </c>
      <c r="E25" s="331"/>
      <c r="F25" s="101" t="s">
        <v>118</v>
      </c>
      <c r="G25" s="90" t="s">
        <v>16</v>
      </c>
      <c r="H25" s="100"/>
    </row>
    <row r="26" spans="1:8" ht="43.5" hidden="1" x14ac:dyDescent="0.25">
      <c r="A26" s="66" t="s">
        <v>111</v>
      </c>
      <c r="B26" s="62">
        <v>2.1</v>
      </c>
      <c r="C26" s="62" t="s">
        <v>113</v>
      </c>
      <c r="D26" s="67">
        <f>B26*DADOS_INICIAIS!E25</f>
        <v>1246.7069999999999</v>
      </c>
      <c r="E26" s="67" t="s">
        <v>2</v>
      </c>
      <c r="F26" s="88"/>
      <c r="G26" s="89">
        <f>F26*D26</f>
        <v>0</v>
      </c>
      <c r="H26" s="102"/>
    </row>
    <row r="27" spans="1:8" ht="21.75" hidden="1" x14ac:dyDescent="0.25">
      <c r="A27" s="66" t="s">
        <v>24</v>
      </c>
      <c r="B27" s="62">
        <v>0.65</v>
      </c>
      <c r="C27" s="62" t="s">
        <v>112</v>
      </c>
      <c r="D27" s="67">
        <f>B27*DADOS_INICIAIS!E25</f>
        <v>385.88549999999998</v>
      </c>
      <c r="E27" s="67" t="s">
        <v>22</v>
      </c>
      <c r="F27" s="88"/>
      <c r="G27" s="89">
        <f>F27*D27</f>
        <v>0</v>
      </c>
      <c r="H27" s="102"/>
    </row>
    <row r="28" spans="1:8" ht="21.75" hidden="1" x14ac:dyDescent="0.25">
      <c r="A28" s="66" t="s">
        <v>23</v>
      </c>
      <c r="B28" s="62">
        <v>110</v>
      </c>
      <c r="C28" s="62" t="s">
        <v>34</v>
      </c>
      <c r="D28" s="67">
        <f>B28*D27</f>
        <v>42447.404999999999</v>
      </c>
      <c r="E28" s="67" t="s">
        <v>26</v>
      </c>
      <c r="F28" s="88"/>
      <c r="G28" s="89">
        <f>F28*D28</f>
        <v>0</v>
      </c>
      <c r="H28" s="102"/>
    </row>
    <row r="29" spans="1:8" ht="21.75" hidden="1" x14ac:dyDescent="0.25">
      <c r="A29" s="66" t="s">
        <v>25</v>
      </c>
      <c r="B29" s="62">
        <f>SUPRAESTRUTURA!B15*1.5</f>
        <v>360</v>
      </c>
      <c r="C29" s="62" t="s">
        <v>102</v>
      </c>
      <c r="D29" s="67">
        <f>DADOS_INICIAIS!E25</f>
        <v>593.66999999999996</v>
      </c>
      <c r="E29" s="67" t="s">
        <v>2</v>
      </c>
      <c r="F29" s="88">
        <f>B29</f>
        <v>360</v>
      </c>
      <c r="G29" s="89">
        <f>F29*D29</f>
        <v>213721.19999999998</v>
      </c>
      <c r="H29" s="102"/>
    </row>
    <row r="30" spans="1:8" ht="21.75" hidden="1" x14ac:dyDescent="0.25">
      <c r="A30" s="325" t="s">
        <v>17</v>
      </c>
      <c r="B30" s="325"/>
      <c r="C30" s="325"/>
      <c r="D30" s="325"/>
      <c r="E30" s="325"/>
      <c r="F30" s="325"/>
      <c r="G30" s="90">
        <f>SUM(G26:G29)</f>
        <v>213721.19999999998</v>
      </c>
      <c r="H30" s="103"/>
    </row>
    <row r="33" spans="1:11" ht="21.75" x14ac:dyDescent="0.25">
      <c r="A33" s="52" t="s">
        <v>168</v>
      </c>
      <c r="B33" s="52"/>
      <c r="C33" s="52"/>
      <c r="D33" s="53"/>
      <c r="E33" s="53"/>
      <c r="F33" s="98"/>
      <c r="G33" s="98"/>
      <c r="H33" s="98"/>
    </row>
    <row r="34" spans="1:11" ht="21.75" x14ac:dyDescent="0.25">
      <c r="A34" s="56"/>
      <c r="B34" s="56"/>
      <c r="C34" s="56"/>
      <c r="D34" s="57"/>
      <c r="E34" s="57"/>
      <c r="F34" s="99"/>
      <c r="G34" s="100"/>
      <c r="H34" s="100"/>
    </row>
    <row r="35" spans="1:11" ht="21.75" x14ac:dyDescent="0.25">
      <c r="A35" s="63" t="s">
        <v>14</v>
      </c>
      <c r="B35" s="330" t="s">
        <v>5</v>
      </c>
      <c r="C35" s="331"/>
      <c r="D35" s="330" t="s">
        <v>18</v>
      </c>
      <c r="E35" s="331"/>
      <c r="F35" s="101" t="s">
        <v>118</v>
      </c>
      <c r="G35" s="90" t="s">
        <v>16</v>
      </c>
      <c r="H35" s="310" t="s">
        <v>721</v>
      </c>
      <c r="I35" s="310" t="s">
        <v>726</v>
      </c>
      <c r="J35" s="112" t="s">
        <v>722</v>
      </c>
      <c r="K35" s="112" t="s">
        <v>727</v>
      </c>
    </row>
    <row r="36" spans="1:11" ht="43.5" x14ac:dyDescent="0.25">
      <c r="A36" s="66" t="s">
        <v>111</v>
      </c>
      <c r="B36" s="62">
        <v>2.1</v>
      </c>
      <c r="C36" s="62" t="s">
        <v>113</v>
      </c>
      <c r="D36" s="67">
        <f>SUMPRODUCT(J4:J5,K4:K5,M4:M5)</f>
        <v>279.80400000000003</v>
      </c>
      <c r="E36" s="67" t="s">
        <v>2</v>
      </c>
      <c r="F36" s="88">
        <v>68</v>
      </c>
      <c r="G36" s="89">
        <f>F36*D36*1.1</f>
        <v>20929.339200000006</v>
      </c>
      <c r="H36" s="81">
        <f>F36*1.1</f>
        <v>74.800000000000011</v>
      </c>
      <c r="I36" s="81">
        <f>H36*$D36</f>
        <v>20929.339200000006</v>
      </c>
    </row>
    <row r="37" spans="1:11" ht="21.75" x14ac:dyDescent="0.25">
      <c r="A37" s="66" t="s">
        <v>24</v>
      </c>
      <c r="B37" s="62">
        <v>0.65</v>
      </c>
      <c r="C37" s="62" t="s">
        <v>112</v>
      </c>
      <c r="D37" s="67">
        <f>SUMPRODUCT(J3:J5,K3:K5,L3:L5,M3:M5)</f>
        <v>185.8698</v>
      </c>
      <c r="E37" s="67" t="s">
        <v>22</v>
      </c>
      <c r="F37" s="88">
        <f>(535+45+(1.67*0.6))*1.3</f>
        <v>755.30259999999998</v>
      </c>
      <c r="G37" s="89">
        <f t="shared" ref="G37:G39" si="0">F37*D37*1.1</f>
        <v>154426.73752162801</v>
      </c>
      <c r="H37" s="81">
        <f>F37*1.1</f>
        <v>830.8328600000001</v>
      </c>
      <c r="I37" s="81">
        <f>H37*$D37</f>
        <v>154426.73752162801</v>
      </c>
    </row>
    <row r="38" spans="1:11" ht="21.75" x14ac:dyDescent="0.25">
      <c r="A38" s="66" t="s">
        <v>23</v>
      </c>
      <c r="B38" s="62">
        <v>110</v>
      </c>
      <c r="C38" s="62" t="s">
        <v>34</v>
      </c>
      <c r="D38" s="67">
        <f>B38*D37</f>
        <v>20445.678</v>
      </c>
      <c r="E38" s="67" t="s">
        <v>26</v>
      </c>
      <c r="F38" s="88">
        <v>7.62</v>
      </c>
      <c r="G38" s="89">
        <f t="shared" si="0"/>
        <v>171375.67299600001</v>
      </c>
      <c r="H38" s="81">
        <f>F38*1.1</f>
        <v>8.3820000000000014</v>
      </c>
      <c r="I38" s="81">
        <f>H38*$D38</f>
        <v>171375.67299600004</v>
      </c>
    </row>
    <row r="39" spans="1:11" ht="43.5" x14ac:dyDescent="0.25">
      <c r="A39" s="66" t="s">
        <v>539</v>
      </c>
      <c r="B39" s="62">
        <f>SUPRAESTRUTURA!B71*1.5</f>
        <v>0</v>
      </c>
      <c r="C39" s="62" t="s">
        <v>102</v>
      </c>
      <c r="D39" s="67">
        <f>J3*K3</f>
        <v>759.46799999999996</v>
      </c>
      <c r="E39" s="67" t="s">
        <v>2</v>
      </c>
      <c r="F39" s="88">
        <v>835</v>
      </c>
      <c r="G39" s="89">
        <f t="shared" si="0"/>
        <v>697571.35800000001</v>
      </c>
      <c r="H39" s="102"/>
      <c r="J39" s="81">
        <f>F39*1.1</f>
        <v>918.50000000000011</v>
      </c>
      <c r="K39" s="81">
        <f>J39*$D39</f>
        <v>697571.35800000001</v>
      </c>
    </row>
    <row r="40" spans="1:11" ht="21.75" x14ac:dyDescent="0.25">
      <c r="A40" s="325" t="s">
        <v>17</v>
      </c>
      <c r="B40" s="325"/>
      <c r="C40" s="325"/>
      <c r="D40" s="325"/>
      <c r="E40" s="325"/>
      <c r="F40" s="325"/>
      <c r="G40" s="90">
        <f>SUM(G36:G39)</f>
        <v>1044303.107717628</v>
      </c>
      <c r="H40" s="103"/>
    </row>
    <row r="45" spans="1:11" x14ac:dyDescent="0.25">
      <c r="D45" s="86"/>
      <c r="E45" s="87"/>
    </row>
    <row r="46" spans="1:11" ht="21.75" x14ac:dyDescent="0.25">
      <c r="A46" s="335" t="s">
        <v>104</v>
      </c>
      <c r="B46" s="336"/>
      <c r="C46" s="336"/>
      <c r="D46" s="336"/>
      <c r="E46" s="336"/>
      <c r="F46" s="337"/>
      <c r="G46" s="91">
        <f>G40</f>
        <v>1044303.107717628</v>
      </c>
      <c r="H46" s="91">
        <f>G46/DADOS_INICIAIS!E9</f>
        <v>195.27495254506061</v>
      </c>
    </row>
  </sheetData>
  <mergeCells count="14">
    <mergeCell ref="A21:F21"/>
    <mergeCell ref="B25:C25"/>
    <mergeCell ref="D25:E25"/>
    <mergeCell ref="A30:F30"/>
    <mergeCell ref="A46:F46"/>
    <mergeCell ref="B35:C35"/>
    <mergeCell ref="D35:E35"/>
    <mergeCell ref="A40:F40"/>
    <mergeCell ref="A15:A16"/>
    <mergeCell ref="A3:H3"/>
    <mergeCell ref="B9:C9"/>
    <mergeCell ref="D9:E9"/>
    <mergeCell ref="A11:A12"/>
    <mergeCell ref="A13:A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L38"/>
  <sheetViews>
    <sheetView showGridLines="0" topLeftCell="A22" zoomScale="80" zoomScaleNormal="80" zoomScaleSheetLayoutView="95" workbookViewId="0">
      <selection activeCell="D32" sqref="D32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27.5703125" style="94" customWidth="1"/>
    <col min="9" max="9" width="15.28515625" style="55" bestFit="1" customWidth="1"/>
    <col min="10" max="10" width="13.140625" style="55" customWidth="1"/>
    <col min="11" max="11" width="12.140625" style="55" bestFit="1" customWidth="1"/>
    <col min="12" max="12" width="13.140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95"/>
      <c r="I1" s="80"/>
      <c r="J1" s="79"/>
    </row>
    <row r="3" spans="1:12" ht="28.5" x14ac:dyDescent="0.25">
      <c r="A3" s="326" t="s">
        <v>122</v>
      </c>
      <c r="B3" s="334"/>
      <c r="C3" s="334"/>
      <c r="D3" s="327"/>
      <c r="E3" s="327"/>
      <c r="F3" s="327"/>
      <c r="G3" s="327"/>
      <c r="H3" s="328"/>
      <c r="J3" s="79"/>
    </row>
    <row r="4" spans="1:12" ht="19.5" x14ac:dyDescent="0.25">
      <c r="A4" s="186" t="s">
        <v>186</v>
      </c>
      <c r="B4" s="192">
        <v>45472</v>
      </c>
      <c r="C4" s="190"/>
      <c r="D4" s="190"/>
      <c r="E4" s="190"/>
      <c r="F4" s="190"/>
      <c r="G4" s="190"/>
      <c r="H4" s="191"/>
      <c r="J4" s="79"/>
    </row>
    <row r="5" spans="1:12" ht="19.5" x14ac:dyDescent="0.25">
      <c r="A5" s="186" t="s">
        <v>294</v>
      </c>
      <c r="B5" s="193" t="s">
        <v>211</v>
      </c>
      <c r="C5" s="188"/>
      <c r="D5" s="188"/>
      <c r="E5" s="188"/>
      <c r="F5" s="188"/>
      <c r="G5" s="188"/>
      <c r="H5" s="189"/>
      <c r="J5" s="79"/>
    </row>
    <row r="6" spans="1:12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2" ht="21.75" x14ac:dyDescent="0.25">
      <c r="A7" s="52" t="s">
        <v>106</v>
      </c>
      <c r="B7" s="52"/>
      <c r="C7" s="52"/>
      <c r="D7" s="53"/>
      <c r="E7" s="53"/>
      <c r="F7" s="98"/>
      <c r="G7" s="98"/>
      <c r="H7" s="98"/>
    </row>
    <row r="8" spans="1:12" ht="21.75" x14ac:dyDescent="0.25">
      <c r="A8" s="56"/>
      <c r="B8" s="56"/>
      <c r="C8" s="56"/>
      <c r="D8" s="57"/>
      <c r="E8" s="57"/>
      <c r="F8" s="99"/>
      <c r="G8" s="100"/>
      <c r="H8" s="100"/>
    </row>
    <row r="9" spans="1:12" ht="21.75" x14ac:dyDescent="0.25">
      <c r="A9" s="63" t="s">
        <v>14</v>
      </c>
      <c r="B9" s="330" t="s">
        <v>5</v>
      </c>
      <c r="C9" s="331"/>
      <c r="D9" s="330" t="s">
        <v>18</v>
      </c>
      <c r="E9" s="331"/>
      <c r="F9" s="101" t="s">
        <v>118</v>
      </c>
      <c r="G9" s="90" t="s">
        <v>16</v>
      </c>
      <c r="H9" s="90" t="s">
        <v>297</v>
      </c>
      <c r="I9" s="310" t="s">
        <v>721</v>
      </c>
      <c r="J9" s="310" t="s">
        <v>726</v>
      </c>
      <c r="K9" s="112" t="s">
        <v>722</v>
      </c>
      <c r="L9" s="112" t="s">
        <v>727</v>
      </c>
    </row>
    <row r="10" spans="1:12" ht="43.5" x14ac:dyDescent="0.25">
      <c r="A10" s="66" t="s">
        <v>107</v>
      </c>
      <c r="B10" s="62">
        <v>0.15</v>
      </c>
      <c r="C10" s="62" t="s">
        <v>108</v>
      </c>
      <c r="D10" s="67">
        <f>ROUNDUP(B10*DADOS_INICIAIS!$E$25,0)</f>
        <v>90</v>
      </c>
      <c r="E10" s="67" t="s">
        <v>3</v>
      </c>
      <c r="F10" s="92"/>
      <c r="G10" s="93"/>
      <c r="H10" s="67" t="s">
        <v>340</v>
      </c>
      <c r="I10" s="81"/>
      <c r="J10" s="81">
        <f t="shared" ref="J10:J13" si="0">I10*$D10</f>
        <v>0</v>
      </c>
      <c r="K10" s="81"/>
      <c r="L10" s="81">
        <f t="shared" ref="L10:L22" si="1">K10*$D10</f>
        <v>0</v>
      </c>
    </row>
    <row r="11" spans="1:12" ht="21.75" x14ac:dyDescent="0.25">
      <c r="A11" s="332" t="s">
        <v>162</v>
      </c>
      <c r="B11" s="76">
        <v>0</v>
      </c>
      <c r="C11" s="62"/>
      <c r="D11" s="67">
        <f>ROUNDUP(B11*$D$10,0)</f>
        <v>0</v>
      </c>
      <c r="E11" s="67" t="s">
        <v>3</v>
      </c>
      <c r="F11" s="92"/>
      <c r="G11" s="93"/>
      <c r="H11" s="67"/>
      <c r="I11" s="81"/>
      <c r="J11" s="81">
        <f t="shared" si="0"/>
        <v>0</v>
      </c>
      <c r="K11" s="81"/>
      <c r="L11" s="81">
        <f t="shared" si="1"/>
        <v>0</v>
      </c>
    </row>
    <row r="12" spans="1:12" ht="21.75" x14ac:dyDescent="0.25">
      <c r="A12" s="333"/>
      <c r="B12" s="77">
        <v>30</v>
      </c>
      <c r="C12" s="62" t="s">
        <v>163</v>
      </c>
      <c r="D12" s="67">
        <f>B12*D11</f>
        <v>0</v>
      </c>
      <c r="E12" s="67" t="s">
        <v>4</v>
      </c>
      <c r="F12" s="88">
        <v>70</v>
      </c>
      <c r="G12" s="89">
        <f>F12*D12*1.1</f>
        <v>0</v>
      </c>
      <c r="H12" s="67"/>
      <c r="I12" s="81"/>
      <c r="J12" s="81">
        <f t="shared" si="0"/>
        <v>0</v>
      </c>
      <c r="K12" s="81"/>
      <c r="L12" s="81">
        <f t="shared" si="1"/>
        <v>0</v>
      </c>
    </row>
    <row r="13" spans="1:12" ht="21.75" x14ac:dyDescent="0.25">
      <c r="A13" s="332" t="s">
        <v>161</v>
      </c>
      <c r="B13" s="76">
        <v>0.6</v>
      </c>
      <c r="C13" s="62"/>
      <c r="D13" s="67">
        <f>ROUNDUP(B13*D10,0)</f>
        <v>54</v>
      </c>
      <c r="E13" s="67" t="s">
        <v>3</v>
      </c>
      <c r="F13" s="92"/>
      <c r="G13" s="93"/>
      <c r="H13" s="67"/>
      <c r="I13" s="81"/>
      <c r="J13" s="81">
        <f t="shared" si="0"/>
        <v>0</v>
      </c>
      <c r="K13" s="81"/>
      <c r="L13" s="81">
        <f t="shared" si="1"/>
        <v>0</v>
      </c>
    </row>
    <row r="14" spans="1:12" ht="21.75" x14ac:dyDescent="0.25">
      <c r="A14" s="333"/>
      <c r="B14" s="77">
        <v>30</v>
      </c>
      <c r="C14" s="62" t="s">
        <v>163</v>
      </c>
      <c r="D14" s="67">
        <f>B14*D13</f>
        <v>1620</v>
      </c>
      <c r="E14" s="67" t="s">
        <v>4</v>
      </c>
      <c r="F14" s="88">
        <v>90</v>
      </c>
      <c r="G14" s="89">
        <f>F14*D14*1.1</f>
        <v>160380</v>
      </c>
      <c r="H14" s="67"/>
      <c r="I14" s="81">
        <f>F14*1.1</f>
        <v>99.000000000000014</v>
      </c>
      <c r="J14" s="81">
        <f>I14*$D14</f>
        <v>160380.00000000003</v>
      </c>
      <c r="K14" s="81"/>
      <c r="L14" s="81">
        <f t="shared" si="1"/>
        <v>0</v>
      </c>
    </row>
    <row r="15" spans="1:12" ht="21.75" x14ac:dyDescent="0.25">
      <c r="A15" s="332" t="s">
        <v>114</v>
      </c>
      <c r="B15" s="76">
        <v>0.4</v>
      </c>
      <c r="C15" s="62" t="s">
        <v>108</v>
      </c>
      <c r="D15" s="67">
        <f>ROUNDUP(B15*$D$10,0)</f>
        <v>36</v>
      </c>
      <c r="E15" s="67" t="s">
        <v>3</v>
      </c>
      <c r="F15" s="92"/>
      <c r="G15" s="93"/>
      <c r="H15" s="67"/>
      <c r="I15" s="81"/>
      <c r="J15" s="81">
        <f t="shared" ref="J15:J22" si="2">I15*$D15</f>
        <v>0</v>
      </c>
      <c r="K15" s="81"/>
      <c r="L15" s="81">
        <f t="shared" si="1"/>
        <v>0</v>
      </c>
    </row>
    <row r="16" spans="1:12" ht="21.75" x14ac:dyDescent="0.25">
      <c r="A16" s="333"/>
      <c r="B16" s="77">
        <v>30</v>
      </c>
      <c r="C16" s="62" t="s">
        <v>163</v>
      </c>
      <c r="D16" s="67">
        <f>B16*D15</f>
        <v>1080</v>
      </c>
      <c r="E16" s="67" t="s">
        <v>4</v>
      </c>
      <c r="F16" s="88">
        <v>105</v>
      </c>
      <c r="G16" s="89">
        <f>F16*D16*1.1</f>
        <v>124740.00000000001</v>
      </c>
      <c r="H16" s="67"/>
      <c r="I16" s="81">
        <f>F16*1.1</f>
        <v>115.50000000000001</v>
      </c>
      <c r="J16" s="81">
        <f t="shared" si="2"/>
        <v>124740.00000000001</v>
      </c>
      <c r="K16" s="81"/>
      <c r="L16" s="81">
        <f t="shared" si="1"/>
        <v>0</v>
      </c>
    </row>
    <row r="17" spans="1:12" ht="21.75" x14ac:dyDescent="0.25">
      <c r="A17" s="332" t="s">
        <v>329</v>
      </c>
      <c r="B17" s="76">
        <v>0</v>
      </c>
      <c r="C17" s="62" t="s">
        <v>108</v>
      </c>
      <c r="D17" s="67">
        <f>ROUNDUP(B17*$D$10,0)</f>
        <v>0</v>
      </c>
      <c r="E17" s="67" t="s">
        <v>3</v>
      </c>
      <c r="F17" s="92"/>
      <c r="G17" s="93"/>
      <c r="H17" s="67"/>
      <c r="I17" s="81"/>
      <c r="J17" s="81">
        <f t="shared" si="2"/>
        <v>0</v>
      </c>
      <c r="K17" s="81"/>
      <c r="L17" s="81">
        <f t="shared" si="1"/>
        <v>0</v>
      </c>
    </row>
    <row r="18" spans="1:12" ht="21.75" x14ac:dyDescent="0.25">
      <c r="A18" s="333"/>
      <c r="B18" s="77">
        <v>30</v>
      </c>
      <c r="C18" s="62" t="s">
        <v>163</v>
      </c>
      <c r="D18" s="67">
        <f>B18*D17</f>
        <v>0</v>
      </c>
      <c r="E18" s="67" t="s">
        <v>4</v>
      </c>
      <c r="F18" s="88">
        <v>120</v>
      </c>
      <c r="G18" s="89">
        <f>F18*D18*1.1</f>
        <v>0</v>
      </c>
      <c r="H18" s="67"/>
      <c r="I18" s="81"/>
      <c r="J18" s="81">
        <f t="shared" si="2"/>
        <v>0</v>
      </c>
      <c r="K18" s="81"/>
      <c r="L18" s="81">
        <f t="shared" si="1"/>
        <v>0</v>
      </c>
    </row>
    <row r="19" spans="1:12" ht="21.75" x14ac:dyDescent="0.25">
      <c r="A19" s="66" t="s">
        <v>299</v>
      </c>
      <c r="B19" s="62">
        <v>1.3</v>
      </c>
      <c r="C19" s="62" t="s">
        <v>312</v>
      </c>
      <c r="D19" s="67">
        <f>(PI()*((0.4^2)/4)*D12+PI()*((0.5^2)/4)*D14+PI()*((0.6^2)/4)*D16)</f>
        <v>623.44906210489444</v>
      </c>
      <c r="E19" s="67" t="s">
        <v>22</v>
      </c>
      <c r="F19" s="88">
        <f>(535+45+(1.67*0.6))*B19</f>
        <v>755.30259999999998</v>
      </c>
      <c r="G19" s="89">
        <f>F19*D19*1.1</f>
        <v>517981.9673329271</v>
      </c>
      <c r="H19" s="67"/>
      <c r="I19" s="81">
        <f t="shared" ref="I19:I21" si="3">F19*1.1</f>
        <v>830.8328600000001</v>
      </c>
      <c r="J19" s="81">
        <f t="shared" si="2"/>
        <v>517981.9673329271</v>
      </c>
      <c r="K19" s="81"/>
      <c r="L19" s="81">
        <f t="shared" si="1"/>
        <v>0</v>
      </c>
    </row>
    <row r="20" spans="1:12" ht="21.75" x14ac:dyDescent="0.25">
      <c r="A20" s="66" t="s">
        <v>330</v>
      </c>
      <c r="B20" s="62">
        <v>12</v>
      </c>
      <c r="C20" s="62" t="s">
        <v>34</v>
      </c>
      <c r="D20" s="67">
        <f>B20*D19</f>
        <v>7481.3887452587333</v>
      </c>
      <c r="E20" s="67" t="s">
        <v>26</v>
      </c>
      <c r="F20" s="88">
        <v>7.62</v>
      </c>
      <c r="G20" s="89">
        <f>F20*D20*1.1</f>
        <v>62709.000462758704</v>
      </c>
      <c r="H20" s="67"/>
      <c r="I20" s="81">
        <f t="shared" si="3"/>
        <v>8.3820000000000014</v>
      </c>
      <c r="J20" s="81">
        <f t="shared" si="2"/>
        <v>62709.000462758711</v>
      </c>
      <c r="K20" s="81"/>
      <c r="L20" s="81">
        <f t="shared" si="1"/>
        <v>0</v>
      </c>
    </row>
    <row r="21" spans="1:12" ht="21.75" x14ac:dyDescent="0.25">
      <c r="A21" s="66" t="s">
        <v>109</v>
      </c>
      <c r="B21" s="62">
        <v>1</v>
      </c>
      <c r="C21" s="62" t="s">
        <v>27</v>
      </c>
      <c r="D21" s="67">
        <v>1</v>
      </c>
      <c r="E21" s="67" t="s">
        <v>27</v>
      </c>
      <c r="F21" s="88">
        <v>12500</v>
      </c>
      <c r="G21" s="89">
        <f>F21*D21*1.1</f>
        <v>13750.000000000002</v>
      </c>
      <c r="H21" s="67"/>
      <c r="I21" s="81">
        <f t="shared" si="3"/>
        <v>13750.000000000002</v>
      </c>
      <c r="J21" s="81">
        <f t="shared" si="2"/>
        <v>13750.000000000002</v>
      </c>
      <c r="K21" s="81"/>
      <c r="L21" s="81">
        <f t="shared" si="1"/>
        <v>0</v>
      </c>
    </row>
    <row r="22" spans="1:12" ht="21.75" x14ac:dyDescent="0.25">
      <c r="A22" s="66" t="s">
        <v>300</v>
      </c>
      <c r="B22" s="62"/>
      <c r="C22" s="62"/>
      <c r="D22" s="67">
        <f>D10</f>
        <v>90</v>
      </c>
      <c r="E22" s="67" t="s">
        <v>3</v>
      </c>
      <c r="F22" s="88">
        <v>300</v>
      </c>
      <c r="G22" s="89">
        <f>F22*D22*1</f>
        <v>27000</v>
      </c>
      <c r="H22" s="67"/>
      <c r="I22" s="81"/>
      <c r="J22" s="81">
        <f t="shared" si="2"/>
        <v>0</v>
      </c>
      <c r="K22" s="81">
        <f>F22</f>
        <v>300</v>
      </c>
      <c r="L22" s="81">
        <f t="shared" si="1"/>
        <v>27000</v>
      </c>
    </row>
    <row r="23" spans="1:12" ht="21.75" x14ac:dyDescent="0.25">
      <c r="A23" s="325" t="s">
        <v>17</v>
      </c>
      <c r="B23" s="325"/>
      <c r="C23" s="325"/>
      <c r="D23" s="325"/>
      <c r="E23" s="325"/>
      <c r="F23" s="325"/>
      <c r="G23" s="90">
        <f>SUM(G10:G22)</f>
        <v>906560.96779568575</v>
      </c>
      <c r="H23" s="90"/>
      <c r="I23" s="81"/>
      <c r="J23" s="81"/>
      <c r="K23" s="81"/>
      <c r="L23" s="81"/>
    </row>
    <row r="25" spans="1:12" ht="21.75" x14ac:dyDescent="0.25">
      <c r="A25" s="52" t="s">
        <v>110</v>
      </c>
      <c r="B25" s="52"/>
      <c r="C25" s="52"/>
      <c r="D25" s="53"/>
      <c r="E25" s="53"/>
      <c r="F25" s="98"/>
      <c r="G25" s="98"/>
      <c r="H25" s="98"/>
    </row>
    <row r="26" spans="1:12" ht="21.75" x14ac:dyDescent="0.25">
      <c r="A26" s="56"/>
      <c r="B26" s="56"/>
      <c r="C26" s="56"/>
      <c r="D26" s="57"/>
      <c r="E26" s="57"/>
      <c r="F26" s="99"/>
      <c r="G26" s="100"/>
      <c r="H26" s="100"/>
    </row>
    <row r="27" spans="1:12" ht="21.75" x14ac:dyDescent="0.25">
      <c r="A27" s="63" t="s">
        <v>14</v>
      </c>
      <c r="B27" s="330" t="s">
        <v>5</v>
      </c>
      <c r="C27" s="331"/>
      <c r="D27" s="330" t="s">
        <v>18</v>
      </c>
      <c r="E27" s="331"/>
      <c r="F27" s="101" t="s">
        <v>118</v>
      </c>
      <c r="G27" s="90" t="s">
        <v>16</v>
      </c>
      <c r="H27" s="90" t="s">
        <v>297</v>
      </c>
      <c r="I27" s="310" t="s">
        <v>721</v>
      </c>
      <c r="J27" s="310" t="s">
        <v>726</v>
      </c>
      <c r="K27" s="112" t="s">
        <v>722</v>
      </c>
      <c r="L27" s="112" t="s">
        <v>727</v>
      </c>
    </row>
    <row r="28" spans="1:12" ht="43.5" x14ac:dyDescent="0.25">
      <c r="A28" s="66" t="s">
        <v>111</v>
      </c>
      <c r="B28" s="62">
        <v>1.1000000000000001</v>
      </c>
      <c r="C28" s="62" t="s">
        <v>113</v>
      </c>
      <c r="D28" s="67">
        <f>B28*DADOS_INICIAIS!E25</f>
        <v>653.03700000000003</v>
      </c>
      <c r="E28" s="67" t="s">
        <v>2</v>
      </c>
      <c r="F28" s="88">
        <v>68</v>
      </c>
      <c r="G28" s="89">
        <f>F28*D28*1.1</f>
        <v>48847.167600000008</v>
      </c>
      <c r="H28" s="67"/>
      <c r="I28" s="81">
        <f t="shared" ref="I28" si="4">F28*1.1</f>
        <v>74.800000000000011</v>
      </c>
      <c r="J28" s="81">
        <f t="shared" ref="J28:J31" si="5">I28*$D28</f>
        <v>48847.167600000008</v>
      </c>
    </row>
    <row r="29" spans="1:12" ht="21.75" x14ac:dyDescent="0.25">
      <c r="A29" s="66" t="s">
        <v>299</v>
      </c>
      <c r="B29" s="62">
        <v>0.65</v>
      </c>
      <c r="C29" s="62" t="s">
        <v>112</v>
      </c>
      <c r="D29" s="67">
        <f>B29*DADOS_INICIAIS!E25</f>
        <v>385.88549999999998</v>
      </c>
      <c r="E29" s="67" t="s">
        <v>22</v>
      </c>
      <c r="F29" s="88">
        <f>(535+45+(1.67*0.6))*1.05</f>
        <v>610.0521</v>
      </c>
      <c r="G29" s="89">
        <f>F29*D29*1.1</f>
        <v>258951.28559800502</v>
      </c>
      <c r="H29" s="67"/>
      <c r="I29" s="81">
        <f t="shared" ref="I29:I31" si="6">F29*1.1</f>
        <v>671.05731000000003</v>
      </c>
      <c r="J29" s="81">
        <f t="shared" si="5"/>
        <v>258951.28559800499</v>
      </c>
    </row>
    <row r="30" spans="1:12" ht="21.75" x14ac:dyDescent="0.25">
      <c r="A30" s="66" t="s">
        <v>23</v>
      </c>
      <c r="B30" s="62">
        <v>110</v>
      </c>
      <c r="C30" s="62" t="s">
        <v>34</v>
      </c>
      <c r="D30" s="67">
        <f>B30*D29</f>
        <v>42447.404999999999</v>
      </c>
      <c r="E30" s="67" t="s">
        <v>26</v>
      </c>
      <c r="F30" s="88">
        <v>7.62</v>
      </c>
      <c r="G30" s="89">
        <f>F30*D30*1.1</f>
        <v>355794.14870999998</v>
      </c>
      <c r="H30" s="67"/>
      <c r="I30" s="81">
        <f t="shared" si="6"/>
        <v>8.3820000000000014</v>
      </c>
      <c r="J30" s="81">
        <f t="shared" si="5"/>
        <v>355794.14871000004</v>
      </c>
    </row>
    <row r="31" spans="1:12" ht="21.75" x14ac:dyDescent="0.25">
      <c r="A31" s="66" t="s">
        <v>339</v>
      </c>
      <c r="B31" s="62">
        <v>1</v>
      </c>
      <c r="C31" s="62" t="s">
        <v>113</v>
      </c>
      <c r="D31" s="67">
        <f>B31*DADOS_INICIAIS!E25</f>
        <v>593.66999999999996</v>
      </c>
      <c r="E31" s="67" t="s">
        <v>2</v>
      </c>
      <c r="F31" s="88">
        <v>180</v>
      </c>
      <c r="G31" s="89">
        <f>F31*D31*1.1</f>
        <v>117546.66</v>
      </c>
      <c r="H31" s="67"/>
      <c r="I31" s="81">
        <f t="shared" si="6"/>
        <v>198.00000000000003</v>
      </c>
      <c r="J31" s="81">
        <f t="shared" si="5"/>
        <v>117546.66</v>
      </c>
    </row>
    <row r="32" spans="1:12" ht="21.75" x14ac:dyDescent="0.25">
      <c r="A32" s="66" t="s">
        <v>25</v>
      </c>
      <c r="B32" s="62">
        <f>SUPRAESTRUTURA!B30*1.5</f>
        <v>435</v>
      </c>
      <c r="C32" s="62" t="s">
        <v>102</v>
      </c>
      <c r="D32" s="67">
        <f>DADOS_INICIAIS!E25</f>
        <v>593.66999999999996</v>
      </c>
      <c r="E32" s="67" t="s">
        <v>2</v>
      </c>
      <c r="F32" s="88">
        <f>B32</f>
        <v>435</v>
      </c>
      <c r="G32" s="89">
        <f>F32*D32*1.1</f>
        <v>284071.09500000003</v>
      </c>
      <c r="H32" s="67"/>
      <c r="K32" s="81">
        <f>F32*1.1</f>
        <v>478.50000000000006</v>
      </c>
      <c r="L32" s="81">
        <f t="shared" ref="L32" si="7">K32*$D32</f>
        <v>284071.09500000003</v>
      </c>
    </row>
    <row r="33" spans="1:8" ht="21.75" x14ac:dyDescent="0.25">
      <c r="A33" s="325" t="s">
        <v>17</v>
      </c>
      <c r="B33" s="325"/>
      <c r="C33" s="325"/>
      <c r="D33" s="325"/>
      <c r="E33" s="325"/>
      <c r="F33" s="325"/>
      <c r="G33" s="90">
        <f>SUM(G28:G32)</f>
        <v>1065210.3569080052</v>
      </c>
      <c r="H33" s="90"/>
    </row>
    <row r="35" spans="1:8" x14ac:dyDescent="0.25">
      <c r="D35" s="86"/>
      <c r="E35" s="87"/>
    </row>
    <row r="36" spans="1:8" ht="21.75" x14ac:dyDescent="0.25">
      <c r="A36" s="335" t="s">
        <v>104</v>
      </c>
      <c r="B36" s="336"/>
      <c r="C36" s="336"/>
      <c r="D36" s="336"/>
      <c r="E36" s="336"/>
      <c r="F36" s="337"/>
      <c r="G36" s="91">
        <f>G23+G33</f>
        <v>1971771.3247036911</v>
      </c>
      <c r="H36" s="91">
        <f>G36/DADOS_INICIAIS!E9</f>
        <v>368.70286894265945</v>
      </c>
    </row>
    <row r="38" spans="1:8" x14ac:dyDescent="0.25">
      <c r="H38" s="94">
        <f>H36/1.1</f>
        <v>335.18442631150856</v>
      </c>
    </row>
  </sheetData>
  <mergeCells count="12">
    <mergeCell ref="A33:F33"/>
    <mergeCell ref="A36:F36"/>
    <mergeCell ref="A3:H3"/>
    <mergeCell ref="A23:F23"/>
    <mergeCell ref="D9:E9"/>
    <mergeCell ref="B9:C9"/>
    <mergeCell ref="A11:A12"/>
    <mergeCell ref="A13:A14"/>
    <mergeCell ref="A15:A16"/>
    <mergeCell ref="B27:C27"/>
    <mergeCell ref="D27:E27"/>
    <mergeCell ref="A17:A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ECC-E58E-429D-83BE-C07977C5DA4B}">
  <sheetPr>
    <tabColor rgb="FF92D050"/>
  </sheetPr>
  <dimension ref="A1:L66"/>
  <sheetViews>
    <sheetView showGridLines="0" topLeftCell="A50" zoomScale="80" zoomScaleNormal="80" zoomScaleSheetLayoutView="95" workbookViewId="0">
      <selection activeCell="G59" sqref="G59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6.85546875" style="55" customWidth="1"/>
    <col min="8" max="8" width="25.85546875" style="55" customWidth="1"/>
    <col min="9" max="9" width="14.5703125" style="55" customWidth="1"/>
    <col min="10" max="10" width="16.42578125" style="55" bestFit="1" customWidth="1"/>
    <col min="11" max="11" width="15.140625" style="55" bestFit="1" customWidth="1"/>
    <col min="12" max="12" width="22.710937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326" t="s">
        <v>28</v>
      </c>
      <c r="B3" s="334"/>
      <c r="C3" s="334"/>
      <c r="D3" s="327"/>
      <c r="E3" s="327"/>
      <c r="F3" s="327"/>
      <c r="G3" s="327"/>
      <c r="H3" s="328"/>
      <c r="J3" s="79"/>
    </row>
    <row r="4" spans="1:10" ht="19.5" x14ac:dyDescent="0.25">
      <c r="A4" s="186" t="s">
        <v>186</v>
      </c>
      <c r="B4" s="192">
        <v>45472</v>
      </c>
      <c r="C4" s="190"/>
      <c r="D4" s="190"/>
      <c r="E4" s="190"/>
      <c r="F4" s="190"/>
      <c r="G4" s="190"/>
      <c r="H4" s="191"/>
      <c r="J4" s="79"/>
    </row>
    <row r="5" spans="1:10" ht="19.5" x14ac:dyDescent="0.25">
      <c r="A5" s="186" t="s">
        <v>294</v>
      </c>
      <c r="B5" s="193" t="s">
        <v>211</v>
      </c>
      <c r="C5" s="188"/>
      <c r="D5" s="188"/>
      <c r="E5" s="188"/>
      <c r="F5" s="188"/>
      <c r="G5" s="188"/>
      <c r="H5" s="189"/>
      <c r="J5" s="79"/>
    </row>
    <row r="6" spans="1:10" ht="21.75" x14ac:dyDescent="0.25">
      <c r="A6" s="83"/>
      <c r="B6" s="83"/>
      <c r="C6" s="83"/>
      <c r="D6" s="83"/>
      <c r="E6" s="83"/>
      <c r="F6" s="84"/>
      <c r="G6" s="85">
        <f>8-2+1</f>
        <v>7</v>
      </c>
      <c r="H6" s="85"/>
      <c r="J6" s="79"/>
    </row>
    <row r="7" spans="1:10" ht="21.75" hidden="1" x14ac:dyDescent="0.25">
      <c r="A7" s="52" t="s">
        <v>305</v>
      </c>
      <c r="B7" s="52"/>
      <c r="C7" s="52"/>
      <c r="D7" s="53"/>
      <c r="E7" s="53"/>
      <c r="F7" s="54"/>
      <c r="G7" s="53"/>
      <c r="H7" s="53"/>
    </row>
    <row r="8" spans="1:10" ht="21.75" hidden="1" x14ac:dyDescent="0.25">
      <c r="A8" s="56"/>
      <c r="B8" s="56"/>
      <c r="C8" s="56"/>
      <c r="D8" s="57"/>
      <c r="E8" s="57"/>
      <c r="F8" s="58"/>
      <c r="G8" s="59"/>
      <c r="H8" s="59"/>
    </row>
    <row r="9" spans="1:10" ht="42" hidden="1" customHeight="1" x14ac:dyDescent="0.25">
      <c r="A9" s="63" t="s">
        <v>14</v>
      </c>
      <c r="B9" s="330" t="s">
        <v>5</v>
      </c>
      <c r="C9" s="331"/>
      <c r="D9" s="330" t="s">
        <v>18</v>
      </c>
      <c r="E9" s="331"/>
      <c r="F9" s="65" t="s">
        <v>118</v>
      </c>
      <c r="G9" s="71" t="s">
        <v>16</v>
      </c>
      <c r="H9" s="90" t="s">
        <v>297</v>
      </c>
    </row>
    <row r="10" spans="1:10" ht="21.75" hidden="1" x14ac:dyDescent="0.25">
      <c r="A10" s="66" t="s">
        <v>29</v>
      </c>
      <c r="B10" s="62">
        <v>3</v>
      </c>
      <c r="C10" s="62" t="s">
        <v>304</v>
      </c>
      <c r="D10" s="67">
        <f>(D11/DADOS_INICIAIS!$E$15)*B10</f>
        <v>2864.9250000000002</v>
      </c>
      <c r="E10" s="67" t="s">
        <v>2</v>
      </c>
      <c r="F10" s="88">
        <v>110</v>
      </c>
      <c r="G10" s="89">
        <f>F10*D10*1.1</f>
        <v>346655.92500000005</v>
      </c>
      <c r="H10" s="67"/>
    </row>
    <row r="11" spans="1:10" ht="21.75" hidden="1" x14ac:dyDescent="0.25">
      <c r="A11" s="78" t="s">
        <v>30</v>
      </c>
      <c r="B11" s="62">
        <v>2.5</v>
      </c>
      <c r="C11" s="62" t="s">
        <v>37</v>
      </c>
      <c r="D11" s="67">
        <f>B11*DADOS_INICIAIS!$E$9</f>
        <v>13369.650000000001</v>
      </c>
      <c r="E11" s="67" t="s">
        <v>2</v>
      </c>
      <c r="F11" s="88">
        <v>2.5</v>
      </c>
      <c r="G11" s="89">
        <f>F11*D11*1.1</f>
        <v>36766.537500000006</v>
      </c>
      <c r="H11" s="67"/>
    </row>
    <row r="12" spans="1:10" ht="21.75" hidden="1" x14ac:dyDescent="0.25">
      <c r="A12" s="78" t="s">
        <v>314</v>
      </c>
      <c r="B12" s="62">
        <v>4</v>
      </c>
      <c r="C12" s="62" t="s">
        <v>165</v>
      </c>
      <c r="D12" s="67">
        <f>ROUNDUP(B12*DADOS_INICIAIS!$E$25*B10,0)</f>
        <v>7125</v>
      </c>
      <c r="E12" s="67" t="s">
        <v>3</v>
      </c>
      <c r="F12" s="88">
        <f>17</f>
        <v>17</v>
      </c>
      <c r="G12" s="89">
        <f>F12*D12*1.1</f>
        <v>133237.5</v>
      </c>
      <c r="H12" s="67"/>
      <c r="I12" s="195"/>
    </row>
    <row r="13" spans="1:10" ht="21.75" hidden="1" x14ac:dyDescent="0.25">
      <c r="A13" s="66" t="s">
        <v>99</v>
      </c>
      <c r="B13" s="62">
        <v>0.22</v>
      </c>
      <c r="C13" s="62" t="s">
        <v>38</v>
      </c>
      <c r="D13" s="67">
        <f>B13*DADOS_INICIAIS!$E$9</f>
        <v>1176.5292000000002</v>
      </c>
      <c r="E13" s="67" t="s">
        <v>22</v>
      </c>
      <c r="F13" s="88">
        <f>535+45</f>
        <v>580</v>
      </c>
      <c r="G13" s="89">
        <f>F13*D13*1.05*1.1</f>
        <v>788156.91108000022</v>
      </c>
      <c r="H13" s="67"/>
    </row>
    <row r="14" spans="1:10" ht="21.75" hidden="1" x14ac:dyDescent="0.25">
      <c r="A14" s="66" t="s">
        <v>31</v>
      </c>
      <c r="B14" s="62">
        <v>110</v>
      </c>
      <c r="C14" s="62" t="s">
        <v>34</v>
      </c>
      <c r="D14" s="67">
        <f>D13*B14</f>
        <v>129418.21200000001</v>
      </c>
      <c r="E14" s="67" t="s">
        <v>26</v>
      </c>
      <c r="F14" s="88">
        <v>7.62</v>
      </c>
      <c r="G14" s="89">
        <f>F14*D14*1.1</f>
        <v>1084783.4529840003</v>
      </c>
      <c r="H14" s="67"/>
    </row>
    <row r="15" spans="1:10" ht="43.5" hidden="1" x14ac:dyDescent="0.25">
      <c r="A15" s="66" t="s">
        <v>101</v>
      </c>
      <c r="B15" s="62">
        <v>240</v>
      </c>
      <c r="C15" s="62" t="s">
        <v>6</v>
      </c>
      <c r="D15" s="67">
        <f>DADOS_INICIAIS!$E$9</f>
        <v>5347.8600000000006</v>
      </c>
      <c r="E15" s="67" t="s">
        <v>2</v>
      </c>
      <c r="F15" s="88">
        <f>B15</f>
        <v>240</v>
      </c>
      <c r="G15" s="89">
        <f>F15*D15*1.1</f>
        <v>1411835.0400000003</v>
      </c>
      <c r="H15" s="67"/>
    </row>
    <row r="16" spans="1:10" ht="65.25" hidden="1" x14ac:dyDescent="0.25">
      <c r="A16" s="66" t="s">
        <v>301</v>
      </c>
      <c r="B16" s="62">
        <v>5300</v>
      </c>
      <c r="C16" s="62" t="s">
        <v>302</v>
      </c>
      <c r="D16" s="67">
        <v>1</v>
      </c>
      <c r="E16" s="67" t="s">
        <v>27</v>
      </c>
      <c r="F16" s="88">
        <f>B16*DADOS_INICIAIS!$E$15</f>
        <v>74200</v>
      </c>
      <c r="G16" s="89">
        <f>F16*D16*1.1</f>
        <v>81620</v>
      </c>
      <c r="H16" s="67" t="s">
        <v>303</v>
      </c>
      <c r="I16" s="55" t="s">
        <v>307</v>
      </c>
    </row>
    <row r="17" spans="1:12" ht="21.75" hidden="1" x14ac:dyDescent="0.25">
      <c r="A17" s="325" t="s">
        <v>17</v>
      </c>
      <c r="B17" s="325"/>
      <c r="C17" s="325"/>
      <c r="D17" s="325"/>
      <c r="E17" s="325"/>
      <c r="F17" s="325"/>
      <c r="G17" s="90">
        <f>SUM(G10:G16)</f>
        <v>3883055.366564001</v>
      </c>
      <c r="H17" s="90"/>
      <c r="K17" s="55">
        <f>4160+1440+1120+2880+4800+91680+4000</f>
        <v>110080</v>
      </c>
      <c r="L17" s="55">
        <f>K17/21</f>
        <v>5241.9047619047615</v>
      </c>
    </row>
    <row r="18" spans="1:12" hidden="1" x14ac:dyDescent="0.25"/>
    <row r="19" spans="1:12" ht="21.75" hidden="1" x14ac:dyDescent="0.25">
      <c r="A19" s="201" t="s">
        <v>355</v>
      </c>
      <c r="B19" s="52"/>
      <c r="C19" s="52"/>
      <c r="D19" s="53"/>
      <c r="E19" s="53"/>
      <c r="F19" s="54"/>
      <c r="G19" s="53"/>
      <c r="H19" s="53"/>
    </row>
    <row r="20" spans="1:12" ht="21.75" hidden="1" x14ac:dyDescent="0.25">
      <c r="A20" s="56"/>
      <c r="B20" s="56"/>
      <c r="C20" s="56"/>
      <c r="D20" s="57"/>
      <c r="E20" s="57"/>
      <c r="F20" s="58"/>
      <c r="G20" s="59"/>
      <c r="H20" s="59"/>
    </row>
    <row r="21" spans="1:12" ht="21.75" hidden="1" x14ac:dyDescent="0.25">
      <c r="A21" s="63" t="s">
        <v>14</v>
      </c>
      <c r="B21" s="330" t="s">
        <v>5</v>
      </c>
      <c r="C21" s="331"/>
      <c r="D21" s="330" t="s">
        <v>18</v>
      </c>
      <c r="E21" s="331"/>
      <c r="F21" s="65" t="s">
        <v>118</v>
      </c>
      <c r="G21" s="71" t="s">
        <v>16</v>
      </c>
      <c r="H21" s="90" t="s">
        <v>297</v>
      </c>
    </row>
    <row r="22" spans="1:12" ht="21.75" hidden="1" x14ac:dyDescent="0.25">
      <c r="A22" s="66" t="s">
        <v>29</v>
      </c>
      <c r="B22" s="62">
        <v>3</v>
      </c>
      <c r="C22" s="62" t="s">
        <v>304</v>
      </c>
      <c r="D22" s="67">
        <f>(D23/DADOS_INICIAIS!$E$15)*B22</f>
        <v>1260.5670000000005</v>
      </c>
      <c r="E22" s="67" t="s">
        <v>2</v>
      </c>
      <c r="F22" s="88">
        <v>110</v>
      </c>
      <c r="G22" s="89">
        <f>F22*D22*1.1</f>
        <v>152528.60700000008</v>
      </c>
      <c r="H22" s="67"/>
    </row>
    <row r="23" spans="1:12" ht="21.75" hidden="1" x14ac:dyDescent="0.25">
      <c r="A23" s="78" t="s">
        <v>30</v>
      </c>
      <c r="B23" s="62">
        <v>1.1000000000000001</v>
      </c>
      <c r="C23" s="62" t="s">
        <v>37</v>
      </c>
      <c r="D23" s="67">
        <f>B23*DADOS_INICIAIS!$E$9</f>
        <v>5882.6460000000015</v>
      </c>
      <c r="E23" s="67" t="s">
        <v>2</v>
      </c>
      <c r="F23" s="88">
        <v>2.5</v>
      </c>
      <c r="G23" s="89">
        <f>F23*D23*1.1</f>
        <v>16177.276500000005</v>
      </c>
      <c r="H23" s="67"/>
    </row>
    <row r="24" spans="1:12" ht="21.75" hidden="1" x14ac:dyDescent="0.25">
      <c r="A24" s="78" t="s">
        <v>314</v>
      </c>
      <c r="B24" s="62"/>
      <c r="C24" s="62" t="s">
        <v>164</v>
      </c>
      <c r="D24" s="67">
        <f>DADOS_INICIAIS!$E$9-DADOS_INICIAIS!$E$25</f>
        <v>4754.1900000000005</v>
      </c>
      <c r="E24" s="67" t="s">
        <v>2</v>
      </c>
      <c r="F24" s="88">
        <v>22</v>
      </c>
      <c r="G24" s="89">
        <f>F24*D24*1.1</f>
        <v>115051.39800000002</v>
      </c>
      <c r="H24" s="67"/>
      <c r="I24" s="55" t="s">
        <v>356</v>
      </c>
    </row>
    <row r="25" spans="1:12" ht="21.75" hidden="1" x14ac:dyDescent="0.25">
      <c r="A25" s="66" t="s">
        <v>116</v>
      </c>
      <c r="B25" s="62">
        <v>25</v>
      </c>
      <c r="C25" s="62" t="s">
        <v>6</v>
      </c>
      <c r="D25" s="67">
        <f>DADOS_INICIAIS!$E$9-DADOS_INICIAIS!$E$25</f>
        <v>4754.1900000000005</v>
      </c>
      <c r="E25" s="67" t="s">
        <v>2</v>
      </c>
      <c r="F25" s="88">
        <v>15</v>
      </c>
      <c r="G25" s="89">
        <f>F25*D25*1.1</f>
        <v>78444.135000000009</v>
      </c>
      <c r="H25" s="67">
        <f>ROUNDUP(DADOS_INICIAIS!E19*B22,0)</f>
        <v>1394</v>
      </c>
      <c r="I25" s="55" t="s">
        <v>356</v>
      </c>
    </row>
    <row r="26" spans="1:12" ht="21.75" hidden="1" x14ac:dyDescent="0.25">
      <c r="A26" s="78" t="s">
        <v>334</v>
      </c>
      <c r="B26" s="194"/>
      <c r="C26" s="194"/>
      <c r="D26" s="67">
        <f>DADOS_INICIAIS!$E$9-DADOS_INICIAIS!$E$25-48.02-23.98</f>
        <v>4682.1900000000005</v>
      </c>
      <c r="E26" s="67" t="s">
        <v>2</v>
      </c>
      <c r="F26" s="88">
        <v>11.5</v>
      </c>
      <c r="G26" s="89">
        <f t="shared" ref="G26:G27" si="0">F26*D26*1.1</f>
        <v>59229.703500000011</v>
      </c>
      <c r="H26" s="67"/>
      <c r="I26" s="55" t="s">
        <v>356</v>
      </c>
    </row>
    <row r="27" spans="1:12" ht="21.75" hidden="1" x14ac:dyDescent="0.25">
      <c r="A27" s="66" t="s">
        <v>336</v>
      </c>
      <c r="B27" s="194"/>
      <c r="C27" s="194"/>
      <c r="D27" s="67">
        <f>D26</f>
        <v>4682.1900000000005</v>
      </c>
      <c r="E27" s="67" t="s">
        <v>2</v>
      </c>
      <c r="F27" s="88">
        <v>11.5</v>
      </c>
      <c r="G27" s="89">
        <f t="shared" si="0"/>
        <v>59229.703500000011</v>
      </c>
      <c r="H27" s="67"/>
      <c r="I27" s="55" t="s">
        <v>356</v>
      </c>
    </row>
    <row r="28" spans="1:12" ht="21.75" hidden="1" x14ac:dyDescent="0.25">
      <c r="A28" s="66" t="s">
        <v>99</v>
      </c>
      <c r="B28" s="62">
        <v>0.25</v>
      </c>
      <c r="C28" s="62" t="s">
        <v>38</v>
      </c>
      <c r="D28" s="67">
        <f>B28*DADOS_INICIAIS!$E$9</f>
        <v>1336.9650000000001</v>
      </c>
      <c r="E28" s="67" t="s">
        <v>22</v>
      </c>
      <c r="F28" s="88">
        <f>(535+45+(1.67*0.6))*1.05</f>
        <v>610.0521</v>
      </c>
      <c r="G28" s="89">
        <f>F28*D28*1.1</f>
        <v>897180.13646415016</v>
      </c>
      <c r="H28" s="67"/>
    </row>
    <row r="29" spans="1:12" ht="21.75" hidden="1" x14ac:dyDescent="0.25">
      <c r="A29" s="66" t="s">
        <v>31</v>
      </c>
      <c r="B29" s="62">
        <v>100</v>
      </c>
      <c r="C29" s="62" t="s">
        <v>34</v>
      </c>
      <c r="D29" s="67">
        <f>D28*B29</f>
        <v>133696.5</v>
      </c>
      <c r="E29" s="67" t="s">
        <v>26</v>
      </c>
      <c r="F29" s="88">
        <v>7.62</v>
      </c>
      <c r="G29" s="89">
        <f>F29*D29*1.1</f>
        <v>1120644.0630000001</v>
      </c>
      <c r="H29" s="67"/>
    </row>
    <row r="30" spans="1:12" ht="43.5" hidden="1" x14ac:dyDescent="0.25">
      <c r="A30" s="66" t="s">
        <v>101</v>
      </c>
      <c r="B30" s="62">
        <v>290</v>
      </c>
      <c r="C30" s="62" t="s">
        <v>6</v>
      </c>
      <c r="D30" s="67">
        <f>DADOS_INICIAIS!$E$9</f>
        <v>5347.8600000000006</v>
      </c>
      <c r="E30" s="67" t="s">
        <v>2</v>
      </c>
      <c r="F30" s="88">
        <f>B30</f>
        <v>290</v>
      </c>
      <c r="G30" s="89">
        <f>F30*D30*1.1</f>
        <v>1705967.3400000003</v>
      </c>
      <c r="H30" s="67"/>
    </row>
    <row r="31" spans="1:12" ht="65.25" hidden="1" x14ac:dyDescent="0.25">
      <c r="A31" s="66" t="s">
        <v>301</v>
      </c>
      <c r="B31" s="62">
        <v>2300</v>
      </c>
      <c r="C31" s="62" t="s">
        <v>302</v>
      </c>
      <c r="D31" s="67">
        <v>1</v>
      </c>
      <c r="E31" s="67" t="s">
        <v>27</v>
      </c>
      <c r="F31" s="88">
        <f>B31*DADOS_INICIAIS!$E$15</f>
        <v>32200</v>
      </c>
      <c r="G31" s="89">
        <f>F31*D31*1.1</f>
        <v>35420</v>
      </c>
      <c r="H31" s="67" t="s">
        <v>303</v>
      </c>
    </row>
    <row r="32" spans="1:12" ht="21.75" hidden="1" x14ac:dyDescent="0.25">
      <c r="A32" s="325" t="s">
        <v>17</v>
      </c>
      <c r="B32" s="325"/>
      <c r="C32" s="325"/>
      <c r="D32" s="325"/>
      <c r="E32" s="325"/>
      <c r="F32" s="325"/>
      <c r="G32" s="90">
        <f>SUM(G22:G31)</f>
        <v>4239872.3629641514</v>
      </c>
      <c r="H32" s="90"/>
    </row>
    <row r="33" spans="1:8" hidden="1" x14ac:dyDescent="0.25"/>
    <row r="34" spans="1:8" ht="21.75" hidden="1" x14ac:dyDescent="0.25">
      <c r="A34" s="52" t="s">
        <v>306</v>
      </c>
      <c r="B34" s="52"/>
      <c r="C34" s="52"/>
      <c r="D34" s="53"/>
      <c r="E34" s="53"/>
      <c r="F34" s="54"/>
      <c r="G34" s="53"/>
      <c r="H34" s="53"/>
    </row>
    <row r="35" spans="1:8" ht="21.75" hidden="1" x14ac:dyDescent="0.25">
      <c r="A35" s="56"/>
      <c r="B35" s="56"/>
      <c r="C35" s="56"/>
      <c r="D35" s="57"/>
      <c r="E35" s="57"/>
      <c r="F35" s="58"/>
      <c r="G35" s="59"/>
      <c r="H35" s="59"/>
    </row>
    <row r="36" spans="1:8" ht="21.75" hidden="1" x14ac:dyDescent="0.25">
      <c r="A36" s="63" t="s">
        <v>14</v>
      </c>
      <c r="B36" s="330" t="s">
        <v>5</v>
      </c>
      <c r="C36" s="331"/>
      <c r="D36" s="330" t="s">
        <v>18</v>
      </c>
      <c r="E36" s="331"/>
      <c r="F36" s="65" t="s">
        <v>118</v>
      </c>
      <c r="G36" s="71" t="s">
        <v>16</v>
      </c>
      <c r="H36" s="90" t="s">
        <v>297</v>
      </c>
    </row>
    <row r="37" spans="1:8" ht="21.75" hidden="1" x14ac:dyDescent="0.25">
      <c r="A37" s="66" t="s">
        <v>29</v>
      </c>
      <c r="B37" s="194">
        <v>2</v>
      </c>
      <c r="C37" s="194" t="s">
        <v>304</v>
      </c>
      <c r="D37" s="67">
        <f>(D38/DADOS_INICIAIS!$E$15)*B37</f>
        <v>0</v>
      </c>
      <c r="E37" s="67" t="s">
        <v>2</v>
      </c>
      <c r="F37" s="88">
        <v>85</v>
      </c>
      <c r="G37" s="89">
        <f>F37*D37*1.1</f>
        <v>0</v>
      </c>
      <c r="H37" s="67"/>
    </row>
    <row r="38" spans="1:8" ht="21.75" hidden="1" x14ac:dyDescent="0.25">
      <c r="A38" s="78" t="s">
        <v>30</v>
      </c>
      <c r="B38" s="194">
        <v>2.1</v>
      </c>
      <c r="C38" s="194" t="s">
        <v>37</v>
      </c>
      <c r="D38" s="67">
        <f>B38*DADOS_INICIAIS!E38</f>
        <v>0</v>
      </c>
      <c r="E38" s="67" t="s">
        <v>2</v>
      </c>
      <c r="F38" s="88">
        <v>1.5</v>
      </c>
      <c r="G38" s="89">
        <f>F38*D38*1.1</f>
        <v>0</v>
      </c>
      <c r="H38" s="67"/>
    </row>
    <row r="39" spans="1:8" ht="21.75" hidden="1" x14ac:dyDescent="0.25">
      <c r="A39" s="78" t="s">
        <v>32</v>
      </c>
      <c r="B39" s="194">
        <v>2</v>
      </c>
      <c r="C39" s="194" t="s">
        <v>164</v>
      </c>
      <c r="D39" s="67">
        <f>B39*DADOS_INICIAIS!E47*DADOS_INICIAIS!E44</f>
        <v>0</v>
      </c>
      <c r="E39" s="67" t="s">
        <v>3</v>
      </c>
      <c r="F39" s="88">
        <v>17</v>
      </c>
      <c r="G39" s="89">
        <f>F39*D39*1.1</f>
        <v>0</v>
      </c>
      <c r="H39" s="67"/>
    </row>
    <row r="40" spans="1:8" ht="21.75" hidden="1" x14ac:dyDescent="0.25">
      <c r="A40" s="78" t="s">
        <v>33</v>
      </c>
      <c r="B40" s="194">
        <v>2</v>
      </c>
      <c r="C40" s="194" t="s">
        <v>165</v>
      </c>
      <c r="D40" s="67">
        <f>B40*DADOS_INICIAIS!E50</f>
        <v>0</v>
      </c>
      <c r="E40" s="67" t="s">
        <v>3</v>
      </c>
      <c r="F40" s="88">
        <v>17</v>
      </c>
      <c r="G40" s="89">
        <f>F40*D40*1.1</f>
        <v>0</v>
      </c>
      <c r="H40" s="67"/>
    </row>
    <row r="41" spans="1:8" ht="21.75" hidden="1" x14ac:dyDescent="0.25">
      <c r="A41" s="66" t="s">
        <v>116</v>
      </c>
      <c r="B41" s="194">
        <v>25</v>
      </c>
      <c r="C41" s="194" t="s">
        <v>6</v>
      </c>
      <c r="D41" s="67">
        <f>B41*DADOS_INICIAIS!E38</f>
        <v>0</v>
      </c>
      <c r="E41" s="67" t="s">
        <v>22</v>
      </c>
      <c r="F41" s="88">
        <f>B41</f>
        <v>25</v>
      </c>
      <c r="G41" s="89">
        <f>F41*D41*1.1</f>
        <v>0</v>
      </c>
      <c r="H41" s="67"/>
    </row>
    <row r="42" spans="1:8" ht="21.75" hidden="1" x14ac:dyDescent="0.25">
      <c r="A42" s="66" t="s">
        <v>99</v>
      </c>
      <c r="B42" s="194">
        <v>0.25</v>
      </c>
      <c r="C42" s="194" t="s">
        <v>38</v>
      </c>
      <c r="D42" s="67">
        <f>B42*DADOS_INICIAIS!E38</f>
        <v>0</v>
      </c>
      <c r="E42" s="67" t="s">
        <v>22</v>
      </c>
      <c r="F42" s="88">
        <f>575</f>
        <v>575</v>
      </c>
      <c r="G42" s="89">
        <f>F42*D42*1.05*1.1</f>
        <v>0</v>
      </c>
      <c r="H42" s="67"/>
    </row>
    <row r="43" spans="1:8" ht="21.75" hidden="1" x14ac:dyDescent="0.25">
      <c r="A43" s="66" t="s">
        <v>31</v>
      </c>
      <c r="B43" s="194">
        <v>110</v>
      </c>
      <c r="C43" s="194" t="s">
        <v>34</v>
      </c>
      <c r="D43" s="67">
        <f>D42*B43</f>
        <v>0</v>
      </c>
      <c r="E43" s="67" t="s">
        <v>26</v>
      </c>
      <c r="F43" s="88">
        <v>7.25</v>
      </c>
      <c r="G43" s="89">
        <f>F43*D43*1.1</f>
        <v>0</v>
      </c>
      <c r="H43" s="67"/>
    </row>
    <row r="44" spans="1:8" ht="43.5" hidden="1" x14ac:dyDescent="0.25">
      <c r="A44" s="66" t="s">
        <v>101</v>
      </c>
      <c r="B44" s="194">
        <v>240</v>
      </c>
      <c r="C44" s="194" t="s">
        <v>6</v>
      </c>
      <c r="D44" s="67">
        <f>DADOS_INICIAIS!E38</f>
        <v>0</v>
      </c>
      <c r="E44" s="67" t="s">
        <v>2</v>
      </c>
      <c r="F44" s="88">
        <f>B44</f>
        <v>240</v>
      </c>
      <c r="G44" s="89">
        <f>F44*D44*1.1</f>
        <v>0</v>
      </c>
      <c r="H44" s="67"/>
    </row>
    <row r="45" spans="1:8" ht="65.25" hidden="1" x14ac:dyDescent="0.25">
      <c r="A45" s="66" t="s">
        <v>301</v>
      </c>
      <c r="B45" s="194">
        <v>5300</v>
      </c>
      <c r="C45" s="194" t="s">
        <v>302</v>
      </c>
      <c r="D45" s="67">
        <v>1</v>
      </c>
      <c r="E45" s="67" t="s">
        <v>27</v>
      </c>
      <c r="F45" s="88">
        <f>B45*DADOS_INICIAIS!E43</f>
        <v>0</v>
      </c>
      <c r="G45" s="89">
        <f>F45*D45*1.1</f>
        <v>0</v>
      </c>
      <c r="H45" s="67" t="s">
        <v>303</v>
      </c>
    </row>
    <row r="46" spans="1:8" ht="21.75" hidden="1" x14ac:dyDescent="0.25">
      <c r="A46" s="325" t="s">
        <v>17</v>
      </c>
      <c r="B46" s="325"/>
      <c r="C46" s="325"/>
      <c r="D46" s="325"/>
      <c r="E46" s="325"/>
      <c r="F46" s="325"/>
      <c r="G46" s="90">
        <f>SUM(G37:G45)</f>
        <v>0</v>
      </c>
      <c r="H46" s="90"/>
    </row>
    <row r="48" spans="1:8" ht="21.75" x14ac:dyDescent="0.25">
      <c r="A48" s="52" t="s">
        <v>331</v>
      </c>
      <c r="B48" s="52"/>
      <c r="C48" s="52"/>
      <c r="D48" s="53"/>
      <c r="E48" s="53"/>
      <c r="F48" s="54"/>
      <c r="G48" s="53"/>
      <c r="H48" s="53"/>
    </row>
    <row r="49" spans="1:12" ht="21.75" x14ac:dyDescent="0.25">
      <c r="A49" s="56"/>
      <c r="B49" s="56"/>
      <c r="C49" s="56"/>
      <c r="D49" s="57"/>
      <c r="E49" s="57"/>
      <c r="F49" s="58"/>
      <c r="G49" s="59"/>
      <c r="H49" s="59"/>
    </row>
    <row r="50" spans="1:12" ht="21.75" x14ac:dyDescent="0.25">
      <c r="A50" s="63" t="s">
        <v>14</v>
      </c>
      <c r="B50" s="330" t="s">
        <v>5</v>
      </c>
      <c r="C50" s="331"/>
      <c r="D50" s="330" t="s">
        <v>18</v>
      </c>
      <c r="E50" s="331"/>
      <c r="F50" s="65" t="s">
        <v>118</v>
      </c>
      <c r="G50" s="71" t="s">
        <v>16</v>
      </c>
      <c r="H50" s="90" t="s">
        <v>297</v>
      </c>
      <c r="I50" s="310" t="s">
        <v>721</v>
      </c>
      <c r="J50" s="310" t="s">
        <v>726</v>
      </c>
      <c r="K50" s="112" t="s">
        <v>722</v>
      </c>
      <c r="L50" s="112" t="s">
        <v>727</v>
      </c>
    </row>
    <row r="51" spans="1:12" ht="21.75" x14ac:dyDescent="0.25">
      <c r="A51" s="66" t="s">
        <v>29</v>
      </c>
      <c r="B51" s="62">
        <v>2</v>
      </c>
      <c r="C51" s="62" t="s">
        <v>304</v>
      </c>
      <c r="D51" s="67">
        <f>(D52/DADOS_INICIAIS!$E$15)*B51</f>
        <v>1604.3580000000002</v>
      </c>
      <c r="E51" s="67" t="s">
        <v>2</v>
      </c>
      <c r="F51" s="88">
        <v>110</v>
      </c>
      <c r="G51" s="89">
        <f t="shared" ref="G51:G56" si="1">F51*D51*1.1</f>
        <v>194127.31800000003</v>
      </c>
      <c r="H51" s="67"/>
      <c r="I51" s="195">
        <f>F51*1.1</f>
        <v>121.00000000000001</v>
      </c>
      <c r="J51" s="195">
        <f>I51*$D51</f>
        <v>194127.31800000006</v>
      </c>
      <c r="L51" s="195">
        <f t="shared" ref="L51:L55" si="2">K51*$D51</f>
        <v>0</v>
      </c>
    </row>
    <row r="52" spans="1:12" ht="21.75" x14ac:dyDescent="0.25">
      <c r="A52" s="78" t="s">
        <v>30</v>
      </c>
      <c r="B52" s="62">
        <v>2.1</v>
      </c>
      <c r="C52" s="62" t="s">
        <v>37</v>
      </c>
      <c r="D52" s="67">
        <f>B52*DADOS_INICIAIS!$E$9</f>
        <v>11230.506000000001</v>
      </c>
      <c r="E52" s="67" t="s">
        <v>2</v>
      </c>
      <c r="F52" s="88">
        <v>2.5</v>
      </c>
      <c r="G52" s="89">
        <f t="shared" si="1"/>
        <v>30883.891500000005</v>
      </c>
      <c r="H52" s="67"/>
      <c r="I52" s="195">
        <f>F52*1.1</f>
        <v>2.75</v>
      </c>
      <c r="J52" s="195">
        <f t="shared" ref="J52:J60" si="3">I52*$D52</f>
        <v>30883.891500000005</v>
      </c>
      <c r="L52" s="195">
        <f t="shared" si="2"/>
        <v>0</v>
      </c>
    </row>
    <row r="53" spans="1:12" ht="21.75" x14ac:dyDescent="0.25">
      <c r="A53" s="78" t="s">
        <v>314</v>
      </c>
      <c r="B53" s="62">
        <v>3</v>
      </c>
      <c r="C53" s="62" t="s">
        <v>165</v>
      </c>
      <c r="D53" s="67">
        <f>ROUNDUP(B53*DADOS_INICIAIS!$E$25*B51,0)</f>
        <v>3563</v>
      </c>
      <c r="E53" s="67" t="s">
        <v>3</v>
      </c>
      <c r="F53" s="88">
        <v>40</v>
      </c>
      <c r="G53" s="89">
        <f t="shared" si="1"/>
        <v>156772</v>
      </c>
      <c r="H53" s="67"/>
      <c r="I53" s="195">
        <f>F53*1.1</f>
        <v>44</v>
      </c>
      <c r="J53" s="195">
        <f t="shared" si="3"/>
        <v>156772</v>
      </c>
      <c r="L53" s="195">
        <f t="shared" si="2"/>
        <v>0</v>
      </c>
    </row>
    <row r="54" spans="1:12" ht="21.75" x14ac:dyDescent="0.25">
      <c r="A54" s="78" t="s">
        <v>334</v>
      </c>
      <c r="B54" s="200">
        <v>12.3</v>
      </c>
      <c r="C54" s="200" t="s">
        <v>332</v>
      </c>
      <c r="D54" s="67">
        <f>DADOS_INICIAIS!E9-DADOS_INICIAIS!E23</f>
        <v>4723.8600000000006</v>
      </c>
      <c r="E54" s="67" t="s">
        <v>2</v>
      </c>
      <c r="F54" s="88">
        <f>B54</f>
        <v>12.3</v>
      </c>
      <c r="G54" s="89">
        <f t="shared" si="1"/>
        <v>63913.825800000013</v>
      </c>
      <c r="H54" s="67"/>
      <c r="I54" s="195">
        <f>F54*1.1</f>
        <v>13.530000000000001</v>
      </c>
      <c r="J54" s="195">
        <f t="shared" si="3"/>
        <v>63913.825800000013</v>
      </c>
      <c r="L54" s="195">
        <f t="shared" si="2"/>
        <v>0</v>
      </c>
    </row>
    <row r="55" spans="1:12" ht="21.75" x14ac:dyDescent="0.25">
      <c r="A55" s="78" t="s">
        <v>335</v>
      </c>
      <c r="B55" s="200">
        <v>2.83</v>
      </c>
      <c r="C55" s="200" t="s">
        <v>333</v>
      </c>
      <c r="D55" s="67">
        <f>B55*D54</f>
        <v>13368.523800000003</v>
      </c>
      <c r="E55" s="67" t="s">
        <v>26</v>
      </c>
      <c r="F55" s="88">
        <v>12.3</v>
      </c>
      <c r="G55" s="89">
        <f t="shared" si="1"/>
        <v>180876.12701400009</v>
      </c>
      <c r="H55" s="67"/>
      <c r="I55" s="195">
        <f>F55*1.1</f>
        <v>13.530000000000001</v>
      </c>
      <c r="J55" s="195">
        <f t="shared" si="3"/>
        <v>180876.12701400006</v>
      </c>
      <c r="L55" s="195">
        <f t="shared" si="2"/>
        <v>0</v>
      </c>
    </row>
    <row r="56" spans="1:12" ht="21.75" x14ac:dyDescent="0.25">
      <c r="A56" s="66" t="s">
        <v>336</v>
      </c>
      <c r="B56" s="200">
        <v>9000</v>
      </c>
      <c r="C56" s="200" t="s">
        <v>337</v>
      </c>
      <c r="D56" s="67">
        <v>10</v>
      </c>
      <c r="E56" s="67" t="s">
        <v>338</v>
      </c>
      <c r="F56" s="88">
        <f>B56</f>
        <v>9000</v>
      </c>
      <c r="G56" s="89">
        <f t="shared" si="1"/>
        <v>99000.000000000015</v>
      </c>
      <c r="H56" s="67"/>
      <c r="J56" s="195">
        <f t="shared" si="3"/>
        <v>0</v>
      </c>
      <c r="K56" s="195">
        <f>F56*1.1</f>
        <v>9900</v>
      </c>
      <c r="L56" s="195">
        <f>K56*$D56</f>
        <v>99000</v>
      </c>
    </row>
    <row r="57" spans="1:12" ht="43.5" x14ac:dyDescent="0.25">
      <c r="A57" s="66" t="s">
        <v>99</v>
      </c>
      <c r="B57" s="200">
        <v>0.28000000000000003</v>
      </c>
      <c r="C57" s="200" t="s">
        <v>38</v>
      </c>
      <c r="D57" s="67">
        <f>B57*DADOS_INICIAIS!$E$9</f>
        <v>1497.4008000000003</v>
      </c>
      <c r="E57" s="67" t="s">
        <v>22</v>
      </c>
      <c r="F57" s="88">
        <f>(535+45)*1.05</f>
        <v>609</v>
      </c>
      <c r="G57" s="89">
        <f>F57*D57*1.1</f>
        <v>1003108.7959200003</v>
      </c>
      <c r="H57" s="67" t="s">
        <v>541</v>
      </c>
      <c r="I57" s="195">
        <f>F57*1.1</f>
        <v>669.90000000000009</v>
      </c>
      <c r="J57" s="195">
        <f t="shared" si="3"/>
        <v>1003108.7959200004</v>
      </c>
      <c r="L57" s="195">
        <f t="shared" ref="L57:L60" si="4">K57*$D57</f>
        <v>0</v>
      </c>
    </row>
    <row r="58" spans="1:12" ht="43.5" x14ac:dyDescent="0.25">
      <c r="A58" s="66" t="s">
        <v>31</v>
      </c>
      <c r="B58" s="291">
        <v>60</v>
      </c>
      <c r="C58" s="200" t="s">
        <v>34</v>
      </c>
      <c r="D58" s="67">
        <f>D57*B58</f>
        <v>89844.048000000024</v>
      </c>
      <c r="E58" s="67" t="s">
        <v>26</v>
      </c>
      <c r="F58" s="88">
        <v>7.62</v>
      </c>
      <c r="G58" s="89">
        <f>F58*D58*1.1</f>
        <v>753072.81033600029</v>
      </c>
      <c r="H58" s="67" t="s">
        <v>541</v>
      </c>
      <c r="I58" s="195">
        <f>F58*1.1</f>
        <v>8.3820000000000014</v>
      </c>
      <c r="J58" s="195">
        <f t="shared" si="3"/>
        <v>753072.81033600029</v>
      </c>
      <c r="L58" s="195">
        <f t="shared" si="4"/>
        <v>0</v>
      </c>
    </row>
    <row r="59" spans="1:12" ht="43.5" x14ac:dyDescent="0.25">
      <c r="A59" s="66" t="s">
        <v>101</v>
      </c>
      <c r="B59" s="62">
        <v>290</v>
      </c>
      <c r="C59" s="62" t="s">
        <v>6</v>
      </c>
      <c r="D59" s="67">
        <f>DADOS_INICIAIS!$E$9</f>
        <v>5347.8600000000006</v>
      </c>
      <c r="E59" s="67" t="s">
        <v>2</v>
      </c>
      <c r="F59" s="88">
        <f>B59</f>
        <v>290</v>
      </c>
      <c r="G59" s="89">
        <f>F59*D59*1.1</f>
        <v>1705967.3400000003</v>
      </c>
      <c r="H59" s="67"/>
      <c r="J59" s="195">
        <f t="shared" si="3"/>
        <v>0</v>
      </c>
      <c r="K59" s="195">
        <f>F59*1.1</f>
        <v>319</v>
      </c>
      <c r="L59" s="195">
        <f t="shared" si="4"/>
        <v>1705967.34</v>
      </c>
    </row>
    <row r="60" spans="1:12" ht="65.25" x14ac:dyDescent="0.25">
      <c r="A60" s="66" t="s">
        <v>301</v>
      </c>
      <c r="B60" s="62">
        <v>5300</v>
      </c>
      <c r="C60" s="62" t="s">
        <v>302</v>
      </c>
      <c r="D60" s="67">
        <v>1</v>
      </c>
      <c r="E60" s="67" t="s">
        <v>27</v>
      </c>
      <c r="F60" s="88">
        <f>B60*DADOS_INICIAIS!$E$15</f>
        <v>74200</v>
      </c>
      <c r="G60" s="89">
        <f>F60*D60*1.1</f>
        <v>81620</v>
      </c>
      <c r="H60" s="67" t="s">
        <v>303</v>
      </c>
      <c r="J60" s="195">
        <f t="shared" si="3"/>
        <v>0</v>
      </c>
      <c r="K60" s="195">
        <f>F60*1.1</f>
        <v>81620</v>
      </c>
      <c r="L60" s="195">
        <f t="shared" si="4"/>
        <v>81620</v>
      </c>
    </row>
    <row r="61" spans="1:12" ht="21.75" x14ac:dyDescent="0.25">
      <c r="A61" s="325" t="s">
        <v>17</v>
      </c>
      <c r="B61" s="325"/>
      <c r="C61" s="325"/>
      <c r="D61" s="325"/>
      <c r="E61" s="325"/>
      <c r="F61" s="325"/>
      <c r="G61" s="90">
        <f>SUM(G51:G60)</f>
        <v>4269342.1085700011</v>
      </c>
      <c r="H61" s="90"/>
    </row>
    <row r="64" spans="1:12" ht="21.75" x14ac:dyDescent="0.25">
      <c r="A64" s="335" t="s">
        <v>105</v>
      </c>
      <c r="B64" s="336"/>
      <c r="C64" s="336"/>
      <c r="D64" s="336"/>
      <c r="E64" s="336"/>
      <c r="F64" s="337"/>
      <c r="G64" s="91">
        <f>G61</f>
        <v>4269342.1085700011</v>
      </c>
      <c r="H64" s="91">
        <f>G64/DADOS_INICIAIS!E9</f>
        <v>798.32720164140437</v>
      </c>
    </row>
    <row r="66" spans="7:8" x14ac:dyDescent="0.25">
      <c r="G66" s="195"/>
      <c r="H66" s="195">
        <f>H64/1.1</f>
        <v>725.75200149218574</v>
      </c>
    </row>
  </sheetData>
  <mergeCells count="14">
    <mergeCell ref="A17:F17"/>
    <mergeCell ref="A64:F64"/>
    <mergeCell ref="A3:H3"/>
    <mergeCell ref="B9:C9"/>
    <mergeCell ref="D9:E9"/>
    <mergeCell ref="B21:C21"/>
    <mergeCell ref="D21:E21"/>
    <mergeCell ref="A32:F32"/>
    <mergeCell ref="B36:C36"/>
    <mergeCell ref="D36:E36"/>
    <mergeCell ref="A46:F46"/>
    <mergeCell ref="B50:C50"/>
    <mergeCell ref="D50:E50"/>
    <mergeCell ref="A61:F6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B6A5-65C9-4D4C-AA84-F8C8A6AE044E}">
  <sheetPr>
    <tabColor rgb="FF92D050"/>
  </sheetPr>
  <dimension ref="A1:M43"/>
  <sheetViews>
    <sheetView showGridLines="0" topLeftCell="A7" zoomScale="80" zoomScaleNormal="80" zoomScaleSheetLayoutView="95" workbookViewId="0">
      <selection activeCell="G22" sqref="G22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17.85546875" style="55" customWidth="1"/>
    <col min="9" max="9" width="12" style="55" bestFit="1" customWidth="1"/>
    <col min="10" max="10" width="15.140625" style="55" bestFit="1" customWidth="1"/>
    <col min="11" max="11" width="11" style="55" bestFit="1" customWidth="1"/>
    <col min="12" max="12" width="13.140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3" x14ac:dyDescent="0.25">
      <c r="D1" s="79"/>
      <c r="E1" s="55"/>
      <c r="H1" s="80"/>
      <c r="I1" s="80"/>
      <c r="J1" s="79"/>
    </row>
    <row r="3" spans="1:13" ht="28.5" x14ac:dyDescent="0.25">
      <c r="A3" s="326" t="s">
        <v>308</v>
      </c>
      <c r="B3" s="334"/>
      <c r="C3" s="334"/>
      <c r="D3" s="327"/>
      <c r="E3" s="327"/>
      <c r="F3" s="327"/>
      <c r="G3" s="327"/>
      <c r="H3" s="328"/>
      <c r="J3" s="79"/>
    </row>
    <row r="4" spans="1:13" ht="19.5" x14ac:dyDescent="0.25">
      <c r="A4" s="186" t="s">
        <v>186</v>
      </c>
      <c r="B4" s="192">
        <v>45469</v>
      </c>
      <c r="C4" s="190"/>
      <c r="D4" s="190"/>
      <c r="E4" s="190"/>
      <c r="F4" s="190"/>
      <c r="G4" s="190"/>
      <c r="H4" s="191"/>
      <c r="J4" s="79"/>
    </row>
    <row r="5" spans="1:13" ht="19.5" x14ac:dyDescent="0.25">
      <c r="A5" s="186" t="s">
        <v>294</v>
      </c>
      <c r="B5" s="193" t="s">
        <v>211</v>
      </c>
      <c r="C5" s="188"/>
      <c r="D5" s="188"/>
      <c r="E5" s="188"/>
      <c r="F5" s="188"/>
      <c r="G5" s="188"/>
      <c r="H5" s="189"/>
      <c r="J5" s="79"/>
    </row>
    <row r="6" spans="1:13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3" ht="21.75" x14ac:dyDescent="0.25">
      <c r="A7" s="201" t="s">
        <v>184</v>
      </c>
      <c r="B7" s="52"/>
      <c r="C7" s="52"/>
      <c r="D7" s="53"/>
      <c r="E7" s="53"/>
      <c r="F7" s="54"/>
      <c r="G7" s="53"/>
      <c r="H7" s="53"/>
    </row>
    <row r="8" spans="1:13" ht="21.75" x14ac:dyDescent="0.25">
      <c r="A8" s="56"/>
      <c r="B8" s="56"/>
      <c r="C8" s="56"/>
      <c r="D8" s="57"/>
      <c r="E8" s="57"/>
      <c r="F8" s="58"/>
      <c r="G8" s="59"/>
      <c r="H8" s="59"/>
    </row>
    <row r="9" spans="1:13" ht="42" customHeight="1" x14ac:dyDescent="0.25">
      <c r="A9" s="63" t="s">
        <v>14</v>
      </c>
      <c r="B9" s="330" t="s">
        <v>5</v>
      </c>
      <c r="C9" s="331"/>
      <c r="D9" s="330" t="s">
        <v>18</v>
      </c>
      <c r="E9" s="331"/>
      <c r="F9" s="65" t="s">
        <v>118</v>
      </c>
      <c r="G9" s="71" t="s">
        <v>16</v>
      </c>
      <c r="H9" s="90" t="s">
        <v>297</v>
      </c>
      <c r="I9" s="310" t="s">
        <v>721</v>
      </c>
      <c r="J9" s="310" t="s">
        <v>726</v>
      </c>
      <c r="K9" s="112" t="s">
        <v>722</v>
      </c>
      <c r="L9" s="112" t="s">
        <v>727</v>
      </c>
    </row>
    <row r="10" spans="1:13" ht="21.75" x14ac:dyDescent="0.25">
      <c r="A10" s="66" t="s">
        <v>507</v>
      </c>
      <c r="B10" s="62">
        <v>0.6</v>
      </c>
      <c r="C10" s="62" t="s">
        <v>181</v>
      </c>
      <c r="D10" s="67"/>
      <c r="E10" s="67" t="s">
        <v>2</v>
      </c>
      <c r="F10" s="88">
        <v>30.919999999999998</v>
      </c>
      <c r="G10" s="89">
        <f>F10*D10*1</f>
        <v>0</v>
      </c>
      <c r="H10" s="67" t="s">
        <v>519</v>
      </c>
      <c r="I10" s="195">
        <f t="shared" ref="I10:I21" si="0">F10</f>
        <v>30.919999999999998</v>
      </c>
      <c r="J10" s="293">
        <f>I10*$D10</f>
        <v>0</v>
      </c>
      <c r="L10" s="293">
        <f t="shared" ref="J10:L22" si="1">K10*$D10</f>
        <v>0</v>
      </c>
    </row>
    <row r="11" spans="1:13" ht="21.75" x14ac:dyDescent="0.25">
      <c r="A11" s="66" t="s">
        <v>508</v>
      </c>
      <c r="B11" s="62">
        <v>0.6</v>
      </c>
      <c r="C11" s="62" t="s">
        <v>181</v>
      </c>
      <c r="D11" s="67">
        <f>SUM(ARQUITETURA!D15:D18,ARQUITETURA!D31:D33)</f>
        <v>724.48</v>
      </c>
      <c r="E11" s="67" t="s">
        <v>2</v>
      </c>
      <c r="F11" s="88">
        <v>35.67</v>
      </c>
      <c r="G11" s="89">
        <f>F11*D11*1</f>
        <v>25842.2016</v>
      </c>
      <c r="H11" s="67" t="s">
        <v>519</v>
      </c>
      <c r="I11" s="195">
        <f t="shared" si="0"/>
        <v>35.67</v>
      </c>
      <c r="J11" s="293">
        <f t="shared" si="1"/>
        <v>25842.2016</v>
      </c>
      <c r="L11" s="293">
        <f t="shared" si="1"/>
        <v>0</v>
      </c>
    </row>
    <row r="12" spans="1:13" ht="21.75" x14ac:dyDescent="0.25">
      <c r="A12" s="66" t="s">
        <v>509</v>
      </c>
      <c r="B12" s="62">
        <v>0.8</v>
      </c>
      <c r="C12" s="62" t="s">
        <v>179</v>
      </c>
      <c r="D12" s="67">
        <f>SUM(ARQUITETURA!D19:D28,ARQUITETURA!D34:D35)-D14</f>
        <v>2260.7800000000002</v>
      </c>
      <c r="E12" s="67" t="s">
        <v>2</v>
      </c>
      <c r="F12" s="88">
        <v>41.18</v>
      </c>
      <c r="G12" s="89">
        <f>F12*D12*1</f>
        <v>93098.920400000003</v>
      </c>
      <c r="H12" s="67" t="s">
        <v>519</v>
      </c>
      <c r="I12" s="195">
        <f t="shared" si="0"/>
        <v>41.18</v>
      </c>
      <c r="J12" s="293">
        <f t="shared" si="1"/>
        <v>93098.920400000003</v>
      </c>
      <c r="L12" s="293">
        <f t="shared" si="1"/>
        <v>0</v>
      </c>
    </row>
    <row r="13" spans="1:13" ht="21.75" x14ac:dyDescent="0.25">
      <c r="A13" s="66" t="s">
        <v>510</v>
      </c>
      <c r="B13" s="62">
        <v>0.8</v>
      </c>
      <c r="C13" s="62" t="s">
        <v>179</v>
      </c>
      <c r="D13" s="67">
        <f>SUM(ARQUITETURA!D29:D30,ARQUITETURA!D36)</f>
        <v>992.74</v>
      </c>
      <c r="E13" s="67" t="s">
        <v>2</v>
      </c>
      <c r="F13" s="88">
        <v>53.02</v>
      </c>
      <c r="G13" s="89">
        <f>F13*D13*1</f>
        <v>52635.074800000002</v>
      </c>
      <c r="H13" s="67" t="s">
        <v>519</v>
      </c>
      <c r="I13" s="195">
        <f t="shared" si="0"/>
        <v>53.02</v>
      </c>
      <c r="J13" s="293">
        <f t="shared" si="1"/>
        <v>52635.074800000002</v>
      </c>
      <c r="L13" s="293">
        <f t="shared" si="1"/>
        <v>0</v>
      </c>
    </row>
    <row r="14" spans="1:13" ht="21.75" x14ac:dyDescent="0.25">
      <c r="A14" s="66" t="s">
        <v>176</v>
      </c>
      <c r="B14" s="62">
        <v>0.18</v>
      </c>
      <c r="C14" s="62" t="s">
        <v>37</v>
      </c>
      <c r="D14" s="67">
        <f>COUNTA('Obra '!C21:C32)*18.16</f>
        <v>217.92000000000002</v>
      </c>
      <c r="E14" s="67" t="s">
        <v>2</v>
      </c>
      <c r="F14" s="88">
        <v>82.960000000000008</v>
      </c>
      <c r="G14" s="89">
        <f>F14*D14*1</f>
        <v>18078.643200000002</v>
      </c>
      <c r="H14" s="67" t="s">
        <v>519</v>
      </c>
      <c r="I14" s="195">
        <f t="shared" si="0"/>
        <v>82.960000000000008</v>
      </c>
      <c r="J14" s="293">
        <f t="shared" si="1"/>
        <v>18078.643200000002</v>
      </c>
      <c r="L14" s="293">
        <f t="shared" si="1"/>
        <v>0</v>
      </c>
    </row>
    <row r="15" spans="1:13" ht="21.75" x14ac:dyDescent="0.25">
      <c r="A15" s="66" t="s">
        <v>173</v>
      </c>
      <c r="B15" s="62">
        <v>1.75</v>
      </c>
      <c r="C15" s="62" t="s">
        <v>311</v>
      </c>
      <c r="D15" s="67">
        <f>1*B15</f>
        <v>1.75</v>
      </c>
      <c r="E15" s="67" t="s">
        <v>2</v>
      </c>
      <c r="F15" s="88">
        <v>310</v>
      </c>
      <c r="G15" s="89">
        <f>F15*D15*1.1</f>
        <v>596.75</v>
      </c>
      <c r="H15" s="67"/>
      <c r="I15" s="195">
        <f t="shared" si="0"/>
        <v>310</v>
      </c>
      <c r="J15" s="293">
        <f t="shared" si="1"/>
        <v>542.5</v>
      </c>
      <c r="L15" s="293">
        <f t="shared" si="1"/>
        <v>0</v>
      </c>
    </row>
    <row r="16" spans="1:13" ht="21.75" x14ac:dyDescent="0.25">
      <c r="A16" s="271" t="s">
        <v>511</v>
      </c>
      <c r="B16" s="62">
        <v>1.65</v>
      </c>
      <c r="C16" s="62" t="s">
        <v>177</v>
      </c>
      <c r="D16" s="67">
        <f>ARQUITETURA!D37</f>
        <v>972.78</v>
      </c>
      <c r="E16" s="67" t="s">
        <v>2</v>
      </c>
      <c r="F16" s="88">
        <v>270</v>
      </c>
      <c r="G16" s="89">
        <f>F16*D16*1</f>
        <v>262650.59999999998</v>
      </c>
      <c r="H16" s="67"/>
      <c r="I16" s="195">
        <f t="shared" si="0"/>
        <v>270</v>
      </c>
      <c r="J16" s="293">
        <f t="shared" si="1"/>
        <v>262650.59999999998</v>
      </c>
      <c r="L16" s="293">
        <f t="shared" si="1"/>
        <v>0</v>
      </c>
      <c r="M16" s="55" t="s">
        <v>725</v>
      </c>
    </row>
    <row r="17" spans="1:13" ht="21.75" x14ac:dyDescent="0.25">
      <c r="A17" s="294" t="s">
        <v>715</v>
      </c>
      <c r="B17" s="62">
        <v>1.65</v>
      </c>
      <c r="C17" s="62" t="s">
        <v>177</v>
      </c>
      <c r="D17" s="67">
        <f>SUM(ARQUITETURA!D38:D41)</f>
        <v>2935.4100000000003</v>
      </c>
      <c r="E17" s="67" t="s">
        <v>2</v>
      </c>
      <c r="F17" s="88">
        <v>250</v>
      </c>
      <c r="G17" s="89">
        <f>F17*D17*1</f>
        <v>733852.50000000012</v>
      </c>
      <c r="H17" s="67"/>
      <c r="I17" s="195">
        <f t="shared" si="0"/>
        <v>250</v>
      </c>
      <c r="J17" s="293">
        <f t="shared" si="1"/>
        <v>733852.50000000012</v>
      </c>
      <c r="L17" s="293">
        <f t="shared" si="1"/>
        <v>0</v>
      </c>
      <c r="M17" s="55" t="s">
        <v>725</v>
      </c>
    </row>
    <row r="18" spans="1:13" ht="21.75" x14ac:dyDescent="0.25">
      <c r="A18" s="66" t="s">
        <v>172</v>
      </c>
      <c r="B18" s="62">
        <v>12.5</v>
      </c>
      <c r="C18" s="62" t="s">
        <v>171</v>
      </c>
      <c r="D18" s="67">
        <f>SUM(D11:D14)</f>
        <v>4195.92</v>
      </c>
      <c r="E18" s="67" t="s">
        <v>2</v>
      </c>
      <c r="F18" s="88">
        <v>6.5</v>
      </c>
      <c r="G18" s="89">
        <f>F18*D18*1.1*0</f>
        <v>0</v>
      </c>
      <c r="H18" s="67"/>
      <c r="I18" s="195">
        <f t="shared" si="0"/>
        <v>6.5</v>
      </c>
      <c r="J18" s="293">
        <f t="shared" si="1"/>
        <v>27273.48</v>
      </c>
      <c r="L18" s="293">
        <f t="shared" si="1"/>
        <v>0</v>
      </c>
    </row>
    <row r="19" spans="1:13" ht="21.75" x14ac:dyDescent="0.25">
      <c r="A19" s="66" t="s">
        <v>512</v>
      </c>
      <c r="B19" s="62"/>
      <c r="C19" s="62"/>
      <c r="D19" s="67">
        <f>ARQUITETURA!D44</f>
        <v>1609.5</v>
      </c>
      <c r="E19" s="67" t="s">
        <v>4</v>
      </c>
      <c r="F19" s="88">
        <v>14.79</v>
      </c>
      <c r="G19" s="89">
        <f>F19*D19*1</f>
        <v>23804.504999999997</v>
      </c>
      <c r="H19" s="67"/>
      <c r="I19" s="195">
        <f t="shared" si="0"/>
        <v>14.79</v>
      </c>
      <c r="J19" s="293">
        <f t="shared" si="1"/>
        <v>23804.504999999997</v>
      </c>
      <c r="L19" s="293">
        <f t="shared" si="1"/>
        <v>0</v>
      </c>
    </row>
    <row r="20" spans="1:13" ht="21.75" x14ac:dyDescent="0.25">
      <c r="A20" s="66" t="s">
        <v>513</v>
      </c>
      <c r="B20" s="62"/>
      <c r="C20" s="62"/>
      <c r="D20" s="67">
        <f>SUM(D10:D14)</f>
        <v>4195.92</v>
      </c>
      <c r="E20" s="67" t="s">
        <v>2</v>
      </c>
      <c r="F20" s="88">
        <f>4.11*0.5</f>
        <v>2.0550000000000002</v>
      </c>
      <c r="G20" s="89">
        <f>F20*D20*1</f>
        <v>8622.615600000001</v>
      </c>
      <c r="H20" s="67"/>
      <c r="I20" s="195">
        <f t="shared" si="0"/>
        <v>2.0550000000000002</v>
      </c>
      <c r="J20" s="293">
        <f t="shared" si="1"/>
        <v>8622.615600000001</v>
      </c>
      <c r="L20" s="293">
        <f t="shared" si="1"/>
        <v>0</v>
      </c>
    </row>
    <row r="21" spans="1:13" ht="21.75" x14ac:dyDescent="0.25">
      <c r="A21" s="66" t="s">
        <v>514</v>
      </c>
      <c r="B21" s="62"/>
      <c r="C21" s="62"/>
      <c r="D21" s="67">
        <f>SUM(ARQUITETURA!D111:D112)</f>
        <v>1793.1</v>
      </c>
      <c r="E21" s="67" t="s">
        <v>4</v>
      </c>
      <c r="F21" s="88">
        <v>80.44</v>
      </c>
      <c r="G21" s="89">
        <f>F21*D21*1</f>
        <v>144236.96399999998</v>
      </c>
      <c r="H21" s="67" t="s">
        <v>519</v>
      </c>
      <c r="I21" s="195">
        <f t="shared" si="0"/>
        <v>80.44</v>
      </c>
      <c r="J21" s="293">
        <f t="shared" si="1"/>
        <v>144236.96399999998</v>
      </c>
      <c r="L21" s="293">
        <f t="shared" si="1"/>
        <v>0</v>
      </c>
    </row>
    <row r="22" spans="1:13" ht="21.75" x14ac:dyDescent="0.25">
      <c r="A22" s="66" t="s">
        <v>25</v>
      </c>
      <c r="B22" s="62">
        <v>35</v>
      </c>
      <c r="C22" s="62" t="s">
        <v>171</v>
      </c>
      <c r="D22" s="67">
        <f>SUM(D10:D14)</f>
        <v>4195.92</v>
      </c>
      <c r="E22" s="67" t="s">
        <v>2</v>
      </c>
      <c r="F22" s="88">
        <v>48</v>
      </c>
      <c r="G22" s="89">
        <f>F22*D22*1</f>
        <v>201404.16</v>
      </c>
      <c r="H22" s="67"/>
      <c r="J22" s="293">
        <f t="shared" si="1"/>
        <v>0</v>
      </c>
      <c r="K22" s="195">
        <f>F22</f>
        <v>48</v>
      </c>
      <c r="L22" s="293">
        <f t="shared" si="1"/>
        <v>201404.16</v>
      </c>
      <c r="M22" s="55" t="s">
        <v>724</v>
      </c>
    </row>
    <row r="23" spans="1:13" ht="21.75" x14ac:dyDescent="0.25">
      <c r="A23" s="325" t="s">
        <v>17</v>
      </c>
      <c r="B23" s="325"/>
      <c r="C23" s="325"/>
      <c r="D23" s="325"/>
      <c r="E23" s="325"/>
      <c r="F23" s="325"/>
      <c r="G23" s="90">
        <f>SUM(G10:G22)</f>
        <v>1564822.9345999996</v>
      </c>
      <c r="H23" s="90"/>
    </row>
    <row r="25" spans="1:13" ht="21.75" hidden="1" x14ac:dyDescent="0.25">
      <c r="A25" s="52" t="s">
        <v>341</v>
      </c>
      <c r="B25" s="52"/>
      <c r="C25" s="52"/>
      <c r="D25" s="53"/>
      <c r="E25" s="53"/>
      <c r="F25" s="54"/>
      <c r="G25" s="53"/>
      <c r="H25" s="53"/>
    </row>
    <row r="26" spans="1:13" ht="21.75" hidden="1" x14ac:dyDescent="0.25">
      <c r="A26" s="56"/>
      <c r="B26" s="56"/>
      <c r="C26" s="56"/>
      <c r="D26" s="57"/>
      <c r="E26" s="57"/>
      <c r="F26" s="58"/>
      <c r="G26" s="59"/>
      <c r="H26" s="59"/>
    </row>
    <row r="27" spans="1:13" ht="21.75" hidden="1" x14ac:dyDescent="0.25">
      <c r="A27" s="63" t="s">
        <v>14</v>
      </c>
      <c r="B27" s="330" t="s">
        <v>5</v>
      </c>
      <c r="C27" s="331"/>
      <c r="D27" s="330" t="s">
        <v>18</v>
      </c>
      <c r="E27" s="331"/>
      <c r="F27" s="65" t="s">
        <v>118</v>
      </c>
      <c r="G27" s="71" t="s">
        <v>16</v>
      </c>
      <c r="H27" s="90" t="s">
        <v>297</v>
      </c>
    </row>
    <row r="28" spans="1:13" ht="21.75" hidden="1" x14ac:dyDescent="0.25">
      <c r="A28" s="66" t="s">
        <v>182</v>
      </c>
      <c r="B28" s="62">
        <v>1</v>
      </c>
      <c r="C28" s="62" t="s">
        <v>181</v>
      </c>
      <c r="D28" s="67">
        <f>B28*DADOS_INICIAIS!$E$22</f>
        <v>593.66999999999996</v>
      </c>
      <c r="E28" s="67" t="s">
        <v>2</v>
      </c>
      <c r="F28" s="88">
        <v>45</v>
      </c>
      <c r="G28" s="89">
        <f>F28*D28*1.1</f>
        <v>29386.665000000001</v>
      </c>
      <c r="H28" s="67"/>
    </row>
    <row r="29" spans="1:13" ht="21.75" hidden="1" x14ac:dyDescent="0.25">
      <c r="A29" s="78" t="s">
        <v>180</v>
      </c>
      <c r="B29" s="62">
        <v>0.4</v>
      </c>
      <c r="C29" s="62" t="s">
        <v>179</v>
      </c>
      <c r="D29" s="67">
        <f>B29*DADOS_INICIAIS!$E$21</f>
        <v>325.46800000000002</v>
      </c>
      <c r="E29" s="67" t="s">
        <v>2</v>
      </c>
      <c r="F29" s="88">
        <v>45</v>
      </c>
      <c r="G29" s="89">
        <f>F29*D29*1.1</f>
        <v>16110.666000000003</v>
      </c>
      <c r="H29" s="67"/>
    </row>
    <row r="30" spans="1:13" ht="21.75" hidden="1" x14ac:dyDescent="0.25">
      <c r="A30" s="78" t="s">
        <v>178</v>
      </c>
      <c r="B30" s="62">
        <v>1.65</v>
      </c>
      <c r="C30" s="62" t="s">
        <v>177</v>
      </c>
      <c r="D30" s="67">
        <f>B30*(DADOS_INICIAIS!$E$19*(DADOS_INICIAIS!$E$16+DADOS_INICIAIS!$E$17))*0.4</f>
        <v>2758.7141999999999</v>
      </c>
      <c r="E30" s="67" t="s">
        <v>2</v>
      </c>
      <c r="F30" s="88">
        <v>45</v>
      </c>
      <c r="G30" s="89">
        <f>F30*D30*1.1</f>
        <v>136556.3529</v>
      </c>
      <c r="H30" s="67"/>
    </row>
    <row r="31" spans="1:13" ht="21.75" hidden="1" x14ac:dyDescent="0.25">
      <c r="A31" s="78" t="s">
        <v>309</v>
      </c>
      <c r="B31" s="62">
        <v>1.65</v>
      </c>
      <c r="C31" s="62" t="s">
        <v>177</v>
      </c>
      <c r="D31" s="67">
        <f>B31*(DADOS_INICIAIS!$E$19*(DADOS_INICIAIS!$E$16+DADOS_INICIAIS!$E$17))*0.6</f>
        <v>4138.0712999999996</v>
      </c>
      <c r="E31" s="67" t="s">
        <v>2</v>
      </c>
      <c r="F31" s="88">
        <v>220</v>
      </c>
      <c r="G31" s="89">
        <f t="shared" ref="G31:G35" si="2">F31*D31*1.1</f>
        <v>1001413.2546</v>
      </c>
      <c r="H31" s="67"/>
      <c r="J31" s="55">
        <f>D31/(D35+D31)</f>
        <v>0.44701886602082663</v>
      </c>
    </row>
    <row r="32" spans="1:13" ht="21.75" hidden="1" x14ac:dyDescent="0.25">
      <c r="A32" s="78" t="s">
        <v>176</v>
      </c>
      <c r="B32" s="62">
        <v>0.2</v>
      </c>
      <c r="C32" s="62" t="s">
        <v>37</v>
      </c>
      <c r="D32" s="67">
        <f>B32*DADOS_INICIAIS!$E$9</f>
        <v>1069.5720000000001</v>
      </c>
      <c r="E32" s="67" t="s">
        <v>2</v>
      </c>
      <c r="F32" s="88">
        <v>70</v>
      </c>
      <c r="G32" s="89">
        <f t="shared" si="2"/>
        <v>82357.044000000009</v>
      </c>
      <c r="H32" s="67"/>
      <c r="J32" s="55">
        <f>1-J31</f>
        <v>0.55298113397917337</v>
      </c>
    </row>
    <row r="33" spans="1:8" ht="21.75" hidden="1" x14ac:dyDescent="0.25">
      <c r="A33" s="66" t="s">
        <v>175</v>
      </c>
      <c r="B33" s="62">
        <v>0.8</v>
      </c>
      <c r="C33" s="62" t="s">
        <v>174</v>
      </c>
      <c r="D33" s="67">
        <f>B33*DADOS_INICIAIS!$E$19</f>
        <v>371.54400000000004</v>
      </c>
      <c r="E33" s="67" t="s">
        <v>22</v>
      </c>
      <c r="F33" s="88">
        <v>45</v>
      </c>
      <c r="G33" s="89">
        <f t="shared" si="2"/>
        <v>18391.428000000004</v>
      </c>
      <c r="H33" s="67"/>
    </row>
    <row r="34" spans="1:8" ht="21.75" hidden="1" x14ac:dyDescent="0.25">
      <c r="A34" s="66" t="s">
        <v>173</v>
      </c>
      <c r="B34" s="62">
        <v>1.75</v>
      </c>
      <c r="C34" s="62" t="s">
        <v>311</v>
      </c>
      <c r="D34" s="67">
        <f>'SISTEMAS ESPECIAIS'!B10</f>
        <v>1</v>
      </c>
      <c r="E34" s="67" t="s">
        <v>328</v>
      </c>
      <c r="F34" s="88">
        <v>210</v>
      </c>
      <c r="G34" s="89">
        <f t="shared" si="2"/>
        <v>231.00000000000003</v>
      </c>
      <c r="H34" s="67"/>
    </row>
    <row r="35" spans="1:8" ht="21.75" hidden="1" x14ac:dyDescent="0.25">
      <c r="A35" s="66" t="s">
        <v>172</v>
      </c>
      <c r="B35" s="62">
        <v>12.5</v>
      </c>
      <c r="C35" s="62" t="s">
        <v>171</v>
      </c>
      <c r="D35" s="67">
        <f>D29+D30+D28+D32+D33</f>
        <v>5118.9681999999993</v>
      </c>
      <c r="E35" s="67" t="s">
        <v>2</v>
      </c>
      <c r="F35" s="88">
        <f>B35</f>
        <v>12.5</v>
      </c>
      <c r="G35" s="89">
        <f t="shared" si="2"/>
        <v>70385.812749999997</v>
      </c>
      <c r="H35" s="67"/>
    </row>
    <row r="36" spans="1:8" ht="21.75" hidden="1" x14ac:dyDescent="0.25">
      <c r="A36" s="66" t="s">
        <v>25</v>
      </c>
      <c r="B36" s="62">
        <v>35</v>
      </c>
      <c r="C36" s="62" t="s">
        <v>171</v>
      </c>
      <c r="D36" s="67">
        <f>D29+D30+D28+D32+D33</f>
        <v>5118.9681999999993</v>
      </c>
      <c r="E36" s="67" t="s">
        <v>2</v>
      </c>
      <c r="F36" s="88">
        <v>35</v>
      </c>
      <c r="G36" s="89">
        <f>F36*D36*1.1</f>
        <v>197080.2757</v>
      </c>
      <c r="H36" s="67"/>
    </row>
    <row r="37" spans="1:8" ht="21.75" hidden="1" x14ac:dyDescent="0.25">
      <c r="A37" s="325" t="s">
        <v>17</v>
      </c>
      <c r="B37" s="325"/>
      <c r="C37" s="325"/>
      <c r="D37" s="325"/>
      <c r="E37" s="325"/>
      <c r="F37" s="325"/>
      <c r="G37" s="90">
        <f>SUM(G28:G36)</f>
        <v>1551912.4989499999</v>
      </c>
      <c r="H37" s="90"/>
    </row>
    <row r="38" spans="1:8" hidden="1" x14ac:dyDescent="0.25"/>
    <row r="39" spans="1:8" hidden="1" x14ac:dyDescent="0.25"/>
    <row r="40" spans="1:8" ht="21.75" x14ac:dyDescent="0.25">
      <c r="A40" s="335" t="s">
        <v>169</v>
      </c>
      <c r="B40" s="336"/>
      <c r="C40" s="336"/>
      <c r="D40" s="336"/>
      <c r="E40" s="336"/>
      <c r="F40" s="337"/>
      <c r="G40" s="91">
        <f>G23</f>
        <v>1564822.9345999996</v>
      </c>
      <c r="H40" s="91">
        <f>G40/DADOS_INICIAIS!E9</f>
        <v>292.60731107396219</v>
      </c>
    </row>
    <row r="43" spans="1:8" x14ac:dyDescent="0.25">
      <c r="G43" s="195">
        <f>G40/1.1</f>
        <v>1422566.3041818177</v>
      </c>
      <c r="H43" s="55">
        <f>G43/DADOS_INICIAIS!E9</f>
        <v>266.0066464308747</v>
      </c>
    </row>
  </sheetData>
  <mergeCells count="8">
    <mergeCell ref="A37:F37"/>
    <mergeCell ref="A40:F40"/>
    <mergeCell ref="A3:H3"/>
    <mergeCell ref="B9:C9"/>
    <mergeCell ref="D9:E9"/>
    <mergeCell ref="A23:F23"/>
    <mergeCell ref="B27:C27"/>
    <mergeCell ref="D27:E2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20EE-5AC6-4766-BCD9-F110DF8BD5BE}">
  <sheetPr>
    <tabColor rgb="FF92D050"/>
  </sheetPr>
  <dimension ref="A1:L24"/>
  <sheetViews>
    <sheetView showGridLines="0" zoomScale="80" zoomScaleNormal="80" zoomScaleSheetLayoutView="95" workbookViewId="0">
      <selection activeCell="D17" activeCellId="1" sqref="D10 D17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18.57031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326" t="s">
        <v>224</v>
      </c>
      <c r="B3" s="334"/>
      <c r="C3" s="334"/>
      <c r="D3" s="327"/>
      <c r="E3" s="327"/>
      <c r="F3" s="327"/>
      <c r="G3" s="327"/>
      <c r="H3" s="328"/>
      <c r="J3" s="79"/>
    </row>
    <row r="4" spans="1:12" ht="19.5" x14ac:dyDescent="0.25">
      <c r="A4" s="186" t="s">
        <v>186</v>
      </c>
      <c r="B4" s="192">
        <v>45471</v>
      </c>
      <c r="C4" s="190"/>
      <c r="D4" s="190"/>
      <c r="E4" s="190"/>
      <c r="F4" s="190"/>
      <c r="G4" s="190"/>
      <c r="H4" s="191"/>
      <c r="J4" s="79"/>
    </row>
    <row r="5" spans="1:12" ht="19.5" x14ac:dyDescent="0.25">
      <c r="A5" s="186" t="s">
        <v>294</v>
      </c>
      <c r="B5" s="193" t="s">
        <v>211</v>
      </c>
      <c r="C5" s="188"/>
      <c r="D5" s="188"/>
      <c r="E5" s="188"/>
      <c r="F5" s="188"/>
      <c r="G5" s="188"/>
      <c r="H5" s="189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330" t="s">
        <v>5</v>
      </c>
      <c r="C9" s="331"/>
      <c r="D9" s="330" t="s">
        <v>18</v>
      </c>
      <c r="E9" s="331"/>
      <c r="F9" s="65" t="s">
        <v>118</v>
      </c>
      <c r="G9" s="71" t="s">
        <v>16</v>
      </c>
      <c r="H9" s="90" t="s">
        <v>297</v>
      </c>
      <c r="I9" s="310"/>
      <c r="J9" s="310"/>
      <c r="K9" s="112"/>
      <c r="L9" s="112"/>
    </row>
    <row r="10" spans="1:12" ht="21.75" x14ac:dyDescent="0.25">
      <c r="A10" s="66" t="s">
        <v>223</v>
      </c>
      <c r="B10" s="62">
        <v>25</v>
      </c>
      <c r="C10" s="62" t="s">
        <v>171</v>
      </c>
      <c r="D10" s="67">
        <f>D14+D15</f>
        <v>2005.7309000000002</v>
      </c>
      <c r="E10" s="67" t="s">
        <v>2</v>
      </c>
      <c r="F10" s="88">
        <f>7.69+25</f>
        <v>32.69</v>
      </c>
      <c r="G10" s="89">
        <f t="shared" ref="G10:G17" si="0">F10*D10*1.1</f>
        <v>72124.077433099999</v>
      </c>
      <c r="H10" s="67"/>
      <c r="I10" s="55" t="s">
        <v>725</v>
      </c>
    </row>
    <row r="11" spans="1:12" ht="21.75" x14ac:dyDescent="0.25">
      <c r="A11" s="78" t="s">
        <v>222</v>
      </c>
      <c r="B11" s="62">
        <v>45</v>
      </c>
      <c r="C11" s="62" t="s">
        <v>171</v>
      </c>
      <c r="D11" s="67">
        <f>(3.24+(7.2)*1.8)*2</f>
        <v>32.400000000000006</v>
      </c>
      <c r="E11" s="67" t="s">
        <v>2</v>
      </c>
      <c r="F11" s="88">
        <v>41</v>
      </c>
      <c r="G11" s="89">
        <f t="shared" si="0"/>
        <v>1461.2400000000005</v>
      </c>
      <c r="H11" s="67"/>
      <c r="I11" s="55" t="s">
        <v>725</v>
      </c>
    </row>
    <row r="12" spans="1:12" ht="21.75" x14ac:dyDescent="0.25">
      <c r="A12" s="78" t="s">
        <v>221</v>
      </c>
      <c r="B12" s="62">
        <v>30</v>
      </c>
      <c r="C12" s="62" t="s">
        <v>171</v>
      </c>
      <c r="D12" s="67">
        <f>INFRAESTRUTURA!D28</f>
        <v>653.03700000000003</v>
      </c>
      <c r="E12" s="67" t="s">
        <v>2</v>
      </c>
      <c r="F12" s="88">
        <v>35</v>
      </c>
      <c r="G12" s="89">
        <f t="shared" si="0"/>
        <v>25141.924500000005</v>
      </c>
      <c r="H12" s="67"/>
      <c r="I12" s="55" t="s">
        <v>725</v>
      </c>
    </row>
    <row r="13" spans="1:12" ht="21.75" x14ac:dyDescent="0.25">
      <c r="A13" s="66" t="s">
        <v>220</v>
      </c>
      <c r="B13" s="62"/>
      <c r="C13" s="62"/>
      <c r="D13" s="67">
        <f>SUM('Obra '!N21:N36)</f>
        <v>336</v>
      </c>
      <c r="E13" s="67" t="s">
        <v>3</v>
      </c>
      <c r="F13" s="88">
        <v>80</v>
      </c>
      <c r="G13" s="89">
        <f t="shared" si="0"/>
        <v>29568.000000000004</v>
      </c>
      <c r="H13" s="67"/>
      <c r="I13" s="55" t="s">
        <v>725</v>
      </c>
    </row>
    <row r="14" spans="1:12" ht="21.75" x14ac:dyDescent="0.25">
      <c r="A14" s="66" t="s">
        <v>219</v>
      </c>
      <c r="B14" s="62">
        <v>0.25</v>
      </c>
      <c r="C14" s="62" t="s">
        <v>37</v>
      </c>
      <c r="D14" s="67">
        <f>B14*DADOS_INICIAIS!E9</f>
        <v>1336.9650000000001</v>
      </c>
      <c r="E14" s="67" t="s">
        <v>2</v>
      </c>
      <c r="F14" s="88">
        <v>60</v>
      </c>
      <c r="G14" s="89">
        <f t="shared" si="0"/>
        <v>88239.690000000017</v>
      </c>
      <c r="H14" s="67"/>
      <c r="I14" s="55" t="s">
        <v>725</v>
      </c>
    </row>
    <row r="15" spans="1:12" ht="21.75" x14ac:dyDescent="0.25">
      <c r="A15" s="66" t="s">
        <v>218</v>
      </c>
      <c r="B15" s="62">
        <v>0.11</v>
      </c>
      <c r="C15" s="62" t="s">
        <v>37</v>
      </c>
      <c r="D15" s="67">
        <f>B15*DADOS_INICIAIS!E9+'Acabamentos de Piso e Parede'!B18</f>
        <v>668.7659000000001</v>
      </c>
      <c r="E15" s="67" t="s">
        <v>2</v>
      </c>
      <c r="F15" s="88">
        <v>110</v>
      </c>
      <c r="G15" s="89">
        <f t="shared" si="0"/>
        <v>80920.673900000023</v>
      </c>
      <c r="H15" s="67"/>
      <c r="I15" s="55" t="s">
        <v>725</v>
      </c>
    </row>
    <row r="16" spans="1:12" ht="21.75" x14ac:dyDescent="0.25">
      <c r="A16" s="66" t="s">
        <v>217</v>
      </c>
      <c r="B16" s="62">
        <v>0.6</v>
      </c>
      <c r="C16" s="62" t="s">
        <v>6</v>
      </c>
      <c r="D16" s="67">
        <v>1</v>
      </c>
      <c r="E16" s="67" t="s">
        <v>27</v>
      </c>
      <c r="F16" s="88">
        <f>B16*DADOS_INICIAIS!$E$9</f>
        <v>3208.7160000000003</v>
      </c>
      <c r="G16" s="89">
        <f t="shared" si="0"/>
        <v>3529.5876000000007</v>
      </c>
      <c r="H16" s="67"/>
      <c r="I16" s="55" t="s">
        <v>725</v>
      </c>
    </row>
    <row r="17" spans="1:9" ht="21.75" x14ac:dyDescent="0.25">
      <c r="A17" s="66" t="s">
        <v>216</v>
      </c>
      <c r="B17" s="62">
        <v>28</v>
      </c>
      <c r="C17" s="62" t="s">
        <v>171</v>
      </c>
      <c r="D17" s="67">
        <f>D15</f>
        <v>668.7659000000001</v>
      </c>
      <c r="E17" s="67" t="s">
        <v>2</v>
      </c>
      <c r="F17" s="88">
        <f>42.3+35</f>
        <v>77.3</v>
      </c>
      <c r="G17" s="89">
        <f t="shared" si="0"/>
        <v>56865.164477000013</v>
      </c>
      <c r="H17" s="67"/>
      <c r="I17" s="55" t="s">
        <v>725</v>
      </c>
    </row>
    <row r="18" spans="1:9" ht="21.75" x14ac:dyDescent="0.25">
      <c r="A18" s="325" t="s">
        <v>17</v>
      </c>
      <c r="B18" s="325"/>
      <c r="C18" s="325"/>
      <c r="D18" s="325"/>
      <c r="E18" s="325"/>
      <c r="F18" s="325"/>
      <c r="G18" s="90">
        <f>SUM(G10:G17)</f>
        <v>357850.35791010008</v>
      </c>
      <c r="H18" s="90"/>
    </row>
    <row r="20" spans="1:9" ht="21.75" x14ac:dyDescent="0.25">
      <c r="A20" s="335" t="s">
        <v>215</v>
      </c>
      <c r="B20" s="336"/>
      <c r="C20" s="336"/>
      <c r="D20" s="336"/>
      <c r="E20" s="336"/>
      <c r="F20" s="337"/>
      <c r="G20" s="91">
        <f>G18</f>
        <v>357850.35791010008</v>
      </c>
      <c r="H20" s="91">
        <f>G20/DADOS_INICIAIS!E9</f>
        <v>66.914683239669714</v>
      </c>
    </row>
    <row r="23" spans="1:9" x14ac:dyDescent="0.25">
      <c r="H23" s="195">
        <f>H20/1.1</f>
        <v>60.83153021788155</v>
      </c>
    </row>
    <row r="24" spans="1:9" x14ac:dyDescent="0.25">
      <c r="F24" s="55">
        <f>SUM('Obra '!N21:N36)</f>
        <v>336</v>
      </c>
    </row>
  </sheetData>
  <mergeCells count="5">
    <mergeCell ref="A20:F20"/>
    <mergeCell ref="A3:H3"/>
    <mergeCell ref="B9:C9"/>
    <mergeCell ref="D9:E9"/>
    <mergeCell ref="A18:F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1518-D0F4-4632-BC49-7307CA0DA86C}">
  <sheetPr>
    <tabColor rgb="FF92D050"/>
  </sheetPr>
  <dimension ref="A1:I38"/>
  <sheetViews>
    <sheetView showGridLines="0" topLeftCell="A22" zoomScale="85" zoomScaleNormal="85" zoomScaleSheetLayoutView="95" workbookViewId="0">
      <selection activeCell="D31" sqref="D31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7" x14ac:dyDescent="0.25">
      <c r="A1" s="48"/>
      <c r="B1" s="48"/>
      <c r="C1" s="48"/>
      <c r="D1" s="48"/>
      <c r="E1" s="48"/>
      <c r="G1" s="2"/>
    </row>
    <row r="2" spans="1:7" ht="28.5" x14ac:dyDescent="0.25">
      <c r="A2" s="326" t="s">
        <v>253</v>
      </c>
      <c r="B2" s="327"/>
      <c r="C2" s="327"/>
      <c r="D2" s="327"/>
      <c r="E2" s="328"/>
      <c r="G2" s="2"/>
    </row>
    <row r="3" spans="1:7" x14ac:dyDescent="0.25">
      <c r="A3" s="50"/>
      <c r="B3" s="50"/>
      <c r="C3" s="50"/>
      <c r="D3" s="48"/>
      <c r="E3" s="48"/>
      <c r="G3" s="2"/>
    </row>
    <row r="4" spans="1:7" s="55" customFormat="1" ht="21.75" x14ac:dyDescent="0.25">
      <c r="A4" s="52" t="s">
        <v>252</v>
      </c>
      <c r="B4" s="53"/>
      <c r="C4" s="53"/>
      <c r="D4" s="53"/>
      <c r="E4" s="53"/>
    </row>
    <row r="5" spans="1:7" s="55" customFormat="1" ht="21.75" x14ac:dyDescent="0.25">
      <c r="A5" s="56"/>
      <c r="B5" s="57"/>
      <c r="C5" s="57"/>
      <c r="D5" s="59"/>
      <c r="E5" s="59"/>
    </row>
    <row r="6" spans="1:7" s="55" customFormat="1" ht="42" customHeight="1" x14ac:dyDescent="0.25">
      <c r="A6" s="63" t="s">
        <v>14</v>
      </c>
      <c r="B6" s="330" t="s">
        <v>5</v>
      </c>
      <c r="C6" s="331"/>
      <c r="D6" s="71" t="s">
        <v>16</v>
      </c>
      <c r="E6" s="59"/>
    </row>
    <row r="7" spans="1:7" s="55" customFormat="1" ht="21.75" x14ac:dyDescent="0.25">
      <c r="A7" s="66" t="s">
        <v>251</v>
      </c>
      <c r="B7" s="62">
        <v>5.5</v>
      </c>
      <c r="C7" s="62" t="s">
        <v>6</v>
      </c>
      <c r="D7" s="89">
        <f>B7*DADOS_INICIAIS!$E$9*1.1</f>
        <v>32354.553000000007</v>
      </c>
      <c r="E7" s="57"/>
    </row>
    <row r="8" spans="1:7" s="55" customFormat="1" ht="21.75" x14ac:dyDescent="0.25">
      <c r="A8" s="66" t="s">
        <v>250</v>
      </c>
      <c r="B8" s="62">
        <v>10</v>
      </c>
      <c r="C8" s="62" t="s">
        <v>6</v>
      </c>
      <c r="D8" s="89">
        <f>B8*DADOS_INICIAIS!$E$9*1.1</f>
        <v>58826.460000000014</v>
      </c>
      <c r="E8" s="57"/>
    </row>
    <row r="9" spans="1:7" s="55" customFormat="1" ht="21.75" x14ac:dyDescent="0.25">
      <c r="A9" s="66" t="s">
        <v>249</v>
      </c>
      <c r="B9" s="62">
        <v>30</v>
      </c>
      <c r="C9" s="62" t="s">
        <v>6</v>
      </c>
      <c r="D9" s="89">
        <f>B9*DADOS_INICIAIS!$E$9*1.1</f>
        <v>176479.38000000003</v>
      </c>
      <c r="E9" s="57"/>
    </row>
    <row r="10" spans="1:7" s="55" customFormat="1" ht="21.75" x14ac:dyDescent="0.25">
      <c r="A10" s="66" t="s">
        <v>248</v>
      </c>
      <c r="B10" s="62">
        <v>18</v>
      </c>
      <c r="C10" s="62" t="s">
        <v>6</v>
      </c>
      <c r="D10" s="89">
        <f>B10*DADOS_INICIAIS!$E$9*1.1</f>
        <v>105887.62800000003</v>
      </c>
      <c r="E10" s="57"/>
    </row>
    <row r="11" spans="1:7" s="55" customFormat="1" ht="21.75" x14ac:dyDescent="0.25">
      <c r="A11" s="66" t="s">
        <v>247</v>
      </c>
      <c r="B11" s="62">
        <v>15</v>
      </c>
      <c r="C11" s="62" t="s">
        <v>6</v>
      </c>
      <c r="D11" s="89">
        <f>B11*DADOS_INICIAIS!$E$9*1.1</f>
        <v>88239.690000000017</v>
      </c>
      <c r="E11" s="57"/>
    </row>
    <row r="12" spans="1:7" s="55" customFormat="1" ht="21.75" x14ac:dyDescent="0.25">
      <c r="A12" s="66" t="s">
        <v>246</v>
      </c>
      <c r="B12" s="62">
        <v>15</v>
      </c>
      <c r="C12" s="62" t="s">
        <v>6</v>
      </c>
      <c r="D12" s="89">
        <f>B12*DADOS_INICIAIS!$E$9*1.1</f>
        <v>88239.690000000017</v>
      </c>
      <c r="E12" s="57"/>
    </row>
    <row r="13" spans="1:7" s="55" customFormat="1" ht="21.75" x14ac:dyDescent="0.25">
      <c r="A13" s="66" t="s">
        <v>245</v>
      </c>
      <c r="B13" s="62">
        <v>60</v>
      </c>
      <c r="C13" s="62" t="s">
        <v>6</v>
      </c>
      <c r="D13" s="89">
        <f>B13*DADOS_INICIAIS!$E$9*1.1</f>
        <v>352958.76000000007</v>
      </c>
      <c r="E13" s="57"/>
    </row>
    <row r="14" spans="1:7" s="55" customFormat="1" ht="21.75" x14ac:dyDescent="0.25">
      <c r="A14" s="325" t="s">
        <v>17</v>
      </c>
      <c r="B14" s="325"/>
      <c r="C14" s="325"/>
      <c r="D14" s="90">
        <f>SUM(D7:D13)</f>
        <v>902986.16100000008</v>
      </c>
      <c r="E14" s="60">
        <f>D14/'Obra '!$C$10</f>
        <v>168.85</v>
      </c>
    </row>
    <row r="15" spans="1:7" s="55" customFormat="1" ht="21.75" x14ac:dyDescent="0.25">
      <c r="A15" s="329"/>
      <c r="B15" s="329"/>
      <c r="C15" s="329"/>
      <c r="D15" s="100"/>
      <c r="E15" s="59"/>
    </row>
    <row r="16" spans="1:7" s="55" customFormat="1" ht="21.75" x14ac:dyDescent="0.25">
      <c r="A16" s="52" t="s">
        <v>244</v>
      </c>
      <c r="B16" s="53"/>
      <c r="C16" s="53"/>
      <c r="D16" s="98"/>
      <c r="E16" s="53"/>
    </row>
    <row r="17" spans="1:6" s="55" customFormat="1" ht="21.75" x14ac:dyDescent="0.25">
      <c r="A17" s="56"/>
      <c r="B17" s="57"/>
      <c r="C17" s="57"/>
      <c r="D17" s="100"/>
      <c r="E17" s="59"/>
    </row>
    <row r="18" spans="1:6" s="55" customFormat="1" ht="42" customHeight="1" x14ac:dyDescent="0.25">
      <c r="A18" s="63" t="s">
        <v>14</v>
      </c>
      <c r="B18" s="330" t="s">
        <v>5</v>
      </c>
      <c r="C18" s="331"/>
      <c r="D18" s="90" t="s">
        <v>16</v>
      </c>
      <c r="E18" s="59"/>
    </row>
    <row r="19" spans="1:6" s="55" customFormat="1" ht="21.75" x14ac:dyDescent="0.25">
      <c r="A19" s="66" t="s">
        <v>243</v>
      </c>
      <c r="B19" s="62">
        <v>25</v>
      </c>
      <c r="C19" s="62" t="s">
        <v>6</v>
      </c>
      <c r="D19" s="89">
        <f>B19*DADOS_INICIAIS!$E$9*1.1</f>
        <v>147066.15000000002</v>
      </c>
      <c r="E19" s="57"/>
    </row>
    <row r="20" spans="1:6" s="55" customFormat="1" ht="21.75" x14ac:dyDescent="0.25">
      <c r="A20" s="66" t="s">
        <v>242</v>
      </c>
      <c r="B20" s="62">
        <v>20</v>
      </c>
      <c r="C20" s="62" t="s">
        <v>6</v>
      </c>
      <c r="D20" s="89">
        <f>B20*DADOS_INICIAIS!$E$9*1.1</f>
        <v>117652.92000000003</v>
      </c>
      <c r="E20" s="57"/>
    </row>
    <row r="21" spans="1:6" s="55" customFormat="1" ht="21.75" x14ac:dyDescent="0.25">
      <c r="A21" s="66" t="s">
        <v>241</v>
      </c>
      <c r="B21" s="62">
        <v>10</v>
      </c>
      <c r="C21" s="62" t="s">
        <v>6</v>
      </c>
      <c r="D21" s="89">
        <f>B21*DADOS_INICIAIS!$E$9*1.1</f>
        <v>58826.460000000014</v>
      </c>
      <c r="E21" s="57"/>
    </row>
    <row r="22" spans="1:6" s="55" customFormat="1" ht="21.75" x14ac:dyDescent="0.25">
      <c r="A22" s="66" t="s">
        <v>240</v>
      </c>
      <c r="B22" s="62">
        <v>15</v>
      </c>
      <c r="C22" s="62" t="s">
        <v>6</v>
      </c>
      <c r="D22" s="89">
        <f>B22*DADOS_INICIAIS!$E$9*1.1</f>
        <v>88239.690000000017</v>
      </c>
      <c r="E22" s="57"/>
    </row>
    <row r="23" spans="1:6" s="55" customFormat="1" ht="21.75" x14ac:dyDescent="0.25">
      <c r="A23" s="66" t="s">
        <v>239</v>
      </c>
      <c r="B23" s="62">
        <v>20</v>
      </c>
      <c r="C23" s="62" t="s">
        <v>6</v>
      </c>
      <c r="D23" s="89">
        <f>B23*DADOS_INICIAIS!$E$9*1.1</f>
        <v>117652.92000000003</v>
      </c>
      <c r="E23" s="57"/>
    </row>
    <row r="24" spans="1:6" s="55" customFormat="1" ht="21.75" x14ac:dyDescent="0.25">
      <c r="A24" s="66" t="s">
        <v>238</v>
      </c>
      <c r="B24" s="62">
        <v>55</v>
      </c>
      <c r="C24" s="62" t="s">
        <v>6</v>
      </c>
      <c r="D24" s="89">
        <f>B24*DADOS_INICIAIS!$E$9*1.1</f>
        <v>323545.53000000009</v>
      </c>
      <c r="E24" s="57"/>
    </row>
    <row r="25" spans="1:6" s="55" customFormat="1" ht="21.75" x14ac:dyDescent="0.25">
      <c r="A25" s="325" t="s">
        <v>17</v>
      </c>
      <c r="B25" s="325"/>
      <c r="C25" s="325"/>
      <c r="D25" s="90">
        <f>SUM(D19:D24)</f>
        <v>852983.67000000016</v>
      </c>
      <c r="E25" s="60">
        <f>D25/'Obra '!$C$10</f>
        <v>159.5</v>
      </c>
    </row>
    <row r="26" spans="1:6" s="55" customFormat="1" ht="21.75" x14ac:dyDescent="0.25">
      <c r="A26" s="329"/>
      <c r="B26" s="329"/>
      <c r="C26" s="329"/>
      <c r="D26" s="100"/>
      <c r="E26" s="59"/>
    </row>
    <row r="27" spans="1:6" s="55" customFormat="1" ht="21.75" x14ac:dyDescent="0.25">
      <c r="A27" s="52" t="s">
        <v>237</v>
      </c>
      <c r="B27" s="53"/>
      <c r="C27" s="53"/>
      <c r="D27" s="98"/>
      <c r="E27" s="53"/>
    </row>
    <row r="28" spans="1:6" s="55" customFormat="1" ht="21.75" x14ac:dyDescent="0.25">
      <c r="A28" s="56"/>
      <c r="B28" s="57"/>
      <c r="C28" s="57"/>
      <c r="D28" s="100"/>
      <c r="E28" s="59"/>
    </row>
    <row r="29" spans="1:6" s="55" customFormat="1" ht="42" customHeight="1" x14ac:dyDescent="0.25">
      <c r="A29" s="63" t="s">
        <v>14</v>
      </c>
      <c r="B29" s="330" t="s">
        <v>5</v>
      </c>
      <c r="C29" s="331"/>
      <c r="D29" s="90" t="s">
        <v>16</v>
      </c>
      <c r="E29" s="59"/>
    </row>
    <row r="30" spans="1:6" s="55" customFormat="1" ht="26.25" customHeight="1" x14ac:dyDescent="0.25">
      <c r="A30" s="70" t="s">
        <v>236</v>
      </c>
      <c r="B30" s="62">
        <v>20</v>
      </c>
      <c r="C30" s="62" t="s">
        <v>6</v>
      </c>
      <c r="D30" s="89">
        <f>B30*DADOS_INICIAIS!$E$9*1.1</f>
        <v>117652.92000000003</v>
      </c>
      <c r="E30" s="60">
        <f>D30/'Obra '!$C$10</f>
        <v>22.000000000000004</v>
      </c>
    </row>
    <row r="31" spans="1:6" s="55" customFormat="1" ht="26.25" customHeight="1" x14ac:dyDescent="0.25">
      <c r="A31" s="70" t="s">
        <v>556</v>
      </c>
      <c r="B31" s="62">
        <f>95+35</f>
        <v>130</v>
      </c>
      <c r="C31" s="62" t="s">
        <v>6</v>
      </c>
      <c r="D31" s="89">
        <f>B31*DADOS_INICIAIS!$E$9*1.1</f>
        <v>764743.9800000001</v>
      </c>
      <c r="E31" s="60">
        <f>D31/'Obra '!$C$10</f>
        <v>143</v>
      </c>
      <c r="F31" s="55" t="s">
        <v>555</v>
      </c>
    </row>
    <row r="32" spans="1:6" s="55" customFormat="1" ht="26.25" customHeight="1" x14ac:dyDescent="0.25">
      <c r="A32" s="70" t="s">
        <v>235</v>
      </c>
      <c r="B32" s="62">
        <v>15</v>
      </c>
      <c r="C32" s="62" t="s">
        <v>6</v>
      </c>
      <c r="D32" s="89">
        <f>B32*DADOS_INICIAIS!$E$9*1.1</f>
        <v>88239.690000000017</v>
      </c>
      <c r="E32" s="60">
        <f>D32/'Obra '!$C$10</f>
        <v>16.5</v>
      </c>
    </row>
    <row r="33" spans="1:9" s="55" customFormat="1" ht="21.75" x14ac:dyDescent="0.25">
      <c r="A33" s="70" t="s">
        <v>234</v>
      </c>
      <c r="B33" s="62">
        <v>8</v>
      </c>
      <c r="C33" s="62" t="s">
        <v>6</v>
      </c>
      <c r="D33" s="89">
        <f>B33*DADOS_INICIAIS!$E$9*1.1</f>
        <v>47061.168000000012</v>
      </c>
      <c r="E33" s="60">
        <f>D33/'Obra '!$C$10</f>
        <v>8.8000000000000007</v>
      </c>
    </row>
    <row r="34" spans="1:9" s="55" customFormat="1" ht="21.75" x14ac:dyDescent="0.25">
      <c r="A34" s="325" t="s">
        <v>17</v>
      </c>
      <c r="B34" s="325"/>
      <c r="C34" s="325"/>
      <c r="D34" s="90">
        <f>SUM(D30:D33)</f>
        <v>1017697.7580000003</v>
      </c>
      <c r="E34" s="60"/>
    </row>
    <row r="35" spans="1:9" x14ac:dyDescent="0.25">
      <c r="D35" s="107"/>
      <c r="I35" s="47"/>
    </row>
    <row r="36" spans="1:9" ht="23.25" customHeight="1" x14ac:dyDescent="0.25">
      <c r="A36" s="322" t="s">
        <v>233</v>
      </c>
      <c r="B36" s="323"/>
      <c r="C36" s="323"/>
      <c r="D36" s="108">
        <f>D14+D25+D34</f>
        <v>2773667.5890000006</v>
      </c>
      <c r="E36" s="108">
        <f>D36/DADOS_INICIAIS!E9</f>
        <v>518.65000000000009</v>
      </c>
    </row>
    <row r="38" spans="1:9" x14ac:dyDescent="0.25">
      <c r="E38" s="196">
        <f>E36/1.1</f>
        <v>471.50000000000006</v>
      </c>
    </row>
  </sheetData>
  <mergeCells count="10">
    <mergeCell ref="A36:C36"/>
    <mergeCell ref="A34:C34"/>
    <mergeCell ref="A2:E2"/>
    <mergeCell ref="A14:C14"/>
    <mergeCell ref="A15:C15"/>
    <mergeCell ref="B6:C6"/>
    <mergeCell ref="B18:C18"/>
    <mergeCell ref="B29:C29"/>
    <mergeCell ref="A25:C25"/>
    <mergeCell ref="A26:C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187-AAF1-4E2E-B3CF-221688C97F2B}">
  <sheetPr>
    <tabColor rgb="FF92D050"/>
  </sheetPr>
  <dimension ref="A1:I43"/>
  <sheetViews>
    <sheetView showGridLines="0" topLeftCell="A28" zoomScale="85" zoomScaleNormal="85" zoomScaleSheetLayoutView="95" workbookViewId="0">
      <selection activeCell="D40" sqref="D40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7" x14ac:dyDescent="0.25">
      <c r="A1" s="48"/>
      <c r="B1" s="48"/>
      <c r="C1" s="48"/>
      <c r="D1" s="48"/>
      <c r="E1" s="48"/>
      <c r="G1" s="2"/>
    </row>
    <row r="2" spans="1:7" ht="28.5" x14ac:dyDescent="0.25">
      <c r="A2" s="326" t="s">
        <v>272</v>
      </c>
      <c r="B2" s="327"/>
      <c r="C2" s="327"/>
      <c r="D2" s="327"/>
      <c r="E2" s="328"/>
      <c r="G2" s="2"/>
    </row>
    <row r="3" spans="1:7" x14ac:dyDescent="0.25">
      <c r="A3" s="50"/>
      <c r="B3" s="50"/>
      <c r="C3" s="50"/>
      <c r="D3" s="48"/>
      <c r="E3" s="48"/>
      <c r="G3" s="2"/>
    </row>
    <row r="4" spans="1:7" s="55" customFormat="1" ht="21.75" x14ac:dyDescent="0.25">
      <c r="A4" s="52" t="s">
        <v>271</v>
      </c>
      <c r="B4" s="53"/>
      <c r="C4" s="53"/>
      <c r="D4" s="53"/>
      <c r="E4" s="53"/>
    </row>
    <row r="5" spans="1:7" s="55" customFormat="1" ht="21.75" x14ac:dyDescent="0.25">
      <c r="A5" s="56"/>
      <c r="B5" s="57"/>
      <c r="C5" s="57"/>
      <c r="D5" s="59"/>
      <c r="E5" s="59"/>
    </row>
    <row r="6" spans="1:7" s="55" customFormat="1" ht="42" customHeight="1" x14ac:dyDescent="0.25">
      <c r="A6" s="63" t="s">
        <v>14</v>
      </c>
      <c r="B6" s="65" t="s">
        <v>18</v>
      </c>
      <c r="C6" s="71" t="s">
        <v>260</v>
      </c>
      <c r="D6" s="71" t="s">
        <v>16</v>
      </c>
      <c r="E6" s="59"/>
    </row>
    <row r="7" spans="1:7" s="55" customFormat="1" ht="43.5" x14ac:dyDescent="0.25">
      <c r="A7" s="66" t="s">
        <v>270</v>
      </c>
      <c r="B7" s="67">
        <f>SUM('Obra '!L21:L36)</f>
        <v>84</v>
      </c>
      <c r="C7" s="185">
        <v>1200</v>
      </c>
      <c r="D7" s="89">
        <f>B7*C7*1.1</f>
        <v>110880.00000000001</v>
      </c>
      <c r="E7" s="57"/>
    </row>
    <row r="8" spans="1:7" s="55" customFormat="1" ht="21.75" x14ac:dyDescent="0.25">
      <c r="A8" s="66" t="s">
        <v>269</v>
      </c>
      <c r="B8" s="67">
        <f>SUM('Obra '!M21:M36)</f>
        <v>7</v>
      </c>
      <c r="C8" s="185">
        <v>5000</v>
      </c>
      <c r="D8" s="89">
        <f>B8*C8*1.1</f>
        <v>38500</v>
      </c>
      <c r="E8" s="57"/>
    </row>
    <row r="9" spans="1:7" s="55" customFormat="1" ht="21.75" x14ac:dyDescent="0.25">
      <c r="A9" s="66" t="s">
        <v>268</v>
      </c>
      <c r="B9" s="67">
        <f>SUM('Obra '!K21:K36)</f>
        <v>81</v>
      </c>
      <c r="C9" s="185">
        <v>900</v>
      </c>
      <c r="D9" s="89">
        <f>B9*C9*1.1</f>
        <v>80190</v>
      </c>
      <c r="E9" s="57"/>
    </row>
    <row r="10" spans="1:7" s="55" customFormat="1" ht="21.75" x14ac:dyDescent="0.25">
      <c r="A10" s="66" t="s">
        <v>267</v>
      </c>
      <c r="B10" s="67">
        <v>1</v>
      </c>
      <c r="C10" s="185">
        <v>2600</v>
      </c>
      <c r="D10" s="89">
        <f>B10*C10*1.1</f>
        <v>2860.0000000000005</v>
      </c>
      <c r="E10" s="57" t="s">
        <v>529</v>
      </c>
    </row>
    <row r="11" spans="1:7" s="55" customFormat="1" ht="21.75" x14ac:dyDescent="0.25">
      <c r="A11" s="325" t="s">
        <v>17</v>
      </c>
      <c r="B11" s="325"/>
      <c r="C11" s="325"/>
      <c r="D11" s="90">
        <f>SUM(D7:D10)</f>
        <v>232430</v>
      </c>
      <c r="E11" s="60"/>
    </row>
    <row r="12" spans="1:7" s="55" customFormat="1" ht="21.75" x14ac:dyDescent="0.25">
      <c r="A12" s="329"/>
      <c r="B12" s="329"/>
      <c r="C12" s="329"/>
      <c r="D12" s="59"/>
      <c r="E12" s="59"/>
    </row>
    <row r="13" spans="1:7" s="55" customFormat="1" ht="21.75" x14ac:dyDescent="0.25">
      <c r="A13" s="52" t="s">
        <v>266</v>
      </c>
      <c r="B13" s="53"/>
      <c r="C13" s="53"/>
      <c r="D13" s="53"/>
      <c r="E13" s="53"/>
    </row>
    <row r="14" spans="1:7" s="55" customFormat="1" ht="21.75" x14ac:dyDescent="0.25">
      <c r="A14" s="56"/>
      <c r="B14" s="57"/>
      <c r="C14" s="57"/>
      <c r="D14" s="59"/>
      <c r="E14" s="59"/>
    </row>
    <row r="15" spans="1:7" s="55" customFormat="1" ht="42" customHeight="1" x14ac:dyDescent="0.25">
      <c r="A15" s="63" t="s">
        <v>14</v>
      </c>
      <c r="B15" s="330" t="s">
        <v>5</v>
      </c>
      <c r="C15" s="331"/>
      <c r="D15" s="71" t="s">
        <v>16</v>
      </c>
      <c r="E15" s="59"/>
    </row>
    <row r="16" spans="1:7" s="55" customFormat="1" ht="21.75" x14ac:dyDescent="0.25">
      <c r="A16" s="66" t="s">
        <v>265</v>
      </c>
      <c r="B16" s="62">
        <v>1.5</v>
      </c>
      <c r="C16" s="62" t="s">
        <v>6</v>
      </c>
      <c r="D16" s="89">
        <f>B16*DADOS_INICIAIS!$E$9*1.1</f>
        <v>8823.969000000001</v>
      </c>
      <c r="E16" s="57"/>
    </row>
    <row r="17" spans="1:5" s="55" customFormat="1" ht="21.75" x14ac:dyDescent="0.25">
      <c r="A17" s="66" t="s">
        <v>264</v>
      </c>
      <c r="B17" s="62">
        <v>2</v>
      </c>
      <c r="C17" s="62" t="s">
        <v>6</v>
      </c>
      <c r="D17" s="89">
        <f>B17*DADOS_INICIAIS!$E$9*1.1</f>
        <v>11765.292000000003</v>
      </c>
      <c r="E17" s="57"/>
    </row>
    <row r="18" spans="1:5" s="55" customFormat="1" ht="21.75" x14ac:dyDescent="0.25">
      <c r="A18" s="66" t="s">
        <v>263</v>
      </c>
      <c r="B18" s="62">
        <v>4</v>
      </c>
      <c r="C18" s="62" t="s">
        <v>6</v>
      </c>
      <c r="D18" s="89">
        <f>B18*DADOS_INICIAIS!$E$9*1.1</f>
        <v>23530.584000000006</v>
      </c>
      <c r="E18" s="57"/>
    </row>
    <row r="19" spans="1:5" s="55" customFormat="1" ht="43.5" x14ac:dyDescent="0.25">
      <c r="A19" s="66" t="s">
        <v>262</v>
      </c>
      <c r="B19" s="62">
        <v>5</v>
      </c>
      <c r="C19" s="62" t="s">
        <v>6</v>
      </c>
      <c r="D19" s="89">
        <f>B19*DADOS_INICIAIS!$E$9*1.1*0+45000</f>
        <v>45000</v>
      </c>
      <c r="E19" s="57" t="s">
        <v>554</v>
      </c>
    </row>
    <row r="20" spans="1:5" s="55" customFormat="1" ht="21.75" x14ac:dyDescent="0.25">
      <c r="A20" s="325" t="s">
        <v>17</v>
      </c>
      <c r="B20" s="325"/>
      <c r="C20" s="325"/>
      <c r="D20" s="90">
        <f>SUM(D16:D19)</f>
        <v>89119.845000000016</v>
      </c>
      <c r="E20" s="60"/>
    </row>
    <row r="21" spans="1:5" s="55" customFormat="1" ht="21.75" x14ac:dyDescent="0.25">
      <c r="A21" s="329"/>
      <c r="B21" s="329"/>
      <c r="C21" s="329"/>
      <c r="D21" s="59"/>
      <c r="E21" s="59"/>
    </row>
    <row r="22" spans="1:5" s="55" customFormat="1" ht="21.75" x14ac:dyDescent="0.25">
      <c r="A22" s="52" t="s">
        <v>261</v>
      </c>
      <c r="B22" s="53"/>
      <c r="C22" s="53"/>
      <c r="D22" s="53"/>
      <c r="E22" s="53"/>
    </row>
    <row r="23" spans="1:5" s="55" customFormat="1" ht="21.75" x14ac:dyDescent="0.25">
      <c r="A23" s="56"/>
      <c r="B23" s="57"/>
      <c r="C23" s="57"/>
      <c r="D23" s="59"/>
      <c r="E23" s="59"/>
    </row>
    <row r="24" spans="1:5" s="55" customFormat="1" ht="42" customHeight="1" x14ac:dyDescent="0.25">
      <c r="A24" s="63" t="s">
        <v>14</v>
      </c>
      <c r="B24" s="65" t="s">
        <v>18</v>
      </c>
      <c r="C24" s="71" t="s">
        <v>260</v>
      </c>
      <c r="D24" s="71" t="s">
        <v>16</v>
      </c>
      <c r="E24" s="59"/>
    </row>
    <row r="25" spans="1:5" s="55" customFormat="1" ht="26.25" customHeight="1" x14ac:dyDescent="0.25">
      <c r="A25" s="70" t="s">
        <v>259</v>
      </c>
      <c r="B25" s="67">
        <v>2</v>
      </c>
      <c r="C25" s="185">
        <f>266000/12*11</f>
        <v>243833.33333333334</v>
      </c>
      <c r="D25" s="89">
        <f>B25*C25*1.1</f>
        <v>536433.33333333337</v>
      </c>
      <c r="E25" s="57"/>
    </row>
    <row r="26" spans="1:5" s="55" customFormat="1" ht="26.25" customHeight="1" x14ac:dyDescent="0.25">
      <c r="A26" s="70" t="s">
        <v>258</v>
      </c>
      <c r="B26" s="67">
        <v>1</v>
      </c>
      <c r="C26" s="185">
        <v>209103.55</v>
      </c>
      <c r="D26" s="89">
        <f t="shared" ref="D26:D33" si="0">B26*C26*1.1</f>
        <v>230013.905</v>
      </c>
      <c r="E26" s="57" t="s">
        <v>552</v>
      </c>
    </row>
    <row r="27" spans="1:5" s="55" customFormat="1" ht="26.25" customHeight="1" x14ac:dyDescent="0.25">
      <c r="A27" s="70" t="s">
        <v>364</v>
      </c>
      <c r="B27" s="67">
        <v>0</v>
      </c>
      <c r="C27" s="185">
        <f>26.4*DADOS_INICIAIS!E9</f>
        <v>141183.50400000002</v>
      </c>
      <c r="D27" s="89">
        <f t="shared" ref="D27" si="1">B27*C27*1.1</f>
        <v>0</v>
      </c>
      <c r="E27" s="57"/>
    </row>
    <row r="28" spans="1:5" s="55" customFormat="1" ht="26.25" customHeight="1" x14ac:dyDescent="0.25">
      <c r="A28" s="70" t="s">
        <v>315</v>
      </c>
      <c r="B28" s="67">
        <v>1</v>
      </c>
      <c r="C28" s="185">
        <v>15000</v>
      </c>
      <c r="D28" s="89">
        <f t="shared" si="0"/>
        <v>16500</v>
      </c>
      <c r="E28" s="57"/>
    </row>
    <row r="29" spans="1:5" s="55" customFormat="1" ht="26.25" customHeight="1" x14ac:dyDescent="0.25">
      <c r="A29" s="70" t="s">
        <v>257</v>
      </c>
      <c r="B29" s="67">
        <v>5</v>
      </c>
      <c r="C29" s="185">
        <v>560</v>
      </c>
      <c r="D29" s="89">
        <f t="shared" si="0"/>
        <v>3080.0000000000005</v>
      </c>
      <c r="E29" s="57"/>
    </row>
    <row r="30" spans="1:5" s="55" customFormat="1" ht="26.25" customHeight="1" x14ac:dyDescent="0.25">
      <c r="A30" s="70" t="s">
        <v>553</v>
      </c>
      <c r="B30" s="67">
        <v>1</v>
      </c>
      <c r="C30" s="185">
        <v>43000</v>
      </c>
      <c r="D30" s="89">
        <f t="shared" ref="D30" si="2">B30*C30*1.1</f>
        <v>47300.000000000007</v>
      </c>
      <c r="E30" s="57"/>
    </row>
    <row r="31" spans="1:5" s="55" customFormat="1" ht="26.25" customHeight="1" x14ac:dyDescent="0.25">
      <c r="A31" s="70" t="s">
        <v>343</v>
      </c>
      <c r="B31" s="67">
        <v>1</v>
      </c>
      <c r="C31" s="185">
        <f>39684</f>
        <v>39684</v>
      </c>
      <c r="D31" s="89">
        <f t="shared" si="0"/>
        <v>43652.4</v>
      </c>
      <c r="E31" s="57" t="s">
        <v>538</v>
      </c>
    </row>
    <row r="32" spans="1:5" s="55" customFormat="1" ht="26.25" customHeight="1" x14ac:dyDescent="0.25">
      <c r="A32" s="70" t="s">
        <v>528</v>
      </c>
      <c r="B32" s="67">
        <v>1</v>
      </c>
      <c r="C32" s="185">
        <v>238000</v>
      </c>
      <c r="D32" s="89">
        <f t="shared" si="0"/>
        <v>261800.00000000003</v>
      </c>
      <c r="E32" s="57" t="s">
        <v>551</v>
      </c>
    </row>
    <row r="33" spans="1:9" s="55" customFormat="1" ht="26.25" customHeight="1" x14ac:dyDescent="0.25">
      <c r="A33" s="70" t="s">
        <v>346</v>
      </c>
      <c r="B33" s="67"/>
      <c r="C33" s="185">
        <v>15000</v>
      </c>
      <c r="D33" s="89">
        <f t="shared" si="0"/>
        <v>0</v>
      </c>
      <c r="E33" s="57"/>
    </row>
    <row r="34" spans="1:9" s="55" customFormat="1" ht="26.25" customHeight="1" x14ac:dyDescent="0.25">
      <c r="A34" s="70" t="s">
        <v>342</v>
      </c>
      <c r="B34" s="67">
        <v>0</v>
      </c>
      <c r="C34" s="185">
        <f>55*DADOS_INICIAIS!E9</f>
        <v>294132.30000000005</v>
      </c>
      <c r="D34" s="89">
        <f>B34*C34</f>
        <v>0</v>
      </c>
      <c r="E34" s="57"/>
    </row>
    <row r="35" spans="1:9" s="55" customFormat="1" ht="21.75" x14ac:dyDescent="0.25">
      <c r="A35" s="325" t="s">
        <v>17</v>
      </c>
      <c r="B35" s="325"/>
      <c r="C35" s="325"/>
      <c r="D35" s="90">
        <f>SUM(D25:D34)</f>
        <v>1138779.6383333334</v>
      </c>
      <c r="E35" s="60"/>
    </row>
    <row r="36" spans="1:9" x14ac:dyDescent="0.25">
      <c r="I36" s="47"/>
    </row>
    <row r="37" spans="1:9" s="55" customFormat="1" ht="21.75" x14ac:dyDescent="0.25">
      <c r="A37" s="52" t="s">
        <v>256</v>
      </c>
      <c r="B37" s="53"/>
      <c r="C37" s="53"/>
      <c r="D37" s="53"/>
      <c r="E37" s="53"/>
    </row>
    <row r="38" spans="1:9" s="55" customFormat="1" ht="21.75" x14ac:dyDescent="0.25">
      <c r="A38" s="56"/>
      <c r="B38" s="57"/>
      <c r="C38" s="57"/>
      <c r="D38" s="59"/>
      <c r="E38" s="59"/>
    </row>
    <row r="39" spans="1:9" s="55" customFormat="1" ht="40.5" customHeight="1" x14ac:dyDescent="0.25">
      <c r="A39" s="63" t="s">
        <v>14</v>
      </c>
      <c r="B39" s="330" t="s">
        <v>5</v>
      </c>
      <c r="C39" s="331"/>
      <c r="D39" s="71" t="s">
        <v>16</v>
      </c>
      <c r="E39" s="59"/>
    </row>
    <row r="40" spans="1:9" s="55" customFormat="1" ht="26.25" customHeight="1" x14ac:dyDescent="0.25">
      <c r="A40" s="70" t="s">
        <v>255</v>
      </c>
      <c r="B40" s="62">
        <v>20</v>
      </c>
      <c r="C40" s="62" t="s">
        <v>6</v>
      </c>
      <c r="D40" s="89">
        <f>B40*DADOS_INICIAIS!E9*1.1</f>
        <v>117652.92000000003</v>
      </c>
      <c r="E40" s="102"/>
    </row>
    <row r="41" spans="1:9" s="55" customFormat="1" ht="21.75" x14ac:dyDescent="0.25">
      <c r="A41" s="325" t="s">
        <v>17</v>
      </c>
      <c r="B41" s="325"/>
      <c r="C41" s="325"/>
      <c r="D41" s="90">
        <f>SUM(D40:D40)</f>
        <v>117652.92000000003</v>
      </c>
      <c r="E41" s="103"/>
    </row>
    <row r="42" spans="1:9" x14ac:dyDescent="0.25">
      <c r="D42" s="107"/>
      <c r="E42" s="107"/>
      <c r="I42" s="47"/>
    </row>
    <row r="43" spans="1:9" ht="23.25" customHeight="1" x14ac:dyDescent="0.25">
      <c r="A43" s="322" t="s">
        <v>254</v>
      </c>
      <c r="B43" s="323"/>
      <c r="C43" s="324"/>
      <c r="D43" s="108">
        <f>D11+D20+D35+D41</f>
        <v>1577982.4033333333</v>
      </c>
      <c r="E43" s="108">
        <f>D43/DADOS_INICIAIS!E9</f>
        <v>295.06800913511819</v>
      </c>
    </row>
  </sheetData>
  <mergeCells count="10">
    <mergeCell ref="A35:C35"/>
    <mergeCell ref="A43:C43"/>
    <mergeCell ref="B39:C39"/>
    <mergeCell ref="A41:C41"/>
    <mergeCell ref="A2:E2"/>
    <mergeCell ref="A11:C11"/>
    <mergeCell ref="A12:C12"/>
    <mergeCell ref="B15:C15"/>
    <mergeCell ref="A20:C20"/>
    <mergeCell ref="A21:C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413-B84E-4F21-BDF8-BE523108E400}">
  <sheetPr>
    <tabColor rgb="FF92D050"/>
  </sheetPr>
  <dimension ref="A1:L42"/>
  <sheetViews>
    <sheetView showGridLines="0" zoomScale="87" zoomScaleNormal="87" zoomScaleSheetLayoutView="95" workbookViewId="0">
      <selection activeCell="G20" sqref="G20"/>
    </sheetView>
  </sheetViews>
  <sheetFormatPr defaultColWidth="9.140625" defaultRowHeight="12.75" x14ac:dyDescent="0.25"/>
  <cols>
    <col min="1" max="1" width="45" style="1" bestFit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5.140625" style="1" customWidth="1"/>
    <col min="7" max="7" width="17.7109375" style="1" customWidth="1"/>
    <col min="8" max="8" width="13.140625" style="1" bestFit="1" customWidth="1"/>
    <col min="9" max="9" width="11" style="1" bestFit="1" customWidth="1"/>
    <col min="10" max="10" width="12.85546875" style="1" bestFit="1" customWidth="1"/>
    <col min="11" max="11" width="12" style="1" bestFit="1" customWidth="1"/>
    <col min="12" max="12" width="12.140625" style="1" bestFit="1" customWidth="1"/>
    <col min="13" max="16384" width="9.140625" style="1"/>
  </cols>
  <sheetData>
    <row r="1" spans="1:12" x14ac:dyDescent="0.25">
      <c r="B1" s="2"/>
      <c r="C1" s="1"/>
      <c r="D1" s="1"/>
      <c r="G1" s="161"/>
      <c r="H1" s="161"/>
      <c r="I1" s="2"/>
    </row>
    <row r="2" spans="1:12" ht="12.75" customHeight="1" x14ac:dyDescent="0.25">
      <c r="A2" s="338" t="s">
        <v>188</v>
      </c>
      <c r="B2" s="2"/>
      <c r="C2" s="1"/>
      <c r="D2" s="1"/>
      <c r="G2" s="166"/>
      <c r="H2" s="166"/>
      <c r="I2" s="2"/>
    </row>
    <row r="3" spans="1:12" ht="12.75" customHeight="1" x14ac:dyDescent="0.25">
      <c r="A3" s="339"/>
      <c r="B3" s="2"/>
      <c r="C3" s="1"/>
      <c r="D3" s="1"/>
      <c r="G3" s="166"/>
      <c r="H3" s="166"/>
      <c r="I3" s="2"/>
    </row>
    <row r="4" spans="1:12" ht="12.75" customHeight="1" x14ac:dyDescent="0.25">
      <c r="A4" s="339"/>
      <c r="B4" s="2"/>
      <c r="C4" s="1"/>
      <c r="D4" s="1"/>
      <c r="G4" s="166"/>
      <c r="H4" s="166"/>
      <c r="I4" s="2"/>
    </row>
    <row r="5" spans="1:12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2" x14ac:dyDescent="0.25">
      <c r="A6" s="162"/>
      <c r="B6" s="2"/>
      <c r="C6" s="1"/>
      <c r="D6" s="1"/>
      <c r="G6" s="161"/>
      <c r="H6" s="161"/>
      <c r="I6" s="2"/>
    </row>
    <row r="7" spans="1:12" x14ac:dyDescent="0.25">
      <c r="A7" s="160" t="s">
        <v>187</v>
      </c>
      <c r="B7" s="159"/>
      <c r="C7" s="158"/>
      <c r="D7" s="158"/>
      <c r="E7" s="158"/>
      <c r="F7" s="158"/>
      <c r="G7" s="158"/>
      <c r="H7" s="157"/>
      <c r="I7" s="2"/>
    </row>
    <row r="8" spans="1:12" x14ac:dyDescent="0.25">
      <c r="A8" s="156" t="s">
        <v>0</v>
      </c>
      <c r="B8" s="155"/>
      <c r="C8" s="154"/>
      <c r="D8" s="154"/>
      <c r="E8" s="154"/>
      <c r="F8" s="154"/>
      <c r="G8" s="154"/>
      <c r="H8" s="153"/>
      <c r="I8" s="2"/>
    </row>
    <row r="9" spans="1:12" ht="15" customHeight="1" x14ac:dyDescent="0.25">
      <c r="A9" s="152" t="s">
        <v>186</v>
      </c>
      <c r="B9" s="151">
        <v>45471</v>
      </c>
      <c r="C9" s="150"/>
      <c r="D9" s="150"/>
      <c r="E9" s="150"/>
      <c r="F9" s="150"/>
      <c r="G9" s="150"/>
      <c r="H9" s="149"/>
    </row>
    <row r="10" spans="1:12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2" x14ac:dyDescent="0.25">
      <c r="A12" s="144" t="s">
        <v>195</v>
      </c>
      <c r="B12" s="143"/>
      <c r="C12" s="142"/>
      <c r="D12" s="141"/>
      <c r="E12" s="140"/>
      <c r="F12" s="140"/>
      <c r="G12" s="140"/>
      <c r="H12" s="139"/>
    </row>
    <row r="13" spans="1:12" ht="15.95" customHeight="1" x14ac:dyDescent="0.25">
      <c r="A13" s="138"/>
      <c r="B13" s="137"/>
      <c r="C13" s="136"/>
      <c r="D13" s="135"/>
      <c r="E13" s="135"/>
      <c r="F13" s="135"/>
      <c r="H13" s="131"/>
      <c r="J13" s="115"/>
    </row>
    <row r="14" spans="1:12" ht="15.95" customHeight="1" x14ac:dyDescent="0.25">
      <c r="A14" s="134" t="s">
        <v>14</v>
      </c>
      <c r="B14" s="345" t="s">
        <v>18</v>
      </c>
      <c r="C14" s="346"/>
      <c r="D14" s="347" t="s">
        <v>5</v>
      </c>
      <c r="E14" s="348"/>
      <c r="F14" s="133" t="s">
        <v>183</v>
      </c>
      <c r="G14" s="132" t="s">
        <v>16</v>
      </c>
      <c r="H14" s="131"/>
      <c r="I14" s="310" t="s">
        <v>721</v>
      </c>
      <c r="J14" s="310" t="s">
        <v>726</v>
      </c>
      <c r="K14" s="112" t="s">
        <v>722</v>
      </c>
      <c r="L14" s="112" t="s">
        <v>727</v>
      </c>
    </row>
    <row r="15" spans="1:12" ht="15.95" customHeight="1" x14ac:dyDescent="0.25">
      <c r="A15" s="174" t="s">
        <v>325</v>
      </c>
      <c r="B15" s="124">
        <v>0</v>
      </c>
      <c r="C15" s="129" t="s">
        <v>2</v>
      </c>
      <c r="D15" s="128">
        <v>16.5</v>
      </c>
      <c r="E15" s="130" t="s">
        <v>171</v>
      </c>
      <c r="F15" s="126" t="s">
        <v>170</v>
      </c>
      <c r="G15" s="125">
        <f>D15*B15*1.1</f>
        <v>0</v>
      </c>
      <c r="H15" s="131"/>
      <c r="J15" s="115">
        <f t="shared" ref="J15:L16" si="0">I15*$B15</f>
        <v>0</v>
      </c>
      <c r="L15" s="115">
        <f t="shared" si="0"/>
        <v>0</v>
      </c>
    </row>
    <row r="16" spans="1:12" ht="15.95" customHeight="1" x14ac:dyDescent="0.25">
      <c r="A16" s="174" t="s">
        <v>326</v>
      </c>
      <c r="B16" s="124">
        <v>0</v>
      </c>
      <c r="C16" s="129" t="s">
        <v>2</v>
      </c>
      <c r="D16" s="128">
        <v>25</v>
      </c>
      <c r="E16" s="130" t="s">
        <v>171</v>
      </c>
      <c r="F16" s="126" t="s">
        <v>170</v>
      </c>
      <c r="G16" s="125">
        <f>D16*B16*1.1</f>
        <v>0</v>
      </c>
      <c r="H16" s="131"/>
      <c r="J16" s="115">
        <f t="shared" si="0"/>
        <v>0</v>
      </c>
      <c r="L16" s="115">
        <f t="shared" ref="L16" si="1">K16*$B16</f>
        <v>0</v>
      </c>
    </row>
    <row r="17" spans="1:12" ht="15.95" customHeight="1" x14ac:dyDescent="0.25">
      <c r="A17" s="172" t="s">
        <v>194</v>
      </c>
      <c r="B17" s="124">
        <f>SUM(ARQUITETURA!D91:D97)</f>
        <v>4197.54</v>
      </c>
      <c r="C17" s="129" t="s">
        <v>2</v>
      </c>
      <c r="D17" s="128">
        <f>B17/DADOS_INICIAIS!E9</f>
        <v>0.7849008762383457</v>
      </c>
      <c r="E17" s="130" t="s">
        <v>190</v>
      </c>
      <c r="F17" s="126" t="s">
        <v>170</v>
      </c>
      <c r="G17" s="125">
        <f>+B17*65*1.05</f>
        <v>286482.10499999998</v>
      </c>
      <c r="H17" s="207"/>
      <c r="I17" s="1">
        <f>65*1.05-K17</f>
        <v>28.25</v>
      </c>
      <c r="J17" s="115">
        <f>I17*$B17</f>
        <v>118580.505</v>
      </c>
      <c r="K17" s="1">
        <v>40</v>
      </c>
      <c r="L17" s="115">
        <f t="shared" ref="L17" si="2">K17*$B17</f>
        <v>167901.6</v>
      </c>
    </row>
    <row r="18" spans="1:12" ht="15.95" customHeight="1" x14ac:dyDescent="0.25">
      <c r="A18" s="172" t="s">
        <v>193</v>
      </c>
      <c r="B18" s="124">
        <f>'Acabamentos de Piso e Parede'!B17</f>
        <v>1959.5589999999997</v>
      </c>
      <c r="C18" s="129" t="s">
        <v>2</v>
      </c>
      <c r="D18" s="128">
        <f>B18/DADOS_INICIAIS!E9</f>
        <v>0.36641927799157037</v>
      </c>
      <c r="E18" s="130" t="s">
        <v>190</v>
      </c>
      <c r="F18" s="126" t="s">
        <v>170</v>
      </c>
      <c r="G18" s="125">
        <f>+B18*26*1.05</f>
        <v>53495.960699999996</v>
      </c>
      <c r="H18" s="131"/>
      <c r="I18" s="1">
        <f>26*1.05</f>
        <v>27.3</v>
      </c>
      <c r="J18" s="115">
        <f t="shared" ref="J18:J20" si="3">I18*$B18</f>
        <v>53495.960699999996</v>
      </c>
      <c r="L18" s="115">
        <f t="shared" ref="L18" si="4">K18*$B18</f>
        <v>0</v>
      </c>
    </row>
    <row r="19" spans="1:12" ht="27" customHeight="1" x14ac:dyDescent="0.25">
      <c r="A19" s="173" t="s">
        <v>192</v>
      </c>
      <c r="B19" s="171">
        <f>ALVENARIA!D22*2-('Rev. Fachada'!B15)</f>
        <v>5782.4400000000005</v>
      </c>
      <c r="C19" s="170" t="s">
        <v>2</v>
      </c>
      <c r="D19" s="169">
        <f>B19/DADOS_INICIAIS!E9</f>
        <v>1.0812624115066587</v>
      </c>
      <c r="E19" s="127" t="s">
        <v>190</v>
      </c>
      <c r="F19" s="168" t="s">
        <v>170</v>
      </c>
      <c r="G19" s="125">
        <f>+B19*5*1.05</f>
        <v>30357.810000000005</v>
      </c>
      <c r="H19" s="123"/>
      <c r="I19" s="1">
        <f>5*1.05</f>
        <v>5.25</v>
      </c>
      <c r="J19" s="115">
        <f t="shared" si="3"/>
        <v>30357.81</v>
      </c>
      <c r="L19" s="115">
        <f t="shared" ref="L19" si="5">K19*$B19</f>
        <v>0</v>
      </c>
    </row>
    <row r="20" spans="1:12" ht="27" customHeight="1" x14ac:dyDescent="0.25">
      <c r="A20" s="172" t="s">
        <v>191</v>
      </c>
      <c r="B20" s="171">
        <f>B19</f>
        <v>5782.4400000000005</v>
      </c>
      <c r="C20" s="170" t="s">
        <v>2</v>
      </c>
      <c r="D20" s="169">
        <f>B20/DADOS_INICIAIS!E9</f>
        <v>1.0812624115066587</v>
      </c>
      <c r="E20" s="127" t="s">
        <v>190</v>
      </c>
      <c r="F20" s="168" t="s">
        <v>170</v>
      </c>
      <c r="G20" s="125">
        <f>50*B20*1.05</f>
        <v>303578.10000000003</v>
      </c>
      <c r="H20" s="123"/>
      <c r="I20" s="1">
        <f>50*1.05-K20</f>
        <v>17.5</v>
      </c>
      <c r="J20" s="115">
        <f t="shared" si="3"/>
        <v>101192.70000000001</v>
      </c>
      <c r="K20" s="1">
        <v>35</v>
      </c>
      <c r="L20" s="115">
        <f t="shared" ref="L20" si="6">K20*$B20</f>
        <v>202385.40000000002</v>
      </c>
    </row>
    <row r="21" spans="1:12" ht="15.95" customHeight="1" x14ac:dyDescent="0.25">
      <c r="A21" s="343" t="s">
        <v>17</v>
      </c>
      <c r="B21" s="344"/>
      <c r="C21" s="344"/>
      <c r="D21" s="344"/>
      <c r="E21" s="344"/>
      <c r="F21" s="344"/>
      <c r="G21" s="122">
        <f>SUM(G15:G20)</f>
        <v>673913.97570000007</v>
      </c>
      <c r="H21" s="121"/>
      <c r="J21" s="115"/>
    </row>
    <row r="22" spans="1:12" ht="15.95" customHeight="1" x14ac:dyDescent="0.25">
      <c r="A22" s="341"/>
      <c r="B22" s="342"/>
      <c r="C22" s="342"/>
      <c r="D22" s="342"/>
      <c r="E22" s="342"/>
      <c r="F22" s="342"/>
      <c r="G22" s="167"/>
      <c r="H22" s="118"/>
      <c r="J22" s="115"/>
    </row>
    <row r="24" spans="1:12" x14ac:dyDescent="0.25">
      <c r="A24" s="340" t="s">
        <v>189</v>
      </c>
      <c r="B24" s="340"/>
      <c r="C24" s="340"/>
      <c r="D24" s="340"/>
      <c r="E24" s="340"/>
      <c r="F24" s="340"/>
      <c r="G24" s="117">
        <f>G21</f>
        <v>673913.97570000007</v>
      </c>
      <c r="H24" s="116">
        <f>G24/DADOS_INICIAIS!E9</f>
        <v>126.01563535694652</v>
      </c>
    </row>
    <row r="26" spans="1:12" x14ac:dyDescent="0.25">
      <c r="H26" s="115">
        <f>H24/1.1</f>
        <v>114.55966850631501</v>
      </c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</sheetData>
  <mergeCells count="6">
    <mergeCell ref="A2:A4"/>
    <mergeCell ref="A24:F24"/>
    <mergeCell ref="A22:F22"/>
    <mergeCell ref="A21:F21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BA5-59B3-4B37-8482-3A07D04C966C}">
  <sheetPr>
    <tabColor rgb="FF92D050"/>
  </sheetPr>
  <dimension ref="A1:M34"/>
  <sheetViews>
    <sheetView showGridLines="0" topLeftCell="B7" zoomScale="80" zoomScaleNormal="80" zoomScaleSheetLayoutView="95" workbookViewId="0">
      <selection activeCell="D12" sqref="D12:D13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27.7109375" style="55" customWidth="1"/>
    <col min="9" max="9" width="11.28515625" style="55" customWidth="1"/>
    <col min="10" max="11" width="12.140625" style="55" bestFit="1" customWidth="1"/>
    <col min="12" max="12" width="11.42578125" style="55" bestFit="1" customWidth="1"/>
    <col min="13" max="13" width="12" style="55" bestFit="1" customWidth="1"/>
    <col min="14" max="15" width="11" style="55" bestFit="1" customWidth="1"/>
    <col min="16" max="16384" width="9.140625" style="55"/>
  </cols>
  <sheetData>
    <row r="1" spans="1:13" x14ac:dyDescent="0.25">
      <c r="D1" s="79"/>
      <c r="E1" s="55"/>
      <c r="H1" s="80"/>
      <c r="I1" s="80"/>
      <c r="J1" s="79"/>
    </row>
    <row r="3" spans="1:13" ht="28.5" x14ac:dyDescent="0.25">
      <c r="A3" s="326" t="s">
        <v>318</v>
      </c>
      <c r="B3" s="334"/>
      <c r="C3" s="334"/>
      <c r="D3" s="327"/>
      <c r="E3" s="327"/>
      <c r="F3" s="327"/>
      <c r="G3" s="327"/>
      <c r="H3" s="328"/>
      <c r="J3" s="79"/>
    </row>
    <row r="4" spans="1:13" ht="19.5" x14ac:dyDescent="0.25">
      <c r="A4" s="186" t="s">
        <v>186</v>
      </c>
      <c r="B4" s="192">
        <v>45471</v>
      </c>
      <c r="C4" s="190"/>
      <c r="D4" s="190"/>
      <c r="E4" s="190"/>
      <c r="F4" s="190"/>
      <c r="G4" s="190"/>
      <c r="H4" s="191"/>
      <c r="J4" s="79"/>
    </row>
    <row r="5" spans="1:13" ht="19.5" x14ac:dyDescent="0.25">
      <c r="A5" s="186" t="s">
        <v>294</v>
      </c>
      <c r="B5" s="193" t="s">
        <v>211</v>
      </c>
      <c r="C5" s="188"/>
      <c r="D5" s="188"/>
      <c r="E5" s="188"/>
      <c r="F5" s="188"/>
      <c r="G5" s="188"/>
      <c r="H5" s="189"/>
      <c r="J5" s="79"/>
    </row>
    <row r="6" spans="1:13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3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3" ht="21.75" x14ac:dyDescent="0.25">
      <c r="A8" s="56"/>
      <c r="B8" s="56"/>
      <c r="C8" s="56"/>
      <c r="D8" s="57"/>
      <c r="E8" s="57"/>
      <c r="F8" s="58"/>
      <c r="G8" s="59"/>
      <c r="H8" s="59"/>
    </row>
    <row r="9" spans="1:13" ht="42" customHeight="1" x14ac:dyDescent="0.25">
      <c r="A9" s="63" t="s">
        <v>14</v>
      </c>
      <c r="B9" s="330" t="s">
        <v>5</v>
      </c>
      <c r="C9" s="331"/>
      <c r="D9" s="330" t="s">
        <v>18</v>
      </c>
      <c r="E9" s="331"/>
      <c r="F9" s="65" t="s">
        <v>118</v>
      </c>
      <c r="G9" s="71" t="s">
        <v>16</v>
      </c>
      <c r="H9" s="90" t="s">
        <v>297</v>
      </c>
      <c r="J9" s="310" t="s">
        <v>721</v>
      </c>
      <c r="K9" s="310" t="s">
        <v>726</v>
      </c>
      <c r="L9" s="112" t="s">
        <v>722</v>
      </c>
      <c r="M9" s="112" t="s">
        <v>727</v>
      </c>
    </row>
    <row r="10" spans="1:13" ht="21.75" x14ac:dyDescent="0.25">
      <c r="A10" s="66" t="s">
        <v>524</v>
      </c>
      <c r="B10" s="62">
        <v>0.6</v>
      </c>
      <c r="C10" s="62" t="s">
        <v>37</v>
      </c>
      <c r="D10" s="67">
        <f>SUM(D19:D34)</f>
        <v>364.98999999999995</v>
      </c>
      <c r="E10" s="67" t="s">
        <v>2</v>
      </c>
      <c r="F10" s="88">
        <v>110</v>
      </c>
      <c r="G10" s="89">
        <f>F10*D10*1</f>
        <v>40148.899999999994</v>
      </c>
      <c r="H10" s="67"/>
      <c r="J10" s="81">
        <f>F10*1</f>
        <v>110</v>
      </c>
      <c r="K10" s="81">
        <f>J10*$D10</f>
        <v>40148.899999999994</v>
      </c>
      <c r="L10" s="81"/>
      <c r="M10" s="81">
        <f>L10*$D10</f>
        <v>0</v>
      </c>
    </row>
    <row r="11" spans="1:13" ht="21.75" x14ac:dyDescent="0.25">
      <c r="A11" s="66" t="s">
        <v>523</v>
      </c>
      <c r="B11" s="62">
        <v>0.6</v>
      </c>
      <c r="C11" s="62" t="s">
        <v>37</v>
      </c>
      <c r="D11" s="67">
        <f>SUM(E19:E34)</f>
        <v>595.98</v>
      </c>
      <c r="E11" s="67" t="s">
        <v>2</v>
      </c>
      <c r="F11" s="88">
        <v>120</v>
      </c>
      <c r="G11" s="89">
        <f t="shared" ref="G11:G13" si="0">F11*D11*1</f>
        <v>71517.600000000006</v>
      </c>
      <c r="H11" s="67"/>
      <c r="J11" s="81">
        <f t="shared" ref="J11" si="1">F11*1</f>
        <v>120</v>
      </c>
      <c r="K11" s="81">
        <f t="shared" ref="K11:K13" si="2">J11*$D11</f>
        <v>71517.600000000006</v>
      </c>
      <c r="L11" s="81"/>
      <c r="M11" s="81">
        <f t="shared" ref="M11:M13" si="3">L11*$D11</f>
        <v>0</v>
      </c>
    </row>
    <row r="12" spans="1:13" ht="21.75" x14ac:dyDescent="0.25">
      <c r="A12" s="78" t="s">
        <v>197</v>
      </c>
      <c r="B12" s="62">
        <v>0.2</v>
      </c>
      <c r="C12" s="62" t="s">
        <v>37</v>
      </c>
      <c r="D12" s="67">
        <f>SUM(B19:B35)</f>
        <v>3948.2009999999996</v>
      </c>
      <c r="E12" s="67" t="s">
        <v>2</v>
      </c>
      <c r="F12" s="88">
        <v>24</v>
      </c>
      <c r="G12" s="89">
        <f>F12*D12*1</f>
        <v>94756.823999999993</v>
      </c>
      <c r="H12" s="67"/>
      <c r="J12" s="81">
        <f>F12*1-L12</f>
        <v>4</v>
      </c>
      <c r="K12" s="81">
        <f>J12*$D12</f>
        <v>15792.803999999998</v>
      </c>
      <c r="L12" s="81">
        <v>20</v>
      </c>
      <c r="M12" s="81">
        <f>L12*$D12</f>
        <v>78964.01999999999</v>
      </c>
    </row>
    <row r="13" spans="1:13" ht="21.75" x14ac:dyDescent="0.25">
      <c r="A13" s="78" t="s">
        <v>525</v>
      </c>
      <c r="B13" s="62">
        <v>1.2</v>
      </c>
      <c r="C13" s="62" t="s">
        <v>316</v>
      </c>
      <c r="D13" s="67">
        <f>SUM(C19:C34)</f>
        <v>3390.1199999999994</v>
      </c>
      <c r="E13" s="67" t="s">
        <v>2</v>
      </c>
      <c r="F13" s="88">
        <v>47</v>
      </c>
      <c r="G13" s="89">
        <f t="shared" si="0"/>
        <v>159335.63999999998</v>
      </c>
      <c r="H13" s="67" t="s">
        <v>540</v>
      </c>
      <c r="J13" s="81">
        <f>F13*1-L13</f>
        <v>17</v>
      </c>
      <c r="K13" s="81">
        <f t="shared" si="2"/>
        <v>57632.039999999994</v>
      </c>
      <c r="L13" s="81">
        <v>30</v>
      </c>
      <c r="M13" s="81">
        <f t="shared" si="3"/>
        <v>101703.59999999998</v>
      </c>
    </row>
    <row r="14" spans="1:13" ht="21.75" x14ac:dyDescent="0.25">
      <c r="A14" s="325" t="s">
        <v>17</v>
      </c>
      <c r="B14" s="325"/>
      <c r="C14" s="325"/>
      <c r="D14" s="325"/>
      <c r="E14" s="325"/>
      <c r="F14" s="325"/>
      <c r="G14" s="90">
        <f>SUM(G10:G13)</f>
        <v>365758.96399999998</v>
      </c>
      <c r="H14" s="90"/>
    </row>
    <row r="16" spans="1:13" ht="21.75" x14ac:dyDescent="0.25">
      <c r="A16" s="335" t="s">
        <v>344</v>
      </c>
      <c r="B16" s="336"/>
      <c r="C16" s="336"/>
      <c r="D16" s="336"/>
      <c r="E16" s="336"/>
      <c r="F16" s="337"/>
      <c r="G16" s="91">
        <f>G14</f>
        <v>365758.96399999998</v>
      </c>
      <c r="H16" s="91">
        <f>G16/DADOS_INICIAIS!E9</f>
        <v>68.393518902888246</v>
      </c>
    </row>
    <row r="18" spans="1:8" x14ac:dyDescent="0.2">
      <c r="A18" s="258" t="s">
        <v>526</v>
      </c>
      <c r="B18" s="258" t="s">
        <v>197</v>
      </c>
      <c r="C18" s="258" t="s">
        <v>525</v>
      </c>
      <c r="D18" s="258" t="s">
        <v>527</v>
      </c>
      <c r="E18" s="258" t="s">
        <v>718</v>
      </c>
    </row>
    <row r="19" spans="1:8" x14ac:dyDescent="0.2">
      <c r="A19" s="258" t="s">
        <v>404</v>
      </c>
      <c r="B19" s="258">
        <f>('Obra '!D21-SUM(D19:E19))*0.9</f>
        <v>558.08100000000002</v>
      </c>
      <c r="C19" s="258"/>
      <c r="D19" s="258">
        <v>3.91</v>
      </c>
      <c r="E19" s="258"/>
      <c r="H19" s="195">
        <f>H16/1.1</f>
        <v>62.175926275352943</v>
      </c>
    </row>
    <row r="20" spans="1:8" x14ac:dyDescent="0.2">
      <c r="A20" s="258" t="s">
        <v>405</v>
      </c>
      <c r="B20" s="258">
        <f>C20</f>
        <v>526.46399999999994</v>
      </c>
      <c r="C20" s="258">
        <f>('Obra '!D22-SUM(D20:E20))*0.9</f>
        <v>526.46399999999994</v>
      </c>
      <c r="D20" s="289">
        <v>8.7100000000000009</v>
      </c>
      <c r="E20" s="289"/>
      <c r="F20" s="309"/>
    </row>
    <row r="21" spans="1:8" x14ac:dyDescent="0.2">
      <c r="A21" s="258" t="s">
        <v>406</v>
      </c>
      <c r="B21" s="258">
        <f t="shared" ref="B21" si="4">C21</f>
        <v>270.90899999999999</v>
      </c>
      <c r="C21" s="258">
        <f>('Obra '!D23-SUM(D21:E21))*0.9</f>
        <v>270.90899999999999</v>
      </c>
      <c r="D21" s="289"/>
      <c r="E21" s="258"/>
    </row>
    <row r="22" spans="1:8" x14ac:dyDescent="0.2">
      <c r="A22" s="258" t="s">
        <v>407</v>
      </c>
      <c r="B22" s="289">
        <f t="shared" ref="B22:B32" si="5">C22</f>
        <v>314.32499999999999</v>
      </c>
      <c r="C22" s="258">
        <f>('Obra '!D24-SUM(D22:E22))*0.9</f>
        <v>314.32499999999999</v>
      </c>
      <c r="D22" s="289">
        <v>30.04</v>
      </c>
      <c r="E22" s="289">
        <v>85.14</v>
      </c>
    </row>
    <row r="23" spans="1:8" x14ac:dyDescent="0.2">
      <c r="A23" s="258" t="s">
        <v>408</v>
      </c>
      <c r="B23" s="289">
        <f t="shared" si="5"/>
        <v>314.32499999999999</v>
      </c>
      <c r="C23" s="258">
        <f>('Obra '!D25-SUM(D23:E23))*0.9</f>
        <v>314.32499999999999</v>
      </c>
      <c r="D23" s="289">
        <v>30.04</v>
      </c>
      <c r="E23" s="289">
        <v>85.14</v>
      </c>
    </row>
    <row r="24" spans="1:8" x14ac:dyDescent="0.2">
      <c r="A24" s="258" t="s">
        <v>409</v>
      </c>
      <c r="B24" s="289">
        <f t="shared" si="5"/>
        <v>314.32499999999999</v>
      </c>
      <c r="C24" s="258">
        <f>('Obra '!D26-SUM(D24:E24))*0.9</f>
        <v>314.32499999999999</v>
      </c>
      <c r="D24" s="289">
        <v>30.04</v>
      </c>
      <c r="E24" s="289">
        <v>85.14</v>
      </c>
    </row>
    <row r="25" spans="1:8" x14ac:dyDescent="0.2">
      <c r="A25" s="258" t="s">
        <v>410</v>
      </c>
      <c r="B25" s="289">
        <f t="shared" si="5"/>
        <v>314.32499999999999</v>
      </c>
      <c r="C25" s="258">
        <f>('Obra '!D27-SUM(D25:E25))*0.9</f>
        <v>314.32499999999999</v>
      </c>
      <c r="D25" s="289">
        <v>30.04</v>
      </c>
      <c r="E25" s="289">
        <v>85.14</v>
      </c>
    </row>
    <row r="26" spans="1:8" x14ac:dyDescent="0.2">
      <c r="A26" s="258" t="s">
        <v>411</v>
      </c>
      <c r="B26" s="289">
        <f t="shared" si="5"/>
        <v>314.32499999999999</v>
      </c>
      <c r="C26" s="258">
        <f>('Obra '!D28-SUM(D26:E26))*0.9</f>
        <v>314.32499999999999</v>
      </c>
      <c r="D26" s="289">
        <v>30.04</v>
      </c>
      <c r="E26" s="289">
        <v>85.14</v>
      </c>
    </row>
    <row r="27" spans="1:8" x14ac:dyDescent="0.2">
      <c r="A27" s="258" t="s">
        <v>412</v>
      </c>
      <c r="B27" s="289">
        <f t="shared" si="5"/>
        <v>314.32499999999999</v>
      </c>
      <c r="C27" s="258">
        <f>('Obra '!D29-SUM(D27:E27))*0.9</f>
        <v>314.32499999999999</v>
      </c>
      <c r="D27" s="289">
        <v>30.04</v>
      </c>
      <c r="E27" s="289">
        <v>85.14</v>
      </c>
    </row>
    <row r="28" spans="1:8" x14ac:dyDescent="0.2">
      <c r="A28" s="258" t="s">
        <v>550</v>
      </c>
      <c r="B28" s="289">
        <f t="shared" si="5"/>
        <v>314.32499999999999</v>
      </c>
      <c r="C28" s="258">
        <f>('Obra '!D30-SUM(D28:E28))*0.9</f>
        <v>314.32499999999999</v>
      </c>
      <c r="D28" s="289">
        <v>30.04</v>
      </c>
      <c r="E28" s="289">
        <v>85.14</v>
      </c>
    </row>
    <row r="29" spans="1:8" x14ac:dyDescent="0.2">
      <c r="A29" s="258" t="s">
        <v>413</v>
      </c>
      <c r="B29" s="258">
        <f t="shared" si="5"/>
        <v>255.07799999999997</v>
      </c>
      <c r="C29" s="258">
        <f>('Obra '!D31-SUM(D29:E29))*0.9</f>
        <v>255.07799999999997</v>
      </c>
      <c r="D29" s="258">
        <v>142.09</v>
      </c>
      <c r="E29" s="289"/>
    </row>
    <row r="30" spans="1:8" x14ac:dyDescent="0.2">
      <c r="A30" s="258" t="s">
        <v>414</v>
      </c>
      <c r="B30" s="258">
        <f t="shared" si="5"/>
        <v>54.918000000000006</v>
      </c>
      <c r="C30" s="258">
        <f>('Obra '!D32-SUM(D30:E30))*0.9</f>
        <v>54.918000000000006</v>
      </c>
      <c r="D30" s="258"/>
      <c r="E30" s="258"/>
    </row>
    <row r="31" spans="1:8" x14ac:dyDescent="0.2">
      <c r="A31" s="258" t="s">
        <v>415</v>
      </c>
      <c r="B31" s="258">
        <f t="shared" si="5"/>
        <v>27.558</v>
      </c>
      <c r="C31" s="258">
        <f>('Obra '!D33-SUM(D31:E31))*0.9</f>
        <v>27.558</v>
      </c>
      <c r="D31" s="258"/>
      <c r="E31" s="258"/>
    </row>
    <row r="32" spans="1:8" x14ac:dyDescent="0.2">
      <c r="A32" s="258" t="s">
        <v>416</v>
      </c>
      <c r="B32" s="258">
        <f t="shared" si="5"/>
        <v>54.918000000000006</v>
      </c>
      <c r="C32" s="258">
        <f>('Obra '!D34-SUM(D32:E32))*0.9</f>
        <v>54.918000000000006</v>
      </c>
      <c r="D32" s="258"/>
      <c r="E32" s="258"/>
    </row>
    <row r="33" spans="1:5" x14ac:dyDescent="0.2">
      <c r="A33" s="258"/>
      <c r="B33" s="258"/>
      <c r="C33" s="258"/>
      <c r="D33" s="258"/>
      <c r="E33" s="258"/>
    </row>
    <row r="34" spans="1:5" x14ac:dyDescent="0.2">
      <c r="A34" s="258"/>
      <c r="B34" s="258"/>
      <c r="C34" s="258"/>
      <c r="D34" s="258"/>
      <c r="E34" s="258"/>
    </row>
  </sheetData>
  <mergeCells count="5">
    <mergeCell ref="A3:H3"/>
    <mergeCell ref="B9:C9"/>
    <mergeCell ref="D9:E9"/>
    <mergeCell ref="A14:F14"/>
    <mergeCell ref="A16:F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6FD0-B245-4D99-99B5-C3B4613FC83E}">
  <sheetPr>
    <tabColor rgb="FF92D050"/>
  </sheetPr>
  <dimension ref="A1:M79"/>
  <sheetViews>
    <sheetView showGridLines="0" topLeftCell="B12" zoomScaleNormal="100" zoomScaleSheetLayoutView="95" workbookViewId="0">
      <selection activeCell="B27" sqref="B27"/>
    </sheetView>
  </sheetViews>
  <sheetFormatPr defaultColWidth="9.140625" defaultRowHeight="12.75" x14ac:dyDescent="0.25"/>
  <cols>
    <col min="1" max="1" width="47.42578125" style="1" customWidth="1"/>
    <col min="2" max="2" width="14" style="114" customWidth="1"/>
    <col min="3" max="3" width="17.28515625" style="113" customWidth="1"/>
    <col min="4" max="4" width="10.7109375" style="112" customWidth="1"/>
    <col min="5" max="5" width="15.85546875" style="1" customWidth="1"/>
    <col min="6" max="6" width="12.85546875" style="1" customWidth="1"/>
    <col min="7" max="7" width="17" style="1" customWidth="1"/>
    <col min="8" max="8" width="11.85546875" style="1" customWidth="1"/>
    <col min="9" max="9" width="13.85546875" style="1" bestFit="1" customWidth="1"/>
    <col min="10" max="10" width="13.85546875" style="1" customWidth="1"/>
    <col min="11" max="12" width="11.140625" style="1" customWidth="1"/>
    <col min="13" max="13" width="13.85546875" style="1" bestFit="1" customWidth="1"/>
    <col min="14" max="16384" width="9.140625" style="1"/>
  </cols>
  <sheetData>
    <row r="1" spans="1:13" x14ac:dyDescent="0.25">
      <c r="B1" s="2"/>
      <c r="C1" s="1"/>
      <c r="D1" s="1"/>
      <c r="G1" s="161"/>
      <c r="H1" s="161"/>
      <c r="I1" s="2"/>
      <c r="J1" s="2"/>
    </row>
    <row r="2" spans="1:13" ht="12.75" customHeight="1" x14ac:dyDescent="0.25">
      <c r="A2" s="338" t="s">
        <v>188</v>
      </c>
      <c r="B2" s="2"/>
      <c r="C2" s="1"/>
      <c r="D2" s="1"/>
      <c r="G2" s="166"/>
      <c r="H2" s="166"/>
      <c r="I2" s="2"/>
      <c r="J2" s="2"/>
    </row>
    <row r="3" spans="1:13" ht="12.75" customHeight="1" x14ac:dyDescent="0.25">
      <c r="A3" s="339"/>
      <c r="B3" s="2"/>
      <c r="C3" s="1"/>
      <c r="D3" s="1"/>
      <c r="G3" s="166"/>
      <c r="H3" s="166"/>
      <c r="I3" s="2"/>
      <c r="J3" s="2"/>
    </row>
    <row r="4" spans="1:13" ht="12.75" customHeight="1" x14ac:dyDescent="0.25">
      <c r="A4" s="339"/>
      <c r="B4" s="2"/>
      <c r="C4" s="1"/>
      <c r="D4" s="1"/>
      <c r="G4" s="166"/>
      <c r="H4" s="166"/>
      <c r="I4" s="2"/>
      <c r="J4" s="2"/>
    </row>
    <row r="5" spans="1:13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  <c r="J5" s="2"/>
    </row>
    <row r="6" spans="1:13" x14ac:dyDescent="0.25">
      <c r="A6" s="162"/>
      <c r="B6" s="2"/>
      <c r="C6" s="1"/>
      <c r="D6" s="1"/>
      <c r="G6" s="161"/>
      <c r="H6" s="161"/>
      <c r="I6" s="2"/>
      <c r="J6" s="2"/>
    </row>
    <row r="7" spans="1:13" x14ac:dyDescent="0.25">
      <c r="A7" s="160" t="s">
        <v>187</v>
      </c>
      <c r="B7" s="159"/>
      <c r="C7" s="158"/>
      <c r="D7" s="158"/>
      <c r="E7" s="158"/>
      <c r="F7" s="158"/>
      <c r="G7" s="158"/>
      <c r="H7" s="157"/>
      <c r="I7" s="2"/>
      <c r="J7" s="2"/>
    </row>
    <row r="8" spans="1:13" x14ac:dyDescent="0.25">
      <c r="A8" s="156" t="s">
        <v>0</v>
      </c>
      <c r="B8" s="155"/>
      <c r="C8" s="154"/>
      <c r="D8" s="154"/>
      <c r="E8" s="154"/>
      <c r="F8" s="154"/>
      <c r="G8" s="154"/>
      <c r="H8" s="153"/>
      <c r="I8" s="2"/>
      <c r="J8" s="2"/>
    </row>
    <row r="9" spans="1:13" ht="15" customHeight="1" x14ac:dyDescent="0.25">
      <c r="A9" s="152" t="s">
        <v>186</v>
      </c>
      <c r="B9" s="151">
        <v>45471</v>
      </c>
      <c r="C9" s="150"/>
      <c r="D9" s="150"/>
      <c r="E9" s="150"/>
      <c r="F9" s="150"/>
      <c r="G9" s="150"/>
      <c r="H9" s="149"/>
    </row>
    <row r="10" spans="1:13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3" x14ac:dyDescent="0.25">
      <c r="A12" s="144" t="s">
        <v>206</v>
      </c>
      <c r="B12" s="143"/>
      <c r="C12" s="142"/>
      <c r="D12" s="141"/>
      <c r="E12" s="140"/>
      <c r="F12" s="140"/>
      <c r="G12" s="140"/>
      <c r="H12" s="139"/>
    </row>
    <row r="13" spans="1:13" ht="15.95" customHeight="1" x14ac:dyDescent="0.25">
      <c r="A13" s="138"/>
      <c r="B13" s="137"/>
      <c r="C13" s="136"/>
      <c r="D13" s="135"/>
      <c r="E13" s="135"/>
      <c r="F13" s="135"/>
      <c r="H13" s="131"/>
    </row>
    <row r="14" spans="1:13" ht="15.95" customHeight="1" x14ac:dyDescent="0.25">
      <c r="A14" s="134" t="s">
        <v>14</v>
      </c>
      <c r="B14" s="345" t="s">
        <v>18</v>
      </c>
      <c r="C14" s="346"/>
      <c r="D14" s="347" t="s">
        <v>5</v>
      </c>
      <c r="E14" s="348"/>
      <c r="F14" s="133" t="s">
        <v>183</v>
      </c>
      <c r="G14" s="132" t="s">
        <v>16</v>
      </c>
      <c r="H14" s="131"/>
      <c r="I14" s="310" t="s">
        <v>721</v>
      </c>
      <c r="J14" s="310" t="s">
        <v>726</v>
      </c>
      <c r="K14" s="112" t="s">
        <v>722</v>
      </c>
      <c r="L14" s="112" t="s">
        <v>727</v>
      </c>
    </row>
    <row r="15" spans="1:13" ht="15.95" customHeight="1" x14ac:dyDescent="0.25">
      <c r="A15" s="172" t="s">
        <v>520</v>
      </c>
      <c r="B15" s="180">
        <v>613.65</v>
      </c>
      <c r="C15" s="170" t="s">
        <v>203</v>
      </c>
      <c r="D15" s="178">
        <f>40*1.1+1.75*8.5+8*0.5+60</f>
        <v>122.875</v>
      </c>
      <c r="E15" s="127" t="s">
        <v>171</v>
      </c>
      <c r="F15" s="168" t="s">
        <v>170</v>
      </c>
      <c r="G15" s="125">
        <f>+D15*B15*1</f>
        <v>75402.243749999994</v>
      </c>
      <c r="H15" s="131"/>
      <c r="I15" s="114">
        <f>40*1.1+1.75*8.5+8*0.5</f>
        <v>62.875</v>
      </c>
      <c r="J15" s="114">
        <f>I15*$B15</f>
        <v>38583.243750000001</v>
      </c>
      <c r="K15" s="114">
        <f>60</f>
        <v>60</v>
      </c>
      <c r="L15" s="114">
        <f>K15*$B15</f>
        <v>36819</v>
      </c>
      <c r="M15" s="115" t="s">
        <v>724</v>
      </c>
    </row>
    <row r="16" spans="1:13" ht="15.95" customHeight="1" x14ac:dyDescent="0.25">
      <c r="A16" s="288" t="s">
        <v>521</v>
      </c>
      <c r="B16" s="180">
        <f>SUM(ARQUITETURA!D91:D93,ARQUITETURA!D95)-B15-B17</f>
        <v>1433.0509999999999</v>
      </c>
      <c r="C16" s="170" t="s">
        <v>203</v>
      </c>
      <c r="D16" s="178">
        <f>55*1.1+1.75*8.5+8*0.5+60</f>
        <v>139.375</v>
      </c>
      <c r="E16" s="127" t="s">
        <v>171</v>
      </c>
      <c r="F16" s="168" t="s">
        <v>170</v>
      </c>
      <c r="G16" s="125">
        <f>+D16*B16*1</f>
        <v>199731.483125</v>
      </c>
      <c r="H16" s="131"/>
      <c r="I16" s="114">
        <f>55*1.1+1.75*8.5+8*0.5</f>
        <v>79.375</v>
      </c>
      <c r="J16" s="114">
        <f>I16*$B16</f>
        <v>113748.423125</v>
      </c>
      <c r="K16" s="114">
        <f>60</f>
        <v>60</v>
      </c>
      <c r="L16" s="114">
        <f t="shared" ref="L16:L27" si="0">K16*$B16</f>
        <v>85983.06</v>
      </c>
      <c r="M16" s="115" t="s">
        <v>724</v>
      </c>
    </row>
    <row r="17" spans="1:13" ht="15.95" customHeight="1" x14ac:dyDescent="0.25">
      <c r="A17" s="172" t="s">
        <v>361</v>
      </c>
      <c r="B17" s="180">
        <f>SUM(C35:C51)</f>
        <v>1959.5589999999997</v>
      </c>
      <c r="C17" s="170" t="s">
        <v>203</v>
      </c>
      <c r="D17" s="178">
        <v>160</v>
      </c>
      <c r="E17" s="127" t="s">
        <v>171</v>
      </c>
      <c r="F17" s="168" t="s">
        <v>170</v>
      </c>
      <c r="G17" s="125">
        <f>+D17*B17*1</f>
        <v>313529.43999999994</v>
      </c>
      <c r="H17" s="131"/>
      <c r="I17" s="114">
        <v>160</v>
      </c>
      <c r="J17" s="114">
        <f>I17*$B17</f>
        <v>313529.43999999994</v>
      </c>
      <c r="K17" s="114"/>
      <c r="L17" s="114">
        <f t="shared" si="0"/>
        <v>0</v>
      </c>
      <c r="M17" s="115" t="s">
        <v>723</v>
      </c>
    </row>
    <row r="18" spans="1:13" ht="15.95" customHeight="1" x14ac:dyDescent="0.25">
      <c r="A18" s="182" t="s">
        <v>205</v>
      </c>
      <c r="B18" s="180">
        <f>1.47*11.65*2+1.47*3.17*2+11.65*3.17</f>
        <v>80.501300000000001</v>
      </c>
      <c r="C18" s="170" t="s">
        <v>203</v>
      </c>
      <c r="D18" s="178">
        <f>110*1.1+1.8*8.5+9*0.5+60</f>
        <v>200.8</v>
      </c>
      <c r="E18" s="127" t="s">
        <v>171</v>
      </c>
      <c r="F18" s="168" t="s">
        <v>170</v>
      </c>
      <c r="G18" s="125">
        <f>+D18*B18*1</f>
        <v>16164.661040000001</v>
      </c>
      <c r="H18" s="131"/>
      <c r="I18" s="114">
        <f>110*1.1+1.8*8.5+9*0.5</f>
        <v>140.80000000000001</v>
      </c>
      <c r="J18" s="114">
        <f>I18*$B18</f>
        <v>11334.583040000001</v>
      </c>
      <c r="K18" s="114">
        <f>60</f>
        <v>60</v>
      </c>
      <c r="L18" s="114">
        <f t="shared" si="0"/>
        <v>4830.0780000000004</v>
      </c>
      <c r="M18" s="115" t="s">
        <v>724</v>
      </c>
    </row>
    <row r="19" spans="1:13" ht="15.95" customHeight="1" x14ac:dyDescent="0.25">
      <c r="A19" s="182" t="s">
        <v>347</v>
      </c>
      <c r="B19" s="180">
        <v>0</v>
      </c>
      <c r="C19" s="170" t="s">
        <v>203</v>
      </c>
      <c r="D19" s="178">
        <v>210</v>
      </c>
      <c r="E19" s="127" t="s">
        <v>171</v>
      </c>
      <c r="F19" s="168" t="s">
        <v>170</v>
      </c>
      <c r="G19" s="125">
        <f>+D19*B19*1</f>
        <v>0</v>
      </c>
      <c r="H19" s="131"/>
      <c r="I19" s="114"/>
      <c r="J19" s="114">
        <f t="shared" ref="J19:J26" si="1">I19*$B19</f>
        <v>0</v>
      </c>
      <c r="K19" s="114"/>
      <c r="L19" s="114">
        <f t="shared" si="0"/>
        <v>0</v>
      </c>
    </row>
    <row r="20" spans="1:13" ht="15.95" customHeight="1" x14ac:dyDescent="0.25">
      <c r="A20" s="172" t="s">
        <v>522</v>
      </c>
      <c r="B20" s="180">
        <f>ARQUITETURA!D97</f>
        <v>53.37</v>
      </c>
      <c r="C20" s="170" t="s">
        <v>203</v>
      </c>
      <c r="D20" s="178">
        <v>60</v>
      </c>
      <c r="E20" s="127" t="s">
        <v>171</v>
      </c>
      <c r="F20" s="168" t="s">
        <v>170</v>
      </c>
      <c r="G20" s="125">
        <f t="shared" ref="G20" si="2">+D20*B20*1</f>
        <v>3202.2</v>
      </c>
      <c r="H20" s="131"/>
      <c r="I20" s="114">
        <v>30</v>
      </c>
      <c r="J20" s="114">
        <f>I20*$B20</f>
        <v>1601.1</v>
      </c>
      <c r="K20" s="114">
        <v>30</v>
      </c>
      <c r="L20" s="114">
        <f t="shared" si="0"/>
        <v>1601.1</v>
      </c>
      <c r="M20" s="115" t="s">
        <v>724</v>
      </c>
    </row>
    <row r="21" spans="1:13" ht="15.95" customHeight="1" x14ac:dyDescent="0.25">
      <c r="A21" s="172" t="s">
        <v>204</v>
      </c>
      <c r="B21" s="180">
        <f>ARQUITETURA!D96</f>
        <v>95.8</v>
      </c>
      <c r="C21" s="170" t="s">
        <v>203</v>
      </c>
      <c r="D21" s="178">
        <v>60</v>
      </c>
      <c r="E21" s="127" t="s">
        <v>171</v>
      </c>
      <c r="F21" s="168" t="s">
        <v>170</v>
      </c>
      <c r="G21" s="125">
        <f>+D21*B21*1</f>
        <v>5748</v>
      </c>
      <c r="H21" s="131"/>
      <c r="I21" s="114">
        <v>30</v>
      </c>
      <c r="J21" s="114">
        <f>I21*$B21</f>
        <v>2874</v>
      </c>
      <c r="K21" s="114">
        <v>30</v>
      </c>
      <c r="L21" s="114">
        <f t="shared" si="0"/>
        <v>2874</v>
      </c>
      <c r="M21" s="115" t="s">
        <v>724</v>
      </c>
    </row>
    <row r="22" spans="1:13" ht="15.95" customHeight="1" x14ac:dyDescent="0.25">
      <c r="A22" s="182" t="s">
        <v>202</v>
      </c>
      <c r="B22" s="180">
        <f>SUM(B15:B17)*1.2</f>
        <v>4807.5119999999997</v>
      </c>
      <c r="C22" s="170" t="s">
        <v>4</v>
      </c>
      <c r="D22" s="178">
        <f>35+20</f>
        <v>55</v>
      </c>
      <c r="E22" s="127" t="s">
        <v>6</v>
      </c>
      <c r="F22" s="168" t="s">
        <v>170</v>
      </c>
      <c r="G22" s="125">
        <f>D22*B22*1</f>
        <v>264413.15999999997</v>
      </c>
      <c r="H22" s="131"/>
      <c r="I22" s="114">
        <v>35</v>
      </c>
      <c r="J22" s="114">
        <f>I22*$B22</f>
        <v>168262.91999999998</v>
      </c>
      <c r="K22" s="114">
        <v>20</v>
      </c>
      <c r="L22" s="114">
        <f t="shared" si="0"/>
        <v>96150.239999999991</v>
      </c>
      <c r="M22" s="115" t="s">
        <v>724</v>
      </c>
    </row>
    <row r="23" spans="1:13" ht="15.95" customHeight="1" x14ac:dyDescent="0.25">
      <c r="A23" s="181" t="s">
        <v>720</v>
      </c>
      <c r="B23" s="180">
        <f>SUM(ARQUITETURA!D109)</f>
        <v>106.75</v>
      </c>
      <c r="C23" s="170" t="s">
        <v>203</v>
      </c>
      <c r="D23" s="178">
        <f>1.05*650+8.5*1.8+10*0.5+60</f>
        <v>762.8</v>
      </c>
      <c r="E23" s="127" t="s">
        <v>6</v>
      </c>
      <c r="F23" s="168" t="s">
        <v>170</v>
      </c>
      <c r="G23" s="125">
        <f>D23*B23*1</f>
        <v>81428.899999999994</v>
      </c>
      <c r="H23" s="131"/>
      <c r="I23" s="114">
        <f>1.05*650+8.5*1.8+10*0.5</f>
        <v>702.8</v>
      </c>
      <c r="J23" s="114">
        <f>I23*$B23</f>
        <v>75023.899999999994</v>
      </c>
      <c r="K23" s="114">
        <v>60</v>
      </c>
      <c r="L23" s="114">
        <f t="shared" si="0"/>
        <v>6405</v>
      </c>
      <c r="M23" s="115" t="s">
        <v>724</v>
      </c>
    </row>
    <row r="24" spans="1:13" ht="15.95" customHeight="1" x14ac:dyDescent="0.25">
      <c r="A24" s="181" t="s">
        <v>502</v>
      </c>
      <c r="B24" s="180">
        <f>ARQUITETURA!D107</f>
        <v>36.770000000000003</v>
      </c>
      <c r="C24" s="170" t="s">
        <v>203</v>
      </c>
      <c r="D24" s="178">
        <f>1.05*650+8.5*1.8+10*0.5+60</f>
        <v>762.8</v>
      </c>
      <c r="E24" s="127" t="s">
        <v>6</v>
      </c>
      <c r="F24" s="168" t="s">
        <v>170</v>
      </c>
      <c r="G24" s="125">
        <f>D24*B24*1</f>
        <v>28048.155999999999</v>
      </c>
      <c r="H24" s="131"/>
      <c r="I24" s="114">
        <f>1.05*650+8.5*1.8+10*0.5</f>
        <v>702.8</v>
      </c>
      <c r="J24" s="114">
        <f>I24*$B24</f>
        <v>25841.956000000002</v>
      </c>
      <c r="K24" s="114">
        <v>60</v>
      </c>
      <c r="L24" s="114">
        <f t="shared" si="0"/>
        <v>2206.2000000000003</v>
      </c>
      <c r="M24" s="115" t="s">
        <v>724</v>
      </c>
    </row>
    <row r="25" spans="1:13" ht="15.95" customHeight="1" x14ac:dyDescent="0.25">
      <c r="A25" s="182" t="s">
        <v>202</v>
      </c>
      <c r="B25" s="180">
        <v>1</v>
      </c>
      <c r="C25" s="170" t="s">
        <v>27</v>
      </c>
      <c r="D25" s="178">
        <v>30</v>
      </c>
      <c r="E25" s="127" t="s">
        <v>6</v>
      </c>
      <c r="F25" s="168" t="s">
        <v>170</v>
      </c>
      <c r="G25" s="125">
        <f>D25*DADOS_INICIAIS!$E$9*1.1*0</f>
        <v>0</v>
      </c>
      <c r="H25" s="131"/>
      <c r="I25" s="114"/>
      <c r="J25" s="114">
        <f t="shared" si="1"/>
        <v>0</v>
      </c>
      <c r="K25" s="114"/>
      <c r="L25" s="114">
        <f t="shared" si="0"/>
        <v>0</v>
      </c>
    </row>
    <row r="26" spans="1:13" ht="15.95" customHeight="1" x14ac:dyDescent="0.25">
      <c r="A26" s="181" t="s">
        <v>201</v>
      </c>
      <c r="B26" s="180">
        <v>1</v>
      </c>
      <c r="C26" s="170" t="s">
        <v>27</v>
      </c>
      <c r="D26" s="178">
        <v>20</v>
      </c>
      <c r="E26" s="127" t="s">
        <v>6</v>
      </c>
      <c r="F26" s="168" t="s">
        <v>170</v>
      </c>
      <c r="G26" s="125">
        <f>D26*DADOS_INICIAIS!$E$9*1.1*0</f>
        <v>0</v>
      </c>
      <c r="H26" s="131"/>
      <c r="I26" s="114"/>
      <c r="J26" s="114">
        <f t="shared" si="1"/>
        <v>0</v>
      </c>
      <c r="K26" s="114"/>
      <c r="L26" s="114">
        <f t="shared" si="0"/>
        <v>0</v>
      </c>
    </row>
    <row r="27" spans="1:13" ht="15.95" customHeight="1" x14ac:dyDescent="0.25">
      <c r="A27" s="179" t="s">
        <v>200</v>
      </c>
      <c r="B27" s="171">
        <f>SUM(B35:B50)</f>
        <v>1579.4261999999999</v>
      </c>
      <c r="C27" s="170" t="s">
        <v>542</v>
      </c>
      <c r="D27" s="178">
        <f>65*1.1+1.75*8.5+8*0.5+60</f>
        <v>150.375</v>
      </c>
      <c r="E27" s="127" t="s">
        <v>6</v>
      </c>
      <c r="F27" s="168" t="s">
        <v>170</v>
      </c>
      <c r="G27" s="125">
        <f>D27*B27*1</f>
        <v>237506.21482499997</v>
      </c>
      <c r="H27" s="123"/>
      <c r="I27" s="114">
        <f>65*1.1+1.75*8.5+8*0.5</f>
        <v>90.375</v>
      </c>
      <c r="J27" s="114">
        <f>I27*$B27</f>
        <v>142740.64282499999</v>
      </c>
      <c r="K27" s="114">
        <v>60</v>
      </c>
      <c r="L27" s="114">
        <f t="shared" si="0"/>
        <v>94765.571999999986</v>
      </c>
      <c r="M27" s="115" t="s">
        <v>724</v>
      </c>
    </row>
    <row r="28" spans="1:13" ht="15.95" customHeight="1" x14ac:dyDescent="0.25">
      <c r="A28" s="351">
        <f>20*40</f>
        <v>800</v>
      </c>
      <c r="B28" s="340"/>
      <c r="C28" s="340"/>
      <c r="D28" s="340"/>
      <c r="E28" s="340"/>
      <c r="F28" s="340"/>
      <c r="G28" s="177">
        <f>SUM(G15:G27)</f>
        <v>1225174.4587399999</v>
      </c>
      <c r="H28" s="121"/>
      <c r="I28" s="114"/>
      <c r="J28" s="114"/>
      <c r="K28" s="114"/>
      <c r="L28" s="114"/>
    </row>
    <row r="29" spans="1:13" ht="15.95" customHeight="1" x14ac:dyDescent="0.25">
      <c r="A29" s="349"/>
      <c r="B29" s="350"/>
      <c r="C29" s="350"/>
      <c r="D29" s="350"/>
      <c r="E29" s="350"/>
      <c r="F29" s="350"/>
      <c r="G29" s="167"/>
      <c r="H29" s="118"/>
    </row>
    <row r="30" spans="1:13" ht="15.95" customHeight="1" x14ac:dyDescent="0.25">
      <c r="A30" s="120"/>
      <c r="B30" s="119"/>
      <c r="C30" s="119"/>
      <c r="D30" s="119"/>
      <c r="E30" s="119"/>
      <c r="F30" s="119"/>
      <c r="G30" s="167"/>
      <c r="H30" s="118"/>
    </row>
    <row r="31" spans="1:13" x14ac:dyDescent="0.25">
      <c r="A31" s="340" t="s">
        <v>199</v>
      </c>
      <c r="B31" s="340"/>
      <c r="C31" s="340"/>
      <c r="D31" s="340"/>
      <c r="E31" s="340"/>
      <c r="F31" s="340"/>
      <c r="G31" s="117">
        <f>G28</f>
        <v>1225174.4587399999</v>
      </c>
      <c r="H31" s="116">
        <f>G31/DADOS_INICIAIS!E9</f>
        <v>229.09621021118724</v>
      </c>
    </row>
    <row r="33" spans="1:8" ht="15" x14ac:dyDescent="0.25">
      <c r="B33"/>
      <c r="C33"/>
      <c r="D33"/>
      <c r="E33"/>
      <c r="F33"/>
      <c r="G33"/>
      <c r="H33" s="176">
        <f>H31/1.1</f>
        <v>208.2692820101702</v>
      </c>
    </row>
    <row r="34" spans="1:8" ht="15" x14ac:dyDescent="0.25">
      <c r="A34" s="258" t="s">
        <v>526</v>
      </c>
      <c r="B34" s="258" t="s">
        <v>543</v>
      </c>
      <c r="C34" s="258" t="s">
        <v>719</v>
      </c>
      <c r="D34" s="176"/>
      <c r="E34"/>
      <c r="F34"/>
      <c r="G34"/>
      <c r="H34"/>
    </row>
    <row r="35" spans="1:8" ht="15" x14ac:dyDescent="0.25">
      <c r="A35" s="258" t="s">
        <v>404</v>
      </c>
      <c r="B35" s="258">
        <f>(3.75*2+4.54*2+3*2+3.75*2)*3.09</f>
        <v>92.947199999999995</v>
      </c>
      <c r="C35" s="258"/>
      <c r="D35"/>
      <c r="E35"/>
      <c r="F35"/>
      <c r="G35"/>
      <c r="H35"/>
    </row>
    <row r="36" spans="1:8" ht="15" x14ac:dyDescent="0.25">
      <c r="A36" s="258" t="s">
        <v>405</v>
      </c>
      <c r="B36" s="258">
        <f>(9.85*3+1.6*6)*3.2+(2.2+1.75)*2*2.29</f>
        <v>143.37100000000001</v>
      </c>
      <c r="C36" s="258"/>
      <c r="D36"/>
      <c r="E36"/>
      <c r="F36"/>
      <c r="G36"/>
      <c r="H36"/>
    </row>
    <row r="37" spans="1:8" ht="15" x14ac:dyDescent="0.25">
      <c r="A37" s="258" t="s">
        <v>406</v>
      </c>
      <c r="B37" s="258">
        <f>(6.3+1.45*4)*3.09</f>
        <v>37.388999999999996</v>
      </c>
      <c r="C37" s="258"/>
      <c r="D37"/>
      <c r="E37"/>
      <c r="F37"/>
      <c r="G37"/>
      <c r="H37"/>
    </row>
    <row r="38" spans="1:8" ht="15" x14ac:dyDescent="0.25">
      <c r="A38" s="258" t="s">
        <v>407</v>
      </c>
      <c r="B38" s="258">
        <f t="shared" ref="B38:B44" si="3">(1.45+0.9)*2*3.24*10+(2.04+2.69)*2*3.24</f>
        <v>182.93040000000002</v>
      </c>
      <c r="C38" s="258">
        <f>336.397-((1.45+0.9)*2*10+(2.04+2.69)*2)</f>
        <v>279.93700000000001</v>
      </c>
      <c r="D38" s="295"/>
      <c r="E38"/>
      <c r="F38"/>
      <c r="G38"/>
      <c r="H38"/>
    </row>
    <row r="39" spans="1:8" ht="15" x14ac:dyDescent="0.25">
      <c r="A39" s="258" t="s">
        <v>408</v>
      </c>
      <c r="B39" s="258">
        <f t="shared" si="3"/>
        <v>182.93040000000002</v>
      </c>
      <c r="C39" s="258">
        <f t="shared" ref="C39:C44" si="4">336.397-((1.45+0.9)*2*10+(2.04+2.69)*2)</f>
        <v>279.93700000000001</v>
      </c>
      <c r="D39" s="295"/>
      <c r="E39"/>
      <c r="F39"/>
      <c r="G39"/>
      <c r="H39"/>
    </row>
    <row r="40" spans="1:8" ht="15" x14ac:dyDescent="0.25">
      <c r="A40" s="258" t="s">
        <v>409</v>
      </c>
      <c r="B40" s="258">
        <f t="shared" si="3"/>
        <v>182.93040000000002</v>
      </c>
      <c r="C40" s="258">
        <f t="shared" si="4"/>
        <v>279.93700000000001</v>
      </c>
      <c r="D40" s="295"/>
      <c r="E40"/>
      <c r="F40"/>
      <c r="G40"/>
      <c r="H40"/>
    </row>
    <row r="41" spans="1:8" ht="15" x14ac:dyDescent="0.25">
      <c r="A41" s="258" t="s">
        <v>410</v>
      </c>
      <c r="B41" s="258">
        <f t="shared" si="3"/>
        <v>182.93040000000002</v>
      </c>
      <c r="C41" s="258">
        <f t="shared" si="4"/>
        <v>279.93700000000001</v>
      </c>
      <c r="D41" s="295"/>
      <c r="E41"/>
      <c r="F41"/>
      <c r="G41"/>
      <c r="H41"/>
    </row>
    <row r="42" spans="1:8" ht="15" x14ac:dyDescent="0.25">
      <c r="A42" s="258" t="s">
        <v>411</v>
      </c>
      <c r="B42" s="258">
        <f t="shared" si="3"/>
        <v>182.93040000000002</v>
      </c>
      <c r="C42" s="258">
        <f t="shared" si="4"/>
        <v>279.93700000000001</v>
      </c>
      <c r="D42" s="295"/>
      <c r="E42"/>
      <c r="F42"/>
      <c r="G42"/>
      <c r="H42"/>
    </row>
    <row r="43" spans="1:8" ht="15" x14ac:dyDescent="0.25">
      <c r="A43" s="258" t="s">
        <v>412</v>
      </c>
      <c r="B43" s="258">
        <f t="shared" si="3"/>
        <v>182.93040000000002</v>
      </c>
      <c r="C43" s="258">
        <f t="shared" si="4"/>
        <v>279.93700000000001</v>
      </c>
      <c r="D43" s="295"/>
      <c r="E43" s="295"/>
      <c r="F43" s="295"/>
      <c r="G43" s="295"/>
      <c r="H43" s="295"/>
    </row>
    <row r="44" spans="1:8" ht="15" x14ac:dyDescent="0.25">
      <c r="A44" s="258" t="s">
        <v>550</v>
      </c>
      <c r="B44" s="258">
        <f t="shared" si="3"/>
        <v>182.93040000000002</v>
      </c>
      <c r="C44" s="258">
        <f t="shared" si="4"/>
        <v>279.93700000000001</v>
      </c>
      <c r="D44" s="295"/>
      <c r="E44"/>
      <c r="F44"/>
      <c r="G44"/>
      <c r="H44"/>
    </row>
    <row r="45" spans="1:8" ht="15" x14ac:dyDescent="0.25">
      <c r="A45" s="258" t="s">
        <v>413</v>
      </c>
      <c r="B45" s="258">
        <f>(3.03+1.4*2)*3.14+6.9</f>
        <v>25.206200000000003</v>
      </c>
      <c r="C45" s="258"/>
      <c r="D45"/>
      <c r="E45"/>
      <c r="F45"/>
      <c r="G45"/>
      <c r="H45"/>
    </row>
    <row r="46" spans="1:8" ht="15" x14ac:dyDescent="0.25">
      <c r="A46" s="258" t="s">
        <v>414</v>
      </c>
      <c r="B46" s="258"/>
      <c r="C46" s="258"/>
      <c r="D46"/>
      <c r="E46"/>
      <c r="F46"/>
      <c r="G46"/>
      <c r="H46"/>
    </row>
    <row r="47" spans="1:8" ht="15" x14ac:dyDescent="0.25">
      <c r="A47" s="258" t="s">
        <v>415</v>
      </c>
      <c r="B47" s="258"/>
      <c r="C47" s="258"/>
      <c r="D47"/>
      <c r="E47"/>
      <c r="F47"/>
      <c r="G47"/>
      <c r="H47"/>
    </row>
    <row r="48" spans="1:8" ht="15" x14ac:dyDescent="0.25">
      <c r="A48" s="258" t="s">
        <v>416</v>
      </c>
      <c r="B48" s="258"/>
      <c r="C48" s="258"/>
      <c r="D48"/>
      <c r="E48"/>
      <c r="F48"/>
      <c r="G48"/>
      <c r="H48"/>
    </row>
    <row r="49" spans="1:8" ht="15" x14ac:dyDescent="0.25">
      <c r="A49" s="258"/>
      <c r="B49" s="258"/>
      <c r="C49" s="258"/>
      <c r="D49"/>
      <c r="E49"/>
      <c r="F49"/>
      <c r="G49"/>
      <c r="H49"/>
    </row>
    <row r="50" spans="1:8" ht="15" x14ac:dyDescent="0.25">
      <c r="A50" s="258"/>
      <c r="B50" s="258"/>
      <c r="C50" s="258"/>
      <c r="D50"/>
      <c r="E50"/>
      <c r="F50"/>
      <c r="G50"/>
      <c r="H50"/>
    </row>
    <row r="51" spans="1:8" ht="15" x14ac:dyDescent="0.25">
      <c r="B51"/>
      <c r="C51"/>
      <c r="D51"/>
      <c r="E51"/>
      <c r="F51"/>
      <c r="G51"/>
      <c r="H51"/>
    </row>
    <row r="52" spans="1:8" ht="15" x14ac:dyDescent="0.25">
      <c r="C52"/>
      <c r="D52"/>
      <c r="E52"/>
      <c r="F52"/>
      <c r="G52"/>
      <c r="H52"/>
    </row>
    <row r="53" spans="1:8" ht="15" x14ac:dyDescent="0.25">
      <c r="C53"/>
      <c r="D53"/>
      <c r="E53"/>
      <c r="F53"/>
      <c r="G53"/>
      <c r="H53"/>
    </row>
    <row r="54" spans="1:8" ht="15" x14ac:dyDescent="0.25">
      <c r="C54"/>
      <c r="D54"/>
      <c r="E54"/>
      <c r="F54"/>
      <c r="G54"/>
      <c r="H54"/>
    </row>
    <row r="55" spans="1:8" ht="15" x14ac:dyDescent="0.25">
      <c r="C55"/>
      <c r="D55"/>
      <c r="E55"/>
      <c r="F55"/>
      <c r="G55"/>
      <c r="H55"/>
    </row>
    <row r="56" spans="1:8" ht="15" x14ac:dyDescent="0.25">
      <c r="C56"/>
      <c r="D56"/>
      <c r="E56"/>
      <c r="F56"/>
      <c r="G56"/>
      <c r="H56"/>
    </row>
    <row r="57" spans="1:8" ht="15" x14ac:dyDescent="0.25">
      <c r="B57"/>
      <c r="C57"/>
      <c r="D57"/>
      <c r="E57"/>
      <c r="F57"/>
      <c r="G57"/>
      <c r="H57"/>
    </row>
    <row r="58" spans="1:8" ht="15" x14ac:dyDescent="0.25">
      <c r="C58"/>
      <c r="D58"/>
      <c r="E58"/>
      <c r="F58"/>
      <c r="G58"/>
      <c r="H58"/>
    </row>
    <row r="59" spans="1:8" ht="15" x14ac:dyDescent="0.25">
      <c r="C59"/>
      <c r="D59"/>
      <c r="E59"/>
      <c r="F59"/>
      <c r="G59"/>
      <c r="H59"/>
    </row>
    <row r="60" spans="1:8" ht="15" x14ac:dyDescent="0.25">
      <c r="C60"/>
      <c r="D60"/>
      <c r="E60"/>
      <c r="F60"/>
      <c r="G60"/>
      <c r="H60"/>
    </row>
    <row r="61" spans="1:8" ht="15" x14ac:dyDescent="0.25">
      <c r="C61"/>
      <c r="D61"/>
      <c r="E61"/>
      <c r="F61"/>
      <c r="G61"/>
      <c r="H61"/>
    </row>
    <row r="62" spans="1:8" ht="15" x14ac:dyDescent="0.25">
      <c r="B62"/>
      <c r="C62"/>
      <c r="D62"/>
      <c r="E62"/>
      <c r="F62"/>
      <c r="G62"/>
      <c r="H62"/>
    </row>
    <row r="63" spans="1:8" ht="15" x14ac:dyDescent="0.25">
      <c r="C63"/>
      <c r="D63"/>
      <c r="E63"/>
      <c r="F63"/>
      <c r="G63"/>
      <c r="H63"/>
    </row>
    <row r="64" spans="1:8" ht="15" x14ac:dyDescent="0.25">
      <c r="B64"/>
      <c r="C64"/>
      <c r="D64"/>
      <c r="E64"/>
      <c r="F64"/>
      <c r="G64"/>
      <c r="H64"/>
    </row>
    <row r="65" spans="2:8" ht="15" x14ac:dyDescent="0.25">
      <c r="C65"/>
      <c r="D65"/>
      <c r="E65"/>
      <c r="F65"/>
      <c r="G65"/>
      <c r="H65"/>
    </row>
    <row r="66" spans="2:8" ht="15" x14ac:dyDescent="0.25">
      <c r="C66"/>
      <c r="D66"/>
      <c r="E66"/>
      <c r="F66"/>
      <c r="G66"/>
      <c r="H66"/>
    </row>
    <row r="67" spans="2:8" ht="15" x14ac:dyDescent="0.25">
      <c r="C67"/>
      <c r="D67"/>
      <c r="E67"/>
      <c r="F67"/>
      <c r="G67"/>
      <c r="H67"/>
    </row>
    <row r="68" spans="2:8" ht="15" x14ac:dyDescent="0.25">
      <c r="C68"/>
      <c r="D68"/>
      <c r="E68"/>
      <c r="F68"/>
      <c r="G68"/>
      <c r="H68"/>
    </row>
    <row r="69" spans="2:8" ht="15" x14ac:dyDescent="0.25">
      <c r="B69"/>
      <c r="C69"/>
      <c r="D69"/>
      <c r="E69"/>
      <c r="F69"/>
      <c r="G69"/>
      <c r="H69"/>
    </row>
    <row r="70" spans="2:8" ht="15" x14ac:dyDescent="0.25">
      <c r="C70"/>
      <c r="D70"/>
      <c r="E70"/>
      <c r="F70"/>
      <c r="G70"/>
      <c r="H70"/>
    </row>
    <row r="71" spans="2:8" ht="15" x14ac:dyDescent="0.25">
      <c r="C71"/>
      <c r="D71"/>
      <c r="E71"/>
      <c r="F71"/>
      <c r="G71"/>
      <c r="H71"/>
    </row>
    <row r="72" spans="2:8" ht="15" x14ac:dyDescent="0.25">
      <c r="C72"/>
      <c r="D72"/>
      <c r="E72"/>
      <c r="F72"/>
      <c r="G72"/>
      <c r="H72"/>
    </row>
    <row r="73" spans="2:8" ht="15" x14ac:dyDescent="0.25">
      <c r="C73"/>
      <c r="D73"/>
      <c r="E73"/>
      <c r="F73"/>
      <c r="G73"/>
      <c r="H73"/>
    </row>
    <row r="74" spans="2:8" ht="15" x14ac:dyDescent="0.25">
      <c r="B74"/>
      <c r="C74"/>
      <c r="D74"/>
      <c r="E74"/>
      <c r="F74"/>
      <c r="G74"/>
      <c r="H74"/>
    </row>
    <row r="75" spans="2:8" ht="15" x14ac:dyDescent="0.25">
      <c r="C75"/>
      <c r="D75"/>
      <c r="E75"/>
      <c r="F75"/>
      <c r="G75"/>
      <c r="H75"/>
    </row>
    <row r="76" spans="2:8" ht="15" x14ac:dyDescent="0.25">
      <c r="C76"/>
      <c r="D76"/>
      <c r="E76"/>
      <c r="F76"/>
      <c r="G76"/>
      <c r="H76"/>
    </row>
    <row r="77" spans="2:8" ht="15" x14ac:dyDescent="0.25">
      <c r="C77"/>
      <c r="D77"/>
      <c r="E77"/>
      <c r="F77"/>
      <c r="G77"/>
      <c r="H77"/>
    </row>
    <row r="78" spans="2:8" ht="15" x14ac:dyDescent="0.25">
      <c r="C78"/>
      <c r="D78"/>
      <c r="E78"/>
      <c r="F78"/>
      <c r="G78"/>
      <c r="H78"/>
    </row>
    <row r="79" spans="2:8" ht="15" x14ac:dyDescent="0.25">
      <c r="C79"/>
      <c r="D79"/>
      <c r="E79"/>
      <c r="F79"/>
      <c r="G79"/>
      <c r="H79"/>
    </row>
  </sheetData>
  <mergeCells count="6">
    <mergeCell ref="A31:F31"/>
    <mergeCell ref="A29:F29"/>
    <mergeCell ref="A28:F28"/>
    <mergeCell ref="A2:A4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737-6C6E-4935-8874-7DD67B74A44A}">
  <sheetPr>
    <tabColor rgb="FF92D050"/>
  </sheetPr>
  <dimension ref="A1:M22"/>
  <sheetViews>
    <sheetView showGridLines="0" topLeftCell="C4" zoomScale="80" zoomScaleNormal="80" zoomScaleSheetLayoutView="95" workbookViewId="0">
      <selection activeCell="J12" sqref="J12:J14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2.7109375" style="82" customWidth="1"/>
    <col min="6" max="6" width="17.42578125" style="55" bestFit="1" customWidth="1"/>
    <col min="7" max="7" width="19.28515625" style="55" bestFit="1" customWidth="1"/>
    <col min="8" max="8" width="58.28515625" style="55" customWidth="1"/>
    <col min="9" max="9" width="11.28515625" style="55" customWidth="1"/>
    <col min="10" max="10" width="14" style="55" customWidth="1"/>
    <col min="11" max="11" width="9.140625" style="55"/>
    <col min="12" max="12" width="13.5703125" style="55" customWidth="1"/>
    <col min="13" max="13" width="11" style="55" bestFit="1" customWidth="1"/>
    <col min="14" max="14" width="11.28515625" style="55" bestFit="1" customWidth="1"/>
    <col min="15" max="15" width="9.140625" style="55"/>
    <col min="16" max="17" width="11" style="55" bestFit="1" customWidth="1"/>
    <col min="18" max="16384" width="9.140625" style="55"/>
  </cols>
  <sheetData>
    <row r="1" spans="1:13" x14ac:dyDescent="0.25">
      <c r="D1" s="79"/>
      <c r="E1" s="55"/>
      <c r="H1" s="80"/>
      <c r="I1" s="80"/>
      <c r="J1" s="80"/>
      <c r="K1" s="79"/>
      <c r="L1" s="79"/>
    </row>
    <row r="3" spans="1:13" ht="28.5" x14ac:dyDescent="0.25">
      <c r="A3" s="326" t="s">
        <v>317</v>
      </c>
      <c r="B3" s="334"/>
      <c r="C3" s="334"/>
      <c r="D3" s="327"/>
      <c r="E3" s="327"/>
      <c r="F3" s="327"/>
      <c r="G3" s="327"/>
      <c r="H3" s="328"/>
      <c r="K3" s="79"/>
      <c r="L3" s="79"/>
    </row>
    <row r="4" spans="1:13" ht="19.5" x14ac:dyDescent="0.25">
      <c r="A4" s="186" t="s">
        <v>186</v>
      </c>
      <c r="B4" s="192">
        <v>45457</v>
      </c>
      <c r="C4" s="190"/>
      <c r="D4" s="190"/>
      <c r="E4" s="190"/>
      <c r="F4" s="190"/>
      <c r="G4" s="190"/>
      <c r="H4" s="191"/>
      <c r="K4" s="79"/>
      <c r="L4" s="79"/>
    </row>
    <row r="5" spans="1:13" ht="19.5" x14ac:dyDescent="0.25">
      <c r="A5" s="186" t="s">
        <v>294</v>
      </c>
      <c r="B5" s="193" t="s">
        <v>211</v>
      </c>
      <c r="C5" s="188"/>
      <c r="D5" s="188"/>
      <c r="E5" s="188"/>
      <c r="F5" s="188"/>
      <c r="G5" s="188"/>
      <c r="H5" s="189"/>
      <c r="K5" s="79"/>
      <c r="L5" s="79"/>
    </row>
    <row r="6" spans="1:13" ht="21.75" x14ac:dyDescent="0.25">
      <c r="A6" s="83"/>
      <c r="B6" s="83"/>
      <c r="C6" s="83"/>
      <c r="D6" s="83"/>
      <c r="E6" s="83"/>
      <c r="F6" s="84"/>
      <c r="G6" s="85"/>
      <c r="H6" s="85"/>
      <c r="K6" s="79"/>
      <c r="L6" s="79"/>
    </row>
    <row r="7" spans="1:13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3" ht="21.75" x14ac:dyDescent="0.25">
      <c r="A8" s="56"/>
      <c r="B8" s="56"/>
      <c r="C8" s="56"/>
      <c r="D8" s="57"/>
      <c r="E8" s="57"/>
      <c r="F8" s="58"/>
      <c r="G8" s="59"/>
      <c r="H8" s="59"/>
    </row>
    <row r="9" spans="1:13" ht="42" customHeight="1" x14ac:dyDescent="0.25">
      <c r="A9" s="63" t="s">
        <v>14</v>
      </c>
      <c r="B9" s="330" t="s">
        <v>5</v>
      </c>
      <c r="C9" s="331"/>
      <c r="D9" s="330" t="s">
        <v>18</v>
      </c>
      <c r="E9" s="331"/>
      <c r="F9" s="65" t="s">
        <v>118</v>
      </c>
      <c r="G9" s="71" t="s">
        <v>16</v>
      </c>
      <c r="H9" s="90" t="s">
        <v>297</v>
      </c>
      <c r="I9" s="310" t="s">
        <v>721</v>
      </c>
      <c r="J9" s="310" t="s">
        <v>726</v>
      </c>
      <c r="K9" s="112" t="s">
        <v>722</v>
      </c>
      <c r="L9" s="112" t="s">
        <v>727</v>
      </c>
    </row>
    <row r="10" spans="1:13" ht="21.75" x14ac:dyDescent="0.25">
      <c r="A10" s="66" t="s">
        <v>209</v>
      </c>
      <c r="B10" s="62">
        <v>110</v>
      </c>
      <c r="C10" s="62" t="s">
        <v>171</v>
      </c>
      <c r="D10" s="67">
        <f>'Rev. Internos Piso e Parede'!B15</f>
        <v>0</v>
      </c>
      <c r="E10" s="67" t="s">
        <v>2</v>
      </c>
      <c r="F10" s="88">
        <v>110</v>
      </c>
      <c r="G10" s="89">
        <f>F10*D10*1.1</f>
        <v>0</v>
      </c>
      <c r="H10" s="67"/>
    </row>
    <row r="11" spans="1:13" ht="21.75" x14ac:dyDescent="0.25">
      <c r="A11" s="78" t="s">
        <v>208</v>
      </c>
      <c r="B11" s="62">
        <v>65</v>
      </c>
      <c r="C11" s="62" t="s">
        <v>171</v>
      </c>
      <c r="D11" s="67">
        <f>'Rev. Internos Piso e Parede'!B16</f>
        <v>0</v>
      </c>
      <c r="E11" s="67" t="s">
        <v>2</v>
      </c>
      <c r="F11" s="88">
        <v>65</v>
      </c>
      <c r="G11" s="89">
        <f>F11*D11*1.1</f>
        <v>0</v>
      </c>
      <c r="H11" s="67"/>
    </row>
    <row r="12" spans="1:13" ht="21.75" x14ac:dyDescent="0.25">
      <c r="A12" s="78" t="s">
        <v>207</v>
      </c>
      <c r="B12" s="62">
        <v>26</v>
      </c>
      <c r="C12" s="62" t="s">
        <v>6</v>
      </c>
      <c r="D12" s="67">
        <f>ALVENARIA!D14*2</f>
        <v>435.84000000000003</v>
      </c>
      <c r="E12" s="67" t="s">
        <v>2</v>
      </c>
      <c r="F12" s="88">
        <f>12+35</f>
        <v>47</v>
      </c>
      <c r="G12" s="89">
        <f>F12*D12*1</f>
        <v>20484.480000000003</v>
      </c>
      <c r="H12" s="67"/>
      <c r="I12" s="55">
        <v>12</v>
      </c>
      <c r="J12" s="293">
        <f>I12*$D12</f>
        <v>5230.08</v>
      </c>
      <c r="K12" s="55">
        <v>35</v>
      </c>
      <c r="L12" s="293">
        <f>K12*$D12</f>
        <v>15254.400000000001</v>
      </c>
      <c r="M12" s="55" t="s">
        <v>724</v>
      </c>
    </row>
    <row r="13" spans="1:13" ht="21.75" x14ac:dyDescent="0.25">
      <c r="A13" s="66" t="s">
        <v>544</v>
      </c>
      <c r="B13" s="62"/>
      <c r="C13" s="62"/>
      <c r="D13" s="67">
        <f>SUM(ALVENARIA!D16:D17)*2+ALVENARIA!D22*2-'Rev. Fachada'!B15-'Acabamentos de Piso e Parede'!B27-D12</f>
        <v>11583.553800000002</v>
      </c>
      <c r="E13" s="67" t="s">
        <v>2</v>
      </c>
      <c r="F13" s="88">
        <f>19+40</f>
        <v>59</v>
      </c>
      <c r="G13" s="89">
        <f t="shared" ref="G13:G14" si="0">F13*D13</f>
        <v>683429.67420000012</v>
      </c>
      <c r="H13" s="67"/>
      <c r="I13" s="55">
        <v>19</v>
      </c>
      <c r="J13" s="293">
        <f>I13*$D13</f>
        <v>220087.52220000004</v>
      </c>
      <c r="K13" s="55">
        <v>40</v>
      </c>
      <c r="L13" s="293">
        <f>K13*$D13</f>
        <v>463342.15200000006</v>
      </c>
      <c r="M13" s="55" t="s">
        <v>724</v>
      </c>
    </row>
    <row r="14" spans="1:13" ht="21.75" x14ac:dyDescent="0.25">
      <c r="A14" s="66" t="s">
        <v>545</v>
      </c>
      <c r="B14" s="62"/>
      <c r="C14" s="62"/>
      <c r="D14" s="67">
        <f>TETO!D10+TETO!D11</f>
        <v>960.97</v>
      </c>
      <c r="E14" s="67" t="s">
        <v>2</v>
      </c>
      <c r="F14" s="88">
        <f>F13</f>
        <v>59</v>
      </c>
      <c r="G14" s="89">
        <f t="shared" si="0"/>
        <v>56697.23</v>
      </c>
      <c r="H14" s="67"/>
      <c r="I14" s="55">
        <v>19</v>
      </c>
      <c r="J14" s="293">
        <f>I14*$D14</f>
        <v>18258.43</v>
      </c>
      <c r="K14" s="55">
        <v>40</v>
      </c>
      <c r="L14" s="293">
        <f>K14*$D14</f>
        <v>38438.800000000003</v>
      </c>
      <c r="M14" s="55" t="s">
        <v>724</v>
      </c>
    </row>
    <row r="15" spans="1:13" ht="21.75" x14ac:dyDescent="0.25">
      <c r="A15" s="325" t="s">
        <v>17</v>
      </c>
      <c r="B15" s="325"/>
      <c r="C15" s="325"/>
      <c r="D15" s="325"/>
      <c r="E15" s="325"/>
      <c r="F15" s="325"/>
      <c r="G15" s="90">
        <f>SUM(G10:G14)</f>
        <v>760611.38420000009</v>
      </c>
      <c r="H15" s="90"/>
    </row>
    <row r="17" spans="1:8" ht="21.75" x14ac:dyDescent="0.25">
      <c r="A17" s="335" t="s">
        <v>215</v>
      </c>
      <c r="B17" s="336"/>
      <c r="C17" s="336"/>
      <c r="D17" s="336"/>
      <c r="E17" s="336"/>
      <c r="F17" s="337"/>
      <c r="G17" s="91">
        <f>G15</f>
        <v>760611.38420000009</v>
      </c>
      <c r="H17" s="91">
        <f>G17/DADOS_INICIAIS!E9</f>
        <v>142.22724308414953</v>
      </c>
    </row>
    <row r="19" spans="1:8" x14ac:dyDescent="0.25">
      <c r="H19" s="195">
        <f>H17/1.1</f>
        <v>129.2974937128632</v>
      </c>
    </row>
    <row r="21" spans="1:8" x14ac:dyDescent="0.25">
      <c r="F21" s="292"/>
    </row>
    <row r="22" spans="1:8" x14ac:dyDescent="0.25">
      <c r="F22" s="293"/>
      <c r="G22" s="55">
        <f>4160+1440+1120+2880+4800+91680+4000</f>
        <v>110080</v>
      </c>
      <c r="H22" s="55">
        <f>G22/21</f>
        <v>5241.9047619047615</v>
      </c>
    </row>
  </sheetData>
  <mergeCells count="5">
    <mergeCell ref="A3:H3"/>
    <mergeCell ref="B9:C9"/>
    <mergeCell ref="D9:E9"/>
    <mergeCell ref="A15:F15"/>
    <mergeCell ref="A17:F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D64B-9E5C-44E1-888C-D3B2FCE882E5}">
  <sheetPr>
    <outlinePr summaryBelow="0"/>
    <pageSetUpPr fitToPage="1"/>
  </sheetPr>
  <dimension ref="A1:F117"/>
  <sheetViews>
    <sheetView showGridLines="0" zoomScale="85" zoomScaleNormal="85" zoomScalePageLayoutView="55" workbookViewId="0">
      <pane ySplit="11" topLeftCell="A102" activePane="bottomLeft" state="frozen"/>
      <selection activeCell="C1" sqref="C1"/>
      <selection pane="bottomLeft" activeCell="E48" sqref="E48"/>
    </sheetView>
  </sheetViews>
  <sheetFormatPr defaultColWidth="11.5703125" defaultRowHeight="12.75" outlineLevelRow="1" x14ac:dyDescent="0.2"/>
  <cols>
    <col min="1" max="1" width="12.28515625" style="272" customWidth="1"/>
    <col min="2" max="2" width="57" style="272" customWidth="1"/>
    <col min="3" max="3" width="8.140625" style="274" customWidth="1"/>
    <col min="4" max="4" width="11.7109375" style="275" customWidth="1"/>
    <col min="5" max="5" width="11.5703125" style="272"/>
    <col min="6" max="6" width="20.85546875" style="272" bestFit="1" customWidth="1"/>
    <col min="7" max="7" width="17.42578125" style="272" customWidth="1"/>
    <col min="8" max="16384" width="11.5703125" style="272"/>
  </cols>
  <sheetData>
    <row r="1" spans="1:4" ht="12.75" customHeight="1" x14ac:dyDescent="0.2">
      <c r="A1" s="352" t="s">
        <v>444</v>
      </c>
      <c r="B1" s="353"/>
      <c r="C1" s="353"/>
      <c r="D1" s="353"/>
    </row>
    <row r="2" spans="1:4" ht="12.75" customHeight="1" x14ac:dyDescent="0.25">
      <c r="A2" s="296" t="s">
        <v>445</v>
      </c>
      <c r="B2" s="297" t="s">
        <v>446</v>
      </c>
      <c r="C2" s="298"/>
      <c r="D2" s="273"/>
    </row>
    <row r="3" spans="1:4" ht="12.75" customHeight="1" x14ac:dyDescent="0.25">
      <c r="A3" s="296" t="s">
        <v>0</v>
      </c>
      <c r="B3" s="297" t="s">
        <v>447</v>
      </c>
      <c r="C3" s="299"/>
      <c r="D3" s="300"/>
    </row>
    <row r="4" spans="1:4" ht="12.75" customHeight="1" x14ac:dyDescent="0.25">
      <c r="A4" s="296" t="s">
        <v>187</v>
      </c>
      <c r="B4" s="297" t="s">
        <v>448</v>
      </c>
      <c r="C4" s="301"/>
      <c r="D4" s="302"/>
    </row>
    <row r="5" spans="1:4" ht="12.75" customHeight="1" x14ac:dyDescent="0.25">
      <c r="A5" s="296" t="s">
        <v>449</v>
      </c>
      <c r="B5" s="297" t="s">
        <v>450</v>
      </c>
      <c r="C5" s="301"/>
      <c r="D5" s="302"/>
    </row>
    <row r="6" spans="1:4" ht="12.75" customHeight="1" x14ac:dyDescent="0.25">
      <c r="A6" s="296" t="s">
        <v>451</v>
      </c>
      <c r="B6" s="297" t="s">
        <v>452</v>
      </c>
      <c r="C6" s="303"/>
      <c r="D6" s="304"/>
    </row>
    <row r="7" spans="1:4" ht="12.75" customHeight="1" x14ac:dyDescent="0.25">
      <c r="A7" s="296" t="s">
        <v>14</v>
      </c>
      <c r="B7" s="297" t="s">
        <v>453</v>
      </c>
      <c r="C7" s="305"/>
      <c r="D7" s="306"/>
    </row>
    <row r="8" spans="1:4" ht="12.75" customHeight="1" x14ac:dyDescent="0.2">
      <c r="A8" s="354"/>
      <c r="B8" s="355"/>
      <c r="C8" s="355"/>
      <c r="D8" s="356"/>
    </row>
    <row r="9" spans="1:4" ht="12.75" customHeight="1" x14ac:dyDescent="0.2">
      <c r="A9" s="357" t="s">
        <v>454</v>
      </c>
      <c r="B9" s="358"/>
      <c r="C9" s="358"/>
      <c r="D9" s="358"/>
    </row>
    <row r="10" spans="1:4" x14ac:dyDescent="0.2">
      <c r="A10" s="359" t="s">
        <v>455</v>
      </c>
      <c r="B10" s="359" t="s">
        <v>14</v>
      </c>
      <c r="C10" s="359" t="s">
        <v>456</v>
      </c>
      <c r="D10" s="359" t="s">
        <v>18</v>
      </c>
    </row>
    <row r="11" spans="1:4" ht="13.5" customHeight="1" x14ac:dyDescent="0.2">
      <c r="A11" s="359"/>
      <c r="B11" s="359"/>
      <c r="C11" s="359"/>
      <c r="D11" s="359"/>
    </row>
    <row r="12" spans="1:4" ht="30" customHeight="1" x14ac:dyDescent="0.2">
      <c r="A12" s="276" t="s">
        <v>457</v>
      </c>
      <c r="B12" s="277" t="s">
        <v>458</v>
      </c>
      <c r="C12" s="278"/>
      <c r="D12" s="279"/>
    </row>
    <row r="13" spans="1:4" ht="12.75" customHeight="1" outlineLevel="1" x14ac:dyDescent="0.2">
      <c r="A13" s="284" t="s">
        <v>620</v>
      </c>
      <c r="B13" s="285" t="s">
        <v>562</v>
      </c>
      <c r="C13" s="286" t="s">
        <v>2</v>
      </c>
      <c r="D13" s="287">
        <v>164.83</v>
      </c>
    </row>
    <row r="14" spans="1:4" ht="12.75" customHeight="1" outlineLevel="1" x14ac:dyDescent="0.2">
      <c r="A14" s="280" t="s">
        <v>621</v>
      </c>
      <c r="B14" s="281" t="s">
        <v>574</v>
      </c>
      <c r="C14" s="282" t="s">
        <v>2</v>
      </c>
      <c r="D14" s="283">
        <v>92.46</v>
      </c>
    </row>
    <row r="15" spans="1:4" ht="12.75" customHeight="1" outlineLevel="1" x14ac:dyDescent="0.2">
      <c r="A15" s="284" t="s">
        <v>622</v>
      </c>
      <c r="B15" s="285" t="s">
        <v>557</v>
      </c>
      <c r="C15" s="286" t="s">
        <v>2</v>
      </c>
      <c r="D15" s="308">
        <v>2.72</v>
      </c>
    </row>
    <row r="16" spans="1:4" ht="12.75" customHeight="1" outlineLevel="1" x14ac:dyDescent="0.2">
      <c r="A16" s="280" t="s">
        <v>623</v>
      </c>
      <c r="B16" s="281" t="s">
        <v>708</v>
      </c>
      <c r="C16" s="282" t="s">
        <v>2</v>
      </c>
      <c r="D16" s="308">
        <v>23.74</v>
      </c>
    </row>
    <row r="17" spans="1:6" ht="12.75" customHeight="1" outlineLevel="1" x14ac:dyDescent="0.2">
      <c r="A17" s="284" t="s">
        <v>624</v>
      </c>
      <c r="B17" s="285" t="s">
        <v>558</v>
      </c>
      <c r="C17" s="286" t="s">
        <v>2</v>
      </c>
      <c r="D17" s="308">
        <v>7.33</v>
      </c>
    </row>
    <row r="18" spans="1:6" ht="12.75" customHeight="1" outlineLevel="1" x14ac:dyDescent="0.2">
      <c r="A18" s="280" t="s">
        <v>625</v>
      </c>
      <c r="B18" s="281" t="s">
        <v>559</v>
      </c>
      <c r="C18" s="282" t="s">
        <v>2</v>
      </c>
      <c r="D18" s="308">
        <v>15.94</v>
      </c>
    </row>
    <row r="19" spans="1:6" ht="12.75" customHeight="1" outlineLevel="1" x14ac:dyDescent="0.2">
      <c r="A19" s="284" t="s">
        <v>626</v>
      </c>
      <c r="B19" s="285" t="s">
        <v>709</v>
      </c>
      <c r="C19" s="286" t="s">
        <v>2</v>
      </c>
      <c r="D19" s="308">
        <v>60.15</v>
      </c>
    </row>
    <row r="20" spans="1:6" ht="12.75" customHeight="1" outlineLevel="1" x14ac:dyDescent="0.2">
      <c r="A20" s="280" t="s">
        <v>627</v>
      </c>
      <c r="B20" s="281" t="s">
        <v>572</v>
      </c>
      <c r="C20" s="282" t="s">
        <v>2</v>
      </c>
      <c r="D20" s="308">
        <v>27.35</v>
      </c>
    </row>
    <row r="21" spans="1:6" ht="12.75" customHeight="1" outlineLevel="1" x14ac:dyDescent="0.2">
      <c r="A21" s="284" t="s">
        <v>628</v>
      </c>
      <c r="B21" s="285" t="s">
        <v>564</v>
      </c>
      <c r="C21" s="286" t="s">
        <v>2</v>
      </c>
      <c r="D21" s="308">
        <v>19.46</v>
      </c>
    </row>
    <row r="22" spans="1:6" ht="12.75" customHeight="1" outlineLevel="1" x14ac:dyDescent="0.2">
      <c r="A22" s="280" t="s">
        <v>629</v>
      </c>
      <c r="B22" s="281" t="s">
        <v>565</v>
      </c>
      <c r="C22" s="282" t="s">
        <v>2</v>
      </c>
      <c r="D22" s="308">
        <v>56.92</v>
      </c>
    </row>
    <row r="23" spans="1:6" ht="12.75" customHeight="1" outlineLevel="1" x14ac:dyDescent="0.2">
      <c r="A23" s="284" t="s">
        <v>630</v>
      </c>
      <c r="B23" s="285" t="s">
        <v>566</v>
      </c>
      <c r="C23" s="286" t="s">
        <v>2</v>
      </c>
      <c r="D23" s="308">
        <v>128.30000000000001</v>
      </c>
    </row>
    <row r="24" spans="1:6" ht="12.75" customHeight="1" outlineLevel="1" x14ac:dyDescent="0.2">
      <c r="A24" s="280" t="s">
        <v>631</v>
      </c>
      <c r="B24" s="281" t="s">
        <v>567</v>
      </c>
      <c r="C24" s="282" t="s">
        <v>2</v>
      </c>
      <c r="D24" s="308">
        <v>15.92</v>
      </c>
      <c r="F24" s="307"/>
    </row>
    <row r="25" spans="1:6" ht="12.75" customHeight="1" outlineLevel="1" x14ac:dyDescent="0.2">
      <c r="A25" s="284" t="s">
        <v>632</v>
      </c>
      <c r="B25" s="285" t="s">
        <v>568</v>
      </c>
      <c r="C25" s="286" t="s">
        <v>2</v>
      </c>
      <c r="D25" s="308">
        <v>502.38</v>
      </c>
    </row>
    <row r="26" spans="1:6" ht="12.75" customHeight="1" outlineLevel="1" x14ac:dyDescent="0.2">
      <c r="A26" s="280" t="s">
        <v>633</v>
      </c>
      <c r="B26" s="281" t="s">
        <v>459</v>
      </c>
      <c r="C26" s="282" t="s">
        <v>2</v>
      </c>
      <c r="D26" s="308">
        <v>391.15</v>
      </c>
    </row>
    <row r="27" spans="1:6" ht="12.75" customHeight="1" outlineLevel="1" x14ac:dyDescent="0.2">
      <c r="A27" s="284" t="s">
        <v>634</v>
      </c>
      <c r="B27" s="285" t="s">
        <v>560</v>
      </c>
      <c r="C27" s="286" t="s">
        <v>2</v>
      </c>
      <c r="D27" s="308">
        <v>654.97</v>
      </c>
    </row>
    <row r="28" spans="1:6" ht="12.75" customHeight="1" outlineLevel="1" x14ac:dyDescent="0.2">
      <c r="A28" s="280" t="s">
        <v>635</v>
      </c>
      <c r="B28" s="281" t="s">
        <v>569</v>
      </c>
      <c r="C28" s="282" t="s">
        <v>2</v>
      </c>
      <c r="D28" s="308">
        <v>130.59</v>
      </c>
    </row>
    <row r="29" spans="1:6" ht="12.75" customHeight="1" outlineLevel="1" x14ac:dyDescent="0.2">
      <c r="A29" s="284" t="s">
        <v>636</v>
      </c>
      <c r="B29" s="285" t="s">
        <v>465</v>
      </c>
      <c r="C29" s="286" t="s">
        <v>2</v>
      </c>
      <c r="D29" s="308">
        <v>469.31</v>
      </c>
      <c r="F29" s="307"/>
    </row>
    <row r="30" spans="1:6" ht="12.75" customHeight="1" outlineLevel="1" x14ac:dyDescent="0.2">
      <c r="A30" s="280" t="s">
        <v>637</v>
      </c>
      <c r="B30" s="281" t="s">
        <v>710</v>
      </c>
      <c r="C30" s="282" t="s">
        <v>2</v>
      </c>
      <c r="D30" s="308">
        <v>103.17</v>
      </c>
    </row>
    <row r="31" spans="1:6" ht="12.75" customHeight="1" outlineLevel="1" x14ac:dyDescent="0.2">
      <c r="A31" s="284" t="s">
        <v>638</v>
      </c>
      <c r="B31" s="285" t="s">
        <v>462</v>
      </c>
      <c r="C31" s="286" t="s">
        <v>2</v>
      </c>
      <c r="D31" s="308">
        <v>54.46</v>
      </c>
    </row>
    <row r="32" spans="1:6" ht="12.75" customHeight="1" outlineLevel="1" x14ac:dyDescent="0.2">
      <c r="A32" s="280" t="s">
        <v>639</v>
      </c>
      <c r="B32" s="281" t="s">
        <v>460</v>
      </c>
      <c r="C32" s="282" t="s">
        <v>2</v>
      </c>
      <c r="D32" s="308">
        <v>550.97</v>
      </c>
    </row>
    <row r="33" spans="1:5" ht="12.75" customHeight="1" outlineLevel="1" x14ac:dyDescent="0.2">
      <c r="A33" s="284" t="s">
        <v>640</v>
      </c>
      <c r="B33" s="285" t="s">
        <v>463</v>
      </c>
      <c r="C33" s="286" t="s">
        <v>2</v>
      </c>
      <c r="D33" s="308">
        <v>69.319999999999993</v>
      </c>
    </row>
    <row r="34" spans="1:5" ht="12.75" customHeight="1" outlineLevel="1" x14ac:dyDescent="0.2">
      <c r="A34" s="280" t="s">
        <v>641</v>
      </c>
      <c r="B34" s="281" t="s">
        <v>466</v>
      </c>
      <c r="C34" s="282" t="s">
        <v>2</v>
      </c>
      <c r="D34" s="308">
        <v>56.97</v>
      </c>
    </row>
    <row r="35" spans="1:5" ht="12.75" customHeight="1" outlineLevel="1" x14ac:dyDescent="0.2">
      <c r="A35" s="284" t="s">
        <v>642</v>
      </c>
      <c r="B35" s="285" t="s">
        <v>464</v>
      </c>
      <c r="C35" s="286" t="s">
        <v>2</v>
      </c>
      <c r="D35" s="308">
        <v>434.54</v>
      </c>
    </row>
    <row r="36" spans="1:5" ht="12.75" customHeight="1" outlineLevel="1" x14ac:dyDescent="0.2">
      <c r="A36" s="280" t="s">
        <v>643</v>
      </c>
      <c r="B36" s="281" t="s">
        <v>461</v>
      </c>
      <c r="C36" s="282" t="s">
        <v>2</v>
      </c>
      <c r="D36" s="308">
        <v>420.26</v>
      </c>
    </row>
    <row r="37" spans="1:5" ht="12.75" customHeight="1" outlineLevel="1" x14ac:dyDescent="0.2">
      <c r="A37" s="284" t="s">
        <v>644</v>
      </c>
      <c r="B37" s="285" t="s">
        <v>570</v>
      </c>
      <c r="C37" s="286" t="s">
        <v>2</v>
      </c>
      <c r="D37" s="308">
        <v>972.78</v>
      </c>
    </row>
    <row r="38" spans="1:5" ht="12.75" customHeight="1" outlineLevel="1" x14ac:dyDescent="0.2">
      <c r="A38" s="280" t="s">
        <v>645</v>
      </c>
      <c r="B38" s="281" t="s">
        <v>571</v>
      </c>
      <c r="C38" s="282" t="s">
        <v>2</v>
      </c>
      <c r="D38" s="308">
        <v>2628.07</v>
      </c>
    </row>
    <row r="39" spans="1:5" ht="12.75" customHeight="1" outlineLevel="1" x14ac:dyDescent="0.2">
      <c r="A39" s="284" t="s">
        <v>711</v>
      </c>
      <c r="B39" s="285" t="s">
        <v>563</v>
      </c>
      <c r="C39" s="286" t="s">
        <v>2</v>
      </c>
      <c r="D39" s="308">
        <v>142.34</v>
      </c>
    </row>
    <row r="40" spans="1:5" ht="12.75" customHeight="1" outlineLevel="1" x14ac:dyDescent="0.2">
      <c r="A40" s="280" t="s">
        <v>712</v>
      </c>
      <c r="B40" s="281" t="s">
        <v>573</v>
      </c>
      <c r="C40" s="282" t="s">
        <v>2</v>
      </c>
      <c r="D40" s="308">
        <v>2.44</v>
      </c>
    </row>
    <row r="41" spans="1:5" ht="12.75" customHeight="1" outlineLevel="1" x14ac:dyDescent="0.2">
      <c r="A41" s="284" t="s">
        <v>713</v>
      </c>
      <c r="B41" s="285" t="s">
        <v>467</v>
      </c>
      <c r="C41" s="286" t="s">
        <v>2</v>
      </c>
      <c r="D41" s="308">
        <v>162.56</v>
      </c>
    </row>
    <row r="42" spans="1:5" ht="12.75" customHeight="1" outlineLevel="1" x14ac:dyDescent="0.2">
      <c r="A42" s="280" t="s">
        <v>714</v>
      </c>
      <c r="B42" s="281" t="s">
        <v>561</v>
      </c>
      <c r="C42" s="282" t="s">
        <v>2</v>
      </c>
      <c r="D42" s="283">
        <v>74.13</v>
      </c>
    </row>
    <row r="43" spans="1:5" ht="12.75" customHeight="1" outlineLevel="1" x14ac:dyDescent="0.2">
      <c r="A43" s="276" t="s">
        <v>468</v>
      </c>
      <c r="B43" s="277" t="s">
        <v>469</v>
      </c>
      <c r="C43" s="278"/>
      <c r="D43" s="279"/>
    </row>
    <row r="44" spans="1:5" ht="12.75" customHeight="1" outlineLevel="1" x14ac:dyDescent="0.2">
      <c r="A44" s="284" t="s">
        <v>646</v>
      </c>
      <c r="B44" s="285" t="s">
        <v>470</v>
      </c>
      <c r="C44" s="286" t="s">
        <v>4</v>
      </c>
      <c r="D44" s="287">
        <v>1609.5</v>
      </c>
    </row>
    <row r="45" spans="1:5" ht="12.75" customHeight="1" outlineLevel="1" x14ac:dyDescent="0.2">
      <c r="A45" s="276" t="s">
        <v>471</v>
      </c>
      <c r="B45" s="277" t="s">
        <v>472</v>
      </c>
      <c r="C45" s="278"/>
      <c r="D45" s="279"/>
    </row>
    <row r="46" spans="1:5" ht="12.75" customHeight="1" outlineLevel="1" x14ac:dyDescent="0.2">
      <c r="A46" s="280" t="s">
        <v>647</v>
      </c>
      <c r="B46" s="281" t="s">
        <v>577</v>
      </c>
      <c r="C46" s="282" t="s">
        <v>2</v>
      </c>
      <c r="D46" s="308">
        <v>9.6</v>
      </c>
    </row>
    <row r="47" spans="1:5" ht="12.75" customHeight="1" outlineLevel="1" x14ac:dyDescent="0.2">
      <c r="A47" s="284" t="s">
        <v>648</v>
      </c>
      <c r="B47" s="285" t="s">
        <v>575</v>
      </c>
      <c r="C47" s="286" t="s">
        <v>2</v>
      </c>
      <c r="D47" s="308">
        <v>3.78</v>
      </c>
    </row>
    <row r="48" spans="1:5" ht="12.75" customHeight="1" outlineLevel="1" x14ac:dyDescent="0.2">
      <c r="A48" s="280" t="s">
        <v>649</v>
      </c>
      <c r="B48" s="281" t="s">
        <v>576</v>
      </c>
      <c r="C48" s="282" t="s">
        <v>2</v>
      </c>
      <c r="D48" s="308">
        <v>3.21</v>
      </c>
      <c r="E48" s="272">
        <f>(9.02+4.5+5.14*2)*1.1</f>
        <v>26.18</v>
      </c>
    </row>
    <row r="49" spans="1:5" ht="12.75" customHeight="1" outlineLevel="1" x14ac:dyDescent="0.2">
      <c r="A49" s="284" t="s">
        <v>650</v>
      </c>
      <c r="B49" s="285" t="s">
        <v>473</v>
      </c>
      <c r="C49" s="286" t="s">
        <v>4</v>
      </c>
      <c r="D49" s="287">
        <v>124.45</v>
      </c>
    </row>
    <row r="50" spans="1:5" ht="12.75" customHeight="1" outlineLevel="1" x14ac:dyDescent="0.2">
      <c r="A50" s="280" t="s">
        <v>651</v>
      </c>
      <c r="B50" s="281" t="s">
        <v>474</v>
      </c>
      <c r="C50" s="282" t="s">
        <v>2</v>
      </c>
      <c r="D50" s="283">
        <v>6.88</v>
      </c>
      <c r="E50" s="272">
        <f>2.25*1.1*8*2</f>
        <v>39.6</v>
      </c>
    </row>
    <row r="51" spans="1:5" ht="12.75" customHeight="1" outlineLevel="1" x14ac:dyDescent="0.2">
      <c r="A51" s="284" t="s">
        <v>652</v>
      </c>
      <c r="B51" s="285" t="s">
        <v>477</v>
      </c>
      <c r="C51" s="286" t="s">
        <v>2</v>
      </c>
      <c r="D51" s="287">
        <v>17.239999999999998</v>
      </c>
    </row>
    <row r="52" spans="1:5" ht="12.75" customHeight="1" outlineLevel="1" x14ac:dyDescent="0.2">
      <c r="A52" s="280" t="s">
        <v>653</v>
      </c>
      <c r="B52" s="281" t="s">
        <v>578</v>
      </c>
      <c r="C52" s="282" t="s">
        <v>2</v>
      </c>
      <c r="D52" s="283">
        <v>15.49</v>
      </c>
    </row>
    <row r="53" spans="1:5" ht="12.75" customHeight="1" outlineLevel="1" x14ac:dyDescent="0.2">
      <c r="A53" s="284" t="s">
        <v>654</v>
      </c>
      <c r="B53" s="285" t="s">
        <v>478</v>
      </c>
      <c r="C53" s="286" t="s">
        <v>2</v>
      </c>
      <c r="D53" s="287">
        <v>244.49</v>
      </c>
    </row>
    <row r="54" spans="1:5" ht="12.75" customHeight="1" outlineLevel="1" x14ac:dyDescent="0.2">
      <c r="A54" s="280" t="s">
        <v>655</v>
      </c>
      <c r="B54" s="281" t="s">
        <v>592</v>
      </c>
      <c r="C54" s="282" t="s">
        <v>2</v>
      </c>
      <c r="D54" s="283">
        <v>35.840000000000003</v>
      </c>
    </row>
    <row r="55" spans="1:5" ht="12.75" customHeight="1" outlineLevel="1" x14ac:dyDescent="0.2">
      <c r="A55" s="284" t="s">
        <v>656</v>
      </c>
      <c r="B55" s="285" t="s">
        <v>593</v>
      </c>
      <c r="C55" s="286" t="s">
        <v>2</v>
      </c>
      <c r="D55" s="308">
        <v>0.72</v>
      </c>
    </row>
    <row r="56" spans="1:5" ht="12.75" customHeight="1" outlineLevel="1" x14ac:dyDescent="0.2">
      <c r="A56" s="280" t="s">
        <v>657</v>
      </c>
      <c r="B56" s="281" t="s">
        <v>479</v>
      </c>
      <c r="C56" s="282" t="s">
        <v>2</v>
      </c>
      <c r="D56" s="308">
        <v>20.16</v>
      </c>
    </row>
    <row r="57" spans="1:5" ht="12.75" customHeight="1" outlineLevel="1" x14ac:dyDescent="0.2">
      <c r="A57" s="284" t="s">
        <v>658</v>
      </c>
      <c r="B57" s="285" t="s">
        <v>584</v>
      </c>
      <c r="C57" s="286" t="s">
        <v>2</v>
      </c>
      <c r="D57" s="308">
        <v>42</v>
      </c>
    </row>
    <row r="58" spans="1:5" ht="12.75" customHeight="1" outlineLevel="1" x14ac:dyDescent="0.2">
      <c r="A58" s="280" t="s">
        <v>659</v>
      </c>
      <c r="B58" s="281" t="s">
        <v>594</v>
      </c>
      <c r="C58" s="282" t="s">
        <v>2</v>
      </c>
      <c r="D58" s="308">
        <v>1.8</v>
      </c>
    </row>
    <row r="59" spans="1:5" ht="12.75" customHeight="1" outlineLevel="1" x14ac:dyDescent="0.2">
      <c r="A59" s="284" t="s">
        <v>660</v>
      </c>
      <c r="B59" s="285" t="s">
        <v>585</v>
      </c>
      <c r="C59" s="286" t="s">
        <v>2</v>
      </c>
      <c r="D59" s="308">
        <v>18.62</v>
      </c>
    </row>
    <row r="60" spans="1:5" ht="12.75" customHeight="1" outlineLevel="1" x14ac:dyDescent="0.2">
      <c r="A60" s="280" t="s">
        <v>661</v>
      </c>
      <c r="B60" s="281" t="s">
        <v>586</v>
      </c>
      <c r="C60" s="282" t="s">
        <v>2</v>
      </c>
      <c r="D60" s="308">
        <v>50.4</v>
      </c>
    </row>
    <row r="61" spans="1:5" ht="12.75" customHeight="1" outlineLevel="1" x14ac:dyDescent="0.2">
      <c r="A61" s="284" t="s">
        <v>662</v>
      </c>
      <c r="B61" s="285" t="s">
        <v>579</v>
      </c>
      <c r="C61" s="286" t="s">
        <v>2</v>
      </c>
      <c r="D61" s="308">
        <v>4.3</v>
      </c>
    </row>
    <row r="62" spans="1:5" ht="12.75" customHeight="1" outlineLevel="1" x14ac:dyDescent="0.2">
      <c r="A62" s="280" t="s">
        <v>663</v>
      </c>
      <c r="B62" s="281" t="s">
        <v>580</v>
      </c>
      <c r="C62" s="282" t="s">
        <v>2</v>
      </c>
      <c r="D62" s="308">
        <v>0.04</v>
      </c>
    </row>
    <row r="63" spans="1:5" ht="12.75" customHeight="1" outlineLevel="1" x14ac:dyDescent="0.2">
      <c r="A63" s="284" t="s">
        <v>664</v>
      </c>
      <c r="B63" s="285" t="s">
        <v>595</v>
      </c>
      <c r="C63" s="286" t="s">
        <v>2</v>
      </c>
      <c r="D63" s="308">
        <v>0.05</v>
      </c>
    </row>
    <row r="64" spans="1:5" ht="12.75" customHeight="1" outlineLevel="1" x14ac:dyDescent="0.2">
      <c r="A64" s="280" t="s">
        <v>665</v>
      </c>
      <c r="B64" s="281" t="s">
        <v>596</v>
      </c>
      <c r="C64" s="282" t="s">
        <v>2</v>
      </c>
      <c r="D64" s="308">
        <v>1.93</v>
      </c>
    </row>
    <row r="65" spans="1:4" ht="12.75" customHeight="1" outlineLevel="1" x14ac:dyDescent="0.2">
      <c r="A65" s="284" t="s">
        <v>666</v>
      </c>
      <c r="B65" s="285" t="s">
        <v>583</v>
      </c>
      <c r="C65" s="286" t="s">
        <v>2</v>
      </c>
      <c r="D65" s="308">
        <v>28.67</v>
      </c>
    </row>
    <row r="66" spans="1:4" ht="12.75" customHeight="1" outlineLevel="1" x14ac:dyDescent="0.2">
      <c r="A66" s="280" t="s">
        <v>667</v>
      </c>
      <c r="B66" s="281" t="s">
        <v>587</v>
      </c>
      <c r="C66" s="282" t="s">
        <v>2</v>
      </c>
      <c r="D66" s="308">
        <v>441.55</v>
      </c>
    </row>
    <row r="67" spans="1:4" ht="12.75" customHeight="1" outlineLevel="1" x14ac:dyDescent="0.2">
      <c r="A67" s="284" t="s">
        <v>668</v>
      </c>
      <c r="B67" s="285" t="s">
        <v>597</v>
      </c>
      <c r="C67" s="286" t="s">
        <v>2</v>
      </c>
      <c r="D67" s="308">
        <v>34.450000000000003</v>
      </c>
    </row>
    <row r="68" spans="1:4" ht="12.75" customHeight="1" outlineLevel="1" x14ac:dyDescent="0.2">
      <c r="A68" s="280" t="s">
        <v>669</v>
      </c>
      <c r="B68" s="281" t="s">
        <v>475</v>
      </c>
      <c r="C68" s="282" t="s">
        <v>2</v>
      </c>
      <c r="D68" s="308">
        <v>48.79</v>
      </c>
    </row>
    <row r="69" spans="1:4" ht="12.75" customHeight="1" outlineLevel="1" x14ac:dyDescent="0.2">
      <c r="A69" s="284" t="s">
        <v>670</v>
      </c>
      <c r="B69" s="285" t="s">
        <v>598</v>
      </c>
      <c r="C69" s="286" t="s">
        <v>2</v>
      </c>
      <c r="D69" s="308">
        <v>16.260000000000002</v>
      </c>
    </row>
    <row r="70" spans="1:4" ht="12.75" customHeight="1" outlineLevel="1" x14ac:dyDescent="0.2">
      <c r="A70" s="280" t="s">
        <v>671</v>
      </c>
      <c r="B70" s="281" t="s">
        <v>589</v>
      </c>
      <c r="C70" s="282" t="s">
        <v>2</v>
      </c>
      <c r="D70" s="308">
        <v>3.78</v>
      </c>
    </row>
    <row r="71" spans="1:4" ht="12.75" customHeight="1" outlineLevel="1" x14ac:dyDescent="0.2">
      <c r="A71" s="284" t="s">
        <v>672</v>
      </c>
      <c r="B71" s="285" t="s">
        <v>588</v>
      </c>
      <c r="C71" s="286" t="s">
        <v>2</v>
      </c>
      <c r="D71" s="308">
        <v>272.2</v>
      </c>
    </row>
    <row r="72" spans="1:4" ht="12.75" customHeight="1" outlineLevel="1" x14ac:dyDescent="0.2">
      <c r="A72" s="280" t="s">
        <v>673</v>
      </c>
      <c r="B72" s="281" t="s">
        <v>476</v>
      </c>
      <c r="C72" s="282" t="s">
        <v>2</v>
      </c>
      <c r="D72" s="308">
        <v>8.19</v>
      </c>
    </row>
    <row r="73" spans="1:4" ht="12.75" customHeight="1" outlineLevel="1" x14ac:dyDescent="0.2">
      <c r="A73" s="284" t="s">
        <v>674</v>
      </c>
      <c r="B73" s="285" t="s">
        <v>581</v>
      </c>
      <c r="C73" s="286" t="s">
        <v>2</v>
      </c>
      <c r="D73" s="308">
        <v>7.39</v>
      </c>
    </row>
    <row r="74" spans="1:4" ht="12.75" customHeight="1" outlineLevel="1" x14ac:dyDescent="0.2">
      <c r="A74" s="280" t="s">
        <v>675</v>
      </c>
      <c r="B74" s="281" t="s">
        <v>590</v>
      </c>
      <c r="C74" s="282" t="s">
        <v>2</v>
      </c>
      <c r="D74" s="308">
        <v>3</v>
      </c>
    </row>
    <row r="75" spans="1:4" ht="12.75" customHeight="1" outlineLevel="1" x14ac:dyDescent="0.2">
      <c r="A75" s="284" t="s">
        <v>676</v>
      </c>
      <c r="B75" s="285" t="s">
        <v>582</v>
      </c>
      <c r="C75" s="286" t="s">
        <v>2</v>
      </c>
      <c r="D75" s="308">
        <v>13.68</v>
      </c>
    </row>
    <row r="76" spans="1:4" ht="12.75" customHeight="1" outlineLevel="1" x14ac:dyDescent="0.2">
      <c r="A76" s="280" t="s">
        <v>677</v>
      </c>
      <c r="B76" s="281" t="s">
        <v>591</v>
      </c>
      <c r="C76" s="282" t="s">
        <v>2</v>
      </c>
      <c r="D76" s="308">
        <v>4.49</v>
      </c>
    </row>
    <row r="77" spans="1:4" ht="12.75" customHeight="1" outlineLevel="1" x14ac:dyDescent="0.2">
      <c r="A77" s="276" t="s">
        <v>480</v>
      </c>
      <c r="B77" s="277" t="s">
        <v>481</v>
      </c>
      <c r="C77" s="278"/>
      <c r="D77" s="279"/>
    </row>
    <row r="78" spans="1:4" ht="12.75" customHeight="1" outlineLevel="1" x14ac:dyDescent="0.2">
      <c r="A78" s="284" t="s">
        <v>678</v>
      </c>
      <c r="B78" s="285" t="s">
        <v>599</v>
      </c>
      <c r="C78" s="286" t="s">
        <v>2</v>
      </c>
      <c r="D78" s="287">
        <v>177.6</v>
      </c>
    </row>
    <row r="79" spans="1:4" ht="12.75" customHeight="1" outlineLevel="1" x14ac:dyDescent="0.2">
      <c r="A79" s="280" t="s">
        <v>679</v>
      </c>
      <c r="B79" s="281" t="s">
        <v>483</v>
      </c>
      <c r="C79" s="282" t="s">
        <v>2</v>
      </c>
      <c r="D79" s="283">
        <v>145.43</v>
      </c>
    </row>
    <row r="80" spans="1:4" ht="12.75" customHeight="1" outlineLevel="1" x14ac:dyDescent="0.2">
      <c r="A80" s="284" t="s">
        <v>680</v>
      </c>
      <c r="B80" s="285" t="s">
        <v>482</v>
      </c>
      <c r="C80" s="286" t="s">
        <v>2</v>
      </c>
      <c r="D80" s="287">
        <v>20.75</v>
      </c>
    </row>
    <row r="81" spans="1:4" ht="12.75" customHeight="1" outlineLevel="1" x14ac:dyDescent="0.2">
      <c r="A81" s="276" t="s">
        <v>484</v>
      </c>
      <c r="B81" s="277" t="s">
        <v>485</v>
      </c>
      <c r="C81" s="278"/>
      <c r="D81" s="279"/>
    </row>
    <row r="82" spans="1:4" ht="12.75" customHeight="1" outlineLevel="1" x14ac:dyDescent="0.2">
      <c r="A82" s="280" t="s">
        <v>681</v>
      </c>
      <c r="B82" s="281" t="s">
        <v>486</v>
      </c>
      <c r="C82" s="282" t="s">
        <v>3</v>
      </c>
      <c r="D82" s="283">
        <v>69</v>
      </c>
    </row>
    <row r="83" spans="1:4" ht="12.75" customHeight="1" outlineLevel="1" x14ac:dyDescent="0.2">
      <c r="A83" s="284" t="s">
        <v>682</v>
      </c>
      <c r="B83" s="285" t="s">
        <v>600</v>
      </c>
      <c r="C83" s="286" t="s">
        <v>3</v>
      </c>
      <c r="D83" s="287">
        <v>24</v>
      </c>
    </row>
    <row r="84" spans="1:4" ht="12.75" customHeight="1" outlineLevel="1" x14ac:dyDescent="0.2">
      <c r="A84" s="280" t="s">
        <v>683</v>
      </c>
      <c r="B84" s="281" t="s">
        <v>488</v>
      </c>
      <c r="C84" s="282" t="s">
        <v>3</v>
      </c>
      <c r="D84" s="283">
        <v>8</v>
      </c>
    </row>
    <row r="85" spans="1:4" ht="12.75" customHeight="1" outlineLevel="1" x14ac:dyDescent="0.2">
      <c r="A85" s="284" t="s">
        <v>684</v>
      </c>
      <c r="B85" s="285" t="s">
        <v>487</v>
      </c>
      <c r="C85" s="286" t="s">
        <v>3</v>
      </c>
      <c r="D85" s="287">
        <v>2</v>
      </c>
    </row>
    <row r="86" spans="1:4" ht="12.75" customHeight="1" outlineLevel="1" x14ac:dyDescent="0.2">
      <c r="A86" s="276" t="s">
        <v>489</v>
      </c>
      <c r="B86" s="277" t="s">
        <v>490</v>
      </c>
      <c r="C86" s="278"/>
      <c r="D86" s="279"/>
    </row>
    <row r="87" spans="1:4" ht="12.75" customHeight="1" outlineLevel="1" x14ac:dyDescent="0.2">
      <c r="A87" s="280" t="s">
        <v>685</v>
      </c>
      <c r="B87" s="281" t="s">
        <v>491</v>
      </c>
      <c r="C87" s="282" t="s">
        <v>2</v>
      </c>
      <c r="D87" s="283">
        <v>14.2</v>
      </c>
    </row>
    <row r="88" spans="1:4" ht="12.75" customHeight="1" outlineLevel="1" x14ac:dyDescent="0.2">
      <c r="A88" s="284" t="s">
        <v>686</v>
      </c>
      <c r="B88" s="285" t="s">
        <v>493</v>
      </c>
      <c r="C88" s="286" t="s">
        <v>2</v>
      </c>
      <c r="D88" s="287">
        <v>37.869999999999997</v>
      </c>
    </row>
    <row r="89" spans="1:4" ht="12.75" customHeight="1" outlineLevel="1" x14ac:dyDescent="0.2">
      <c r="A89" s="280" t="s">
        <v>687</v>
      </c>
      <c r="B89" s="281" t="s">
        <v>492</v>
      </c>
      <c r="C89" s="282" t="s">
        <v>2</v>
      </c>
      <c r="D89" s="283">
        <v>44.89</v>
      </c>
    </row>
    <row r="90" spans="1:4" ht="12.75" customHeight="1" outlineLevel="1" x14ac:dyDescent="0.2">
      <c r="A90" s="276" t="s">
        <v>494</v>
      </c>
      <c r="B90" s="277" t="s">
        <v>495</v>
      </c>
      <c r="C90" s="278"/>
      <c r="D90" s="279"/>
    </row>
    <row r="91" spans="1:4" ht="12.75" customHeight="1" outlineLevel="1" x14ac:dyDescent="0.2">
      <c r="A91" s="284" t="s">
        <v>688</v>
      </c>
      <c r="B91" s="285" t="s">
        <v>601</v>
      </c>
      <c r="C91" s="286" t="s">
        <v>2</v>
      </c>
      <c r="D91" s="287">
        <v>2.95</v>
      </c>
    </row>
    <row r="92" spans="1:4" ht="12.75" customHeight="1" outlineLevel="1" x14ac:dyDescent="0.2">
      <c r="A92" s="280" t="s">
        <v>689</v>
      </c>
      <c r="B92" s="281" t="s">
        <v>602</v>
      </c>
      <c r="C92" s="282" t="s">
        <v>2</v>
      </c>
      <c r="D92" s="283">
        <v>95.88</v>
      </c>
    </row>
    <row r="93" spans="1:4" ht="12.75" customHeight="1" outlineLevel="1" x14ac:dyDescent="0.2">
      <c r="A93" s="284" t="s">
        <v>690</v>
      </c>
      <c r="B93" s="285" t="s">
        <v>603</v>
      </c>
      <c r="C93" s="286" t="s">
        <v>2</v>
      </c>
      <c r="D93" s="287">
        <v>3865.04</v>
      </c>
    </row>
    <row r="94" spans="1:4" ht="12.75" customHeight="1" outlineLevel="1" x14ac:dyDescent="0.2">
      <c r="A94" s="280" t="s">
        <v>691</v>
      </c>
      <c r="B94" s="281" t="s">
        <v>604</v>
      </c>
      <c r="C94" s="282" t="s">
        <v>2</v>
      </c>
      <c r="D94" s="283">
        <v>42.11</v>
      </c>
    </row>
    <row r="95" spans="1:4" ht="12.75" customHeight="1" outlineLevel="1" x14ac:dyDescent="0.2">
      <c r="A95" s="284" t="s">
        <v>692</v>
      </c>
      <c r="B95" s="285" t="s">
        <v>605</v>
      </c>
      <c r="C95" s="286" t="s">
        <v>2</v>
      </c>
      <c r="D95" s="287">
        <v>42.39</v>
      </c>
    </row>
    <row r="96" spans="1:4" ht="12.75" customHeight="1" outlineLevel="1" x14ac:dyDescent="0.2">
      <c r="A96" s="280" t="s">
        <v>693</v>
      </c>
      <c r="B96" s="281" t="s">
        <v>496</v>
      </c>
      <c r="C96" s="282" t="s">
        <v>2</v>
      </c>
      <c r="D96" s="308">
        <v>95.8</v>
      </c>
    </row>
    <row r="97" spans="1:4" ht="12.75" customHeight="1" outlineLevel="1" x14ac:dyDescent="0.2">
      <c r="A97" s="284" t="s">
        <v>694</v>
      </c>
      <c r="B97" s="285" t="s">
        <v>497</v>
      </c>
      <c r="C97" s="286" t="s">
        <v>2</v>
      </c>
      <c r="D97" s="308">
        <v>53.37</v>
      </c>
    </row>
    <row r="98" spans="1:4" ht="12.75" customHeight="1" outlineLevel="1" x14ac:dyDescent="0.2">
      <c r="A98" s="276" t="s">
        <v>498</v>
      </c>
      <c r="B98" s="277" t="s">
        <v>499</v>
      </c>
      <c r="C98" s="278"/>
      <c r="D98" s="279"/>
    </row>
    <row r="99" spans="1:4" ht="12.75" customHeight="1" x14ac:dyDescent="0.2">
      <c r="A99" s="280" t="s">
        <v>695</v>
      </c>
      <c r="B99" s="281" t="s">
        <v>500</v>
      </c>
      <c r="C99" s="282" t="s">
        <v>2</v>
      </c>
      <c r="D99" s="283">
        <v>822.55</v>
      </c>
    </row>
    <row r="100" spans="1:4" ht="12.75" customHeight="1" outlineLevel="1" x14ac:dyDescent="0.2">
      <c r="A100" s="276" t="s">
        <v>501</v>
      </c>
      <c r="B100" s="277" t="s">
        <v>606</v>
      </c>
      <c r="C100" s="278"/>
      <c r="D100" s="279"/>
    </row>
    <row r="101" spans="1:4" ht="12.75" customHeight="1" outlineLevel="1" x14ac:dyDescent="0.2">
      <c r="A101" s="284" t="s">
        <v>696</v>
      </c>
      <c r="B101" s="285" t="s">
        <v>607</v>
      </c>
      <c r="C101" s="286" t="s">
        <v>2</v>
      </c>
      <c r="D101" s="287">
        <v>15.47</v>
      </c>
    </row>
    <row r="102" spans="1:4" ht="12.75" customHeight="1" outlineLevel="1" x14ac:dyDescent="0.2">
      <c r="A102" s="280" t="s">
        <v>697</v>
      </c>
      <c r="B102" s="281" t="s">
        <v>608</v>
      </c>
      <c r="C102" s="282" t="s">
        <v>2</v>
      </c>
      <c r="D102" s="283">
        <v>7.57</v>
      </c>
    </row>
    <row r="103" spans="1:4" ht="12.75" customHeight="1" outlineLevel="1" x14ac:dyDescent="0.2">
      <c r="A103" s="276" t="s">
        <v>504</v>
      </c>
      <c r="B103" s="277" t="s">
        <v>609</v>
      </c>
      <c r="C103" s="278"/>
      <c r="D103" s="279"/>
    </row>
    <row r="104" spans="1:4" ht="12.75" customHeight="1" outlineLevel="1" x14ac:dyDescent="0.2">
      <c r="A104" s="284" t="s">
        <v>698</v>
      </c>
      <c r="B104" s="285" t="s">
        <v>611</v>
      </c>
      <c r="C104" s="286" t="s">
        <v>3</v>
      </c>
      <c r="D104" s="287">
        <v>1</v>
      </c>
    </row>
    <row r="105" spans="1:4" ht="12.75" customHeight="1" outlineLevel="1" x14ac:dyDescent="0.2">
      <c r="A105" s="280" t="s">
        <v>699</v>
      </c>
      <c r="B105" s="281" t="s">
        <v>610</v>
      </c>
      <c r="C105" s="282" t="s">
        <v>22</v>
      </c>
      <c r="D105" s="283">
        <v>0.05</v>
      </c>
    </row>
    <row r="106" spans="1:4" ht="12.75" customHeight="1" outlineLevel="1" x14ac:dyDescent="0.2">
      <c r="A106" s="276" t="s">
        <v>515</v>
      </c>
      <c r="B106" s="277" t="s">
        <v>502</v>
      </c>
      <c r="C106" s="278"/>
      <c r="D106" s="279"/>
    </row>
    <row r="107" spans="1:4" ht="12.75" customHeight="1" outlineLevel="1" x14ac:dyDescent="0.2">
      <c r="A107" s="284" t="s">
        <v>700</v>
      </c>
      <c r="B107" s="285" t="s">
        <v>503</v>
      </c>
      <c r="C107" s="286" t="s">
        <v>2</v>
      </c>
      <c r="D107" s="287">
        <v>36.770000000000003</v>
      </c>
    </row>
    <row r="108" spans="1:4" ht="12.75" customHeight="1" outlineLevel="1" x14ac:dyDescent="0.2">
      <c r="A108" s="276" t="s">
        <v>612</v>
      </c>
      <c r="B108" s="277" t="s">
        <v>505</v>
      </c>
      <c r="C108" s="278"/>
      <c r="D108" s="279"/>
    </row>
    <row r="109" spans="1:4" ht="12.75" customHeight="1" outlineLevel="1" x14ac:dyDescent="0.2">
      <c r="A109" s="280" t="s">
        <v>701</v>
      </c>
      <c r="B109" s="281" t="s">
        <v>506</v>
      </c>
      <c r="C109" s="282" t="s">
        <v>2</v>
      </c>
      <c r="D109" s="283">
        <v>106.75</v>
      </c>
    </row>
    <row r="110" spans="1:4" ht="12.75" customHeight="1" outlineLevel="1" x14ac:dyDescent="0.2">
      <c r="A110" s="276" t="s">
        <v>613</v>
      </c>
      <c r="B110" s="277" t="s">
        <v>516</v>
      </c>
      <c r="C110" s="278"/>
      <c r="D110" s="279"/>
    </row>
    <row r="111" spans="1:4" ht="12.75" customHeight="1" outlineLevel="1" x14ac:dyDescent="0.2">
      <c r="A111" s="284" t="s">
        <v>702</v>
      </c>
      <c r="B111" s="285" t="s">
        <v>518</v>
      </c>
      <c r="C111" s="286" t="s">
        <v>4</v>
      </c>
      <c r="D111" s="287">
        <v>296.64</v>
      </c>
    </row>
    <row r="112" spans="1:4" ht="12.75" customHeight="1" outlineLevel="1" x14ac:dyDescent="0.2">
      <c r="A112" s="280" t="s">
        <v>703</v>
      </c>
      <c r="B112" s="281" t="s">
        <v>517</v>
      </c>
      <c r="C112" s="282" t="s">
        <v>4</v>
      </c>
      <c r="D112" s="283">
        <v>1496.46</v>
      </c>
    </row>
    <row r="113" spans="1:4" ht="12.75" customHeight="1" outlineLevel="1" x14ac:dyDescent="0.2">
      <c r="A113" s="276" t="s">
        <v>614</v>
      </c>
      <c r="B113" s="277" t="s">
        <v>615</v>
      </c>
      <c r="C113" s="278"/>
      <c r="D113" s="279"/>
    </row>
    <row r="114" spans="1:4" ht="15" x14ac:dyDescent="0.2">
      <c r="A114" s="284" t="s">
        <v>704</v>
      </c>
      <c r="B114" s="285" t="s">
        <v>617</v>
      </c>
      <c r="C114" s="286" t="s">
        <v>22</v>
      </c>
      <c r="D114" s="287">
        <v>1.43</v>
      </c>
    </row>
    <row r="115" spans="1:4" ht="15" x14ac:dyDescent="0.2">
      <c r="A115" s="280" t="s">
        <v>705</v>
      </c>
      <c r="B115" s="281" t="s">
        <v>619</v>
      </c>
      <c r="C115" s="282" t="s">
        <v>22</v>
      </c>
      <c r="D115" s="283">
        <v>228.29</v>
      </c>
    </row>
    <row r="116" spans="1:4" ht="15" x14ac:dyDescent="0.2">
      <c r="A116" s="284" t="s">
        <v>706</v>
      </c>
      <c r="B116" s="285" t="s">
        <v>616</v>
      </c>
      <c r="C116" s="286" t="s">
        <v>22</v>
      </c>
      <c r="D116" s="287">
        <v>821.67</v>
      </c>
    </row>
    <row r="117" spans="1:4" ht="15" x14ac:dyDescent="0.2">
      <c r="A117" s="280" t="s">
        <v>707</v>
      </c>
      <c r="B117" s="281" t="s">
        <v>618</v>
      </c>
      <c r="C117" s="282" t="s">
        <v>22</v>
      </c>
      <c r="D117" s="283">
        <v>156</v>
      </c>
    </row>
  </sheetData>
  <autoFilter ref="A10:D113" xr:uid="{00000000-0001-0000-0000-000000000000}"/>
  <mergeCells count="7">
    <mergeCell ref="A1:D1"/>
    <mergeCell ref="A8:D8"/>
    <mergeCell ref="A9:D9"/>
    <mergeCell ref="A10:A11"/>
    <mergeCell ref="B10:B11"/>
    <mergeCell ref="C10:C11"/>
    <mergeCell ref="D10:D11"/>
  </mergeCells>
  <pageMargins left="0.78749999999999998" right="0.78749999999999998" top="1.05277777777778" bottom="1.05277777777778" header="0.78749999999999998" footer="0.78749999999999998"/>
  <pageSetup paperSize="9" scale="53" orientation="landscape" useFirstPageNumber="1" horizontalDpi="300" verticalDpi="300" r:id="rId1"/>
  <headerFooter>
    <oddHeader>&amp;C&amp;"Times New Roman,Normal"&amp;12&amp;A</oddHeader>
    <oddFooter>&amp;C&amp;"Times New Roman,Normal"&amp;12Página 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C23D-4848-47C0-9462-ED4026A4C01F}">
  <sheetPr>
    <tabColor rgb="FF92D050"/>
  </sheetPr>
  <dimension ref="A1:M22"/>
  <sheetViews>
    <sheetView showGridLines="0" topLeftCell="B7" zoomScale="80" zoomScaleNormal="80" zoomScaleSheetLayoutView="95" workbookViewId="0">
      <selection activeCell="J10" sqref="J10:J16"/>
    </sheetView>
  </sheetViews>
  <sheetFormatPr defaultColWidth="9.140625" defaultRowHeight="15" x14ac:dyDescent="0.25"/>
  <cols>
    <col min="1" max="1" width="50.140625" style="55" customWidth="1"/>
    <col min="2" max="3" width="11.8554687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26.140625" style="55" customWidth="1"/>
    <col min="9" max="9" width="15.140625" style="55" bestFit="1" customWidth="1"/>
    <col min="10" max="10" width="18.140625" style="55" bestFit="1" customWidth="1"/>
    <col min="11" max="12" width="15.140625" style="55" bestFit="1" customWidth="1"/>
    <col min="13" max="13" width="11" style="55" bestFit="1" customWidth="1"/>
    <col min="14" max="14" width="11.28515625" style="55" bestFit="1" customWidth="1"/>
    <col min="15" max="15" width="9.140625" style="55"/>
    <col min="16" max="17" width="11" style="55" bestFit="1" customWidth="1"/>
    <col min="18" max="16384" width="9.140625" style="55"/>
  </cols>
  <sheetData>
    <row r="1" spans="1:13" x14ac:dyDescent="0.25">
      <c r="D1" s="79"/>
      <c r="E1" s="55"/>
      <c r="H1" s="80"/>
      <c r="I1" s="80"/>
      <c r="J1" s="80"/>
      <c r="K1" s="79"/>
      <c r="L1" s="79"/>
    </row>
    <row r="3" spans="1:13" ht="28.5" x14ac:dyDescent="0.25">
      <c r="A3" s="326" t="s">
        <v>232</v>
      </c>
      <c r="B3" s="334"/>
      <c r="C3" s="334"/>
      <c r="D3" s="327"/>
      <c r="E3" s="327"/>
      <c r="F3" s="327"/>
      <c r="G3" s="327"/>
      <c r="H3" s="328"/>
      <c r="K3" s="79"/>
      <c r="L3" s="79"/>
    </row>
    <row r="4" spans="1:13" ht="19.5" x14ac:dyDescent="0.25">
      <c r="A4" s="186" t="s">
        <v>186</v>
      </c>
      <c r="B4" s="192">
        <v>45460</v>
      </c>
      <c r="C4" s="190"/>
      <c r="D4" s="190"/>
      <c r="E4" s="190"/>
      <c r="F4" s="190"/>
      <c r="G4" s="190"/>
      <c r="H4" s="191"/>
      <c r="K4" s="79"/>
      <c r="L4" s="79"/>
    </row>
    <row r="5" spans="1:13" ht="19.5" x14ac:dyDescent="0.25">
      <c r="A5" s="186" t="s">
        <v>294</v>
      </c>
      <c r="B5" s="193" t="s">
        <v>211</v>
      </c>
      <c r="C5" s="188"/>
      <c r="D5" s="188"/>
      <c r="E5" s="188"/>
      <c r="F5" s="188"/>
      <c r="G5" s="188"/>
      <c r="H5" s="189"/>
      <c r="K5" s="79"/>
      <c r="L5" s="79"/>
    </row>
    <row r="6" spans="1:13" ht="21.75" x14ac:dyDescent="0.25">
      <c r="A6" s="83"/>
      <c r="B6" s="83"/>
      <c r="C6" s="83"/>
      <c r="D6" s="83"/>
      <c r="E6" s="83"/>
      <c r="F6" s="84"/>
      <c r="G6" s="85"/>
      <c r="H6" s="85"/>
      <c r="K6" s="79"/>
      <c r="L6" s="79"/>
    </row>
    <row r="7" spans="1:13" ht="21.75" x14ac:dyDescent="0.25">
      <c r="A7" s="52" t="s">
        <v>232</v>
      </c>
      <c r="B7" s="52"/>
      <c r="C7" s="52"/>
      <c r="D7" s="53"/>
      <c r="E7" s="53"/>
      <c r="F7" s="54"/>
      <c r="G7" s="53"/>
      <c r="H7" s="53"/>
    </row>
    <row r="8" spans="1:13" ht="21.75" x14ac:dyDescent="0.25">
      <c r="A8" s="56"/>
      <c r="B8" s="56"/>
      <c r="C8" s="56"/>
      <c r="D8" s="57"/>
      <c r="E8" s="57"/>
      <c r="F8" s="58"/>
      <c r="G8" s="59"/>
      <c r="H8" s="59"/>
    </row>
    <row r="9" spans="1:13" ht="42" customHeight="1" x14ac:dyDescent="0.25">
      <c r="A9" s="63" t="s">
        <v>14</v>
      </c>
      <c r="B9" s="330" t="s">
        <v>5</v>
      </c>
      <c r="C9" s="331"/>
      <c r="D9" s="330" t="s">
        <v>18</v>
      </c>
      <c r="E9" s="331"/>
      <c r="F9" s="65"/>
      <c r="G9" s="71" t="s">
        <v>16</v>
      </c>
      <c r="H9" s="90" t="s">
        <v>297</v>
      </c>
      <c r="I9" s="310" t="s">
        <v>721</v>
      </c>
      <c r="J9" s="310" t="s">
        <v>726</v>
      </c>
      <c r="K9" s="112" t="s">
        <v>722</v>
      </c>
      <c r="L9" s="112" t="s">
        <v>727</v>
      </c>
    </row>
    <row r="10" spans="1:13" ht="21.75" x14ac:dyDescent="0.25">
      <c r="A10" s="66" t="s">
        <v>231</v>
      </c>
      <c r="B10" s="62">
        <v>0.2</v>
      </c>
      <c r="C10" s="62" t="s">
        <v>319</v>
      </c>
      <c r="D10" s="197">
        <f>SUM(ARQUITETURA!D46:D47,ARQUITETURA!D55:D76)</f>
        <v>1035.8499999999999</v>
      </c>
      <c r="E10" s="67" t="s">
        <v>2</v>
      </c>
      <c r="F10" s="203">
        <v>1290</v>
      </c>
      <c r="G10" s="313">
        <f>F10*D10*1</f>
        <v>1336246.4999999998</v>
      </c>
      <c r="H10" s="67"/>
      <c r="I10" s="195">
        <f>F10</f>
        <v>1290</v>
      </c>
      <c r="J10" s="195">
        <f>I10*$D10</f>
        <v>1336246.4999999998</v>
      </c>
      <c r="L10" s="195">
        <f>K10*$D10</f>
        <v>0</v>
      </c>
      <c r="M10" s="55" t="s">
        <v>725</v>
      </c>
    </row>
    <row r="11" spans="1:13" ht="21.75" x14ac:dyDescent="0.25">
      <c r="A11" s="198" t="s">
        <v>348</v>
      </c>
      <c r="B11" s="62"/>
      <c r="C11" s="62"/>
      <c r="D11" s="197">
        <f>SUM(ARQUITETURA!D78:D80)</f>
        <v>343.78</v>
      </c>
      <c r="E11" s="67" t="s">
        <v>2</v>
      </c>
      <c r="F11" s="88">
        <v>980</v>
      </c>
      <c r="G11" s="313">
        <f>F11*D11*1</f>
        <v>336904.39999999997</v>
      </c>
      <c r="H11" s="67" t="s">
        <v>363</v>
      </c>
      <c r="I11" s="195">
        <f>F11</f>
        <v>980</v>
      </c>
      <c r="J11" s="195">
        <f t="shared" ref="J11:L19" si="0">I11*$D11</f>
        <v>336904.39999999997</v>
      </c>
      <c r="L11" s="195">
        <f t="shared" si="0"/>
        <v>0</v>
      </c>
      <c r="M11" s="55" t="s">
        <v>725</v>
      </c>
    </row>
    <row r="12" spans="1:13" ht="21.75" x14ac:dyDescent="0.25">
      <c r="A12" s="78" t="s">
        <v>226</v>
      </c>
      <c r="B12" s="62"/>
      <c r="C12" s="62"/>
      <c r="D12" s="67">
        <v>1</v>
      </c>
      <c r="E12" s="67" t="s">
        <v>3</v>
      </c>
      <c r="F12" s="88">
        <v>16000</v>
      </c>
      <c r="G12" s="313">
        <f>F12*D12*1</f>
        <v>16000</v>
      </c>
      <c r="H12" s="67"/>
      <c r="I12" s="195">
        <f>F12</f>
        <v>16000</v>
      </c>
      <c r="J12" s="195">
        <f t="shared" si="0"/>
        <v>16000</v>
      </c>
      <c r="L12" s="195">
        <f t="shared" si="0"/>
        <v>0</v>
      </c>
      <c r="M12" s="55" t="s">
        <v>725</v>
      </c>
    </row>
    <row r="13" spans="1:13" ht="21.75" x14ac:dyDescent="0.25">
      <c r="A13" s="78" t="s">
        <v>228</v>
      </c>
      <c r="B13" s="62"/>
      <c r="C13" s="62"/>
      <c r="D13" s="197">
        <f>SUM(ARQUITETURA!D51:D54)</f>
        <v>313.06000000000006</v>
      </c>
      <c r="E13" s="67" t="s">
        <v>2</v>
      </c>
      <c r="F13" s="88">
        <f>750*1.1</f>
        <v>825.00000000000011</v>
      </c>
      <c r="G13" s="313">
        <f>F13*D13*1</f>
        <v>258274.50000000009</v>
      </c>
      <c r="H13" s="67"/>
      <c r="I13" s="195">
        <f>F13</f>
        <v>825.00000000000011</v>
      </c>
      <c r="J13" s="195">
        <f t="shared" si="0"/>
        <v>258274.50000000009</v>
      </c>
      <c r="L13" s="195">
        <f t="shared" si="0"/>
        <v>0</v>
      </c>
      <c r="M13" s="55" t="s">
        <v>725</v>
      </c>
    </row>
    <row r="14" spans="1:13" ht="21.75" x14ac:dyDescent="0.25">
      <c r="A14" s="78" t="s">
        <v>349</v>
      </c>
      <c r="B14" s="62"/>
      <c r="C14" s="62"/>
      <c r="D14" s="197">
        <f>ARQUITETURA!$E$50+ARQUITETURA!E48</f>
        <v>65.78</v>
      </c>
      <c r="E14" s="67" t="s">
        <v>2</v>
      </c>
      <c r="F14" s="88">
        <v>610</v>
      </c>
      <c r="G14" s="313">
        <f>F14*D14*1</f>
        <v>40125.800000000003</v>
      </c>
      <c r="H14" s="67"/>
      <c r="I14" s="195">
        <f>F14</f>
        <v>610</v>
      </c>
      <c r="J14" s="195">
        <f t="shared" si="0"/>
        <v>40125.800000000003</v>
      </c>
      <c r="L14" s="195">
        <f t="shared" si="0"/>
        <v>0</v>
      </c>
      <c r="M14" s="55" t="s">
        <v>725</v>
      </c>
    </row>
    <row r="15" spans="1:13" ht="21.75" x14ac:dyDescent="0.25">
      <c r="A15" s="78" t="s">
        <v>229</v>
      </c>
      <c r="B15" s="62">
        <v>5</v>
      </c>
      <c r="C15" s="62" t="s">
        <v>6</v>
      </c>
      <c r="D15" s="67">
        <v>1</v>
      </c>
      <c r="E15" s="67" t="s">
        <v>27</v>
      </c>
      <c r="F15" s="88">
        <f>B15*DADOS_INICIAIS!$E$9</f>
        <v>26739.300000000003</v>
      </c>
      <c r="G15" s="89">
        <f>F15*D15*1.1</f>
        <v>29413.230000000007</v>
      </c>
      <c r="H15" s="67"/>
      <c r="I15" s="195">
        <f>F15*1.1</f>
        <v>29413.230000000007</v>
      </c>
      <c r="J15" s="195">
        <f t="shared" si="0"/>
        <v>29413.230000000007</v>
      </c>
      <c r="K15" s="195"/>
      <c r="L15" s="195">
        <f t="shared" si="0"/>
        <v>0</v>
      </c>
      <c r="M15" s="55" t="s">
        <v>724</v>
      </c>
    </row>
    <row r="16" spans="1:13" ht="28.5" customHeight="1" x14ac:dyDescent="0.25">
      <c r="A16" s="78" t="s">
        <v>230</v>
      </c>
      <c r="B16" s="62"/>
      <c r="C16" s="62"/>
      <c r="D16" s="197">
        <f>2*(DADOS_INICIAIS!E15-2)</f>
        <v>24</v>
      </c>
      <c r="E16" s="67" t="s">
        <v>3</v>
      </c>
      <c r="F16" s="88">
        <v>1750</v>
      </c>
      <c r="G16" s="89">
        <f>F16*D16*1</f>
        <v>42000</v>
      </c>
      <c r="H16" s="67"/>
      <c r="I16" s="195">
        <f>F16-K16</f>
        <v>1450</v>
      </c>
      <c r="J16" s="195">
        <f>I16*$D16</f>
        <v>34800</v>
      </c>
      <c r="K16" s="55">
        <v>300</v>
      </c>
      <c r="L16" s="195">
        <f>K16*$D16</f>
        <v>7200</v>
      </c>
      <c r="M16" s="55" t="s">
        <v>724</v>
      </c>
    </row>
    <row r="17" spans="1:13" ht="21.75" x14ac:dyDescent="0.25">
      <c r="A17" s="78" t="s">
        <v>227</v>
      </c>
      <c r="B17" s="62"/>
      <c r="C17" s="62"/>
      <c r="D17" s="197">
        <f>ARQUITETURA!D49</f>
        <v>124.45</v>
      </c>
      <c r="E17" s="67" t="s">
        <v>4</v>
      </c>
      <c r="F17" s="88">
        <v>85</v>
      </c>
      <c r="G17" s="313">
        <f>F17*D17*1</f>
        <v>10578.25</v>
      </c>
      <c r="H17" s="67"/>
      <c r="I17" s="195">
        <f>F17</f>
        <v>85</v>
      </c>
      <c r="J17" s="195">
        <f t="shared" si="0"/>
        <v>10578.25</v>
      </c>
      <c r="L17" s="195">
        <f t="shared" si="0"/>
        <v>0</v>
      </c>
      <c r="M17" s="55" t="s">
        <v>725</v>
      </c>
    </row>
    <row r="18" spans="1:13" ht="65.25" x14ac:dyDescent="0.25">
      <c r="A18" s="78" t="s">
        <v>345</v>
      </c>
      <c r="B18" s="62"/>
      <c r="C18" s="62"/>
      <c r="D18" s="197">
        <f>DADOS_INICIAIS!E10</f>
        <v>66</v>
      </c>
      <c r="E18" s="67" t="s">
        <v>3</v>
      </c>
      <c r="F18" s="88">
        <v>1500</v>
      </c>
      <c r="G18" s="313">
        <f>F18*D18*1</f>
        <v>99000</v>
      </c>
      <c r="H18" s="67" t="s">
        <v>546</v>
      </c>
      <c r="I18" s="195">
        <f>F18</f>
        <v>1500</v>
      </c>
      <c r="J18" s="195">
        <f t="shared" si="0"/>
        <v>99000</v>
      </c>
      <c r="L18" s="195">
        <f t="shared" si="0"/>
        <v>0</v>
      </c>
      <c r="M18" s="55" t="s">
        <v>725</v>
      </c>
    </row>
    <row r="19" spans="1:13" ht="21.75" x14ac:dyDescent="0.25">
      <c r="A19" s="66" t="s">
        <v>225</v>
      </c>
      <c r="B19" s="62"/>
      <c r="C19" s="62"/>
      <c r="D19" s="202">
        <f>SUM(ARQUITETURA!D82:D85)</f>
        <v>103</v>
      </c>
      <c r="E19" s="67" t="s">
        <v>3</v>
      </c>
      <c r="F19" s="88">
        <f>2200+350</f>
        <v>2550</v>
      </c>
      <c r="G19" s="313">
        <f>F19*D19*1</f>
        <v>262650</v>
      </c>
      <c r="H19" s="67"/>
      <c r="I19" s="195">
        <f>F19-K19</f>
        <v>2250</v>
      </c>
      <c r="J19" s="195">
        <f t="shared" si="0"/>
        <v>231750</v>
      </c>
      <c r="K19" s="55">
        <v>300</v>
      </c>
      <c r="L19" s="195">
        <f t="shared" si="0"/>
        <v>30900</v>
      </c>
      <c r="M19" s="55" t="s">
        <v>724</v>
      </c>
    </row>
    <row r="20" spans="1:13" ht="21.75" x14ac:dyDescent="0.25">
      <c r="A20" s="325" t="s">
        <v>17</v>
      </c>
      <c r="B20" s="325"/>
      <c r="C20" s="325"/>
      <c r="D20" s="325"/>
      <c r="E20" s="325"/>
      <c r="F20" s="325"/>
      <c r="G20" s="90">
        <f>SUM(G10:G19)</f>
        <v>2431192.6799999997</v>
      </c>
      <c r="H20" s="90"/>
    </row>
    <row r="22" spans="1:13" ht="21.75" x14ac:dyDescent="0.25">
      <c r="A22" s="335" t="s">
        <v>327</v>
      </c>
      <c r="B22" s="336"/>
      <c r="C22" s="336"/>
      <c r="D22" s="336"/>
      <c r="E22" s="336"/>
      <c r="F22" s="337"/>
      <c r="G22" s="91">
        <f>G20</f>
        <v>2431192.6799999997</v>
      </c>
      <c r="H22" s="91">
        <f>G22/DADOS_INICIAIS!E9</f>
        <v>454.61038247074521</v>
      </c>
    </row>
  </sheetData>
  <mergeCells count="5">
    <mergeCell ref="A3:H3"/>
    <mergeCell ref="B9:C9"/>
    <mergeCell ref="D9:E9"/>
    <mergeCell ref="A20:F20"/>
    <mergeCell ref="A22:F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B461-4C5C-413C-82B5-048D21A64C5E}">
  <dimension ref="A1:J15"/>
  <sheetViews>
    <sheetView showGridLines="0" zoomScale="85" zoomScaleNormal="85" zoomScaleSheetLayoutView="95" workbookViewId="0">
      <selection activeCell="D10" sqref="D10"/>
    </sheetView>
  </sheetViews>
  <sheetFormatPr defaultColWidth="9.140625" defaultRowHeight="19.5" x14ac:dyDescent="0.25"/>
  <cols>
    <col min="1" max="1" width="53" style="45" bestFit="1" customWidth="1"/>
    <col min="2" max="7" width="27" style="45" customWidth="1"/>
    <col min="8" max="8" width="14" style="45" customWidth="1"/>
    <col min="9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H1" s="48"/>
      <c r="J1" s="2"/>
    </row>
    <row r="2" spans="1:10" ht="28.5" x14ac:dyDescent="0.25">
      <c r="A2" s="326" t="s">
        <v>198</v>
      </c>
      <c r="B2" s="327"/>
      <c r="C2" s="327"/>
      <c r="D2" s="327"/>
      <c r="E2" s="327"/>
      <c r="F2" s="327"/>
      <c r="G2" s="327"/>
      <c r="H2" s="328"/>
      <c r="J2" s="2"/>
    </row>
    <row r="3" spans="1:10" s="55" customFormat="1" x14ac:dyDescent="0.25">
      <c r="A3" s="186" t="s">
        <v>186</v>
      </c>
      <c r="B3" s="192">
        <v>45460</v>
      </c>
      <c r="C3" s="190"/>
      <c r="D3" s="190"/>
      <c r="E3" s="190"/>
      <c r="F3" s="190"/>
      <c r="G3" s="190"/>
      <c r="H3" s="191"/>
      <c r="J3" s="79"/>
    </row>
    <row r="4" spans="1:10" s="55" customFormat="1" x14ac:dyDescent="0.25">
      <c r="A4" s="186" t="s">
        <v>294</v>
      </c>
      <c r="B4" s="193" t="s">
        <v>211</v>
      </c>
      <c r="C4" s="188"/>
      <c r="D4" s="188"/>
      <c r="E4" s="188"/>
      <c r="F4" s="188"/>
      <c r="G4" s="188"/>
      <c r="H4" s="189"/>
      <c r="J4" s="79"/>
    </row>
    <row r="5" spans="1:10" x14ac:dyDescent="0.25">
      <c r="A5" s="50"/>
      <c r="B5" s="50"/>
      <c r="C5" s="50"/>
      <c r="D5" s="50"/>
      <c r="E5" s="50"/>
      <c r="F5" s="50"/>
      <c r="G5" s="48"/>
      <c r="H5" s="48"/>
      <c r="J5" s="2"/>
    </row>
    <row r="6" spans="1:10" s="55" customFormat="1" ht="21.75" x14ac:dyDescent="0.25">
      <c r="A6" s="52" t="s">
        <v>323</v>
      </c>
      <c r="B6" s="53"/>
      <c r="C6" s="53"/>
      <c r="D6" s="53"/>
      <c r="E6" s="53"/>
      <c r="F6" s="53"/>
      <c r="G6" s="53"/>
      <c r="H6" s="53"/>
    </row>
    <row r="7" spans="1:10" s="55" customFormat="1" ht="21.75" x14ac:dyDescent="0.25">
      <c r="A7" s="56"/>
      <c r="B7" s="57"/>
      <c r="C7" s="57"/>
      <c r="D7" s="57"/>
      <c r="E7" s="57"/>
      <c r="F7" s="57"/>
      <c r="G7" s="59"/>
      <c r="H7" s="59"/>
    </row>
    <row r="8" spans="1:10" s="55" customFormat="1" ht="42" customHeight="1" x14ac:dyDescent="0.25">
      <c r="A8" s="63" t="s">
        <v>14</v>
      </c>
      <c r="B8" s="330" t="s">
        <v>5</v>
      </c>
      <c r="C8" s="331"/>
      <c r="D8" s="330" t="s">
        <v>18</v>
      </c>
      <c r="E8" s="331"/>
      <c r="F8" s="65" t="s">
        <v>118</v>
      </c>
      <c r="G8" s="71" t="s">
        <v>16</v>
      </c>
      <c r="H8" s="90" t="s">
        <v>297</v>
      </c>
    </row>
    <row r="9" spans="1:10" s="55" customFormat="1" ht="21.75" x14ac:dyDescent="0.25">
      <c r="A9" s="66" t="s">
        <v>320</v>
      </c>
      <c r="B9" s="62"/>
      <c r="C9" s="62"/>
      <c r="D9" s="67">
        <v>266.19</v>
      </c>
      <c r="E9" s="67" t="s">
        <v>2</v>
      </c>
      <c r="F9" s="88">
        <v>500</v>
      </c>
      <c r="G9" s="89">
        <f>F9*D9*1.1</f>
        <v>146404.5</v>
      </c>
      <c r="H9" s="67"/>
    </row>
    <row r="10" spans="1:10" s="55" customFormat="1" ht="21.75" x14ac:dyDescent="0.25">
      <c r="A10" s="66" t="s">
        <v>172</v>
      </c>
      <c r="B10" s="62"/>
      <c r="C10" s="62"/>
      <c r="D10" s="67">
        <f>D9</f>
        <v>266.19</v>
      </c>
      <c r="E10" s="67" t="s">
        <v>2</v>
      </c>
      <c r="F10" s="185">
        <v>45</v>
      </c>
      <c r="G10" s="89">
        <f>F10*D10*1.1</f>
        <v>13176.405000000001</v>
      </c>
      <c r="H10" s="67"/>
    </row>
    <row r="11" spans="1:10" s="55" customFormat="1" ht="21.75" x14ac:dyDescent="0.25">
      <c r="A11" s="66" t="s">
        <v>321</v>
      </c>
      <c r="B11" s="62"/>
      <c r="C11" s="62"/>
      <c r="D11" s="67"/>
      <c r="E11" s="67"/>
      <c r="F11" s="67"/>
      <c r="G11" s="89">
        <f t="shared" ref="G11:G12" si="0">F11*D11*1.1</f>
        <v>0</v>
      </c>
      <c r="H11" s="67"/>
    </row>
    <row r="12" spans="1:10" s="55" customFormat="1" ht="21.75" x14ac:dyDescent="0.25">
      <c r="A12" s="66" t="s">
        <v>322</v>
      </c>
      <c r="B12" s="62"/>
      <c r="C12" s="62"/>
      <c r="D12" s="67"/>
      <c r="E12" s="67"/>
      <c r="F12" s="67"/>
      <c r="G12" s="89">
        <f t="shared" si="0"/>
        <v>0</v>
      </c>
      <c r="H12" s="67"/>
    </row>
    <row r="13" spans="1:10" s="55" customFormat="1" ht="21.75" x14ac:dyDescent="0.25">
      <c r="A13" s="325" t="s">
        <v>17</v>
      </c>
      <c r="B13" s="325"/>
      <c r="C13" s="325"/>
      <c r="D13" s="110"/>
      <c r="E13" s="110"/>
      <c r="F13" s="110"/>
      <c r="G13" s="90">
        <f>SUM(G9:G12)</f>
        <v>159580.905</v>
      </c>
      <c r="H13" s="90"/>
    </row>
    <row r="14" spans="1:10" s="55" customFormat="1" ht="21.75" x14ac:dyDescent="0.25">
      <c r="A14" s="329"/>
      <c r="B14" s="329"/>
      <c r="C14" s="329"/>
      <c r="D14" s="111"/>
      <c r="E14" s="111"/>
      <c r="F14" s="111"/>
      <c r="G14" s="59"/>
      <c r="H14" s="59"/>
    </row>
    <row r="15" spans="1:10" ht="23.25" customHeight="1" x14ac:dyDescent="0.25">
      <c r="A15" s="322" t="s">
        <v>273</v>
      </c>
      <c r="B15" s="323"/>
      <c r="C15" s="324"/>
      <c r="D15" s="109"/>
      <c r="E15" s="109"/>
      <c r="F15" s="109"/>
      <c r="G15" s="108">
        <f>G13</f>
        <v>159580.905</v>
      </c>
      <c r="H15" s="108">
        <f>G15/DADOS_INICIAIS!$E$9</f>
        <v>29.84014259909571</v>
      </c>
    </row>
  </sheetData>
  <mergeCells count="6">
    <mergeCell ref="A15:C15"/>
    <mergeCell ref="A2:H2"/>
    <mergeCell ref="B8:C8"/>
    <mergeCell ref="D8:E8"/>
    <mergeCell ref="A13:C13"/>
    <mergeCell ref="A14:C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7A4-6D6F-45D4-B218-2ECBFC9788BF}">
  <sheetPr>
    <tabColor rgb="FF92D050"/>
  </sheetPr>
  <dimension ref="A1:S45"/>
  <sheetViews>
    <sheetView showGridLines="0" topLeftCell="A13" zoomScaleNormal="100" zoomScaleSheetLayoutView="95" workbookViewId="0">
      <selection activeCell="L22" sqref="L22:L23"/>
    </sheetView>
  </sheetViews>
  <sheetFormatPr defaultColWidth="9.140625" defaultRowHeight="12.75" x14ac:dyDescent="0.25"/>
  <cols>
    <col min="1" max="1" width="48.7109375" style="1" customWidth="1"/>
    <col min="2" max="2" width="15.85546875" style="114" customWidth="1"/>
    <col min="3" max="3" width="7.5703125" style="113" customWidth="1"/>
    <col min="4" max="4" width="11.5703125" style="112" customWidth="1"/>
    <col min="5" max="5" width="15.85546875" style="1" customWidth="1"/>
    <col min="6" max="6" width="12.85546875" style="1" customWidth="1"/>
    <col min="7" max="7" width="19.140625" style="1" customWidth="1"/>
    <col min="8" max="8" width="6.140625" style="1" customWidth="1"/>
    <col min="9" max="9" width="13.7109375" style="114" bestFit="1" customWidth="1"/>
    <col min="10" max="10" width="12.5703125" style="114" bestFit="1" customWidth="1"/>
    <col min="11" max="11" width="12.140625" style="114" customWidth="1"/>
    <col min="12" max="12" width="11" style="114" bestFit="1" customWidth="1"/>
    <col min="13" max="14" width="9.140625" style="1"/>
    <col min="15" max="15" width="11" style="1" bestFit="1" customWidth="1"/>
    <col min="16" max="17" width="9.140625" style="1"/>
    <col min="18" max="18" width="11" style="1" bestFit="1" customWidth="1"/>
    <col min="19" max="16384" width="9.140625" style="1"/>
  </cols>
  <sheetData>
    <row r="1" spans="1:18" x14ac:dyDescent="0.25">
      <c r="B1" s="2"/>
      <c r="C1" s="1"/>
      <c r="D1" s="1"/>
      <c r="G1" s="161"/>
      <c r="H1" s="161"/>
      <c r="I1" s="311"/>
    </row>
    <row r="2" spans="1:18" ht="12.75" customHeight="1" x14ac:dyDescent="0.25">
      <c r="A2" s="338" t="s">
        <v>188</v>
      </c>
      <c r="B2" s="2"/>
      <c r="C2" s="1"/>
      <c r="D2" s="1"/>
      <c r="G2" s="166"/>
      <c r="H2" s="166"/>
      <c r="I2" s="311"/>
    </row>
    <row r="3" spans="1:18" ht="12.75" customHeight="1" x14ac:dyDescent="0.25">
      <c r="A3" s="339"/>
      <c r="B3" s="2"/>
      <c r="C3" s="1"/>
      <c r="D3" s="1"/>
      <c r="G3" s="166"/>
      <c r="H3" s="166"/>
      <c r="I3" s="311"/>
    </row>
    <row r="4" spans="1:18" ht="12.75" customHeight="1" x14ac:dyDescent="0.25">
      <c r="A4" s="339"/>
      <c r="B4" s="2"/>
      <c r="C4" s="1"/>
      <c r="D4" s="1"/>
      <c r="G4" s="166"/>
      <c r="H4" s="166"/>
      <c r="I4" s="311"/>
    </row>
    <row r="5" spans="1:18" ht="13.5" thickBot="1" x14ac:dyDescent="0.3">
      <c r="A5" s="165"/>
      <c r="B5" s="164"/>
      <c r="C5" s="164"/>
      <c r="D5" s="164"/>
      <c r="E5" s="164"/>
      <c r="F5" s="164"/>
      <c r="G5" s="163"/>
      <c r="H5" s="163"/>
      <c r="I5" s="311"/>
    </row>
    <row r="6" spans="1:18" x14ac:dyDescent="0.25">
      <c r="A6" s="162"/>
      <c r="B6" s="2"/>
      <c r="C6" s="1"/>
      <c r="D6" s="1"/>
      <c r="G6" s="161"/>
      <c r="H6" s="161"/>
      <c r="I6" s="311"/>
    </row>
    <row r="7" spans="1:18" x14ac:dyDescent="0.25">
      <c r="A7" s="160" t="s">
        <v>187</v>
      </c>
      <c r="B7" s="159" t="s">
        <v>284</v>
      </c>
      <c r="C7" s="158"/>
      <c r="D7" s="158"/>
      <c r="E7" s="158"/>
      <c r="F7" s="158"/>
      <c r="G7" s="158"/>
      <c r="H7" s="157"/>
      <c r="I7" s="311"/>
    </row>
    <row r="8" spans="1:18" x14ac:dyDescent="0.25">
      <c r="A8" s="156" t="s">
        <v>0</v>
      </c>
      <c r="B8" s="155" t="s">
        <v>283</v>
      </c>
      <c r="C8" s="154"/>
      <c r="D8" s="154"/>
      <c r="E8" s="154"/>
      <c r="F8" s="154"/>
      <c r="G8" s="154"/>
      <c r="H8" s="153"/>
      <c r="I8" s="311"/>
    </row>
    <row r="9" spans="1:18" ht="15" customHeight="1" x14ac:dyDescent="0.25">
      <c r="A9" s="152" t="s">
        <v>186</v>
      </c>
      <c r="B9" s="151">
        <v>45460</v>
      </c>
      <c r="C9" s="150"/>
      <c r="D9" s="150"/>
      <c r="E9" s="150"/>
      <c r="F9" s="150"/>
      <c r="G9" s="150"/>
      <c r="H9" s="149"/>
    </row>
    <row r="10" spans="1:18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8" ht="15.75" customHeight="1" x14ac:dyDescent="0.25">
      <c r="A12" s="144" t="s">
        <v>214</v>
      </c>
      <c r="B12" s="143"/>
      <c r="C12" s="142"/>
      <c r="D12" s="141"/>
      <c r="E12" s="140"/>
      <c r="F12" s="140"/>
      <c r="G12" s="140"/>
      <c r="H12" s="139"/>
    </row>
    <row r="13" spans="1:18" ht="15.75" customHeight="1" x14ac:dyDescent="0.25">
      <c r="A13" s="138"/>
      <c r="B13" s="137"/>
      <c r="C13" s="136"/>
      <c r="D13" s="135"/>
      <c r="E13" s="135"/>
      <c r="F13" s="135"/>
      <c r="H13" s="131"/>
    </row>
    <row r="14" spans="1:18" ht="15.75" customHeight="1" x14ac:dyDescent="0.25">
      <c r="A14" s="134" t="s">
        <v>14</v>
      </c>
      <c r="B14" s="345" t="s">
        <v>18</v>
      </c>
      <c r="C14" s="346"/>
      <c r="D14" s="347" t="s">
        <v>5</v>
      </c>
      <c r="E14" s="348"/>
      <c r="F14" s="133" t="s">
        <v>183</v>
      </c>
      <c r="G14" s="132" t="s">
        <v>16</v>
      </c>
      <c r="H14" s="131"/>
      <c r="I14" s="312" t="s">
        <v>721</v>
      </c>
      <c r="J14" s="312" t="s">
        <v>726</v>
      </c>
      <c r="K14" s="113" t="s">
        <v>722</v>
      </c>
      <c r="L14" s="113" t="s">
        <v>727</v>
      </c>
      <c r="O14" s="1" t="s">
        <v>728</v>
      </c>
    </row>
    <row r="15" spans="1:18" x14ac:dyDescent="0.25">
      <c r="A15" s="172" t="s">
        <v>196</v>
      </c>
      <c r="B15" s="175">
        <f>SUM(ARQUITETURA!$D$15:$D$30)</f>
        <v>2609.4</v>
      </c>
      <c r="C15" s="129" t="s">
        <v>2</v>
      </c>
      <c r="D15" s="124">
        <f>25+70</f>
        <v>95</v>
      </c>
      <c r="E15" s="130" t="s">
        <v>171</v>
      </c>
      <c r="F15" s="126" t="s">
        <v>211</v>
      </c>
      <c r="G15" s="125">
        <f>B15*D15*1</f>
        <v>247893</v>
      </c>
      <c r="H15" s="131"/>
      <c r="I15" s="114">
        <v>25</v>
      </c>
      <c r="J15" s="114">
        <f>I15*$B15</f>
        <v>65235</v>
      </c>
      <c r="K15" s="184">
        <v>70</v>
      </c>
      <c r="L15" s="114">
        <f>K15*$B15</f>
        <v>182658</v>
      </c>
      <c r="M15" s="1" t="s">
        <v>724</v>
      </c>
      <c r="O15" s="1" t="s">
        <v>14</v>
      </c>
      <c r="P15" s="115" t="s">
        <v>729</v>
      </c>
      <c r="Q15" s="1" t="s">
        <v>730</v>
      </c>
      <c r="R15" s="1" t="s">
        <v>731</v>
      </c>
    </row>
    <row r="16" spans="1:18" x14ac:dyDescent="0.25">
      <c r="A16" s="172" t="s">
        <v>357</v>
      </c>
      <c r="B16" s="175">
        <f>(K9*2+K10*7)*0</f>
        <v>0</v>
      </c>
      <c r="C16" s="129" t="s">
        <v>4</v>
      </c>
      <c r="D16" s="124">
        <v>5</v>
      </c>
      <c r="E16" s="130" t="s">
        <v>171</v>
      </c>
      <c r="F16" s="126" t="s">
        <v>211</v>
      </c>
      <c r="G16" s="125">
        <f>B16*D16*1.1</f>
        <v>0</v>
      </c>
      <c r="H16" s="131"/>
      <c r="K16" s="184"/>
      <c r="O16" s="1" t="s">
        <v>196</v>
      </c>
      <c r="P16" s="314">
        <f>B15</f>
        <v>2609.4</v>
      </c>
      <c r="Q16" s="115">
        <f>D15*1.1</f>
        <v>104.50000000000001</v>
      </c>
      <c r="R16" s="115">
        <f>Q16*P16</f>
        <v>272682.30000000005</v>
      </c>
    </row>
    <row r="17" spans="1:19" x14ac:dyDescent="0.25">
      <c r="A17" s="343" t="s">
        <v>17</v>
      </c>
      <c r="B17" s="344"/>
      <c r="C17" s="344"/>
      <c r="D17" s="344"/>
      <c r="E17" s="344"/>
      <c r="F17" s="344"/>
      <c r="G17" s="122">
        <f>SUM(G15:G16)</f>
        <v>247893</v>
      </c>
      <c r="H17" s="121"/>
      <c r="K17" s="184"/>
      <c r="O17" s="1" t="s">
        <v>324</v>
      </c>
      <c r="P17" s="314">
        <f>P16</f>
        <v>2609.4</v>
      </c>
      <c r="Q17" s="115">
        <f>D23*1.1</f>
        <v>99.000000000000014</v>
      </c>
      <c r="R17" s="115">
        <f>Q17*P17</f>
        <v>258330.60000000003</v>
      </c>
    </row>
    <row r="18" spans="1:19" ht="15.75" customHeight="1" x14ac:dyDescent="0.25">
      <c r="A18" s="341"/>
      <c r="B18" s="342"/>
      <c r="C18" s="342"/>
      <c r="D18" s="342"/>
      <c r="E18" s="342"/>
      <c r="F18" s="342"/>
      <c r="G18" s="167"/>
      <c r="H18" s="118"/>
      <c r="K18" s="184"/>
      <c r="R18" s="115">
        <f>SUM(R16:R17)</f>
        <v>531012.90000000014</v>
      </c>
      <c r="S18" s="1">
        <f>R18/DADOS_INICIAIS!$E$9</f>
        <v>99.294465449731305</v>
      </c>
    </row>
    <row r="19" spans="1:19" ht="15.75" customHeight="1" x14ac:dyDescent="0.25">
      <c r="A19" s="144" t="s">
        <v>213</v>
      </c>
      <c r="B19" s="143"/>
      <c r="C19" s="142"/>
      <c r="D19" s="141"/>
      <c r="E19" s="140"/>
      <c r="F19" s="140"/>
      <c r="G19" s="140"/>
      <c r="H19" s="139"/>
    </row>
    <row r="20" spans="1:19" ht="15.75" customHeight="1" x14ac:dyDescent="0.25">
      <c r="A20" s="138"/>
      <c r="B20" s="183"/>
      <c r="C20" s="136"/>
      <c r="D20" s="135"/>
      <c r="E20" s="135"/>
      <c r="F20" s="135"/>
      <c r="H20" s="131"/>
    </row>
    <row r="21" spans="1:19" ht="15.75" customHeight="1" x14ac:dyDescent="0.25">
      <c r="A21" s="134" t="s">
        <v>14</v>
      </c>
      <c r="B21" s="345" t="s">
        <v>18</v>
      </c>
      <c r="C21" s="346"/>
      <c r="D21" s="347" t="s">
        <v>5</v>
      </c>
      <c r="E21" s="348"/>
      <c r="F21" s="133" t="s">
        <v>183</v>
      </c>
      <c r="G21" s="132" t="s">
        <v>16</v>
      </c>
      <c r="H21" s="131"/>
    </row>
    <row r="22" spans="1:19" ht="15.75" customHeight="1" x14ac:dyDescent="0.25">
      <c r="A22" s="172" t="s">
        <v>716</v>
      </c>
      <c r="B22" s="175">
        <f>B30</f>
        <v>1614.96</v>
      </c>
      <c r="C22" s="129" t="s">
        <v>2</v>
      </c>
      <c r="D22" s="124">
        <f>0.16*17+20</f>
        <v>22.72</v>
      </c>
      <c r="E22" s="130" t="s">
        <v>171</v>
      </c>
      <c r="F22" s="126" t="s">
        <v>211</v>
      </c>
      <c r="G22" s="125">
        <f>B22*D22*1</f>
        <v>36691.891199999998</v>
      </c>
      <c r="H22" s="131" t="s">
        <v>717</v>
      </c>
      <c r="I22" s="114">
        <f>0.16*17</f>
        <v>2.72</v>
      </c>
      <c r="J22" s="114">
        <f>I22*$B22</f>
        <v>4392.6912000000002</v>
      </c>
      <c r="K22" s="184">
        <v>20</v>
      </c>
      <c r="L22" s="114">
        <f>K22*$B22</f>
        <v>32299.200000000001</v>
      </c>
      <c r="M22" s="1" t="s">
        <v>724</v>
      </c>
    </row>
    <row r="23" spans="1:19" ht="15.75" customHeight="1" x14ac:dyDescent="0.25">
      <c r="A23" s="172" t="s">
        <v>324</v>
      </c>
      <c r="B23" s="175">
        <f>B15-B30</f>
        <v>994.44</v>
      </c>
      <c r="C23" s="129" t="s">
        <v>2</v>
      </c>
      <c r="D23" s="124">
        <f>30+60</f>
        <v>90</v>
      </c>
      <c r="E23" s="130" t="s">
        <v>171</v>
      </c>
      <c r="F23" s="126" t="s">
        <v>211</v>
      </c>
      <c r="G23" s="125">
        <f>B23*D23*1</f>
        <v>89499.6</v>
      </c>
      <c r="H23" s="207"/>
      <c r="I23" s="114">
        <v>25</v>
      </c>
      <c r="J23" s="114">
        <f>I23*$B23</f>
        <v>24861</v>
      </c>
      <c r="K23" s="184">
        <v>52</v>
      </c>
      <c r="L23" s="114">
        <f>K23*$B23</f>
        <v>51710.880000000005</v>
      </c>
      <c r="M23" s="1" t="s">
        <v>724</v>
      </c>
    </row>
    <row r="24" spans="1:19" ht="15.75" customHeight="1" x14ac:dyDescent="0.25">
      <c r="A24" s="172" t="s">
        <v>362</v>
      </c>
      <c r="B24" s="175">
        <f>B15*0.2*0</f>
        <v>0</v>
      </c>
      <c r="C24" s="129" t="s">
        <v>2</v>
      </c>
      <c r="D24" s="124">
        <f>110+2.25+65</f>
        <v>177.25</v>
      </c>
      <c r="E24" s="130" t="s">
        <v>171</v>
      </c>
      <c r="F24" s="126" t="s">
        <v>211</v>
      </c>
      <c r="G24" s="125">
        <f>B24*D24*1.1</f>
        <v>0</v>
      </c>
      <c r="H24" s="131"/>
    </row>
    <row r="25" spans="1:19" x14ac:dyDescent="0.25">
      <c r="A25" s="343" t="s">
        <v>17</v>
      </c>
      <c r="B25" s="344"/>
      <c r="C25" s="344"/>
      <c r="D25" s="344"/>
      <c r="E25" s="344"/>
      <c r="F25" s="344"/>
      <c r="G25" s="122">
        <f>SUM(G22:G24)</f>
        <v>126191.4912</v>
      </c>
      <c r="H25" s="121"/>
    </row>
    <row r="26" spans="1:19" x14ac:dyDescent="0.25">
      <c r="A26" s="360"/>
      <c r="B26" s="361"/>
      <c r="C26" s="361"/>
      <c r="D26" s="361"/>
      <c r="E26" s="361"/>
      <c r="F26" s="361"/>
      <c r="G26" s="167"/>
      <c r="H26" s="118"/>
    </row>
    <row r="27" spans="1:19" ht="15.75" customHeight="1" x14ac:dyDescent="0.25">
      <c r="A27" s="144" t="s">
        <v>212</v>
      </c>
      <c r="B27" s="143"/>
      <c r="C27" s="142"/>
      <c r="D27" s="141"/>
      <c r="E27" s="140"/>
      <c r="F27" s="140"/>
      <c r="G27" s="140"/>
      <c r="H27" s="139"/>
    </row>
    <row r="28" spans="1:19" ht="15.75" customHeight="1" x14ac:dyDescent="0.25">
      <c r="A28" s="138"/>
      <c r="B28" s="137"/>
      <c r="C28" s="136"/>
      <c r="D28" s="135"/>
      <c r="E28" s="135"/>
      <c r="F28" s="135"/>
      <c r="H28" s="131"/>
    </row>
    <row r="29" spans="1:19" ht="15.75" customHeight="1" x14ac:dyDescent="0.25">
      <c r="A29" s="134" t="s">
        <v>14</v>
      </c>
      <c r="B29" s="345" t="s">
        <v>18</v>
      </c>
      <c r="C29" s="346"/>
      <c r="D29" s="347" t="s">
        <v>5</v>
      </c>
      <c r="E29" s="348"/>
      <c r="F29" s="133" t="s">
        <v>183</v>
      </c>
      <c r="G29" s="132" t="s">
        <v>16</v>
      </c>
      <c r="H29" s="131"/>
    </row>
    <row r="30" spans="1:19" ht="15.75" customHeight="1" x14ac:dyDescent="0.25">
      <c r="A30" s="172" t="s">
        <v>537</v>
      </c>
      <c r="B30" s="175">
        <f>ARQUITETURA!D18+ARQUITETURA!D19+ARQUITETURA!D21+ARQUITETURA!D23+ARQUITETURA!D25+ARQUITETURA!D27+ARQUITETURA!D28+ARQUITETURA!D30</f>
        <v>1614.96</v>
      </c>
      <c r="C30" s="129" t="s">
        <v>2</v>
      </c>
      <c r="D30" s="124">
        <f>702+200</f>
        <v>902</v>
      </c>
      <c r="E30" s="130" t="s">
        <v>171</v>
      </c>
      <c r="F30" s="126" t="s">
        <v>211</v>
      </c>
      <c r="G30" s="125">
        <f>B30*D30*1</f>
        <v>1456693.92</v>
      </c>
      <c r="H30" s="131"/>
      <c r="I30" s="114">
        <f>D30</f>
        <v>902</v>
      </c>
      <c r="J30" s="114">
        <f>I30*$B30</f>
        <v>1456693.92</v>
      </c>
      <c r="K30" s="184"/>
      <c r="L30" s="114">
        <f>K30*$B30</f>
        <v>0</v>
      </c>
      <c r="M30" s="1" t="s">
        <v>725</v>
      </c>
    </row>
    <row r="31" spans="1:19" ht="15.75" customHeight="1" x14ac:dyDescent="0.25">
      <c r="A31" s="172" t="s">
        <v>350</v>
      </c>
      <c r="B31" s="175"/>
      <c r="C31" s="129" t="s">
        <v>2</v>
      </c>
      <c r="D31" s="124">
        <v>850</v>
      </c>
      <c r="E31" s="130" t="s">
        <v>171</v>
      </c>
      <c r="F31" s="126" t="s">
        <v>211</v>
      </c>
      <c r="G31" s="125">
        <f>B31*D31*1.1</f>
        <v>0</v>
      </c>
      <c r="H31" s="131"/>
    </row>
    <row r="32" spans="1:19" ht="15.75" customHeight="1" x14ac:dyDescent="0.25">
      <c r="A32" s="172" t="s">
        <v>358</v>
      </c>
      <c r="B32" s="175"/>
      <c r="C32" s="129" t="s">
        <v>4</v>
      </c>
      <c r="D32" s="124">
        <v>120</v>
      </c>
      <c r="E32" s="130" t="s">
        <v>359</v>
      </c>
      <c r="F32" s="126" t="s">
        <v>211</v>
      </c>
      <c r="G32" s="125">
        <f>B32*D32*1.1</f>
        <v>0</v>
      </c>
      <c r="H32" s="131"/>
    </row>
    <row r="33" spans="1:8" ht="15.75" customHeight="1" x14ac:dyDescent="0.25">
      <c r="A33" s="204" t="s">
        <v>360</v>
      </c>
      <c r="B33" s="205"/>
      <c r="C33" s="129" t="s">
        <v>2</v>
      </c>
      <c r="D33" s="124">
        <v>1800</v>
      </c>
      <c r="E33" s="130" t="s">
        <v>171</v>
      </c>
      <c r="F33" s="126" t="s">
        <v>211</v>
      </c>
      <c r="G33" s="125">
        <f>B33*D33*1.1</f>
        <v>0</v>
      </c>
      <c r="H33" s="131"/>
    </row>
    <row r="34" spans="1:8" ht="15.75" customHeight="1" x14ac:dyDescent="0.25">
      <c r="A34" s="343"/>
      <c r="B34" s="344"/>
      <c r="C34" s="344"/>
      <c r="D34" s="344"/>
      <c r="E34" s="344"/>
      <c r="F34" s="344"/>
      <c r="G34" s="122">
        <f>SUM(G30:G33)</f>
        <v>1456693.92</v>
      </c>
      <c r="H34" s="121"/>
    </row>
    <row r="35" spans="1:8" x14ac:dyDescent="0.25">
      <c r="A35" s="341"/>
      <c r="B35" s="342"/>
      <c r="C35" s="342"/>
      <c r="D35" s="342"/>
      <c r="E35" s="342"/>
      <c r="F35" s="342"/>
      <c r="G35" s="167"/>
      <c r="H35" s="118"/>
    </row>
    <row r="36" spans="1:8" ht="15.75" customHeight="1" x14ac:dyDescent="0.25">
      <c r="G36" s="115"/>
    </row>
    <row r="37" spans="1:8" ht="15.75" customHeight="1" x14ac:dyDescent="0.25">
      <c r="A37" s="340" t="s">
        <v>210</v>
      </c>
      <c r="B37" s="340"/>
      <c r="C37" s="340"/>
      <c r="D37" s="340"/>
      <c r="E37" s="340"/>
      <c r="F37" s="340"/>
      <c r="G37" s="117">
        <f>G25+G17+G34</f>
        <v>1830778.4112</v>
      </c>
      <c r="H37" s="116">
        <f>G37/DADOS_INICIAIS!$E$9</f>
        <v>342.3385075899518</v>
      </c>
    </row>
    <row r="38" spans="1:8" ht="15.75" customHeight="1" x14ac:dyDescent="0.25">
      <c r="H38" s="115">
        <f>H37/1.1</f>
        <v>311.21682508177435</v>
      </c>
    </row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</sheetData>
  <mergeCells count="14">
    <mergeCell ref="B21:C21"/>
    <mergeCell ref="D21:E21"/>
    <mergeCell ref="A37:F37"/>
    <mergeCell ref="A25:F25"/>
    <mergeCell ref="A26:F26"/>
    <mergeCell ref="A35:F35"/>
    <mergeCell ref="B29:C29"/>
    <mergeCell ref="D29:E29"/>
    <mergeCell ref="A34:F34"/>
    <mergeCell ref="B14:C14"/>
    <mergeCell ref="D14:E14"/>
    <mergeCell ref="A2:A4"/>
    <mergeCell ref="A17:F17"/>
    <mergeCell ref="A18:F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F773-AC4A-4F21-B2EF-C9876C500E18}">
  <sheetPr>
    <tabColor rgb="FF92D050"/>
  </sheetPr>
  <dimension ref="A1:J18"/>
  <sheetViews>
    <sheetView showGridLines="0" zoomScale="85" zoomScaleNormal="85" zoomScaleSheetLayoutView="95" workbookViewId="0">
      <selection activeCell="C14" sqref="C14"/>
    </sheetView>
  </sheetViews>
  <sheetFormatPr defaultColWidth="9.140625" defaultRowHeight="19.5" x14ac:dyDescent="0.25"/>
  <cols>
    <col min="1" max="1" width="53" style="45" bestFit="1" customWidth="1"/>
    <col min="2" max="6" width="27" style="45" customWidth="1"/>
    <col min="7" max="7" width="14" style="45" customWidth="1"/>
    <col min="8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I1" s="2"/>
    </row>
    <row r="2" spans="1:10" ht="28.5" x14ac:dyDescent="0.25">
      <c r="A2" s="326" t="s">
        <v>282</v>
      </c>
      <c r="B2" s="327"/>
      <c r="C2" s="327"/>
      <c r="D2" s="327"/>
      <c r="E2" s="327"/>
      <c r="F2" s="327"/>
      <c r="G2" s="328"/>
      <c r="I2" s="2"/>
    </row>
    <row r="3" spans="1:10" s="55" customFormat="1" x14ac:dyDescent="0.25">
      <c r="A3" s="186" t="s">
        <v>186</v>
      </c>
      <c r="B3" s="192">
        <v>45460</v>
      </c>
      <c r="C3" s="190"/>
      <c r="D3" s="190"/>
      <c r="E3" s="190"/>
      <c r="F3" s="190"/>
      <c r="G3" s="190"/>
      <c r="H3" s="191"/>
      <c r="J3" s="79"/>
    </row>
    <row r="4" spans="1:10" s="55" customFormat="1" x14ac:dyDescent="0.25">
      <c r="A4" s="186" t="s">
        <v>294</v>
      </c>
      <c r="B4" s="193" t="s">
        <v>211</v>
      </c>
      <c r="C4" s="188"/>
      <c r="D4" s="188"/>
      <c r="E4" s="188"/>
      <c r="F4" s="188"/>
      <c r="G4" s="188"/>
      <c r="H4" s="189"/>
      <c r="J4" s="79"/>
    </row>
    <row r="5" spans="1:10" x14ac:dyDescent="0.25">
      <c r="A5" s="50"/>
      <c r="B5" s="50"/>
      <c r="C5" s="50"/>
      <c r="D5" s="50"/>
      <c r="E5" s="50"/>
      <c r="F5" s="48"/>
      <c r="G5" s="48"/>
      <c r="I5" s="2"/>
    </row>
    <row r="6" spans="1:10" s="55" customFormat="1" ht="21.75" x14ac:dyDescent="0.25">
      <c r="A6" s="52" t="s">
        <v>281</v>
      </c>
      <c r="B6" s="53"/>
      <c r="C6" s="53"/>
      <c r="D6" s="53"/>
      <c r="E6" s="53"/>
      <c r="F6" s="53"/>
      <c r="G6" s="53"/>
    </row>
    <row r="7" spans="1:10" s="55" customFormat="1" ht="21.75" x14ac:dyDescent="0.25">
      <c r="A7" s="56"/>
      <c r="B7" s="57"/>
      <c r="C7" s="57"/>
      <c r="D7" s="57"/>
      <c r="E7" s="57"/>
      <c r="F7" s="59"/>
      <c r="G7" s="59"/>
    </row>
    <row r="8" spans="1:10" s="55" customFormat="1" ht="42" customHeight="1" x14ac:dyDescent="0.25">
      <c r="A8" s="63" t="s">
        <v>14</v>
      </c>
      <c r="B8" s="330" t="s">
        <v>5</v>
      </c>
      <c r="C8" s="331"/>
      <c r="D8" s="330" t="s">
        <v>18</v>
      </c>
      <c r="E8" s="331"/>
      <c r="F8" s="71" t="s">
        <v>16</v>
      </c>
      <c r="G8" s="59"/>
    </row>
    <row r="9" spans="1:10" s="55" customFormat="1" ht="43.5" x14ac:dyDescent="0.25">
      <c r="A9" s="66" t="s">
        <v>547</v>
      </c>
      <c r="B9" s="62">
        <v>1990</v>
      </c>
      <c r="C9" s="62" t="s">
        <v>549</v>
      </c>
      <c r="D9" s="67">
        <f>SUM('Obra '!E24:E30)</f>
        <v>2822.3999999999996</v>
      </c>
      <c r="E9" s="67" t="s">
        <v>2</v>
      </c>
      <c r="F9" s="89">
        <f>D9*B9*1.1</f>
        <v>6178233.5999999996</v>
      </c>
      <c r="G9" s="45" t="s">
        <v>548</v>
      </c>
    </row>
    <row r="10" spans="1:10" s="55" customFormat="1" ht="21.75" x14ac:dyDescent="0.25">
      <c r="A10" s="66" t="s">
        <v>280</v>
      </c>
      <c r="B10" s="62">
        <v>1700</v>
      </c>
      <c r="C10" s="62" t="s">
        <v>279</v>
      </c>
      <c r="D10" s="67">
        <f>DADOS_INICIAIS!E21</f>
        <v>813.67</v>
      </c>
      <c r="E10" s="67" t="s">
        <v>2</v>
      </c>
      <c r="F10" s="89">
        <f>D10*B10*1.1</f>
        <v>1521562.9000000001</v>
      </c>
      <c r="G10" s="57"/>
    </row>
    <row r="11" spans="1:10" s="55" customFormat="1" ht="21.75" x14ac:dyDescent="0.25">
      <c r="A11" s="66" t="s">
        <v>278</v>
      </c>
      <c r="B11" s="62">
        <v>10</v>
      </c>
      <c r="C11" s="62" t="s">
        <v>6</v>
      </c>
      <c r="D11" s="67">
        <f>B11*DADOS_INICIAIS!$E$9</f>
        <v>53478.600000000006</v>
      </c>
      <c r="E11" s="67" t="s">
        <v>27</v>
      </c>
      <c r="F11" s="89">
        <f>D11*1.1</f>
        <v>58826.460000000014</v>
      </c>
      <c r="G11" s="57"/>
    </row>
    <row r="12" spans="1:10" s="55" customFormat="1" ht="21.75" x14ac:dyDescent="0.25">
      <c r="A12" s="66" t="s">
        <v>277</v>
      </c>
      <c r="B12" s="62">
        <v>9</v>
      </c>
      <c r="C12" s="62" t="s">
        <v>6</v>
      </c>
      <c r="D12" s="67">
        <f>B12*DADOS_INICIAIS!$E$9</f>
        <v>48130.740000000005</v>
      </c>
      <c r="E12" s="67" t="s">
        <v>27</v>
      </c>
      <c r="F12" s="89">
        <f t="shared" ref="F12:F15" si="0">D12*1.1</f>
        <v>52943.814000000013</v>
      </c>
      <c r="G12" s="57"/>
    </row>
    <row r="13" spans="1:10" s="55" customFormat="1" ht="21.75" x14ac:dyDescent="0.25">
      <c r="A13" s="66" t="s">
        <v>276</v>
      </c>
      <c r="B13" s="62">
        <v>4</v>
      </c>
      <c r="C13" s="62" t="s">
        <v>6</v>
      </c>
      <c r="D13" s="67">
        <f>B13*DADOS_INICIAIS!$E$9</f>
        <v>21391.440000000002</v>
      </c>
      <c r="E13" s="67" t="s">
        <v>27</v>
      </c>
      <c r="F13" s="89">
        <f t="shared" si="0"/>
        <v>23530.584000000006</v>
      </c>
      <c r="G13" s="57"/>
    </row>
    <row r="14" spans="1:10" s="55" customFormat="1" ht="21.75" x14ac:dyDescent="0.25">
      <c r="A14" s="66" t="s">
        <v>275</v>
      </c>
      <c r="B14" s="62">
        <v>5</v>
      </c>
      <c r="C14" s="62" t="s">
        <v>6</v>
      </c>
      <c r="D14" s="67">
        <f>B14*DADOS_INICIAIS!$E$9</f>
        <v>26739.300000000003</v>
      </c>
      <c r="E14" s="67" t="s">
        <v>27</v>
      </c>
      <c r="F14" s="89">
        <f t="shared" si="0"/>
        <v>29413.230000000007</v>
      </c>
      <c r="G14" s="57"/>
    </row>
    <row r="15" spans="1:10" s="55" customFormat="1" ht="21.75" x14ac:dyDescent="0.25">
      <c r="A15" s="66" t="s">
        <v>274</v>
      </c>
      <c r="B15" s="62">
        <v>15</v>
      </c>
      <c r="C15" s="62" t="s">
        <v>6</v>
      </c>
      <c r="D15" s="67">
        <f>B15*DADOS_INICIAIS!$E$9</f>
        <v>80217.900000000009</v>
      </c>
      <c r="E15" s="67" t="s">
        <v>27</v>
      </c>
      <c r="F15" s="89">
        <f t="shared" si="0"/>
        <v>88239.690000000017</v>
      </c>
      <c r="G15" s="57"/>
    </row>
    <row r="16" spans="1:10" s="55" customFormat="1" ht="21.75" x14ac:dyDescent="0.25">
      <c r="A16" s="325" t="s">
        <v>17</v>
      </c>
      <c r="B16" s="325"/>
      <c r="C16" s="325"/>
      <c r="D16" s="110"/>
      <c r="E16" s="110"/>
      <c r="F16" s="90">
        <f>SUM(F10:F15)</f>
        <v>1774516.6780000001</v>
      </c>
      <c r="G16" s="60"/>
    </row>
    <row r="17" spans="1:7" s="55" customFormat="1" ht="21.75" x14ac:dyDescent="0.25">
      <c r="A17" s="329"/>
      <c r="B17" s="329"/>
      <c r="C17" s="329"/>
      <c r="D17" s="111"/>
      <c r="E17" s="111"/>
      <c r="F17" s="59"/>
      <c r="G17" s="59"/>
    </row>
    <row r="18" spans="1:7" ht="23.25" customHeight="1" x14ac:dyDescent="0.25">
      <c r="A18" s="322" t="s">
        <v>273</v>
      </c>
      <c r="B18" s="323"/>
      <c r="C18" s="324"/>
      <c r="D18" s="109"/>
      <c r="E18" s="109"/>
      <c r="F18" s="108">
        <f>F16</f>
        <v>1774516.6780000001</v>
      </c>
      <c r="G18" s="108">
        <f>F18/DADOS_INICIAIS!$E$9</f>
        <v>331.81808760887532</v>
      </c>
    </row>
  </sheetData>
  <mergeCells count="6">
    <mergeCell ref="A18:C18"/>
    <mergeCell ref="B8:C8"/>
    <mergeCell ref="D8:E8"/>
    <mergeCell ref="A2:G2"/>
    <mergeCell ref="A16:C16"/>
    <mergeCell ref="A17:C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5" x14ac:dyDescent="0.25"/>
  <cols>
    <col min="1" max="1" width="106.5703125" bestFit="1" customWidth="1"/>
    <col min="3" max="3" width="15.7109375" bestFit="1" customWidth="1"/>
    <col min="4" max="4" width="8.85546875" style="3"/>
    <col min="7" max="7" width="14.85546875" bestFit="1" customWidth="1"/>
    <col min="8" max="8" width="9.28515625" style="3" bestFit="1" customWidth="1"/>
  </cols>
  <sheetData>
    <row r="2" spans="1:8" x14ac:dyDescent="0.25">
      <c r="A2" t="s">
        <v>42</v>
      </c>
      <c r="B2">
        <v>2</v>
      </c>
      <c r="C2" t="s">
        <v>89</v>
      </c>
      <c r="D2" s="3">
        <v>18.399999999999999</v>
      </c>
    </row>
    <row r="3" spans="1:8" x14ac:dyDescent="0.25">
      <c r="A3" t="s">
        <v>43</v>
      </c>
      <c r="B3">
        <v>2</v>
      </c>
      <c r="C3" t="s">
        <v>90</v>
      </c>
    </row>
    <row r="4" spans="1:8" x14ac:dyDescent="0.25">
      <c r="A4" t="s">
        <v>44</v>
      </c>
      <c r="B4">
        <v>1</v>
      </c>
      <c r="C4" t="s">
        <v>91</v>
      </c>
      <c r="D4" s="3">
        <v>3.4649999999999999</v>
      </c>
    </row>
    <row r="5" spans="1:8" x14ac:dyDescent="0.25">
      <c r="A5" t="s">
        <v>45</v>
      </c>
      <c r="B5">
        <v>1</v>
      </c>
      <c r="C5" t="s">
        <v>91</v>
      </c>
      <c r="D5" s="3">
        <v>1.7324999999999999</v>
      </c>
      <c r="G5" t="s">
        <v>95</v>
      </c>
      <c r="H5" s="3">
        <f>SUMIF(C:C,G5,D:D)</f>
        <v>400.52209999999991</v>
      </c>
    </row>
    <row r="6" spans="1:8" x14ac:dyDescent="0.25">
      <c r="A6" t="s">
        <v>46</v>
      </c>
      <c r="B6">
        <v>2</v>
      </c>
      <c r="C6" t="s">
        <v>91</v>
      </c>
      <c r="D6" s="3">
        <v>5.2751999999999999</v>
      </c>
      <c r="G6" t="s">
        <v>96</v>
      </c>
      <c r="H6" s="3">
        <f>SUMIF(C:C,G6,D:D)</f>
        <v>1895.0600000000002</v>
      </c>
    </row>
    <row r="7" spans="1:8" x14ac:dyDescent="0.25">
      <c r="A7" t="s">
        <v>47</v>
      </c>
      <c r="B7">
        <v>1</v>
      </c>
      <c r="C7" t="s">
        <v>91</v>
      </c>
      <c r="D7" s="3">
        <v>4.1916000000000002</v>
      </c>
      <c r="G7" t="s">
        <v>93</v>
      </c>
      <c r="H7" s="3">
        <f>SUMIF(C:C,G7,B:B)</f>
        <v>218</v>
      </c>
    </row>
    <row r="8" spans="1:8" x14ac:dyDescent="0.25">
      <c r="A8" t="s">
        <v>48</v>
      </c>
      <c r="B8">
        <v>1</v>
      </c>
      <c r="C8" t="s">
        <v>94</v>
      </c>
      <c r="G8" t="s">
        <v>90</v>
      </c>
      <c r="H8" s="3">
        <f>SUMIF(C:C,G8,B:B)</f>
        <v>60</v>
      </c>
    </row>
    <row r="9" spans="1:8" x14ac:dyDescent="0.25">
      <c r="A9" t="s">
        <v>49</v>
      </c>
      <c r="B9">
        <v>19</v>
      </c>
      <c r="C9" t="s">
        <v>93</v>
      </c>
      <c r="G9" t="s">
        <v>94</v>
      </c>
      <c r="H9" s="3">
        <f>SUMIF(C:C,G9,B:B)</f>
        <v>1</v>
      </c>
    </row>
    <row r="10" spans="1:8" x14ac:dyDescent="0.25">
      <c r="A10" t="s">
        <v>50</v>
      </c>
      <c r="B10">
        <v>3</v>
      </c>
      <c r="C10" t="s">
        <v>91</v>
      </c>
      <c r="D10" s="3">
        <v>6.3</v>
      </c>
      <c r="G10" t="s">
        <v>92</v>
      </c>
      <c r="H10" s="3">
        <f>SUMIF(C:C,G10,D:D)</f>
        <v>46.62</v>
      </c>
    </row>
    <row r="11" spans="1:8" x14ac:dyDescent="0.25">
      <c r="A11" t="s">
        <v>51</v>
      </c>
      <c r="B11">
        <v>2</v>
      </c>
      <c r="C11" t="s">
        <v>91</v>
      </c>
      <c r="D11" s="3">
        <v>3.78</v>
      </c>
      <c r="G11" t="s">
        <v>89</v>
      </c>
      <c r="H11" s="3">
        <f>SUMIF(C:C,G11,B:B)</f>
        <v>2</v>
      </c>
    </row>
    <row r="12" spans="1:8" x14ac:dyDescent="0.25">
      <c r="A12" t="s">
        <v>52</v>
      </c>
      <c r="B12">
        <v>1</v>
      </c>
      <c r="C12" t="s">
        <v>91</v>
      </c>
      <c r="D12" s="3">
        <v>2.0076000000000001</v>
      </c>
      <c r="G12" t="s">
        <v>97</v>
      </c>
      <c r="H12" s="3">
        <f>SUMIF(C:C,G12,D:D)</f>
        <v>113.88000000000002</v>
      </c>
    </row>
    <row r="13" spans="1:8" x14ac:dyDescent="0.25">
      <c r="A13" t="s">
        <v>53</v>
      </c>
      <c r="C13" t="s">
        <v>96</v>
      </c>
      <c r="D13" s="3">
        <v>23.4526</v>
      </c>
      <c r="G13" t="s">
        <v>98</v>
      </c>
      <c r="H13" s="3">
        <v>109.3146</v>
      </c>
    </row>
    <row r="14" spans="1:8" x14ac:dyDescent="0.25">
      <c r="A14" t="s">
        <v>54</v>
      </c>
      <c r="C14" t="s">
        <v>95</v>
      </c>
      <c r="D14" s="3">
        <v>20.8062</v>
      </c>
    </row>
    <row r="15" spans="1:8" x14ac:dyDescent="0.25">
      <c r="A15" t="s">
        <v>55</v>
      </c>
      <c r="B15">
        <v>8</v>
      </c>
      <c r="C15" t="s">
        <v>90</v>
      </c>
    </row>
    <row r="16" spans="1:8" x14ac:dyDescent="0.25">
      <c r="A16" t="s">
        <v>56</v>
      </c>
      <c r="C16" t="s">
        <v>96</v>
      </c>
      <c r="D16" s="3">
        <v>124.1564</v>
      </c>
    </row>
    <row r="17" spans="1:4" x14ac:dyDescent="0.25">
      <c r="A17" t="s">
        <v>57</v>
      </c>
      <c r="B17">
        <v>2</v>
      </c>
      <c r="C17" t="s">
        <v>90</v>
      </c>
    </row>
    <row r="18" spans="1:4" x14ac:dyDescent="0.25">
      <c r="A18" t="s">
        <v>58</v>
      </c>
      <c r="B18">
        <v>2</v>
      </c>
      <c r="C18" t="s">
        <v>92</v>
      </c>
      <c r="D18" s="3">
        <v>2.94</v>
      </c>
    </row>
    <row r="19" spans="1:4" x14ac:dyDescent="0.25">
      <c r="A19" t="s">
        <v>59</v>
      </c>
      <c r="B19">
        <v>2</v>
      </c>
      <c r="C19" t="s">
        <v>92</v>
      </c>
      <c r="D19" s="3">
        <v>3.78</v>
      </c>
    </row>
    <row r="20" spans="1:4" x14ac:dyDescent="0.25">
      <c r="A20" t="s">
        <v>60</v>
      </c>
      <c r="B20">
        <v>5</v>
      </c>
      <c r="C20" t="s">
        <v>93</v>
      </c>
    </row>
    <row r="21" spans="1:4" x14ac:dyDescent="0.25">
      <c r="A21" t="s">
        <v>61</v>
      </c>
      <c r="B21">
        <v>1</v>
      </c>
      <c r="C21" t="s">
        <v>96</v>
      </c>
      <c r="D21" s="3">
        <v>14.7348</v>
      </c>
    </row>
    <row r="22" spans="1:4" x14ac:dyDescent="0.25">
      <c r="A22" t="s">
        <v>62</v>
      </c>
      <c r="C22" t="s">
        <v>96</v>
      </c>
      <c r="D22" s="3">
        <v>45.024799999999999</v>
      </c>
    </row>
    <row r="23" spans="1:4" x14ac:dyDescent="0.25">
      <c r="A23" t="s">
        <v>63</v>
      </c>
      <c r="C23" t="s">
        <v>95</v>
      </c>
      <c r="D23" s="3">
        <v>19.8809</v>
      </c>
    </row>
    <row r="24" spans="1:4" x14ac:dyDescent="0.25">
      <c r="A24" t="s">
        <v>64</v>
      </c>
      <c r="B24">
        <v>38</v>
      </c>
      <c r="C24" t="s">
        <v>90</v>
      </c>
    </row>
    <row r="25" spans="1:4" x14ac:dyDescent="0.25">
      <c r="A25" t="s">
        <v>65</v>
      </c>
      <c r="B25">
        <v>171</v>
      </c>
      <c r="C25" t="s">
        <v>93</v>
      </c>
    </row>
    <row r="26" spans="1:4" x14ac:dyDescent="0.25">
      <c r="A26" t="s">
        <v>66</v>
      </c>
      <c r="B26">
        <v>19</v>
      </c>
      <c r="C26" t="s">
        <v>92</v>
      </c>
      <c r="D26" s="3">
        <v>23.94</v>
      </c>
    </row>
    <row r="27" spans="1:4" x14ac:dyDescent="0.25">
      <c r="A27" t="s">
        <v>67</v>
      </c>
      <c r="B27">
        <v>19</v>
      </c>
      <c r="C27" t="s">
        <v>96</v>
      </c>
      <c r="D27" s="3">
        <v>482.98950000000002</v>
      </c>
    </row>
    <row r="28" spans="1:4" x14ac:dyDescent="0.25">
      <c r="A28" t="s">
        <v>68</v>
      </c>
      <c r="B28">
        <v>19</v>
      </c>
      <c r="C28" t="s">
        <v>96</v>
      </c>
      <c r="D28" s="3">
        <v>338.7396</v>
      </c>
    </row>
    <row r="29" spans="1:4" x14ac:dyDescent="0.25">
      <c r="A29" t="s">
        <v>69</v>
      </c>
      <c r="C29" t="s">
        <v>96</v>
      </c>
      <c r="D29" s="3">
        <v>530.63199999999995</v>
      </c>
    </row>
    <row r="30" spans="1:4" x14ac:dyDescent="0.25">
      <c r="A30" t="s">
        <v>70</v>
      </c>
      <c r="C30" t="s">
        <v>97</v>
      </c>
      <c r="D30" s="3">
        <v>90.155000000000001</v>
      </c>
    </row>
    <row r="31" spans="1:4" x14ac:dyDescent="0.25">
      <c r="A31" t="s">
        <v>71</v>
      </c>
      <c r="C31" t="s">
        <v>95</v>
      </c>
      <c r="D31" s="3">
        <v>297.255</v>
      </c>
    </row>
    <row r="32" spans="1:4" x14ac:dyDescent="0.25">
      <c r="A32" t="s">
        <v>57</v>
      </c>
      <c r="B32">
        <v>2</v>
      </c>
      <c r="C32" t="s">
        <v>90</v>
      </c>
    </row>
    <row r="33" spans="1:4" x14ac:dyDescent="0.25">
      <c r="A33" t="s">
        <v>72</v>
      </c>
      <c r="B33">
        <v>2</v>
      </c>
      <c r="C33" t="s">
        <v>93</v>
      </c>
    </row>
    <row r="34" spans="1:4" x14ac:dyDescent="0.25">
      <c r="A34" t="s">
        <v>73</v>
      </c>
      <c r="B34">
        <v>1</v>
      </c>
      <c r="C34" t="s">
        <v>92</v>
      </c>
      <c r="D34" s="3">
        <v>1.26</v>
      </c>
    </row>
    <row r="35" spans="1:4" x14ac:dyDescent="0.25">
      <c r="A35" t="s">
        <v>74</v>
      </c>
      <c r="B35">
        <v>1</v>
      </c>
      <c r="C35" t="s">
        <v>96</v>
      </c>
      <c r="D35" s="3">
        <v>15.21</v>
      </c>
    </row>
    <row r="36" spans="1:4" x14ac:dyDescent="0.25">
      <c r="A36" t="s">
        <v>75</v>
      </c>
      <c r="B36">
        <v>1</v>
      </c>
      <c r="C36" t="s">
        <v>96</v>
      </c>
      <c r="D36" s="3">
        <v>25.420500000000001</v>
      </c>
    </row>
    <row r="37" spans="1:4" x14ac:dyDescent="0.25">
      <c r="A37" t="s">
        <v>76</v>
      </c>
      <c r="B37">
        <v>1</v>
      </c>
      <c r="C37" t="s">
        <v>96</v>
      </c>
      <c r="D37" s="3">
        <v>17.828399999999998</v>
      </c>
    </row>
    <row r="38" spans="1:4" x14ac:dyDescent="0.25">
      <c r="A38" t="s">
        <v>77</v>
      </c>
      <c r="C38" t="s">
        <v>96</v>
      </c>
      <c r="D38" s="3">
        <v>27.928000000000001</v>
      </c>
    </row>
    <row r="39" spans="1:4" x14ac:dyDescent="0.25">
      <c r="A39" t="s">
        <v>78</v>
      </c>
      <c r="C39" t="s">
        <v>97</v>
      </c>
      <c r="D39" s="3">
        <v>4.7450000000000001</v>
      </c>
    </row>
    <row r="40" spans="1:4" x14ac:dyDescent="0.25">
      <c r="A40" t="s">
        <v>79</v>
      </c>
      <c r="C40" t="s">
        <v>95</v>
      </c>
      <c r="D40" s="3">
        <v>15.645</v>
      </c>
    </row>
    <row r="41" spans="1:4" x14ac:dyDescent="0.25">
      <c r="A41" t="s">
        <v>57</v>
      </c>
      <c r="B41">
        <v>2</v>
      </c>
      <c r="C41" t="s">
        <v>90</v>
      </c>
    </row>
    <row r="42" spans="1:4" x14ac:dyDescent="0.25">
      <c r="A42" t="s">
        <v>80</v>
      </c>
      <c r="B42">
        <v>7</v>
      </c>
      <c r="C42" t="s">
        <v>93</v>
      </c>
    </row>
    <row r="43" spans="1:4" x14ac:dyDescent="0.25">
      <c r="A43" t="s">
        <v>81</v>
      </c>
      <c r="B43">
        <v>2</v>
      </c>
      <c r="C43" t="s">
        <v>93</v>
      </c>
    </row>
    <row r="44" spans="1:4" x14ac:dyDescent="0.25">
      <c r="A44" t="s">
        <v>75</v>
      </c>
      <c r="B44">
        <v>1</v>
      </c>
      <c r="C44" t="s">
        <v>96</v>
      </c>
      <c r="D44" s="3">
        <v>25.420500000000001</v>
      </c>
    </row>
    <row r="45" spans="1:4" x14ac:dyDescent="0.25">
      <c r="A45" t="s">
        <v>76</v>
      </c>
      <c r="B45">
        <v>1</v>
      </c>
      <c r="C45" t="s">
        <v>96</v>
      </c>
      <c r="D45" s="3">
        <v>17.828399999999998</v>
      </c>
    </row>
    <row r="46" spans="1:4" x14ac:dyDescent="0.25">
      <c r="A46" t="s">
        <v>82</v>
      </c>
      <c r="C46" t="s">
        <v>96</v>
      </c>
      <c r="D46" s="3">
        <v>26.827999999999999</v>
      </c>
    </row>
    <row r="47" spans="1:4" x14ac:dyDescent="0.25">
      <c r="A47" t="s">
        <v>78</v>
      </c>
      <c r="C47" t="s">
        <v>97</v>
      </c>
      <c r="D47" s="3">
        <v>4.7450000000000001</v>
      </c>
    </row>
    <row r="48" spans="1:4" x14ac:dyDescent="0.25">
      <c r="A48" t="s">
        <v>79</v>
      </c>
      <c r="C48" t="s">
        <v>95</v>
      </c>
      <c r="D48" s="3">
        <v>15.645</v>
      </c>
    </row>
    <row r="49" spans="1:4" x14ac:dyDescent="0.25">
      <c r="A49" t="s">
        <v>57</v>
      </c>
      <c r="B49">
        <v>2</v>
      </c>
      <c r="C49" t="s">
        <v>90</v>
      </c>
    </row>
    <row r="50" spans="1:4" x14ac:dyDescent="0.25">
      <c r="A50" t="s">
        <v>83</v>
      </c>
      <c r="B50">
        <v>4</v>
      </c>
      <c r="C50" t="s">
        <v>93</v>
      </c>
    </row>
    <row r="51" spans="1:4" x14ac:dyDescent="0.25">
      <c r="A51" t="s">
        <v>73</v>
      </c>
      <c r="B51">
        <v>1</v>
      </c>
      <c r="C51" t="s">
        <v>92</v>
      </c>
      <c r="D51" s="3">
        <v>1.26</v>
      </c>
    </row>
    <row r="52" spans="1:4" x14ac:dyDescent="0.25">
      <c r="A52" t="s">
        <v>84</v>
      </c>
      <c r="B52">
        <v>1</v>
      </c>
      <c r="C52" t="s">
        <v>93</v>
      </c>
    </row>
    <row r="53" spans="1:4" x14ac:dyDescent="0.25">
      <c r="A53" t="s">
        <v>85</v>
      </c>
      <c r="B53">
        <v>1</v>
      </c>
      <c r="C53" t="s">
        <v>92</v>
      </c>
      <c r="D53" s="3">
        <v>10.5</v>
      </c>
    </row>
    <row r="54" spans="1:4" x14ac:dyDescent="0.25">
      <c r="A54" t="s">
        <v>75</v>
      </c>
      <c r="B54">
        <v>1</v>
      </c>
      <c r="C54" t="s">
        <v>96</v>
      </c>
      <c r="D54" s="3">
        <v>25.420500000000001</v>
      </c>
    </row>
    <row r="55" spans="1:4" x14ac:dyDescent="0.25">
      <c r="A55" t="s">
        <v>76</v>
      </c>
      <c r="B55">
        <v>1</v>
      </c>
      <c r="C55" t="s">
        <v>96</v>
      </c>
      <c r="D55" s="3">
        <v>17.828399999999998</v>
      </c>
    </row>
    <row r="56" spans="1:4" x14ac:dyDescent="0.25">
      <c r="A56" t="s">
        <v>77</v>
      </c>
      <c r="C56" t="s">
        <v>96</v>
      </c>
      <c r="D56" s="3">
        <v>27.928000000000001</v>
      </c>
    </row>
    <row r="57" spans="1:4" x14ac:dyDescent="0.25">
      <c r="A57" t="s">
        <v>78</v>
      </c>
      <c r="C57" t="s">
        <v>97</v>
      </c>
      <c r="D57" s="3">
        <v>4.7450000000000001</v>
      </c>
    </row>
    <row r="58" spans="1:4" x14ac:dyDescent="0.25">
      <c r="A58" t="s">
        <v>79</v>
      </c>
      <c r="C58" t="s">
        <v>95</v>
      </c>
      <c r="D58" s="3">
        <v>15.645</v>
      </c>
    </row>
    <row r="59" spans="1:4" x14ac:dyDescent="0.25">
      <c r="A59" t="s">
        <v>57</v>
      </c>
      <c r="B59">
        <v>2</v>
      </c>
      <c r="C59" t="s">
        <v>90</v>
      </c>
    </row>
    <row r="60" spans="1:4" x14ac:dyDescent="0.25">
      <c r="A60" t="s">
        <v>80</v>
      </c>
      <c r="B60">
        <v>7</v>
      </c>
      <c r="C60" t="s">
        <v>93</v>
      </c>
    </row>
    <row r="61" spans="1:4" x14ac:dyDescent="0.25">
      <c r="A61" t="s">
        <v>86</v>
      </c>
      <c r="B61">
        <v>1</v>
      </c>
      <c r="C61" t="s">
        <v>96</v>
      </c>
      <c r="D61" s="3">
        <v>5.61</v>
      </c>
    </row>
    <row r="62" spans="1:4" x14ac:dyDescent="0.25">
      <c r="A62" t="s">
        <v>87</v>
      </c>
      <c r="C62" t="s">
        <v>96</v>
      </c>
      <c r="D62" s="3">
        <v>69.707599999999999</v>
      </c>
    </row>
    <row r="63" spans="1:4" x14ac:dyDescent="0.25">
      <c r="A63" t="s">
        <v>78</v>
      </c>
      <c r="C63" t="s">
        <v>97</v>
      </c>
      <c r="D63" s="3">
        <v>4.7450000000000001</v>
      </c>
    </row>
    <row r="64" spans="1:4" x14ac:dyDescent="0.25">
      <c r="A64" t="s">
        <v>79</v>
      </c>
      <c r="C64" t="s">
        <v>95</v>
      </c>
      <c r="D64" s="3">
        <v>15.645</v>
      </c>
    </row>
    <row r="65" spans="1:4" x14ac:dyDescent="0.25">
      <c r="A65" t="s">
        <v>57</v>
      </c>
      <c r="B65">
        <v>2</v>
      </c>
      <c r="C65" t="s">
        <v>90</v>
      </c>
    </row>
    <row r="66" spans="1:4" x14ac:dyDescent="0.25">
      <c r="A66" t="s">
        <v>58</v>
      </c>
      <c r="B66">
        <v>2</v>
      </c>
      <c r="C66" t="s">
        <v>92</v>
      </c>
      <c r="D66" s="3">
        <v>2.94</v>
      </c>
    </row>
    <row r="67" spans="1:4" x14ac:dyDescent="0.25">
      <c r="A67" t="s">
        <v>88</v>
      </c>
      <c r="C67" t="s">
        <v>96</v>
      </c>
      <c r="D67" s="3">
        <v>32.372</v>
      </c>
    </row>
    <row r="68" spans="1:4" x14ac:dyDescent="0.25">
      <c r="A68" t="s">
        <v>78</v>
      </c>
      <c r="C68" t="s">
        <v>97</v>
      </c>
      <c r="D68" s="3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20</vt:i4>
      </vt:variant>
      <vt:variant>
        <vt:lpstr>Intervalos Nomeados</vt:lpstr>
      </vt:variant>
      <vt:variant>
        <vt:i4>30</vt:i4>
      </vt:variant>
    </vt:vector>
  </HeadingPairs>
  <TitlesOfParts>
    <vt:vector size="50" baseType="lpstr">
      <vt:lpstr>Obra </vt:lpstr>
      <vt:lpstr>DADOS_INICIAIS</vt:lpstr>
      <vt:lpstr>MOVIMENTAÇÃO_DE_TERRA</vt:lpstr>
      <vt:lpstr>CONTENÇÕES</vt:lpstr>
      <vt:lpstr>INFRAESTRUTURA</vt:lpstr>
      <vt:lpstr>SUPRAESTRUTURA</vt:lpstr>
      <vt:lpstr>ALVENARIA</vt:lpstr>
      <vt:lpstr>IMPERMEABILIZAÇÃO</vt:lpstr>
      <vt:lpstr>INSTALAÇÕES</vt:lpstr>
      <vt:lpstr>SISTEMAS ESPECIAIS</vt:lpstr>
      <vt:lpstr>Rev. Internos Piso e Parede</vt:lpstr>
      <vt:lpstr>TETO</vt:lpstr>
      <vt:lpstr>Acabamentos de Piso e Parede</vt:lpstr>
      <vt:lpstr>PINTURA INTERNA</vt:lpstr>
      <vt:lpstr>ARQUITETURA</vt:lpstr>
      <vt:lpstr>ESQUADRIAS</vt:lpstr>
      <vt:lpstr>COBERTURA</vt:lpstr>
      <vt:lpstr>Rev. Fachada</vt:lpstr>
      <vt:lpstr>COMPLEMENTARES</vt:lpstr>
      <vt:lpstr>Auxiliar</vt:lpstr>
      <vt:lpstr>'Acabamentos de Piso e Parede'!Area_de_impressao</vt:lpstr>
      <vt:lpstr>ALVENARIA!Area_de_impressao</vt:lpstr>
      <vt:lpstr>COBERTURA!Area_de_impressao</vt:lpstr>
      <vt:lpstr>COMPLEMENTARES!Area_de_impressao</vt:lpstr>
      <vt:lpstr>CONTENÇÕES!Area_de_impressao</vt:lpstr>
      <vt:lpstr>DADOS_INICIAIS!Area_de_impressao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MOVIMENTAÇÃO_DE_TERRA!Area_de_impressao</vt:lpstr>
      <vt:lpstr>'Obra '!Area_de_impressao</vt:lpstr>
      <vt:lpstr>'PINTURA INTERNA'!Area_de_impressao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TETO!Area_de_impressao</vt:lpstr>
      <vt:lpstr>'Acabamentos de Piso e Parede'!Titulos_de_impressao</vt:lpstr>
      <vt:lpstr>ALVENARIA!Titulos_de_impressao</vt:lpstr>
      <vt:lpstr>CONTENÇÕES!Titulos_de_impressao</vt:lpstr>
      <vt:lpstr>DADOS_INICIAIS!Titulos_de_impressao</vt:lpstr>
      <vt:lpstr>ESQUADRIAS!Titulos_de_impressao</vt:lpstr>
      <vt:lpstr>IMPERMEABILIZAÇÃO!Titulos_de_impressao</vt:lpstr>
      <vt:lpstr>INFRAESTRUTURA!Titulos_de_impressao</vt:lpstr>
      <vt:lpstr>'PINTURA INTERNA'!Titulos_de_impressao</vt:lpstr>
      <vt:lpstr>'Rev. Fachada'!Titulos_de_impressao</vt:lpstr>
      <vt:lpstr>'Rev. Internos Piso e Parede'!Titulos_de_impressao</vt:lpstr>
      <vt:lpstr>SUPRAESTRUTURA!Titulos_de_impressao</vt:lpstr>
      <vt:lpstr>TETO!Titulos_de_impressao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valquiria vansquelhe de oliveira</cp:lastModifiedBy>
  <cp:lastPrinted>2020-09-28T02:21:03Z</cp:lastPrinted>
  <dcterms:created xsi:type="dcterms:W3CDTF">2013-07-31T19:52:57Z</dcterms:created>
  <dcterms:modified xsi:type="dcterms:W3CDTF">2025-12-18T17:10:02Z</dcterms:modified>
</cp:coreProperties>
</file>