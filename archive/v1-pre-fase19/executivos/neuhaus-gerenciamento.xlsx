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Neuhaus\2023.08 - Origem 3300\04. Custo\03.0 Custo - Orçamento Paramétrico\05. Revisão 04\"/>
    </mc:Choice>
  </mc:AlternateContent>
  <xr:revisionPtr revIDLastSave="0" documentId="13_ncr:1_{77CD0A87-F23E-4F28-A72E-38134E886DF0}" xr6:coauthVersionLast="47" xr6:coauthVersionMax="47" xr10:uidLastSave="{00000000-0000-0000-0000-000000000000}"/>
  <bookViews>
    <workbookView xWindow="-120" yWindow="-120" windowWidth="38640" windowHeight="15720" tabRatio="831" activeTab="6" xr2:uid="{00000000-000D-0000-FFFF-FFFF00000000}"/>
  </bookViews>
  <sheets>
    <sheet name="Dados Gerais" sheetId="14" r:id="rId1"/>
    <sheet name="Resumo" sheetId="35" r:id="rId2"/>
    <sheet name="Movimentação de Terra" sheetId="38" r:id="rId3"/>
    <sheet name="Infraestrutura" sheetId="37" r:id="rId4"/>
    <sheet name="Supraestrutura" sheetId="22" r:id="rId5"/>
    <sheet name="Alvenaria" sheetId="23" r:id="rId6"/>
    <sheet name="Instalações" sheetId="24" r:id="rId7"/>
    <sheet name="Sistemas especiais" sheetId="39" r:id="rId8"/>
    <sheet name="Impermeabilização" sheetId="25" r:id="rId9"/>
    <sheet name="Rev. Internos Piso e Parede" sheetId="26" r:id="rId10"/>
    <sheet name="Acabamentos de Piso e Parede" sheetId="28" r:id="rId11"/>
    <sheet name="Acabamentos de Teto" sheetId="27" r:id="rId12"/>
    <sheet name="Pintura Interna" sheetId="29" r:id="rId13"/>
    <sheet name="Esquadrias" sheetId="30" r:id="rId14"/>
    <sheet name="Rev. Fachada" sheetId="31" r:id="rId15"/>
    <sheet name="Complementares" sheetId="34" r:id="rId16"/>
  </sheets>
  <externalReferences>
    <externalReference r:id="rId17"/>
    <externalReference r:id="rId18"/>
    <externalReference r:id="rId19"/>
    <externalReference r:id="rId20"/>
  </externalReferences>
  <definedNames>
    <definedName name="_xlnm.Print_Area" localSheetId="10">'Acabamentos de Piso e Parede'!$A$1:$K$28</definedName>
    <definedName name="_xlnm.Print_Area" localSheetId="11">'Acabamentos de Teto'!$A$1:$K$22</definedName>
    <definedName name="_xlnm.Print_Area" localSheetId="5">Alvenaria!$A$1:$K$30</definedName>
    <definedName name="_xlnm.Print_Area" localSheetId="15">Complementares!$A$1:$K$22</definedName>
    <definedName name="_xlnm.Print_Area" localSheetId="13">Esquadrias!$A$1:$K$26</definedName>
    <definedName name="_xlnm.Print_Area" localSheetId="8">Impermeabilização!$A$1:$K$24</definedName>
    <definedName name="_xlnm.Print_Area" localSheetId="3">Infraestrutura!$A$1:$K$34</definedName>
    <definedName name="_xlnm.Print_Area" localSheetId="6">Instalações!$A$1:$K$24</definedName>
    <definedName name="_xlnm.Print_Area" localSheetId="2">'Movimentação de Terra'!$A$1:$K$41</definedName>
    <definedName name="_xlnm.Print_Area" localSheetId="12">'Pintura Interna'!$A$1:$K$20</definedName>
    <definedName name="_xlnm.Print_Area" localSheetId="1">Resumo!$A$1:$I$42</definedName>
    <definedName name="_xlnm.Print_Area" localSheetId="14">'Rev. Fachada'!$A$1:$K$25</definedName>
    <definedName name="_xlnm.Print_Area" localSheetId="9">'Rev. Internos Piso e Parede'!$A$1:$K$24</definedName>
    <definedName name="_xlnm.Print_Area" localSheetId="7">'Sistemas especiais'!$A$1:$K$11</definedName>
    <definedName name="_xlnm.Print_Area" localSheetId="4">Supraestrutura!$A$1:$K$26</definedName>
    <definedName name="_xlnm.Print_Titles" localSheetId="10">'Acabamentos de Piso e Parede'!$7:$11</definedName>
    <definedName name="_xlnm.Print_Titles" localSheetId="11">'Acabamentos de Teto'!$7:$11</definedName>
    <definedName name="_xlnm.Print_Titles" localSheetId="5">Alvenaria!$7:$11</definedName>
    <definedName name="_xlnm.Print_Titles" localSheetId="15">Complementares!$7:$11</definedName>
    <definedName name="_xlnm.Print_Titles" localSheetId="0">'Dados Gerais'!$7:$11</definedName>
    <definedName name="_xlnm.Print_Titles" localSheetId="13">Esquadrias!$7:$11</definedName>
    <definedName name="_xlnm.Print_Titles" localSheetId="8">Impermeabilização!$7:$11</definedName>
    <definedName name="_xlnm.Print_Titles" localSheetId="3">Infraestrutura!$7:$11</definedName>
    <definedName name="_xlnm.Print_Titles" localSheetId="6">Instalações!$7:$11</definedName>
    <definedName name="_xlnm.Print_Titles" localSheetId="2">'Movimentação de Terra'!$7:$11</definedName>
    <definedName name="_xlnm.Print_Titles" localSheetId="12">'Pintura Interna'!$7:$11</definedName>
    <definedName name="_xlnm.Print_Titles" localSheetId="1">Resumo!$7:$11</definedName>
    <definedName name="_xlnm.Print_Titles" localSheetId="14">'Rev. Fachada'!$7:$11</definedName>
    <definedName name="_xlnm.Print_Titles" localSheetId="9">'Rev. Internos Piso e Parede'!$7:$11</definedName>
    <definedName name="_xlnm.Print_Titles" localSheetId="7">'Sistemas especiais'!$7:$11</definedName>
    <definedName name="_xlnm.Print_Titles" localSheetId="4">Supraestrutura!$7:$11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8" i="35" l="1"/>
  <c r="I24" i="22"/>
  <c r="D16" i="22"/>
  <c r="F18" i="22" l="1"/>
  <c r="F17" i="22"/>
  <c r="I16" i="22" l="1"/>
  <c r="I20" i="22"/>
  <c r="I21" i="22"/>
  <c r="I22" i="22"/>
  <c r="I15" i="22"/>
  <c r="I32" i="37"/>
  <c r="D27" i="35"/>
  <c r="K37" i="37" l="1"/>
  <c r="I20" i="37"/>
  <c r="I23" i="31" l="1"/>
  <c r="D18" i="26" l="1"/>
  <c r="I45" i="39"/>
  <c r="D18" i="23" l="1"/>
  <c r="D38" i="23"/>
  <c r="D37" i="23"/>
  <c r="D36" i="23"/>
  <c r="D39" i="38"/>
  <c r="D39" i="23" l="1"/>
  <c r="E36" i="23" s="1"/>
  <c r="D22" i="23" l="1"/>
  <c r="I22" i="23" s="1"/>
  <c r="D19" i="23"/>
  <c r="I19" i="23" s="1"/>
  <c r="E38" i="23"/>
  <c r="E37" i="23"/>
  <c r="D16" i="23" l="1"/>
  <c r="D21" i="23"/>
  <c r="D23" i="23"/>
  <c r="I23" i="23" s="1"/>
  <c r="D20" i="23"/>
  <c r="I20" i="23" s="1"/>
  <c r="D17" i="23"/>
  <c r="I17" i="23" s="1"/>
  <c r="D27" i="23" l="1"/>
  <c r="I16" i="23"/>
  <c r="I18" i="23"/>
  <c r="I21" i="23"/>
  <c r="I24" i="23"/>
  <c r="I25" i="23"/>
  <c r="I15" i="23"/>
  <c r="O16" i="34"/>
  <c r="M19" i="34"/>
  <c r="M12" i="34"/>
  <c r="M16" i="34" s="1"/>
  <c r="I17" i="27" l="1"/>
  <c r="I16" i="27"/>
  <c r="P23" i="31" l="1"/>
  <c r="O19" i="31"/>
  <c r="I19" i="22" l="1"/>
  <c r="I16" i="30" l="1"/>
  <c r="I31" i="31"/>
  <c r="I20" i="25" l="1"/>
  <c r="I19" i="25"/>
  <c r="I22" i="25"/>
  <c r="I15" i="25"/>
  <c r="D21" i="28" l="1"/>
  <c r="I22" i="28"/>
  <c r="I18" i="26"/>
  <c r="I15" i="26"/>
  <c r="I23" i="22" l="1"/>
  <c r="N20" i="26" l="1"/>
  <c r="I20" i="28" l="1"/>
  <c r="I20" i="34" l="1"/>
  <c r="L22" i="31"/>
  <c r="L21" i="31"/>
  <c r="D25" i="28"/>
  <c r="I44" i="39" l="1"/>
  <c r="I24" i="30" l="1"/>
  <c r="I23" i="30"/>
  <c r="I22" i="30"/>
  <c r="I21" i="30"/>
  <c r="I20" i="30"/>
  <c r="I19" i="30"/>
  <c r="J28" i="30" s="1"/>
  <c r="I18" i="30"/>
  <c r="I17" i="30"/>
  <c r="I15" i="30"/>
  <c r="I25" i="30" l="1"/>
  <c r="I28" i="30" s="1"/>
  <c r="K28" i="30" s="1"/>
  <c r="I18" i="28"/>
  <c r="I17" i="28"/>
  <c r="D26" i="28"/>
  <c r="I26" i="28" s="1"/>
  <c r="D24" i="28"/>
  <c r="I24" i="28" s="1"/>
  <c r="I16" i="39" l="1"/>
  <c r="I33" i="24" l="1"/>
  <c r="I19" i="34"/>
  <c r="F18" i="29"/>
  <c r="I18" i="29" s="1"/>
  <c r="F17" i="29"/>
  <c r="I17" i="29" s="1"/>
  <c r="I16" i="29"/>
  <c r="I15" i="29"/>
  <c r="I17" i="26"/>
  <c r="I16" i="26"/>
  <c r="I50" i="39"/>
  <c r="I49" i="39"/>
  <c r="I26" i="39"/>
  <c r="I25" i="39"/>
  <c r="I24" i="39"/>
  <c r="I42" i="24"/>
  <c r="I32" i="24"/>
  <c r="J28" i="22"/>
  <c r="I27" i="39" l="1"/>
  <c r="D58" i="35" s="1"/>
  <c r="I19" i="29"/>
  <c r="I21" i="29" l="1"/>
  <c r="K21" i="29" s="1"/>
  <c r="J21" i="29"/>
  <c r="D31" i="37"/>
  <c r="I22" i="38"/>
  <c r="I29" i="38"/>
  <c r="I30" i="38"/>
  <c r="I39" i="38"/>
  <c r="I22" i="37"/>
  <c r="I31" i="37" l="1"/>
  <c r="D29" i="38"/>
  <c r="D29" i="37"/>
  <c r="I29" i="37" s="1"/>
  <c r="D19" i="26" l="1"/>
  <c r="I19" i="26" s="1"/>
  <c r="I20" i="27" l="1"/>
  <c r="I18" i="27"/>
  <c r="I15" i="27"/>
  <c r="I19" i="28"/>
  <c r="I16" i="28"/>
  <c r="D16" i="31" l="1"/>
  <c r="I16" i="31" s="1"/>
  <c r="I25" i="28"/>
  <c r="I15" i="28"/>
  <c r="I21" i="28"/>
  <c r="D28" i="23"/>
  <c r="D26" i="23" s="1"/>
  <c r="I26" i="23" s="1"/>
  <c r="I15" i="31"/>
  <c r="I17" i="31" l="1"/>
  <c r="I16" i="25" l="1"/>
  <c r="I47" i="39"/>
  <c r="K129" i="35" l="1"/>
  <c r="K128" i="35"/>
  <c r="K127" i="35"/>
  <c r="K126" i="35"/>
  <c r="K130" i="35" l="1"/>
  <c r="I15" i="39"/>
  <c r="I48" i="39" l="1"/>
  <c r="D30" i="38" l="1"/>
  <c r="D32" i="38" s="1"/>
  <c r="I32" i="38" s="1"/>
  <c r="I16" i="34" l="1"/>
  <c r="I18" i="34"/>
  <c r="I18" i="39" l="1"/>
  <c r="A60" i="35" l="1"/>
  <c r="A59" i="35"/>
  <c r="A57" i="35"/>
  <c r="A56" i="35"/>
  <c r="I38" i="39"/>
  <c r="I39" i="39" s="1"/>
  <c r="I32" i="39"/>
  <c r="I46" i="39"/>
  <c r="I51" i="39" s="1"/>
  <c r="I17" i="39"/>
  <c r="J53" i="39" l="1"/>
  <c r="I33" i="39"/>
  <c r="D57" i="35" s="1"/>
  <c r="I19" i="39"/>
  <c r="D59" i="35"/>
  <c r="D60" i="35"/>
  <c r="I53" i="39" l="1"/>
  <c r="K53" i="39" s="1"/>
  <c r="D56" i="35"/>
  <c r="D61" i="35" s="1"/>
  <c r="A26" i="35" l="1"/>
  <c r="A25" i="35"/>
  <c r="A17" i="35"/>
  <c r="A16" i="35"/>
  <c r="A15" i="35"/>
  <c r="D17" i="37" l="1"/>
  <c r="I17" i="37" s="1"/>
  <c r="I23" i="38"/>
  <c r="D15" i="38"/>
  <c r="I15" i="38" s="1"/>
  <c r="I16" i="38" s="1"/>
  <c r="D17" i="25" l="1"/>
  <c r="I17" i="25" s="1"/>
  <c r="D15" i="35"/>
  <c r="D19" i="37"/>
  <c r="I19" i="37" s="1"/>
  <c r="D30" i="37"/>
  <c r="I30" i="37" s="1"/>
  <c r="I40" i="38"/>
  <c r="D17" i="35" l="1"/>
  <c r="I33" i="37"/>
  <c r="J35" i="37" l="1"/>
  <c r="I21" i="37"/>
  <c r="D31" i="38"/>
  <c r="I31" i="38" s="1"/>
  <c r="I33" i="38" s="1"/>
  <c r="D26" i="35"/>
  <c r="I23" i="37" l="1"/>
  <c r="I35" i="37" s="1"/>
  <c r="I42" i="38"/>
  <c r="K35" i="37" l="1"/>
  <c r="J42" i="38"/>
  <c r="K42" i="38" s="1"/>
  <c r="D25" i="35"/>
  <c r="D16" i="35" l="1"/>
  <c r="I30" i="31" l="1"/>
  <c r="I15" i="34" l="1"/>
  <c r="I21" i="34" s="1"/>
  <c r="J23" i="34" l="1"/>
  <c r="I23" i="34"/>
  <c r="K23" i="34" s="1"/>
  <c r="I28" i="23"/>
  <c r="I15" i="24" l="1"/>
  <c r="I29" i="31" l="1"/>
  <c r="I32" i="31" s="1"/>
  <c r="A109" i="35"/>
  <c r="A111" i="35"/>
  <c r="A110" i="35"/>
  <c r="J34" i="31" l="1"/>
  <c r="I24" i="31"/>
  <c r="I34" i="31" s="1"/>
  <c r="K34" i="31" s="1"/>
  <c r="D111" i="35"/>
  <c r="D110" i="35" l="1"/>
  <c r="D22" i="26" l="1"/>
  <c r="I22" i="26" s="1"/>
  <c r="D21" i="26"/>
  <c r="I21" i="26" s="1"/>
  <c r="D22" i="25"/>
  <c r="I25" i="22" l="1"/>
  <c r="D109" i="35"/>
  <c r="A120" i="35" l="1"/>
  <c r="A102" i="35"/>
  <c r="A88" i="35"/>
  <c r="A95" i="35"/>
  <c r="A81" i="35"/>
  <c r="A74" i="35"/>
  <c r="A67" i="35"/>
  <c r="A49" i="35"/>
  <c r="A48" i="35"/>
  <c r="A47" i="35"/>
  <c r="A40" i="35"/>
  <c r="A33" i="35"/>
  <c r="D112" i="35" l="1"/>
  <c r="D120" i="35" l="1"/>
  <c r="D121" i="35" s="1"/>
  <c r="D95" i="35" l="1"/>
  <c r="D96" i="35" s="1"/>
  <c r="I23" i="28"/>
  <c r="I27" i="28" s="1"/>
  <c r="I20" i="26"/>
  <c r="J29" i="28" l="1"/>
  <c r="L29" i="28" s="1"/>
  <c r="I29" i="28"/>
  <c r="K29" i="28" s="1"/>
  <c r="I23" i="26"/>
  <c r="D102" i="35"/>
  <c r="D103" i="35" s="1"/>
  <c r="D19" i="27"/>
  <c r="I21" i="25"/>
  <c r="I18" i="25"/>
  <c r="I43" i="24"/>
  <c r="I41" i="24"/>
  <c r="J25" i="26" l="1"/>
  <c r="L25" i="26" s="1"/>
  <c r="I25" i="26"/>
  <c r="K25" i="26" s="1"/>
  <c r="I19" i="27"/>
  <c r="I21" i="27" s="1"/>
  <c r="I23" i="25"/>
  <c r="D88" i="35"/>
  <c r="D89" i="35" s="1"/>
  <c r="I44" i="24"/>
  <c r="J23" i="27" l="1"/>
  <c r="I23" i="27"/>
  <c r="K23" i="27" s="1"/>
  <c r="I25" i="25"/>
  <c r="K25" i="25" s="1"/>
  <c r="J25" i="25"/>
  <c r="D81" i="35"/>
  <c r="D82" i="35" s="1"/>
  <c r="D67" i="35"/>
  <c r="D68" i="35" s="1"/>
  <c r="D49" i="35"/>
  <c r="D74" i="35"/>
  <c r="D75" i="35" s="1"/>
  <c r="I34" i="24"/>
  <c r="I31" i="24"/>
  <c r="I30" i="24"/>
  <c r="I29" i="24"/>
  <c r="I28" i="24"/>
  <c r="J46" i="24" s="1"/>
  <c r="I27" i="24"/>
  <c r="I35" i="24" l="1"/>
  <c r="D48" i="35" l="1"/>
  <c r="I16" i="24"/>
  <c r="I17" i="24"/>
  <c r="I18" i="24"/>
  <c r="I19" i="24"/>
  <c r="I20" i="24"/>
  <c r="I21" i="24"/>
  <c r="I27" i="23" l="1"/>
  <c r="I22" i="24"/>
  <c r="I46" i="24" s="1"/>
  <c r="K46" i="24" s="1"/>
  <c r="I29" i="23" l="1"/>
  <c r="I31" i="23" s="1"/>
  <c r="D47" i="35"/>
  <c r="D50" i="35" s="1"/>
  <c r="J31" i="23" l="1"/>
  <c r="K31" i="23"/>
  <c r="D40" i="35"/>
  <c r="D41" i="35" s="1"/>
  <c r="D18" i="35" l="1"/>
  <c r="J27" i="22" l="1"/>
  <c r="I27" i="22"/>
  <c r="K27" i="22" s="1"/>
  <c r="D33" i="35"/>
  <c r="D34" i="35" s="1"/>
  <c r="D124" i="35" l="1"/>
  <c r="G129" i="35" s="1"/>
  <c r="G125" i="35" l="1"/>
  <c r="G126" i="35" s="1"/>
  <c r="J29" i="22"/>
  <c r="J30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deleon galvin</author>
  </authors>
  <commentList>
    <comment ref="F24" authorId="0" shapeId="0" xr:uid="{DF5B277D-96C2-43DA-A490-8A76BAFB2CBD}">
      <text>
        <r>
          <rPr>
            <b/>
            <sz val="9"/>
            <color indexed="81"/>
            <rFont val="Segoe UI"/>
            <family val="2"/>
          </rPr>
          <t xml:space="preserve">249,00 de mão de obra + 2,50 (montagem de forma - a pedido do cliente)
</t>
        </r>
      </text>
    </comment>
  </commentList>
</comments>
</file>

<file path=xl/sharedStrings.xml><?xml version="1.0" encoding="utf-8"?>
<sst xmlns="http://schemas.openxmlformats.org/spreadsheetml/2006/main" count="1110" uniqueCount="307">
  <si>
    <t>Documento</t>
  </si>
  <si>
    <t>Cliente</t>
  </si>
  <si>
    <t>Obra</t>
  </si>
  <si>
    <t>Data</t>
  </si>
  <si>
    <t>Revisão</t>
  </si>
  <si>
    <t>Status</t>
  </si>
  <si>
    <t>Responsável</t>
  </si>
  <si>
    <t>N° total de pavimentos</t>
  </si>
  <si>
    <t>Área do terreno</t>
  </si>
  <si>
    <t>N° de pavimentos tipo</t>
  </si>
  <si>
    <t>Área de projeção da torre</t>
  </si>
  <si>
    <t>Perímetro de projeção da torre</t>
  </si>
  <si>
    <t>m²</t>
  </si>
  <si>
    <t>un</t>
  </si>
  <si>
    <t>m</t>
  </si>
  <si>
    <t>Área de subsolos</t>
  </si>
  <si>
    <t>N° de subsolos</t>
  </si>
  <si>
    <t>Locação da obra</t>
  </si>
  <si>
    <t>Parâmetro</t>
  </si>
  <si>
    <t>R$ / AC</t>
  </si>
  <si>
    <t>AT</t>
  </si>
  <si>
    <t>AC</t>
  </si>
  <si>
    <t>NP</t>
  </si>
  <si>
    <t>NPT</t>
  </si>
  <si>
    <t>APT</t>
  </si>
  <si>
    <t>PPT</t>
  </si>
  <si>
    <t>LC</t>
  </si>
  <si>
    <t>AS</t>
  </si>
  <si>
    <t>NS</t>
  </si>
  <si>
    <t>Descrição</t>
  </si>
  <si>
    <t>Identificador</t>
  </si>
  <si>
    <t>Informação</t>
  </si>
  <si>
    <t>Valor total</t>
  </si>
  <si>
    <t>Referência</t>
  </si>
  <si>
    <t>TOTAL</t>
  </si>
  <si>
    <t>EQUIPAMENTOS</t>
  </si>
  <si>
    <t>Quantidade</t>
  </si>
  <si>
    <t>m³</t>
  </si>
  <si>
    <t>Concreto</t>
  </si>
  <si>
    <t>Mão de obra</t>
  </si>
  <si>
    <t>kg</t>
  </si>
  <si>
    <t>vb</t>
  </si>
  <si>
    <t>R$ / m²</t>
  </si>
  <si>
    <t>SUPRAESTRUTURA</t>
  </si>
  <si>
    <t>Armadura Convencional para Estrutura</t>
  </si>
  <si>
    <t>Escoramento - Torre</t>
  </si>
  <si>
    <t>ALVENARIA</t>
  </si>
  <si>
    <t>Alvenaria cobertura / reservatório</t>
  </si>
  <si>
    <t>INSTALAÇÕES ELÉTRICAS</t>
  </si>
  <si>
    <t>Entrada de Energia</t>
  </si>
  <si>
    <t>Eletrodutos e Eletrocalhas</t>
  </si>
  <si>
    <t>Instalações Embutidas e Aparentes</t>
  </si>
  <si>
    <t>Cabos e Fiações</t>
  </si>
  <si>
    <t>Quadros e Disjuntores</t>
  </si>
  <si>
    <t>Equipamentos e Iluminação</t>
  </si>
  <si>
    <t>Mão de Obra para Instalações Elétricas</t>
  </si>
  <si>
    <t>INSTALAÇÕES HIDRÁULICAS</t>
  </si>
  <si>
    <t>Instalações de Água Fria</t>
  </si>
  <si>
    <t>Instalações de Água Quente</t>
  </si>
  <si>
    <t>Instalações de Águas Pluviais</t>
  </si>
  <si>
    <t>Instalações Sanitárias</t>
  </si>
  <si>
    <t>Louças e Metais</t>
  </si>
  <si>
    <t>Mão de Obra para Instalações Hidráulicas</t>
  </si>
  <si>
    <t>INSTALAÇÕES PREVENTIVAS E GLP</t>
  </si>
  <si>
    <t>Instalações Preventivas</t>
  </si>
  <si>
    <t>Instalações de GLP</t>
  </si>
  <si>
    <t>CLIMATIZAÇÃO, EXAUSTÃO MECÂNICA E PRESSURIZAÇÃO</t>
  </si>
  <si>
    <t>Churrasqueiras</t>
  </si>
  <si>
    <t>IMPERMEABILIZAÇÃO</t>
  </si>
  <si>
    <t>Ralos</t>
  </si>
  <si>
    <t>Impermeabilizações cimenticias</t>
  </si>
  <si>
    <t>Impermeabilização de peitoril</t>
  </si>
  <si>
    <t>Regularização de Superfície</t>
  </si>
  <si>
    <t>R$ / NP</t>
  </si>
  <si>
    <t>Impermeabilizações com manta asfaltica</t>
  </si>
  <si>
    <t>Proteção Mecânica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</si>
  <si>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</si>
  <si>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Chapisco</t>
  </si>
  <si>
    <t>Reboco</t>
  </si>
  <si>
    <t>Contrapiso</t>
  </si>
  <si>
    <t>Forro de Gesso</t>
  </si>
  <si>
    <t>Negativo</t>
  </si>
  <si>
    <t>Cortineiro</t>
  </si>
  <si>
    <t>kg / m³</t>
  </si>
  <si>
    <t>%</t>
  </si>
  <si>
    <t>ACABAMENTOS DE TETO</t>
  </si>
  <si>
    <t>Estucamento</t>
  </si>
  <si>
    <t>ACABAMENTOS EM PISO E PAREDE</t>
  </si>
  <si>
    <t>PINTURA INTERNA</t>
  </si>
  <si>
    <t>ESQUADRIAS</t>
  </si>
  <si>
    <t>Esquadrias de Alumínio</t>
  </si>
  <si>
    <t>Rodapés</t>
  </si>
  <si>
    <t>REVESTIMENTOS ARGAMASSADOS</t>
  </si>
  <si>
    <t>PINTURA</t>
  </si>
  <si>
    <t>REVESTIMENTOS ESPECIAIS</t>
  </si>
  <si>
    <t>Chapisco e Reboco</t>
  </si>
  <si>
    <t>R$</t>
  </si>
  <si>
    <t>SERVIÇOS COMPLEMENTARES</t>
  </si>
  <si>
    <t>Móveis e decoração</t>
  </si>
  <si>
    <t>Comunicação visual</t>
  </si>
  <si>
    <t>Paisagismo</t>
  </si>
  <si>
    <t>Limpeza</t>
  </si>
  <si>
    <t>MOVIMENTAÇÃO DE TERRA</t>
  </si>
  <si>
    <t>INFRAESTRUTURA</t>
  </si>
  <si>
    <t>INSTALAÇÕES</t>
  </si>
  <si>
    <t>REVESTIMENTOS INTERNOS EM PISO E PAREDE</t>
  </si>
  <si>
    <t>REVESTIMENTOS E ACABAMENTOS INTERNOS EM TETO</t>
  </si>
  <si>
    <t>REVESTIMENTOS DE FACHADA</t>
  </si>
  <si>
    <t>Área do embasamento</t>
  </si>
  <si>
    <t>AE</t>
  </si>
  <si>
    <t>Área Lazer</t>
  </si>
  <si>
    <t>AL</t>
  </si>
  <si>
    <t>Média</t>
  </si>
  <si>
    <t>m³ / AC</t>
  </si>
  <si>
    <r>
      <t>m</t>
    </r>
    <r>
      <rPr>
        <sz val="10"/>
        <color theme="1"/>
        <rFont val="Roboto"/>
      </rPr>
      <t xml:space="preserve"> / AC</t>
    </r>
  </si>
  <si>
    <t>PPE</t>
  </si>
  <si>
    <t>Perímetro de projeção embasamento</t>
  </si>
  <si>
    <t>Área de projeção do embasamento</t>
  </si>
  <si>
    <t>N° de pavimentos de embasamento</t>
  </si>
  <si>
    <t>NPE</t>
  </si>
  <si>
    <t>APE</t>
  </si>
  <si>
    <t>Detalhes</t>
  </si>
  <si>
    <t>Alvenaria tipo</t>
  </si>
  <si>
    <t>Testada do terreno</t>
  </si>
  <si>
    <t>TT</t>
  </si>
  <si>
    <t>N° de pavimentos duplex</t>
  </si>
  <si>
    <t>NPD</t>
  </si>
  <si>
    <t>Alvenaria tipo diferenciado</t>
  </si>
  <si>
    <t>N° de pavimentos tipo diferenciado</t>
  </si>
  <si>
    <t>ND</t>
  </si>
  <si>
    <t>R$ / AL</t>
  </si>
  <si>
    <t xml:space="preserve">m² </t>
  </si>
  <si>
    <t>Área total construída</t>
  </si>
  <si>
    <t>FUNDAÇÃO PROFUNDA</t>
  </si>
  <si>
    <t>Número de Estacas</t>
  </si>
  <si>
    <t>un / m²</t>
  </si>
  <si>
    <t>m / un</t>
  </si>
  <si>
    <t>Estaca Hélice Continua Diâmetro 60</t>
  </si>
  <si>
    <t>Armação</t>
  </si>
  <si>
    <t>R$ / m³</t>
  </si>
  <si>
    <t>FUNDAÇÃO RASA</t>
  </si>
  <si>
    <t>Fabricação, montagem e desmontagem de forma para blocos e baldrames</t>
  </si>
  <si>
    <t>m² / AT</t>
  </si>
  <si>
    <t>m³ / AT</t>
  </si>
  <si>
    <t>R$ / AT</t>
  </si>
  <si>
    <t>Estaca Hélice Continua Diâmetro 50</t>
  </si>
  <si>
    <t>ESCAVAÇÃO</t>
  </si>
  <si>
    <t>Escavação</t>
  </si>
  <si>
    <t>Pedro Chaves</t>
  </si>
  <si>
    <t>REBAIXAMENTO DE LENÇOL</t>
  </si>
  <si>
    <t>Rebaixamento de Lençol</t>
  </si>
  <si>
    <t>ESCAVAÇÃO E REATERRO DE VALAS</t>
  </si>
  <si>
    <t>Escavação mecanizada para blocos e baldrames</t>
  </si>
  <si>
    <t>Reaterro para blocos e baldrames</t>
  </si>
  <si>
    <t>Movimentação de terra das estacas</t>
  </si>
  <si>
    <t>m³ / m³</t>
  </si>
  <si>
    <t>REGULARIZAÇÃO E APILOAMENTO DE FUNDO DE VALAS</t>
  </si>
  <si>
    <t xml:space="preserve">Lastro de concreto magro e= 10cm - Blocos </t>
  </si>
  <si>
    <t>TOTAL GERAL</t>
  </si>
  <si>
    <t xml:space="preserve"> R$/m² </t>
  </si>
  <si>
    <t xml:space="preserve"> CUB/SC </t>
  </si>
  <si>
    <t xml:space="preserve"> CUB </t>
  </si>
  <si>
    <t>Alvenaria embasamento</t>
  </si>
  <si>
    <t>Alvenaria lazer</t>
  </si>
  <si>
    <t>R$ / un</t>
  </si>
  <si>
    <t>Equipamentos para Piscina</t>
  </si>
  <si>
    <t>Infraestrutura para Instalação de Ar Condicionado</t>
  </si>
  <si>
    <t>AUTOMAÇÃO</t>
  </si>
  <si>
    <t>Automação, telecomunicação e sistemas de segurança</t>
  </si>
  <si>
    <t>OUTROS SISTEMAS ESPECIAIS</t>
  </si>
  <si>
    <t>Outros sistemas</t>
  </si>
  <si>
    <t>SISTEMAS ESPECIAIS</t>
  </si>
  <si>
    <t>Ventokit</t>
  </si>
  <si>
    <t>Equipamentos para Sauna</t>
  </si>
  <si>
    <t>R$ / ponto</t>
  </si>
  <si>
    <t>pç</t>
  </si>
  <si>
    <t>Esquadrias Internas de Madeira</t>
  </si>
  <si>
    <t>Área privativa</t>
  </si>
  <si>
    <t>Serralherias</t>
  </si>
  <si>
    <t>Baldrame</t>
  </si>
  <si>
    <t>Equipamentos para SPA</t>
  </si>
  <si>
    <t>Poço do elevador</t>
  </si>
  <si>
    <t>MO Contrapiso</t>
  </si>
  <si>
    <t>MO Reboco</t>
  </si>
  <si>
    <t>Bloco de concreto autoclavado</t>
  </si>
  <si>
    <t>Mão de obra - Bloco Cerâmico</t>
  </si>
  <si>
    <t>Mão de obra - Bloco Concreto</t>
  </si>
  <si>
    <t>MO Porcelanato</t>
  </si>
  <si>
    <t>MO Azulejo</t>
  </si>
  <si>
    <t>R$ / m</t>
  </si>
  <si>
    <t>R$/m²</t>
  </si>
  <si>
    <t>Brise vertical</t>
  </si>
  <si>
    <t>m³ / AE</t>
  </si>
  <si>
    <t>dias</t>
  </si>
  <si>
    <t>R$ / dia</t>
  </si>
  <si>
    <t>CTN_ART-RES Orçamento Paramétrico</t>
  </si>
  <si>
    <t>Neuhaus LTDA</t>
  </si>
  <si>
    <t>Arrasamento de Estacas</t>
  </si>
  <si>
    <t>R$ / um</t>
  </si>
  <si>
    <t>Considerado área do térreo</t>
  </si>
  <si>
    <r>
      <rPr>
        <b/>
        <sz val="14"/>
        <color rgb="FF255AE5"/>
        <rFont val="Roboto"/>
      </rPr>
      <t xml:space="preserve">ORÇAMENTO PARAMÉTRICO
</t>
    </r>
    <r>
      <rPr>
        <b/>
        <sz val="11"/>
        <color rgb="FF255AE5"/>
        <rFont val="Roboto"/>
      </rPr>
      <t>INFRAESTRUTURA</t>
    </r>
  </si>
  <si>
    <r>
      <t xml:space="preserve">ORÇAMENTO PARAMÉTRICO
</t>
    </r>
    <r>
      <rPr>
        <b/>
        <sz val="11"/>
        <color rgb="FF255AE5"/>
        <rFont val="Roboto"/>
      </rPr>
      <t>GERENCIAMENTO EXECUTIVO</t>
    </r>
  </si>
  <si>
    <r>
      <t xml:space="preserve">ORÇAMENTO PARAMÉTRICO 
</t>
    </r>
    <r>
      <rPr>
        <b/>
        <sz val="11"/>
        <color rgb="FF255AE5"/>
        <rFont val="Roboto"/>
      </rPr>
      <t>GERENCIAMENTO EXECUTIVO</t>
    </r>
  </si>
  <si>
    <r>
      <t xml:space="preserve">ORÇAMENTO PARAMÉTRICO
</t>
    </r>
    <r>
      <rPr>
        <b/>
        <sz val="11"/>
        <color rgb="FF255AE5"/>
        <rFont val="Roboto"/>
      </rPr>
      <t>MOVIMENTAÇÃO DE TERRA</t>
    </r>
  </si>
  <si>
    <r>
      <t xml:space="preserve">ORÇAMENTO PARAMÉTRICO
</t>
    </r>
    <r>
      <rPr>
        <b/>
        <sz val="11"/>
        <color rgb="FF255AE5"/>
        <rFont val="Roboto"/>
      </rPr>
      <t>SUPRAESTRUTURA</t>
    </r>
  </si>
  <si>
    <r>
      <t xml:space="preserve">ORÇAMENTO PARAMÉTRICO
</t>
    </r>
    <r>
      <rPr>
        <b/>
        <sz val="11"/>
        <color rgb="FF255AE5"/>
        <rFont val="Roboto"/>
      </rPr>
      <t>ALVENARIA</t>
    </r>
  </si>
  <si>
    <r>
      <t xml:space="preserve">ORÇAMENTO PARAMÉTRICO
</t>
    </r>
    <r>
      <rPr>
        <b/>
        <sz val="11"/>
        <color rgb="FF255AE5"/>
        <rFont val="Roboto"/>
      </rPr>
      <t>INSTALAÇÕES</t>
    </r>
  </si>
  <si>
    <r>
      <t xml:space="preserve">ORÇAMENTO PARAMÉTRICO
</t>
    </r>
    <r>
      <rPr>
        <b/>
        <sz val="11"/>
        <color rgb="FF255AE5"/>
        <rFont val="Roboto"/>
      </rPr>
      <t>IMPERMEABILIZAÇÃO</t>
    </r>
  </si>
  <si>
    <r>
      <t xml:space="preserve">ORÇAMENTO PARAMÉTRICO
</t>
    </r>
    <r>
      <rPr>
        <b/>
        <sz val="11"/>
        <color rgb="FF255AE5"/>
        <rFont val="Roboto"/>
      </rPr>
      <t>REVESTIMENTOS INTERNOS EM PISO E PAREDE</t>
    </r>
  </si>
  <si>
    <r>
      <t xml:space="preserve">ORÇAMENTO PARAMÉTRICO
</t>
    </r>
    <r>
      <rPr>
        <b/>
        <sz val="11"/>
        <color rgb="FF255AE5"/>
        <rFont val="Roboto"/>
      </rPr>
      <t>REVESTIMENTOS E ACABAMENTOS INTERNOS EM TETO</t>
    </r>
  </si>
  <si>
    <r>
      <t xml:space="preserve">ORÇAMENTO PARAMÉTRICO
</t>
    </r>
    <r>
      <rPr>
        <b/>
        <sz val="11"/>
        <color rgb="FF255AE5"/>
        <rFont val="Roboto"/>
      </rPr>
      <t>ACABAMENTOS EM PISO E PAREDE</t>
    </r>
  </si>
  <si>
    <r>
      <t xml:space="preserve">ORÇAMENTO PARAMÉTRICO
</t>
    </r>
    <r>
      <rPr>
        <b/>
        <sz val="11"/>
        <color rgb="FF255AE5"/>
        <rFont val="Roboto"/>
      </rPr>
      <t>PINTURA INTERNA</t>
    </r>
  </si>
  <si>
    <r>
      <t xml:space="preserve">ORÇAMENTO PARAMÉTRICO
</t>
    </r>
    <r>
      <rPr>
        <b/>
        <sz val="11"/>
        <color rgb="FF255AE5"/>
        <rFont val="Roboto"/>
      </rPr>
      <t>ESQUADRIAS</t>
    </r>
  </si>
  <si>
    <r>
      <t xml:space="preserve">ORÇAMENTO PARAMÉTRICO
</t>
    </r>
    <r>
      <rPr>
        <b/>
        <sz val="11"/>
        <color rgb="FF255AE5"/>
        <rFont val="Roboto"/>
      </rPr>
      <t>REVESTIMENTOS E ACABAMENTOS DE FACHADA</t>
    </r>
  </si>
  <si>
    <r>
      <t xml:space="preserve">ORÇAMENTO PARAMÉTRICO
</t>
    </r>
    <r>
      <rPr>
        <b/>
        <sz val="11"/>
        <color rgb="FF255AE5"/>
        <rFont val="Roboto"/>
      </rPr>
      <t>EQUIPAMENTOS</t>
    </r>
  </si>
  <si>
    <t>Cisterna</t>
  </si>
  <si>
    <t>Sistema de bombas</t>
  </si>
  <si>
    <t>Instalações de SPDA</t>
  </si>
  <si>
    <t>COMUNICAÇÃO</t>
  </si>
  <si>
    <t>CFTV</t>
  </si>
  <si>
    <t>Interfone</t>
  </si>
  <si>
    <t>TV e internet</t>
  </si>
  <si>
    <t>Grupo de geradores</t>
  </si>
  <si>
    <t>Infra para carro elétrico</t>
  </si>
  <si>
    <t>und</t>
  </si>
  <si>
    <t>R$ / und</t>
  </si>
  <si>
    <t>Manta acústica torre</t>
  </si>
  <si>
    <t>Manta acústica lazer</t>
  </si>
  <si>
    <t>Piso emborrachado</t>
  </si>
  <si>
    <t>Pastilha piscinas</t>
  </si>
  <si>
    <t>Piso concreto estampado</t>
  </si>
  <si>
    <t>Revestimentos de Parede 30x60</t>
  </si>
  <si>
    <t>Soleiras e peitoris</t>
  </si>
  <si>
    <t>MO Pastilhas</t>
  </si>
  <si>
    <t xml:space="preserve">Piso porcelanato </t>
  </si>
  <si>
    <t>Origem 3300</t>
  </si>
  <si>
    <t>Pintura piso epoxi</t>
  </si>
  <si>
    <t>m2</t>
  </si>
  <si>
    <t>Pintura acrílica escadaria</t>
  </si>
  <si>
    <t>Pintura acrílica paredes</t>
  </si>
  <si>
    <t>Textura acrílica paredes</t>
  </si>
  <si>
    <t>Desmobilização</t>
  </si>
  <si>
    <t>CTN_NHS-ORIGEM 3300 Orçamento Paramétrico</t>
  </si>
  <si>
    <t>Máquinas Ar Condicionado área comum</t>
  </si>
  <si>
    <t>Elevador social</t>
  </si>
  <si>
    <t>Elevador serviço</t>
  </si>
  <si>
    <t xml:space="preserve">R$ </t>
  </si>
  <si>
    <t>PCF</t>
  </si>
  <si>
    <t>Corrimão</t>
  </si>
  <si>
    <t>Fechadura eletrônica</t>
  </si>
  <si>
    <t>Portão de alumínio</t>
  </si>
  <si>
    <t>Guarda corpo de alumínio</t>
  </si>
  <si>
    <t xml:space="preserve">Tijolinho </t>
  </si>
  <si>
    <t>Serviços complementares</t>
  </si>
  <si>
    <t xml:space="preserve">R$ / m² de alv. </t>
  </si>
  <si>
    <t>Ligações definitivas</t>
  </si>
  <si>
    <t>Piso deck</t>
  </si>
  <si>
    <t>RS / m²</t>
  </si>
  <si>
    <t>Piso Vinílico - MAT E MDO</t>
  </si>
  <si>
    <t>Pele de vidro</t>
  </si>
  <si>
    <t>Esquadrias de vidro</t>
  </si>
  <si>
    <t>R / m²</t>
  </si>
  <si>
    <t>Escoramento - Embasamento</t>
  </si>
  <si>
    <t>Forro ACM - saunas</t>
  </si>
  <si>
    <t>Forro vinílico - sacadas</t>
  </si>
  <si>
    <t>material</t>
  </si>
  <si>
    <t>aço</t>
  </si>
  <si>
    <t>projetada na cor preta</t>
  </si>
  <si>
    <t>BOTANICO</t>
  </si>
  <si>
    <t>ZAHA</t>
  </si>
  <si>
    <t>5,00 / m²</t>
  </si>
  <si>
    <t>12,30 / kg</t>
  </si>
  <si>
    <t>7000 / laje</t>
  </si>
  <si>
    <t>serviços</t>
  </si>
  <si>
    <t>Z</t>
  </si>
  <si>
    <t>Protensão - lajes torre - cabos</t>
  </si>
  <si>
    <t>Protensão - lajes torre - serviços</t>
  </si>
  <si>
    <t>protensão</t>
  </si>
  <si>
    <t>kg / m²</t>
  </si>
  <si>
    <t>1,83 kg/m²</t>
  </si>
  <si>
    <t>índice</t>
  </si>
  <si>
    <t>R$ / APT</t>
  </si>
  <si>
    <t>R$/ APT</t>
  </si>
  <si>
    <t>R$/ APT*NPT</t>
  </si>
  <si>
    <t>R$/ APT*NPD</t>
  </si>
  <si>
    <t>OK</t>
  </si>
  <si>
    <t>Bota-fora de escavação</t>
  </si>
  <si>
    <t>m² / APE</t>
  </si>
  <si>
    <t>Drywall lazer</t>
  </si>
  <si>
    <t>Drywall tipo</t>
  </si>
  <si>
    <t>Drywall Diferenciado</t>
  </si>
  <si>
    <t>Alvenaria dupla</t>
  </si>
  <si>
    <t>Alvenaria dupla tipo</t>
  </si>
  <si>
    <t/>
  </si>
  <si>
    <t>Textura STO / Pintura</t>
  </si>
  <si>
    <t>]</t>
  </si>
  <si>
    <t>valor do cliente</t>
  </si>
  <si>
    <t>VALOR DO CLIENTE</t>
  </si>
  <si>
    <t>R03</t>
  </si>
  <si>
    <t>Finalizado</t>
  </si>
  <si>
    <t xml:space="preserve">Larissa/Bianca </t>
  </si>
  <si>
    <t>Larissa/Bianca</t>
  </si>
  <si>
    <t>Protensão - vigas torre - cabos</t>
  </si>
  <si>
    <t>alterado para 7,2 conforme orientação do Sandro</t>
  </si>
  <si>
    <t>Fabricação forma - Embasamento</t>
  </si>
  <si>
    <t>Fabricação forma - Torre</t>
  </si>
  <si>
    <t>Mão de obra da supraestrutura (incluso montagem de forma)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</si>
</sst>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,##0.0000_-;\-* #,##0.0000_-;_-* &quot;-&quot;??_-;_-@_-"/>
    <numFmt numFmtId="166" formatCode="_-* #,##0.0000_-;\-* #,##0.0000_-;_-* &quot;-&quot;??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4"/>
      <color rgb="FF293549"/>
      <name val="Roboto"/>
    </font>
    <font>
      <sz val="10"/>
      <color rgb="FF000000"/>
      <name val="Roboto"/>
    </font>
    <font>
      <b/>
      <sz val="1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0"/>
      <color theme="0"/>
      <name val="Roboto"/>
    </font>
    <font>
      <b/>
      <sz val="14"/>
      <color rgb="FF255AE5"/>
      <name val="Roboto"/>
    </font>
    <font>
      <b/>
      <sz val="11"/>
      <color rgb="FF255AE5"/>
      <name val="Roboto"/>
    </font>
    <font>
      <sz val="8"/>
      <name val="Calibri"/>
      <family val="2"/>
      <scheme val="minor"/>
    </font>
    <font>
      <b/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16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7">
    <xf numFmtId="0" fontId="0" fillId="0" borderId="0" xfId="0"/>
    <xf numFmtId="0" fontId="3" fillId="0" borderId="0" xfId="0" applyFont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3" fontId="7" fillId="0" borderId="5" xfId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43" fontId="7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43" fontId="7" fillId="0" borderId="0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43" fontId="7" fillId="0" borderId="7" xfId="1" applyFont="1" applyBorder="1" applyAlignment="1">
      <alignment vertical="center"/>
    </xf>
    <xf numFmtId="43" fontId="9" fillId="0" borderId="7" xfId="1" applyFont="1" applyBorder="1" applyAlignment="1">
      <alignment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9" xfId="1" applyNumberFormat="1" applyFont="1" applyBorder="1" applyAlignment="1">
      <alignment horizontal="center" vertical="center"/>
    </xf>
    <xf numFmtId="165" fontId="7" fillId="0" borderId="38" xfId="1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43" fontId="7" fillId="0" borderId="23" xfId="1" applyFont="1" applyBorder="1" applyAlignment="1">
      <alignment horizontal="center" vertical="center" wrapText="1"/>
    </xf>
    <xf numFmtId="43" fontId="3" fillId="0" borderId="0" xfId="1" applyFont="1" applyAlignment="1">
      <alignment vertical="center"/>
    </xf>
    <xf numFmtId="43" fontId="3" fillId="2" borderId="9" xfId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7" fillId="0" borderId="0" xfId="1" applyFont="1" applyBorder="1" applyAlignment="1">
      <alignment vertical="center"/>
    </xf>
    <xf numFmtId="43" fontId="7" fillId="0" borderId="26" xfId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43" fontId="3" fillId="0" borderId="0" xfId="1" applyFont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7" fillId="0" borderId="29" xfId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 wrapText="1"/>
    </xf>
    <xf numFmtId="43" fontId="7" fillId="0" borderId="32" xfId="1" applyFont="1" applyBorder="1" applyAlignment="1">
      <alignment horizontal="center" vertical="center" wrapText="1"/>
    </xf>
    <xf numFmtId="43" fontId="7" fillId="0" borderId="33" xfId="1" applyFont="1" applyBorder="1" applyAlignment="1">
      <alignment horizontal="center" vertical="center" wrapText="1"/>
    </xf>
    <xf numFmtId="43" fontId="7" fillId="0" borderId="37" xfId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43" fontId="7" fillId="0" borderId="33" xfId="1" quotePrefix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43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32" xfId="0" applyFont="1" applyBorder="1" applyAlignment="1">
      <alignment horizontal="center" vertical="center" wrapText="1"/>
    </xf>
    <xf numFmtId="43" fontId="7" fillId="0" borderId="7" xfId="0" applyNumberFormat="1" applyFont="1" applyBorder="1" applyAlignment="1">
      <alignment vertical="center"/>
    </xf>
    <xf numFmtId="165" fontId="7" fillId="0" borderId="31" xfId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43" fontId="9" fillId="0" borderId="0" xfId="1" applyFont="1" applyAlignment="1">
      <alignment vertical="center"/>
    </xf>
    <xf numFmtId="43" fontId="9" fillId="0" borderId="0" xfId="1" applyFont="1" applyAlignment="1">
      <alignment horizontal="center" vertical="center"/>
    </xf>
    <xf numFmtId="43" fontId="7" fillId="0" borderId="29" xfId="1" applyFont="1" applyBorder="1" applyAlignment="1">
      <alignment horizontal="center" vertical="center"/>
    </xf>
    <xf numFmtId="43" fontId="7" fillId="0" borderId="23" xfId="1" applyFont="1" applyBorder="1" applyAlignment="1">
      <alignment horizontal="left" vertical="center" wrapText="1"/>
    </xf>
    <xf numFmtId="43" fontId="7" fillId="0" borderId="38" xfId="1" applyFont="1" applyBorder="1" applyAlignment="1">
      <alignment horizontal="left" vertical="center" wrapText="1"/>
    </xf>
    <xf numFmtId="43" fontId="7" fillId="0" borderId="38" xfId="1" applyFont="1" applyFill="1" applyBorder="1" applyAlignment="1">
      <alignment horizontal="left" vertical="center" wrapText="1"/>
    </xf>
    <xf numFmtId="43" fontId="7" fillId="0" borderId="26" xfId="1" applyFont="1" applyFill="1" applyBorder="1" applyAlignment="1">
      <alignment horizontal="left" vertical="center" wrapText="1"/>
    </xf>
    <xf numFmtId="43" fontId="7" fillId="0" borderId="42" xfId="1" applyFont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center"/>
    </xf>
    <xf numFmtId="4" fontId="11" fillId="7" borderId="0" xfId="0" applyNumberFormat="1" applyFont="1" applyFill="1" applyAlignment="1">
      <alignment horizontal="right" vertical="center"/>
    </xf>
    <xf numFmtId="8" fontId="11" fillId="7" borderId="0" xfId="0" applyNumberFormat="1" applyFont="1" applyFill="1" applyAlignment="1">
      <alignment horizontal="right" vertical="center"/>
    </xf>
    <xf numFmtId="17" fontId="11" fillId="7" borderId="0" xfId="0" applyNumberFormat="1" applyFont="1" applyFill="1" applyAlignment="1">
      <alignment horizontal="right" vertical="center"/>
    </xf>
    <xf numFmtId="43" fontId="11" fillId="7" borderId="0" xfId="0" applyNumberFormat="1" applyFont="1" applyFill="1" applyAlignment="1">
      <alignment horizontal="right" vertical="center"/>
    </xf>
    <xf numFmtId="43" fontId="11" fillId="7" borderId="0" xfId="1" applyFont="1" applyFill="1" applyAlignment="1">
      <alignment horizontal="right" vertical="center"/>
    </xf>
    <xf numFmtId="43" fontId="7" fillId="0" borderId="29" xfId="1" applyFont="1" applyFill="1" applyBorder="1" applyAlignment="1">
      <alignment horizontal="center" vertical="center" wrapText="1"/>
    </xf>
    <xf numFmtId="165" fontId="7" fillId="0" borderId="26" xfId="1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3" fontId="7" fillId="0" borderId="32" xfId="1" applyFont="1" applyFill="1" applyBorder="1" applyAlignment="1">
      <alignment horizontal="center" vertical="center" wrapText="1"/>
    </xf>
    <xf numFmtId="43" fontId="7" fillId="0" borderId="31" xfId="1" applyFont="1" applyFill="1" applyBorder="1" applyAlignment="1">
      <alignment horizontal="center" vertical="center" wrapText="1"/>
    </xf>
    <xf numFmtId="165" fontId="7" fillId="0" borderId="31" xfId="1" applyNumberFormat="1" applyFont="1" applyFill="1" applyBorder="1" applyAlignment="1">
      <alignment horizontal="center" vertical="center"/>
    </xf>
    <xf numFmtId="43" fontId="7" fillId="0" borderId="31" xfId="1" applyFont="1" applyFill="1" applyBorder="1" applyAlignment="1">
      <alignment horizontal="center" vertical="center"/>
    </xf>
    <xf numFmtId="43" fontId="7" fillId="0" borderId="32" xfId="1" applyFont="1" applyFill="1" applyBorder="1" applyAlignment="1">
      <alignment horizontal="center" vertical="center"/>
    </xf>
    <xf numFmtId="43" fontId="7" fillId="0" borderId="23" xfId="1" applyFont="1" applyFill="1" applyBorder="1" applyAlignment="1">
      <alignment horizontal="center" vertical="center" wrapText="1"/>
    </xf>
    <xf numFmtId="165" fontId="7" fillId="0" borderId="23" xfId="1" applyNumberFormat="1" applyFont="1" applyFill="1" applyBorder="1" applyAlignment="1">
      <alignment horizontal="center" vertical="center"/>
    </xf>
    <xf numFmtId="165" fontId="7" fillId="0" borderId="32" xfId="1" applyNumberFormat="1" applyFont="1" applyFill="1" applyBorder="1" applyAlignment="1">
      <alignment horizontal="center" vertical="center"/>
    </xf>
    <xf numFmtId="43" fontId="8" fillId="0" borderId="0" xfId="1" applyFont="1" applyAlignment="1">
      <alignment vertical="center"/>
    </xf>
    <xf numFmtId="43" fontId="7" fillId="0" borderId="0" xfId="1" applyFont="1" applyAlignment="1">
      <alignment vertical="center" wrapText="1"/>
    </xf>
    <xf numFmtId="165" fontId="7" fillId="0" borderId="33" xfId="1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165" fontId="7" fillId="0" borderId="29" xfId="1" applyNumberFormat="1" applyFont="1" applyFill="1" applyBorder="1" applyAlignment="1">
      <alignment horizontal="center" vertical="center"/>
    </xf>
    <xf numFmtId="9" fontId="7" fillId="0" borderId="0" xfId="4" applyFont="1" applyAlignment="1">
      <alignment vertical="center"/>
    </xf>
    <xf numFmtId="43" fontId="7" fillId="0" borderId="37" xfId="1" applyFont="1" applyFill="1" applyBorder="1" applyAlignment="1">
      <alignment horizontal="center" vertical="center" wrapText="1"/>
    </xf>
    <xf numFmtId="43" fontId="7" fillId="0" borderId="38" xfId="1" applyFont="1" applyFill="1" applyBorder="1" applyAlignment="1">
      <alignment horizontal="center" vertical="center" wrapText="1"/>
    </xf>
    <xf numFmtId="165" fontId="7" fillId="0" borderId="38" xfId="1" applyNumberFormat="1" applyFont="1" applyFill="1" applyBorder="1" applyAlignment="1">
      <alignment horizontal="center" vertical="center"/>
    </xf>
    <xf numFmtId="165" fontId="3" fillId="0" borderId="38" xfId="1" applyNumberFormat="1" applyFont="1" applyBorder="1" applyAlignment="1">
      <alignment horizontal="center" vertical="center"/>
    </xf>
    <xf numFmtId="165" fontId="3" fillId="0" borderId="38" xfId="1" applyNumberFormat="1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2" borderId="22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14" fontId="3" fillId="3" borderId="22" xfId="0" applyNumberFormat="1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3" borderId="22" xfId="0" applyFont="1" applyFill="1" applyBorder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43" fontId="7" fillId="0" borderId="32" xfId="1" quotePrefix="1" applyFont="1" applyFill="1" applyBorder="1" applyAlignment="1">
      <alignment horizontal="center" vertical="center" wrapText="1"/>
    </xf>
    <xf numFmtId="43" fontId="7" fillId="0" borderId="33" xfId="1" quotePrefix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3" fontId="7" fillId="0" borderId="33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3" fillId="0" borderId="37" xfId="1" applyFont="1" applyFill="1" applyBorder="1" applyAlignment="1">
      <alignment horizontal="center" vertical="center" wrapText="1"/>
    </xf>
    <xf numFmtId="43" fontId="7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vertical="center"/>
    </xf>
    <xf numFmtId="44" fontId="7" fillId="0" borderId="0" xfId="5" applyFont="1" applyAlignment="1">
      <alignment vertical="center"/>
    </xf>
    <xf numFmtId="165" fontId="7" fillId="0" borderId="32" xfId="1" applyNumberFormat="1" applyFont="1" applyBorder="1" applyAlignment="1">
      <alignment horizontal="center" vertical="center"/>
    </xf>
    <xf numFmtId="165" fontId="7" fillId="0" borderId="37" xfId="1" applyNumberFormat="1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43" fontId="7" fillId="0" borderId="10" xfId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3" fontId="7" fillId="0" borderId="0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44" fontId="9" fillId="6" borderId="22" xfId="5" applyFont="1" applyFill="1" applyBorder="1" applyAlignment="1">
      <alignment vertical="center"/>
    </xf>
    <xf numFmtId="43" fontId="7" fillId="8" borderId="37" xfId="1" applyFont="1" applyFill="1" applyBorder="1" applyAlignment="1">
      <alignment horizontal="center" vertical="center" wrapText="1"/>
    </xf>
    <xf numFmtId="43" fontId="7" fillId="8" borderId="38" xfId="1" applyFont="1" applyFill="1" applyBorder="1" applyAlignment="1">
      <alignment horizontal="center" vertical="center" wrapText="1"/>
    </xf>
    <xf numFmtId="165" fontId="7" fillId="8" borderId="38" xfId="1" applyNumberFormat="1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65" fontId="7" fillId="8" borderId="26" xfId="1" applyNumberFormat="1" applyFont="1" applyFill="1" applyBorder="1" applyAlignment="1">
      <alignment horizontal="center" vertical="center"/>
    </xf>
    <xf numFmtId="43" fontId="7" fillId="8" borderId="31" xfId="1" applyFont="1" applyFill="1" applyBorder="1" applyAlignment="1">
      <alignment horizontal="center" vertical="center"/>
    </xf>
    <xf numFmtId="43" fontId="7" fillId="8" borderId="32" xfId="1" applyFont="1" applyFill="1" applyBorder="1" applyAlignment="1">
      <alignment horizontal="center" vertical="center"/>
    </xf>
    <xf numFmtId="165" fontId="7" fillId="8" borderId="23" xfId="1" applyNumberFormat="1" applyFont="1" applyFill="1" applyBorder="1" applyAlignment="1">
      <alignment horizontal="center" vertical="center"/>
    </xf>
    <xf numFmtId="165" fontId="7" fillId="8" borderId="32" xfId="1" applyNumberFormat="1" applyFont="1" applyFill="1" applyBorder="1" applyAlignment="1">
      <alignment horizontal="center" vertical="center"/>
    </xf>
    <xf numFmtId="0" fontId="7" fillId="0" borderId="0" xfId="0" quotePrefix="1" applyFont="1" applyAlignment="1">
      <alignment vertical="center"/>
    </xf>
    <xf numFmtId="44" fontId="7" fillId="8" borderId="26" xfId="5" applyFont="1" applyFill="1" applyBorder="1" applyAlignment="1">
      <alignment vertical="center"/>
    </xf>
    <xf numFmtId="44" fontId="7" fillId="8" borderId="28" xfId="5" applyFont="1" applyFill="1" applyBorder="1" applyAlignment="1">
      <alignment vertical="center"/>
    </xf>
    <xf numFmtId="44" fontId="7" fillId="0" borderId="26" xfId="5" applyFont="1" applyBorder="1" applyAlignment="1">
      <alignment vertical="center"/>
    </xf>
    <xf numFmtId="44" fontId="7" fillId="0" borderId="28" xfId="5" applyFont="1" applyBorder="1" applyAlignment="1">
      <alignment vertical="center"/>
    </xf>
    <xf numFmtId="44" fontId="7" fillId="0" borderId="23" xfId="5" applyFont="1" applyFill="1" applyBorder="1" applyAlignment="1">
      <alignment vertical="center"/>
    </xf>
    <xf numFmtId="44" fontId="7" fillId="0" borderId="25" xfId="5" applyFont="1" applyFill="1" applyBorder="1" applyAlignment="1">
      <alignment vertical="center"/>
    </xf>
    <xf numFmtId="44" fontId="7" fillId="0" borderId="29" xfId="5" applyFont="1" applyBorder="1" applyAlignment="1">
      <alignment vertical="center"/>
    </xf>
    <xf numFmtId="44" fontId="7" fillId="0" borderId="30" xfId="5" applyFont="1" applyBorder="1" applyAlignment="1">
      <alignment vertical="center"/>
    </xf>
    <xf numFmtId="43" fontId="3" fillId="8" borderId="37" xfId="1" applyFont="1" applyFill="1" applyBorder="1" applyAlignment="1">
      <alignment horizontal="center" vertical="center" wrapText="1"/>
    </xf>
    <xf numFmtId="43" fontId="3" fillId="8" borderId="38" xfId="1" applyFont="1" applyFill="1" applyBorder="1" applyAlignment="1">
      <alignment horizontal="center" vertical="center" wrapText="1"/>
    </xf>
    <xf numFmtId="165" fontId="3" fillId="8" borderId="38" xfId="1" applyNumberFormat="1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44" fontId="3" fillId="8" borderId="26" xfId="5" applyFont="1" applyFill="1" applyBorder="1" applyAlignment="1">
      <alignment vertical="center"/>
    </xf>
    <xf numFmtId="43" fontId="3" fillId="8" borderId="32" xfId="1" applyFont="1" applyFill="1" applyBorder="1" applyAlignment="1">
      <alignment horizontal="center" vertical="center" wrapText="1"/>
    </xf>
    <xf numFmtId="43" fontId="3" fillId="8" borderId="26" xfId="1" applyFont="1" applyFill="1" applyBorder="1" applyAlignment="1">
      <alignment horizontal="center" vertical="center" wrapText="1"/>
    </xf>
    <xf numFmtId="165" fontId="3" fillId="8" borderId="26" xfId="1" applyNumberFormat="1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3" fontId="7" fillId="4" borderId="18" xfId="1" applyFont="1" applyFill="1" applyBorder="1" applyAlignment="1">
      <alignment horizontal="center" vertical="center"/>
    </xf>
    <xf numFmtId="43" fontId="7" fillId="4" borderId="20" xfId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3" borderId="11" xfId="0" applyNumberFormat="1" applyFont="1" applyFill="1" applyBorder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/>
    </xf>
    <xf numFmtId="14" fontId="3" fillId="3" borderId="13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43" fontId="7" fillId="4" borderId="15" xfId="1" applyFont="1" applyFill="1" applyBorder="1" applyAlignment="1">
      <alignment horizontal="center" vertical="center"/>
    </xf>
    <xf numFmtId="43" fontId="7" fillId="4" borderId="16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3" fillId="3" borderId="22" xfId="0" applyFont="1" applyFill="1" applyBorder="1" applyAlignment="1">
      <alignment horizontal="left" vertical="center"/>
    </xf>
    <xf numFmtId="4" fontId="11" fillId="7" borderId="0" xfId="0" applyNumberFormat="1" applyFont="1" applyFill="1" applyAlignment="1">
      <alignment horizontal="right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44" fontId="7" fillId="0" borderId="26" xfId="5" applyFont="1" applyBorder="1" applyAlignment="1">
      <alignment horizontal="center" vertical="center"/>
    </xf>
    <xf numFmtId="44" fontId="7" fillId="0" borderId="27" xfId="5" applyFont="1" applyBorder="1" applyAlignment="1">
      <alignment horizontal="center" vertical="center"/>
    </xf>
    <xf numFmtId="44" fontId="7" fillId="0" borderId="28" xfId="5" applyFont="1" applyBorder="1" applyAlignment="1">
      <alignment horizontal="center" vertical="center"/>
    </xf>
    <xf numFmtId="44" fontId="7" fillId="0" borderId="29" xfId="5" applyFont="1" applyBorder="1" applyAlignment="1">
      <alignment horizontal="center" vertical="center"/>
    </xf>
    <xf numFmtId="44" fontId="7" fillId="0" borderId="41" xfId="5" applyFont="1" applyBorder="1" applyAlignment="1">
      <alignment horizontal="center" vertical="center"/>
    </xf>
    <xf numFmtId="44" fontId="7" fillId="0" borderId="30" xfId="5" applyFont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44" fontId="9" fillId="6" borderId="34" xfId="5" applyFont="1" applyFill="1" applyBorder="1" applyAlignment="1">
      <alignment horizontal="center" vertical="center"/>
    </xf>
    <xf numFmtId="44" fontId="9" fillId="6" borderId="35" xfId="5" applyFont="1" applyFill="1" applyBorder="1" applyAlignment="1">
      <alignment horizontal="center" vertical="center"/>
    </xf>
    <xf numFmtId="44" fontId="9" fillId="6" borderId="36" xfId="5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left" vertical="center"/>
    </xf>
    <xf numFmtId="0" fontId="9" fillId="5" borderId="35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44" fontId="7" fillId="0" borderId="23" xfId="5" applyFont="1" applyBorder="1" applyAlignment="1">
      <alignment horizontal="center" vertical="center"/>
    </xf>
    <xf numFmtId="44" fontId="7" fillId="0" borderId="24" xfId="5" applyFont="1" applyBorder="1" applyAlignment="1">
      <alignment horizontal="center" vertical="center"/>
    </xf>
    <xf numFmtId="44" fontId="7" fillId="0" borderId="25" xfId="5" applyFont="1" applyBorder="1" applyAlignment="1">
      <alignment horizontal="center" vertical="center"/>
    </xf>
    <xf numFmtId="43" fontId="7" fillId="0" borderId="32" xfId="1" applyFont="1" applyBorder="1" applyAlignment="1">
      <alignment horizontal="left" vertical="center" wrapText="1"/>
    </xf>
    <xf numFmtId="43" fontId="7" fillId="0" borderId="31" xfId="0" applyNumberFormat="1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3" fontId="7" fillId="0" borderId="22" xfId="0" applyNumberFormat="1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44" fontId="9" fillId="6" borderId="22" xfId="5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43" fontId="9" fillId="5" borderId="34" xfId="1" applyFont="1" applyFill="1" applyBorder="1" applyAlignment="1">
      <alignment horizontal="center" vertical="center"/>
    </xf>
    <xf numFmtId="43" fontId="9" fillId="5" borderId="36" xfId="1" applyFont="1" applyFill="1" applyBorder="1" applyAlignment="1">
      <alignment horizontal="center" vertical="center"/>
    </xf>
    <xf numFmtId="43" fontId="7" fillId="0" borderId="23" xfId="1" applyFont="1" applyBorder="1" applyAlignment="1">
      <alignment horizontal="center" vertical="center"/>
    </xf>
    <xf numFmtId="43" fontId="7" fillId="0" borderId="25" xfId="1" applyFont="1" applyBorder="1" applyAlignment="1">
      <alignment horizontal="center" vertical="center"/>
    </xf>
    <xf numFmtId="43" fontId="9" fillId="6" borderId="22" xfId="1" applyFont="1" applyFill="1" applyBorder="1" applyAlignment="1">
      <alignment horizontal="center" vertical="center"/>
    </xf>
    <xf numFmtId="44" fontId="7" fillId="0" borderId="31" xfId="5" applyFont="1" applyBorder="1" applyAlignment="1">
      <alignment horizontal="center" vertical="center"/>
    </xf>
    <xf numFmtId="44" fontId="7" fillId="0" borderId="36" xfId="5" applyFont="1" applyBorder="1" applyAlignment="1">
      <alignment horizontal="center" vertical="center"/>
    </xf>
    <xf numFmtId="44" fontId="7" fillId="0" borderId="38" xfId="5" applyFont="1" applyBorder="1" applyAlignment="1">
      <alignment horizontal="center" vertical="center"/>
    </xf>
    <xf numFmtId="44" fontId="7" fillId="0" borderId="39" xfId="5" applyFont="1" applyBorder="1" applyAlignment="1">
      <alignment horizontal="center" vertical="center"/>
    </xf>
    <xf numFmtId="43" fontId="7" fillId="0" borderId="34" xfId="0" applyNumberFormat="1" applyFont="1" applyBorder="1" applyAlignment="1">
      <alignment horizontal="center" vertical="center"/>
    </xf>
    <xf numFmtId="43" fontId="7" fillId="0" borderId="10" xfId="1" applyFont="1" applyBorder="1" applyAlignment="1">
      <alignment horizontal="center" vertical="center"/>
    </xf>
    <xf numFmtId="0" fontId="3" fillId="8" borderId="32" xfId="0" applyFont="1" applyFill="1" applyBorder="1" applyAlignment="1">
      <alignment horizontal="left" vertical="center" wrapText="1"/>
    </xf>
    <xf numFmtId="0" fontId="3" fillId="8" borderId="26" xfId="0" applyFont="1" applyFill="1" applyBorder="1" applyAlignment="1">
      <alignment horizontal="left" vertical="center" wrapText="1"/>
    </xf>
    <xf numFmtId="0" fontId="3" fillId="8" borderId="27" xfId="0" applyFont="1" applyFill="1" applyBorder="1" applyAlignment="1">
      <alignment horizontal="left" vertical="center" wrapText="1"/>
    </xf>
    <xf numFmtId="0" fontId="3" fillId="8" borderId="28" xfId="0" applyFont="1" applyFill="1" applyBorder="1" applyAlignment="1">
      <alignment horizontal="left" vertical="center" wrapText="1"/>
    </xf>
    <xf numFmtId="43" fontId="7" fillId="0" borderId="0" xfId="1" applyFont="1" applyBorder="1" applyAlignment="1">
      <alignment horizontal="center" vertical="center"/>
    </xf>
    <xf numFmtId="0" fontId="7" fillId="8" borderId="26" xfId="0" applyFont="1" applyFill="1" applyBorder="1" applyAlignment="1">
      <alignment horizontal="left" vertical="center" wrapText="1"/>
    </xf>
    <xf numFmtId="0" fontId="7" fillId="8" borderId="27" xfId="0" applyFont="1" applyFill="1" applyBorder="1" applyAlignment="1">
      <alignment horizontal="left" vertical="center" wrapText="1"/>
    </xf>
    <xf numFmtId="0" fontId="7" fillId="8" borderId="28" xfId="0" applyFont="1" applyFill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44" fontId="7" fillId="0" borderId="26" xfId="5" applyFont="1" applyFill="1" applyBorder="1" applyAlignment="1">
      <alignment horizontal="center" vertical="center"/>
    </xf>
    <xf numFmtId="44" fontId="7" fillId="0" borderId="28" xfId="5" applyFont="1" applyFill="1" applyBorder="1" applyAlignment="1">
      <alignment horizontal="center" vertical="center"/>
    </xf>
    <xf numFmtId="0" fontId="7" fillId="0" borderId="29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44" fontId="7" fillId="0" borderId="23" xfId="5" applyFont="1" applyFill="1" applyBorder="1" applyAlignment="1">
      <alignment horizontal="center" vertical="center"/>
    </xf>
    <xf numFmtId="44" fontId="7" fillId="0" borderId="25" xfId="5" applyFont="1" applyFill="1" applyBorder="1" applyAlignment="1">
      <alignment horizontal="center" vertical="center"/>
    </xf>
    <xf numFmtId="44" fontId="7" fillId="0" borderId="29" xfId="5" applyFont="1" applyFill="1" applyBorder="1" applyAlignment="1">
      <alignment horizontal="center" vertical="center"/>
    </xf>
    <xf numFmtId="44" fontId="7" fillId="0" borderId="30" xfId="5" applyFont="1" applyFill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44" fontId="7" fillId="0" borderId="29" xfId="5" applyFont="1" applyBorder="1" applyAlignment="1">
      <alignment horizontal="right" vertical="center" wrapText="1"/>
    </xf>
    <xf numFmtId="44" fontId="7" fillId="0" borderId="30" xfId="5" applyFont="1" applyBorder="1" applyAlignment="1">
      <alignment horizontal="right" vertical="center" wrapText="1"/>
    </xf>
    <xf numFmtId="44" fontId="7" fillId="0" borderId="26" xfId="5" applyFont="1" applyBorder="1" applyAlignment="1">
      <alignment horizontal="right" vertical="center" wrapText="1"/>
    </xf>
    <xf numFmtId="44" fontId="7" fillId="0" borderId="27" xfId="5" applyFont="1" applyBorder="1" applyAlignment="1">
      <alignment horizontal="right" vertical="center" wrapText="1"/>
    </xf>
    <xf numFmtId="44" fontId="7" fillId="0" borderId="28" xfId="5" applyFont="1" applyBorder="1" applyAlignment="1">
      <alignment horizontal="right" vertical="center" wrapText="1"/>
    </xf>
    <xf numFmtId="43" fontId="7" fillId="0" borderId="31" xfId="1" applyFont="1" applyFill="1" applyBorder="1" applyAlignment="1">
      <alignment horizontal="center" vertical="center"/>
    </xf>
    <xf numFmtId="43" fontId="7" fillId="0" borderId="26" xfId="1" applyFont="1" applyBorder="1" applyAlignment="1">
      <alignment horizontal="center" vertical="center"/>
    </xf>
    <xf numFmtId="43" fontId="7" fillId="0" borderId="28" xfId="1" applyFont="1" applyBorder="1" applyAlignment="1">
      <alignment horizontal="center" vertical="center"/>
    </xf>
    <xf numFmtId="43" fontId="7" fillId="0" borderId="26" xfId="1" applyFont="1" applyFill="1" applyBorder="1" applyAlignment="1">
      <alignment horizontal="center" vertical="center"/>
    </xf>
    <xf numFmtId="43" fontId="7" fillId="0" borderId="28" xfId="1" applyFont="1" applyFill="1" applyBorder="1" applyAlignment="1">
      <alignment horizontal="center" vertical="center"/>
    </xf>
    <xf numFmtId="44" fontId="7" fillId="0" borderId="32" xfId="5" applyFont="1" applyFill="1" applyBorder="1" applyAlignment="1">
      <alignment horizontal="center" vertical="center"/>
    </xf>
  </cellXfs>
  <cellStyles count="6">
    <cellStyle name="Moeda" xfId="5" builtinId="4"/>
    <cellStyle name="Normal" xfId="0" builtinId="0"/>
    <cellStyle name="Normal 2" xfId="2" xr:uid="{00000000-0005-0000-0000-000001000000}"/>
    <cellStyle name="Porcentagem" xfId="4" builtinId="5"/>
    <cellStyle name="Vírgula" xfId="1" builtinId="3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255AE5"/>
      <color rgb="FF001642"/>
      <color rgb="FF003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1</xdr:row>
      <xdr:rowOff>28575</xdr:rowOff>
    </xdr:from>
    <xdr:to>
      <xdr:col>10</xdr:col>
      <xdr:colOff>573865</xdr:colOff>
      <xdr:row>3</xdr:row>
      <xdr:rowOff>28273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EC9B48-9DB0-4ADF-A9B2-259FDB07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6475" y="190500"/>
          <a:ext cx="1935940" cy="3235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202407</xdr:colOff>
      <xdr:row>1</xdr:row>
      <xdr:rowOff>71437</xdr:rowOff>
    </xdr:from>
    <xdr:to>
      <xdr:col>8</xdr:col>
      <xdr:colOff>362293</xdr:colOff>
      <xdr:row>3</xdr:row>
      <xdr:rowOff>61610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813DBE-FFF1-4810-9BF9-C4CBF491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2563" y="238125"/>
          <a:ext cx="1935940" cy="323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854305</xdr:colOff>
      <xdr:row>1</xdr:row>
      <xdr:rowOff>49098</xdr:rowOff>
    </xdr:from>
    <xdr:to>
      <xdr:col>10</xdr:col>
      <xdr:colOff>246971</xdr:colOff>
      <xdr:row>3</xdr:row>
      <xdr:rowOff>58419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52E2174-9A5D-495B-976A-59DE1ECF4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5619" y="206211"/>
          <a:ext cx="1935940" cy="3235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24848</xdr:colOff>
      <xdr:row>1</xdr:row>
      <xdr:rowOff>41414</xdr:rowOff>
    </xdr:from>
    <xdr:to>
      <xdr:col>10</xdr:col>
      <xdr:colOff>337397</xdr:colOff>
      <xdr:row>3</xdr:row>
      <xdr:rowOff>33657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16C667A-AF17-6767-A2DC-00AD4B9F5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207066"/>
          <a:ext cx="1935940" cy="3235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1</xdr:row>
      <xdr:rowOff>51288</xdr:rowOff>
    </xdr:from>
    <xdr:to>
      <xdr:col>10</xdr:col>
      <xdr:colOff>113587</xdr:colOff>
      <xdr:row>3</xdr:row>
      <xdr:rowOff>52451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03C51F-C2FA-46D6-9B09-697AF6737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6115" y="212480"/>
          <a:ext cx="1935940" cy="3235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819150</xdr:colOff>
      <xdr:row>1</xdr:row>
      <xdr:rowOff>47625</xdr:rowOff>
    </xdr:from>
    <xdr:to>
      <xdr:col>10</xdr:col>
      <xdr:colOff>67602</xdr:colOff>
      <xdr:row>3</xdr:row>
      <xdr:rowOff>47323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C83631-63A2-4298-98C3-4DAF5F6CC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209550"/>
          <a:ext cx="1935940" cy="3235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853109</xdr:colOff>
      <xdr:row>1</xdr:row>
      <xdr:rowOff>57978</xdr:rowOff>
    </xdr:from>
    <xdr:to>
      <xdr:col>10</xdr:col>
      <xdr:colOff>226629</xdr:colOff>
      <xdr:row>3</xdr:row>
      <xdr:rowOff>50221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BF27883-3910-439E-80B8-4B7CCCFE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8413" y="223630"/>
          <a:ext cx="1935940" cy="3235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638175</xdr:colOff>
      <xdr:row>1</xdr:row>
      <xdr:rowOff>76200</xdr:rowOff>
    </xdr:from>
    <xdr:to>
      <xdr:col>10</xdr:col>
      <xdr:colOff>40465</xdr:colOff>
      <xdr:row>3</xdr:row>
      <xdr:rowOff>75898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E88E8A-B352-43B5-AA52-3145E32B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238125"/>
          <a:ext cx="1935940" cy="3235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1</xdr:row>
      <xdr:rowOff>28575</xdr:rowOff>
    </xdr:from>
    <xdr:to>
      <xdr:col>10</xdr:col>
      <xdr:colOff>192865</xdr:colOff>
      <xdr:row>3</xdr:row>
      <xdr:rowOff>28273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D43C21-C125-495C-84E6-C7728257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190500"/>
          <a:ext cx="1935940" cy="3235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923925</xdr:colOff>
      <xdr:row>1</xdr:row>
      <xdr:rowOff>123825</xdr:rowOff>
    </xdr:from>
    <xdr:to>
      <xdr:col>10</xdr:col>
      <xdr:colOff>230965</xdr:colOff>
      <xdr:row>3</xdr:row>
      <xdr:rowOff>123523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CA5425-DC9C-41DE-94DB-1E5BB872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285750"/>
          <a:ext cx="1935940" cy="32354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</xdr:row>
      <xdr:rowOff>47625</xdr:rowOff>
    </xdr:from>
    <xdr:to>
      <xdr:col>10</xdr:col>
      <xdr:colOff>154765</xdr:colOff>
      <xdr:row>3</xdr:row>
      <xdr:rowOff>47323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1D0397-3D28-4A1E-91EE-EC9B21CD5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209550"/>
          <a:ext cx="1935940" cy="3235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1</xdr:row>
      <xdr:rowOff>95250</xdr:rowOff>
    </xdr:from>
    <xdr:to>
      <xdr:col>10</xdr:col>
      <xdr:colOff>192865</xdr:colOff>
      <xdr:row>3</xdr:row>
      <xdr:rowOff>94948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A8C144-9EE2-4669-852B-982BEC88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257175"/>
          <a:ext cx="1935940" cy="3235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828675</xdr:colOff>
      <xdr:row>1</xdr:row>
      <xdr:rowOff>47625</xdr:rowOff>
    </xdr:from>
    <xdr:to>
      <xdr:col>10</xdr:col>
      <xdr:colOff>288115</xdr:colOff>
      <xdr:row>3</xdr:row>
      <xdr:rowOff>47323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79C3A9-5766-4802-9310-F80EA8F3F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8425" y="209550"/>
          <a:ext cx="1935940" cy="32354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718039</xdr:colOff>
      <xdr:row>1</xdr:row>
      <xdr:rowOff>14654</xdr:rowOff>
    </xdr:from>
    <xdr:to>
      <xdr:col>10</xdr:col>
      <xdr:colOff>177479</xdr:colOff>
      <xdr:row>3</xdr:row>
      <xdr:rowOff>15817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D049C6-4F7A-47CC-AF58-C92C23435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4135" y="175846"/>
          <a:ext cx="1935940" cy="32354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762000</xdr:colOff>
      <xdr:row>1</xdr:row>
      <xdr:rowOff>104775</xdr:rowOff>
    </xdr:from>
    <xdr:to>
      <xdr:col>10</xdr:col>
      <xdr:colOff>169681</xdr:colOff>
      <xdr:row>3</xdr:row>
      <xdr:rowOff>104473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1420405-F4B7-4F0E-8958-63DD045B2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8900" y="266700"/>
          <a:ext cx="1935940" cy="3235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1</xdr:row>
      <xdr:rowOff>104775</xdr:rowOff>
    </xdr:from>
    <xdr:to>
      <xdr:col>9</xdr:col>
      <xdr:colOff>869140</xdr:colOff>
      <xdr:row>2</xdr:row>
      <xdr:rowOff>190198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F8A9F5-BFD7-48E7-8CED-16699CE1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266700"/>
          <a:ext cx="1935940" cy="3235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CTN-NEUHAUS-ORIGEM%203300%20-%20Or&#231;amento_Param&#233;trico_Anal&#237;tico_R04.xlsx?FEAF85B1" TargetMode="External"/><Relationship Id="rId1" Type="http://schemas.openxmlformats.org/officeDocument/2006/relationships/externalLinkPath" Target="file:///\\FEAF85B1\CTN-NEUHAUS-ORIGEM%203300%20-%20Or&#231;amento_Param&#233;trico_Anal&#237;tico_R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GzSYwojBbPnZGRQCtS-GmzExAA4ljDOh/5.%20Artefacto/01.%20Integra&#231;&#227;o/01.1%20Integra&#231;&#227;o%20-%20Or&#231;amento%20Param&#233;trico/MTH_CK-ART_Gerenciamento_executivo_embasament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euhaus/2023.08%20-%20Origem%203300/04.%20Custo/03.0%20Custo%20-%20Or&#231;amento%20Param&#233;trico/CTN-NEUHAUS-ORIGEM%203300%20-%20Or&#231;amento_Param&#233;trico_Anal&#237;tico_R03.xlsx?7555AD12" TargetMode="External"/><Relationship Id="rId1" Type="http://schemas.openxmlformats.org/officeDocument/2006/relationships/externalLinkPath" Target="file:///\\7555AD12\CTN-NEUHAUS-ORIGEM%203300%20-%20Or&#231;amento_Param&#233;trico_Anal&#237;tico_R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CARTESIAN\OBRAS\P&amp;B%20-%20ILHAS%20DE%20PORTO%20BELO\OR&#199;AMENTO%20PARAMETRICO\REV%2001\CTN-P&amp;B-IPB%20-%20Gerenciamento_executivo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 INDIRETOS"/>
      <sheetName val="ORÇAMENTO RESUMO"/>
    </sheetNames>
    <sheetDataSet>
      <sheetData sheetId="0">
        <row r="81">
          <cell r="F81">
            <v>7291003.6578503363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Impermeabilização"/>
      <sheetName val="Rev. Internos Piso e Parede"/>
      <sheetName val="Acabamentos de Teto"/>
      <sheetName val="Esquadrias"/>
      <sheetName val="Acabamentos de Piso e Parede"/>
      <sheetName val="Pintura Interna"/>
      <sheetName val="Rev. Fachada"/>
      <sheetName val="Cobertura"/>
      <sheetName val="Equipamentos"/>
      <sheetName val="Complementares"/>
    </sheetNames>
    <sheetDataSet>
      <sheetData sheetId="0">
        <row r="25">
          <cell r="E2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 INDIRETOS"/>
      <sheetName val="ORÇAMENTO RESUMO"/>
    </sheetNames>
    <sheetDataSet>
      <sheetData sheetId="0" refreshError="1"/>
      <sheetData sheetId="1">
        <row r="25">
          <cell r="E25">
            <v>18837580.861000001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K_ARTEFACTO"/>
      <sheetName val="CN_BRAVA VALLEY"/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Acabamentos de Teto"/>
      <sheetName val="Rev. Internos Piso e Parede"/>
      <sheetName val="Acabamentos de Piso e Parede"/>
      <sheetName val="Pintura Interna"/>
      <sheetName val="Esquadrias"/>
      <sheetName val="Rev. Fachada"/>
      <sheetName val="Complementares"/>
    </sheetNames>
    <sheetDataSet>
      <sheetData sheetId="0"/>
      <sheetData sheetId="1"/>
      <sheetData sheetId="2">
        <row r="15">
          <cell r="E15">
            <v>94089.31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M29"/>
  <sheetViews>
    <sheetView showGridLines="0" topLeftCell="A7" zoomScaleNormal="100" zoomScaleSheetLayoutView="95" workbookViewId="0">
      <selection activeCell="M23" sqref="M23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14" style="11" customWidth="1"/>
    <col min="4" max="4" width="12.7109375" style="11" customWidth="1"/>
    <col min="5" max="5" width="8.28515625" style="11" customWidth="1"/>
    <col min="6" max="6" width="9.28515625" style="11" customWidth="1"/>
    <col min="7" max="7" width="7.28515625" style="11" bestFit="1" customWidth="1"/>
    <col min="8" max="8" width="13.5703125" style="11" customWidth="1"/>
    <col min="9" max="9" width="12" style="11" customWidth="1"/>
    <col min="10" max="10" width="7.28515625" style="11" bestFit="1" customWidth="1"/>
    <col min="11" max="11" width="9" style="11" bestFit="1" customWidth="1"/>
    <col min="12" max="16384" width="9.140625" style="11"/>
  </cols>
  <sheetData>
    <row r="1" spans="1:13" ht="13.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2"/>
    </row>
    <row r="2" spans="1:13" ht="12.75" customHeight="1" x14ac:dyDescent="0.25">
      <c r="A2" s="190" t="s">
        <v>201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M2" s="12"/>
    </row>
    <row r="3" spans="1:13" ht="12.75" customHeight="1" x14ac:dyDescent="0.25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M3" s="12"/>
    </row>
    <row r="4" spans="1:13" ht="12.75" customHeight="1" x14ac:dyDescent="0.25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M4" s="12"/>
    </row>
    <row r="5" spans="1:13" ht="14.25" thickBot="1" x14ac:dyDescent="0.3">
      <c r="A5" s="2"/>
      <c r="B5" s="2"/>
      <c r="C5" s="2"/>
      <c r="D5" s="3"/>
      <c r="E5" s="3"/>
      <c r="F5" s="3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1"/>
      <c r="E6" s="1"/>
      <c r="F6" s="1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  <c r="M9" s="12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  <c r="M10" s="12"/>
    </row>
    <row r="12" spans="1:13" ht="17.100000000000001" customHeight="1" x14ac:dyDescent="0.25">
      <c r="A12" s="202" t="s">
        <v>29</v>
      </c>
      <c r="B12" s="203"/>
      <c r="C12" s="204"/>
      <c r="D12" s="17" t="s">
        <v>30</v>
      </c>
      <c r="E12" s="202" t="s">
        <v>31</v>
      </c>
      <c r="F12" s="203"/>
      <c r="G12" s="203"/>
      <c r="H12" s="204"/>
    </row>
    <row r="13" spans="1:13" ht="17.100000000000001" customHeight="1" x14ac:dyDescent="0.25">
      <c r="A13" s="205" t="s">
        <v>8</v>
      </c>
      <c r="B13" s="206"/>
      <c r="C13" s="207"/>
      <c r="D13" s="13" t="s">
        <v>20</v>
      </c>
      <c r="E13" s="208">
        <v>1294.4000000000001</v>
      </c>
      <c r="F13" s="209"/>
      <c r="G13" s="209"/>
      <c r="H13" s="14" t="s">
        <v>12</v>
      </c>
    </row>
    <row r="14" spans="1:13" ht="17.100000000000001" customHeight="1" x14ac:dyDescent="0.25">
      <c r="A14" s="185" t="s">
        <v>123</v>
      </c>
      <c r="B14" s="186"/>
      <c r="C14" s="187"/>
      <c r="D14" s="15" t="s">
        <v>124</v>
      </c>
      <c r="E14" s="188">
        <v>97.5</v>
      </c>
      <c r="F14" s="189"/>
      <c r="G14" s="189"/>
      <c r="H14" s="16" t="s">
        <v>14</v>
      </c>
    </row>
    <row r="15" spans="1:13" ht="17.100000000000001" customHeight="1" x14ac:dyDescent="0.25">
      <c r="A15" s="185" t="s">
        <v>132</v>
      </c>
      <c r="B15" s="186"/>
      <c r="C15" s="187"/>
      <c r="D15" s="15" t="s">
        <v>21</v>
      </c>
      <c r="E15" s="188">
        <v>14516.38</v>
      </c>
      <c r="F15" s="189"/>
      <c r="G15" s="189"/>
      <c r="H15" s="16" t="s">
        <v>12</v>
      </c>
      <c r="K15" s="77"/>
    </row>
    <row r="16" spans="1:13" ht="17.100000000000001" customHeight="1" x14ac:dyDescent="0.25">
      <c r="A16" s="185" t="s">
        <v>7</v>
      </c>
      <c r="B16" s="186"/>
      <c r="C16" s="187"/>
      <c r="D16" s="15" t="s">
        <v>22</v>
      </c>
      <c r="E16" s="188">
        <v>33</v>
      </c>
      <c r="F16" s="189"/>
      <c r="G16" s="189"/>
      <c r="H16" s="16" t="s">
        <v>13</v>
      </c>
    </row>
    <row r="17" spans="1:9" ht="17.100000000000001" customHeight="1" x14ac:dyDescent="0.25">
      <c r="A17" s="185" t="s">
        <v>9</v>
      </c>
      <c r="B17" s="186"/>
      <c r="C17" s="187"/>
      <c r="D17" s="15" t="s">
        <v>23</v>
      </c>
      <c r="E17" s="188">
        <v>18</v>
      </c>
      <c r="F17" s="189"/>
      <c r="G17" s="189"/>
      <c r="H17" s="16" t="s">
        <v>13</v>
      </c>
    </row>
    <row r="18" spans="1:9" ht="17.100000000000001" customHeight="1" x14ac:dyDescent="0.25">
      <c r="A18" s="185" t="s">
        <v>128</v>
      </c>
      <c r="B18" s="186"/>
      <c r="C18" s="187"/>
      <c r="D18" s="15" t="s">
        <v>126</v>
      </c>
      <c r="E18" s="188">
        <v>1</v>
      </c>
      <c r="F18" s="189"/>
      <c r="G18" s="189"/>
      <c r="H18" s="16" t="s">
        <v>13</v>
      </c>
    </row>
    <row r="19" spans="1:9" ht="17.100000000000001" customHeight="1" x14ac:dyDescent="0.25">
      <c r="A19" s="185" t="s">
        <v>125</v>
      </c>
      <c r="B19" s="186"/>
      <c r="C19" s="187"/>
      <c r="D19" s="15" t="s">
        <v>129</v>
      </c>
      <c r="E19" s="188">
        <v>3</v>
      </c>
      <c r="F19" s="189"/>
      <c r="G19" s="189"/>
      <c r="H19" s="16" t="s">
        <v>13</v>
      </c>
    </row>
    <row r="20" spans="1:9" ht="17.100000000000001" customHeight="1" x14ac:dyDescent="0.25">
      <c r="A20" s="185" t="s">
        <v>10</v>
      </c>
      <c r="B20" s="186"/>
      <c r="C20" s="187"/>
      <c r="D20" s="15" t="s">
        <v>24</v>
      </c>
      <c r="E20" s="188">
        <v>325.64</v>
      </c>
      <c r="F20" s="189"/>
      <c r="G20" s="189"/>
      <c r="H20" s="16" t="s">
        <v>12</v>
      </c>
      <c r="I20" s="77"/>
    </row>
    <row r="21" spans="1:9" ht="17.100000000000001" customHeight="1" x14ac:dyDescent="0.25">
      <c r="A21" s="185" t="s">
        <v>11</v>
      </c>
      <c r="B21" s="186"/>
      <c r="C21" s="187"/>
      <c r="D21" s="15" t="s">
        <v>25</v>
      </c>
      <c r="E21" s="188">
        <v>86.63</v>
      </c>
      <c r="F21" s="189"/>
      <c r="G21" s="189"/>
      <c r="H21" s="16" t="s">
        <v>14</v>
      </c>
    </row>
    <row r="22" spans="1:9" ht="17.100000000000001" customHeight="1" x14ac:dyDescent="0.25">
      <c r="A22" s="185" t="s">
        <v>110</v>
      </c>
      <c r="B22" s="186"/>
      <c r="C22" s="187"/>
      <c r="D22" s="15" t="s">
        <v>111</v>
      </c>
      <c r="E22" s="188">
        <v>1284</v>
      </c>
      <c r="F22" s="189"/>
      <c r="G22" s="189"/>
      <c r="H22" s="16" t="s">
        <v>12</v>
      </c>
    </row>
    <row r="23" spans="1:9" ht="17.100000000000001" customHeight="1" x14ac:dyDescent="0.25">
      <c r="A23" s="185" t="s">
        <v>17</v>
      </c>
      <c r="B23" s="186"/>
      <c r="C23" s="187"/>
      <c r="D23" s="15" t="s">
        <v>26</v>
      </c>
      <c r="E23" s="188">
        <v>231.78</v>
      </c>
      <c r="F23" s="189"/>
      <c r="G23" s="189"/>
      <c r="H23" s="16" t="s">
        <v>14</v>
      </c>
    </row>
    <row r="24" spans="1:9" ht="17.100000000000001" customHeight="1" x14ac:dyDescent="0.25">
      <c r="A24" s="185" t="s">
        <v>108</v>
      </c>
      <c r="B24" s="186"/>
      <c r="C24" s="187"/>
      <c r="D24" s="15" t="s">
        <v>109</v>
      </c>
      <c r="E24" s="188">
        <v>5188.25</v>
      </c>
      <c r="F24" s="189"/>
      <c r="G24" s="189"/>
      <c r="H24" s="16" t="s">
        <v>12</v>
      </c>
    </row>
    <row r="25" spans="1:9" ht="17.100000000000001" customHeight="1" x14ac:dyDescent="0.25">
      <c r="A25" s="185" t="s">
        <v>15</v>
      </c>
      <c r="B25" s="186"/>
      <c r="C25" s="187"/>
      <c r="D25" s="15" t="s">
        <v>27</v>
      </c>
      <c r="E25" s="188">
        <v>0</v>
      </c>
      <c r="F25" s="189"/>
      <c r="G25" s="189"/>
      <c r="H25" s="16" t="s">
        <v>12</v>
      </c>
    </row>
    <row r="26" spans="1:9" ht="17.100000000000001" customHeight="1" x14ac:dyDescent="0.25">
      <c r="A26" s="185" t="s">
        <v>16</v>
      </c>
      <c r="B26" s="186"/>
      <c r="C26" s="187"/>
      <c r="D26" s="15" t="s">
        <v>28</v>
      </c>
      <c r="E26" s="188">
        <v>0</v>
      </c>
      <c r="F26" s="189"/>
      <c r="G26" s="189"/>
      <c r="H26" s="16" t="s">
        <v>13</v>
      </c>
    </row>
    <row r="27" spans="1:9" ht="17.100000000000001" customHeight="1" x14ac:dyDescent="0.25">
      <c r="A27" s="185" t="s">
        <v>117</v>
      </c>
      <c r="B27" s="186"/>
      <c r="C27" s="187"/>
      <c r="D27" s="15" t="s">
        <v>120</v>
      </c>
      <c r="E27" s="188">
        <v>1056.42</v>
      </c>
      <c r="F27" s="189"/>
      <c r="G27" s="189"/>
      <c r="H27" s="16" t="s">
        <v>12</v>
      </c>
    </row>
    <row r="28" spans="1:9" ht="17.100000000000001" customHeight="1" x14ac:dyDescent="0.25">
      <c r="A28" s="185" t="s">
        <v>116</v>
      </c>
      <c r="B28" s="186"/>
      <c r="C28" s="187"/>
      <c r="D28" s="15" t="s">
        <v>115</v>
      </c>
      <c r="E28" s="188">
        <v>150.84</v>
      </c>
      <c r="F28" s="189"/>
      <c r="G28" s="189"/>
      <c r="H28" s="16" t="s">
        <v>14</v>
      </c>
    </row>
    <row r="29" spans="1:9" ht="17.100000000000001" customHeight="1" x14ac:dyDescent="0.25">
      <c r="A29" s="185" t="s">
        <v>118</v>
      </c>
      <c r="B29" s="186"/>
      <c r="C29" s="187"/>
      <c r="D29" s="15" t="s">
        <v>119</v>
      </c>
      <c r="E29" s="188">
        <v>5</v>
      </c>
      <c r="F29" s="189"/>
      <c r="G29" s="189"/>
      <c r="H29" s="16" t="s">
        <v>13</v>
      </c>
    </row>
  </sheetData>
  <mergeCells count="42">
    <mergeCell ref="A15:C15"/>
    <mergeCell ref="E17:G17"/>
    <mergeCell ref="E16:G16"/>
    <mergeCell ref="E15:G15"/>
    <mergeCell ref="A16:C16"/>
    <mergeCell ref="A17:C17"/>
    <mergeCell ref="E12:H12"/>
    <mergeCell ref="A14:C14"/>
    <mergeCell ref="A13:C13"/>
    <mergeCell ref="A12:C12"/>
    <mergeCell ref="E13:G13"/>
    <mergeCell ref="E14:G14"/>
    <mergeCell ref="A2:K4"/>
    <mergeCell ref="B7:K7"/>
    <mergeCell ref="B8:K8"/>
    <mergeCell ref="B9:K9"/>
    <mergeCell ref="B10:D10"/>
    <mergeCell ref="J10:K10"/>
    <mergeCell ref="E26:G26"/>
    <mergeCell ref="A26:C26"/>
    <mergeCell ref="A27:C27"/>
    <mergeCell ref="A29:C29"/>
    <mergeCell ref="E29:G29"/>
    <mergeCell ref="E27:G27"/>
    <mergeCell ref="A28:C28"/>
    <mergeCell ref="E28:G28"/>
    <mergeCell ref="A19:C19"/>
    <mergeCell ref="E19:G19"/>
    <mergeCell ref="A18:C18"/>
    <mergeCell ref="E18:G18"/>
    <mergeCell ref="A25:C25"/>
    <mergeCell ref="E25:G25"/>
    <mergeCell ref="A24:C24"/>
    <mergeCell ref="A22:C22"/>
    <mergeCell ref="E22:G22"/>
    <mergeCell ref="E24:G24"/>
    <mergeCell ref="A20:C20"/>
    <mergeCell ref="A21:C21"/>
    <mergeCell ref="A23:C23"/>
    <mergeCell ref="E23:G23"/>
    <mergeCell ref="E21:G21"/>
    <mergeCell ref="E20:G20"/>
  </mergeCells>
  <pageMargins left="0.55118110236220474" right="0.27559055118110237" top="0.59055118110236227" bottom="0.59055118110236227" header="0.15748031496062992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642"/>
  </sheetPr>
  <dimension ref="A1:K292"/>
  <sheetViews>
    <sheetView showGridLines="0" topLeftCell="A109" zoomScaleNormal="100" zoomScaleSheetLayoutView="95" workbookViewId="0">
      <selection activeCell="N119" sqref="N119"/>
    </sheetView>
  </sheetViews>
  <sheetFormatPr defaultColWidth="9.140625" defaultRowHeight="12.75" x14ac:dyDescent="0.25"/>
  <cols>
    <col min="1" max="1" width="19.140625" style="11" customWidth="1"/>
    <col min="2" max="2" width="17.140625" style="11" customWidth="1"/>
    <col min="3" max="3" width="11.28515625" style="11" customWidth="1"/>
    <col min="4" max="4" width="10.7109375" style="18" customWidth="1"/>
    <col min="5" max="5" width="13.28515625" style="11" customWidth="1"/>
    <col min="6" max="6" width="12.85546875" style="11" customWidth="1"/>
    <col min="7" max="7" width="13.42578125" style="11" bestFit="1" customWidth="1"/>
    <col min="8" max="8" width="13.28515625" style="11" bestFit="1" customWidth="1"/>
    <col min="9" max="9" width="11.140625" style="11" bestFit="1" customWidth="1"/>
    <col min="10" max="10" width="9.140625" style="11"/>
    <col min="11" max="11" width="13.140625" style="60" bestFit="1" customWidth="1"/>
    <col min="12" max="16384" width="9.140625" style="11"/>
  </cols>
  <sheetData>
    <row r="1" spans="1:11" ht="13.7" x14ac:dyDescent="0.25">
      <c r="A1" s="1"/>
      <c r="B1" s="1"/>
      <c r="C1" s="1"/>
      <c r="D1" s="19"/>
      <c r="E1" s="1"/>
      <c r="F1" s="1"/>
      <c r="G1" s="1"/>
      <c r="H1" s="1"/>
      <c r="I1" s="1"/>
      <c r="K1" s="114"/>
    </row>
    <row r="2" spans="1:11" x14ac:dyDescent="0.25">
      <c r="A2" s="190" t="s">
        <v>202</v>
      </c>
      <c r="B2" s="190"/>
      <c r="C2" s="190"/>
      <c r="D2" s="190"/>
      <c r="E2" s="190"/>
      <c r="F2" s="190"/>
      <c r="G2" s="190"/>
      <c r="H2" s="190"/>
      <c r="I2" s="190"/>
      <c r="K2" s="114"/>
    </row>
    <row r="3" spans="1:11" x14ac:dyDescent="0.25">
      <c r="A3" s="190"/>
      <c r="B3" s="190"/>
      <c r="C3" s="190"/>
      <c r="D3" s="190"/>
      <c r="E3" s="190"/>
      <c r="F3" s="190"/>
      <c r="G3" s="190"/>
      <c r="H3" s="190"/>
      <c r="I3" s="190"/>
      <c r="K3" s="114"/>
    </row>
    <row r="4" spans="1:11" x14ac:dyDescent="0.25">
      <c r="A4" s="190"/>
      <c r="B4" s="190"/>
      <c r="C4" s="190"/>
      <c r="D4" s="190"/>
      <c r="E4" s="190"/>
      <c r="F4" s="190"/>
      <c r="G4" s="190"/>
      <c r="H4" s="190"/>
      <c r="I4" s="190"/>
      <c r="K4" s="114"/>
    </row>
    <row r="5" spans="1:11" ht="14.25" thickBot="1" x14ac:dyDescent="0.3">
      <c r="A5" s="2"/>
      <c r="B5" s="2"/>
      <c r="C5" s="2"/>
      <c r="D5" s="20"/>
      <c r="E5" s="3"/>
      <c r="F5" s="3"/>
      <c r="G5" s="3"/>
      <c r="H5" s="3"/>
      <c r="I5" s="3"/>
      <c r="K5" s="114"/>
    </row>
    <row r="6" spans="1:11" ht="13.7" x14ac:dyDescent="0.25">
      <c r="A6" s="4"/>
      <c r="B6" s="4"/>
      <c r="C6" s="4"/>
      <c r="D6" s="19"/>
      <c r="E6" s="1"/>
      <c r="F6" s="1"/>
      <c r="G6" s="1"/>
      <c r="H6" s="1"/>
      <c r="I6" s="1"/>
      <c r="K6" s="114"/>
    </row>
    <row r="7" spans="1:11" x14ac:dyDescent="0.25">
      <c r="A7" s="128" t="s">
        <v>0</v>
      </c>
      <c r="B7" s="210" t="s">
        <v>242</v>
      </c>
      <c r="C7" s="210"/>
      <c r="D7" s="210"/>
      <c r="E7" s="210"/>
      <c r="F7" s="210"/>
      <c r="G7" s="210"/>
      <c r="H7" s="210"/>
      <c r="I7" s="210"/>
      <c r="J7" s="127"/>
      <c r="K7" s="127"/>
    </row>
    <row r="8" spans="1:11" ht="13.7" x14ac:dyDescent="0.25">
      <c r="A8" s="128" t="s">
        <v>1</v>
      </c>
      <c r="B8" s="211" t="s">
        <v>196</v>
      </c>
      <c r="C8" s="211"/>
      <c r="D8" s="211"/>
      <c r="E8" s="211"/>
      <c r="F8" s="211"/>
      <c r="G8" s="211"/>
      <c r="H8" s="211"/>
      <c r="I8" s="211"/>
      <c r="J8" s="1"/>
      <c r="K8" s="1"/>
    </row>
    <row r="9" spans="1:11" ht="15" customHeight="1" x14ac:dyDescent="0.25">
      <c r="A9" s="128" t="s">
        <v>2</v>
      </c>
      <c r="B9" s="211" t="s">
        <v>235</v>
      </c>
      <c r="C9" s="211"/>
      <c r="D9" s="211"/>
      <c r="E9" s="211"/>
      <c r="F9" s="211"/>
      <c r="G9" s="211"/>
      <c r="H9" s="211"/>
      <c r="I9" s="211"/>
      <c r="J9" s="1"/>
      <c r="K9" s="1"/>
    </row>
    <row r="10" spans="1:11" x14ac:dyDescent="0.25">
      <c r="A10" s="129" t="s">
        <v>3</v>
      </c>
      <c r="B10" s="130">
        <v>45462</v>
      </c>
      <c r="C10" s="131" t="s">
        <v>4</v>
      </c>
      <c r="D10" s="132" t="s">
        <v>298</v>
      </c>
      <c r="E10" s="133" t="s">
        <v>5</v>
      </c>
      <c r="F10" s="132" t="s">
        <v>299</v>
      </c>
      <c r="G10" s="133" t="s">
        <v>6</v>
      </c>
      <c r="H10" s="200" t="s">
        <v>301</v>
      </c>
      <c r="I10" s="201"/>
    </row>
    <row r="12" spans="1:11" ht="14.1" customHeight="1" x14ac:dyDescent="0.25">
      <c r="A12" s="21" t="s">
        <v>102</v>
      </c>
      <c r="B12" s="22"/>
      <c r="C12" s="22"/>
      <c r="D12" s="23"/>
      <c r="E12" s="22"/>
      <c r="F12" s="22"/>
      <c r="G12" s="22"/>
      <c r="H12" s="22"/>
      <c r="I12" s="24"/>
    </row>
    <row r="13" spans="1:11" ht="14.1" customHeight="1" x14ac:dyDescent="0.25">
      <c r="A13" s="25"/>
      <c r="B13" s="26"/>
      <c r="C13" s="26"/>
      <c r="D13" s="26"/>
      <c r="E13" s="26"/>
      <c r="F13" s="26"/>
      <c r="I13" s="27"/>
    </row>
    <row r="14" spans="1:11" ht="16.149999999999999" customHeight="1" x14ac:dyDescent="0.25">
      <c r="A14" s="230" t="s">
        <v>29</v>
      </c>
      <c r="B14" s="231"/>
      <c r="C14" s="232"/>
      <c r="D14" s="233" t="s">
        <v>32</v>
      </c>
      <c r="E14" s="234"/>
      <c r="F14" s="234"/>
      <c r="G14" s="234"/>
      <c r="H14" s="235"/>
      <c r="I14" s="27"/>
    </row>
    <row r="15" spans="1:11" s="33" customFormat="1" ht="16.149999999999999" customHeight="1" x14ac:dyDescent="0.25">
      <c r="A15" s="215" t="str">
        <f>'Movimentação de Terra'!A19</f>
        <v>REBAIXAMENTO DE LENÇOL</v>
      </c>
      <c r="B15" s="216"/>
      <c r="C15" s="217"/>
      <c r="D15" s="218">
        <f>'Movimentação de Terra'!I23</f>
        <v>5500</v>
      </c>
      <c r="E15" s="219"/>
      <c r="F15" s="219"/>
      <c r="G15" s="219"/>
      <c r="H15" s="220"/>
      <c r="I15" s="10"/>
      <c r="K15" s="115"/>
    </row>
    <row r="16" spans="1:11" ht="16.149999999999999" customHeight="1" x14ac:dyDescent="0.25">
      <c r="A16" s="215" t="str">
        <f>'Movimentação de Terra'!A26</f>
        <v>ESCAVAÇÃO E REATERRO DE VALAS</v>
      </c>
      <c r="B16" s="216"/>
      <c r="C16" s="217"/>
      <c r="D16" s="218">
        <f>'Movimentação de Terra'!I33</f>
        <v>299317.12</v>
      </c>
      <c r="E16" s="219"/>
      <c r="F16" s="219"/>
      <c r="G16" s="219"/>
      <c r="H16" s="220"/>
      <c r="I16" s="34"/>
    </row>
    <row r="17" spans="1:9" ht="26.45" customHeight="1" x14ac:dyDescent="0.25">
      <c r="A17" s="215" t="str">
        <f>'Movimentação de Terra'!A36</f>
        <v>REGULARIZAÇÃO E APILOAMENTO DE FUNDO DE VALAS</v>
      </c>
      <c r="B17" s="216"/>
      <c r="C17" s="217"/>
      <c r="D17" s="221">
        <f>'Movimentação de Terra'!I40</f>
        <v>29580</v>
      </c>
      <c r="E17" s="222"/>
      <c r="F17" s="222"/>
      <c r="G17" s="222"/>
      <c r="H17" s="223"/>
      <c r="I17" s="34"/>
    </row>
    <row r="18" spans="1:9" ht="16.149999999999999" customHeight="1" x14ac:dyDescent="0.25">
      <c r="A18" s="224" t="s">
        <v>34</v>
      </c>
      <c r="B18" s="225"/>
      <c r="C18" s="226"/>
      <c r="D18" s="227">
        <f>SUM(D15:H17)</f>
        <v>334397.12</v>
      </c>
      <c r="E18" s="228"/>
      <c r="F18" s="228"/>
      <c r="G18" s="228"/>
      <c r="H18" s="229"/>
      <c r="I18" s="34"/>
    </row>
    <row r="19" spans="1:9" ht="15" customHeight="1" x14ac:dyDescent="0.25">
      <c r="A19" s="213"/>
      <c r="B19" s="214"/>
      <c r="C19" s="214"/>
      <c r="D19" s="214"/>
      <c r="E19" s="214"/>
      <c r="F19" s="214"/>
      <c r="G19" s="36"/>
      <c r="H19" s="36"/>
      <c r="I19" s="38"/>
    </row>
    <row r="20" spans="1:9" ht="13.7" x14ac:dyDescent="0.25">
      <c r="D20" s="39"/>
    </row>
    <row r="22" spans="1:9" ht="13.7" x14ac:dyDescent="0.25">
      <c r="A22" s="21" t="s">
        <v>103</v>
      </c>
      <c r="B22" s="22"/>
      <c r="C22" s="22"/>
      <c r="D22" s="40"/>
      <c r="E22" s="22"/>
      <c r="F22" s="22"/>
      <c r="G22" s="22"/>
      <c r="H22" s="22"/>
      <c r="I22" s="24"/>
    </row>
    <row r="23" spans="1:9" ht="13.7" x14ac:dyDescent="0.25">
      <c r="A23" s="41"/>
      <c r="D23" s="39"/>
      <c r="I23" s="27"/>
    </row>
    <row r="24" spans="1:9" x14ac:dyDescent="0.25">
      <c r="A24" s="230" t="s">
        <v>29</v>
      </c>
      <c r="B24" s="231"/>
      <c r="C24" s="231"/>
      <c r="D24" s="233" t="s">
        <v>32</v>
      </c>
      <c r="E24" s="234"/>
      <c r="F24" s="234"/>
      <c r="G24" s="234"/>
      <c r="H24" s="235"/>
      <c r="I24" s="27"/>
    </row>
    <row r="25" spans="1:9" ht="16.149999999999999" customHeight="1" x14ac:dyDescent="0.25">
      <c r="A25" s="241" t="str">
        <f>Infraestrutura!A12</f>
        <v>FUNDAÇÃO PROFUNDA</v>
      </c>
      <c r="B25" s="242"/>
      <c r="C25" s="242"/>
      <c r="D25" s="237">
        <f>Infraestrutura!I23</f>
        <v>1874063.42</v>
      </c>
      <c r="E25" s="238"/>
      <c r="F25" s="238"/>
      <c r="G25" s="238"/>
      <c r="H25" s="239"/>
      <c r="I25" s="27"/>
    </row>
    <row r="26" spans="1:9" ht="16.149999999999999" customHeight="1" x14ac:dyDescent="0.25">
      <c r="A26" s="240" t="str">
        <f>Infraestrutura!A26</f>
        <v>FUNDAÇÃO RASA</v>
      </c>
      <c r="B26" s="240"/>
      <c r="C26" s="240"/>
      <c r="D26" s="218">
        <f>Infraestrutura!I33</f>
        <v>934895.74</v>
      </c>
      <c r="E26" s="219"/>
      <c r="F26" s="219"/>
      <c r="G26" s="219"/>
      <c r="H26" s="220"/>
      <c r="I26" s="27"/>
    </row>
    <row r="27" spans="1:9" ht="16.149999999999999" customHeight="1" x14ac:dyDescent="0.25">
      <c r="A27" s="224" t="s">
        <v>34</v>
      </c>
      <c r="B27" s="225"/>
      <c r="C27" s="226"/>
      <c r="D27" s="227">
        <f>Infraestrutura!I37</f>
        <v>2808959.16</v>
      </c>
      <c r="E27" s="228"/>
      <c r="F27" s="228"/>
      <c r="G27" s="228"/>
      <c r="H27" s="229"/>
      <c r="I27" s="27"/>
    </row>
    <row r="28" spans="1:9" ht="13.7" x14ac:dyDescent="0.25">
      <c r="A28" s="42"/>
      <c r="B28" s="36"/>
      <c r="C28" s="36"/>
      <c r="D28" s="43"/>
      <c r="E28" s="36"/>
      <c r="F28" s="36"/>
      <c r="G28" s="36"/>
      <c r="H28" s="36"/>
      <c r="I28" s="38"/>
    </row>
    <row r="30" spans="1:9" ht="13.7" x14ac:dyDescent="0.25">
      <c r="A30" s="21" t="s">
        <v>43</v>
      </c>
      <c r="B30" s="22"/>
      <c r="C30" s="22"/>
      <c r="D30" s="40"/>
      <c r="E30" s="22"/>
      <c r="F30" s="22"/>
      <c r="G30" s="22"/>
      <c r="H30" s="22"/>
      <c r="I30" s="24"/>
    </row>
    <row r="31" spans="1:9" ht="13.7" x14ac:dyDescent="0.25">
      <c r="A31" s="41"/>
      <c r="D31" s="39"/>
      <c r="I31" s="27"/>
    </row>
    <row r="32" spans="1:9" x14ac:dyDescent="0.25">
      <c r="A32" s="230" t="s">
        <v>29</v>
      </c>
      <c r="B32" s="231"/>
      <c r="C32" s="231"/>
      <c r="D32" s="233" t="s">
        <v>32</v>
      </c>
      <c r="E32" s="234"/>
      <c r="F32" s="234"/>
      <c r="G32" s="234"/>
      <c r="H32" s="235"/>
      <c r="I32" s="27"/>
    </row>
    <row r="33" spans="1:9" ht="16.149999999999999" customHeight="1" x14ac:dyDescent="0.25">
      <c r="A33" s="236" t="str">
        <f>+Supraestrutura!A12</f>
        <v>SUPRAESTRUTURA</v>
      </c>
      <c r="B33" s="236"/>
      <c r="C33" s="236"/>
      <c r="D33" s="237">
        <f>+Supraestrutura!I25</f>
        <v>14216001.396666666</v>
      </c>
      <c r="E33" s="238"/>
      <c r="F33" s="238"/>
      <c r="G33" s="238"/>
      <c r="H33" s="239"/>
      <c r="I33" s="27"/>
    </row>
    <row r="34" spans="1:9" ht="16.149999999999999" customHeight="1" x14ac:dyDescent="0.25">
      <c r="A34" s="224" t="s">
        <v>34</v>
      </c>
      <c r="B34" s="225"/>
      <c r="C34" s="226"/>
      <c r="D34" s="227">
        <f>SUM(D33:H33)</f>
        <v>14216001.396666666</v>
      </c>
      <c r="E34" s="228"/>
      <c r="F34" s="228"/>
      <c r="G34" s="228"/>
      <c r="H34" s="229"/>
      <c r="I34" s="27"/>
    </row>
    <row r="35" spans="1:9" ht="13.7" x14ac:dyDescent="0.25">
      <c r="A35" s="42"/>
      <c r="B35" s="36"/>
      <c r="C35" s="36"/>
      <c r="D35" s="43"/>
      <c r="E35" s="36"/>
      <c r="F35" s="36"/>
      <c r="G35" s="36"/>
      <c r="H35" s="36"/>
      <c r="I35" s="38"/>
    </row>
    <row r="37" spans="1:9" ht="13.7" x14ac:dyDescent="0.25">
      <c r="A37" s="21" t="s">
        <v>46</v>
      </c>
      <c r="B37" s="22"/>
      <c r="C37" s="22"/>
      <c r="D37" s="40"/>
      <c r="E37" s="22"/>
      <c r="F37" s="22"/>
      <c r="G37" s="22"/>
      <c r="H37" s="22"/>
      <c r="I37" s="24"/>
    </row>
    <row r="38" spans="1:9" ht="13.7" x14ac:dyDescent="0.25">
      <c r="A38" s="41"/>
      <c r="D38" s="39"/>
      <c r="I38" s="27"/>
    </row>
    <row r="39" spans="1:9" x14ac:dyDescent="0.25">
      <c r="A39" s="230" t="s">
        <v>29</v>
      </c>
      <c r="B39" s="231"/>
      <c r="C39" s="231"/>
      <c r="D39" s="233" t="s">
        <v>32</v>
      </c>
      <c r="E39" s="234"/>
      <c r="F39" s="234"/>
      <c r="G39" s="234"/>
      <c r="H39" s="235"/>
      <c r="I39" s="27"/>
    </row>
    <row r="40" spans="1:9" ht="16.149999999999999" customHeight="1" x14ac:dyDescent="0.25">
      <c r="A40" s="246" t="str">
        <f>+Alvenaria!A12</f>
        <v>ALVENARIA</v>
      </c>
      <c r="B40" s="246"/>
      <c r="C40" s="246"/>
      <c r="D40" s="218">
        <f>+Alvenaria!I29</f>
        <v>3060534.3637843644</v>
      </c>
      <c r="E40" s="219"/>
      <c r="F40" s="219"/>
      <c r="G40" s="219"/>
      <c r="H40" s="220"/>
      <c r="I40" s="27"/>
    </row>
    <row r="41" spans="1:9" ht="16.149999999999999" customHeight="1" x14ac:dyDescent="0.25">
      <c r="A41" s="224" t="s">
        <v>34</v>
      </c>
      <c r="B41" s="225"/>
      <c r="C41" s="226"/>
      <c r="D41" s="227">
        <f>SUM(D40)</f>
        <v>3060534.3637843644</v>
      </c>
      <c r="E41" s="228"/>
      <c r="F41" s="228"/>
      <c r="G41" s="228"/>
      <c r="H41" s="229"/>
      <c r="I41" s="27"/>
    </row>
    <row r="42" spans="1:9" ht="15.75" customHeight="1" x14ac:dyDescent="0.25">
      <c r="A42" s="42"/>
      <c r="B42" s="36"/>
      <c r="C42" s="36"/>
      <c r="D42" s="37"/>
      <c r="E42" s="44"/>
      <c r="F42" s="44"/>
      <c r="G42" s="45"/>
      <c r="H42" s="36"/>
      <c r="I42" s="38"/>
    </row>
    <row r="43" spans="1:9" ht="15.75" customHeight="1" x14ac:dyDescent="0.25"/>
    <row r="44" spans="1:9" ht="15.75" customHeight="1" x14ac:dyDescent="0.25">
      <c r="A44" s="21" t="s">
        <v>104</v>
      </c>
      <c r="B44" s="22"/>
      <c r="C44" s="22"/>
      <c r="D44" s="23"/>
      <c r="E44" s="22"/>
      <c r="F44" s="22"/>
      <c r="G44" s="22"/>
      <c r="H44" s="22"/>
      <c r="I44" s="24"/>
    </row>
    <row r="45" spans="1:9" ht="15.75" customHeight="1" x14ac:dyDescent="0.25">
      <c r="A45" s="25"/>
      <c r="B45" s="26"/>
      <c r="C45" s="26"/>
      <c r="D45" s="26"/>
      <c r="E45" s="26"/>
      <c r="F45" s="26"/>
      <c r="I45" s="27"/>
    </row>
    <row r="46" spans="1:9" ht="15.75" customHeight="1" x14ac:dyDescent="0.25">
      <c r="A46" s="230" t="s">
        <v>29</v>
      </c>
      <c r="B46" s="231"/>
      <c r="C46" s="232"/>
      <c r="D46" s="233" t="s">
        <v>32</v>
      </c>
      <c r="E46" s="234"/>
      <c r="F46" s="234"/>
      <c r="G46" s="234"/>
      <c r="H46" s="235"/>
      <c r="I46" s="27"/>
    </row>
    <row r="47" spans="1:9" ht="15.75" customHeight="1" x14ac:dyDescent="0.25">
      <c r="A47" s="243" t="str">
        <f>+Instalações!A12</f>
        <v>INSTALAÇÕES ELÉTRICAS</v>
      </c>
      <c r="B47" s="244"/>
      <c r="C47" s="245"/>
      <c r="D47" s="237">
        <f>+Instalações!I22</f>
        <v>2448913.3059999999</v>
      </c>
      <c r="E47" s="238"/>
      <c r="F47" s="238"/>
      <c r="G47" s="238"/>
      <c r="H47" s="239"/>
      <c r="I47" s="30"/>
    </row>
    <row r="48" spans="1:9" ht="15.75" customHeight="1" x14ac:dyDescent="0.25">
      <c r="A48" s="215" t="str">
        <f>+Instalações!A24</f>
        <v>INSTALAÇÕES HIDRÁULICAS</v>
      </c>
      <c r="B48" s="216"/>
      <c r="C48" s="217"/>
      <c r="D48" s="218">
        <f>+Instalações!I35</f>
        <v>2359927.8965999996</v>
      </c>
      <c r="E48" s="219"/>
      <c r="F48" s="219"/>
      <c r="G48" s="219"/>
      <c r="H48" s="220"/>
      <c r="I48" s="10"/>
    </row>
    <row r="49" spans="1:9" ht="15.75" customHeight="1" x14ac:dyDescent="0.25">
      <c r="A49" s="215" t="str">
        <f>+Instalações!A38</f>
        <v>INSTALAÇÕES PREVENTIVAS E GLP</v>
      </c>
      <c r="B49" s="216"/>
      <c r="C49" s="217"/>
      <c r="D49" s="218">
        <f>+Instalações!I44</f>
        <v>827433.65999999992</v>
      </c>
      <c r="E49" s="219"/>
      <c r="F49" s="219"/>
      <c r="G49" s="219"/>
      <c r="H49" s="220"/>
      <c r="I49" s="34"/>
    </row>
    <row r="50" spans="1:9" ht="15.75" customHeight="1" x14ac:dyDescent="0.25">
      <c r="A50" s="224" t="s">
        <v>34</v>
      </c>
      <c r="B50" s="225"/>
      <c r="C50" s="226"/>
      <c r="D50" s="227">
        <f>SUM(D47:H49)</f>
        <v>5636274.8625999996</v>
      </c>
      <c r="E50" s="228"/>
      <c r="F50" s="228"/>
      <c r="G50" s="228"/>
      <c r="H50" s="229"/>
      <c r="I50" s="34"/>
    </row>
    <row r="51" spans="1:9" ht="15.75" customHeight="1" x14ac:dyDescent="0.25">
      <c r="A51" s="213"/>
      <c r="B51" s="214"/>
      <c r="C51" s="214"/>
      <c r="D51" s="214"/>
      <c r="E51" s="214"/>
      <c r="F51" s="214"/>
      <c r="G51" s="36"/>
      <c r="H51" s="36"/>
      <c r="I51" s="38"/>
    </row>
    <row r="52" spans="1:9" ht="15.75" customHeight="1" x14ac:dyDescent="0.25">
      <c r="A52" s="105"/>
      <c r="B52" s="23"/>
      <c r="C52" s="23"/>
      <c r="D52" s="23"/>
      <c r="E52" s="23"/>
      <c r="F52" s="23"/>
      <c r="I52" s="27"/>
    </row>
    <row r="53" spans="1:9" ht="15.75" customHeight="1" x14ac:dyDescent="0.25">
      <c r="A53" s="21" t="s">
        <v>171</v>
      </c>
      <c r="B53" s="22"/>
      <c r="C53" s="22"/>
      <c r="D53" s="23"/>
      <c r="E53" s="22"/>
      <c r="F53" s="22"/>
      <c r="G53" s="22"/>
      <c r="H53" s="22"/>
      <c r="I53" s="24"/>
    </row>
    <row r="54" spans="1:9" ht="15.75" customHeight="1" x14ac:dyDescent="0.25">
      <c r="A54" s="25"/>
      <c r="B54" s="26"/>
      <c r="C54" s="26"/>
      <c r="D54" s="26"/>
      <c r="E54" s="26"/>
      <c r="F54" s="26"/>
      <c r="I54" s="27"/>
    </row>
    <row r="55" spans="1:9" ht="15.75" customHeight="1" x14ac:dyDescent="0.25">
      <c r="A55" s="230" t="s">
        <v>29</v>
      </c>
      <c r="B55" s="231"/>
      <c r="C55" s="232"/>
      <c r="D55" s="233" t="s">
        <v>32</v>
      </c>
      <c r="E55" s="234"/>
      <c r="F55" s="234"/>
      <c r="G55" s="234"/>
      <c r="H55" s="235"/>
      <c r="I55" s="27"/>
    </row>
    <row r="56" spans="1:9" ht="25.15" customHeight="1" x14ac:dyDescent="0.25">
      <c r="A56" s="243" t="str">
        <f>'Sistemas especiais'!A12</f>
        <v>CLIMATIZAÇÃO, EXAUSTÃO MECÂNICA E PRESSURIZAÇÃO</v>
      </c>
      <c r="B56" s="244"/>
      <c r="C56" s="245"/>
      <c r="D56" s="237">
        <f>'Sistemas especiais'!I19</f>
        <v>637000</v>
      </c>
      <c r="E56" s="238"/>
      <c r="F56" s="238"/>
      <c r="G56" s="238"/>
      <c r="H56" s="239"/>
      <c r="I56" s="30"/>
    </row>
    <row r="57" spans="1:9" ht="15.75" customHeight="1" x14ac:dyDescent="0.25">
      <c r="A57" s="215" t="str">
        <f>'Sistemas especiais'!A29</f>
        <v>AUTOMAÇÃO</v>
      </c>
      <c r="B57" s="216"/>
      <c r="C57" s="217"/>
      <c r="D57" s="218">
        <f>'Sistemas especiais'!I33</f>
        <v>116131.04</v>
      </c>
      <c r="E57" s="219"/>
      <c r="F57" s="219"/>
      <c r="G57" s="219"/>
      <c r="H57" s="220"/>
      <c r="I57" s="10"/>
    </row>
    <row r="58" spans="1:9" ht="15.75" customHeight="1" x14ac:dyDescent="0.25">
      <c r="A58" s="215" t="s">
        <v>218</v>
      </c>
      <c r="B58" s="216"/>
      <c r="C58" s="217"/>
      <c r="D58" s="218">
        <f>'Sistemas especiais'!I27</f>
        <v>377425.88</v>
      </c>
      <c r="E58" s="219"/>
      <c r="F58" s="219"/>
      <c r="G58" s="219"/>
      <c r="H58" s="220"/>
      <c r="I58" s="10"/>
    </row>
    <row r="59" spans="1:9" ht="15.75" customHeight="1" x14ac:dyDescent="0.25">
      <c r="A59" s="215" t="str">
        <f>'Sistemas especiais'!A35</f>
        <v>OUTROS SISTEMAS ESPECIAIS</v>
      </c>
      <c r="B59" s="216"/>
      <c r="C59" s="217"/>
      <c r="D59" s="218">
        <f>'Sistemas especiais'!I39</f>
        <v>435491.39999999997</v>
      </c>
      <c r="E59" s="219"/>
      <c r="F59" s="219"/>
      <c r="G59" s="219"/>
      <c r="H59" s="220"/>
      <c r="I59" s="10"/>
    </row>
    <row r="60" spans="1:9" ht="15.6" customHeight="1" x14ac:dyDescent="0.25">
      <c r="A60" s="215" t="str">
        <f>'Sistemas especiais'!A41</f>
        <v>EQUIPAMENTOS</v>
      </c>
      <c r="B60" s="216"/>
      <c r="C60" s="217"/>
      <c r="D60" s="218">
        <f>'Sistemas especiais'!I51</f>
        <v>2449400</v>
      </c>
      <c r="E60" s="219"/>
      <c r="F60" s="219"/>
      <c r="G60" s="219"/>
      <c r="H60" s="220"/>
      <c r="I60" s="34"/>
    </row>
    <row r="61" spans="1:9" ht="15.75" customHeight="1" x14ac:dyDescent="0.25">
      <c r="A61" s="224" t="s">
        <v>34</v>
      </c>
      <c r="B61" s="225"/>
      <c r="C61" s="226"/>
      <c r="D61" s="227">
        <f>SUM(D56:H60)</f>
        <v>4015448.32</v>
      </c>
      <c r="E61" s="228"/>
      <c r="F61" s="228"/>
      <c r="G61" s="228"/>
      <c r="H61" s="229"/>
      <c r="I61" s="34"/>
    </row>
    <row r="62" spans="1:9" ht="15.75" customHeight="1" x14ac:dyDescent="0.25">
      <c r="A62" s="213"/>
      <c r="B62" s="214"/>
      <c r="C62" s="214"/>
      <c r="D62" s="214"/>
      <c r="E62" s="214"/>
      <c r="F62" s="214"/>
      <c r="G62" s="36"/>
      <c r="H62" s="36"/>
      <c r="I62" s="38"/>
    </row>
    <row r="63" spans="1:9" ht="15.75" customHeight="1" x14ac:dyDescent="0.25"/>
    <row r="64" spans="1:9" ht="15.75" customHeight="1" x14ac:dyDescent="0.25">
      <c r="A64" s="21" t="s">
        <v>68</v>
      </c>
      <c r="B64" s="22"/>
      <c r="C64" s="22"/>
      <c r="D64" s="40"/>
      <c r="E64" s="22"/>
      <c r="F64" s="22"/>
      <c r="G64" s="22"/>
      <c r="H64" s="22"/>
      <c r="I64" s="24"/>
    </row>
    <row r="65" spans="1:9" ht="15.75" customHeight="1" x14ac:dyDescent="0.25">
      <c r="A65" s="41"/>
      <c r="D65" s="39"/>
      <c r="I65" s="27"/>
    </row>
    <row r="66" spans="1:9" ht="15.75" customHeight="1" x14ac:dyDescent="0.25">
      <c r="A66" s="230" t="s">
        <v>29</v>
      </c>
      <c r="B66" s="231"/>
      <c r="C66" s="231"/>
      <c r="D66" s="233" t="s">
        <v>32</v>
      </c>
      <c r="E66" s="234"/>
      <c r="F66" s="234"/>
      <c r="G66" s="234"/>
      <c r="H66" s="235"/>
      <c r="I66" s="27"/>
    </row>
    <row r="67" spans="1:9" ht="15.75" customHeight="1" x14ac:dyDescent="0.25">
      <c r="A67" s="246" t="str">
        <f>+Impermeabilização!A12</f>
        <v>IMPERMEABILIZAÇÃO</v>
      </c>
      <c r="B67" s="246"/>
      <c r="C67" s="246"/>
      <c r="D67" s="218">
        <f>+Impermeabilização!I23</f>
        <v>1142037.169</v>
      </c>
      <c r="E67" s="219"/>
      <c r="F67" s="219"/>
      <c r="G67" s="219"/>
      <c r="H67" s="220"/>
      <c r="I67" s="27"/>
    </row>
    <row r="68" spans="1:9" ht="15.75" customHeight="1" x14ac:dyDescent="0.25">
      <c r="A68" s="224" t="s">
        <v>34</v>
      </c>
      <c r="B68" s="225"/>
      <c r="C68" s="226"/>
      <c r="D68" s="227">
        <f>SUM(D67)</f>
        <v>1142037.169</v>
      </c>
      <c r="E68" s="228"/>
      <c r="F68" s="228"/>
      <c r="G68" s="228"/>
      <c r="H68" s="229"/>
      <c r="I68" s="27"/>
    </row>
    <row r="69" spans="1:9" ht="15.75" customHeight="1" x14ac:dyDescent="0.25">
      <c r="A69" s="42"/>
      <c r="B69" s="36"/>
      <c r="C69" s="36"/>
      <c r="D69" s="37"/>
      <c r="E69" s="44"/>
      <c r="F69" s="44"/>
      <c r="G69" s="45"/>
      <c r="H69" s="36"/>
      <c r="I69" s="38"/>
    </row>
    <row r="70" spans="1:9" ht="15.75" customHeight="1" x14ac:dyDescent="0.25"/>
    <row r="71" spans="1:9" ht="15.75" customHeight="1" x14ac:dyDescent="0.25">
      <c r="A71" s="21" t="s">
        <v>105</v>
      </c>
      <c r="B71" s="22"/>
      <c r="C71" s="22"/>
      <c r="D71" s="40"/>
      <c r="E71" s="22"/>
      <c r="F71" s="22"/>
      <c r="G71" s="22"/>
      <c r="H71" s="22"/>
      <c r="I71" s="24"/>
    </row>
    <row r="72" spans="1:9" ht="15.75" customHeight="1" x14ac:dyDescent="0.25">
      <c r="A72" s="41"/>
      <c r="D72" s="39"/>
      <c r="I72" s="27"/>
    </row>
    <row r="73" spans="1:9" ht="15.75" customHeight="1" x14ac:dyDescent="0.25">
      <c r="A73" s="230" t="s">
        <v>29</v>
      </c>
      <c r="B73" s="231"/>
      <c r="C73" s="231"/>
      <c r="D73" s="233" t="s">
        <v>32</v>
      </c>
      <c r="E73" s="234"/>
      <c r="F73" s="234"/>
      <c r="G73" s="234"/>
      <c r="H73" s="235"/>
      <c r="I73" s="27"/>
    </row>
    <row r="74" spans="1:9" ht="13.7" x14ac:dyDescent="0.25">
      <c r="A74" s="246" t="str">
        <f>+'Rev. Internos Piso e Parede'!A12</f>
        <v>REVESTIMENTOS INTERNOS EM PISO E PAREDE</v>
      </c>
      <c r="B74" s="246"/>
      <c r="C74" s="246"/>
      <c r="D74" s="218">
        <f>+'Rev. Internos Piso e Parede'!I23</f>
        <v>1922134.1421500002</v>
      </c>
      <c r="E74" s="219"/>
      <c r="F74" s="219"/>
      <c r="G74" s="219"/>
      <c r="H74" s="220"/>
      <c r="I74" s="27"/>
    </row>
    <row r="75" spans="1:9" ht="15.75" customHeight="1" x14ac:dyDescent="0.25">
      <c r="A75" s="224" t="s">
        <v>34</v>
      </c>
      <c r="B75" s="225"/>
      <c r="C75" s="226"/>
      <c r="D75" s="227">
        <f>SUM(D74)</f>
        <v>1922134.1421500002</v>
      </c>
      <c r="E75" s="228"/>
      <c r="F75" s="228"/>
      <c r="G75" s="228"/>
      <c r="H75" s="229"/>
      <c r="I75" s="27"/>
    </row>
    <row r="76" spans="1:9" ht="15.75" customHeight="1" x14ac:dyDescent="0.25">
      <c r="A76" s="42"/>
      <c r="B76" s="36"/>
      <c r="C76" s="36"/>
      <c r="D76" s="37"/>
      <c r="E76" s="44"/>
      <c r="F76" s="44"/>
      <c r="G76" s="45"/>
      <c r="H76" s="36"/>
      <c r="I76" s="38"/>
    </row>
    <row r="77" spans="1:9" ht="15.75" customHeight="1" x14ac:dyDescent="0.25"/>
    <row r="78" spans="1:9" ht="15.75" customHeight="1" x14ac:dyDescent="0.25">
      <c r="A78" s="21" t="s">
        <v>106</v>
      </c>
      <c r="B78" s="22"/>
      <c r="C78" s="22"/>
      <c r="D78" s="40"/>
      <c r="E78" s="22"/>
      <c r="F78" s="22"/>
      <c r="G78" s="22"/>
      <c r="H78" s="22"/>
      <c r="I78" s="24"/>
    </row>
    <row r="79" spans="1:9" ht="15.75" customHeight="1" x14ac:dyDescent="0.25">
      <c r="A79" s="41"/>
      <c r="D79" s="39"/>
      <c r="I79" s="27"/>
    </row>
    <row r="80" spans="1:9" ht="15.75" customHeight="1" x14ac:dyDescent="0.25">
      <c r="A80" s="230" t="s">
        <v>29</v>
      </c>
      <c r="B80" s="231"/>
      <c r="C80" s="231"/>
      <c r="D80" s="233" t="s">
        <v>32</v>
      </c>
      <c r="E80" s="234"/>
      <c r="F80" s="234"/>
      <c r="G80" s="234"/>
      <c r="H80" s="235"/>
      <c r="I80" s="27"/>
    </row>
    <row r="81" spans="1:9" ht="15.75" customHeight="1" x14ac:dyDescent="0.25">
      <c r="A81" s="246" t="str">
        <f>+'Acabamentos de Teto'!A12</f>
        <v>ACABAMENTOS DE TETO</v>
      </c>
      <c r="B81" s="246"/>
      <c r="C81" s="246"/>
      <c r="D81" s="218">
        <f>+'Acabamentos de Teto'!I21</f>
        <v>1271472.6699999997</v>
      </c>
      <c r="E81" s="219"/>
      <c r="F81" s="219"/>
      <c r="G81" s="219"/>
      <c r="H81" s="220"/>
      <c r="I81" s="27"/>
    </row>
    <row r="82" spans="1:9" ht="15.75" customHeight="1" x14ac:dyDescent="0.25">
      <c r="A82" s="224" t="s">
        <v>34</v>
      </c>
      <c r="B82" s="225"/>
      <c r="C82" s="226"/>
      <c r="D82" s="227">
        <f>SUM(D81)</f>
        <v>1271472.6699999997</v>
      </c>
      <c r="E82" s="228"/>
      <c r="F82" s="228"/>
      <c r="G82" s="228"/>
      <c r="H82" s="229"/>
      <c r="I82" s="27"/>
    </row>
    <row r="83" spans="1:9" ht="15.75" customHeight="1" x14ac:dyDescent="0.25">
      <c r="A83" s="42"/>
      <c r="B83" s="36"/>
      <c r="C83" s="36"/>
      <c r="D83" s="37"/>
      <c r="E83" s="44"/>
      <c r="F83" s="44"/>
      <c r="G83" s="45"/>
      <c r="H83" s="36"/>
      <c r="I83" s="38"/>
    </row>
    <row r="84" spans="1:9" ht="15.75" customHeight="1" x14ac:dyDescent="0.25"/>
    <row r="85" spans="1:9" ht="15.75" customHeight="1" x14ac:dyDescent="0.25">
      <c r="A85" s="21" t="s">
        <v>87</v>
      </c>
      <c r="B85" s="22"/>
      <c r="C85" s="22"/>
      <c r="D85" s="40"/>
      <c r="E85" s="22"/>
      <c r="F85" s="22"/>
      <c r="G85" s="22"/>
      <c r="H85" s="22"/>
      <c r="I85" s="24"/>
    </row>
    <row r="86" spans="1:9" ht="15.75" customHeight="1" x14ac:dyDescent="0.25">
      <c r="A86" s="41"/>
      <c r="D86" s="39"/>
      <c r="I86" s="27"/>
    </row>
    <row r="87" spans="1:9" ht="15.75" customHeight="1" x14ac:dyDescent="0.25">
      <c r="A87" s="230" t="s">
        <v>29</v>
      </c>
      <c r="B87" s="231"/>
      <c r="C87" s="231"/>
      <c r="D87" s="233" t="s">
        <v>32</v>
      </c>
      <c r="E87" s="234"/>
      <c r="F87" s="234"/>
      <c r="G87" s="234"/>
      <c r="H87" s="235"/>
      <c r="I87" s="27"/>
    </row>
    <row r="88" spans="1:9" ht="15.75" customHeight="1" x14ac:dyDescent="0.25">
      <c r="A88" s="246" t="str">
        <f>+'Acabamentos de Piso e Parede'!A12</f>
        <v>ACABAMENTOS EM PISO E PAREDE</v>
      </c>
      <c r="B88" s="246"/>
      <c r="C88" s="246"/>
      <c r="D88" s="218">
        <f>+'Acabamentos de Piso e Parede'!I27</f>
        <v>2915218.52</v>
      </c>
      <c r="E88" s="219"/>
      <c r="F88" s="219"/>
      <c r="G88" s="219"/>
      <c r="H88" s="220"/>
      <c r="I88" s="27"/>
    </row>
    <row r="89" spans="1:9" ht="15.75" customHeight="1" x14ac:dyDescent="0.25">
      <c r="A89" s="224" t="s">
        <v>34</v>
      </c>
      <c r="B89" s="225"/>
      <c r="C89" s="226"/>
      <c r="D89" s="227">
        <f>SUM(D88)</f>
        <v>2915218.52</v>
      </c>
      <c r="E89" s="228"/>
      <c r="F89" s="228"/>
      <c r="G89" s="228"/>
      <c r="H89" s="229"/>
      <c r="I89" s="27"/>
    </row>
    <row r="90" spans="1:9" ht="15.75" customHeight="1" x14ac:dyDescent="0.25">
      <c r="A90" s="42"/>
      <c r="B90" s="36"/>
      <c r="C90" s="36"/>
      <c r="D90" s="37"/>
      <c r="E90" s="44"/>
      <c r="F90" s="44"/>
      <c r="G90" s="45"/>
      <c r="H90" s="36"/>
      <c r="I90" s="38"/>
    </row>
    <row r="91" spans="1:9" ht="15.75" customHeight="1" x14ac:dyDescent="0.25"/>
    <row r="92" spans="1:9" ht="15.75" customHeight="1" x14ac:dyDescent="0.25">
      <c r="A92" s="21" t="s">
        <v>88</v>
      </c>
      <c r="B92" s="22"/>
      <c r="C92" s="22"/>
      <c r="D92" s="40"/>
      <c r="E92" s="22"/>
      <c r="F92" s="22"/>
      <c r="G92" s="22"/>
      <c r="H92" s="22"/>
      <c r="I92" s="24"/>
    </row>
    <row r="93" spans="1:9" ht="15.75" customHeight="1" x14ac:dyDescent="0.25">
      <c r="A93" s="41"/>
      <c r="D93" s="39"/>
      <c r="I93" s="27"/>
    </row>
    <row r="94" spans="1:9" ht="15.75" customHeight="1" x14ac:dyDescent="0.25">
      <c r="A94" s="230" t="s">
        <v>29</v>
      </c>
      <c r="B94" s="231"/>
      <c r="C94" s="231"/>
      <c r="D94" s="233" t="s">
        <v>32</v>
      </c>
      <c r="E94" s="234"/>
      <c r="F94" s="234"/>
      <c r="G94" s="234"/>
      <c r="H94" s="235"/>
      <c r="I94" s="27"/>
    </row>
    <row r="95" spans="1:9" ht="15.75" customHeight="1" x14ac:dyDescent="0.25">
      <c r="A95" s="246" t="str">
        <f>+'Pintura Interna'!A12</f>
        <v>PINTURA INTERNA</v>
      </c>
      <c r="B95" s="246"/>
      <c r="C95" s="246"/>
      <c r="D95" s="218">
        <f>+'Pintura Interna'!I19</f>
        <v>1912985.6899999997</v>
      </c>
      <c r="E95" s="219"/>
      <c r="F95" s="219"/>
      <c r="G95" s="219"/>
      <c r="H95" s="220"/>
      <c r="I95" s="27"/>
    </row>
    <row r="96" spans="1:9" ht="15.75" customHeight="1" x14ac:dyDescent="0.25">
      <c r="A96" s="224" t="s">
        <v>34</v>
      </c>
      <c r="B96" s="225"/>
      <c r="C96" s="226"/>
      <c r="D96" s="227">
        <f>SUM(D95)</f>
        <v>1912985.6899999997</v>
      </c>
      <c r="E96" s="228"/>
      <c r="F96" s="228"/>
      <c r="G96" s="228"/>
      <c r="H96" s="229"/>
      <c r="I96" s="27"/>
    </row>
    <row r="97" spans="1:9" ht="15.75" customHeight="1" x14ac:dyDescent="0.25">
      <c r="A97" s="42"/>
      <c r="B97" s="36"/>
      <c r="C97" s="36"/>
      <c r="D97" s="37"/>
      <c r="E97" s="44"/>
      <c r="F97" s="44"/>
      <c r="G97" s="45"/>
      <c r="H97" s="36"/>
      <c r="I97" s="38"/>
    </row>
    <row r="98" spans="1:9" ht="15.75" customHeight="1" x14ac:dyDescent="0.25"/>
    <row r="99" spans="1:9" ht="15.75" customHeight="1" x14ac:dyDescent="0.25">
      <c r="A99" s="21" t="s">
        <v>89</v>
      </c>
      <c r="B99" s="22"/>
      <c r="C99" s="22"/>
      <c r="D99" s="40"/>
      <c r="E99" s="22"/>
      <c r="F99" s="22"/>
      <c r="G99" s="22"/>
      <c r="H99" s="22"/>
      <c r="I99" s="24"/>
    </row>
    <row r="100" spans="1:9" ht="15.75" customHeight="1" x14ac:dyDescent="0.25">
      <c r="A100" s="41"/>
      <c r="D100" s="39"/>
      <c r="I100" s="27"/>
    </row>
    <row r="101" spans="1:9" ht="15.75" customHeight="1" x14ac:dyDescent="0.25">
      <c r="A101" s="230" t="s">
        <v>29</v>
      </c>
      <c r="B101" s="231"/>
      <c r="C101" s="231"/>
      <c r="D101" s="233" t="s">
        <v>32</v>
      </c>
      <c r="E101" s="234"/>
      <c r="F101" s="234"/>
      <c r="G101" s="234"/>
      <c r="H101" s="235"/>
      <c r="I101" s="27"/>
    </row>
    <row r="102" spans="1:9" ht="15.75" customHeight="1" x14ac:dyDescent="0.25">
      <c r="A102" s="246" t="str">
        <f>+Esquadrias!A12</f>
        <v>ESQUADRIAS</v>
      </c>
      <c r="B102" s="246"/>
      <c r="C102" s="246"/>
      <c r="D102" s="218">
        <f>+Esquadrias!I25</f>
        <v>5559680.5</v>
      </c>
      <c r="E102" s="219"/>
      <c r="F102" s="219"/>
      <c r="G102" s="219"/>
      <c r="H102" s="220"/>
      <c r="I102" s="27"/>
    </row>
    <row r="103" spans="1:9" ht="15.75" customHeight="1" x14ac:dyDescent="0.25">
      <c r="A103" s="224" t="s">
        <v>34</v>
      </c>
      <c r="B103" s="225"/>
      <c r="C103" s="226"/>
      <c r="D103" s="227">
        <f>SUM(D102)</f>
        <v>5559680.5</v>
      </c>
      <c r="E103" s="228"/>
      <c r="F103" s="228"/>
      <c r="G103" s="228"/>
      <c r="H103" s="229"/>
      <c r="I103" s="27"/>
    </row>
    <row r="104" spans="1:9" ht="15.75" customHeight="1" x14ac:dyDescent="0.25">
      <c r="A104" s="42"/>
      <c r="B104" s="36"/>
      <c r="C104" s="36"/>
      <c r="D104" s="37"/>
      <c r="E104" s="44"/>
      <c r="F104" s="44"/>
      <c r="G104" s="45"/>
      <c r="H104" s="36"/>
      <c r="I104" s="38"/>
    </row>
    <row r="105" spans="1:9" ht="15.75" customHeight="1" x14ac:dyDescent="0.25"/>
    <row r="106" spans="1:9" ht="15.75" customHeight="1" x14ac:dyDescent="0.25">
      <c r="A106" s="21" t="s">
        <v>107</v>
      </c>
      <c r="B106" s="22"/>
      <c r="C106" s="22"/>
      <c r="D106" s="40"/>
      <c r="E106" s="22"/>
      <c r="F106" s="22"/>
      <c r="G106" s="22"/>
      <c r="H106" s="22"/>
      <c r="I106" s="24"/>
    </row>
    <row r="107" spans="1:9" ht="15.75" customHeight="1" x14ac:dyDescent="0.25">
      <c r="A107" s="41"/>
      <c r="D107" s="39"/>
      <c r="I107" s="27"/>
    </row>
    <row r="108" spans="1:9" ht="15.75" customHeight="1" x14ac:dyDescent="0.25">
      <c r="A108" s="230" t="s">
        <v>29</v>
      </c>
      <c r="B108" s="231"/>
      <c r="C108" s="231"/>
      <c r="D108" s="233" t="s">
        <v>32</v>
      </c>
      <c r="E108" s="234"/>
      <c r="F108" s="234"/>
      <c r="G108" s="234"/>
      <c r="H108" s="235"/>
      <c r="I108" s="27"/>
    </row>
    <row r="109" spans="1:9" ht="15.75" customHeight="1" x14ac:dyDescent="0.25">
      <c r="A109" s="242" t="str">
        <f>+'Rev. Fachada'!A12</f>
        <v>REVESTIMENTOS ARGAMASSADOS</v>
      </c>
      <c r="B109" s="242"/>
      <c r="C109" s="242"/>
      <c r="D109" s="218">
        <f>+'Rev. Fachada'!I17</f>
        <v>867301.00000000012</v>
      </c>
      <c r="E109" s="219"/>
      <c r="F109" s="219"/>
      <c r="G109" s="219"/>
      <c r="H109" s="220"/>
      <c r="I109" s="27"/>
    </row>
    <row r="110" spans="1:9" ht="15.75" customHeight="1" x14ac:dyDescent="0.25">
      <c r="A110" s="236" t="str">
        <f>+'Rev. Fachada'!A20</f>
        <v>PINTURA</v>
      </c>
      <c r="B110" s="236"/>
      <c r="C110" s="236"/>
      <c r="D110" s="218">
        <f>+'Rev. Fachada'!I24</f>
        <v>1300951.5</v>
      </c>
      <c r="E110" s="219"/>
      <c r="F110" s="219"/>
      <c r="G110" s="219"/>
      <c r="H110" s="220"/>
      <c r="I110" s="27"/>
    </row>
    <row r="111" spans="1:9" ht="15.75" customHeight="1" x14ac:dyDescent="0.25">
      <c r="A111" s="236" t="str">
        <f>+'Rev. Fachada'!A26</f>
        <v>REVESTIMENTOS ESPECIAIS</v>
      </c>
      <c r="B111" s="236"/>
      <c r="C111" s="236"/>
      <c r="D111" s="218">
        <f>+'Rev. Fachada'!I32</f>
        <v>504078.8</v>
      </c>
      <c r="E111" s="219"/>
      <c r="F111" s="219"/>
      <c r="G111" s="219"/>
      <c r="H111" s="220"/>
      <c r="I111" s="27"/>
    </row>
    <row r="112" spans="1:9" ht="15.75" customHeight="1" x14ac:dyDescent="0.25">
      <c r="A112" s="224" t="s">
        <v>34</v>
      </c>
      <c r="B112" s="225"/>
      <c r="C112" s="226"/>
      <c r="D112" s="227">
        <f>SUM(D109:H111)</f>
        <v>2672331.2999999998</v>
      </c>
      <c r="E112" s="228"/>
      <c r="F112" s="228"/>
      <c r="G112" s="228"/>
      <c r="H112" s="229"/>
      <c r="I112" s="27"/>
    </row>
    <row r="113" spans="1:11" ht="15.75" customHeight="1" x14ac:dyDescent="0.25">
      <c r="A113" s="42"/>
      <c r="B113" s="36"/>
      <c r="C113" s="36"/>
      <c r="D113" s="37"/>
      <c r="E113" s="44"/>
      <c r="F113" s="44"/>
      <c r="G113" s="45"/>
      <c r="H113" s="36"/>
      <c r="I113" s="38"/>
    </row>
    <row r="114" spans="1:11" ht="15.75" customHeight="1" x14ac:dyDescent="0.25"/>
    <row r="115" spans="1:11" ht="15.75" customHeight="1" x14ac:dyDescent="0.25">
      <c r="A115" s="42"/>
      <c r="B115" s="36"/>
      <c r="C115" s="36"/>
      <c r="D115" s="37"/>
      <c r="E115" s="44"/>
      <c r="F115" s="44"/>
      <c r="G115" s="45"/>
      <c r="H115" s="36"/>
      <c r="I115" s="38"/>
    </row>
    <row r="116" spans="1:11" ht="15.75" customHeight="1" x14ac:dyDescent="0.25"/>
    <row r="117" spans="1:11" ht="15.75" customHeight="1" x14ac:dyDescent="0.25">
      <c r="A117" s="21" t="s">
        <v>97</v>
      </c>
      <c r="B117" s="22"/>
      <c r="C117" s="22"/>
      <c r="D117" s="40"/>
      <c r="E117" s="22"/>
      <c r="F117" s="22"/>
      <c r="G117" s="22"/>
      <c r="H117" s="22"/>
      <c r="I117" s="24"/>
    </row>
    <row r="118" spans="1:11" ht="15.75" customHeight="1" x14ac:dyDescent="0.25">
      <c r="A118" s="41"/>
      <c r="D118" s="39"/>
      <c r="I118" s="27"/>
    </row>
    <row r="119" spans="1:11" ht="15.75" customHeight="1" x14ac:dyDescent="0.25">
      <c r="A119" s="230" t="s">
        <v>29</v>
      </c>
      <c r="B119" s="231"/>
      <c r="C119" s="231"/>
      <c r="D119" s="233" t="s">
        <v>32</v>
      </c>
      <c r="E119" s="234"/>
      <c r="F119" s="234"/>
      <c r="G119" s="234"/>
      <c r="H119" s="235"/>
      <c r="I119" s="27"/>
    </row>
    <row r="120" spans="1:11" ht="15.75" customHeight="1" x14ac:dyDescent="0.25">
      <c r="A120" s="247" t="str">
        <f>+Complementares!A12</f>
        <v>SERVIÇOS COMPLEMENTARES</v>
      </c>
      <c r="B120" s="246"/>
      <c r="C120" s="246"/>
      <c r="D120" s="218">
        <f>+Complementares!I21</f>
        <v>4713356.95</v>
      </c>
      <c r="E120" s="219"/>
      <c r="F120" s="219"/>
      <c r="G120" s="219"/>
      <c r="H120" s="220"/>
      <c r="I120" s="27"/>
    </row>
    <row r="121" spans="1:11" ht="15.75" customHeight="1" x14ac:dyDescent="0.25">
      <c r="A121" s="224" t="s">
        <v>34</v>
      </c>
      <c r="B121" s="225"/>
      <c r="C121" s="226"/>
      <c r="D121" s="227">
        <f>SUM(D120)</f>
        <v>4713356.95</v>
      </c>
      <c r="E121" s="228"/>
      <c r="F121" s="228"/>
      <c r="G121" s="228"/>
      <c r="H121" s="229"/>
      <c r="I121" s="27"/>
    </row>
    <row r="122" spans="1:11" ht="15.75" customHeight="1" x14ac:dyDescent="0.25">
      <c r="A122" s="42"/>
      <c r="B122" s="36"/>
      <c r="C122" s="36"/>
      <c r="D122" s="37"/>
      <c r="E122" s="44"/>
      <c r="F122" s="44"/>
      <c r="G122" s="45"/>
      <c r="H122" s="36"/>
      <c r="I122" s="38"/>
    </row>
    <row r="123" spans="1:11" ht="15.75" customHeight="1" x14ac:dyDescent="0.25"/>
    <row r="124" spans="1:11" ht="15.75" customHeight="1" x14ac:dyDescent="0.25">
      <c r="A124" s="96" t="s">
        <v>158</v>
      </c>
      <c r="B124" s="96"/>
      <c r="C124" s="96"/>
      <c r="D124" s="212">
        <f>D121+D112+D103+D96+D89+D82+D75+D68+D50+D41+D34+D27+D18+D61</f>
        <v>52180832.164201021</v>
      </c>
      <c r="E124" s="212"/>
      <c r="F124" s="212"/>
      <c r="G124" s="212"/>
      <c r="H124" s="212"/>
    </row>
    <row r="125" spans="1:11" ht="15.75" customHeight="1" x14ac:dyDescent="0.25">
      <c r="A125" s="96"/>
      <c r="B125" s="96"/>
      <c r="C125" s="96"/>
      <c r="D125" s="97"/>
      <c r="E125" s="96"/>
      <c r="F125" s="96"/>
      <c r="G125" s="100">
        <f>D124/'Dados Gerais'!E15</f>
        <v>3594.6174021485399</v>
      </c>
      <c r="H125" s="96" t="s">
        <v>159</v>
      </c>
      <c r="K125" s="60" t="s">
        <v>177</v>
      </c>
    </row>
    <row r="126" spans="1:11" ht="15.75" customHeight="1" x14ac:dyDescent="0.25">
      <c r="A126" s="96"/>
      <c r="B126" s="96"/>
      <c r="C126" s="96"/>
      <c r="D126" s="96" t="s">
        <v>160</v>
      </c>
      <c r="E126" s="98">
        <v>2774.29</v>
      </c>
      <c r="F126" s="99">
        <v>45444</v>
      </c>
      <c r="G126" s="101">
        <f>G125/E126</f>
        <v>1.2956891320476733</v>
      </c>
      <c r="H126" s="96" t="s">
        <v>161</v>
      </c>
      <c r="K126" s="60">
        <f>(110.33+94.87+27.83+37.43)*5</f>
        <v>1352.3</v>
      </c>
    </row>
    <row r="127" spans="1:11" ht="15.75" customHeight="1" x14ac:dyDescent="0.25">
      <c r="G127" s="77"/>
      <c r="K127" s="60">
        <f>(40.65+33.3+63.45+55.35+27.83+37.43)*2</f>
        <v>516.02</v>
      </c>
    </row>
    <row r="128" spans="1:11" ht="15.75" customHeight="1" x14ac:dyDescent="0.25">
      <c r="G128" s="60">
        <f>'[1]CUSTOS INDIRETOS'!$F$81</f>
        <v>7291003.6578503363</v>
      </c>
      <c r="K128" s="60">
        <f>(37.16+29.81+36.18+28.08+27.24+27.83+37.43)*14</f>
        <v>3132.2200000000003</v>
      </c>
    </row>
    <row r="129" spans="7:11" ht="15.75" customHeight="1" x14ac:dyDescent="0.25">
      <c r="G129" s="77">
        <f>D124-G128</f>
        <v>44889828.506350681</v>
      </c>
      <c r="K129" s="60">
        <f>181.03+165.58</f>
        <v>346.61</v>
      </c>
    </row>
    <row r="130" spans="7:11" ht="15.75" customHeight="1" x14ac:dyDescent="0.25">
      <c r="G130" s="77">
        <v>890772.53733077052</v>
      </c>
      <c r="K130" s="60">
        <f>SUM(K126:K129)</f>
        <v>5347.15</v>
      </c>
    </row>
    <row r="131" spans="7:11" ht="15.75" customHeight="1" x14ac:dyDescent="0.25"/>
    <row r="132" spans="7:11" ht="15.75" customHeight="1" x14ac:dyDescent="0.25"/>
    <row r="133" spans="7:11" ht="15.75" customHeight="1" x14ac:dyDescent="0.25"/>
    <row r="134" spans="7:11" ht="15.75" customHeight="1" x14ac:dyDescent="0.25"/>
    <row r="135" spans="7:11" ht="15.75" customHeight="1" x14ac:dyDescent="0.25"/>
    <row r="136" spans="7:11" ht="15.75" customHeight="1" x14ac:dyDescent="0.25"/>
    <row r="137" spans="7:11" ht="15.75" customHeight="1" x14ac:dyDescent="0.25"/>
    <row r="138" spans="7:11" ht="15.75" customHeight="1" x14ac:dyDescent="0.25"/>
    <row r="139" spans="7:11" ht="15.75" customHeight="1" x14ac:dyDescent="0.25"/>
    <row r="140" spans="7:11" ht="15.75" customHeight="1" x14ac:dyDescent="0.25"/>
    <row r="141" spans="7:11" ht="15.75" customHeight="1" x14ac:dyDescent="0.25"/>
    <row r="142" spans="7:11" ht="15.75" customHeight="1" x14ac:dyDescent="0.25"/>
    <row r="143" spans="7:11" ht="15.75" customHeight="1" x14ac:dyDescent="0.25"/>
    <row r="144" spans="7:1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</sheetData>
  <mergeCells count="115">
    <mergeCell ref="A58:C58"/>
    <mergeCell ref="D58:H58"/>
    <mergeCell ref="A119:C119"/>
    <mergeCell ref="D119:H119"/>
    <mergeCell ref="A120:C120"/>
    <mergeCell ref="D120:H120"/>
    <mergeCell ref="A121:C121"/>
    <mergeCell ref="D121:H121"/>
    <mergeCell ref="A112:C112"/>
    <mergeCell ref="D112:H112"/>
    <mergeCell ref="A110:C110"/>
    <mergeCell ref="D110:H110"/>
    <mergeCell ref="A111:C111"/>
    <mergeCell ref="D111:H111"/>
    <mergeCell ref="A103:C103"/>
    <mergeCell ref="D103:H103"/>
    <mergeCell ref="A108:C108"/>
    <mergeCell ref="D108:H108"/>
    <mergeCell ref="A109:C109"/>
    <mergeCell ref="D109:H109"/>
    <mergeCell ref="A96:C96"/>
    <mergeCell ref="D96:H96"/>
    <mergeCell ref="A101:C101"/>
    <mergeCell ref="D101:H101"/>
    <mergeCell ref="A102:C102"/>
    <mergeCell ref="D102:H102"/>
    <mergeCell ref="A89:C89"/>
    <mergeCell ref="D89:H89"/>
    <mergeCell ref="A94:C94"/>
    <mergeCell ref="D94:H94"/>
    <mergeCell ref="A95:C95"/>
    <mergeCell ref="D95:H95"/>
    <mergeCell ref="A82:C82"/>
    <mergeCell ref="D82:H82"/>
    <mergeCell ref="A87:C87"/>
    <mergeCell ref="D87:H87"/>
    <mergeCell ref="A88:C88"/>
    <mergeCell ref="D88:H88"/>
    <mergeCell ref="A75:C75"/>
    <mergeCell ref="D75:H75"/>
    <mergeCell ref="A80:C80"/>
    <mergeCell ref="D80:H80"/>
    <mergeCell ref="A81:C81"/>
    <mergeCell ref="D81:H81"/>
    <mergeCell ref="A73:C73"/>
    <mergeCell ref="D73:H73"/>
    <mergeCell ref="A74:C74"/>
    <mergeCell ref="D74:H74"/>
    <mergeCell ref="A49:C49"/>
    <mergeCell ref="D49:H49"/>
    <mergeCell ref="A55:C55"/>
    <mergeCell ref="D55:H55"/>
    <mergeCell ref="A56:C56"/>
    <mergeCell ref="D56:H56"/>
    <mergeCell ref="A57:C57"/>
    <mergeCell ref="D57:H57"/>
    <mergeCell ref="A68:C68"/>
    <mergeCell ref="D68:H68"/>
    <mergeCell ref="A50:C50"/>
    <mergeCell ref="D50:H50"/>
    <mergeCell ref="A51:F51"/>
    <mergeCell ref="A66:C66"/>
    <mergeCell ref="D66:H66"/>
    <mergeCell ref="A67:C67"/>
    <mergeCell ref="D67:H67"/>
    <mergeCell ref="A60:C60"/>
    <mergeCell ref="D60:H60"/>
    <mergeCell ref="A61:C61"/>
    <mergeCell ref="D61:H61"/>
    <mergeCell ref="A62:F62"/>
    <mergeCell ref="A59:C59"/>
    <mergeCell ref="D59:H59"/>
    <mergeCell ref="A47:C47"/>
    <mergeCell ref="D47:H47"/>
    <mergeCell ref="A34:C34"/>
    <mergeCell ref="D34:H34"/>
    <mergeCell ref="A39:C39"/>
    <mergeCell ref="D39:H39"/>
    <mergeCell ref="A40:C40"/>
    <mergeCell ref="D40:H40"/>
    <mergeCell ref="A48:C48"/>
    <mergeCell ref="D48:H48"/>
    <mergeCell ref="D26:H26"/>
    <mergeCell ref="A24:C24"/>
    <mergeCell ref="D24:H24"/>
    <mergeCell ref="A25:C25"/>
    <mergeCell ref="D25:H25"/>
    <mergeCell ref="A41:C41"/>
    <mergeCell ref="D41:H41"/>
    <mergeCell ref="A46:C46"/>
    <mergeCell ref="D46:H46"/>
    <mergeCell ref="B7:I7"/>
    <mergeCell ref="B8:I8"/>
    <mergeCell ref="B9:I9"/>
    <mergeCell ref="D124:H124"/>
    <mergeCell ref="A2:I4"/>
    <mergeCell ref="A19:F19"/>
    <mergeCell ref="A16:C16"/>
    <mergeCell ref="D16:H16"/>
    <mergeCell ref="A17:C17"/>
    <mergeCell ref="D17:H17"/>
    <mergeCell ref="A18:C18"/>
    <mergeCell ref="D18:H18"/>
    <mergeCell ref="A14:C14"/>
    <mergeCell ref="D14:H14"/>
    <mergeCell ref="A15:C15"/>
    <mergeCell ref="D15:H15"/>
    <mergeCell ref="H10:I10"/>
    <mergeCell ref="A27:C27"/>
    <mergeCell ref="D27:H27"/>
    <mergeCell ref="A32:C32"/>
    <mergeCell ref="D32:H32"/>
    <mergeCell ref="A33:C33"/>
    <mergeCell ref="D33:H33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rowBreaks count="1" manualBreakCount="1">
    <brk id="2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3712-0E17-4B04-8CCA-8D4A48783871}">
  <sheetPr>
    <tabColor rgb="FF003C66"/>
  </sheetPr>
  <dimension ref="A1:M42"/>
  <sheetViews>
    <sheetView showGridLines="0" topLeftCell="B1" zoomScale="95" zoomScaleNormal="95" zoomScaleSheetLayoutView="95" workbookViewId="0">
      <selection activeCell="J10" sqref="J10:K1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3" style="60" customWidth="1"/>
    <col min="5" max="5" width="7.5703125" style="65" customWidth="1"/>
    <col min="6" max="6" width="10.7109375" style="18" customWidth="1"/>
    <col min="7" max="7" width="13.28515625" style="11" customWidth="1"/>
    <col min="8" max="8" width="13.7109375" style="11" bestFit="1" customWidth="1"/>
    <col min="9" max="9" width="11.28515625" style="11" bestFit="1" customWidth="1"/>
    <col min="10" max="10" width="13.140625" style="11" bestFit="1" customWidth="1"/>
    <col min="11" max="11" width="10.42578125" style="11" bestFit="1" customWidth="1"/>
    <col min="12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203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1" spans="1:13" ht="14.25" x14ac:dyDescent="0.25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ht="14.1" hidden="1" customHeight="1" x14ac:dyDescent="0.25">
      <c r="A12" s="21" t="s">
        <v>146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4.1" hidden="1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6.149999999999999" hidden="1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6.149999999999999" hidden="1" customHeight="1" x14ac:dyDescent="0.25">
      <c r="A15" s="242" t="s">
        <v>147</v>
      </c>
      <c r="B15" s="242"/>
      <c r="C15" s="242"/>
      <c r="D15" s="91">
        <f>+'[2]Dados Gerais'!E25*3.06</f>
        <v>0</v>
      </c>
      <c r="E15" s="52" t="s">
        <v>37</v>
      </c>
      <c r="F15" s="46">
        <v>28.5</v>
      </c>
      <c r="G15" s="28" t="s">
        <v>139</v>
      </c>
      <c r="H15" s="29" t="s">
        <v>148</v>
      </c>
      <c r="I15" s="254">
        <f>+D15*F15</f>
        <v>0</v>
      </c>
      <c r="J15" s="255"/>
      <c r="K15" s="30"/>
    </row>
    <row r="16" spans="1:13" ht="16.149999999999999" hidden="1" customHeight="1" x14ac:dyDescent="0.25">
      <c r="A16" s="250" t="s">
        <v>34</v>
      </c>
      <c r="B16" s="250"/>
      <c r="C16" s="250"/>
      <c r="D16" s="250"/>
      <c r="E16" s="250"/>
      <c r="F16" s="250"/>
      <c r="G16" s="250"/>
      <c r="H16" s="250"/>
      <c r="I16" s="256">
        <f>SUM(I15:J15)</f>
        <v>0</v>
      </c>
      <c r="J16" s="256"/>
      <c r="K16" s="34"/>
    </row>
    <row r="17" spans="1:11" ht="15" hidden="1" customHeight="1" x14ac:dyDescent="0.25">
      <c r="A17" s="213"/>
      <c r="B17" s="214"/>
      <c r="C17" s="214"/>
      <c r="D17" s="214"/>
      <c r="E17" s="214"/>
      <c r="F17" s="214"/>
      <c r="G17" s="214"/>
      <c r="H17" s="214"/>
      <c r="I17" s="36"/>
      <c r="J17" s="36"/>
      <c r="K17" s="38"/>
    </row>
    <row r="18" spans="1:11" ht="13.7" hidden="1" x14ac:dyDescent="0.25">
      <c r="D18" s="58"/>
      <c r="E18" s="39"/>
      <c r="F18" s="39"/>
    </row>
    <row r="19" spans="1:11" x14ac:dyDescent="0.25">
      <c r="A19" s="21" t="s">
        <v>149</v>
      </c>
      <c r="B19" s="22"/>
      <c r="C19" s="22"/>
      <c r="D19" s="56"/>
      <c r="E19" s="40"/>
      <c r="F19" s="23"/>
      <c r="G19" s="22"/>
      <c r="H19" s="22"/>
      <c r="I19" s="22"/>
      <c r="J19" s="22"/>
      <c r="K19" s="24"/>
    </row>
    <row r="20" spans="1:11" ht="16.149999999999999" customHeight="1" x14ac:dyDescent="0.25">
      <c r="A20" s="25"/>
      <c r="B20" s="26"/>
      <c r="C20" s="26"/>
      <c r="D20" s="57"/>
      <c r="E20" s="64"/>
      <c r="F20" s="26"/>
      <c r="G20" s="26"/>
      <c r="H20" s="26"/>
      <c r="K20" s="27"/>
    </row>
    <row r="21" spans="1:11" ht="16.149999999999999" customHeight="1" x14ac:dyDescent="0.25">
      <c r="A21" s="230" t="s">
        <v>29</v>
      </c>
      <c r="B21" s="231"/>
      <c r="C21" s="231"/>
      <c r="D21" s="252" t="s">
        <v>36</v>
      </c>
      <c r="E21" s="253"/>
      <c r="F21" s="233" t="s">
        <v>18</v>
      </c>
      <c r="G21" s="235"/>
      <c r="H21" s="51" t="s">
        <v>33</v>
      </c>
      <c r="I21" s="233" t="s">
        <v>32</v>
      </c>
      <c r="J21" s="235"/>
      <c r="K21" s="27"/>
    </row>
    <row r="22" spans="1:11" ht="16.149999999999999" customHeight="1" x14ac:dyDescent="0.25">
      <c r="A22" s="242" t="s">
        <v>150</v>
      </c>
      <c r="B22" s="242"/>
      <c r="C22" s="242"/>
      <c r="D22" s="111">
        <v>10</v>
      </c>
      <c r="E22" s="52" t="s">
        <v>193</v>
      </c>
      <c r="F22" s="46">
        <v>550</v>
      </c>
      <c r="G22" s="28" t="s">
        <v>194</v>
      </c>
      <c r="H22" s="29" t="s">
        <v>112</v>
      </c>
      <c r="I22" s="218">
        <f>F22*D22</f>
        <v>5500</v>
      </c>
      <c r="J22" s="220"/>
      <c r="K22" s="27" t="s">
        <v>285</v>
      </c>
    </row>
    <row r="23" spans="1:11" ht="16.149999999999999" customHeight="1" x14ac:dyDescent="0.25">
      <c r="A23" s="250" t="s">
        <v>34</v>
      </c>
      <c r="B23" s="250"/>
      <c r="C23" s="250"/>
      <c r="D23" s="250"/>
      <c r="E23" s="250"/>
      <c r="F23" s="250"/>
      <c r="G23" s="250"/>
      <c r="H23" s="250"/>
      <c r="I23" s="249">
        <f>SUM(I22:J22)</f>
        <v>5500</v>
      </c>
      <c r="J23" s="249"/>
      <c r="K23" s="34"/>
    </row>
    <row r="24" spans="1:11" ht="16.149999999999999" customHeight="1" x14ac:dyDescent="0.25">
      <c r="A24" s="213"/>
      <c r="B24" s="214"/>
      <c r="C24" s="214"/>
      <c r="D24" s="214"/>
      <c r="E24" s="214"/>
      <c r="F24" s="214"/>
      <c r="G24" s="214"/>
      <c r="H24" s="214"/>
      <c r="I24" s="36"/>
      <c r="J24" s="36"/>
      <c r="K24" s="38"/>
    </row>
    <row r="25" spans="1:11" ht="13.7" x14ac:dyDescent="0.25">
      <c r="D25" s="58"/>
      <c r="E25" s="39"/>
      <c r="F25" s="39"/>
    </row>
    <row r="26" spans="1:11" ht="13.7" customHeight="1" x14ac:dyDescent="0.25">
      <c r="A26" s="21" t="s">
        <v>151</v>
      </c>
      <c r="B26" s="22"/>
      <c r="C26" s="22"/>
      <c r="D26" s="56"/>
      <c r="E26" s="40"/>
      <c r="F26" s="40"/>
      <c r="G26" s="22"/>
      <c r="H26" s="22"/>
      <c r="I26" s="22"/>
      <c r="J26" s="22"/>
      <c r="K26" s="24"/>
    </row>
    <row r="27" spans="1:11" ht="13.7" x14ac:dyDescent="0.25">
      <c r="A27" s="41"/>
      <c r="D27" s="58"/>
      <c r="E27" s="39"/>
      <c r="F27" s="39"/>
      <c r="K27" s="27"/>
    </row>
    <row r="28" spans="1:11" ht="16.149999999999999" customHeight="1" x14ac:dyDescent="0.25">
      <c r="A28" s="230" t="s">
        <v>29</v>
      </c>
      <c r="B28" s="231"/>
      <c r="C28" s="231"/>
      <c r="D28" s="252" t="s">
        <v>36</v>
      </c>
      <c r="E28" s="253"/>
      <c r="F28" s="233" t="s">
        <v>18</v>
      </c>
      <c r="G28" s="235"/>
      <c r="H28" s="51" t="s">
        <v>33</v>
      </c>
      <c r="I28" s="233" t="s">
        <v>32</v>
      </c>
      <c r="J28" s="235"/>
      <c r="K28" s="27"/>
    </row>
    <row r="29" spans="1:11" ht="25.5" customHeight="1" x14ac:dyDescent="0.25">
      <c r="A29" s="242" t="s">
        <v>152</v>
      </c>
      <c r="B29" s="242"/>
      <c r="C29" s="242"/>
      <c r="D29" s="52">
        <f>Infraestrutura!D31*1.3</f>
        <v>640.029</v>
      </c>
      <c r="E29" s="52" t="s">
        <v>37</v>
      </c>
      <c r="F29" s="46">
        <v>1.6</v>
      </c>
      <c r="G29" s="28" t="s">
        <v>192</v>
      </c>
      <c r="H29" s="29" t="s">
        <v>112</v>
      </c>
      <c r="I29" s="257">
        <f>+ROUNDUP((F29*'Dados Gerais'!$E$13*65),0)</f>
        <v>134618</v>
      </c>
      <c r="J29" s="257"/>
      <c r="K29" s="27" t="s">
        <v>285</v>
      </c>
    </row>
    <row r="30" spans="1:11" ht="16.149999999999999" customHeight="1" x14ac:dyDescent="0.25">
      <c r="A30" s="236" t="s">
        <v>153</v>
      </c>
      <c r="B30" s="236"/>
      <c r="C30" s="236"/>
      <c r="D30" s="59">
        <f>D29-Infraestrutura!D31</f>
        <v>147.69900000000001</v>
      </c>
      <c r="E30" s="59" t="s">
        <v>37</v>
      </c>
      <c r="F30" s="47">
        <v>0.7</v>
      </c>
      <c r="G30" s="31" t="s">
        <v>192</v>
      </c>
      <c r="H30" s="32" t="s">
        <v>112</v>
      </c>
      <c r="I30" s="218">
        <f>+ROUNDUP((F30*'Dados Gerais'!$E$13*15),0)</f>
        <v>13592</v>
      </c>
      <c r="J30" s="220"/>
      <c r="K30" s="27" t="s">
        <v>285</v>
      </c>
    </row>
    <row r="31" spans="1:11" ht="16.149999999999999" customHeight="1" x14ac:dyDescent="0.25">
      <c r="A31" s="236" t="s">
        <v>154</v>
      </c>
      <c r="B31" s="236"/>
      <c r="C31" s="236"/>
      <c r="D31" s="59">
        <f>Infraestrutura!D21*F31</f>
        <v>2931.25</v>
      </c>
      <c r="E31" s="59" t="s">
        <v>37</v>
      </c>
      <c r="F31" s="47">
        <v>1.75</v>
      </c>
      <c r="G31" s="31" t="s">
        <v>155</v>
      </c>
      <c r="H31" s="32" t="s">
        <v>112</v>
      </c>
      <c r="I31" s="218">
        <f>+D31*45</f>
        <v>131906.25</v>
      </c>
      <c r="J31" s="220"/>
      <c r="K31" s="27" t="s">
        <v>285</v>
      </c>
    </row>
    <row r="32" spans="1:11" ht="16.149999999999999" customHeight="1" x14ac:dyDescent="0.25">
      <c r="A32" s="248" t="s">
        <v>286</v>
      </c>
      <c r="B32" s="248"/>
      <c r="C32" s="248"/>
      <c r="D32" s="102">
        <f>(D29-D30)*1.3</f>
        <v>640.029</v>
      </c>
      <c r="E32" s="66" t="s">
        <v>37</v>
      </c>
      <c r="F32" s="90">
        <v>30</v>
      </c>
      <c r="G32" s="35" t="s">
        <v>139</v>
      </c>
      <c r="H32" s="32" t="s">
        <v>112</v>
      </c>
      <c r="I32" s="221">
        <f>F32*D32</f>
        <v>19200.87</v>
      </c>
      <c r="J32" s="223"/>
      <c r="K32" s="27" t="s">
        <v>285</v>
      </c>
    </row>
    <row r="33" spans="1:11" ht="16.149999999999999" customHeight="1" x14ac:dyDescent="0.25">
      <c r="A33" s="250" t="s">
        <v>34</v>
      </c>
      <c r="B33" s="250"/>
      <c r="C33" s="250"/>
      <c r="D33" s="250"/>
      <c r="E33" s="250"/>
      <c r="F33" s="250"/>
      <c r="G33" s="250"/>
      <c r="H33" s="250"/>
      <c r="I33" s="249">
        <f>SUM(I29:J32)</f>
        <v>299317.12</v>
      </c>
      <c r="J33" s="249"/>
      <c r="K33" s="27"/>
    </row>
    <row r="34" spans="1:11" ht="13.7" x14ac:dyDescent="0.25">
      <c r="A34" s="42"/>
      <c r="B34" s="36"/>
      <c r="C34" s="36"/>
      <c r="D34" s="44"/>
      <c r="E34" s="37"/>
      <c r="F34" s="43"/>
      <c r="G34" s="36"/>
      <c r="H34" s="36"/>
      <c r="I34" s="36"/>
      <c r="J34" s="36"/>
      <c r="K34" s="38"/>
    </row>
    <row r="36" spans="1:11" x14ac:dyDescent="0.25">
      <c r="A36" s="21" t="s">
        <v>156</v>
      </c>
      <c r="B36" s="22"/>
      <c r="C36" s="22"/>
      <c r="D36" s="56"/>
      <c r="E36" s="40"/>
      <c r="F36" s="40"/>
      <c r="G36" s="22"/>
      <c r="H36" s="22"/>
      <c r="I36" s="22"/>
      <c r="J36" s="22"/>
      <c r="K36" s="24"/>
    </row>
    <row r="37" spans="1:11" ht="13.7" x14ac:dyDescent="0.25">
      <c r="A37" s="41"/>
      <c r="D37" s="58"/>
      <c r="E37" s="39"/>
      <c r="F37" s="39"/>
      <c r="K37" s="27"/>
    </row>
    <row r="38" spans="1:11" x14ac:dyDescent="0.25">
      <c r="A38" s="230" t="s">
        <v>29</v>
      </c>
      <c r="B38" s="231"/>
      <c r="C38" s="231"/>
      <c r="D38" s="252" t="s">
        <v>36</v>
      </c>
      <c r="E38" s="253"/>
      <c r="F38" s="233" t="s">
        <v>18</v>
      </c>
      <c r="G38" s="235"/>
      <c r="H38" s="51" t="s">
        <v>33</v>
      </c>
      <c r="I38" s="233" t="s">
        <v>32</v>
      </c>
      <c r="J38" s="235"/>
      <c r="K38" s="27"/>
    </row>
    <row r="39" spans="1:11" ht="30.75" customHeight="1" x14ac:dyDescent="0.25">
      <c r="A39" s="242" t="s">
        <v>157</v>
      </c>
      <c r="B39" s="242"/>
      <c r="C39" s="242"/>
      <c r="D39" s="59">
        <f>+F39*'Dados Gerais'!E27</f>
        <v>845.13600000000008</v>
      </c>
      <c r="E39" s="95" t="s">
        <v>131</v>
      </c>
      <c r="F39" s="47">
        <v>0.8</v>
      </c>
      <c r="G39" s="31" t="s">
        <v>287</v>
      </c>
      <c r="H39" s="29" t="s">
        <v>112</v>
      </c>
      <c r="I39" s="221">
        <f>ROUNDUP((D39*35),0)</f>
        <v>29580</v>
      </c>
      <c r="J39" s="258"/>
      <c r="K39" s="27" t="s">
        <v>285</v>
      </c>
    </row>
    <row r="40" spans="1:11" ht="16.149999999999999" customHeight="1" x14ac:dyDescent="0.25">
      <c r="A40" s="250" t="s">
        <v>34</v>
      </c>
      <c r="B40" s="250"/>
      <c r="C40" s="250"/>
      <c r="D40" s="250"/>
      <c r="E40" s="250"/>
      <c r="F40" s="250"/>
      <c r="G40" s="250"/>
      <c r="H40" s="250"/>
      <c r="I40" s="249">
        <f>SUM(I39:J39)</f>
        <v>29580</v>
      </c>
      <c r="J40" s="249"/>
      <c r="K40" s="27"/>
    </row>
    <row r="41" spans="1:11" ht="13.7" x14ac:dyDescent="0.25">
      <c r="A41" s="42"/>
      <c r="B41" s="36"/>
      <c r="C41" s="36"/>
      <c r="D41" s="44"/>
      <c r="E41" s="37"/>
      <c r="F41" s="43"/>
      <c r="G41" s="36"/>
      <c r="H41" s="36"/>
      <c r="I41" s="36"/>
      <c r="J41" s="36"/>
      <c r="K41" s="38"/>
    </row>
    <row r="42" spans="1:11" ht="13.7" x14ac:dyDescent="0.25">
      <c r="A42" s="250" t="s">
        <v>34</v>
      </c>
      <c r="B42" s="250"/>
      <c r="C42" s="250"/>
      <c r="D42" s="250"/>
      <c r="E42" s="250"/>
      <c r="F42" s="250"/>
      <c r="G42" s="250"/>
      <c r="H42" s="250"/>
      <c r="I42" s="249">
        <f>SUM(I40+I33+I23)</f>
        <v>334397.12</v>
      </c>
      <c r="J42" s="249">
        <f>I40+I33+I23</f>
        <v>334397.12</v>
      </c>
      <c r="K42" s="155">
        <f>J42/'Dados Gerais'!E15</f>
        <v>23.035847780231713</v>
      </c>
    </row>
  </sheetData>
  <mergeCells count="48">
    <mergeCell ref="A39:C39"/>
    <mergeCell ref="I39:J39"/>
    <mergeCell ref="A40:H40"/>
    <mergeCell ref="I40:J40"/>
    <mergeCell ref="A33:H33"/>
    <mergeCell ref="I33:J33"/>
    <mergeCell ref="A38:C38"/>
    <mergeCell ref="D38:E38"/>
    <mergeCell ref="F38:G38"/>
    <mergeCell ref="I38:J38"/>
    <mergeCell ref="A29:C29"/>
    <mergeCell ref="I29:J29"/>
    <mergeCell ref="A30:C30"/>
    <mergeCell ref="I30:J30"/>
    <mergeCell ref="A31:C31"/>
    <mergeCell ref="I31:J31"/>
    <mergeCell ref="A28:C28"/>
    <mergeCell ref="D28:E28"/>
    <mergeCell ref="F28:G28"/>
    <mergeCell ref="I28:J28"/>
    <mergeCell ref="A16:H16"/>
    <mergeCell ref="I16:J16"/>
    <mergeCell ref="A17:H17"/>
    <mergeCell ref="A21:C21"/>
    <mergeCell ref="D21:E21"/>
    <mergeCell ref="F21:G21"/>
    <mergeCell ref="I21:J21"/>
    <mergeCell ref="A22:C22"/>
    <mergeCell ref="I22:J22"/>
    <mergeCell ref="A23:H23"/>
    <mergeCell ref="I23:J23"/>
    <mergeCell ref="A24:H24"/>
    <mergeCell ref="A32:C32"/>
    <mergeCell ref="I32:J32"/>
    <mergeCell ref="I42:J42"/>
    <mergeCell ref="A42:H42"/>
    <mergeCell ref="A2:K4"/>
    <mergeCell ref="B7:K7"/>
    <mergeCell ref="B8:K8"/>
    <mergeCell ref="B9:K9"/>
    <mergeCell ref="B10:D10"/>
    <mergeCell ref="J10:K10"/>
    <mergeCell ref="A14:C14"/>
    <mergeCell ref="D14:E14"/>
    <mergeCell ref="F14:G14"/>
    <mergeCell ref="I14:J14"/>
    <mergeCell ref="A15:C15"/>
    <mergeCell ref="I15:J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3E2-1A14-43BE-8580-0C0C722A0728}">
  <sheetPr>
    <tabColor rgb="FF003C66"/>
  </sheetPr>
  <dimension ref="A1:N39"/>
  <sheetViews>
    <sheetView showGridLines="0" topLeftCell="A6" zoomScaleNormal="100" zoomScaleSheetLayoutView="95" workbookViewId="0">
      <selection activeCell="A20" sqref="A20:C2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3" style="60" customWidth="1"/>
    <col min="5" max="5" width="7.5703125" style="65" customWidth="1"/>
    <col min="6" max="6" width="10.7109375" style="18" customWidth="1"/>
    <col min="7" max="7" width="13.28515625" style="11" customWidth="1"/>
    <col min="8" max="8" width="13.28515625" style="11" bestFit="1" customWidth="1"/>
    <col min="9" max="9" width="11.140625" style="11" bestFit="1" customWidth="1"/>
    <col min="10" max="10" width="13.140625" style="11" bestFit="1" customWidth="1"/>
    <col min="11" max="11" width="11.5703125" style="11" bestFit="1" customWidth="1"/>
    <col min="12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200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M2" s="12"/>
    </row>
    <row r="3" spans="1:13" x14ac:dyDescent="0.25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M3" s="12"/>
    </row>
    <row r="4" spans="1:13" x14ac:dyDescent="0.25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3" ht="14.1" customHeight="1" x14ac:dyDescent="0.25">
      <c r="A12" s="21" t="s">
        <v>133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4.1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6.149999999999999" customHeight="1" x14ac:dyDescent="0.25">
      <c r="A15" s="242" t="s">
        <v>134</v>
      </c>
      <c r="B15" s="242"/>
      <c r="C15" s="242"/>
      <c r="D15" s="91">
        <v>160</v>
      </c>
      <c r="E15" s="52" t="s">
        <v>13</v>
      </c>
      <c r="F15" s="46">
        <v>0.15</v>
      </c>
      <c r="G15" s="28" t="s">
        <v>135</v>
      </c>
      <c r="H15" s="29" t="s">
        <v>112</v>
      </c>
      <c r="I15" s="237">
        <v>0</v>
      </c>
      <c r="J15" s="239"/>
      <c r="K15" s="30"/>
    </row>
    <row r="16" spans="1:13" ht="16.149999999999999" customHeight="1" x14ac:dyDescent="0.25">
      <c r="A16" s="236" t="s">
        <v>145</v>
      </c>
      <c r="B16" s="236"/>
      <c r="C16" s="236"/>
      <c r="D16" s="92">
        <v>19</v>
      </c>
      <c r="E16" s="72" t="s">
        <v>13</v>
      </c>
      <c r="F16" s="47">
        <v>19</v>
      </c>
      <c r="G16" s="31" t="s">
        <v>84</v>
      </c>
      <c r="H16" s="32" t="s">
        <v>112</v>
      </c>
      <c r="I16" s="218">
        <v>0</v>
      </c>
      <c r="J16" s="220"/>
      <c r="K16" s="30"/>
    </row>
    <row r="17" spans="1:14" ht="16.149999999999999" customHeight="1" x14ac:dyDescent="0.25">
      <c r="A17" s="215" t="s">
        <v>145</v>
      </c>
      <c r="B17" s="216"/>
      <c r="C17" s="217"/>
      <c r="D17" s="92">
        <f>ROUNDUP((F17*D16),0)</f>
        <v>608</v>
      </c>
      <c r="E17" s="59" t="s">
        <v>14</v>
      </c>
      <c r="F17" s="49">
        <v>32</v>
      </c>
      <c r="G17" s="50" t="s">
        <v>136</v>
      </c>
      <c r="H17" s="32" t="s">
        <v>112</v>
      </c>
      <c r="I17" s="259">
        <f>+ROUNDUP((D17*110),0)</f>
        <v>66880</v>
      </c>
      <c r="J17" s="260"/>
      <c r="K17" s="30"/>
    </row>
    <row r="18" spans="1:14" ht="16.149999999999999" customHeight="1" x14ac:dyDescent="0.25">
      <c r="A18" s="236" t="s">
        <v>137</v>
      </c>
      <c r="B18" s="236"/>
      <c r="C18" s="236"/>
      <c r="D18" s="92">
        <v>141</v>
      </c>
      <c r="E18" s="72" t="s">
        <v>13</v>
      </c>
      <c r="F18" s="47">
        <v>81</v>
      </c>
      <c r="G18" s="31" t="s">
        <v>84</v>
      </c>
      <c r="H18" s="32" t="s">
        <v>112</v>
      </c>
      <c r="I18" s="218">
        <v>0</v>
      </c>
      <c r="J18" s="220"/>
      <c r="K18" s="30"/>
      <c r="N18" s="119"/>
    </row>
    <row r="19" spans="1:14" ht="16.149999999999999" customHeight="1" x14ac:dyDescent="0.25">
      <c r="A19" s="215" t="s">
        <v>137</v>
      </c>
      <c r="B19" s="216"/>
      <c r="C19" s="217"/>
      <c r="D19" s="92">
        <f>ROUNDUP((F19*D18),0)</f>
        <v>4371</v>
      </c>
      <c r="E19" s="59" t="s">
        <v>14</v>
      </c>
      <c r="F19" s="49">
        <v>31</v>
      </c>
      <c r="G19" s="50" t="s">
        <v>136</v>
      </c>
      <c r="H19" s="32" t="s">
        <v>112</v>
      </c>
      <c r="I19" s="259">
        <f>+ROUNDUP((D19*115),0)+321.42</f>
        <v>502986.42</v>
      </c>
      <c r="J19" s="260"/>
      <c r="K19" s="30"/>
    </row>
    <row r="20" spans="1:14" ht="16.149999999999999" customHeight="1" x14ac:dyDescent="0.25">
      <c r="A20" s="236" t="s">
        <v>138</v>
      </c>
      <c r="B20" s="236"/>
      <c r="C20" s="236"/>
      <c r="D20" s="93">
        <v>20729</v>
      </c>
      <c r="E20" s="59" t="s">
        <v>40</v>
      </c>
      <c r="F20" s="47">
        <v>12</v>
      </c>
      <c r="G20" s="31" t="s">
        <v>83</v>
      </c>
      <c r="H20" s="32" t="s">
        <v>112</v>
      </c>
      <c r="I20" s="218">
        <f>+ROUNDUP((D20*8.5),0)</f>
        <v>176197</v>
      </c>
      <c r="J20" s="220"/>
      <c r="K20" s="30"/>
    </row>
    <row r="21" spans="1:14" ht="16.149999999999999" customHeight="1" x14ac:dyDescent="0.25">
      <c r="A21" s="236" t="s">
        <v>38</v>
      </c>
      <c r="B21" s="236"/>
      <c r="C21" s="236"/>
      <c r="D21" s="94">
        <v>1675</v>
      </c>
      <c r="E21" s="59" t="s">
        <v>37</v>
      </c>
      <c r="F21" s="47">
        <v>640</v>
      </c>
      <c r="G21" s="31" t="s">
        <v>139</v>
      </c>
      <c r="H21" s="32" t="s">
        <v>112</v>
      </c>
      <c r="I21" s="218">
        <f>+ROUNDUP((D21*F21),0)</f>
        <v>1072000</v>
      </c>
      <c r="J21" s="220"/>
      <c r="K21" s="30"/>
    </row>
    <row r="22" spans="1:14" ht="16.149999999999999" customHeight="1" x14ac:dyDescent="0.25">
      <c r="A22" s="236" t="s">
        <v>197</v>
      </c>
      <c r="B22" s="236"/>
      <c r="C22" s="236"/>
      <c r="D22" s="94">
        <v>160</v>
      </c>
      <c r="E22" s="59" t="s">
        <v>13</v>
      </c>
      <c r="F22" s="47">
        <v>350</v>
      </c>
      <c r="G22" s="31" t="s">
        <v>198</v>
      </c>
      <c r="H22" s="32" t="s">
        <v>112</v>
      </c>
      <c r="I22" s="218">
        <f>+ROUNDUP((D22*F22),0)</f>
        <v>56000</v>
      </c>
      <c r="J22" s="220"/>
      <c r="K22" s="30"/>
    </row>
    <row r="23" spans="1:14" ht="16.149999999999999" customHeight="1" x14ac:dyDescent="0.25">
      <c r="A23" s="250" t="s">
        <v>34</v>
      </c>
      <c r="B23" s="250"/>
      <c r="C23" s="250"/>
      <c r="D23" s="250"/>
      <c r="E23" s="250"/>
      <c r="F23" s="250"/>
      <c r="G23" s="250"/>
      <c r="H23" s="250"/>
      <c r="I23" s="249">
        <f>SUM(I15:J22)</f>
        <v>1874063.42</v>
      </c>
      <c r="J23" s="249"/>
      <c r="K23" s="34"/>
      <c r="M23" s="119"/>
    </row>
    <row r="24" spans="1:14" ht="15" customHeight="1" x14ac:dyDescent="0.25">
      <c r="A24" s="261"/>
      <c r="B24" s="214"/>
      <c r="C24" s="214"/>
      <c r="D24" s="214"/>
      <c r="E24" s="214"/>
      <c r="F24" s="214"/>
      <c r="G24" s="214"/>
      <c r="H24" s="214"/>
      <c r="I24" s="36"/>
      <c r="J24" s="36"/>
      <c r="K24" s="38"/>
    </row>
    <row r="25" spans="1:14" ht="13.7" x14ac:dyDescent="0.25">
      <c r="D25" s="58"/>
      <c r="E25" s="39"/>
      <c r="F25" s="39"/>
    </row>
    <row r="26" spans="1:14" x14ac:dyDescent="0.25">
      <c r="A26" s="21" t="s">
        <v>140</v>
      </c>
      <c r="B26" s="22"/>
      <c r="C26" s="22"/>
      <c r="D26" s="56"/>
      <c r="E26" s="40"/>
      <c r="F26" s="23"/>
      <c r="G26" s="22"/>
      <c r="H26" s="22"/>
      <c r="I26" s="22"/>
      <c r="J26" s="22"/>
      <c r="K26" s="24"/>
    </row>
    <row r="27" spans="1:14" ht="16.149999999999999" customHeight="1" x14ac:dyDescent="0.25">
      <c r="A27" s="25"/>
      <c r="B27" s="26"/>
      <c r="C27" s="26"/>
      <c r="D27" s="57"/>
      <c r="E27" s="64"/>
      <c r="F27" s="26"/>
      <c r="G27" s="26"/>
      <c r="H27" s="26"/>
      <c r="K27" s="27"/>
    </row>
    <row r="28" spans="1:14" ht="16.149999999999999" customHeight="1" x14ac:dyDescent="0.25">
      <c r="A28" s="230" t="s">
        <v>29</v>
      </c>
      <c r="B28" s="231"/>
      <c r="C28" s="231"/>
      <c r="D28" s="252" t="s">
        <v>36</v>
      </c>
      <c r="E28" s="253"/>
      <c r="F28" s="233" t="s">
        <v>18</v>
      </c>
      <c r="G28" s="235"/>
      <c r="H28" s="51" t="s">
        <v>33</v>
      </c>
      <c r="I28" s="233" t="s">
        <v>32</v>
      </c>
      <c r="J28" s="235"/>
      <c r="K28" s="27"/>
    </row>
    <row r="29" spans="1:14" ht="30.75" customHeight="1" x14ac:dyDescent="0.25">
      <c r="A29" s="242" t="s">
        <v>141</v>
      </c>
      <c r="B29" s="242"/>
      <c r="C29" s="242"/>
      <c r="D29" s="68">
        <f>'Dados Gerais'!E13*F29</f>
        <v>983.74400000000003</v>
      </c>
      <c r="E29" s="52" t="s">
        <v>12</v>
      </c>
      <c r="F29" s="46">
        <v>0.76</v>
      </c>
      <c r="G29" s="28" t="s">
        <v>142</v>
      </c>
      <c r="H29" s="32" t="s">
        <v>112</v>
      </c>
      <c r="I29" s="237">
        <f>+D29*42.5</f>
        <v>41809.120000000003</v>
      </c>
      <c r="J29" s="239"/>
      <c r="K29" s="30"/>
    </row>
    <row r="30" spans="1:14" ht="16.149999999999999" customHeight="1" x14ac:dyDescent="0.25">
      <c r="A30" s="236" t="s">
        <v>138</v>
      </c>
      <c r="B30" s="236"/>
      <c r="C30" s="236"/>
      <c r="D30" s="69">
        <f>D31*F30</f>
        <v>39386.400000000001</v>
      </c>
      <c r="E30" s="59" t="s">
        <v>40</v>
      </c>
      <c r="F30" s="47">
        <v>80</v>
      </c>
      <c r="G30" s="31" t="s">
        <v>83</v>
      </c>
      <c r="H30" s="32" t="s">
        <v>112</v>
      </c>
      <c r="I30" s="218">
        <f>+D30*8.5</f>
        <v>334784.40000000002</v>
      </c>
      <c r="J30" s="220"/>
      <c r="K30" s="30"/>
      <c r="L30" s="77"/>
    </row>
    <row r="31" spans="1:14" ht="16.149999999999999" customHeight="1" x14ac:dyDescent="0.25">
      <c r="A31" s="236" t="s">
        <v>38</v>
      </c>
      <c r="B31" s="236"/>
      <c r="C31" s="236"/>
      <c r="D31" s="69">
        <f>984.66*F31</f>
        <v>492.33</v>
      </c>
      <c r="E31" s="59" t="s">
        <v>37</v>
      </c>
      <c r="F31" s="47">
        <v>0.5</v>
      </c>
      <c r="G31" s="31" t="s">
        <v>143</v>
      </c>
      <c r="H31" s="32" t="s">
        <v>112</v>
      </c>
      <c r="I31" s="218">
        <f>+D31*380*1.05</f>
        <v>196439.67</v>
      </c>
      <c r="J31" s="220"/>
      <c r="K31" s="30"/>
    </row>
    <row r="32" spans="1:14" ht="16.149999999999999" customHeight="1" x14ac:dyDescent="0.25">
      <c r="A32" s="236" t="s">
        <v>39</v>
      </c>
      <c r="B32" s="236"/>
      <c r="C32" s="236"/>
      <c r="D32" s="70">
        <v>984.66</v>
      </c>
      <c r="E32" s="59" t="s">
        <v>12</v>
      </c>
      <c r="F32" s="47">
        <v>350</v>
      </c>
      <c r="G32" s="31" t="s">
        <v>144</v>
      </c>
      <c r="H32" s="32" t="s">
        <v>112</v>
      </c>
      <c r="I32" s="221">
        <f>+D32*F32*1.05</f>
        <v>361862.55</v>
      </c>
      <c r="J32" s="223"/>
      <c r="K32" s="30"/>
      <c r="L32" s="11" t="s">
        <v>199</v>
      </c>
    </row>
    <row r="33" spans="1:11" ht="16.149999999999999" customHeight="1" x14ac:dyDescent="0.25">
      <c r="A33" s="250" t="s">
        <v>295</v>
      </c>
      <c r="B33" s="250"/>
      <c r="C33" s="250"/>
      <c r="D33" s="250"/>
      <c r="E33" s="250"/>
      <c r="F33" s="250"/>
      <c r="G33" s="250"/>
      <c r="H33" s="250"/>
      <c r="I33" s="249">
        <f>SUM(I29:J32)</f>
        <v>934895.74</v>
      </c>
      <c r="J33" s="249"/>
      <c r="K33" s="34"/>
    </row>
    <row r="34" spans="1:11" ht="16.149999999999999" customHeight="1" x14ac:dyDescent="0.25">
      <c r="A34" s="213"/>
      <c r="B34" s="214"/>
      <c r="C34" s="214"/>
      <c r="D34" s="214"/>
      <c r="E34" s="214"/>
      <c r="F34" s="214"/>
      <c r="G34" s="214"/>
      <c r="H34" s="214"/>
      <c r="I34" s="36"/>
      <c r="J34" s="36"/>
      <c r="K34" s="38"/>
    </row>
    <row r="35" spans="1:11" ht="13.7" x14ac:dyDescent="0.25">
      <c r="A35" s="250" t="s">
        <v>34</v>
      </c>
      <c r="B35" s="250"/>
      <c r="C35" s="250"/>
      <c r="D35" s="250"/>
      <c r="E35" s="250"/>
      <c r="F35" s="250"/>
      <c r="G35" s="250"/>
      <c r="H35" s="250"/>
      <c r="I35" s="249">
        <f>SUM(I33+I23)</f>
        <v>2808959.16</v>
      </c>
      <c r="J35" s="249">
        <f>I33+I26+I17</f>
        <v>1001775.74</v>
      </c>
      <c r="K35" s="155">
        <f>I35/'Dados Gerais'!E15</f>
        <v>193.50273001946769</v>
      </c>
    </row>
    <row r="37" spans="1:11" ht="13.7" x14ac:dyDescent="0.25">
      <c r="A37" s="250" t="s">
        <v>297</v>
      </c>
      <c r="B37" s="250"/>
      <c r="C37" s="250"/>
      <c r="D37" s="250"/>
      <c r="E37" s="250"/>
      <c r="F37" s="250"/>
      <c r="G37" s="250"/>
      <c r="H37" s="250" t="s">
        <v>296</v>
      </c>
      <c r="I37" s="249">
        <v>2808959.16</v>
      </c>
      <c r="J37" s="249">
        <v>2808959.16</v>
      </c>
      <c r="K37" s="155">
        <f>I37/'Dados Gerais'!E15</f>
        <v>193.50273001946769</v>
      </c>
    </row>
    <row r="39" spans="1:11" ht="13.7" x14ac:dyDescent="0.25">
      <c r="J39" s="142"/>
    </row>
  </sheetData>
  <mergeCells count="48">
    <mergeCell ref="A37:H37"/>
    <mergeCell ref="I37:J37"/>
    <mergeCell ref="A34:H34"/>
    <mergeCell ref="A18:C18"/>
    <mergeCell ref="I18:J18"/>
    <mergeCell ref="A19:C19"/>
    <mergeCell ref="I19:J19"/>
    <mergeCell ref="A29:C29"/>
    <mergeCell ref="I29:J29"/>
    <mergeCell ref="A30:C30"/>
    <mergeCell ref="I30:J30"/>
    <mergeCell ref="A31:C31"/>
    <mergeCell ref="I31:J31"/>
    <mergeCell ref="A23:H23"/>
    <mergeCell ref="I23:J23"/>
    <mergeCell ref="A24:H24"/>
    <mergeCell ref="A35:H35"/>
    <mergeCell ref="I35:J35"/>
    <mergeCell ref="A20:C20"/>
    <mergeCell ref="A2:K4"/>
    <mergeCell ref="B7:K7"/>
    <mergeCell ref="B8:K8"/>
    <mergeCell ref="B9:K9"/>
    <mergeCell ref="B10:D10"/>
    <mergeCell ref="J10:K10"/>
    <mergeCell ref="A28:C28"/>
    <mergeCell ref="D28:E28"/>
    <mergeCell ref="F28:G28"/>
    <mergeCell ref="I28:J28"/>
    <mergeCell ref="A22:C22"/>
    <mergeCell ref="I22:J22"/>
    <mergeCell ref="A14:C14"/>
    <mergeCell ref="D14:E14"/>
    <mergeCell ref="F14:G14"/>
    <mergeCell ref="I14:J14"/>
    <mergeCell ref="A15:C15"/>
    <mergeCell ref="I15:J15"/>
    <mergeCell ref="A16:C16"/>
    <mergeCell ref="I16:J16"/>
    <mergeCell ref="I20:J20"/>
    <mergeCell ref="A33:H33"/>
    <mergeCell ref="I33:J33"/>
    <mergeCell ref="A32:C32"/>
    <mergeCell ref="I32:J32"/>
    <mergeCell ref="A21:C21"/>
    <mergeCell ref="I21:J21"/>
    <mergeCell ref="A17:C17"/>
    <mergeCell ref="I17:J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C66"/>
  </sheetPr>
  <dimension ref="A1:P42"/>
  <sheetViews>
    <sheetView showGridLines="0" topLeftCell="A6" zoomScaleNormal="100" zoomScaleSheetLayoutView="95" workbookViewId="0">
      <selection activeCell="M24" sqref="M24"/>
    </sheetView>
  </sheetViews>
  <sheetFormatPr defaultColWidth="9.140625" defaultRowHeight="12.75" x14ac:dyDescent="0.25"/>
  <cols>
    <col min="1" max="1" width="17.42578125" style="11" customWidth="1"/>
    <col min="2" max="2" width="11.28515625" style="11" customWidth="1"/>
    <col min="3" max="3" width="8.85546875" style="11" customWidth="1"/>
    <col min="4" max="4" width="13" style="60" customWidth="1"/>
    <col min="5" max="5" width="10.42578125" style="65" bestFit="1" customWidth="1"/>
    <col min="6" max="6" width="11.5703125" style="18" customWidth="1"/>
    <col min="7" max="7" width="13.28515625" style="11" customWidth="1"/>
    <col min="8" max="8" width="12.85546875" style="11" customWidth="1"/>
    <col min="9" max="9" width="15.85546875" style="11" bestFit="1" customWidth="1"/>
    <col min="10" max="10" width="14.140625" style="11" bestFit="1" customWidth="1"/>
    <col min="11" max="11" width="15.5703125" style="11" bestFit="1" customWidth="1"/>
    <col min="12" max="12" width="11.5703125" style="11" bestFit="1" customWidth="1"/>
    <col min="13" max="13" width="11" style="60" bestFit="1" customWidth="1"/>
    <col min="14" max="14" width="12.85546875" style="11" bestFit="1" customWidth="1"/>
    <col min="15" max="15" width="11.28515625" style="11" bestFit="1" customWidth="1"/>
    <col min="16" max="16" width="13.7109375" style="11" bestFit="1" customWidth="1"/>
    <col min="17" max="16384" width="9.140625" style="11"/>
  </cols>
  <sheetData>
    <row r="1" spans="1:16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L1" s="12"/>
    </row>
    <row r="2" spans="1:16" x14ac:dyDescent="0.25">
      <c r="A2" s="190" t="s">
        <v>204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12"/>
    </row>
    <row r="3" spans="1:16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12"/>
    </row>
    <row r="4" spans="1:16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12"/>
    </row>
    <row r="5" spans="1:16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L5" s="12"/>
    </row>
    <row r="6" spans="1:16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L6" s="12"/>
    </row>
    <row r="7" spans="1:16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L7" s="12"/>
    </row>
    <row r="8" spans="1:16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L8" s="12"/>
    </row>
    <row r="9" spans="1:16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  <c r="M9" s="262" t="s">
        <v>274</v>
      </c>
      <c r="N9" s="262"/>
    </row>
    <row r="10" spans="1:16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  <c r="M10" s="262" t="s">
        <v>277</v>
      </c>
      <c r="N10" s="262"/>
    </row>
    <row r="11" spans="1:16" x14ac:dyDescent="0.25">
      <c r="M11" s="149" t="s">
        <v>270</v>
      </c>
      <c r="N11" s="150" t="s">
        <v>265</v>
      </c>
      <c r="O11" s="18"/>
      <c r="P11" s="143"/>
    </row>
    <row r="12" spans="1:16" x14ac:dyDescent="0.25">
      <c r="A12" s="21" t="s">
        <v>43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  <c r="M12" s="149" t="s">
        <v>272</v>
      </c>
      <c r="N12" s="150" t="s">
        <v>273</v>
      </c>
      <c r="O12" s="18"/>
      <c r="P12" s="143"/>
    </row>
    <row r="13" spans="1:16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  <c r="M13" s="149" t="s">
        <v>271</v>
      </c>
      <c r="N13" s="150" t="s">
        <v>266</v>
      </c>
    </row>
    <row r="14" spans="1:16" ht="15.75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  <c r="M14" s="150" t="s">
        <v>279</v>
      </c>
      <c r="N14" s="150" t="s">
        <v>280</v>
      </c>
    </row>
    <row r="15" spans="1:16" ht="15.75" customHeight="1" x14ac:dyDescent="0.25">
      <c r="A15" s="242" t="s">
        <v>304</v>
      </c>
      <c r="B15" s="242"/>
      <c r="C15" s="242"/>
      <c r="D15" s="68">
        <v>4196.66</v>
      </c>
      <c r="E15" s="52" t="s">
        <v>12</v>
      </c>
      <c r="F15" s="46">
        <v>25</v>
      </c>
      <c r="G15" s="28" t="s">
        <v>84</v>
      </c>
      <c r="H15" s="29" t="s">
        <v>112</v>
      </c>
      <c r="I15" s="171">
        <f>+D15*158</f>
        <v>663072.28</v>
      </c>
      <c r="J15" s="172"/>
      <c r="K15" s="30"/>
    </row>
    <row r="16" spans="1:16" ht="15.75" customHeight="1" x14ac:dyDescent="0.25">
      <c r="A16" s="242" t="s">
        <v>305</v>
      </c>
      <c r="B16" s="242"/>
      <c r="C16" s="242"/>
      <c r="D16" s="68">
        <f>D17/3</f>
        <v>3109.3933333333334</v>
      </c>
      <c r="E16" s="52" t="s">
        <v>12</v>
      </c>
      <c r="F16" s="46">
        <v>26</v>
      </c>
      <c r="G16" s="28" t="s">
        <v>84</v>
      </c>
      <c r="H16" s="29" t="s">
        <v>112</v>
      </c>
      <c r="I16" s="171">
        <f>+D16*158</f>
        <v>491284.14666666667</v>
      </c>
      <c r="J16" s="172"/>
      <c r="K16" s="30"/>
    </row>
    <row r="17" spans="1:14" ht="15.75" customHeight="1" x14ac:dyDescent="0.25">
      <c r="A17" s="268" t="s">
        <v>45</v>
      </c>
      <c r="B17" s="269"/>
      <c r="C17" s="270"/>
      <c r="D17" s="156">
        <v>9328.18</v>
      </c>
      <c r="E17" s="157" t="s">
        <v>12</v>
      </c>
      <c r="F17" s="158">
        <f>I17/D17</f>
        <v>26.987931193437518</v>
      </c>
      <c r="G17" s="159" t="s">
        <v>42</v>
      </c>
      <c r="H17" s="160" t="s">
        <v>112</v>
      </c>
      <c r="I17" s="167">
        <v>251748.28</v>
      </c>
      <c r="J17" s="168"/>
      <c r="K17" s="30"/>
      <c r="L17" s="77"/>
    </row>
    <row r="18" spans="1:14" ht="15.75" customHeight="1" x14ac:dyDescent="0.25">
      <c r="A18" s="268" t="s">
        <v>262</v>
      </c>
      <c r="B18" s="269"/>
      <c r="C18" s="270"/>
      <c r="D18" s="156">
        <v>4193.66</v>
      </c>
      <c r="E18" s="157" t="s">
        <v>12</v>
      </c>
      <c r="F18" s="158">
        <f>I18/D18</f>
        <v>97.755690733154339</v>
      </c>
      <c r="G18" s="159" t="s">
        <v>42</v>
      </c>
      <c r="H18" s="160" t="s">
        <v>112</v>
      </c>
      <c r="I18" s="167">
        <v>409954.13</v>
      </c>
      <c r="J18" s="168"/>
      <c r="K18" s="30"/>
      <c r="M18" s="267"/>
      <c r="N18" s="267"/>
    </row>
    <row r="19" spans="1:14" ht="15.75" customHeight="1" x14ac:dyDescent="0.25">
      <c r="A19" s="264" t="s">
        <v>275</v>
      </c>
      <c r="B19" s="265"/>
      <c r="C19" s="266"/>
      <c r="D19" s="175">
        <v>25941.8</v>
      </c>
      <c r="E19" s="176" t="s">
        <v>40</v>
      </c>
      <c r="F19" s="177">
        <v>2.83</v>
      </c>
      <c r="G19" s="178" t="s">
        <v>278</v>
      </c>
      <c r="H19" s="179" t="s">
        <v>112</v>
      </c>
      <c r="I19" s="180">
        <f>+D19*12.3</f>
        <v>319084.14</v>
      </c>
      <c r="J19" s="168"/>
      <c r="K19" s="30"/>
      <c r="M19" s="39"/>
      <c r="N19" s="18"/>
    </row>
    <row r="20" spans="1:14" ht="15.75" customHeight="1" x14ac:dyDescent="0.25">
      <c r="A20" s="264" t="s">
        <v>276</v>
      </c>
      <c r="B20" s="265"/>
      <c r="C20" s="266"/>
      <c r="D20" s="175">
        <v>28</v>
      </c>
      <c r="E20" s="176" t="s">
        <v>224</v>
      </c>
      <c r="F20" s="177">
        <v>9000</v>
      </c>
      <c r="G20" s="178" t="s">
        <v>224</v>
      </c>
      <c r="H20" s="179" t="s">
        <v>112</v>
      </c>
      <c r="I20" s="180">
        <f>+D20*F20</f>
        <v>252000</v>
      </c>
      <c r="J20" s="168"/>
      <c r="K20" s="30"/>
      <c r="M20" s="39"/>
      <c r="N20" s="18"/>
    </row>
    <row r="21" spans="1:14" ht="15.75" customHeight="1" x14ac:dyDescent="0.25">
      <c r="A21" s="264" t="s">
        <v>302</v>
      </c>
      <c r="B21" s="265"/>
      <c r="C21" s="266"/>
      <c r="D21" s="175">
        <v>9364.9</v>
      </c>
      <c r="E21" s="176" t="s">
        <v>40</v>
      </c>
      <c r="F21" s="177">
        <v>2.83</v>
      </c>
      <c r="G21" s="178" t="s">
        <v>278</v>
      </c>
      <c r="H21" s="179" t="s">
        <v>112</v>
      </c>
      <c r="I21" s="180">
        <f>+D21*12.3</f>
        <v>115188.27</v>
      </c>
      <c r="J21" s="168"/>
      <c r="K21" s="30"/>
      <c r="M21" s="39"/>
      <c r="N21" s="18"/>
    </row>
    <row r="22" spans="1:14" ht="15.75" customHeight="1" x14ac:dyDescent="0.25">
      <c r="A22" s="263" t="s">
        <v>44</v>
      </c>
      <c r="B22" s="263"/>
      <c r="C22" s="263"/>
      <c r="D22" s="181">
        <v>550544</v>
      </c>
      <c r="E22" s="182" t="s">
        <v>40</v>
      </c>
      <c r="F22" s="183">
        <v>110</v>
      </c>
      <c r="G22" s="184" t="s">
        <v>83</v>
      </c>
      <c r="H22" s="179" t="s">
        <v>112</v>
      </c>
      <c r="I22" s="180">
        <f>+D22*7.2</f>
        <v>3963916.8000000003</v>
      </c>
      <c r="J22" s="168"/>
      <c r="K22" s="30" t="s">
        <v>303</v>
      </c>
      <c r="M22" s="39"/>
      <c r="N22" s="18"/>
    </row>
    <row r="23" spans="1:14" ht="15.75" customHeight="1" x14ac:dyDescent="0.25">
      <c r="A23" s="236" t="s">
        <v>38</v>
      </c>
      <c r="B23" s="236"/>
      <c r="C23" s="236"/>
      <c r="D23" s="69">
        <v>5409.36</v>
      </c>
      <c r="E23" s="59" t="s">
        <v>37</v>
      </c>
      <c r="F23" s="47">
        <v>0.25</v>
      </c>
      <c r="G23" s="50" t="s">
        <v>113</v>
      </c>
      <c r="H23" s="32" t="s">
        <v>112</v>
      </c>
      <c r="I23" s="169">
        <f>+D23*660*1.05</f>
        <v>3748686.48</v>
      </c>
      <c r="J23" s="170"/>
      <c r="K23" s="30"/>
      <c r="M23" s="18"/>
      <c r="N23" s="18"/>
    </row>
    <row r="24" spans="1:14" ht="30.6" customHeight="1" x14ac:dyDescent="0.25">
      <c r="A24" s="236" t="s">
        <v>306</v>
      </c>
      <c r="B24" s="236"/>
      <c r="C24" s="236"/>
      <c r="D24" s="74">
        <v>14100.96</v>
      </c>
      <c r="E24" s="59" t="s">
        <v>12</v>
      </c>
      <c r="F24" s="47">
        <v>249</v>
      </c>
      <c r="G24" s="31" t="s">
        <v>42</v>
      </c>
      <c r="H24" s="32" t="s">
        <v>112</v>
      </c>
      <c r="I24" s="173">
        <f>+D24*F24+489927.83</f>
        <v>4001066.8699999996</v>
      </c>
      <c r="J24" s="174"/>
      <c r="K24" s="30"/>
    </row>
    <row r="25" spans="1:14" ht="13.7" x14ac:dyDescent="0.25">
      <c r="A25" s="250" t="s">
        <v>34</v>
      </c>
      <c r="B25" s="250"/>
      <c r="C25" s="250"/>
      <c r="D25" s="250"/>
      <c r="E25" s="250"/>
      <c r="F25" s="250"/>
      <c r="G25" s="250"/>
      <c r="H25" s="250"/>
      <c r="I25" s="249">
        <f>SUM(I15:J24)</f>
        <v>14216001.396666666</v>
      </c>
      <c r="J25" s="249"/>
      <c r="K25" s="34"/>
    </row>
    <row r="26" spans="1:14" ht="13.7" x14ac:dyDescent="0.25">
      <c r="A26" s="213"/>
      <c r="B26" s="214"/>
      <c r="C26" s="214"/>
      <c r="D26" s="214"/>
      <c r="E26" s="214"/>
      <c r="F26" s="214"/>
      <c r="G26" s="214"/>
      <c r="H26" s="214"/>
      <c r="I26" s="36"/>
      <c r="J26" s="36"/>
      <c r="K26" s="38"/>
    </row>
    <row r="27" spans="1:14" ht="13.7" x14ac:dyDescent="0.25">
      <c r="A27" s="250" t="s">
        <v>34</v>
      </c>
      <c r="B27" s="250"/>
      <c r="C27" s="250"/>
      <c r="D27" s="250"/>
      <c r="E27" s="250"/>
      <c r="F27" s="250"/>
      <c r="G27" s="250"/>
      <c r="H27" s="250"/>
      <c r="I27" s="249">
        <f>I25</f>
        <v>14216001.396666666</v>
      </c>
      <c r="J27" s="249">
        <f>I25+I18+I9</f>
        <v>14625955.526666667</v>
      </c>
      <c r="K27" s="155">
        <f>I27/'Dados Gerais'!E15</f>
        <v>979.3076095188103</v>
      </c>
    </row>
    <row r="28" spans="1:14" ht="13.7" x14ac:dyDescent="0.25">
      <c r="D28" s="65"/>
      <c r="H28" s="65"/>
      <c r="I28" s="18"/>
      <c r="J28" s="77">
        <f>I26</f>
        <v>0</v>
      </c>
    </row>
    <row r="29" spans="1:14" ht="13.7" x14ac:dyDescent="0.25">
      <c r="H29" s="60"/>
      <c r="I29" s="60"/>
      <c r="J29" s="77">
        <f>'[3]ORÇAMENTO RESUMO'!$E$25</f>
        <v>18837580.861000001</v>
      </c>
    </row>
    <row r="30" spans="1:14" ht="13.7" x14ac:dyDescent="0.25">
      <c r="H30" s="60"/>
      <c r="I30" s="60"/>
      <c r="J30" s="77">
        <f>I27--J29</f>
        <v>33053582.25766667</v>
      </c>
    </row>
    <row r="31" spans="1:14" ht="13.7" x14ac:dyDescent="0.25">
      <c r="H31" s="60"/>
      <c r="I31" s="60"/>
    </row>
    <row r="32" spans="1:14" ht="13.7" x14ac:dyDescent="0.25">
      <c r="H32" s="60"/>
      <c r="I32" s="60"/>
      <c r="J32" s="18"/>
      <c r="K32" s="18"/>
    </row>
    <row r="33" spans="4:11" ht="13.7" x14ac:dyDescent="0.25">
      <c r="H33" s="60"/>
      <c r="I33" s="60"/>
      <c r="J33" s="18"/>
      <c r="K33" s="18"/>
    </row>
    <row r="34" spans="4:11" ht="13.7" x14ac:dyDescent="0.25">
      <c r="D34" s="88"/>
      <c r="E34" s="89"/>
      <c r="H34" s="89"/>
      <c r="I34" s="88"/>
      <c r="J34" s="18"/>
      <c r="K34" s="18"/>
    </row>
    <row r="35" spans="4:11" ht="13.7" x14ac:dyDescent="0.25">
      <c r="H35" s="60"/>
    </row>
    <row r="42" spans="4:11" x14ac:dyDescent="0.25">
      <c r="F42" s="154"/>
    </row>
  </sheetData>
  <mergeCells count="28">
    <mergeCell ref="M9:N9"/>
    <mergeCell ref="A25:H25"/>
    <mergeCell ref="I25:J25"/>
    <mergeCell ref="A23:C23"/>
    <mergeCell ref="A22:C22"/>
    <mergeCell ref="A19:C19"/>
    <mergeCell ref="A20:C20"/>
    <mergeCell ref="M10:N10"/>
    <mergeCell ref="A16:C16"/>
    <mergeCell ref="A15:C15"/>
    <mergeCell ref="A21:C21"/>
    <mergeCell ref="M18:N18"/>
    <mergeCell ref="A17:C17"/>
    <mergeCell ref="A18:C18"/>
    <mergeCell ref="A27:H27"/>
    <mergeCell ref="I27:J27"/>
    <mergeCell ref="A2:K4"/>
    <mergeCell ref="B7:K7"/>
    <mergeCell ref="B8:K8"/>
    <mergeCell ref="A14:C14"/>
    <mergeCell ref="D14:E14"/>
    <mergeCell ref="F14:G14"/>
    <mergeCell ref="I14:J14"/>
    <mergeCell ref="B9:K9"/>
    <mergeCell ref="B10:D10"/>
    <mergeCell ref="J10:K10"/>
    <mergeCell ref="A26:H26"/>
    <mergeCell ref="A24:C24"/>
  </mergeCells>
  <phoneticPr fontId="14" type="noConversion"/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C66"/>
  </sheetPr>
  <dimension ref="A1:Q39"/>
  <sheetViews>
    <sheetView showGridLines="0" topLeftCell="A4" zoomScaleNormal="100" zoomScaleSheetLayoutView="95" workbookViewId="0">
      <selection activeCell="I22" sqref="I21:J22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0.7109375" style="18" customWidth="1"/>
    <col min="7" max="7" width="15.85546875" style="11" customWidth="1"/>
    <col min="8" max="8" width="13.5703125" style="11" bestFit="1" customWidth="1"/>
    <col min="9" max="9" width="11.42578125" style="11" bestFit="1" customWidth="1"/>
    <col min="10" max="10" width="15.140625" style="11" bestFit="1" customWidth="1"/>
    <col min="11" max="11" width="14.42578125" style="11" bestFit="1" customWidth="1"/>
    <col min="12" max="16384" width="9.140625" style="11"/>
  </cols>
  <sheetData>
    <row r="1" spans="1:17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7" x14ac:dyDescent="0.25">
      <c r="A2" s="190" t="s">
        <v>205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7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7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7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7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7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7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7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7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1" spans="1:17" ht="13.7" x14ac:dyDescent="0.25">
      <c r="P11" s="26"/>
    </row>
    <row r="12" spans="1:17" ht="13.7" x14ac:dyDescent="0.25">
      <c r="A12" s="21" t="s">
        <v>46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7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  <c r="M13" s="26"/>
    </row>
    <row r="14" spans="1:17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7" x14ac:dyDescent="0.25">
      <c r="A15" s="236" t="s">
        <v>162</v>
      </c>
      <c r="B15" s="236"/>
      <c r="C15" s="236"/>
      <c r="D15" s="106">
        <v>4136.1099999999997</v>
      </c>
      <c r="E15" s="59" t="s">
        <v>12</v>
      </c>
      <c r="F15" s="47">
        <v>50</v>
      </c>
      <c r="G15" s="50" t="s">
        <v>281</v>
      </c>
      <c r="H15" s="73" t="s">
        <v>112</v>
      </c>
      <c r="I15" s="218">
        <f>F15*D15</f>
        <v>206805.49999999997</v>
      </c>
      <c r="J15" s="220"/>
      <c r="K15" s="30"/>
      <c r="O15" s="26"/>
      <c r="Q15" s="26"/>
    </row>
    <row r="16" spans="1:17" x14ac:dyDescent="0.25">
      <c r="A16" s="236" t="s">
        <v>163</v>
      </c>
      <c r="B16" s="236"/>
      <c r="C16" s="236"/>
      <c r="D16" s="106">
        <f>1550.59*E37</f>
        <v>723.12022193585346</v>
      </c>
      <c r="E16" s="59" t="s">
        <v>12</v>
      </c>
      <c r="F16" s="47">
        <v>50</v>
      </c>
      <c r="G16" s="50" t="s">
        <v>282</v>
      </c>
      <c r="H16" s="73" t="s">
        <v>112</v>
      </c>
      <c r="I16" s="218">
        <f t="shared" ref="I16:I25" si="0">F16*D16</f>
        <v>36156.011096792674</v>
      </c>
      <c r="J16" s="220"/>
      <c r="K16" s="30"/>
      <c r="N16" s="26"/>
      <c r="O16" s="26"/>
      <c r="Q16" s="26"/>
    </row>
    <row r="17" spans="1:17" ht="14.25" customHeight="1" x14ac:dyDescent="0.25">
      <c r="A17" s="236" t="s">
        <v>288</v>
      </c>
      <c r="B17" s="236"/>
      <c r="C17" s="236"/>
      <c r="D17" s="106">
        <f>1150.59*(E36+E38)</f>
        <v>614.01044243986257</v>
      </c>
      <c r="E17" s="59" t="s">
        <v>12</v>
      </c>
      <c r="F17" s="47">
        <v>220</v>
      </c>
      <c r="G17" s="50" t="s">
        <v>42</v>
      </c>
      <c r="H17" s="73" t="s">
        <v>112</v>
      </c>
      <c r="I17" s="218">
        <f t="shared" ref="I17" si="1">F17*D17</f>
        <v>135082.29733676976</v>
      </c>
      <c r="J17" s="220"/>
      <c r="K17" s="30"/>
      <c r="N17" s="26"/>
      <c r="O17" s="26"/>
      <c r="Q17" s="26"/>
    </row>
    <row r="18" spans="1:17" x14ac:dyDescent="0.25">
      <c r="A18" s="236" t="s">
        <v>122</v>
      </c>
      <c r="B18" s="236"/>
      <c r="C18" s="236"/>
      <c r="D18" s="106">
        <f>12238.6*0.47</f>
        <v>5752.1419999999998</v>
      </c>
      <c r="E18" s="59" t="s">
        <v>12</v>
      </c>
      <c r="F18" s="47">
        <v>50</v>
      </c>
      <c r="G18" s="85" t="s">
        <v>283</v>
      </c>
      <c r="H18" s="73" t="s">
        <v>112</v>
      </c>
      <c r="I18" s="218">
        <f t="shared" si="0"/>
        <v>287607.09999999998</v>
      </c>
      <c r="J18" s="220"/>
      <c r="K18" s="30"/>
    </row>
    <row r="19" spans="1:17" x14ac:dyDescent="0.25">
      <c r="A19" s="236" t="s">
        <v>289</v>
      </c>
      <c r="B19" s="236"/>
      <c r="C19" s="236"/>
      <c r="D19" s="106">
        <f>12238.6*E36</f>
        <v>6040.4430412371148</v>
      </c>
      <c r="E19" s="59" t="s">
        <v>12</v>
      </c>
      <c r="F19" s="47">
        <v>220</v>
      </c>
      <c r="G19" s="50" t="s">
        <v>42</v>
      </c>
      <c r="H19" s="73" t="s">
        <v>112</v>
      </c>
      <c r="I19" s="218">
        <f t="shared" ref="I19:I20" si="2">F19*D19</f>
        <v>1328897.4690721652</v>
      </c>
      <c r="J19" s="220"/>
      <c r="K19" s="30"/>
    </row>
    <row r="20" spans="1:17" x14ac:dyDescent="0.25">
      <c r="A20" s="215" t="s">
        <v>292</v>
      </c>
      <c r="B20" s="216"/>
      <c r="C20" s="217"/>
      <c r="D20" s="106">
        <f>12238.6*E38</f>
        <v>490.66552119129443</v>
      </c>
      <c r="E20" s="59" t="s">
        <v>12</v>
      </c>
      <c r="F20" s="47">
        <v>188</v>
      </c>
      <c r="G20" s="50" t="s">
        <v>42</v>
      </c>
      <c r="H20" s="73" t="s">
        <v>112</v>
      </c>
      <c r="I20" s="218">
        <f t="shared" si="2"/>
        <v>92245.117983963355</v>
      </c>
      <c r="J20" s="220"/>
      <c r="K20" s="30"/>
      <c r="N20" s="26"/>
    </row>
    <row r="21" spans="1:17" ht="13.7" customHeight="1" x14ac:dyDescent="0.25">
      <c r="A21" s="236" t="s">
        <v>127</v>
      </c>
      <c r="B21" s="236"/>
      <c r="C21" s="236"/>
      <c r="D21" s="106">
        <f>617.87*E37</f>
        <v>288.14470074455903</v>
      </c>
      <c r="E21" s="59" t="s">
        <v>12</v>
      </c>
      <c r="F21" s="47">
        <v>50</v>
      </c>
      <c r="G21" s="85" t="s">
        <v>284</v>
      </c>
      <c r="H21" s="73" t="s">
        <v>112</v>
      </c>
      <c r="I21" s="218">
        <f t="shared" si="0"/>
        <v>14407.235037227951</v>
      </c>
      <c r="J21" s="220"/>
      <c r="K21" s="30"/>
      <c r="N21" s="26"/>
    </row>
    <row r="22" spans="1:17" x14ac:dyDescent="0.25">
      <c r="A22" s="236" t="s">
        <v>290</v>
      </c>
      <c r="B22" s="236"/>
      <c r="C22" s="236"/>
      <c r="D22" s="106">
        <f>617.87*E36</f>
        <v>304.95387886597945</v>
      </c>
      <c r="E22" s="59" t="s">
        <v>12</v>
      </c>
      <c r="F22" s="47">
        <v>220</v>
      </c>
      <c r="G22" s="50" t="s">
        <v>42</v>
      </c>
      <c r="H22" s="73" t="s">
        <v>112</v>
      </c>
      <c r="I22" s="218">
        <f t="shared" ref="I22" si="3">F22*D22</f>
        <v>67089.853350515477</v>
      </c>
      <c r="J22" s="220"/>
      <c r="K22" s="30"/>
      <c r="N22" s="26"/>
    </row>
    <row r="23" spans="1:17" x14ac:dyDescent="0.25">
      <c r="A23" s="236" t="s">
        <v>291</v>
      </c>
      <c r="B23" s="236"/>
      <c r="C23" s="236"/>
      <c r="D23" s="106">
        <f>617.87*E38</f>
        <v>24.771420389461628</v>
      </c>
      <c r="E23" s="59" t="s">
        <v>12</v>
      </c>
      <c r="F23" s="47">
        <v>188</v>
      </c>
      <c r="G23" s="50" t="s">
        <v>42</v>
      </c>
      <c r="H23" s="73" t="s">
        <v>112</v>
      </c>
      <c r="I23" s="218">
        <f t="shared" ref="I23" si="4">F23*D23</f>
        <v>4657.0270332187865</v>
      </c>
      <c r="J23" s="220"/>
      <c r="K23" s="30"/>
      <c r="N23" s="26"/>
    </row>
    <row r="24" spans="1:17" ht="13.7" customHeight="1" x14ac:dyDescent="0.25">
      <c r="A24" s="236" t="s">
        <v>47</v>
      </c>
      <c r="B24" s="236"/>
      <c r="C24" s="236"/>
      <c r="D24" s="106">
        <v>307.64</v>
      </c>
      <c r="E24" s="59" t="s">
        <v>12</v>
      </c>
      <c r="F24" s="47">
        <v>50</v>
      </c>
      <c r="G24" s="50" t="s">
        <v>282</v>
      </c>
      <c r="H24" s="73" t="s">
        <v>112</v>
      </c>
      <c r="I24" s="218">
        <f t="shared" si="0"/>
        <v>15382</v>
      </c>
      <c r="J24" s="220"/>
      <c r="K24" s="30"/>
    </row>
    <row r="25" spans="1:17" ht="13.7" customHeight="1" x14ac:dyDescent="0.25">
      <c r="A25" s="236" t="s">
        <v>184</v>
      </c>
      <c r="B25" s="236"/>
      <c r="C25" s="236"/>
      <c r="D25" s="106">
        <v>2096.0700000000002</v>
      </c>
      <c r="E25" s="59" t="s">
        <v>12</v>
      </c>
      <c r="F25" s="47">
        <v>60</v>
      </c>
      <c r="G25" s="50" t="s">
        <v>42</v>
      </c>
      <c r="H25" s="73" t="s">
        <v>112</v>
      </c>
      <c r="I25" s="218">
        <f t="shared" si="0"/>
        <v>125764.20000000001</v>
      </c>
      <c r="J25" s="220"/>
      <c r="K25" s="30"/>
      <c r="P25" s="26"/>
    </row>
    <row r="26" spans="1:17" ht="13.7" customHeight="1" x14ac:dyDescent="0.25">
      <c r="A26" s="236" t="s">
        <v>253</v>
      </c>
      <c r="B26" s="236"/>
      <c r="C26" s="236"/>
      <c r="D26" s="69">
        <f>D27+D28</f>
        <v>13818.663864261167</v>
      </c>
      <c r="E26" s="59" t="s">
        <v>12</v>
      </c>
      <c r="F26" s="47">
        <v>12.5</v>
      </c>
      <c r="G26" s="50" t="s">
        <v>254</v>
      </c>
      <c r="H26" s="73" t="s">
        <v>112</v>
      </c>
      <c r="I26" s="218">
        <f>+F26*D26</f>
        <v>172733.2983032646</v>
      </c>
      <c r="J26" s="220"/>
      <c r="K26" s="30"/>
      <c r="P26" s="26"/>
    </row>
    <row r="27" spans="1:17" ht="16.149999999999999" customHeight="1" x14ac:dyDescent="0.25">
      <c r="A27" s="236" t="s">
        <v>185</v>
      </c>
      <c r="B27" s="236"/>
      <c r="C27" s="236"/>
      <c r="D27" s="134">
        <f>SUM(D15+D16+D18+D20+D21+D23+D24)</f>
        <v>11722.593864261167</v>
      </c>
      <c r="E27" s="59" t="s">
        <v>12</v>
      </c>
      <c r="F27" s="47">
        <v>40</v>
      </c>
      <c r="G27" s="31" t="s">
        <v>42</v>
      </c>
      <c r="H27" s="32" t="s">
        <v>112</v>
      </c>
      <c r="I27" s="218">
        <f>+D27*F27</f>
        <v>468903.75457044668</v>
      </c>
      <c r="J27" s="220"/>
      <c r="K27" s="30"/>
    </row>
    <row r="28" spans="1:17" ht="16.149999999999999" customHeight="1" x14ac:dyDescent="0.25">
      <c r="A28" s="248" t="s">
        <v>186</v>
      </c>
      <c r="B28" s="248"/>
      <c r="C28" s="248"/>
      <c r="D28" s="135">
        <f>D25</f>
        <v>2096.0700000000002</v>
      </c>
      <c r="E28" s="66" t="s">
        <v>12</v>
      </c>
      <c r="F28" s="48">
        <v>50</v>
      </c>
      <c r="G28" s="35" t="s">
        <v>42</v>
      </c>
      <c r="H28" s="67" t="s">
        <v>112</v>
      </c>
      <c r="I28" s="221">
        <f>+D28*F28</f>
        <v>104803.50000000001</v>
      </c>
      <c r="J28" s="223"/>
      <c r="K28" s="30"/>
    </row>
    <row r="29" spans="1:17" ht="16.149999999999999" customHeight="1" x14ac:dyDescent="0.25">
      <c r="A29" s="250" t="s">
        <v>34</v>
      </c>
      <c r="B29" s="250"/>
      <c r="C29" s="250"/>
      <c r="D29" s="250"/>
      <c r="E29" s="250"/>
      <c r="F29" s="250"/>
      <c r="G29" s="250"/>
      <c r="H29" s="250"/>
      <c r="I29" s="249">
        <f>SUM(I15:J28)</f>
        <v>3060534.3637843644</v>
      </c>
      <c r="J29" s="249"/>
      <c r="K29" s="34"/>
    </row>
    <row r="30" spans="1:17" ht="16.149999999999999" customHeight="1" x14ac:dyDescent="0.25">
      <c r="A30" s="213"/>
      <c r="B30" s="214"/>
      <c r="C30" s="214"/>
      <c r="D30" s="214"/>
      <c r="E30" s="214"/>
      <c r="F30" s="214"/>
      <c r="G30" s="214"/>
      <c r="H30" s="214"/>
      <c r="I30" s="36"/>
      <c r="J30" s="80"/>
      <c r="K30" s="38"/>
    </row>
    <row r="31" spans="1:17" ht="13.7" x14ac:dyDescent="0.25">
      <c r="A31" s="250" t="s">
        <v>34</v>
      </c>
      <c r="B31" s="250"/>
      <c r="C31" s="250"/>
      <c r="D31" s="250"/>
      <c r="E31" s="250"/>
      <c r="F31" s="250"/>
      <c r="G31" s="250"/>
      <c r="H31" s="250"/>
      <c r="I31" s="249">
        <f>I29</f>
        <v>3060534.3637843644</v>
      </c>
      <c r="J31" s="249">
        <f>I29+I18+I8</f>
        <v>3348141.4637843645</v>
      </c>
      <c r="K31" s="155">
        <f>I31/'Dados Gerais'!E15</f>
        <v>210.83316665617494</v>
      </c>
    </row>
    <row r="32" spans="1:17" ht="13.7" x14ac:dyDescent="0.25">
      <c r="J32" s="142"/>
    </row>
    <row r="33" spans="4:14" ht="13.7" x14ac:dyDescent="0.25">
      <c r="N33" s="119"/>
    </row>
    <row r="34" spans="4:14" ht="13.7" x14ac:dyDescent="0.25">
      <c r="N34" s="119"/>
    </row>
    <row r="36" spans="4:14" ht="13.7" x14ac:dyDescent="0.25">
      <c r="D36" s="60">
        <f>1.08+2.78+4.06+2.75+8.41+3.56+1.06+2.28+2.66+2.66+0.62+2.55</f>
        <v>34.47</v>
      </c>
      <c r="E36" s="65">
        <f>D36/D39</f>
        <v>0.49355670103092791</v>
      </c>
    </row>
    <row r="37" spans="4:14" ht="13.7" x14ac:dyDescent="0.25">
      <c r="D37" s="60">
        <f>11.35+7.22+14</f>
        <v>32.57</v>
      </c>
      <c r="E37" s="65">
        <f>D37/D39</f>
        <v>0.46635166093928987</v>
      </c>
    </row>
    <row r="38" spans="4:14" ht="13.7" x14ac:dyDescent="0.25">
      <c r="D38" s="60">
        <f>2.8</f>
        <v>2.8</v>
      </c>
      <c r="E38" s="65">
        <f>D38/D39</f>
        <v>4.0091638029782363E-2</v>
      </c>
      <c r="M38" s="26"/>
    </row>
    <row r="39" spans="4:14" ht="13.7" x14ac:dyDescent="0.25">
      <c r="D39" s="60">
        <f>SUM(D36:D38)</f>
        <v>69.839999999999989</v>
      </c>
    </row>
  </sheetData>
  <mergeCells count="43">
    <mergeCell ref="I24:J24"/>
    <mergeCell ref="A22:C22"/>
    <mergeCell ref="A2:K4"/>
    <mergeCell ref="B7:K7"/>
    <mergeCell ref="B8:K8"/>
    <mergeCell ref="B9:K9"/>
    <mergeCell ref="B10:D10"/>
    <mergeCell ref="J10:K10"/>
    <mergeCell ref="A14:C14"/>
    <mergeCell ref="D14:E14"/>
    <mergeCell ref="F14:G14"/>
    <mergeCell ref="I14:J14"/>
    <mergeCell ref="A15:C15"/>
    <mergeCell ref="I15:J15"/>
    <mergeCell ref="A17:C17"/>
    <mergeCell ref="A19:C19"/>
    <mergeCell ref="I31:J31"/>
    <mergeCell ref="A26:C26"/>
    <mergeCell ref="I26:J26"/>
    <mergeCell ref="A16:C16"/>
    <mergeCell ref="A29:H29"/>
    <mergeCell ref="I29:J29"/>
    <mergeCell ref="A30:H30"/>
    <mergeCell ref="I16:J16"/>
    <mergeCell ref="A18:C18"/>
    <mergeCell ref="I18:J18"/>
    <mergeCell ref="A27:C27"/>
    <mergeCell ref="I27:J27"/>
    <mergeCell ref="A25:C25"/>
    <mergeCell ref="I25:J25"/>
    <mergeCell ref="A28:C28"/>
    <mergeCell ref="I28:J28"/>
    <mergeCell ref="A23:C23"/>
    <mergeCell ref="A20:C20"/>
    <mergeCell ref="A31:H31"/>
    <mergeCell ref="A21:C21"/>
    <mergeCell ref="A24:C24"/>
    <mergeCell ref="I17:J17"/>
    <mergeCell ref="I19:J19"/>
    <mergeCell ref="I20:J20"/>
    <mergeCell ref="I22:J22"/>
    <mergeCell ref="I23:J23"/>
    <mergeCell ref="I21:J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ignoredErrors>
    <ignoredError sqref="I26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C66"/>
  </sheetPr>
  <dimension ref="A1:N48"/>
  <sheetViews>
    <sheetView showGridLines="0" tabSelected="1" topLeftCell="A10" zoomScaleNormal="100" zoomScaleSheetLayoutView="95" workbookViewId="0">
      <selection activeCell="R41" sqref="R41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1.42578125" style="18" customWidth="1"/>
    <col min="7" max="7" width="15.85546875" style="11" customWidth="1"/>
    <col min="8" max="8" width="13.5703125" style="11" bestFit="1" customWidth="1"/>
    <col min="9" max="9" width="11.42578125" style="11" bestFit="1" customWidth="1"/>
    <col min="10" max="10" width="13.140625" style="11" bestFit="1" customWidth="1"/>
    <col min="11" max="11" width="11.5703125" style="11" bestFit="1" customWidth="1"/>
    <col min="12" max="12" width="11.28515625" style="11" bestFit="1" customWidth="1"/>
    <col min="13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206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3" x14ac:dyDescent="0.25">
      <c r="A12" s="21" t="s">
        <v>48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6.149999999999999" customHeight="1" x14ac:dyDescent="0.25">
      <c r="A15" s="243" t="s">
        <v>49</v>
      </c>
      <c r="B15" s="244"/>
      <c r="C15" s="245"/>
      <c r="D15" s="68">
        <v>1</v>
      </c>
      <c r="E15" s="52" t="s">
        <v>41</v>
      </c>
      <c r="F15" s="46">
        <v>5</v>
      </c>
      <c r="G15" s="28" t="s">
        <v>19</v>
      </c>
      <c r="H15" s="75" t="s">
        <v>112</v>
      </c>
      <c r="I15" s="237">
        <f>+F15*'Dados Gerais'!$E$15</f>
        <v>72581.899999999994</v>
      </c>
      <c r="J15" s="239"/>
      <c r="K15" s="30"/>
    </row>
    <row r="16" spans="1:13" ht="16.149999999999999" customHeight="1" x14ac:dyDescent="0.25">
      <c r="A16" s="215" t="s">
        <v>50</v>
      </c>
      <c r="B16" s="216"/>
      <c r="C16" s="217"/>
      <c r="D16" s="71">
        <v>1</v>
      </c>
      <c r="E16" s="72" t="s">
        <v>41</v>
      </c>
      <c r="F16" s="49">
        <v>12.8</v>
      </c>
      <c r="G16" s="50" t="s">
        <v>19</v>
      </c>
      <c r="H16" s="76" t="s">
        <v>112</v>
      </c>
      <c r="I16" s="218">
        <f>+F16*'Dados Gerais'!$E$15</f>
        <v>185809.66399999999</v>
      </c>
      <c r="J16" s="220"/>
      <c r="K16" s="30"/>
    </row>
    <row r="17" spans="1:11" ht="16.149999999999999" customHeight="1" x14ac:dyDescent="0.25">
      <c r="A17" s="215" t="s">
        <v>51</v>
      </c>
      <c r="B17" s="216"/>
      <c r="C17" s="217"/>
      <c r="D17" s="71">
        <v>1</v>
      </c>
      <c r="E17" s="72" t="s">
        <v>41</v>
      </c>
      <c r="F17" s="49">
        <v>16.899999999999999</v>
      </c>
      <c r="G17" s="50" t="s">
        <v>19</v>
      </c>
      <c r="H17" s="76" t="s">
        <v>112</v>
      </c>
      <c r="I17" s="218">
        <f>+F17*'Dados Gerais'!$E$15</f>
        <v>245326.82199999996</v>
      </c>
      <c r="J17" s="220"/>
      <c r="K17" s="30"/>
    </row>
    <row r="18" spans="1:11" ht="16.149999999999999" customHeight="1" x14ac:dyDescent="0.25">
      <c r="A18" s="215" t="s">
        <v>52</v>
      </c>
      <c r="B18" s="216"/>
      <c r="C18" s="217"/>
      <c r="D18" s="71">
        <v>1</v>
      </c>
      <c r="E18" s="72" t="s">
        <v>41</v>
      </c>
      <c r="F18" s="49">
        <v>40</v>
      </c>
      <c r="G18" s="50" t="s">
        <v>19</v>
      </c>
      <c r="H18" s="76" t="s">
        <v>112</v>
      </c>
      <c r="I18" s="218">
        <f>+F18*'Dados Gerais'!$E$15</f>
        <v>580655.19999999995</v>
      </c>
      <c r="J18" s="220"/>
      <c r="K18" s="30"/>
    </row>
    <row r="19" spans="1:11" ht="16.149999999999999" customHeight="1" x14ac:dyDescent="0.25">
      <c r="A19" s="215" t="s">
        <v>53</v>
      </c>
      <c r="B19" s="216"/>
      <c r="C19" s="217"/>
      <c r="D19" s="69">
        <v>1</v>
      </c>
      <c r="E19" s="59" t="s">
        <v>41</v>
      </c>
      <c r="F19" s="47">
        <v>20</v>
      </c>
      <c r="G19" s="31" t="s">
        <v>19</v>
      </c>
      <c r="H19" s="73" t="s">
        <v>112</v>
      </c>
      <c r="I19" s="218">
        <f>+F19*'Dados Gerais'!$E$15</f>
        <v>290327.59999999998</v>
      </c>
      <c r="J19" s="220"/>
      <c r="K19" s="30"/>
    </row>
    <row r="20" spans="1:11" ht="16.149999999999999" customHeight="1" x14ac:dyDescent="0.25">
      <c r="A20" s="215" t="s">
        <v>54</v>
      </c>
      <c r="B20" s="216"/>
      <c r="C20" s="217"/>
      <c r="D20" s="69">
        <v>1</v>
      </c>
      <c r="E20" s="59" t="s">
        <v>41</v>
      </c>
      <c r="F20" s="47">
        <v>19</v>
      </c>
      <c r="G20" s="31" t="s">
        <v>19</v>
      </c>
      <c r="H20" s="73" t="s">
        <v>112</v>
      </c>
      <c r="I20" s="218">
        <f>+F20*'Dados Gerais'!$E$15</f>
        <v>275811.21999999997</v>
      </c>
      <c r="J20" s="220"/>
      <c r="K20" s="30"/>
    </row>
    <row r="21" spans="1:11" ht="16.149999999999999" customHeight="1" x14ac:dyDescent="0.25">
      <c r="A21" s="279" t="s">
        <v>55</v>
      </c>
      <c r="B21" s="280"/>
      <c r="C21" s="281"/>
      <c r="D21" s="74">
        <v>1</v>
      </c>
      <c r="E21" s="66" t="s">
        <v>41</v>
      </c>
      <c r="F21" s="48">
        <v>55</v>
      </c>
      <c r="G21" s="35" t="s">
        <v>19</v>
      </c>
      <c r="H21" s="67" t="s">
        <v>112</v>
      </c>
      <c r="I21" s="221">
        <f>+F21*'Dados Gerais'!$E$15</f>
        <v>798400.89999999991</v>
      </c>
      <c r="J21" s="223"/>
      <c r="K21" s="30"/>
    </row>
    <row r="22" spans="1:11" ht="16.149999999999999" customHeight="1" x14ac:dyDescent="0.25">
      <c r="A22" s="250" t="s">
        <v>34</v>
      </c>
      <c r="B22" s="250"/>
      <c r="C22" s="250"/>
      <c r="D22" s="250"/>
      <c r="E22" s="250"/>
      <c r="F22" s="250"/>
      <c r="G22" s="250"/>
      <c r="H22" s="250"/>
      <c r="I22" s="249">
        <f>SUM(I15:J21)</f>
        <v>2448913.3059999999</v>
      </c>
      <c r="J22" s="249"/>
      <c r="K22" s="34"/>
    </row>
    <row r="23" spans="1:11" ht="16.149999999999999" customHeight="1" x14ac:dyDescent="0.25">
      <c r="A23" s="213"/>
      <c r="B23" s="214"/>
      <c r="C23" s="214"/>
      <c r="D23" s="214"/>
      <c r="E23" s="214"/>
      <c r="F23" s="214"/>
      <c r="G23" s="214"/>
      <c r="H23" s="214"/>
      <c r="I23" s="36"/>
      <c r="J23" s="36"/>
      <c r="K23" s="38"/>
    </row>
    <row r="24" spans="1:11" x14ac:dyDescent="0.25">
      <c r="A24" s="21" t="s">
        <v>56</v>
      </c>
      <c r="B24" s="22"/>
      <c r="C24" s="22"/>
      <c r="D24" s="56"/>
      <c r="E24" s="40"/>
      <c r="F24" s="23"/>
      <c r="G24" s="22"/>
      <c r="H24" s="22"/>
      <c r="I24" s="22"/>
      <c r="J24" s="22"/>
      <c r="K24" s="24"/>
    </row>
    <row r="25" spans="1:11" ht="13.7" x14ac:dyDescent="0.25">
      <c r="A25" s="25"/>
      <c r="B25" s="26"/>
      <c r="C25" s="26"/>
      <c r="D25" s="57"/>
      <c r="E25" s="64"/>
      <c r="F25" s="26"/>
      <c r="G25" s="26"/>
      <c r="H25" s="26"/>
      <c r="K25" s="27"/>
    </row>
    <row r="26" spans="1:11" x14ac:dyDescent="0.25">
      <c r="A26" s="230" t="s">
        <v>29</v>
      </c>
      <c r="B26" s="231"/>
      <c r="C26" s="231"/>
      <c r="D26" s="252" t="s">
        <v>36</v>
      </c>
      <c r="E26" s="253"/>
      <c r="F26" s="233" t="s">
        <v>18</v>
      </c>
      <c r="G26" s="235"/>
      <c r="H26" s="51" t="s">
        <v>33</v>
      </c>
      <c r="I26" s="233" t="s">
        <v>32</v>
      </c>
      <c r="J26" s="235"/>
      <c r="K26" s="27"/>
    </row>
    <row r="27" spans="1:11" ht="15.75" customHeight="1" x14ac:dyDescent="0.25">
      <c r="A27" s="274" t="s">
        <v>57</v>
      </c>
      <c r="B27" s="275"/>
      <c r="C27" s="276"/>
      <c r="D27" s="68">
        <v>1</v>
      </c>
      <c r="E27" s="52" t="s">
        <v>41</v>
      </c>
      <c r="F27" s="46">
        <v>25</v>
      </c>
      <c r="G27" s="28" t="s">
        <v>19</v>
      </c>
      <c r="H27" s="75" t="s">
        <v>112</v>
      </c>
      <c r="I27" s="237">
        <f>+F27*'Dados Gerais'!$E$15</f>
        <v>362909.5</v>
      </c>
      <c r="J27" s="239"/>
      <c r="K27" s="30"/>
    </row>
    <row r="28" spans="1:11" ht="15.75" customHeight="1" x14ac:dyDescent="0.25">
      <c r="A28" s="271" t="s">
        <v>58</v>
      </c>
      <c r="B28" s="272"/>
      <c r="C28" s="273"/>
      <c r="D28" s="71">
        <v>1</v>
      </c>
      <c r="E28" s="72" t="s">
        <v>41</v>
      </c>
      <c r="F28" s="49">
        <v>15</v>
      </c>
      <c r="G28" s="50" t="s">
        <v>19</v>
      </c>
      <c r="H28" s="76" t="s">
        <v>112</v>
      </c>
      <c r="I28" s="218">
        <f>+F28*'Dados Gerais'!$E$15</f>
        <v>217745.69999999998</v>
      </c>
      <c r="J28" s="220"/>
      <c r="K28" s="30"/>
    </row>
    <row r="29" spans="1:11" ht="15.75" customHeight="1" x14ac:dyDescent="0.25">
      <c r="A29" s="271" t="s">
        <v>59</v>
      </c>
      <c r="B29" s="272"/>
      <c r="C29" s="273"/>
      <c r="D29" s="71">
        <v>1</v>
      </c>
      <c r="E29" s="72" t="s">
        <v>41</v>
      </c>
      <c r="F29" s="49">
        <v>10</v>
      </c>
      <c r="G29" s="50" t="s">
        <v>19</v>
      </c>
      <c r="H29" s="76" t="s">
        <v>112</v>
      </c>
      <c r="I29" s="218">
        <f>+F29*'Dados Gerais'!$E$15</f>
        <v>145163.79999999999</v>
      </c>
      <c r="J29" s="220"/>
      <c r="K29" s="30"/>
    </row>
    <row r="30" spans="1:11" ht="15.75" customHeight="1" x14ac:dyDescent="0.25">
      <c r="A30" s="271" t="s">
        <v>60</v>
      </c>
      <c r="B30" s="272"/>
      <c r="C30" s="273"/>
      <c r="D30" s="71">
        <v>1</v>
      </c>
      <c r="E30" s="72" t="s">
        <v>41</v>
      </c>
      <c r="F30" s="49">
        <v>15</v>
      </c>
      <c r="G30" s="50" t="s">
        <v>19</v>
      </c>
      <c r="H30" s="76" t="s">
        <v>112</v>
      </c>
      <c r="I30" s="218">
        <f>+F30*'Dados Gerais'!$E$15</f>
        <v>217745.69999999998</v>
      </c>
      <c r="J30" s="220"/>
      <c r="K30" s="30"/>
    </row>
    <row r="31" spans="1:11" ht="15.75" customHeight="1" x14ac:dyDescent="0.25">
      <c r="A31" s="271" t="s">
        <v>215</v>
      </c>
      <c r="B31" s="272"/>
      <c r="C31" s="273"/>
      <c r="D31" s="69">
        <v>1</v>
      </c>
      <c r="E31" s="59" t="s">
        <v>41</v>
      </c>
      <c r="F31" s="47">
        <v>0.37</v>
      </c>
      <c r="G31" s="31" t="s">
        <v>19</v>
      </c>
      <c r="H31" s="73" t="s">
        <v>112</v>
      </c>
      <c r="I31" s="218">
        <f>+F31*'Dados Gerais'!$E$15</f>
        <v>5371.0605999999998</v>
      </c>
      <c r="J31" s="220"/>
      <c r="K31" s="30"/>
    </row>
    <row r="32" spans="1:11" ht="15.75" customHeight="1" x14ac:dyDescent="0.25">
      <c r="A32" s="271" t="s">
        <v>216</v>
      </c>
      <c r="B32" s="272"/>
      <c r="C32" s="273"/>
      <c r="D32" s="69">
        <v>1</v>
      </c>
      <c r="E32" s="59" t="s">
        <v>41</v>
      </c>
      <c r="F32" s="47">
        <v>2.2000000000000002</v>
      </c>
      <c r="G32" s="31" t="s">
        <v>19</v>
      </c>
      <c r="H32" s="73" t="s">
        <v>112</v>
      </c>
      <c r="I32" s="218">
        <f>+F32*'Dados Gerais'!$E$15</f>
        <v>31936.036</v>
      </c>
      <c r="J32" s="220"/>
      <c r="K32" s="30"/>
    </row>
    <row r="33" spans="1:14" ht="15.75" customHeight="1" x14ac:dyDescent="0.25">
      <c r="A33" s="271" t="s">
        <v>61</v>
      </c>
      <c r="B33" s="272"/>
      <c r="C33" s="273"/>
      <c r="D33" s="69">
        <v>1</v>
      </c>
      <c r="E33" s="59" t="s">
        <v>41</v>
      </c>
      <c r="F33" s="47">
        <v>45</v>
      </c>
      <c r="G33" s="31" t="s">
        <v>19</v>
      </c>
      <c r="H33" s="73" t="s">
        <v>112</v>
      </c>
      <c r="I33" s="277">
        <f>F33*'Dados Gerais'!E15</f>
        <v>653237.1</v>
      </c>
      <c r="J33" s="278"/>
      <c r="K33" s="30"/>
    </row>
    <row r="34" spans="1:14" ht="15.75" customHeight="1" x14ac:dyDescent="0.25">
      <c r="A34" s="271" t="s">
        <v>62</v>
      </c>
      <c r="B34" s="272"/>
      <c r="C34" s="273"/>
      <c r="D34" s="74">
        <v>1</v>
      </c>
      <c r="E34" s="66" t="s">
        <v>41</v>
      </c>
      <c r="F34" s="48">
        <v>50</v>
      </c>
      <c r="G34" s="31" t="s">
        <v>19</v>
      </c>
      <c r="H34" s="67" t="s">
        <v>112</v>
      </c>
      <c r="I34" s="221">
        <f>+F34*'Dados Gerais'!$E$15</f>
        <v>725819</v>
      </c>
      <c r="J34" s="223"/>
      <c r="K34" s="30"/>
    </row>
    <row r="35" spans="1:14" ht="13.7" x14ac:dyDescent="0.25">
      <c r="A35" s="250" t="s">
        <v>34</v>
      </c>
      <c r="B35" s="250"/>
      <c r="C35" s="250"/>
      <c r="D35" s="250"/>
      <c r="E35" s="250"/>
      <c r="F35" s="250"/>
      <c r="G35" s="250"/>
      <c r="H35" s="250"/>
      <c r="I35" s="249">
        <f>SUM(I27:J34)</f>
        <v>2359927.8965999996</v>
      </c>
      <c r="J35" s="249"/>
      <c r="K35" s="34"/>
    </row>
    <row r="36" spans="1:14" ht="13.7" x14ac:dyDescent="0.25">
      <c r="A36" s="213"/>
      <c r="B36" s="214"/>
      <c r="C36" s="214"/>
      <c r="D36" s="214"/>
      <c r="E36" s="214"/>
      <c r="F36" s="214"/>
      <c r="G36" s="214"/>
      <c r="H36" s="214"/>
      <c r="I36" s="36"/>
      <c r="J36" s="36"/>
      <c r="K36" s="38"/>
    </row>
    <row r="38" spans="1:14" x14ac:dyDescent="0.25">
      <c r="A38" s="21" t="s">
        <v>63</v>
      </c>
      <c r="B38" s="22"/>
      <c r="C38" s="22"/>
      <c r="D38" s="56"/>
      <c r="E38" s="40"/>
      <c r="F38" s="23"/>
      <c r="G38" s="22"/>
      <c r="H38" s="22"/>
      <c r="I38" s="22"/>
      <c r="J38" s="22"/>
      <c r="K38" s="24"/>
    </row>
    <row r="39" spans="1:14" ht="13.7" x14ac:dyDescent="0.25">
      <c r="A39" s="25"/>
      <c r="B39" s="26"/>
      <c r="C39" s="26"/>
      <c r="D39" s="57"/>
      <c r="E39" s="64"/>
      <c r="F39" s="26"/>
      <c r="G39" s="26"/>
      <c r="H39" s="26"/>
      <c r="K39" s="27"/>
    </row>
    <row r="40" spans="1:14" ht="15.75" customHeight="1" x14ac:dyDescent="0.25">
      <c r="A40" s="230" t="s">
        <v>29</v>
      </c>
      <c r="B40" s="231"/>
      <c r="C40" s="231"/>
      <c r="D40" s="252" t="s">
        <v>36</v>
      </c>
      <c r="E40" s="253"/>
      <c r="F40" s="233" t="s">
        <v>18</v>
      </c>
      <c r="G40" s="235"/>
      <c r="H40" s="51" t="s">
        <v>33</v>
      </c>
      <c r="I40" s="233" t="s">
        <v>32</v>
      </c>
      <c r="J40" s="235"/>
      <c r="K40" s="27"/>
    </row>
    <row r="41" spans="1:14" ht="15.75" customHeight="1" x14ac:dyDescent="0.25">
      <c r="A41" s="274" t="s">
        <v>64</v>
      </c>
      <c r="B41" s="275"/>
      <c r="C41" s="276"/>
      <c r="D41" s="68">
        <v>1</v>
      </c>
      <c r="E41" s="52" t="s">
        <v>41</v>
      </c>
      <c r="F41" s="46">
        <v>25</v>
      </c>
      <c r="G41" s="28" t="s">
        <v>19</v>
      </c>
      <c r="H41" s="75" t="s">
        <v>112</v>
      </c>
      <c r="I41" s="237">
        <f>+F41*'Dados Gerais'!$E$15</f>
        <v>362909.5</v>
      </c>
      <c r="J41" s="239"/>
      <c r="K41" s="30"/>
      <c r="L41" s="77"/>
      <c r="M41" s="78"/>
      <c r="N41" s="78"/>
    </row>
    <row r="42" spans="1:14" ht="15.75" customHeight="1" x14ac:dyDescent="0.25">
      <c r="A42" s="271" t="s">
        <v>217</v>
      </c>
      <c r="B42" s="272"/>
      <c r="C42" s="273"/>
      <c r="D42" s="71">
        <v>1</v>
      </c>
      <c r="E42" s="72" t="s">
        <v>41</v>
      </c>
      <c r="F42" s="49">
        <v>10</v>
      </c>
      <c r="G42" s="50" t="s">
        <v>19</v>
      </c>
      <c r="H42" s="76" t="s">
        <v>112</v>
      </c>
      <c r="I42" s="218">
        <f>+F42*'Dados Gerais'!$E$15</f>
        <v>145163.79999999999</v>
      </c>
      <c r="J42" s="220"/>
      <c r="K42" s="30"/>
      <c r="L42" s="77"/>
      <c r="M42" s="78"/>
      <c r="N42" s="78"/>
    </row>
    <row r="43" spans="1:14" ht="15.75" customHeight="1" x14ac:dyDescent="0.25">
      <c r="A43" s="271" t="s">
        <v>65</v>
      </c>
      <c r="B43" s="272"/>
      <c r="C43" s="273"/>
      <c r="D43" s="71">
        <v>1</v>
      </c>
      <c r="E43" s="72" t="s">
        <v>41</v>
      </c>
      <c r="F43" s="49">
        <v>22</v>
      </c>
      <c r="G43" s="50" t="s">
        <v>19</v>
      </c>
      <c r="H43" s="76" t="s">
        <v>112</v>
      </c>
      <c r="I43" s="218">
        <f>+F43*'Dados Gerais'!$E$15</f>
        <v>319360.36</v>
      </c>
      <c r="J43" s="220"/>
      <c r="K43" s="30"/>
      <c r="L43" s="77"/>
    </row>
    <row r="44" spans="1:14" ht="15.75" customHeight="1" x14ac:dyDescent="0.25">
      <c r="A44" s="250" t="s">
        <v>34</v>
      </c>
      <c r="B44" s="250"/>
      <c r="C44" s="250"/>
      <c r="D44" s="250"/>
      <c r="E44" s="250"/>
      <c r="F44" s="250"/>
      <c r="G44" s="250"/>
      <c r="H44" s="250"/>
      <c r="I44" s="249">
        <f>SUM(I41:J43)</f>
        <v>827433.65999999992</v>
      </c>
      <c r="J44" s="249"/>
      <c r="K44" s="34"/>
      <c r="L44" s="77"/>
    </row>
    <row r="45" spans="1:14" ht="13.7" x14ac:dyDescent="0.25">
      <c r="A45" s="213"/>
      <c r="B45" s="214"/>
      <c r="C45" s="214"/>
      <c r="D45" s="214"/>
      <c r="E45" s="214"/>
      <c r="F45" s="214"/>
      <c r="G45" s="214"/>
      <c r="H45" s="214"/>
      <c r="I45" s="36"/>
      <c r="J45" s="36"/>
      <c r="K45" s="38"/>
    </row>
    <row r="46" spans="1:14" ht="13.7" x14ac:dyDescent="0.25">
      <c r="A46" s="250" t="s">
        <v>34</v>
      </c>
      <c r="B46" s="250"/>
      <c r="C46" s="250"/>
      <c r="D46" s="250"/>
      <c r="E46" s="250"/>
      <c r="F46" s="250"/>
      <c r="G46" s="250"/>
      <c r="H46" s="250"/>
      <c r="I46" s="249">
        <f>I44+I35+I22</f>
        <v>5636274.8625999996</v>
      </c>
      <c r="J46" s="249">
        <f>I44+I37+I28</f>
        <v>1045179.3599999999</v>
      </c>
      <c r="K46" s="155">
        <f>I46/'Dados Gerais'!E15</f>
        <v>388.27</v>
      </c>
    </row>
    <row r="48" spans="1:14" ht="13.7" x14ac:dyDescent="0.25">
      <c r="J48" s="11">
        <v>5636274.8625999996</v>
      </c>
      <c r="K48" s="11">
        <v>1045179.3599999999</v>
      </c>
    </row>
  </sheetData>
  <mergeCells count="65">
    <mergeCell ref="I21:J21"/>
    <mergeCell ref="I18:J18"/>
    <mergeCell ref="A19:C19"/>
    <mergeCell ref="I19:J19"/>
    <mergeCell ref="A20:C20"/>
    <mergeCell ref="I20:J20"/>
    <mergeCell ref="A2:K4"/>
    <mergeCell ref="B7:K7"/>
    <mergeCell ref="B8:K8"/>
    <mergeCell ref="B9:K9"/>
    <mergeCell ref="A17:C17"/>
    <mergeCell ref="I16:J16"/>
    <mergeCell ref="I17:J17"/>
    <mergeCell ref="J10:K10"/>
    <mergeCell ref="B10:D10"/>
    <mergeCell ref="A26:C26"/>
    <mergeCell ref="D26:E26"/>
    <mergeCell ref="F26:G26"/>
    <mergeCell ref="I26:J26"/>
    <mergeCell ref="A14:C14"/>
    <mergeCell ref="D14:E14"/>
    <mergeCell ref="F14:G14"/>
    <mergeCell ref="I14:J14"/>
    <mergeCell ref="A15:C15"/>
    <mergeCell ref="I15:J15"/>
    <mergeCell ref="A22:H22"/>
    <mergeCell ref="I22:J22"/>
    <mergeCell ref="A23:H23"/>
    <mergeCell ref="A16:C16"/>
    <mergeCell ref="A18:C18"/>
    <mergeCell ref="A21:C21"/>
    <mergeCell ref="A27:C27"/>
    <mergeCell ref="I27:J27"/>
    <mergeCell ref="A28:C28"/>
    <mergeCell ref="I28:J28"/>
    <mergeCell ref="A29:C29"/>
    <mergeCell ref="I29:J29"/>
    <mergeCell ref="A30:C30"/>
    <mergeCell ref="I30:J30"/>
    <mergeCell ref="A31:C31"/>
    <mergeCell ref="I31:J31"/>
    <mergeCell ref="A33:C33"/>
    <mergeCell ref="I33:J33"/>
    <mergeCell ref="A32:C32"/>
    <mergeCell ref="I32:J32"/>
    <mergeCell ref="A40:C40"/>
    <mergeCell ref="D40:E40"/>
    <mergeCell ref="F40:G40"/>
    <mergeCell ref="I40:J40"/>
    <mergeCell ref="A41:C41"/>
    <mergeCell ref="I41:J41"/>
    <mergeCell ref="A34:C34"/>
    <mergeCell ref="I34:J34"/>
    <mergeCell ref="A35:H35"/>
    <mergeCell ref="I35:J35"/>
    <mergeCell ref="A36:H36"/>
    <mergeCell ref="A46:H46"/>
    <mergeCell ref="I46:J46"/>
    <mergeCell ref="A42:C42"/>
    <mergeCell ref="I42:J42"/>
    <mergeCell ref="A44:H44"/>
    <mergeCell ref="I44:J44"/>
    <mergeCell ref="A45:H45"/>
    <mergeCell ref="A43:C43"/>
    <mergeCell ref="I43:J4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ignoredErrors>
    <ignoredError sqref="I3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4AA3-DAF5-4A8A-B9F1-0E579926D62D}">
  <sheetPr>
    <tabColor rgb="FF003C66"/>
  </sheetPr>
  <dimension ref="A1:M53"/>
  <sheetViews>
    <sheetView showGridLines="0" topLeftCell="D1" zoomScaleNormal="100" zoomScaleSheetLayoutView="95" workbookViewId="0">
      <selection activeCell="K10" sqref="K10:L1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8.7109375" style="65" customWidth="1"/>
    <col min="6" max="6" width="12.5703125" style="18" bestFit="1" customWidth="1"/>
    <col min="7" max="7" width="15.85546875" style="11" customWidth="1"/>
    <col min="8" max="8" width="12.85546875" style="11" customWidth="1"/>
    <col min="9" max="9" width="11.42578125" style="11" bestFit="1" customWidth="1"/>
    <col min="10" max="10" width="13.7109375" style="11" bestFit="1" customWidth="1"/>
    <col min="11" max="11" width="13.42578125" style="11" bestFit="1" customWidth="1"/>
    <col min="12" max="12" width="11.28515625" style="11" bestFit="1" customWidth="1"/>
    <col min="13" max="13" width="11.42578125" style="11" bestFit="1" customWidth="1"/>
    <col min="14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206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8"/>
      <c r="K10" s="200" t="s">
        <v>301</v>
      </c>
      <c r="L10" s="201"/>
    </row>
    <row r="12" spans="1:13" x14ac:dyDescent="0.25">
      <c r="A12" s="21" t="s">
        <v>66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3.7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5.75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30.2" customHeight="1" x14ac:dyDescent="0.25">
      <c r="A15" s="274" t="s">
        <v>166</v>
      </c>
      <c r="B15" s="275"/>
      <c r="C15" s="276"/>
      <c r="D15" s="107">
        <v>226</v>
      </c>
      <c r="E15" s="52" t="s">
        <v>175</v>
      </c>
      <c r="F15" s="164">
        <v>1500</v>
      </c>
      <c r="G15" s="28" t="s">
        <v>174</v>
      </c>
      <c r="H15" s="75" t="s">
        <v>112</v>
      </c>
      <c r="I15" s="237">
        <f>F15*D15</f>
        <v>339000</v>
      </c>
      <c r="J15" s="239"/>
      <c r="K15" s="30"/>
      <c r="M15" s="77"/>
    </row>
    <row r="16" spans="1:13" ht="15" customHeight="1" x14ac:dyDescent="0.25">
      <c r="A16" s="215" t="s">
        <v>243</v>
      </c>
      <c r="B16" s="216"/>
      <c r="C16" s="217"/>
      <c r="D16" s="120">
        <v>10</v>
      </c>
      <c r="E16" s="72" t="s">
        <v>175</v>
      </c>
      <c r="F16" s="158">
        <v>6000</v>
      </c>
      <c r="G16" s="31" t="s">
        <v>164</v>
      </c>
      <c r="H16" s="79" t="s">
        <v>112</v>
      </c>
      <c r="I16" s="218">
        <f>+D16*F16</f>
        <v>60000</v>
      </c>
      <c r="J16" s="220"/>
      <c r="K16" s="30"/>
      <c r="M16" s="77"/>
    </row>
    <row r="17" spans="1:13" ht="15.75" customHeight="1" x14ac:dyDescent="0.25">
      <c r="A17" s="284" t="s">
        <v>67</v>
      </c>
      <c r="B17" s="284"/>
      <c r="C17" s="284"/>
      <c r="D17" s="106">
        <v>46</v>
      </c>
      <c r="E17" s="69" t="s">
        <v>13</v>
      </c>
      <c r="F17" s="161">
        <v>4000</v>
      </c>
      <c r="G17" s="31" t="s">
        <v>164</v>
      </c>
      <c r="H17" s="79" t="s">
        <v>112</v>
      </c>
      <c r="I17" s="218">
        <f>+D17*F17</f>
        <v>184000</v>
      </c>
      <c r="J17" s="220"/>
      <c r="K17" s="30"/>
    </row>
    <row r="18" spans="1:13" ht="15.75" customHeight="1" x14ac:dyDescent="0.25">
      <c r="A18" s="284" t="s">
        <v>172</v>
      </c>
      <c r="B18" s="284"/>
      <c r="C18" s="284"/>
      <c r="D18" s="106">
        <v>54</v>
      </c>
      <c r="E18" s="69" t="s">
        <v>13</v>
      </c>
      <c r="F18" s="161">
        <v>1000</v>
      </c>
      <c r="G18" s="31" t="s">
        <v>164</v>
      </c>
      <c r="H18" s="79" t="s">
        <v>112</v>
      </c>
      <c r="I18" s="218">
        <f>+D18*F18</f>
        <v>54000</v>
      </c>
      <c r="J18" s="220"/>
      <c r="K18" s="30"/>
    </row>
    <row r="19" spans="1:13" ht="15.75" customHeight="1" x14ac:dyDescent="0.25">
      <c r="A19" s="250" t="s">
        <v>34</v>
      </c>
      <c r="B19" s="250"/>
      <c r="C19" s="250"/>
      <c r="D19" s="250"/>
      <c r="E19" s="250"/>
      <c r="F19" s="250"/>
      <c r="G19" s="250"/>
      <c r="H19" s="250"/>
      <c r="I19" s="249">
        <f>SUM(I15:J18)</f>
        <v>637000</v>
      </c>
      <c r="J19" s="249"/>
      <c r="K19" s="34"/>
    </row>
    <row r="20" spans="1:13" ht="13.7" x14ac:dyDescent="0.25">
      <c r="A20" s="213"/>
      <c r="B20" s="214"/>
      <c r="C20" s="214"/>
      <c r="D20" s="214"/>
      <c r="E20" s="214"/>
      <c r="F20" s="214"/>
      <c r="G20" s="214"/>
      <c r="H20" s="214"/>
      <c r="I20" s="36"/>
      <c r="J20" s="36"/>
      <c r="K20" s="38"/>
    </row>
    <row r="21" spans="1:13" x14ac:dyDescent="0.25">
      <c r="A21" s="21" t="s">
        <v>218</v>
      </c>
      <c r="B21" s="22"/>
      <c r="C21" s="22"/>
      <c r="D21" s="56"/>
      <c r="E21" s="40"/>
      <c r="F21" s="23"/>
      <c r="G21" s="22"/>
      <c r="H21" s="22"/>
      <c r="I21" s="22"/>
      <c r="J21" s="22"/>
      <c r="K21" s="24"/>
    </row>
    <row r="22" spans="1:13" ht="13.7" x14ac:dyDescent="0.25">
      <c r="A22" s="25"/>
      <c r="B22" s="26"/>
      <c r="C22" s="26"/>
      <c r="D22" s="57"/>
      <c r="E22" s="64"/>
      <c r="F22" s="26"/>
      <c r="G22" s="26"/>
      <c r="H22" s="26"/>
      <c r="K22" s="27"/>
    </row>
    <row r="23" spans="1:13" x14ac:dyDescent="0.25">
      <c r="A23" s="230" t="s">
        <v>29</v>
      </c>
      <c r="B23" s="231"/>
      <c r="C23" s="231"/>
      <c r="D23" s="252" t="s">
        <v>36</v>
      </c>
      <c r="E23" s="253"/>
      <c r="F23" s="233" t="s">
        <v>18</v>
      </c>
      <c r="G23" s="235"/>
      <c r="H23" s="51" t="s">
        <v>33</v>
      </c>
      <c r="I23" s="233" t="s">
        <v>32</v>
      </c>
      <c r="J23" s="235"/>
      <c r="K23" s="27"/>
    </row>
    <row r="24" spans="1:13" x14ac:dyDescent="0.25">
      <c r="A24" s="274" t="s">
        <v>219</v>
      </c>
      <c r="B24" s="275"/>
      <c r="C24" s="276"/>
      <c r="D24" s="107">
        <v>1</v>
      </c>
      <c r="E24" s="52" t="s">
        <v>41</v>
      </c>
      <c r="F24" s="46">
        <v>5</v>
      </c>
      <c r="G24" s="28" t="s">
        <v>19</v>
      </c>
      <c r="H24" s="75" t="s">
        <v>112</v>
      </c>
      <c r="I24" s="237">
        <f>+F24*'Dados Gerais'!E15</f>
        <v>72581.899999999994</v>
      </c>
      <c r="J24" s="239"/>
      <c r="K24" s="30"/>
    </row>
    <row r="25" spans="1:13" x14ac:dyDescent="0.25">
      <c r="A25" s="284" t="s">
        <v>220</v>
      </c>
      <c r="B25" s="284"/>
      <c r="C25" s="284"/>
      <c r="D25" s="69">
        <v>1</v>
      </c>
      <c r="E25" s="69" t="s">
        <v>41</v>
      </c>
      <c r="F25" s="103">
        <v>9</v>
      </c>
      <c r="G25" s="31" t="s">
        <v>19</v>
      </c>
      <c r="H25" s="79" t="s">
        <v>112</v>
      </c>
      <c r="I25" s="237">
        <f>+F25*'Dados Gerais'!E15</f>
        <v>130647.42</v>
      </c>
      <c r="J25" s="239"/>
      <c r="K25" s="30"/>
    </row>
    <row r="26" spans="1:13" x14ac:dyDescent="0.25">
      <c r="A26" s="284" t="s">
        <v>221</v>
      </c>
      <c r="B26" s="284"/>
      <c r="C26" s="284"/>
      <c r="D26" s="69">
        <v>1</v>
      </c>
      <c r="E26" s="69" t="s">
        <v>41</v>
      </c>
      <c r="F26" s="47">
        <v>12</v>
      </c>
      <c r="G26" s="31" t="s">
        <v>19</v>
      </c>
      <c r="H26" s="79" t="s">
        <v>112</v>
      </c>
      <c r="I26" s="237">
        <f>+F26*'Dados Gerais'!E15</f>
        <v>174196.56</v>
      </c>
      <c r="J26" s="239"/>
      <c r="K26" s="30"/>
    </row>
    <row r="27" spans="1:13" ht="13.7" x14ac:dyDescent="0.25">
      <c r="A27" s="250" t="s">
        <v>34</v>
      </c>
      <c r="B27" s="250"/>
      <c r="C27" s="250"/>
      <c r="D27" s="250"/>
      <c r="E27" s="250"/>
      <c r="F27" s="250"/>
      <c r="G27" s="250"/>
      <c r="H27" s="250"/>
      <c r="I27" s="249">
        <f>SUM(I24:J26)</f>
        <v>377425.88</v>
      </c>
      <c r="J27" s="249"/>
      <c r="K27" s="34"/>
    </row>
    <row r="28" spans="1:13" ht="13.7" x14ac:dyDescent="0.25">
      <c r="A28" s="282"/>
      <c r="B28" s="283"/>
      <c r="C28" s="283"/>
      <c r="D28" s="283"/>
      <c r="E28" s="283"/>
      <c r="F28" s="283"/>
      <c r="G28" s="283"/>
      <c r="H28" s="283"/>
      <c r="I28" s="36"/>
      <c r="J28" s="36"/>
      <c r="K28" s="38"/>
    </row>
    <row r="29" spans="1:13" x14ac:dyDescent="0.25">
      <c r="A29" s="21" t="s">
        <v>167</v>
      </c>
      <c r="B29" s="22"/>
      <c r="C29" s="22"/>
      <c r="D29" s="56"/>
      <c r="E29" s="40"/>
      <c r="F29" s="23"/>
      <c r="G29" s="22"/>
      <c r="H29" s="22"/>
      <c r="I29" s="22"/>
      <c r="J29" s="22"/>
      <c r="K29" s="24"/>
    </row>
    <row r="30" spans="1:13" ht="13.7" x14ac:dyDescent="0.25">
      <c r="A30" s="25"/>
      <c r="B30" s="26"/>
      <c r="C30" s="26"/>
      <c r="D30" s="57"/>
      <c r="E30" s="64"/>
      <c r="F30" s="26"/>
      <c r="G30" s="26"/>
      <c r="H30" s="26"/>
      <c r="K30" s="27"/>
    </row>
    <row r="31" spans="1:13" x14ac:dyDescent="0.25">
      <c r="A31" s="230" t="s">
        <v>29</v>
      </c>
      <c r="B31" s="231"/>
      <c r="C31" s="231"/>
      <c r="D31" s="252" t="s">
        <v>36</v>
      </c>
      <c r="E31" s="253"/>
      <c r="F31" s="233" t="s">
        <v>18</v>
      </c>
      <c r="G31" s="235"/>
      <c r="H31" s="51" t="s">
        <v>33</v>
      </c>
      <c r="I31" s="233" t="s">
        <v>32</v>
      </c>
      <c r="J31" s="235"/>
      <c r="K31" s="27"/>
    </row>
    <row r="32" spans="1:13" ht="29.25" customHeight="1" x14ac:dyDescent="0.25">
      <c r="A32" s="274" t="s">
        <v>168</v>
      </c>
      <c r="B32" s="275"/>
      <c r="C32" s="276"/>
      <c r="D32" s="107">
        <v>1</v>
      </c>
      <c r="E32" s="111" t="s">
        <v>41</v>
      </c>
      <c r="F32" s="112">
        <v>8</v>
      </c>
      <c r="G32" s="28" t="s">
        <v>19</v>
      </c>
      <c r="H32" s="75" t="s">
        <v>112</v>
      </c>
      <c r="I32" s="285">
        <f>F32*'Dados Gerais'!E15</f>
        <v>116131.04</v>
      </c>
      <c r="J32" s="286"/>
      <c r="K32" s="30"/>
      <c r="L32" s="77"/>
      <c r="M32" s="77"/>
    </row>
    <row r="33" spans="1:11" ht="15.75" customHeight="1" x14ac:dyDescent="0.25">
      <c r="A33" s="250" t="s">
        <v>34</v>
      </c>
      <c r="B33" s="250"/>
      <c r="C33" s="250"/>
      <c r="D33" s="250"/>
      <c r="E33" s="250"/>
      <c r="F33" s="250"/>
      <c r="G33" s="250"/>
      <c r="H33" s="250"/>
      <c r="I33" s="249">
        <f>SUM(I32:J32)</f>
        <v>116131.04</v>
      </c>
      <c r="J33" s="249"/>
      <c r="K33" s="34"/>
    </row>
    <row r="34" spans="1:11" ht="13.7" x14ac:dyDescent="0.25">
      <c r="A34" s="213"/>
      <c r="B34" s="214"/>
      <c r="C34" s="214"/>
      <c r="D34" s="214"/>
      <c r="E34" s="214"/>
      <c r="F34" s="214"/>
      <c r="G34" s="214"/>
      <c r="H34" s="214"/>
      <c r="I34" s="36"/>
      <c r="J34" s="36"/>
      <c r="K34" s="38"/>
    </row>
    <row r="35" spans="1:11" ht="15.75" customHeight="1" x14ac:dyDescent="0.25">
      <c r="A35" s="21" t="s">
        <v>169</v>
      </c>
      <c r="B35" s="22"/>
      <c r="C35" s="22"/>
      <c r="D35" s="56"/>
      <c r="E35" s="40"/>
      <c r="F35" s="23"/>
      <c r="G35" s="22"/>
      <c r="H35" s="22"/>
      <c r="I35" s="22"/>
      <c r="J35" s="22"/>
      <c r="K35" s="24"/>
    </row>
    <row r="36" spans="1:11" ht="15.75" customHeight="1" x14ac:dyDescent="0.25">
      <c r="A36" s="25"/>
      <c r="B36" s="26"/>
      <c r="C36" s="26"/>
      <c r="D36" s="57"/>
      <c r="E36" s="64"/>
      <c r="F36" s="26"/>
      <c r="G36" s="26"/>
      <c r="H36" s="26"/>
      <c r="K36" s="27"/>
    </row>
    <row r="37" spans="1:11" ht="15.75" customHeight="1" x14ac:dyDescent="0.25">
      <c r="A37" s="230" t="s">
        <v>29</v>
      </c>
      <c r="B37" s="231"/>
      <c r="C37" s="231"/>
      <c r="D37" s="252" t="s">
        <v>36</v>
      </c>
      <c r="E37" s="253"/>
      <c r="F37" s="233" t="s">
        <v>18</v>
      </c>
      <c r="G37" s="235"/>
      <c r="H37" s="51" t="s">
        <v>33</v>
      </c>
      <c r="I37" s="233" t="s">
        <v>32</v>
      </c>
      <c r="J37" s="235"/>
      <c r="K37" s="27"/>
    </row>
    <row r="38" spans="1:11" ht="15.75" customHeight="1" x14ac:dyDescent="0.25">
      <c r="A38" s="274" t="s">
        <v>170</v>
      </c>
      <c r="B38" s="275"/>
      <c r="C38" s="276"/>
      <c r="D38" s="68">
        <v>1</v>
      </c>
      <c r="E38" s="52" t="s">
        <v>41</v>
      </c>
      <c r="F38" s="46">
        <v>30</v>
      </c>
      <c r="G38" s="28" t="s">
        <v>19</v>
      </c>
      <c r="H38" s="75" t="s">
        <v>112</v>
      </c>
      <c r="I38" s="237">
        <f>+F38*'Dados Gerais'!E15</f>
        <v>435491.39999999997</v>
      </c>
      <c r="J38" s="239"/>
      <c r="K38" s="30"/>
    </row>
    <row r="39" spans="1:11" ht="15.75" customHeight="1" x14ac:dyDescent="0.25">
      <c r="A39" s="250" t="s">
        <v>34</v>
      </c>
      <c r="B39" s="250"/>
      <c r="C39" s="250"/>
      <c r="D39" s="250"/>
      <c r="E39" s="250"/>
      <c r="F39" s="250"/>
      <c r="G39" s="250"/>
      <c r="H39" s="250"/>
      <c r="I39" s="249">
        <f>SUM(I38:J38)</f>
        <v>435491.39999999997</v>
      </c>
      <c r="J39" s="249"/>
      <c r="K39" s="34"/>
    </row>
    <row r="40" spans="1:11" ht="15.75" customHeight="1" x14ac:dyDescent="0.25">
      <c r="A40" s="213"/>
      <c r="B40" s="214"/>
      <c r="C40" s="214"/>
      <c r="D40" s="214"/>
      <c r="E40" s="214"/>
      <c r="F40" s="214"/>
      <c r="G40" s="214"/>
      <c r="H40" s="214"/>
      <c r="I40" s="36"/>
      <c r="J40" s="36"/>
      <c r="K40" s="38"/>
    </row>
    <row r="41" spans="1:11" x14ac:dyDescent="0.25">
      <c r="A41" s="21" t="s">
        <v>35</v>
      </c>
      <c r="B41" s="22"/>
      <c r="C41" s="22"/>
      <c r="D41" s="56"/>
      <c r="E41" s="40"/>
      <c r="F41" s="23"/>
      <c r="G41" s="22"/>
      <c r="H41" s="22"/>
      <c r="I41" s="22"/>
      <c r="J41" s="22"/>
      <c r="K41" s="24"/>
    </row>
    <row r="42" spans="1:11" x14ac:dyDescent="0.25">
      <c r="A42" s="25"/>
      <c r="B42" s="26"/>
      <c r="C42" s="26"/>
      <c r="D42" s="57"/>
      <c r="E42" s="64"/>
      <c r="F42" s="26"/>
      <c r="G42" s="26"/>
      <c r="H42" s="26"/>
      <c r="K42" s="27"/>
    </row>
    <row r="43" spans="1:11" x14ac:dyDescent="0.25">
      <c r="A43" s="230" t="s">
        <v>29</v>
      </c>
      <c r="B43" s="231"/>
      <c r="C43" s="231"/>
      <c r="D43" s="252" t="s">
        <v>36</v>
      </c>
      <c r="E43" s="253"/>
      <c r="F43" s="233" t="s">
        <v>18</v>
      </c>
      <c r="G43" s="235"/>
      <c r="H43" s="51" t="s">
        <v>33</v>
      </c>
      <c r="I43" s="233" t="s">
        <v>32</v>
      </c>
      <c r="J43" s="235"/>
      <c r="K43" s="27"/>
    </row>
    <row r="44" spans="1:11" ht="15" customHeight="1" x14ac:dyDescent="0.25">
      <c r="A44" s="242" t="s">
        <v>244</v>
      </c>
      <c r="B44" s="242"/>
      <c r="C44" s="242"/>
      <c r="D44" s="107">
        <v>2</v>
      </c>
      <c r="E44" s="107" t="s">
        <v>13</v>
      </c>
      <c r="F44" s="162">
        <v>20000</v>
      </c>
      <c r="G44" s="82" t="s">
        <v>73</v>
      </c>
      <c r="H44" s="83" t="s">
        <v>112</v>
      </c>
      <c r="I44" s="285">
        <f>D44*F44*'Dados Gerais'!E16</f>
        <v>1320000</v>
      </c>
      <c r="J44" s="286"/>
      <c r="K44" s="27"/>
    </row>
    <row r="45" spans="1:11" ht="15" customHeight="1" x14ac:dyDescent="0.25">
      <c r="A45" s="236" t="s">
        <v>245</v>
      </c>
      <c r="B45" s="236"/>
      <c r="C45" s="236"/>
      <c r="D45" s="106">
        <v>1</v>
      </c>
      <c r="E45" s="106" t="s">
        <v>13</v>
      </c>
      <c r="F45" s="163">
        <v>20000</v>
      </c>
      <c r="G45" s="84" t="s">
        <v>73</v>
      </c>
      <c r="H45" s="79" t="s">
        <v>112</v>
      </c>
      <c r="I45" s="277">
        <f>D45*F45*'Dados Gerais'!E16</f>
        <v>660000</v>
      </c>
      <c r="J45" s="278"/>
      <c r="K45" s="27"/>
    </row>
    <row r="46" spans="1:11" ht="15" customHeight="1" x14ac:dyDescent="0.25">
      <c r="A46" s="236" t="s">
        <v>165</v>
      </c>
      <c r="B46" s="236"/>
      <c r="C46" s="236"/>
      <c r="D46" s="106">
        <v>2</v>
      </c>
      <c r="E46" s="106" t="s">
        <v>41</v>
      </c>
      <c r="F46" s="163">
        <v>120000</v>
      </c>
      <c r="G46" s="84" t="s">
        <v>96</v>
      </c>
      <c r="H46" s="79" t="s">
        <v>112</v>
      </c>
      <c r="I46" s="277">
        <f>+D46*F46</f>
        <v>240000</v>
      </c>
      <c r="J46" s="278"/>
      <c r="K46" s="27"/>
    </row>
    <row r="47" spans="1:11" ht="15" customHeight="1" x14ac:dyDescent="0.25">
      <c r="A47" s="236" t="s">
        <v>173</v>
      </c>
      <c r="B47" s="236"/>
      <c r="C47" s="236"/>
      <c r="D47" s="106">
        <v>2</v>
      </c>
      <c r="E47" s="106" t="s">
        <v>41</v>
      </c>
      <c r="F47" s="163">
        <v>20000</v>
      </c>
      <c r="G47" s="84" t="s">
        <v>96</v>
      </c>
      <c r="H47" s="79" t="s">
        <v>112</v>
      </c>
      <c r="I47" s="277">
        <f>+D47*F47</f>
        <v>40000</v>
      </c>
      <c r="J47" s="278"/>
      <c r="K47" s="27"/>
    </row>
    <row r="48" spans="1:11" ht="12.75" customHeight="1" x14ac:dyDescent="0.25">
      <c r="A48" s="236" t="s">
        <v>180</v>
      </c>
      <c r="B48" s="236"/>
      <c r="C48" s="236"/>
      <c r="D48" s="106">
        <v>1</v>
      </c>
      <c r="E48" s="106" t="s">
        <v>41</v>
      </c>
      <c r="F48" s="163">
        <v>35000</v>
      </c>
      <c r="G48" s="84" t="s">
        <v>96</v>
      </c>
      <c r="H48" s="79" t="s">
        <v>112</v>
      </c>
      <c r="I48" s="277">
        <f>+D48*F48</f>
        <v>35000</v>
      </c>
      <c r="J48" s="278"/>
      <c r="K48" s="27"/>
    </row>
    <row r="49" spans="1:12" ht="12.75" customHeight="1" x14ac:dyDescent="0.25">
      <c r="A49" s="236" t="s">
        <v>222</v>
      </c>
      <c r="B49" s="236"/>
      <c r="C49" s="236"/>
      <c r="D49" s="106">
        <v>1</v>
      </c>
      <c r="E49" s="106" t="s">
        <v>13</v>
      </c>
      <c r="F49" s="163">
        <v>120000</v>
      </c>
      <c r="G49" s="84" t="s">
        <v>96</v>
      </c>
      <c r="H49" s="79" t="s">
        <v>112</v>
      </c>
      <c r="I49" s="277">
        <f t="shared" ref="I49" si="0">+D49*F49</f>
        <v>120000</v>
      </c>
      <c r="J49" s="278"/>
      <c r="K49" s="27"/>
    </row>
    <row r="50" spans="1:12" ht="12.75" customHeight="1" x14ac:dyDescent="0.25">
      <c r="A50" s="236" t="s">
        <v>223</v>
      </c>
      <c r="B50" s="236"/>
      <c r="C50" s="236"/>
      <c r="D50" s="106">
        <v>43</v>
      </c>
      <c r="E50" s="106" t="s">
        <v>224</v>
      </c>
      <c r="F50" s="163">
        <v>800</v>
      </c>
      <c r="G50" s="84" t="s">
        <v>225</v>
      </c>
      <c r="H50" s="79" t="s">
        <v>112</v>
      </c>
      <c r="I50" s="287">
        <f>F50*D50</f>
        <v>34400</v>
      </c>
      <c r="J50" s="288"/>
      <c r="K50" s="27"/>
    </row>
    <row r="51" spans="1:12" x14ac:dyDescent="0.25">
      <c r="A51" s="250" t="s">
        <v>34</v>
      </c>
      <c r="B51" s="250"/>
      <c r="C51" s="250"/>
      <c r="D51" s="250"/>
      <c r="E51" s="250"/>
      <c r="F51" s="250"/>
      <c r="G51" s="250"/>
      <c r="H51" s="250"/>
      <c r="I51" s="227">
        <f>SUM(I44:J50)</f>
        <v>2449400</v>
      </c>
      <c r="J51" s="229"/>
      <c r="K51" s="34"/>
    </row>
    <row r="52" spans="1:12" x14ac:dyDescent="0.25">
      <c r="A52" s="213"/>
      <c r="B52" s="214"/>
      <c r="C52" s="214"/>
      <c r="D52" s="214"/>
      <c r="E52" s="214"/>
      <c r="F52" s="214"/>
      <c r="G52" s="214"/>
      <c r="H52" s="214"/>
      <c r="I52" s="80"/>
      <c r="J52" s="36"/>
      <c r="K52" s="38"/>
    </row>
    <row r="53" spans="1:12" x14ac:dyDescent="0.25">
      <c r="A53" s="250" t="s">
        <v>34</v>
      </c>
      <c r="B53" s="250"/>
      <c r="C53" s="250"/>
      <c r="D53" s="250"/>
      <c r="E53" s="250"/>
      <c r="F53" s="250"/>
      <c r="G53" s="250"/>
      <c r="H53" s="250"/>
      <c r="I53" s="249">
        <f>I51+I39+I33+I19+I27</f>
        <v>4015448.32</v>
      </c>
      <c r="J53" s="249">
        <f>I51+I44+I35</f>
        <v>3769400</v>
      </c>
      <c r="K53" s="155">
        <f>I53/'Dados Gerais'!E15</f>
        <v>276.6149907897148</v>
      </c>
      <c r="L53" s="11" t="s">
        <v>285</v>
      </c>
    </row>
  </sheetData>
  <mergeCells count="75">
    <mergeCell ref="A16:C16"/>
    <mergeCell ref="I16:J16"/>
    <mergeCell ref="I50:J50"/>
    <mergeCell ref="A2:K4"/>
    <mergeCell ref="B7:K7"/>
    <mergeCell ref="B8:K8"/>
    <mergeCell ref="B9:K9"/>
    <mergeCell ref="B10:D10"/>
    <mergeCell ref="A14:C14"/>
    <mergeCell ref="D14:E14"/>
    <mergeCell ref="F14:G14"/>
    <mergeCell ref="I14:J14"/>
    <mergeCell ref="A15:C15"/>
    <mergeCell ref="I15:J15"/>
    <mergeCell ref="F37:G37"/>
    <mergeCell ref="I32:J32"/>
    <mergeCell ref="A23:C23"/>
    <mergeCell ref="D23:E23"/>
    <mergeCell ref="F23:G23"/>
    <mergeCell ref="I23:J23"/>
    <mergeCell ref="A17:C17"/>
    <mergeCell ref="I17:J17"/>
    <mergeCell ref="A19:H19"/>
    <mergeCell ref="I19:J19"/>
    <mergeCell ref="A20:H20"/>
    <mergeCell ref="A18:C18"/>
    <mergeCell ref="I18:J18"/>
    <mergeCell ref="I31:J31"/>
    <mergeCell ref="A52:H52"/>
    <mergeCell ref="A44:C44"/>
    <mergeCell ref="I44:J44"/>
    <mergeCell ref="A46:C46"/>
    <mergeCell ref="I46:J46"/>
    <mergeCell ref="A51:H51"/>
    <mergeCell ref="I51:J51"/>
    <mergeCell ref="A45:C45"/>
    <mergeCell ref="I45:J45"/>
    <mergeCell ref="A50:C50"/>
    <mergeCell ref="A48:C48"/>
    <mergeCell ref="I48:J48"/>
    <mergeCell ref="A47:C47"/>
    <mergeCell ref="I47:J47"/>
    <mergeCell ref="A32:C32"/>
    <mergeCell ref="D43:E43"/>
    <mergeCell ref="A37:C37"/>
    <mergeCell ref="D37:E37"/>
    <mergeCell ref="A24:C24"/>
    <mergeCell ref="I24:J24"/>
    <mergeCell ref="A25:C25"/>
    <mergeCell ref="I25:J25"/>
    <mergeCell ref="A26:C26"/>
    <mergeCell ref="I26:J26"/>
    <mergeCell ref="I37:J37"/>
    <mergeCell ref="A31:C31"/>
    <mergeCell ref="A33:H33"/>
    <mergeCell ref="I33:J33"/>
    <mergeCell ref="A34:H34"/>
    <mergeCell ref="D31:E31"/>
    <mergeCell ref="F31:G31"/>
    <mergeCell ref="K10:L10"/>
    <mergeCell ref="A53:H53"/>
    <mergeCell ref="I53:J53"/>
    <mergeCell ref="A27:H27"/>
    <mergeCell ref="I27:J27"/>
    <mergeCell ref="A28:H28"/>
    <mergeCell ref="A49:C49"/>
    <mergeCell ref="I49:J49"/>
    <mergeCell ref="F43:G43"/>
    <mergeCell ref="I43:J43"/>
    <mergeCell ref="A38:C38"/>
    <mergeCell ref="I38:J38"/>
    <mergeCell ref="A39:H39"/>
    <mergeCell ref="I39:J39"/>
    <mergeCell ref="A40:H40"/>
    <mergeCell ref="A43:C43"/>
  </mergeCells>
  <dataValidations count="1">
    <dataValidation type="list" allowBlank="1" showInputMessage="1" showErrorMessage="1" sqref="J10" xr:uid="{F57789EF-F03F-4280-BF5A-C9D41AFC3D0E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C66"/>
  </sheetPr>
  <dimension ref="A1:K25"/>
  <sheetViews>
    <sheetView showGridLines="0" topLeftCell="B1" zoomScaleNormal="100" zoomScaleSheetLayoutView="95" workbookViewId="0">
      <selection activeCell="J10" sqref="J10:K1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0.7109375" style="18" customWidth="1"/>
    <col min="7" max="7" width="15.85546875" style="11" customWidth="1"/>
    <col min="8" max="8" width="12.85546875" style="11" customWidth="1"/>
    <col min="9" max="9" width="11.140625" style="11" bestFit="1" customWidth="1"/>
    <col min="10" max="10" width="13.140625" style="11" bestFit="1" customWidth="1"/>
    <col min="11" max="11" width="11.5703125" style="11" bestFit="1" customWidth="1"/>
    <col min="12" max="16384" width="9.140625" style="11"/>
  </cols>
  <sheetData>
    <row r="1" spans="1:11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</row>
    <row r="2" spans="1:11" x14ac:dyDescent="0.25">
      <c r="A2" s="190" t="s">
        <v>207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</row>
    <row r="3" spans="1:11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</row>
    <row r="4" spans="1:11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</row>
    <row r="5" spans="1:11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</row>
    <row r="6" spans="1:11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</row>
    <row r="7" spans="1:11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</row>
    <row r="8" spans="1:11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</row>
    <row r="9" spans="1:11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1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1" x14ac:dyDescent="0.25">
      <c r="A12" s="21" t="s">
        <v>68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1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1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1" ht="16.149999999999999" customHeight="1" x14ac:dyDescent="0.25">
      <c r="A15" s="243" t="s">
        <v>72</v>
      </c>
      <c r="B15" s="244"/>
      <c r="C15" s="245"/>
      <c r="D15" s="107">
        <v>1</v>
      </c>
      <c r="E15" s="72" t="s">
        <v>41</v>
      </c>
      <c r="F15" s="46">
        <v>9</v>
      </c>
      <c r="G15" s="28" t="s">
        <v>19</v>
      </c>
      <c r="H15" s="75" t="s">
        <v>112</v>
      </c>
      <c r="I15" s="237">
        <f>+F15*'Dados Gerais'!E15</f>
        <v>130647.42</v>
      </c>
      <c r="J15" s="239"/>
      <c r="K15" s="27"/>
    </row>
    <row r="16" spans="1:11" ht="16.149999999999999" customHeight="1" x14ac:dyDescent="0.25">
      <c r="A16" s="215" t="s">
        <v>181</v>
      </c>
      <c r="B16" s="216"/>
      <c r="C16" s="217"/>
      <c r="D16" s="120">
        <v>30</v>
      </c>
      <c r="E16" s="72" t="s">
        <v>12</v>
      </c>
      <c r="F16" s="49">
        <v>30</v>
      </c>
      <c r="G16" s="50" t="s">
        <v>42</v>
      </c>
      <c r="H16" s="76" t="s">
        <v>112</v>
      </c>
      <c r="I16" s="218">
        <f>+F16*D16</f>
        <v>900</v>
      </c>
      <c r="J16" s="220"/>
      <c r="K16" s="30"/>
    </row>
    <row r="17" spans="1:11" ht="16.149999999999999" customHeight="1" x14ac:dyDescent="0.25">
      <c r="A17" s="215" t="s">
        <v>179</v>
      </c>
      <c r="B17" s="216"/>
      <c r="C17" s="217"/>
      <c r="D17" s="71">
        <f>0.7*Infraestrutura!D29</f>
        <v>688.62080000000003</v>
      </c>
      <c r="E17" s="72" t="s">
        <v>12</v>
      </c>
      <c r="F17" s="49">
        <v>35</v>
      </c>
      <c r="G17" s="50" t="s">
        <v>42</v>
      </c>
      <c r="H17" s="76" t="s">
        <v>112</v>
      </c>
      <c r="I17" s="218">
        <f>+F17*D17</f>
        <v>24101.728000000003</v>
      </c>
      <c r="J17" s="220"/>
      <c r="K17" s="30"/>
    </row>
    <row r="18" spans="1:11" ht="16.149999999999999" customHeight="1" x14ac:dyDescent="0.25">
      <c r="A18" s="215" t="s">
        <v>69</v>
      </c>
      <c r="B18" s="216"/>
      <c r="C18" s="217"/>
      <c r="D18" s="71">
        <v>1</v>
      </c>
      <c r="E18" s="72" t="s">
        <v>41</v>
      </c>
      <c r="F18" s="49">
        <v>2.2000000000000002</v>
      </c>
      <c r="G18" s="50" t="s">
        <v>19</v>
      </c>
      <c r="H18" s="76" t="s">
        <v>112</v>
      </c>
      <c r="I18" s="218">
        <f>+F18*'Dados Gerais'!$E$15</f>
        <v>31936.036</v>
      </c>
      <c r="J18" s="220"/>
      <c r="K18" s="30"/>
    </row>
    <row r="19" spans="1:11" ht="16.149999999999999" customHeight="1" x14ac:dyDescent="0.25">
      <c r="A19" s="215" t="s">
        <v>70</v>
      </c>
      <c r="B19" s="216"/>
      <c r="C19" s="217"/>
      <c r="D19" s="120">
        <v>1</v>
      </c>
      <c r="E19" s="72" t="s">
        <v>41</v>
      </c>
      <c r="F19" s="49">
        <v>13</v>
      </c>
      <c r="G19" s="50" t="s">
        <v>19</v>
      </c>
      <c r="H19" s="76" t="s">
        <v>112</v>
      </c>
      <c r="I19" s="218">
        <f>+F19*'Dados Gerais'!E15</f>
        <v>188712.94</v>
      </c>
      <c r="J19" s="220"/>
      <c r="K19" s="30"/>
    </row>
    <row r="20" spans="1:11" ht="16.149999999999999" customHeight="1" x14ac:dyDescent="0.25">
      <c r="A20" s="215" t="s">
        <v>74</v>
      </c>
      <c r="B20" s="216"/>
      <c r="C20" s="217"/>
      <c r="D20" s="120">
        <v>1</v>
      </c>
      <c r="E20" s="72" t="s">
        <v>41</v>
      </c>
      <c r="F20" s="47">
        <v>40</v>
      </c>
      <c r="G20" s="50" t="s">
        <v>19</v>
      </c>
      <c r="H20" s="73" t="s">
        <v>112</v>
      </c>
      <c r="I20" s="218">
        <f>+F20*'Dados Gerais'!E15</f>
        <v>580655.19999999995</v>
      </c>
      <c r="J20" s="220"/>
      <c r="K20" s="30"/>
    </row>
    <row r="21" spans="1:11" ht="16.149999999999999" customHeight="1" x14ac:dyDescent="0.25">
      <c r="A21" s="215" t="s">
        <v>71</v>
      </c>
      <c r="B21" s="216"/>
      <c r="C21" s="217"/>
      <c r="D21" s="71">
        <v>1</v>
      </c>
      <c r="E21" s="72" t="s">
        <v>41</v>
      </c>
      <c r="F21" s="47">
        <v>0.75</v>
      </c>
      <c r="G21" s="31" t="s">
        <v>19</v>
      </c>
      <c r="H21" s="73" t="s">
        <v>112</v>
      </c>
      <c r="I21" s="218">
        <f>+F21*'Dados Gerais'!$E$15</f>
        <v>10887.285</v>
      </c>
      <c r="J21" s="220"/>
      <c r="K21" s="30"/>
    </row>
    <row r="22" spans="1:11" ht="16.149999999999999" customHeight="1" x14ac:dyDescent="0.25">
      <c r="A22" s="279" t="s">
        <v>75</v>
      </c>
      <c r="B22" s="280"/>
      <c r="C22" s="281"/>
      <c r="D22" s="135">
        <f>+D20</f>
        <v>1</v>
      </c>
      <c r="E22" s="66" t="s">
        <v>41</v>
      </c>
      <c r="F22" s="48">
        <v>12</v>
      </c>
      <c r="G22" s="35" t="s">
        <v>19</v>
      </c>
      <c r="H22" s="67" t="s">
        <v>112</v>
      </c>
      <c r="I22" s="221">
        <f>+F22*'Dados Gerais'!E15</f>
        <v>174196.56</v>
      </c>
      <c r="J22" s="223"/>
      <c r="K22" s="30"/>
    </row>
    <row r="23" spans="1:11" ht="16.149999999999999" customHeight="1" x14ac:dyDescent="0.25">
      <c r="A23" s="250" t="s">
        <v>34</v>
      </c>
      <c r="B23" s="250"/>
      <c r="C23" s="250"/>
      <c r="D23" s="250"/>
      <c r="E23" s="250"/>
      <c r="F23" s="250"/>
      <c r="G23" s="250"/>
      <c r="H23" s="250"/>
      <c r="I23" s="249">
        <f>SUM(I15:J22)</f>
        <v>1142037.169</v>
      </c>
      <c r="J23" s="249"/>
      <c r="K23" s="34"/>
    </row>
    <row r="24" spans="1:11" ht="16.149999999999999" customHeight="1" x14ac:dyDescent="0.25">
      <c r="A24" s="213"/>
      <c r="B24" s="214"/>
      <c r="C24" s="214"/>
      <c r="D24" s="214"/>
      <c r="E24" s="214"/>
      <c r="F24" s="214"/>
      <c r="G24" s="214"/>
      <c r="H24" s="214"/>
      <c r="I24" s="80"/>
      <c r="J24" s="36"/>
      <c r="K24" s="38"/>
    </row>
    <row r="25" spans="1:11" ht="13.7" x14ac:dyDescent="0.25">
      <c r="A25" s="250" t="s">
        <v>34</v>
      </c>
      <c r="B25" s="250"/>
      <c r="C25" s="250"/>
      <c r="D25" s="250"/>
      <c r="E25" s="250"/>
      <c r="F25" s="250"/>
      <c r="G25" s="250"/>
      <c r="H25" s="250"/>
      <c r="I25" s="249">
        <f>I23</f>
        <v>1142037.169</v>
      </c>
      <c r="J25" s="249">
        <f>I23+I16+I7</f>
        <v>1142937.169</v>
      </c>
      <c r="K25" s="155">
        <f>I25/'Dados Gerais'!E15</f>
        <v>78.672311485370329</v>
      </c>
    </row>
  </sheetData>
  <mergeCells count="31">
    <mergeCell ref="I23:J23"/>
    <mergeCell ref="A16:C16"/>
    <mergeCell ref="I16:J16"/>
    <mergeCell ref="J10:K10"/>
    <mergeCell ref="A2:K4"/>
    <mergeCell ref="B7:K7"/>
    <mergeCell ref="B8:K8"/>
    <mergeCell ref="B9:K9"/>
    <mergeCell ref="B10:D10"/>
    <mergeCell ref="A14:C14"/>
    <mergeCell ref="D14:E14"/>
    <mergeCell ref="F14:G14"/>
    <mergeCell ref="I14:J14"/>
    <mergeCell ref="A15:C15"/>
    <mergeCell ref="I15:J15"/>
    <mergeCell ref="A25:H25"/>
    <mergeCell ref="I25:J25"/>
    <mergeCell ref="A17:C17"/>
    <mergeCell ref="I17:J17"/>
    <mergeCell ref="A18:C18"/>
    <mergeCell ref="I18:J18"/>
    <mergeCell ref="A19:C19"/>
    <mergeCell ref="I19:J19"/>
    <mergeCell ref="A24:H24"/>
    <mergeCell ref="A20:C20"/>
    <mergeCell ref="I20:J20"/>
    <mergeCell ref="A21:C21"/>
    <mergeCell ref="I21:J21"/>
    <mergeCell ref="A22:C22"/>
    <mergeCell ref="I22:J22"/>
    <mergeCell ref="A23:H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C66"/>
  </sheetPr>
  <dimension ref="A1:N25"/>
  <sheetViews>
    <sheetView showGridLines="0" topLeftCell="B1" zoomScaleNormal="100" zoomScaleSheetLayoutView="95" workbookViewId="0">
      <selection activeCell="J10" sqref="J10:K1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0.7109375" style="18" customWidth="1"/>
    <col min="7" max="7" width="15.85546875" style="11" customWidth="1"/>
    <col min="8" max="8" width="15.140625" style="11" customWidth="1"/>
    <col min="9" max="9" width="11.140625" style="11" bestFit="1" customWidth="1"/>
    <col min="10" max="10" width="13.140625" style="11" bestFit="1" customWidth="1"/>
    <col min="11" max="11" width="11.5703125" style="11" bestFit="1" customWidth="1"/>
    <col min="12" max="12" width="13.28515625" style="11" customWidth="1"/>
    <col min="13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208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3" ht="13.7" x14ac:dyDescent="0.25">
      <c r="A12" s="21" t="s">
        <v>105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6.149999999999999" customHeight="1" x14ac:dyDescent="0.25">
      <c r="A15" s="243" t="s">
        <v>79</v>
      </c>
      <c r="B15" s="244"/>
      <c r="C15" s="245"/>
      <c r="D15" s="107">
        <v>12921.47</v>
      </c>
      <c r="E15" s="72" t="s">
        <v>12</v>
      </c>
      <c r="F15" s="46">
        <v>40</v>
      </c>
      <c r="G15" s="28" t="s">
        <v>42</v>
      </c>
      <c r="H15" s="75" t="s">
        <v>112</v>
      </c>
      <c r="I15" s="237">
        <f>F15*D15</f>
        <v>516858.8</v>
      </c>
      <c r="J15" s="239"/>
      <c r="K15" s="27"/>
    </row>
    <row r="16" spans="1:13" ht="16.149999999999999" customHeight="1" x14ac:dyDescent="0.25">
      <c r="A16" s="289" t="s">
        <v>226</v>
      </c>
      <c r="B16" s="290"/>
      <c r="C16" s="291"/>
      <c r="D16" s="120">
        <v>6369.4</v>
      </c>
      <c r="E16" s="121" t="s">
        <v>12</v>
      </c>
      <c r="F16" s="122">
        <v>15</v>
      </c>
      <c r="G16" s="50" t="s">
        <v>42</v>
      </c>
      <c r="H16" s="76" t="s">
        <v>112</v>
      </c>
      <c r="I16" s="277">
        <f>+F16*D16</f>
        <v>95541</v>
      </c>
      <c r="J16" s="278"/>
      <c r="K16" s="27"/>
      <c r="L16" s="136"/>
    </row>
    <row r="17" spans="1:14" ht="16.149999999999999" customHeight="1" x14ac:dyDescent="0.25">
      <c r="A17" s="289" t="s">
        <v>227</v>
      </c>
      <c r="B17" s="290"/>
      <c r="C17" s="291"/>
      <c r="D17" s="120">
        <v>955.09400000000005</v>
      </c>
      <c r="E17" s="121" t="s">
        <v>12</v>
      </c>
      <c r="F17" s="122">
        <v>24</v>
      </c>
      <c r="G17" s="50" t="s">
        <v>42</v>
      </c>
      <c r="H17" s="76" t="s">
        <v>112</v>
      </c>
      <c r="I17" s="277">
        <f>+F17*D17</f>
        <v>22922.256000000001</v>
      </c>
      <c r="J17" s="278"/>
      <c r="K17" s="27"/>
      <c r="L17" s="136"/>
    </row>
    <row r="18" spans="1:14" ht="27" customHeight="1" x14ac:dyDescent="0.25">
      <c r="A18" s="289" t="s">
        <v>77</v>
      </c>
      <c r="B18" s="290"/>
      <c r="C18" s="291"/>
      <c r="D18" s="120">
        <f>24141.89*0.47</f>
        <v>11346.6883</v>
      </c>
      <c r="E18" s="72" t="s">
        <v>12</v>
      </c>
      <c r="F18" s="49">
        <v>2.5</v>
      </c>
      <c r="G18" s="50" t="s">
        <v>42</v>
      </c>
      <c r="H18" s="76" t="s">
        <v>112</v>
      </c>
      <c r="I18" s="218">
        <f>F18*D18</f>
        <v>28366.72075</v>
      </c>
      <c r="J18" s="220"/>
      <c r="K18" s="30"/>
    </row>
    <row r="19" spans="1:14" ht="27" customHeight="1" x14ac:dyDescent="0.25">
      <c r="A19" s="215" t="s">
        <v>78</v>
      </c>
      <c r="B19" s="216"/>
      <c r="C19" s="217"/>
      <c r="D19" s="120">
        <f>D18</f>
        <v>11346.6883</v>
      </c>
      <c r="E19" s="72" t="s">
        <v>12</v>
      </c>
      <c r="F19" s="49">
        <v>23</v>
      </c>
      <c r="G19" s="50" t="s">
        <v>76</v>
      </c>
      <c r="H19" s="76" t="s">
        <v>112</v>
      </c>
      <c r="I19" s="218">
        <f>D19*F19</f>
        <v>260973.8309</v>
      </c>
      <c r="J19" s="220"/>
      <c r="K19" s="30"/>
      <c r="N19" s="11">
        <v>41528.14</v>
      </c>
    </row>
    <row r="20" spans="1:14" ht="16.149999999999999" customHeight="1" x14ac:dyDescent="0.25">
      <c r="A20" s="215" t="s">
        <v>86</v>
      </c>
      <c r="B20" s="216"/>
      <c r="C20" s="217"/>
      <c r="D20" s="71">
        <v>1</v>
      </c>
      <c r="E20" s="72" t="s">
        <v>41</v>
      </c>
      <c r="F20" s="49">
        <v>1.3</v>
      </c>
      <c r="G20" s="50" t="s">
        <v>19</v>
      </c>
      <c r="H20" s="76" t="s">
        <v>112</v>
      </c>
      <c r="I20" s="218">
        <f>+F20*'Dados Gerais'!$E$15</f>
        <v>18871.293999999998</v>
      </c>
      <c r="J20" s="220"/>
      <c r="K20" s="30"/>
      <c r="N20" s="11">
        <f>N19/43</f>
        <v>965.77069767441856</v>
      </c>
    </row>
    <row r="21" spans="1:14" ht="27" customHeight="1" x14ac:dyDescent="0.25">
      <c r="A21" s="215" t="s">
        <v>182</v>
      </c>
      <c r="B21" s="216"/>
      <c r="C21" s="217"/>
      <c r="D21" s="120">
        <f>D15</f>
        <v>12921.47</v>
      </c>
      <c r="E21" s="72" t="s">
        <v>12</v>
      </c>
      <c r="F21" s="49">
        <v>45</v>
      </c>
      <c r="G21" s="50" t="s">
        <v>42</v>
      </c>
      <c r="H21" s="76" t="s">
        <v>112</v>
      </c>
      <c r="I21" s="218">
        <f>F21*D21</f>
        <v>581466.15</v>
      </c>
      <c r="J21" s="220"/>
      <c r="K21" s="30"/>
    </row>
    <row r="22" spans="1:14" ht="27" customHeight="1" x14ac:dyDescent="0.25">
      <c r="A22" s="215" t="s">
        <v>183</v>
      </c>
      <c r="B22" s="216"/>
      <c r="C22" s="217"/>
      <c r="D22" s="120">
        <f>D19</f>
        <v>11346.6883</v>
      </c>
      <c r="E22" s="72" t="s">
        <v>12</v>
      </c>
      <c r="F22" s="49">
        <v>38</v>
      </c>
      <c r="G22" s="50" t="s">
        <v>42</v>
      </c>
      <c r="H22" s="76" t="s">
        <v>112</v>
      </c>
      <c r="I22" s="218">
        <f>35*D22</f>
        <v>397134.09049999999</v>
      </c>
      <c r="J22" s="220"/>
      <c r="K22" s="30"/>
    </row>
    <row r="23" spans="1:14" ht="16.149999999999999" customHeight="1" x14ac:dyDescent="0.25">
      <c r="A23" s="250" t="s">
        <v>34</v>
      </c>
      <c r="B23" s="250"/>
      <c r="C23" s="250"/>
      <c r="D23" s="250"/>
      <c r="E23" s="250"/>
      <c r="F23" s="250"/>
      <c r="G23" s="250"/>
      <c r="H23" s="250"/>
      <c r="I23" s="249">
        <f>SUM(I15:J22)</f>
        <v>1922134.1421500002</v>
      </c>
      <c r="J23" s="249"/>
      <c r="K23" s="34"/>
    </row>
    <row r="24" spans="1:14" ht="16.149999999999999" customHeight="1" x14ac:dyDescent="0.25">
      <c r="A24" s="213"/>
      <c r="B24" s="214"/>
      <c r="C24" s="214"/>
      <c r="D24" s="214"/>
      <c r="E24" s="214"/>
      <c r="F24" s="214"/>
      <c r="G24" s="214"/>
      <c r="H24" s="214"/>
      <c r="I24" s="80"/>
      <c r="J24" s="36"/>
      <c r="K24" s="38"/>
    </row>
    <row r="25" spans="1:14" ht="13.7" x14ac:dyDescent="0.25">
      <c r="A25" s="250" t="s">
        <v>34</v>
      </c>
      <c r="B25" s="250"/>
      <c r="C25" s="250"/>
      <c r="D25" s="250"/>
      <c r="E25" s="250"/>
      <c r="F25" s="250"/>
      <c r="G25" s="250"/>
      <c r="H25" s="250"/>
      <c r="I25" s="249">
        <f>I23</f>
        <v>1922134.1421500002</v>
      </c>
      <c r="J25" s="249">
        <f>I23+I16+I7</f>
        <v>2017675.1421500002</v>
      </c>
      <c r="K25" s="155">
        <f>I25/'Dados Gerais'!E15</f>
        <v>132.41139610219631</v>
      </c>
      <c r="L25" s="11">
        <f>J25/'Dados Gerais'!E15</f>
        <v>138.9929956469864</v>
      </c>
    </row>
  </sheetData>
  <mergeCells count="31">
    <mergeCell ref="A2:K4"/>
    <mergeCell ref="B7:K7"/>
    <mergeCell ref="B8:K8"/>
    <mergeCell ref="A14:C14"/>
    <mergeCell ref="D14:E14"/>
    <mergeCell ref="F14:G14"/>
    <mergeCell ref="I14:J14"/>
    <mergeCell ref="B9:K9"/>
    <mergeCell ref="B10:D10"/>
    <mergeCell ref="J10:K10"/>
    <mergeCell ref="A15:C15"/>
    <mergeCell ref="I15:J15"/>
    <mergeCell ref="A16:C16"/>
    <mergeCell ref="I16:J16"/>
    <mergeCell ref="A24:H24"/>
    <mergeCell ref="A23:H23"/>
    <mergeCell ref="I23:J23"/>
    <mergeCell ref="A18:C18"/>
    <mergeCell ref="I18:J18"/>
    <mergeCell ref="A19:C19"/>
    <mergeCell ref="I19:J19"/>
    <mergeCell ref="A20:C20"/>
    <mergeCell ref="I20:J20"/>
    <mergeCell ref="A21:C21"/>
    <mergeCell ref="I21:J21"/>
    <mergeCell ref="A22:C22"/>
    <mergeCell ref="A25:H25"/>
    <mergeCell ref="I25:J25"/>
    <mergeCell ref="A17:C17"/>
    <mergeCell ref="I17:J17"/>
    <mergeCell ref="I22:J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C66"/>
  </sheetPr>
  <dimension ref="A1:M29"/>
  <sheetViews>
    <sheetView showGridLines="0" topLeftCell="B4" zoomScaleNormal="100" zoomScaleSheetLayoutView="95" workbookViewId="0">
      <selection activeCell="J10" sqref="J10:K1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0.7109375" style="18" customWidth="1"/>
    <col min="7" max="7" width="15.85546875" style="11" customWidth="1"/>
    <col min="8" max="8" width="12.85546875" style="11" customWidth="1"/>
    <col min="9" max="9" width="14.7109375" style="11" bestFit="1" customWidth="1"/>
    <col min="10" max="10" width="13.140625" style="11" bestFit="1" customWidth="1"/>
    <col min="11" max="11" width="15.5703125" style="11" bestFit="1" customWidth="1"/>
    <col min="12" max="12" width="11.28515625" style="11" bestFit="1" customWidth="1"/>
    <col min="13" max="13" width="15.140625" style="11" bestFit="1" customWidth="1"/>
    <col min="14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210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3" ht="13.7" x14ac:dyDescent="0.25">
      <c r="A12" s="21" t="s">
        <v>87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6.149999999999999" customHeight="1" x14ac:dyDescent="0.25">
      <c r="A15" s="243" t="s">
        <v>234</v>
      </c>
      <c r="B15" s="244"/>
      <c r="C15" s="245"/>
      <c r="D15" s="107">
        <v>5420.4340000000002</v>
      </c>
      <c r="E15" s="68" t="s">
        <v>131</v>
      </c>
      <c r="F15" s="46">
        <v>125</v>
      </c>
      <c r="G15" s="31" t="s">
        <v>42</v>
      </c>
      <c r="H15" s="75" t="s">
        <v>112</v>
      </c>
      <c r="I15" s="237">
        <f>+F15*D15</f>
        <v>677554.25</v>
      </c>
      <c r="J15" s="239"/>
      <c r="K15" s="27"/>
      <c r="M15" s="86"/>
    </row>
    <row r="16" spans="1:13" ht="16.149999999999999" customHeight="1" x14ac:dyDescent="0.25">
      <c r="A16" s="215" t="s">
        <v>258</v>
      </c>
      <c r="B16" s="216"/>
      <c r="C16" s="217"/>
      <c r="D16" s="106">
        <v>2617.77</v>
      </c>
      <c r="E16" s="69" t="s">
        <v>131</v>
      </c>
      <c r="F16" s="103">
        <v>260</v>
      </c>
      <c r="G16" s="31" t="s">
        <v>42</v>
      </c>
      <c r="H16" s="73" t="s">
        <v>112</v>
      </c>
      <c r="I16" s="218">
        <f>+F16*D16</f>
        <v>680620.2</v>
      </c>
      <c r="J16" s="220"/>
      <c r="K16" s="27"/>
    </row>
    <row r="17" spans="1:12" ht="16.149999999999999" customHeight="1" x14ac:dyDescent="0.25">
      <c r="A17" s="215" t="s">
        <v>228</v>
      </c>
      <c r="B17" s="216"/>
      <c r="C17" s="217"/>
      <c r="D17" s="106">
        <v>23.47</v>
      </c>
      <c r="E17" s="69" t="s">
        <v>12</v>
      </c>
      <c r="F17" s="103">
        <v>250</v>
      </c>
      <c r="G17" s="31" t="s">
        <v>42</v>
      </c>
      <c r="H17" s="73" t="s">
        <v>112</v>
      </c>
      <c r="I17" s="218">
        <f>D17*F17</f>
        <v>5867.5</v>
      </c>
      <c r="J17" s="220"/>
      <c r="K17" s="27"/>
    </row>
    <row r="18" spans="1:12" ht="16.149999999999999" customHeight="1" x14ac:dyDescent="0.25">
      <c r="A18" s="215" t="s">
        <v>229</v>
      </c>
      <c r="B18" s="216"/>
      <c r="C18" s="217"/>
      <c r="D18" s="106">
        <v>113</v>
      </c>
      <c r="E18" s="69" t="s">
        <v>12</v>
      </c>
      <c r="F18" s="103">
        <v>145</v>
      </c>
      <c r="G18" s="31" t="s">
        <v>42</v>
      </c>
      <c r="H18" s="73" t="s">
        <v>112</v>
      </c>
      <c r="I18" s="218">
        <f>F18*D18</f>
        <v>16385</v>
      </c>
      <c r="J18" s="220"/>
      <c r="K18" s="27"/>
    </row>
    <row r="19" spans="1:12" ht="16.149999999999999" customHeight="1" x14ac:dyDescent="0.25">
      <c r="A19" s="215" t="s">
        <v>230</v>
      </c>
      <c r="B19" s="216"/>
      <c r="C19" s="217"/>
      <c r="D19" s="106">
        <v>391</v>
      </c>
      <c r="E19" s="69" t="s">
        <v>131</v>
      </c>
      <c r="F19" s="103">
        <v>120</v>
      </c>
      <c r="G19" s="31" t="s">
        <v>42</v>
      </c>
      <c r="H19" s="73" t="s">
        <v>112</v>
      </c>
      <c r="I19" s="218">
        <f>+F19*D19</f>
        <v>46920</v>
      </c>
      <c r="J19" s="220"/>
      <c r="K19" s="27"/>
    </row>
    <row r="20" spans="1:12" ht="16.149999999999999" customHeight="1" x14ac:dyDescent="0.25">
      <c r="A20" s="215" t="s">
        <v>256</v>
      </c>
      <c r="B20" s="216"/>
      <c r="C20" s="217"/>
      <c r="D20" s="106">
        <v>91.15</v>
      </c>
      <c r="E20" s="69" t="s">
        <v>12</v>
      </c>
      <c r="F20" s="103">
        <v>500</v>
      </c>
      <c r="G20" s="31" t="s">
        <v>257</v>
      </c>
      <c r="H20" s="73" t="s">
        <v>112</v>
      </c>
      <c r="I20" s="218">
        <f>+F20*D20</f>
        <v>45575</v>
      </c>
      <c r="J20" s="220"/>
      <c r="K20" s="27"/>
    </row>
    <row r="21" spans="1:12" ht="16.149999999999999" customHeight="1" x14ac:dyDescent="0.25">
      <c r="A21" s="215" t="s">
        <v>91</v>
      </c>
      <c r="B21" s="216"/>
      <c r="C21" s="217"/>
      <c r="D21" s="106">
        <f>682.601/0.1</f>
        <v>6826.0099999999993</v>
      </c>
      <c r="E21" s="69" t="s">
        <v>14</v>
      </c>
      <c r="F21" s="103">
        <v>60</v>
      </c>
      <c r="G21" s="31" t="s">
        <v>189</v>
      </c>
      <c r="H21" s="73" t="s">
        <v>112</v>
      </c>
      <c r="I21" s="218">
        <f>+F21*D21</f>
        <v>409560.6</v>
      </c>
      <c r="J21" s="220"/>
      <c r="K21" s="27"/>
    </row>
    <row r="22" spans="1:12" ht="16.149999999999999" customHeight="1" x14ac:dyDescent="0.25">
      <c r="A22" s="215" t="s">
        <v>231</v>
      </c>
      <c r="B22" s="216"/>
      <c r="C22" s="217"/>
      <c r="D22" s="106">
        <v>4715.83</v>
      </c>
      <c r="E22" s="69" t="s">
        <v>12</v>
      </c>
      <c r="F22" s="103">
        <v>90</v>
      </c>
      <c r="G22" s="31" t="s">
        <v>19</v>
      </c>
      <c r="H22" s="73" t="s">
        <v>112</v>
      </c>
      <c r="I22" s="218">
        <f>+F22*D22</f>
        <v>424424.7</v>
      </c>
      <c r="J22" s="220"/>
      <c r="K22" s="27"/>
    </row>
    <row r="23" spans="1:12" ht="16.149999999999999" customHeight="1" x14ac:dyDescent="0.25">
      <c r="A23" s="292" t="s">
        <v>232</v>
      </c>
      <c r="B23" s="216"/>
      <c r="C23" s="217"/>
      <c r="D23" s="106">
        <v>1</v>
      </c>
      <c r="E23" s="69" t="s">
        <v>41</v>
      </c>
      <c r="F23" s="47">
        <v>12</v>
      </c>
      <c r="G23" s="31" t="s">
        <v>19</v>
      </c>
      <c r="H23" s="73" t="s">
        <v>112</v>
      </c>
      <c r="I23" s="218">
        <f>+F23*'Dados Gerais'!$E$15</f>
        <v>174196.56</v>
      </c>
      <c r="J23" s="220"/>
      <c r="K23" s="30"/>
    </row>
    <row r="24" spans="1:12" ht="16.149999999999999" customHeight="1" x14ac:dyDescent="0.25">
      <c r="A24" s="215" t="s">
        <v>188</v>
      </c>
      <c r="B24" s="216"/>
      <c r="C24" s="217"/>
      <c r="D24" s="106">
        <f>D22</f>
        <v>4715.83</v>
      </c>
      <c r="E24" s="69" t="s">
        <v>12</v>
      </c>
      <c r="F24" s="103">
        <v>45</v>
      </c>
      <c r="G24" s="31" t="s">
        <v>42</v>
      </c>
      <c r="H24" s="73" t="s">
        <v>112</v>
      </c>
      <c r="I24" s="218">
        <f>F24*D24</f>
        <v>212212.35</v>
      </c>
      <c r="J24" s="220"/>
      <c r="K24" s="27"/>
    </row>
    <row r="25" spans="1:12" ht="16.149999999999999" customHeight="1" x14ac:dyDescent="0.25">
      <c r="A25" s="215" t="s">
        <v>187</v>
      </c>
      <c r="B25" s="216"/>
      <c r="C25" s="217"/>
      <c r="D25" s="106">
        <f>D15</f>
        <v>5420.4340000000002</v>
      </c>
      <c r="E25" s="69" t="s">
        <v>12</v>
      </c>
      <c r="F25" s="103">
        <v>40</v>
      </c>
      <c r="G25" s="31" t="s">
        <v>42</v>
      </c>
      <c r="H25" s="73" t="s">
        <v>112</v>
      </c>
      <c r="I25" s="218">
        <f>F25*D25</f>
        <v>216817.36000000002</v>
      </c>
      <c r="J25" s="220"/>
      <c r="K25" s="27"/>
    </row>
    <row r="26" spans="1:12" ht="16.149999999999999" customHeight="1" x14ac:dyDescent="0.25">
      <c r="A26" s="279" t="s">
        <v>233</v>
      </c>
      <c r="B26" s="280"/>
      <c r="C26" s="281"/>
      <c r="D26" s="137">
        <f>D18</f>
        <v>113</v>
      </c>
      <c r="E26" s="70" t="s">
        <v>12</v>
      </c>
      <c r="F26" s="118">
        <v>45</v>
      </c>
      <c r="G26" s="31" t="s">
        <v>42</v>
      </c>
      <c r="H26" s="104" t="s">
        <v>112</v>
      </c>
      <c r="I26" s="221">
        <f>F26*D26</f>
        <v>5085</v>
      </c>
      <c r="J26" s="223"/>
      <c r="K26" s="27"/>
    </row>
    <row r="27" spans="1:12" ht="16.149999999999999" customHeight="1" x14ac:dyDescent="0.25">
      <c r="A27" s="250" t="s">
        <v>34</v>
      </c>
      <c r="B27" s="250"/>
      <c r="C27" s="250"/>
      <c r="D27" s="250"/>
      <c r="E27" s="250"/>
      <c r="F27" s="250"/>
      <c r="G27" s="250"/>
      <c r="H27" s="250"/>
      <c r="I27" s="249">
        <f>SUM(I15:J26)</f>
        <v>2915218.52</v>
      </c>
      <c r="J27" s="249"/>
      <c r="K27" s="34"/>
    </row>
    <row r="28" spans="1:12" ht="16.149999999999999" customHeight="1" x14ac:dyDescent="0.25">
      <c r="A28" s="213"/>
      <c r="B28" s="214"/>
      <c r="C28" s="214"/>
      <c r="D28" s="214"/>
      <c r="E28" s="214"/>
      <c r="F28" s="214"/>
      <c r="G28" s="214"/>
      <c r="H28" s="214"/>
      <c r="I28" s="80"/>
      <c r="J28" s="36"/>
      <c r="K28" s="38"/>
    </row>
    <row r="29" spans="1:12" ht="13.7" x14ac:dyDescent="0.25">
      <c r="A29" s="250" t="s">
        <v>34</v>
      </c>
      <c r="B29" s="250"/>
      <c r="C29" s="250"/>
      <c r="D29" s="250"/>
      <c r="E29" s="250"/>
      <c r="F29" s="250"/>
      <c r="G29" s="250"/>
      <c r="H29" s="250"/>
      <c r="I29" s="249">
        <f>I27</f>
        <v>2915218.52</v>
      </c>
      <c r="J29" s="249">
        <f>I27+I20+I11</f>
        <v>2960793.52</v>
      </c>
      <c r="K29" s="155">
        <f>I29/'Dados Gerais'!E15</f>
        <v>200.8226927098905</v>
      </c>
      <c r="L29" s="11">
        <f>J29/'Dados Gerais'!E15</f>
        <v>203.96224954155238</v>
      </c>
    </row>
  </sheetData>
  <mergeCells count="39">
    <mergeCell ref="I26:J26"/>
    <mergeCell ref="A25:C25"/>
    <mergeCell ref="I25:J25"/>
    <mergeCell ref="A24:C24"/>
    <mergeCell ref="I24:J24"/>
    <mergeCell ref="A14:C14"/>
    <mergeCell ref="D14:E14"/>
    <mergeCell ref="F14:G14"/>
    <mergeCell ref="I14:J14"/>
    <mergeCell ref="A15:C15"/>
    <mergeCell ref="I15:J15"/>
    <mergeCell ref="J10:K10"/>
    <mergeCell ref="A2:K4"/>
    <mergeCell ref="B7:K7"/>
    <mergeCell ref="B8:K8"/>
    <mergeCell ref="B9:K9"/>
    <mergeCell ref="B10:D10"/>
    <mergeCell ref="A16:C16"/>
    <mergeCell ref="I16:J16"/>
    <mergeCell ref="A17:C17"/>
    <mergeCell ref="A18:C18"/>
    <mergeCell ref="I17:J17"/>
    <mergeCell ref="I18:J18"/>
    <mergeCell ref="A29:H29"/>
    <mergeCell ref="I29:J29"/>
    <mergeCell ref="A21:C21"/>
    <mergeCell ref="I21:J21"/>
    <mergeCell ref="A19:C19"/>
    <mergeCell ref="I19:J19"/>
    <mergeCell ref="A20:C20"/>
    <mergeCell ref="I20:J20"/>
    <mergeCell ref="A28:H28"/>
    <mergeCell ref="A22:C22"/>
    <mergeCell ref="I22:J22"/>
    <mergeCell ref="A23:C23"/>
    <mergeCell ref="I23:J23"/>
    <mergeCell ref="A27:H27"/>
    <mergeCell ref="I27:J27"/>
    <mergeCell ref="A26:C26"/>
  </mergeCells>
  <phoneticPr fontId="14" type="noConversion"/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C66"/>
  </sheetPr>
  <dimension ref="A1:AB40"/>
  <sheetViews>
    <sheetView showGridLines="0" topLeftCell="B4" zoomScaleNormal="100" zoomScaleSheetLayoutView="95" workbookViewId="0">
      <selection activeCell="J10" sqref="J10:K1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0.7109375" style="18" customWidth="1"/>
    <col min="7" max="7" width="15.85546875" style="11" customWidth="1"/>
    <col min="8" max="8" width="12.85546875" style="11" customWidth="1"/>
    <col min="9" max="9" width="11.140625" style="11" bestFit="1" customWidth="1"/>
    <col min="10" max="10" width="13.140625" style="11" bestFit="1" customWidth="1"/>
    <col min="11" max="11" width="13.42578125" style="11" bestFit="1" customWidth="1"/>
    <col min="12" max="12" width="11.28515625" style="11" bestFit="1" customWidth="1"/>
    <col min="13" max="13" width="15.7109375" style="11" bestFit="1" customWidth="1"/>
    <col min="14" max="14" width="9.5703125" style="11" customWidth="1"/>
    <col min="15" max="15" width="9.140625" style="11"/>
    <col min="16" max="16" width="16.42578125" style="11" bestFit="1" customWidth="1"/>
    <col min="17" max="17" width="9.85546875" style="11" customWidth="1"/>
    <col min="18" max="18" width="9.140625" style="11"/>
    <col min="19" max="19" width="13.85546875" style="11" bestFit="1" customWidth="1"/>
    <col min="20" max="20" width="5.85546875" style="11" customWidth="1"/>
    <col min="21" max="21" width="9.140625" style="11"/>
    <col min="22" max="22" width="14.28515625" style="11" bestFit="1" customWidth="1"/>
    <col min="23" max="23" width="7.85546875" style="11" customWidth="1"/>
    <col min="24" max="24" width="9.140625" style="11"/>
    <col min="25" max="25" width="14.28515625" style="11" bestFit="1" customWidth="1"/>
    <col min="26" max="26" width="6.140625" style="11" customWidth="1"/>
    <col min="27" max="27" width="9.140625" style="11"/>
    <col min="28" max="28" width="16.5703125" style="11" bestFit="1" customWidth="1"/>
    <col min="29" max="16384" width="9.140625" style="11"/>
  </cols>
  <sheetData>
    <row r="1" spans="1:28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  <c r="N1" s="12"/>
    </row>
    <row r="2" spans="1:28" x14ac:dyDescent="0.25">
      <c r="A2" s="190" t="s">
        <v>209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  <c r="N2" s="12"/>
    </row>
    <row r="3" spans="1:28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  <c r="N3" s="12"/>
    </row>
    <row r="4" spans="1:28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  <c r="N4" s="12"/>
    </row>
    <row r="5" spans="1:28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  <c r="N5" s="12"/>
    </row>
    <row r="6" spans="1:28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  <c r="N6" s="12"/>
    </row>
    <row r="7" spans="1:28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  <c r="N7" s="12"/>
    </row>
    <row r="8" spans="1:28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  <c r="N8" s="12"/>
    </row>
    <row r="9" spans="1:28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  <c r="V9" s="138"/>
      <c r="W9" s="139"/>
      <c r="AB9" s="138"/>
    </row>
    <row r="10" spans="1:28" ht="15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300</v>
      </c>
      <c r="K10" s="201"/>
      <c r="M10" s="138"/>
      <c r="N10" s="139"/>
      <c r="P10" s="138"/>
      <c r="Q10" s="139"/>
      <c r="S10" s="138"/>
      <c r="T10" s="139"/>
      <c r="V10" s="138"/>
      <c r="W10" s="139"/>
      <c r="Y10" s="138"/>
      <c r="Z10" s="139"/>
      <c r="AB10" s="138"/>
    </row>
    <row r="11" spans="1:28" ht="14.25" x14ac:dyDescent="0.25">
      <c r="M11" s="138"/>
      <c r="N11" s="139"/>
      <c r="P11" s="138"/>
      <c r="Q11" s="139"/>
      <c r="S11" s="138"/>
      <c r="T11" s="139"/>
      <c r="V11" s="138"/>
      <c r="W11" s="139"/>
      <c r="Y11" s="138"/>
      <c r="Z11" s="139"/>
      <c r="AB11" s="138"/>
    </row>
    <row r="12" spans="1:28" ht="14.25" x14ac:dyDescent="0.25">
      <c r="A12" s="21" t="s">
        <v>85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  <c r="M12" s="138"/>
      <c r="N12" s="139"/>
      <c r="P12" s="138"/>
      <c r="Q12" s="138"/>
      <c r="S12" s="138"/>
      <c r="T12" s="139"/>
      <c r="V12" s="138"/>
      <c r="W12" s="139"/>
      <c r="Y12" s="138"/>
      <c r="Z12" s="139"/>
      <c r="AB12" s="138"/>
    </row>
    <row r="13" spans="1:28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  <c r="M13" s="138"/>
      <c r="N13" s="139"/>
      <c r="P13" s="138"/>
      <c r="Q13" s="138"/>
      <c r="S13" s="138"/>
      <c r="T13" s="139"/>
      <c r="V13" s="138"/>
      <c r="W13" s="139"/>
      <c r="Y13" s="138"/>
      <c r="Z13" s="139"/>
      <c r="AB13" s="138"/>
    </row>
    <row r="14" spans="1:28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  <c r="M14" s="138"/>
      <c r="N14" s="139"/>
      <c r="P14" s="138"/>
      <c r="Q14" s="138"/>
      <c r="S14" s="138"/>
      <c r="T14" s="139"/>
      <c r="V14" s="138"/>
      <c r="W14" s="139"/>
      <c r="Y14" s="138"/>
      <c r="Z14" s="139"/>
      <c r="AB14" s="138"/>
    </row>
    <row r="15" spans="1:28" ht="16.149999999999999" customHeight="1" x14ac:dyDescent="0.25">
      <c r="A15" s="243" t="s">
        <v>80</v>
      </c>
      <c r="B15" s="244"/>
      <c r="C15" s="245"/>
      <c r="D15" s="107">
        <v>6546.19</v>
      </c>
      <c r="E15" s="72" t="s">
        <v>12</v>
      </c>
      <c r="F15" s="46">
        <v>85</v>
      </c>
      <c r="G15" s="28" t="s">
        <v>42</v>
      </c>
      <c r="H15" s="75" t="s">
        <v>112</v>
      </c>
      <c r="I15" s="237">
        <f>+D15*F15</f>
        <v>556426.15</v>
      </c>
      <c r="J15" s="239"/>
      <c r="K15" s="27"/>
      <c r="M15" s="138"/>
      <c r="N15" s="139"/>
      <c r="P15" s="138"/>
      <c r="Q15" s="138"/>
      <c r="S15" s="138"/>
      <c r="T15" s="139"/>
      <c r="V15" s="138"/>
      <c r="W15" s="139"/>
      <c r="Y15" s="138"/>
      <c r="Z15" s="138"/>
      <c r="AB15" s="138"/>
    </row>
    <row r="16" spans="1:28" ht="16.149999999999999" customHeight="1" x14ac:dyDescent="0.25">
      <c r="A16" s="215" t="s">
        <v>264</v>
      </c>
      <c r="B16" s="216"/>
      <c r="C16" s="217"/>
      <c r="D16" s="120">
        <v>662.45</v>
      </c>
      <c r="E16" s="72" t="s">
        <v>12</v>
      </c>
      <c r="F16" s="49">
        <v>450</v>
      </c>
      <c r="G16" s="50" t="s">
        <v>257</v>
      </c>
      <c r="H16" s="76" t="s">
        <v>112</v>
      </c>
      <c r="I16" s="218">
        <f>+D16*F16</f>
        <v>298102.5</v>
      </c>
      <c r="J16" s="220"/>
      <c r="K16" s="27"/>
      <c r="M16" s="138"/>
      <c r="N16" s="139"/>
      <c r="P16" s="138"/>
      <c r="Q16" s="138"/>
      <c r="S16" s="138"/>
      <c r="T16" s="139"/>
      <c r="V16" s="138"/>
      <c r="W16" s="139"/>
      <c r="Y16" s="138"/>
      <c r="Z16" s="138"/>
      <c r="AB16" s="138"/>
    </row>
    <row r="17" spans="1:28" ht="16.149999999999999" customHeight="1" x14ac:dyDescent="0.25">
      <c r="A17" s="215" t="s">
        <v>263</v>
      </c>
      <c r="B17" s="216"/>
      <c r="C17" s="217"/>
      <c r="D17" s="120">
        <v>13.85</v>
      </c>
      <c r="E17" s="72" t="s">
        <v>12</v>
      </c>
      <c r="F17" s="49">
        <v>300</v>
      </c>
      <c r="G17" s="50" t="s">
        <v>257</v>
      </c>
      <c r="H17" s="76" t="s">
        <v>112</v>
      </c>
      <c r="I17" s="218">
        <f>+D17*F17</f>
        <v>4155</v>
      </c>
      <c r="J17" s="220"/>
      <c r="K17" s="27"/>
      <c r="M17" s="138"/>
      <c r="N17" s="139"/>
      <c r="P17" s="138"/>
      <c r="Q17" s="138"/>
      <c r="S17" s="138"/>
      <c r="T17" s="139"/>
      <c r="V17" s="138"/>
      <c r="W17" s="139"/>
      <c r="Y17" s="138"/>
      <c r="Z17" s="138"/>
      <c r="AB17" s="138"/>
    </row>
    <row r="18" spans="1:28" ht="16.149999999999999" customHeight="1" x14ac:dyDescent="0.25">
      <c r="A18" s="289" t="s">
        <v>81</v>
      </c>
      <c r="B18" s="290"/>
      <c r="C18" s="291"/>
      <c r="D18" s="120">
        <v>8065.83</v>
      </c>
      <c r="E18" s="72" t="s">
        <v>14</v>
      </c>
      <c r="F18" s="49">
        <v>25</v>
      </c>
      <c r="G18" s="50" t="s">
        <v>189</v>
      </c>
      <c r="H18" s="76" t="s">
        <v>112</v>
      </c>
      <c r="I18" s="218">
        <f>+D18*F18</f>
        <v>201645.75</v>
      </c>
      <c r="J18" s="220"/>
      <c r="K18" s="30"/>
      <c r="M18" s="138"/>
      <c r="N18" s="139"/>
      <c r="P18" s="138"/>
      <c r="Q18" s="138"/>
      <c r="S18" s="138"/>
      <c r="T18" s="139"/>
      <c r="V18" s="138"/>
      <c r="W18" s="139"/>
      <c r="AB18" s="138"/>
    </row>
    <row r="19" spans="1:28" ht="16.149999999999999" customHeight="1" x14ac:dyDescent="0.25">
      <c r="A19" s="215" t="s">
        <v>82</v>
      </c>
      <c r="B19" s="216"/>
      <c r="C19" s="217"/>
      <c r="D19" s="120">
        <f>+F19*'Dados Gerais'!$E$15</f>
        <v>1451.6379999999999</v>
      </c>
      <c r="E19" s="72" t="s">
        <v>12</v>
      </c>
      <c r="F19" s="49">
        <v>0.1</v>
      </c>
      <c r="G19" s="50" t="s">
        <v>114</v>
      </c>
      <c r="H19" s="76" t="s">
        <v>112</v>
      </c>
      <c r="I19" s="218">
        <f>D19*30</f>
        <v>43549.14</v>
      </c>
      <c r="J19" s="220"/>
      <c r="K19" s="30"/>
      <c r="M19" s="138"/>
      <c r="N19" s="139"/>
      <c r="S19" s="138"/>
      <c r="T19" s="139"/>
      <c r="V19" s="138"/>
      <c r="W19" s="139"/>
      <c r="AB19" s="138"/>
    </row>
    <row r="20" spans="1:28" ht="16.149999999999999" customHeight="1" x14ac:dyDescent="0.25">
      <c r="A20" s="215" t="s">
        <v>86</v>
      </c>
      <c r="B20" s="216"/>
      <c r="C20" s="217"/>
      <c r="D20" s="120">
        <v>5078.6099999999997</v>
      </c>
      <c r="E20" s="72" t="s">
        <v>12</v>
      </c>
      <c r="F20" s="49">
        <v>33</v>
      </c>
      <c r="G20" s="50" t="s">
        <v>42</v>
      </c>
      <c r="H20" s="76" t="s">
        <v>112</v>
      </c>
      <c r="I20" s="218">
        <f>F20*D20</f>
        <v>167594.12999999998</v>
      </c>
      <c r="J20" s="220"/>
      <c r="K20" s="30"/>
      <c r="M20" s="138"/>
      <c r="N20" s="139"/>
      <c r="S20" s="138"/>
      <c r="T20" s="139"/>
      <c r="V20" s="138"/>
      <c r="W20" s="139"/>
      <c r="Y20" s="138"/>
      <c r="Z20" s="139"/>
      <c r="AB20" s="138"/>
    </row>
    <row r="21" spans="1:28" ht="16.149999999999999" customHeight="1" x14ac:dyDescent="0.25">
      <c r="A21" s="250" t="s">
        <v>34</v>
      </c>
      <c r="B21" s="250"/>
      <c r="C21" s="250"/>
      <c r="D21" s="250"/>
      <c r="E21" s="250"/>
      <c r="F21" s="250"/>
      <c r="G21" s="250"/>
      <c r="H21" s="250"/>
      <c r="I21" s="249">
        <f>SUM(I15:J20)</f>
        <v>1271472.6699999997</v>
      </c>
      <c r="J21" s="249"/>
      <c r="K21" s="34"/>
      <c r="M21" s="138"/>
      <c r="N21" s="139"/>
      <c r="P21" s="138"/>
      <c r="Q21" s="138"/>
      <c r="S21" s="138"/>
      <c r="T21" s="139"/>
      <c r="V21" s="138"/>
      <c r="W21" s="139"/>
      <c r="Y21" s="138"/>
      <c r="Z21" s="139"/>
      <c r="AB21" s="138"/>
    </row>
    <row r="22" spans="1:28" ht="16.149999999999999" customHeight="1" x14ac:dyDescent="0.25">
      <c r="A22" s="213"/>
      <c r="B22" s="214"/>
      <c r="C22" s="214"/>
      <c r="D22" s="214"/>
      <c r="E22" s="214"/>
      <c r="F22" s="214"/>
      <c r="G22" s="214"/>
      <c r="H22" s="214"/>
      <c r="I22" s="80"/>
      <c r="J22" s="36"/>
      <c r="K22" s="38"/>
      <c r="M22" s="138"/>
      <c r="N22" s="139"/>
      <c r="P22" s="138"/>
      <c r="Q22" s="138"/>
      <c r="S22" s="138"/>
      <c r="T22" s="139"/>
      <c r="V22" s="138"/>
      <c r="W22" s="139"/>
      <c r="Y22" s="138"/>
      <c r="Z22" s="139"/>
      <c r="AB22" s="138"/>
    </row>
    <row r="23" spans="1:28" ht="14.25" x14ac:dyDescent="0.25">
      <c r="A23" s="250" t="s">
        <v>34</v>
      </c>
      <c r="B23" s="250"/>
      <c r="C23" s="250"/>
      <c r="D23" s="250"/>
      <c r="E23" s="250"/>
      <c r="F23" s="250"/>
      <c r="G23" s="250"/>
      <c r="H23" s="250"/>
      <c r="I23" s="249">
        <f>I21</f>
        <v>1271472.6699999997</v>
      </c>
      <c r="J23" s="249" t="e">
        <f>I21+I14+I5</f>
        <v>#VALUE!</v>
      </c>
      <c r="K23" s="155">
        <f>I23/'Dados Gerais'!E15</f>
        <v>87.5888251754225</v>
      </c>
      <c r="M23" s="138"/>
      <c r="N23" s="139"/>
      <c r="P23" s="138"/>
      <c r="Q23" s="138"/>
      <c r="S23" s="138"/>
      <c r="T23" s="139"/>
      <c r="V23" s="138"/>
      <c r="W23" s="139"/>
      <c r="Y23" s="138"/>
      <c r="Z23" s="139"/>
      <c r="AB23" s="138"/>
    </row>
    <row r="24" spans="1:28" ht="14.25" x14ac:dyDescent="0.25">
      <c r="M24" s="138"/>
      <c r="N24" s="138"/>
      <c r="P24" s="138"/>
      <c r="Q24" s="138"/>
      <c r="S24" s="138"/>
      <c r="T24" s="139"/>
      <c r="Y24" s="138"/>
      <c r="Z24" s="139"/>
    </row>
    <row r="25" spans="1:28" ht="14.25" x14ac:dyDescent="0.25">
      <c r="G25" s="77"/>
      <c r="M25" s="138"/>
      <c r="N25" s="138"/>
      <c r="P25" s="138"/>
      <c r="Q25" s="138"/>
      <c r="S25" s="138"/>
      <c r="T25" s="139"/>
      <c r="Y25" s="138"/>
    </row>
    <row r="26" spans="1:28" ht="14.25" x14ac:dyDescent="0.25">
      <c r="M26" s="138"/>
      <c r="N26" s="138"/>
      <c r="P26" s="138"/>
      <c r="Q26" s="138"/>
      <c r="V26" s="138"/>
      <c r="W26" s="139"/>
    </row>
    <row r="27" spans="1:28" ht="14.25" x14ac:dyDescent="0.25">
      <c r="M27" s="138"/>
      <c r="N27" s="138"/>
      <c r="P27" s="138"/>
      <c r="Q27" s="138"/>
      <c r="V27" s="138"/>
      <c r="W27" s="139"/>
      <c r="AB27" s="138"/>
    </row>
    <row r="28" spans="1:28" ht="14.25" x14ac:dyDescent="0.25">
      <c r="M28" s="138"/>
      <c r="N28" s="138"/>
      <c r="S28" s="138"/>
      <c r="T28" s="139"/>
      <c r="V28" s="138"/>
      <c r="W28" s="139"/>
      <c r="AB28" s="138"/>
    </row>
    <row r="29" spans="1:28" ht="14.25" x14ac:dyDescent="0.25">
      <c r="S29" s="138"/>
      <c r="T29" s="139"/>
      <c r="V29" s="138"/>
      <c r="W29" s="139"/>
      <c r="AB29" s="138"/>
    </row>
    <row r="30" spans="1:28" ht="14.25" x14ac:dyDescent="0.25">
      <c r="S30" s="138"/>
      <c r="T30" s="139"/>
      <c r="V30" s="138"/>
      <c r="W30" s="139"/>
      <c r="AB30" s="138"/>
    </row>
    <row r="31" spans="1:28" ht="14.25" x14ac:dyDescent="0.25">
      <c r="M31" s="138"/>
      <c r="N31" s="138"/>
      <c r="S31" s="138"/>
      <c r="T31" s="139"/>
      <c r="V31" s="138"/>
      <c r="W31" s="139"/>
      <c r="AB31" s="138"/>
    </row>
    <row r="32" spans="1:28" ht="14.25" x14ac:dyDescent="0.25">
      <c r="M32" s="138"/>
      <c r="N32" s="138"/>
      <c r="S32" s="138"/>
      <c r="T32" s="139"/>
      <c r="V32" s="138"/>
      <c r="W32" s="139"/>
      <c r="AB32" s="138"/>
    </row>
    <row r="33" spans="19:28" ht="14.25" x14ac:dyDescent="0.25">
      <c r="S33" s="138"/>
      <c r="T33" s="139"/>
      <c r="V33" s="138"/>
      <c r="W33" s="139"/>
      <c r="AB33" s="138"/>
    </row>
    <row r="34" spans="19:28" ht="14.25" x14ac:dyDescent="0.25">
      <c r="S34" s="138"/>
      <c r="T34" s="139"/>
      <c r="V34" s="138"/>
      <c r="W34" s="139"/>
      <c r="AB34" s="138"/>
    </row>
    <row r="35" spans="19:28" ht="14.25" x14ac:dyDescent="0.25">
      <c r="S35" s="138"/>
      <c r="T35" s="139"/>
      <c r="V35" s="138"/>
      <c r="W35" s="139"/>
      <c r="AB35" s="138"/>
    </row>
    <row r="36" spans="19:28" ht="14.25" x14ac:dyDescent="0.25">
      <c r="S36" s="138"/>
      <c r="T36" s="139"/>
      <c r="V36" s="138"/>
      <c r="W36" s="139"/>
    </row>
    <row r="37" spans="19:28" ht="14.25" x14ac:dyDescent="0.25">
      <c r="S37" s="138"/>
      <c r="T37" s="139"/>
      <c r="V37" s="138"/>
      <c r="W37" s="138"/>
    </row>
    <row r="38" spans="19:28" ht="14.25" x14ac:dyDescent="0.25">
      <c r="S38" s="138"/>
      <c r="T38" s="139"/>
    </row>
    <row r="39" spans="19:28" ht="14.25" x14ac:dyDescent="0.25">
      <c r="S39" s="138"/>
      <c r="T39" s="139"/>
    </row>
    <row r="40" spans="19:28" ht="15" x14ac:dyDescent="0.25">
      <c r="S40" s="138"/>
      <c r="T40" s="138"/>
    </row>
  </sheetData>
  <mergeCells count="27">
    <mergeCell ref="J10:K10"/>
    <mergeCell ref="A2:K4"/>
    <mergeCell ref="B7:K7"/>
    <mergeCell ref="B8:K8"/>
    <mergeCell ref="B9:K9"/>
    <mergeCell ref="B10:D10"/>
    <mergeCell ref="A14:C14"/>
    <mergeCell ref="D14:E14"/>
    <mergeCell ref="F14:G14"/>
    <mergeCell ref="I14:J14"/>
    <mergeCell ref="A15:C15"/>
    <mergeCell ref="I15:J15"/>
    <mergeCell ref="A23:H23"/>
    <mergeCell ref="I23:J23"/>
    <mergeCell ref="I16:J16"/>
    <mergeCell ref="I17:J17"/>
    <mergeCell ref="A16:C16"/>
    <mergeCell ref="A17:C17"/>
    <mergeCell ref="A22:H22"/>
    <mergeCell ref="A18:C18"/>
    <mergeCell ref="I18:J18"/>
    <mergeCell ref="A19:C19"/>
    <mergeCell ref="I19:J19"/>
    <mergeCell ref="A21:H21"/>
    <mergeCell ref="I21:J21"/>
    <mergeCell ref="A20:C20"/>
    <mergeCell ref="I20:J2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C66"/>
  </sheetPr>
  <dimension ref="A1:M23"/>
  <sheetViews>
    <sheetView showGridLines="0" topLeftCell="B4" zoomScaleNormal="100" zoomScaleSheetLayoutView="95" workbookViewId="0">
      <selection activeCell="I14" sqref="I14:J14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0.7109375" style="18" customWidth="1"/>
    <col min="7" max="7" width="15.85546875" style="11" customWidth="1"/>
    <col min="8" max="8" width="12.85546875" style="11" customWidth="1"/>
    <col min="9" max="9" width="11.140625" style="11" bestFit="1" customWidth="1"/>
    <col min="10" max="10" width="13.140625" style="11" bestFit="1" customWidth="1"/>
    <col min="11" max="11" width="11.5703125" style="11" bestFit="1" customWidth="1"/>
    <col min="12" max="12" width="11.28515625" style="11" bestFit="1" customWidth="1"/>
    <col min="13" max="13" width="10" style="11" bestFit="1" customWidth="1"/>
    <col min="14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211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3" ht="13.7" x14ac:dyDescent="0.25">
      <c r="A12" s="21" t="s">
        <v>88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6.149999999999999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6.149999999999999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6.149999999999999" customHeight="1" x14ac:dyDescent="0.25">
      <c r="A15" s="293" t="s">
        <v>236</v>
      </c>
      <c r="B15" s="294"/>
      <c r="C15" s="295"/>
      <c r="D15" s="140">
        <v>2141.16</v>
      </c>
      <c r="E15" s="72" t="s">
        <v>237</v>
      </c>
      <c r="F15" s="124">
        <v>160</v>
      </c>
      <c r="G15" s="50" t="s">
        <v>42</v>
      </c>
      <c r="H15" s="125" t="s">
        <v>112</v>
      </c>
      <c r="I15" s="298">
        <f>+D15*F15</f>
        <v>342585.59999999998</v>
      </c>
      <c r="J15" s="299"/>
      <c r="K15" s="126"/>
    </row>
    <row r="16" spans="1:13" ht="16.149999999999999" customHeight="1" x14ac:dyDescent="0.25">
      <c r="A16" s="293" t="s">
        <v>238</v>
      </c>
      <c r="B16" s="294"/>
      <c r="C16" s="295"/>
      <c r="D16" s="140">
        <v>3735.02</v>
      </c>
      <c r="E16" s="72" t="s">
        <v>237</v>
      </c>
      <c r="F16" s="123">
        <v>65</v>
      </c>
      <c r="G16" s="50" t="s">
        <v>42</v>
      </c>
      <c r="H16" s="125" t="s">
        <v>112</v>
      </c>
      <c r="I16" s="298">
        <f>+D16*F16</f>
        <v>242776.3</v>
      </c>
      <c r="J16" s="300"/>
      <c r="K16" s="27"/>
    </row>
    <row r="17" spans="1:13" ht="16.149999999999999" customHeight="1" x14ac:dyDescent="0.25">
      <c r="A17" s="293" t="s">
        <v>239</v>
      </c>
      <c r="B17" s="294"/>
      <c r="C17" s="295"/>
      <c r="D17" s="140">
        <v>20946.87</v>
      </c>
      <c r="E17" s="72" t="s">
        <v>237</v>
      </c>
      <c r="F17" s="123">
        <f>35+20</f>
        <v>55</v>
      </c>
      <c r="G17" s="50" t="s">
        <v>42</v>
      </c>
      <c r="H17" s="125" t="s">
        <v>112</v>
      </c>
      <c r="I17" s="298">
        <f>+D17*F17</f>
        <v>1152077.8499999999</v>
      </c>
      <c r="J17" s="300"/>
      <c r="K17" s="27"/>
      <c r="M17" s="77"/>
    </row>
    <row r="18" spans="1:13" ht="16.149999999999999" customHeight="1" x14ac:dyDescent="0.25">
      <c r="A18" s="292" t="s">
        <v>240</v>
      </c>
      <c r="B18" s="216"/>
      <c r="C18" s="217"/>
      <c r="D18" s="140">
        <v>3735.02</v>
      </c>
      <c r="E18" s="72" t="s">
        <v>237</v>
      </c>
      <c r="F18" s="123">
        <f>35+12</f>
        <v>47</v>
      </c>
      <c r="G18" s="50" t="s">
        <v>42</v>
      </c>
      <c r="H18" s="117" t="s">
        <v>112</v>
      </c>
      <c r="I18" s="296">
        <f>+D18*F18</f>
        <v>175545.94</v>
      </c>
      <c r="J18" s="297"/>
      <c r="K18" s="27"/>
    </row>
    <row r="19" spans="1:13" ht="16.149999999999999" customHeight="1" x14ac:dyDescent="0.25">
      <c r="A19" s="250" t="s">
        <v>34</v>
      </c>
      <c r="B19" s="250"/>
      <c r="C19" s="250"/>
      <c r="D19" s="250"/>
      <c r="E19" s="250"/>
      <c r="F19" s="250"/>
      <c r="G19" s="250"/>
      <c r="H19" s="250"/>
      <c r="I19" s="256">
        <f>SUM(I15:J18)</f>
        <v>1912985.6899999997</v>
      </c>
      <c r="J19" s="256"/>
      <c r="K19" s="34"/>
    </row>
    <row r="20" spans="1:13" ht="16.149999999999999" customHeight="1" x14ac:dyDescent="0.25">
      <c r="A20" s="213"/>
      <c r="B20" s="214"/>
      <c r="C20" s="214"/>
      <c r="D20" s="214"/>
      <c r="E20" s="214"/>
      <c r="F20" s="214"/>
      <c r="G20" s="214"/>
      <c r="H20" s="214"/>
      <c r="I20" s="80"/>
      <c r="J20" s="36"/>
      <c r="K20" s="38"/>
    </row>
    <row r="21" spans="1:13" ht="13.7" x14ac:dyDescent="0.25">
      <c r="A21" s="250" t="s">
        <v>34</v>
      </c>
      <c r="B21" s="250"/>
      <c r="C21" s="250"/>
      <c r="D21" s="250"/>
      <c r="E21" s="250"/>
      <c r="F21" s="250"/>
      <c r="G21" s="250"/>
      <c r="H21" s="250"/>
      <c r="I21" s="249">
        <f>I19</f>
        <v>1912985.6899999997</v>
      </c>
      <c r="J21" s="249">
        <f>I19+I12+I3</f>
        <v>1912985.6899999997</v>
      </c>
      <c r="K21" s="155">
        <f>I21/'Dados Gerais'!E15</f>
        <v>131.78118029426068</v>
      </c>
    </row>
    <row r="22" spans="1:13" ht="13.7" x14ac:dyDescent="0.25">
      <c r="F22" s="141"/>
    </row>
    <row r="23" spans="1:13" ht="13.7" x14ac:dyDescent="0.25">
      <c r="F23" s="141"/>
    </row>
  </sheetData>
  <mergeCells count="23">
    <mergeCell ref="A18:C18"/>
    <mergeCell ref="I18:J18"/>
    <mergeCell ref="I15:J15"/>
    <mergeCell ref="A16:C16"/>
    <mergeCell ref="I16:J16"/>
    <mergeCell ref="A17:C17"/>
    <mergeCell ref="I17:J17"/>
    <mergeCell ref="A21:H21"/>
    <mergeCell ref="I21:J21"/>
    <mergeCell ref="J10:K10"/>
    <mergeCell ref="A2:K4"/>
    <mergeCell ref="B7:K7"/>
    <mergeCell ref="B8:K8"/>
    <mergeCell ref="B9:K9"/>
    <mergeCell ref="B10:D10"/>
    <mergeCell ref="A19:H19"/>
    <mergeCell ref="I19:J19"/>
    <mergeCell ref="A20:H20"/>
    <mergeCell ref="A14:C14"/>
    <mergeCell ref="D14:E14"/>
    <mergeCell ref="F14:G14"/>
    <mergeCell ref="I14:J14"/>
    <mergeCell ref="A15:C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C66"/>
  </sheetPr>
  <dimension ref="A1:M31"/>
  <sheetViews>
    <sheetView showGridLines="0" topLeftCell="B1" zoomScaleNormal="100" zoomScaleSheetLayoutView="95" workbookViewId="0">
      <selection activeCell="B11" sqref="B11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6.140625" style="18" bestFit="1" customWidth="1"/>
    <col min="7" max="7" width="15.85546875" style="11" customWidth="1"/>
    <col min="8" max="8" width="12.85546875" style="11" customWidth="1"/>
    <col min="9" max="9" width="11.140625" style="11" bestFit="1" customWidth="1"/>
    <col min="10" max="10" width="13.140625" style="11" bestFit="1" customWidth="1"/>
    <col min="11" max="11" width="11.5703125" style="11" bestFit="1" customWidth="1"/>
    <col min="12" max="12" width="11.28515625" style="11" bestFit="1" customWidth="1"/>
    <col min="13" max="13" width="11.42578125" style="11" bestFit="1" customWidth="1"/>
    <col min="14" max="16384" width="9.140625" style="11"/>
  </cols>
  <sheetData>
    <row r="1" spans="1:13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3" x14ac:dyDescent="0.25">
      <c r="A2" s="190" t="s">
        <v>212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3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3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3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3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3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3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3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3" ht="15.75" customHeight="1" x14ac:dyDescent="0.25">
      <c r="A12" s="21" t="s">
        <v>89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3" ht="15.75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3" ht="15.75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3" ht="15.75" customHeight="1" x14ac:dyDescent="0.25">
      <c r="A15" s="242" t="s">
        <v>90</v>
      </c>
      <c r="B15" s="242"/>
      <c r="C15" s="242"/>
      <c r="D15" s="107">
        <v>1070.93</v>
      </c>
      <c r="E15" s="107" t="s">
        <v>12</v>
      </c>
      <c r="F15" s="108">
        <v>1650</v>
      </c>
      <c r="G15" s="82" t="s">
        <v>42</v>
      </c>
      <c r="H15" s="83" t="s">
        <v>112</v>
      </c>
      <c r="I15" s="301">
        <f>+F15*D15</f>
        <v>1767034.5</v>
      </c>
      <c r="J15" s="301"/>
      <c r="K15" s="27"/>
    </row>
    <row r="16" spans="1:13" ht="15.75" customHeight="1" x14ac:dyDescent="0.25">
      <c r="A16" s="236" t="s">
        <v>260</v>
      </c>
      <c r="B16" s="236"/>
      <c r="C16" s="236"/>
      <c r="D16" s="120">
        <v>389.85</v>
      </c>
      <c r="E16" s="120" t="s">
        <v>12</v>
      </c>
      <c r="F16" s="145">
        <v>1000</v>
      </c>
      <c r="G16" s="146" t="s">
        <v>261</v>
      </c>
      <c r="H16" s="147" t="s">
        <v>112</v>
      </c>
      <c r="I16" s="304">
        <f>+F16*D16</f>
        <v>389850</v>
      </c>
      <c r="J16" s="305"/>
      <c r="K16" s="27"/>
    </row>
    <row r="17" spans="1:13" ht="15.75" customHeight="1" x14ac:dyDescent="0.25">
      <c r="A17" s="236" t="s">
        <v>251</v>
      </c>
      <c r="B17" s="236"/>
      <c r="C17" s="236"/>
      <c r="D17" s="106">
        <v>720.1</v>
      </c>
      <c r="E17" s="106" t="s">
        <v>12</v>
      </c>
      <c r="F17" s="165">
        <v>2100</v>
      </c>
      <c r="G17" s="84" t="s">
        <v>42</v>
      </c>
      <c r="H17" s="79" t="s">
        <v>112</v>
      </c>
      <c r="I17" s="302">
        <f>+D17*F17</f>
        <v>1512210</v>
      </c>
      <c r="J17" s="303"/>
      <c r="K17" s="27"/>
      <c r="L17" s="60"/>
    </row>
    <row r="18" spans="1:13" ht="15" customHeight="1" x14ac:dyDescent="0.25">
      <c r="A18" s="236" t="s">
        <v>191</v>
      </c>
      <c r="B18" s="236"/>
      <c r="C18" s="236"/>
      <c r="D18" s="106">
        <v>210.62</v>
      </c>
      <c r="E18" s="106" t="s">
        <v>12</v>
      </c>
      <c r="F18" s="165">
        <v>2000</v>
      </c>
      <c r="G18" s="84" t="s">
        <v>42</v>
      </c>
      <c r="H18" s="79" t="s">
        <v>112</v>
      </c>
      <c r="I18" s="302">
        <f>+D18*F18</f>
        <v>421240</v>
      </c>
      <c r="J18" s="303"/>
      <c r="K18" s="27"/>
      <c r="L18" s="60"/>
      <c r="M18" s="77"/>
    </row>
    <row r="19" spans="1:13" ht="15.75" customHeight="1" x14ac:dyDescent="0.25">
      <c r="A19" s="236" t="s">
        <v>178</v>
      </c>
      <c r="B19" s="236"/>
      <c r="C19" s="236"/>
      <c r="D19" s="106">
        <v>1</v>
      </c>
      <c r="E19" s="69" t="s">
        <v>41</v>
      </c>
      <c r="F19" s="163">
        <v>200000</v>
      </c>
      <c r="G19" s="84" t="s">
        <v>246</v>
      </c>
      <c r="H19" s="79" t="s">
        <v>112</v>
      </c>
      <c r="I19" s="302">
        <f>+D19*F19</f>
        <v>200000</v>
      </c>
      <c r="J19" s="303"/>
      <c r="K19" s="27"/>
      <c r="M19" s="77"/>
    </row>
    <row r="20" spans="1:13" ht="15" customHeight="1" x14ac:dyDescent="0.25">
      <c r="A20" s="236" t="s">
        <v>247</v>
      </c>
      <c r="B20" s="236"/>
      <c r="C20" s="236"/>
      <c r="D20" s="106">
        <v>72</v>
      </c>
      <c r="E20" s="106" t="s">
        <v>13</v>
      </c>
      <c r="F20" s="165">
        <v>1750</v>
      </c>
      <c r="G20" s="84" t="s">
        <v>164</v>
      </c>
      <c r="H20" s="79" t="s">
        <v>112</v>
      </c>
      <c r="I20" s="304">
        <f>+D20*F20</f>
        <v>126000</v>
      </c>
      <c r="J20" s="305"/>
      <c r="K20" s="27"/>
    </row>
    <row r="21" spans="1:13" ht="15.75" customHeight="1" x14ac:dyDescent="0.25">
      <c r="A21" s="236" t="s">
        <v>248</v>
      </c>
      <c r="B21" s="236"/>
      <c r="C21" s="236"/>
      <c r="D21" s="106">
        <v>525.64</v>
      </c>
      <c r="E21" s="106" t="s">
        <v>14</v>
      </c>
      <c r="F21" s="165">
        <v>150</v>
      </c>
      <c r="G21" s="84" t="s">
        <v>189</v>
      </c>
      <c r="H21" s="79" t="s">
        <v>112</v>
      </c>
      <c r="I21" s="304">
        <f>+D21*F21</f>
        <v>78846</v>
      </c>
      <c r="J21" s="305"/>
      <c r="K21" s="27"/>
    </row>
    <row r="22" spans="1:13" ht="15.75" customHeight="1" x14ac:dyDescent="0.25">
      <c r="A22" s="236" t="s">
        <v>176</v>
      </c>
      <c r="B22" s="236"/>
      <c r="C22" s="236"/>
      <c r="D22" s="106">
        <v>309</v>
      </c>
      <c r="E22" s="106" t="s">
        <v>41</v>
      </c>
      <c r="F22" s="165">
        <v>3000</v>
      </c>
      <c r="G22" s="84" t="s">
        <v>164</v>
      </c>
      <c r="H22" s="79" t="s">
        <v>112</v>
      </c>
      <c r="I22" s="304">
        <f>+F22*D22</f>
        <v>927000</v>
      </c>
      <c r="J22" s="305"/>
      <c r="K22" s="27"/>
    </row>
    <row r="23" spans="1:13" ht="15.75" customHeight="1" x14ac:dyDescent="0.25">
      <c r="A23" s="236" t="s">
        <v>249</v>
      </c>
      <c r="B23" s="236"/>
      <c r="C23" s="236"/>
      <c r="D23" s="106">
        <v>43</v>
      </c>
      <c r="E23" s="106" t="s">
        <v>41</v>
      </c>
      <c r="F23" s="165">
        <v>2500</v>
      </c>
      <c r="G23" s="84" t="s">
        <v>164</v>
      </c>
      <c r="H23" s="79" t="s">
        <v>112</v>
      </c>
      <c r="I23" s="304">
        <f>+F23*D23</f>
        <v>107500</v>
      </c>
      <c r="J23" s="305"/>
      <c r="K23" s="27"/>
    </row>
    <row r="24" spans="1:13" ht="15.75" customHeight="1" x14ac:dyDescent="0.25">
      <c r="A24" s="236" t="s">
        <v>250</v>
      </c>
      <c r="B24" s="236"/>
      <c r="C24" s="236"/>
      <c r="D24" s="106">
        <v>1</v>
      </c>
      <c r="E24" s="106" t="s">
        <v>13</v>
      </c>
      <c r="F24" s="113">
        <v>30000</v>
      </c>
      <c r="G24" s="84" t="s">
        <v>164</v>
      </c>
      <c r="H24" s="79" t="s">
        <v>112</v>
      </c>
      <c r="I24" s="304">
        <f>+F24*D24</f>
        <v>30000</v>
      </c>
      <c r="J24" s="305"/>
      <c r="K24" s="27"/>
    </row>
    <row r="25" spans="1:13" ht="15.75" customHeight="1" x14ac:dyDescent="0.25">
      <c r="A25" s="250" t="s">
        <v>34</v>
      </c>
      <c r="B25" s="250"/>
      <c r="C25" s="250"/>
      <c r="D25" s="250"/>
      <c r="E25" s="250"/>
      <c r="F25" s="250"/>
      <c r="G25" s="250"/>
      <c r="H25" s="250"/>
      <c r="I25" s="256">
        <f>SUM(I15:J24)</f>
        <v>5559680.5</v>
      </c>
      <c r="J25" s="256"/>
      <c r="K25" s="34"/>
    </row>
    <row r="26" spans="1:13" ht="15.75" customHeight="1" x14ac:dyDescent="0.25">
      <c r="A26" s="213"/>
      <c r="B26" s="214"/>
      <c r="C26" s="214"/>
      <c r="D26" s="214"/>
      <c r="E26" s="214"/>
      <c r="F26" s="214"/>
      <c r="G26" s="214"/>
      <c r="H26" s="214"/>
      <c r="I26" s="80"/>
      <c r="J26" s="36"/>
      <c r="K26" s="38"/>
    </row>
    <row r="28" spans="1:13" ht="13.7" x14ac:dyDescent="0.25">
      <c r="A28" s="250" t="s">
        <v>34</v>
      </c>
      <c r="B28" s="250"/>
      <c r="C28" s="250"/>
      <c r="D28" s="250"/>
      <c r="E28" s="250"/>
      <c r="F28" s="250"/>
      <c r="G28" s="250"/>
      <c r="H28" s="250"/>
      <c r="I28" s="249">
        <f>I25</f>
        <v>5559680.5</v>
      </c>
      <c r="J28" s="249" t="e">
        <f>I26+I19+I10</f>
        <v>#VALUE!</v>
      </c>
      <c r="K28" s="155">
        <f>I28/'Dados Gerais'!E15</f>
        <v>382.99359068858769</v>
      </c>
    </row>
    <row r="29" spans="1:13" ht="13.7" x14ac:dyDescent="0.25">
      <c r="E29" s="166" t="s">
        <v>293</v>
      </c>
      <c r="F29" s="11"/>
    </row>
    <row r="30" spans="1:13" ht="13.7" x14ac:dyDescent="0.25">
      <c r="E30" s="11"/>
      <c r="F30" s="11"/>
    </row>
    <row r="31" spans="1:13" ht="13.7" x14ac:dyDescent="0.25">
      <c r="E31" s="11"/>
      <c r="F31" s="11"/>
    </row>
  </sheetData>
  <mergeCells count="35">
    <mergeCell ref="A16:C16"/>
    <mergeCell ref="I16:J16"/>
    <mergeCell ref="A17:C17"/>
    <mergeCell ref="I17:J17"/>
    <mergeCell ref="A24:C24"/>
    <mergeCell ref="I24:J24"/>
    <mergeCell ref="A18:C18"/>
    <mergeCell ref="I18:J18"/>
    <mergeCell ref="I22:J22"/>
    <mergeCell ref="A21:C21"/>
    <mergeCell ref="I21:J21"/>
    <mergeCell ref="A23:C23"/>
    <mergeCell ref="I23:J23"/>
    <mergeCell ref="J10:K10"/>
    <mergeCell ref="A2:K4"/>
    <mergeCell ref="B7:K7"/>
    <mergeCell ref="B8:K8"/>
    <mergeCell ref="B9:K9"/>
    <mergeCell ref="B10:D10"/>
    <mergeCell ref="A28:H28"/>
    <mergeCell ref="I28:J28"/>
    <mergeCell ref="A14:C14"/>
    <mergeCell ref="D14:E14"/>
    <mergeCell ref="F14:G14"/>
    <mergeCell ref="I14:J14"/>
    <mergeCell ref="A15:C15"/>
    <mergeCell ref="I15:J15"/>
    <mergeCell ref="A26:H26"/>
    <mergeCell ref="A19:C19"/>
    <mergeCell ref="I19:J19"/>
    <mergeCell ref="A20:C20"/>
    <mergeCell ref="I20:J20"/>
    <mergeCell ref="A25:H25"/>
    <mergeCell ref="I25:J25"/>
    <mergeCell ref="A22:C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C66"/>
  </sheetPr>
  <dimension ref="A1:P57"/>
  <sheetViews>
    <sheetView showGridLines="0" topLeftCell="A5" zoomScaleNormal="100" zoomScaleSheetLayoutView="95" workbookViewId="0">
      <selection activeCell="K31" sqref="K31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12.7109375" style="18" bestFit="1" customWidth="1"/>
    <col min="7" max="7" width="15.85546875" style="11" customWidth="1"/>
    <col min="8" max="8" width="13.5703125" style="11" bestFit="1" customWidth="1"/>
    <col min="9" max="9" width="11.140625" style="11" bestFit="1" customWidth="1"/>
    <col min="10" max="10" width="13.140625" style="11" bestFit="1" customWidth="1"/>
    <col min="11" max="11" width="14.42578125" style="11" bestFit="1" customWidth="1"/>
    <col min="12" max="12" width="15.140625" style="11" bestFit="1" customWidth="1"/>
    <col min="13" max="14" width="9.140625" style="11"/>
    <col min="15" max="15" width="10.42578125" style="11" bestFit="1" customWidth="1"/>
    <col min="16" max="16384" width="9.140625" style="11"/>
  </cols>
  <sheetData>
    <row r="1" spans="1:15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M1" s="12"/>
    </row>
    <row r="2" spans="1:15" x14ac:dyDescent="0.25">
      <c r="A2" s="190" t="s">
        <v>213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M2" s="12"/>
    </row>
    <row r="3" spans="1:15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M3" s="12"/>
    </row>
    <row r="4" spans="1:15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M4" s="12"/>
    </row>
    <row r="5" spans="1:15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M5" s="12"/>
    </row>
    <row r="6" spans="1:15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M6" s="12"/>
    </row>
    <row r="7" spans="1:15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M7" s="12"/>
    </row>
    <row r="8" spans="1:15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M8" s="12"/>
    </row>
    <row r="9" spans="1:15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</row>
    <row r="10" spans="1:15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200" t="s">
        <v>301</v>
      </c>
      <c r="K10" s="201"/>
    </row>
    <row r="12" spans="1:15" ht="15.75" customHeight="1" x14ac:dyDescent="0.25">
      <c r="A12" s="21" t="s">
        <v>92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</row>
    <row r="13" spans="1:15" ht="15.75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</row>
    <row r="14" spans="1:15" ht="15.75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</row>
    <row r="15" spans="1:15" x14ac:dyDescent="0.25">
      <c r="A15" s="243" t="s">
        <v>95</v>
      </c>
      <c r="B15" s="244"/>
      <c r="C15" s="245"/>
      <c r="D15" s="107">
        <v>8673.01</v>
      </c>
      <c r="E15" s="68" t="s">
        <v>12</v>
      </c>
      <c r="F15" s="81">
        <v>30</v>
      </c>
      <c r="G15" s="83" t="s">
        <v>190</v>
      </c>
      <c r="H15" s="83" t="s">
        <v>112</v>
      </c>
      <c r="I15" s="237">
        <f>+D15*F15</f>
        <v>260190.30000000002</v>
      </c>
      <c r="J15" s="239"/>
      <c r="K15" s="27"/>
      <c r="L15" s="86"/>
      <c r="O15" s="60"/>
    </row>
    <row r="16" spans="1:15" x14ac:dyDescent="0.25">
      <c r="A16" s="279" t="s">
        <v>39</v>
      </c>
      <c r="B16" s="280"/>
      <c r="C16" s="281"/>
      <c r="D16" s="137">
        <f>D15</f>
        <v>8673.01</v>
      </c>
      <c r="E16" s="70" t="s">
        <v>12</v>
      </c>
      <c r="F16" s="116">
        <v>70</v>
      </c>
      <c r="G16" s="117" t="s">
        <v>190</v>
      </c>
      <c r="H16" s="117" t="s">
        <v>112</v>
      </c>
      <c r="I16" s="221">
        <f>+D16*F16</f>
        <v>607110.70000000007</v>
      </c>
      <c r="J16" s="223"/>
      <c r="K16" s="27"/>
      <c r="L16" s="86"/>
    </row>
    <row r="17" spans="1:16" ht="15" customHeight="1" x14ac:dyDescent="0.25">
      <c r="A17" s="250" t="s">
        <v>34</v>
      </c>
      <c r="B17" s="250"/>
      <c r="C17" s="250"/>
      <c r="D17" s="250"/>
      <c r="E17" s="250"/>
      <c r="F17" s="250"/>
      <c r="G17" s="250"/>
      <c r="H17" s="250"/>
      <c r="I17" s="249">
        <f>SUM(I15:J16)</f>
        <v>867301.00000000012</v>
      </c>
      <c r="J17" s="249"/>
      <c r="K17" s="34"/>
    </row>
    <row r="18" spans="1:16" ht="15.75" customHeight="1" x14ac:dyDescent="0.25">
      <c r="A18" s="213"/>
      <c r="B18" s="214"/>
      <c r="C18" s="214"/>
      <c r="D18" s="214"/>
      <c r="E18" s="214"/>
      <c r="F18" s="214"/>
      <c r="G18" s="214"/>
      <c r="H18" s="214"/>
      <c r="I18" s="80"/>
      <c r="J18" s="36"/>
      <c r="K18" s="38"/>
    </row>
    <row r="19" spans="1:16" ht="15.75" customHeight="1" x14ac:dyDescent="0.25">
      <c r="F19" s="87"/>
      <c r="O19" s="11">
        <f>P22*O21</f>
        <v>2682.49</v>
      </c>
    </row>
    <row r="20" spans="1:16" ht="15.75" customHeight="1" x14ac:dyDescent="0.25">
      <c r="A20" s="21" t="s">
        <v>93</v>
      </c>
      <c r="B20" s="22"/>
      <c r="C20" s="22"/>
      <c r="D20" s="56"/>
      <c r="E20" s="40"/>
      <c r="F20" s="23"/>
      <c r="G20" s="22"/>
      <c r="H20" s="22"/>
      <c r="I20" s="22"/>
      <c r="J20" s="22"/>
      <c r="K20" s="24"/>
    </row>
    <row r="21" spans="1:16" ht="15.75" customHeight="1" x14ac:dyDescent="0.25">
      <c r="A21" s="25"/>
      <c r="B21" s="26"/>
      <c r="C21" s="26"/>
      <c r="D21" s="57"/>
      <c r="E21" s="64"/>
      <c r="F21" s="26"/>
      <c r="G21" s="26"/>
      <c r="H21" s="26"/>
      <c r="K21" s="27"/>
      <c r="L21" s="142">
        <f>I23*M21</f>
        <v>780570.9</v>
      </c>
      <c r="M21" s="119">
        <v>0.6</v>
      </c>
      <c r="O21" s="119">
        <v>1</v>
      </c>
      <c r="P21" s="11">
        <v>10198.14</v>
      </c>
    </row>
    <row r="22" spans="1:16" ht="15.75" customHeight="1" x14ac:dyDescent="0.25">
      <c r="A22" s="230" t="s">
        <v>29</v>
      </c>
      <c r="B22" s="231"/>
      <c r="C22" s="231"/>
      <c r="D22" s="252" t="s">
        <v>36</v>
      </c>
      <c r="E22" s="253"/>
      <c r="F22" s="233" t="s">
        <v>18</v>
      </c>
      <c r="G22" s="235"/>
      <c r="H22" s="51" t="s">
        <v>33</v>
      </c>
      <c r="I22" s="233" t="s">
        <v>32</v>
      </c>
      <c r="J22" s="235"/>
      <c r="K22" s="27"/>
      <c r="L22" s="142">
        <f>I23*M22</f>
        <v>520380.60000000003</v>
      </c>
      <c r="M22" s="119">
        <v>0.4</v>
      </c>
      <c r="P22" s="11">
        <v>2682.49</v>
      </c>
    </row>
    <row r="23" spans="1:16" x14ac:dyDescent="0.25">
      <c r="A23" s="242" t="s">
        <v>294</v>
      </c>
      <c r="B23" s="242"/>
      <c r="C23" s="242"/>
      <c r="D23" s="107">
        <v>8673.01</v>
      </c>
      <c r="E23" s="68" t="s">
        <v>12</v>
      </c>
      <c r="F23" s="81">
        <v>150</v>
      </c>
      <c r="G23" s="83" t="s">
        <v>42</v>
      </c>
      <c r="H23" s="83" t="s">
        <v>112</v>
      </c>
      <c r="I23" s="237">
        <f>F23*D23</f>
        <v>1300951.5</v>
      </c>
      <c r="J23" s="239"/>
      <c r="K23" s="27"/>
      <c r="L23" s="11" t="s">
        <v>267</v>
      </c>
      <c r="P23" s="119">
        <f>P22/P21</f>
        <v>0.26303718128992148</v>
      </c>
    </row>
    <row r="24" spans="1:16" ht="15.75" customHeight="1" x14ac:dyDescent="0.25">
      <c r="A24" s="250" t="s">
        <v>34</v>
      </c>
      <c r="B24" s="250"/>
      <c r="C24" s="250"/>
      <c r="D24" s="250"/>
      <c r="E24" s="250"/>
      <c r="F24" s="250"/>
      <c r="G24" s="250"/>
      <c r="H24" s="250"/>
      <c r="I24" s="249">
        <f>SUM(I23:J23)</f>
        <v>1300951.5</v>
      </c>
      <c r="J24" s="249"/>
      <c r="K24" s="34"/>
    </row>
    <row r="25" spans="1:16" ht="15.75" customHeight="1" x14ac:dyDescent="0.25">
      <c r="A25" s="213"/>
      <c r="B25" s="214"/>
      <c r="C25" s="214"/>
      <c r="D25" s="214"/>
      <c r="E25" s="214"/>
      <c r="F25" s="214"/>
      <c r="G25" s="214"/>
      <c r="H25" s="214"/>
      <c r="I25" s="80"/>
      <c r="J25" s="36"/>
      <c r="K25" s="38"/>
    </row>
    <row r="26" spans="1:16" ht="15.75" customHeight="1" x14ac:dyDescent="0.25">
      <c r="A26" s="21" t="s">
        <v>94</v>
      </c>
      <c r="B26" s="22"/>
      <c r="C26" s="22"/>
      <c r="D26" s="56"/>
      <c r="E26" s="40"/>
      <c r="F26" s="23"/>
      <c r="G26" s="22"/>
      <c r="H26" s="22"/>
      <c r="I26" s="22"/>
      <c r="J26" s="22"/>
      <c r="K26" s="24"/>
    </row>
    <row r="27" spans="1:16" ht="15.75" customHeight="1" x14ac:dyDescent="0.25">
      <c r="A27" s="25"/>
      <c r="B27" s="26"/>
      <c r="C27" s="26"/>
      <c r="D27" s="57"/>
      <c r="E27" s="64"/>
      <c r="F27" s="26"/>
      <c r="G27" s="26"/>
      <c r="H27" s="26"/>
      <c r="K27" s="27"/>
    </row>
    <row r="28" spans="1:16" ht="15.75" customHeight="1" x14ac:dyDescent="0.25">
      <c r="A28" s="230" t="s">
        <v>29</v>
      </c>
      <c r="B28" s="231"/>
      <c r="C28" s="231"/>
      <c r="D28" s="252" t="s">
        <v>36</v>
      </c>
      <c r="E28" s="253"/>
      <c r="F28" s="233" t="s">
        <v>18</v>
      </c>
      <c r="G28" s="235"/>
      <c r="H28" s="51" t="s">
        <v>33</v>
      </c>
      <c r="I28" s="233" t="s">
        <v>32</v>
      </c>
      <c r="J28" s="235"/>
      <c r="K28" s="27"/>
    </row>
    <row r="29" spans="1:16" x14ac:dyDescent="0.25">
      <c r="A29" s="242" t="s">
        <v>121</v>
      </c>
      <c r="B29" s="242"/>
      <c r="C29" s="242"/>
      <c r="D29" s="107">
        <v>1</v>
      </c>
      <c r="E29" s="68" t="s">
        <v>41</v>
      </c>
      <c r="F29" s="81">
        <v>100000</v>
      </c>
      <c r="G29" s="83" t="s">
        <v>41</v>
      </c>
      <c r="H29" s="83" t="s">
        <v>112</v>
      </c>
      <c r="I29" s="257">
        <f>+F29</f>
        <v>100000</v>
      </c>
      <c r="J29" s="257"/>
      <c r="K29" s="27"/>
    </row>
    <row r="30" spans="1:16" x14ac:dyDescent="0.25">
      <c r="A30" s="236" t="s">
        <v>252</v>
      </c>
      <c r="B30" s="236"/>
      <c r="C30" s="236"/>
      <c r="D30" s="106">
        <v>514.04</v>
      </c>
      <c r="E30" s="106" t="s">
        <v>12</v>
      </c>
      <c r="F30" s="81">
        <v>220</v>
      </c>
      <c r="G30" s="83" t="s">
        <v>41</v>
      </c>
      <c r="H30" s="79" t="s">
        <v>112</v>
      </c>
      <c r="I30" s="306">
        <f>+F30*D30</f>
        <v>113088.79999999999</v>
      </c>
      <c r="J30" s="306"/>
      <c r="K30" s="27"/>
    </row>
    <row r="31" spans="1:16" x14ac:dyDescent="0.25">
      <c r="A31" s="236" t="s">
        <v>259</v>
      </c>
      <c r="B31" s="236"/>
      <c r="C31" s="236"/>
      <c r="D31" s="69">
        <v>290.99</v>
      </c>
      <c r="E31" s="69" t="s">
        <v>12</v>
      </c>
      <c r="F31" s="144">
        <v>1000</v>
      </c>
      <c r="G31" s="84" t="s">
        <v>42</v>
      </c>
      <c r="H31" s="79" t="s">
        <v>112</v>
      </c>
      <c r="I31" s="302">
        <f>+D31*F31</f>
        <v>290990</v>
      </c>
      <c r="J31" s="303"/>
      <c r="K31" s="27"/>
    </row>
    <row r="32" spans="1:16" ht="15.75" customHeight="1" x14ac:dyDescent="0.25">
      <c r="A32" s="250"/>
      <c r="B32" s="250"/>
      <c r="C32" s="250"/>
      <c r="D32" s="250"/>
      <c r="E32" s="250"/>
      <c r="F32" s="250"/>
      <c r="G32" s="250"/>
      <c r="H32" s="250"/>
      <c r="I32" s="249">
        <f>SUM(I29:J31)</f>
        <v>504078.8</v>
      </c>
      <c r="J32" s="249"/>
      <c r="K32" s="34"/>
    </row>
    <row r="33" spans="1:11" ht="15.75" customHeight="1" x14ac:dyDescent="0.25">
      <c r="A33" s="213"/>
      <c r="B33" s="214"/>
      <c r="C33" s="214"/>
      <c r="D33" s="214"/>
      <c r="E33" s="214"/>
      <c r="F33" s="214"/>
      <c r="G33" s="214"/>
      <c r="H33" s="214"/>
      <c r="I33" s="80"/>
      <c r="J33" s="36"/>
      <c r="K33" s="38"/>
    </row>
    <row r="34" spans="1:11" ht="15.75" customHeight="1" x14ac:dyDescent="0.25">
      <c r="A34" s="250" t="s">
        <v>34</v>
      </c>
      <c r="B34" s="250"/>
      <c r="C34" s="250"/>
      <c r="D34" s="250"/>
      <c r="E34" s="250"/>
      <c r="F34" s="250"/>
      <c r="G34" s="250"/>
      <c r="H34" s="250"/>
      <c r="I34" s="249">
        <f>I32+I24+I17</f>
        <v>2672331.3000000003</v>
      </c>
      <c r="J34" s="249">
        <f>I32+I25+I16</f>
        <v>1111189.5</v>
      </c>
      <c r="K34" s="155">
        <f>I34/'Dados Gerais'!E15</f>
        <v>184.09075127545574</v>
      </c>
    </row>
    <row r="35" spans="1:11" ht="15.75" customHeight="1" x14ac:dyDescent="0.25"/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</sheetData>
  <mergeCells count="41">
    <mergeCell ref="I32:J32"/>
    <mergeCell ref="A25:H25"/>
    <mergeCell ref="A29:C29"/>
    <mergeCell ref="D28:E28"/>
    <mergeCell ref="F28:G28"/>
    <mergeCell ref="A23:C23"/>
    <mergeCell ref="I23:J23"/>
    <mergeCell ref="A17:H17"/>
    <mergeCell ref="A18:H18"/>
    <mergeCell ref="A22:C22"/>
    <mergeCell ref="D22:E22"/>
    <mergeCell ref="F22:G22"/>
    <mergeCell ref="I22:J22"/>
    <mergeCell ref="A14:C14"/>
    <mergeCell ref="D14:E14"/>
    <mergeCell ref="F14:G14"/>
    <mergeCell ref="I14:J14"/>
    <mergeCell ref="A15:C15"/>
    <mergeCell ref="I15:J15"/>
    <mergeCell ref="J10:K10"/>
    <mergeCell ref="A2:K4"/>
    <mergeCell ref="B7:K7"/>
    <mergeCell ref="B8:K8"/>
    <mergeCell ref="B9:K9"/>
    <mergeCell ref="B10:D10"/>
    <mergeCell ref="A34:H34"/>
    <mergeCell ref="I34:J34"/>
    <mergeCell ref="A31:C31"/>
    <mergeCell ref="I31:J31"/>
    <mergeCell ref="I16:J16"/>
    <mergeCell ref="A32:H32"/>
    <mergeCell ref="A24:H24"/>
    <mergeCell ref="I24:J24"/>
    <mergeCell ref="A28:C28"/>
    <mergeCell ref="I28:J28"/>
    <mergeCell ref="A30:C30"/>
    <mergeCell ref="I30:J30"/>
    <mergeCell ref="I29:J29"/>
    <mergeCell ref="A16:C16"/>
    <mergeCell ref="A33:H33"/>
    <mergeCell ref="I17:J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3C66"/>
  </sheetPr>
  <dimension ref="A1:P23"/>
  <sheetViews>
    <sheetView showGridLines="0" zoomScaleNormal="100" zoomScaleSheetLayoutView="95" workbookViewId="0">
      <selection activeCell="A25" sqref="A25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0" customWidth="1"/>
    <col min="5" max="5" width="7.5703125" style="65" customWidth="1"/>
    <col min="6" max="6" width="9.5703125" style="18" bestFit="1" customWidth="1"/>
    <col min="7" max="7" width="15.85546875" style="11" customWidth="1"/>
    <col min="8" max="8" width="12.85546875" style="11" customWidth="1"/>
    <col min="9" max="9" width="11.42578125" style="11" bestFit="1" customWidth="1"/>
    <col min="10" max="10" width="13.140625" style="11" bestFit="1" customWidth="1"/>
    <col min="11" max="11" width="17.42578125" style="11" bestFit="1" customWidth="1"/>
    <col min="12" max="12" width="6.42578125" style="11" customWidth="1"/>
    <col min="13" max="13" width="13.7109375" style="11" bestFit="1" customWidth="1"/>
    <col min="14" max="14" width="10" style="11" bestFit="1" customWidth="1"/>
    <col min="15" max="15" width="13.7109375" style="11" customWidth="1"/>
    <col min="16" max="16384" width="9.140625" style="11"/>
  </cols>
  <sheetData>
    <row r="1" spans="1:16" ht="13.7" x14ac:dyDescent="0.25">
      <c r="A1" s="1"/>
      <c r="B1" s="1"/>
      <c r="C1" s="1"/>
      <c r="D1" s="53"/>
      <c r="E1" s="61"/>
      <c r="F1" s="19"/>
      <c r="G1" s="1"/>
      <c r="H1" s="1"/>
      <c r="I1" s="1"/>
      <c r="J1" s="1"/>
      <c r="K1" s="1"/>
      <c r="L1" s="1"/>
      <c r="N1" s="12"/>
    </row>
    <row r="2" spans="1:16" ht="18.75" x14ac:dyDescent="0.25">
      <c r="A2" s="190" t="s">
        <v>214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148"/>
      <c r="N2" s="12"/>
    </row>
    <row r="3" spans="1:16" ht="18.75" x14ac:dyDescent="0.25">
      <c r="A3" s="251"/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148"/>
      <c r="N3" s="12"/>
    </row>
    <row r="4" spans="1:16" ht="18.75" x14ac:dyDescent="0.25">
      <c r="A4" s="251"/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148"/>
      <c r="N4" s="12"/>
    </row>
    <row r="5" spans="1:16" ht="14.25" thickBot="1" x14ac:dyDescent="0.3">
      <c r="A5" s="2"/>
      <c r="B5" s="2"/>
      <c r="C5" s="2"/>
      <c r="D5" s="54"/>
      <c r="E5" s="62"/>
      <c r="F5" s="20"/>
      <c r="G5" s="3"/>
      <c r="H5" s="3"/>
      <c r="I5" s="3"/>
      <c r="J5" s="3"/>
      <c r="K5" s="3"/>
      <c r="L5" s="1"/>
      <c r="N5" s="12"/>
    </row>
    <row r="6" spans="1:16" ht="13.7" x14ac:dyDescent="0.25">
      <c r="A6" s="4"/>
      <c r="B6" s="4"/>
      <c r="C6" s="4"/>
      <c r="D6" s="55"/>
      <c r="E6" s="63"/>
      <c r="F6" s="19"/>
      <c r="G6" s="1"/>
      <c r="H6" s="1"/>
      <c r="I6" s="1"/>
      <c r="J6" s="1"/>
      <c r="K6" s="1"/>
      <c r="L6" s="1"/>
      <c r="N6" s="12"/>
    </row>
    <row r="7" spans="1:16" x14ac:dyDescent="0.25">
      <c r="A7" s="5" t="s">
        <v>0</v>
      </c>
      <c r="B7" s="192" t="s">
        <v>195</v>
      </c>
      <c r="C7" s="192"/>
      <c r="D7" s="192"/>
      <c r="E7" s="192"/>
      <c r="F7" s="192"/>
      <c r="G7" s="192"/>
      <c r="H7" s="192"/>
      <c r="I7" s="192"/>
      <c r="J7" s="192"/>
      <c r="K7" s="192"/>
      <c r="L7" s="152"/>
      <c r="N7" s="12"/>
    </row>
    <row r="8" spans="1:16" ht="13.7" x14ac:dyDescent="0.25">
      <c r="A8" s="5" t="s">
        <v>1</v>
      </c>
      <c r="B8" s="193" t="s">
        <v>196</v>
      </c>
      <c r="C8" s="193"/>
      <c r="D8" s="193"/>
      <c r="E8" s="193"/>
      <c r="F8" s="193"/>
      <c r="G8" s="193"/>
      <c r="H8" s="193"/>
      <c r="I8" s="193"/>
      <c r="J8" s="193"/>
      <c r="K8" s="193"/>
      <c r="L8" s="153"/>
      <c r="N8" s="12"/>
    </row>
    <row r="9" spans="1:16" ht="15" customHeight="1" x14ac:dyDescent="0.25">
      <c r="A9" s="5" t="s">
        <v>2</v>
      </c>
      <c r="B9" s="194" t="s">
        <v>235</v>
      </c>
      <c r="C9" s="195"/>
      <c r="D9" s="195"/>
      <c r="E9" s="195"/>
      <c r="F9" s="195"/>
      <c r="G9" s="195"/>
      <c r="H9" s="195"/>
      <c r="I9" s="195"/>
      <c r="J9" s="195"/>
      <c r="K9" s="196"/>
      <c r="L9" s="153"/>
    </row>
    <row r="10" spans="1:16" x14ac:dyDescent="0.25">
      <c r="A10" s="7" t="s">
        <v>3</v>
      </c>
      <c r="B10" s="197">
        <v>45462</v>
      </c>
      <c r="C10" s="198"/>
      <c r="D10" s="199"/>
      <c r="E10" s="9" t="s">
        <v>4</v>
      </c>
      <c r="F10" s="8" t="s">
        <v>298</v>
      </c>
      <c r="G10" s="6" t="s">
        <v>5</v>
      </c>
      <c r="H10" s="8" t="s">
        <v>299</v>
      </c>
      <c r="I10" s="6" t="s">
        <v>6</v>
      </c>
      <c r="J10" s="8"/>
      <c r="K10" s="8" t="s">
        <v>301</v>
      </c>
      <c r="L10" s="1"/>
    </row>
    <row r="12" spans="1:16" ht="15.75" customHeight="1" x14ac:dyDescent="0.25">
      <c r="A12" s="21" t="s">
        <v>97</v>
      </c>
      <c r="B12" s="22"/>
      <c r="C12" s="22"/>
      <c r="D12" s="56"/>
      <c r="E12" s="40"/>
      <c r="F12" s="23"/>
      <c r="G12" s="22"/>
      <c r="H12" s="22"/>
      <c r="I12" s="22"/>
      <c r="J12" s="22"/>
      <c r="K12" s="24"/>
      <c r="M12" s="11">
        <f>M14-M13</f>
        <v>319.70999999999998</v>
      </c>
    </row>
    <row r="13" spans="1:16" ht="15.75" customHeight="1" x14ac:dyDescent="0.25">
      <c r="A13" s="25"/>
      <c r="B13" s="26"/>
      <c r="C13" s="26"/>
      <c r="D13" s="57"/>
      <c r="E13" s="64"/>
      <c r="F13" s="26"/>
      <c r="G13" s="26"/>
      <c r="H13" s="26"/>
      <c r="K13" s="27"/>
      <c r="M13" s="11">
        <v>229.44</v>
      </c>
    </row>
    <row r="14" spans="1:16" ht="15.75" customHeight="1" x14ac:dyDescent="0.25">
      <c r="A14" s="230" t="s">
        <v>29</v>
      </c>
      <c r="B14" s="231"/>
      <c r="C14" s="231"/>
      <c r="D14" s="252" t="s">
        <v>36</v>
      </c>
      <c r="E14" s="253"/>
      <c r="F14" s="233" t="s">
        <v>18</v>
      </c>
      <c r="G14" s="235"/>
      <c r="H14" s="51" t="s">
        <v>33</v>
      </c>
      <c r="I14" s="233" t="s">
        <v>32</v>
      </c>
      <c r="J14" s="235"/>
      <c r="K14" s="27"/>
      <c r="M14" s="11">
        <v>549.15</v>
      </c>
      <c r="O14" s="143">
        <v>252.6</v>
      </c>
      <c r="P14" s="119"/>
    </row>
    <row r="15" spans="1:16" ht="15.75" customHeight="1" x14ac:dyDescent="0.25">
      <c r="A15" s="242" t="s">
        <v>98</v>
      </c>
      <c r="B15" s="242"/>
      <c r="C15" s="242"/>
      <c r="D15" s="68">
        <v>1</v>
      </c>
      <c r="E15" s="68" t="s">
        <v>41</v>
      </c>
      <c r="F15" s="109">
        <v>2400</v>
      </c>
      <c r="G15" s="82" t="s">
        <v>130</v>
      </c>
      <c r="H15" s="83" t="s">
        <v>112</v>
      </c>
      <c r="I15" s="237">
        <f>D15*F15*'Dados Gerais'!$E$22</f>
        <v>3081600</v>
      </c>
      <c r="J15" s="239"/>
      <c r="K15" s="27"/>
      <c r="M15" s="143">
        <v>320000</v>
      </c>
      <c r="N15" s="11" t="s">
        <v>268</v>
      </c>
      <c r="O15" s="143">
        <v>340701.44</v>
      </c>
      <c r="P15" s="11" t="s">
        <v>269</v>
      </c>
    </row>
    <row r="16" spans="1:16" ht="15.75" customHeight="1" x14ac:dyDescent="0.25">
      <c r="A16" s="236" t="s">
        <v>99</v>
      </c>
      <c r="B16" s="236"/>
      <c r="C16" s="236"/>
      <c r="D16" s="106">
        <v>1</v>
      </c>
      <c r="E16" s="106" t="s">
        <v>41</v>
      </c>
      <c r="F16" s="110">
        <v>10</v>
      </c>
      <c r="G16" s="84" t="s">
        <v>19</v>
      </c>
      <c r="H16" s="79" t="s">
        <v>112</v>
      </c>
      <c r="I16" s="277">
        <f>D16*F16*'Dados Gerais'!$E$15</f>
        <v>145163.79999999999</v>
      </c>
      <c r="J16" s="278"/>
      <c r="K16" s="27"/>
      <c r="M16" s="77">
        <f>M15/M12</f>
        <v>1000.9070720340309</v>
      </c>
      <c r="O16" s="143">
        <f>O15/O14</f>
        <v>1348.7784639746635</v>
      </c>
    </row>
    <row r="17" spans="1:16" ht="15.75" customHeight="1" x14ac:dyDescent="0.25">
      <c r="A17" s="236" t="s">
        <v>100</v>
      </c>
      <c r="B17" s="236"/>
      <c r="C17" s="236"/>
      <c r="D17" s="106">
        <v>1</v>
      </c>
      <c r="E17" s="106" t="s">
        <v>41</v>
      </c>
      <c r="F17" s="110">
        <v>65</v>
      </c>
      <c r="G17" s="84" t="s">
        <v>19</v>
      </c>
      <c r="H17" s="79" t="s">
        <v>112</v>
      </c>
      <c r="I17" s="277">
        <v>580655.19999999995</v>
      </c>
      <c r="J17" s="278"/>
      <c r="K17" s="27"/>
      <c r="M17" s="143">
        <v>117000</v>
      </c>
      <c r="N17" s="11" t="s">
        <v>268</v>
      </c>
      <c r="O17" s="143">
        <v>4955.66</v>
      </c>
      <c r="P17" s="11" t="s">
        <v>269</v>
      </c>
    </row>
    <row r="18" spans="1:16" ht="15.75" customHeight="1" x14ac:dyDescent="0.25">
      <c r="A18" s="236" t="s">
        <v>101</v>
      </c>
      <c r="B18" s="236"/>
      <c r="C18" s="236"/>
      <c r="D18" s="106">
        <v>1</v>
      </c>
      <c r="E18" s="106" t="s">
        <v>41</v>
      </c>
      <c r="F18" s="110">
        <v>15</v>
      </c>
      <c r="G18" s="84" t="s">
        <v>19</v>
      </c>
      <c r="H18" s="79" t="s">
        <v>112</v>
      </c>
      <c r="I18" s="218">
        <f>D18*F18*'Dados Gerais'!$E$15</f>
        <v>217745.69999999998</v>
      </c>
      <c r="J18" s="220"/>
      <c r="K18" s="27"/>
      <c r="M18" s="11">
        <v>3123.4</v>
      </c>
    </row>
    <row r="19" spans="1:16" ht="15.75" customHeight="1" x14ac:dyDescent="0.25">
      <c r="A19" s="236" t="s">
        <v>241</v>
      </c>
      <c r="B19" s="236"/>
      <c r="C19" s="236"/>
      <c r="D19" s="106">
        <v>1</v>
      </c>
      <c r="E19" s="106" t="s">
        <v>41</v>
      </c>
      <c r="F19" s="110">
        <v>5</v>
      </c>
      <c r="G19" s="84" t="s">
        <v>19</v>
      </c>
      <c r="H19" s="79" t="s">
        <v>112</v>
      </c>
      <c r="I19" s="218">
        <f>D19*F19*'[4]Dados Gerais'!$E$15</f>
        <v>470446.55</v>
      </c>
      <c r="J19" s="220"/>
      <c r="K19" s="27"/>
      <c r="M19" s="142">
        <f>M17/M18</f>
        <v>37.459179099699043</v>
      </c>
    </row>
    <row r="20" spans="1:16" ht="15.75" customHeight="1" x14ac:dyDescent="0.25">
      <c r="A20" s="236" t="s">
        <v>255</v>
      </c>
      <c r="B20" s="236"/>
      <c r="C20" s="236"/>
      <c r="D20" s="69">
        <v>1</v>
      </c>
      <c r="E20" s="69" t="s">
        <v>41</v>
      </c>
      <c r="F20" s="110">
        <v>15</v>
      </c>
      <c r="G20" s="84" t="s">
        <v>19</v>
      </c>
      <c r="H20" s="79" t="s">
        <v>112</v>
      </c>
      <c r="I20" s="218">
        <f>D20*F20*'Dados Gerais'!E15</f>
        <v>217745.69999999998</v>
      </c>
      <c r="J20" s="220"/>
      <c r="K20" s="27"/>
    </row>
    <row r="21" spans="1:16" ht="15.75" customHeight="1" x14ac:dyDescent="0.25">
      <c r="A21" s="250" t="s">
        <v>34</v>
      </c>
      <c r="B21" s="250"/>
      <c r="C21" s="250"/>
      <c r="D21" s="250"/>
      <c r="E21" s="250"/>
      <c r="F21" s="250"/>
      <c r="G21" s="250"/>
      <c r="H21" s="250"/>
      <c r="I21" s="249">
        <f>SUM(I15:J20)</f>
        <v>4713356.95</v>
      </c>
      <c r="J21" s="249"/>
      <c r="K21" s="34"/>
      <c r="L21" s="151"/>
    </row>
    <row r="22" spans="1:16" ht="15.75" customHeight="1" x14ac:dyDescent="0.25">
      <c r="A22" s="213"/>
      <c r="B22" s="214"/>
      <c r="C22" s="214"/>
      <c r="D22" s="214"/>
      <c r="E22" s="214"/>
      <c r="F22" s="214"/>
      <c r="G22" s="214"/>
      <c r="H22" s="214"/>
      <c r="I22" s="80"/>
      <c r="J22" s="36"/>
      <c r="K22" s="38"/>
    </row>
    <row r="23" spans="1:16" ht="13.7" x14ac:dyDescent="0.25">
      <c r="A23" s="250" t="s">
        <v>34</v>
      </c>
      <c r="B23" s="250"/>
      <c r="C23" s="250"/>
      <c r="D23" s="250"/>
      <c r="E23" s="250"/>
      <c r="F23" s="250"/>
      <c r="G23" s="250"/>
      <c r="H23" s="250"/>
      <c r="I23" s="249">
        <f>I21+I13+I6</f>
        <v>4713356.95</v>
      </c>
      <c r="J23" s="249" t="e">
        <f>I21+I14+I5</f>
        <v>#VALUE!</v>
      </c>
      <c r="K23" s="155">
        <f>I23/'Dados Gerais'!E15</f>
        <v>324.69230965295759</v>
      </c>
    </row>
  </sheetData>
  <mergeCells count="26">
    <mergeCell ref="A22:H22"/>
    <mergeCell ref="A17:C17"/>
    <mergeCell ref="I17:J17"/>
    <mergeCell ref="A18:C18"/>
    <mergeCell ref="I18:J18"/>
    <mergeCell ref="I15:J15"/>
    <mergeCell ref="A19:C19"/>
    <mergeCell ref="I19:J19"/>
    <mergeCell ref="A20:C20"/>
    <mergeCell ref="I20:J20"/>
    <mergeCell ref="A23:H23"/>
    <mergeCell ref="I23:J23"/>
    <mergeCell ref="A2:K4"/>
    <mergeCell ref="B7:K7"/>
    <mergeCell ref="B8:K8"/>
    <mergeCell ref="B9:K9"/>
    <mergeCell ref="B10:D10"/>
    <mergeCell ref="A16:C16"/>
    <mergeCell ref="I16:J16"/>
    <mergeCell ref="A21:H21"/>
    <mergeCell ref="I21:J21"/>
    <mergeCell ref="A14:C14"/>
    <mergeCell ref="D14:E14"/>
    <mergeCell ref="F14:G14"/>
    <mergeCell ref="I14:J14"/>
    <mergeCell ref="A15:C15"/>
  </mergeCells>
  <dataValidations count="1">
    <dataValidation type="list" allowBlank="1" showInputMessage="1" showErrorMessage="1" sqref="J10" xr:uid="{00000000-0002-0000-1000-000000000000}">
      <formula1>$O$1:$O$6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31</vt:i4>
      </vt:variant>
    </vt:vector>
  </HeadingPairs>
  <TitlesOfParts>
    <vt:vector size="47" baseType="lpstr">
      <vt:lpstr>Dados Gerais</vt:lpstr>
      <vt:lpstr>Resumo</vt:lpstr>
      <vt:lpstr>Movimentação de Terra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Acabamentos de Piso e Parede</vt:lpstr>
      <vt:lpstr>Acabamentos de Teto</vt:lpstr>
      <vt:lpstr>Pintura Interna</vt:lpstr>
      <vt:lpstr>Esquadrias</vt:lpstr>
      <vt:lpstr>Rev. Fachada</vt:lpstr>
      <vt:lpstr>Complementares</vt:lpstr>
      <vt:lpstr>'Acabamentos de Piso e Parede'!Area_de_impressao</vt:lpstr>
      <vt:lpstr>'Acabamentos de Teto'!Area_de_impressao</vt:lpstr>
      <vt:lpstr>Alvenaria!Area_de_impressao</vt:lpstr>
      <vt:lpstr>Complementares!Area_de_impressao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'Movimentação de Terra'!Area_de_impressao</vt:lpstr>
      <vt:lpstr>'Pintura Interna'!Area_de_impressao</vt:lpstr>
      <vt:lpstr>Resumo!Area_de_impressao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'Acabamentos de Piso e Parede'!Titulos_de_impressao</vt:lpstr>
      <vt:lpstr>'Acabamentos de Teto'!Titulos_de_impressao</vt:lpstr>
      <vt:lpstr>Alvenaria!Titulos_de_impressao</vt:lpstr>
      <vt:lpstr>Complementares!Titulos_de_impressao</vt:lpstr>
      <vt:lpstr>'Dados Gerais'!Titulos_de_impressao</vt:lpstr>
      <vt:lpstr>Esquadrias!Titulos_de_impressao</vt:lpstr>
      <vt:lpstr>Impermeabilização!Titulos_de_impressao</vt:lpstr>
      <vt:lpstr>Infraestrutura!Titulos_de_impressao</vt:lpstr>
      <vt:lpstr>Instalações!Titulos_de_impressao</vt:lpstr>
      <vt:lpstr>'Movimentação de Terra'!Titulos_de_impressao</vt:lpstr>
      <vt:lpstr>'Pintura Interna'!Titulos_de_impressao</vt:lpstr>
      <vt:lpstr>Resumo!Titulos_de_impressao</vt:lpstr>
      <vt:lpstr>'Rev. Fachada'!Titulos_de_impressao</vt:lpstr>
      <vt:lpstr>'Rev. Internos Piso e Parede'!Titulos_de_impressao</vt:lpstr>
      <vt:lpstr>'Sistemas especiais'!Titulos_de_impressao</vt:lpstr>
      <vt:lpstr>Supraestrutura!Titulos_de_impressao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2024-08-27T17:35:27Z</dcterms:modified>
</cp:coreProperties>
</file>