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Neuhaus\2023.08 - Origem 3300\04. Custo\03.0 Custo - Orçamento Paramétrico\05. Revisão 04\"/>
    </mc:Choice>
  </mc:AlternateContent>
  <xr:revisionPtr revIDLastSave="0" documentId="13_ncr:1_{F12AC5D0-9186-4ADD-9033-1D84B22AD6F1}" xr6:coauthVersionLast="47" xr6:coauthVersionMax="47" xr10:uidLastSave="{00000000-0000-0000-0000-000000000000}"/>
  <bookViews>
    <workbookView xWindow="12510" yWindow="840" windowWidth="25440" windowHeight="14400" activeTab="2" xr2:uid="{00000000-000D-0000-FFFF-FFFF00000000}"/>
  </bookViews>
  <sheets>
    <sheet name="CAPA" sheetId="1" r:id="rId1"/>
    <sheet name="Custos_Indiretos" sheetId="6" r:id="rId2"/>
    <sheet name="Orçamento_Executivo" sheetId="7" r:id="rId3"/>
    <sheet name="SUPRA" sheetId="10" state="hidden" r:id="rId4"/>
    <sheet name="Orçamento_Paramétrico" sheetId="16" r:id="rId5"/>
    <sheet name="Custo_Médias" sheetId="17" r:id="rId6"/>
    <sheet name="Custo_Diferença" sheetId="18" r:id="rId7"/>
    <sheet name="R$_Escoramento" sheetId="13" r:id="rId8"/>
    <sheet name="Tempo" sheetId="15" r:id="rId9"/>
    <sheet name="Áreas" sheetId="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0">#REF!</definedName>
    <definedName name="\a">#REF!</definedName>
    <definedName name="\m">#REF!</definedName>
    <definedName name="\xasd" hidden="1">{#N/A,#N/A,FALSE,"Plan1";#N/A,#N/A,FALSE,"Plan2"}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key2" hidden="1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1__123Graph_ACHART_1" hidden="1">#REF!</definedName>
    <definedName name="_10__123Graph_CCHART_1" hidden="1">#REF!</definedName>
    <definedName name="_11__123Graph_DCHART_1" hidden="1">#REF!</definedName>
    <definedName name="_12__123Graph_XChart_1A" hidden="1">#REF!</definedName>
    <definedName name="_1Dist_Val" hidden="1">#REF!</definedName>
    <definedName name="_2__123Graph_BCHART_1" hidden="1">#REF!</definedName>
    <definedName name="_2F" hidden="1">#REF!</definedName>
    <definedName name="_3__123Graph_XCHART_1" hidden="1">#REF!</definedName>
    <definedName name="_5__123Graph_ACHART_1" hidden="1">#REF!</definedName>
    <definedName name="_6__123Graph_AChart_1A" hidden="1">#REF!</definedName>
    <definedName name="_7__123Graph_ACHART_2" hidden="1">#REF!</definedName>
    <definedName name="_8__123Graph_BChart_1A" hidden="1">#REF!</definedName>
    <definedName name="_9__123Graph_BCHART_2" hidden="1">#REF!</definedName>
    <definedName name="_AMO_UniqueIdentifier" hidden="1">"'54256040-62ff-475a-9348-dbdfce08df30'"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iltin13" hidden="1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hidden="1">#REF!</definedName>
    <definedName name="_IA0542" hidden="1">{#N/A,#N/A,FALSE,"Plan1";#N/A,#N/A,FALSE,"Plan2"}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0</definedName>
    <definedName name="_Parse_Out" hidden="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 hidden="1">#REF!</definedName>
    <definedName name="a\sgt" hidden="1">{#N/A,#N/A,FALSE,"Plan1";#N/A,#N/A,FALSE,"Plan2"}</definedName>
    <definedName name="aa" localSheetId="0">#REF!</definedName>
    <definedName name="aa" localSheetId="1">#REF!</definedName>
    <definedName name="aa">#REF!</definedName>
    <definedName name="aaaa" localSheetId="0">'[1]M.O.'!#REF!</definedName>
    <definedName name="aaaa">'[1]M.O.'!#REF!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hidden="1">{#N/A,#N/A,FALSE,"Plan1";#N/A,#N/A,FALSE,"Plan2"}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c" hidden="1">#REF!</definedName>
    <definedName name="AccessDatabase" hidden="1">"C:\posec\DATABASE\vlv_list\vlvlist1.mdb"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S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çoeeer" hidden="1">{#N/A,#N/A,FALSE,"Plan1";#N/A,#N/A,FALSE,"Plan2"}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ngelo" localSheetId="0">[2]Geral!#REF!</definedName>
    <definedName name="angelo">[2]Geral!#REF!</definedName>
    <definedName name="anscount" hidden="1">1</definedName>
    <definedName name="AQE" hidden="1">{"'장비'!$A$3:$M$12"}</definedName>
    <definedName name="ArComprimido" hidden="1">{"'Estimativa de Lançamento-JAN'!$A$1:$AI$85"}</definedName>
    <definedName name="area" hidden="1">{#N/A,#N/A,FALSE,"Plan1";#N/A,#N/A,FALSE,"Plan2"}</definedName>
    <definedName name="Área_Construída">#REF!</definedName>
    <definedName name="_xlnm.Print_Area">#REF!</definedName>
    <definedName name="Área_Privativa">#REF!</definedName>
    <definedName name="Área_Terreno">#REF!</definedName>
    <definedName name="AS2DocOpenMode" hidden="1">"AS2DocumentBrowse"</definedName>
    <definedName name="asawe3" hidden="1">{#N/A,#N/A,FALSE,"Plan1";#N/A,#N/A,FALSE,"Plan2"}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IVOS" hidden="1">{#N/A,#N/A,FALSE,"F-01"}</definedName>
    <definedName name="aux" localSheetId="0">#REF!</definedName>
    <definedName name="aux" localSheetId="1">#REF!</definedName>
    <definedName name="aux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 hidden="1">{#N/A,#N/A,FALSE,"Plan1";#N/A,#N/A,FALSE,"Plan2"}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A" localSheetId="0">#REF!</definedName>
    <definedName name="BDA" localSheetId="1">#REF!</definedName>
    <definedName name="BDA">#REF!</definedName>
    <definedName name="bdfjghf" hidden="1">{#N/A,#N/A,FALSE,"Plan1";#N/A,#N/A,FALSE,"Plan2"}</definedName>
    <definedName name="BDI" localSheetId="0">#REF!</definedName>
    <definedName name="BDI" localSheetId="1">#REF!</definedName>
    <definedName name="BDI">#REF!</definedName>
    <definedName name="bdzbfbdr" hidden="1">{#N/A,#N/A,FALSE,"Plan1";#N/A,#N/A,FALSE,"Plan2"}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V" hidden="1">#REF!</definedName>
    <definedName name="bxnzfmkzxbhdf" hidden="1">{#N/A,#N/A,FALSE,"Plan1";#N/A,#N/A,FALSE,"Plan2"}</definedName>
    <definedName name="ca" localSheetId="0">#REF!</definedName>
    <definedName name="ca" localSheetId="1">#REF!</definedName>
    <definedName name="c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hidden="1">{#N/A,#N/A,FALSE,"Plan1";#N/A,#N/A,FALSE,"Plan2"}</definedName>
    <definedName name="Capa" localSheetId="0">#REF!</definedName>
    <definedName name="Capa" localSheetId="1">#REF!</definedName>
    <definedName name="Capa">#REF!</definedName>
    <definedName name="CARLA" hidden="1">#REF!</definedName>
    <definedName name="CAT6_IP" hidden="1">{#N/A,#N/A,FALSE,"F-01"}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hidden="1">{#N/A,#N/A,FALSE,"Plan1";#N/A,#N/A,FALSE,"Plan2"}</definedName>
    <definedName name="CDSGHE" hidden="1">{#N/A,#N/A,FALSE,"Plan1";#N/A,#N/A,FALSE,"Plan2"}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fch" hidden="1">{#N/A,#N/A,FALSE,"Plan1";#N/A,#N/A,FALSE,"Plan2"}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hidden="1">{#N/A,#N/A,TRUE,"Quinzena 01 à 15-04-98 "}</definedName>
    <definedName name="cont" hidden="1">{#N/A,#N/A,FALSE,"Plan1";#N/A,#N/A,FALSE,"Plan2"}</definedName>
    <definedName name="cronograma" localSheetId="0">#REF!</definedName>
    <definedName name="cronograma" localSheetId="1">#REF!</definedName>
    <definedName name="cronogram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0">#REF!</definedName>
    <definedName name="D" localSheetId="1">#REF!</definedName>
    <definedName name="D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hidden="1">{"'장비'!$A$3:$M$12"}</definedName>
    <definedName name="ddddd" hidden="1">{#N/A,#N/A,FALSE,"Plan1";#N/A,#N/A,FALSE,"Plan2"}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s" hidden="1">{#N/A,#N/A,FALSE,"Plan1";#N/A,#N/A,FALSE,"Plan2"}</definedName>
    <definedName name="desc" hidden="1">{#N/A,#N/A,FALSE,"Plan1";#N/A,#N/A,FALSE,"Plan2"}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jghdhks" hidden="1">{#N/A,#N/A,FALSE,"Plan1";#N/A,#N/A,FALSE,"Plan2"}</definedName>
    <definedName name="direto" localSheetId="0">#REF!</definedName>
    <definedName name="direto" localSheetId="1">#REF!</definedName>
    <definedName name="direto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 localSheetId="0">#REF!</definedName>
    <definedName name="DRE" localSheetId="1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a" localSheetId="1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estfr" hidden="1">{#N/A,#N/A,FALSE,"Plan1";#N/A,#N/A,FALSE,"Plan2"}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te" hidden="1">#REF!</definedName>
    <definedName name="ESGFDSFD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yruieyteta" hidden="1">{#N/A,#N/A,FALSE,"Plan1";#N/A,#N/A,FALSE,"Plan2"}</definedName>
    <definedName name="f" hidden="1">{#N/A,#N/A,FALSE,"Plan1";#N/A,#N/A,FALSE,"Plan2"}</definedName>
    <definedName name="FAS" hidden="1">{"'Total'!$A$1","'Total'!$A$3"}</definedName>
    <definedName name="fasfasf" hidden="1">{#N/A,#N/A,TRUE,"Quinzena 01 à 15-04-98 "}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R" hidden="1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xjghkfg" hidden="1">{#N/A,#N/A,FALSE,"Plan1";#N/A,#N/A,FALSE,"Plan2"}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{"'장비'!$A$3:$M$12"}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 hidden="1">{"'Estimativa de Lançamento-JAN'!$A$1:$AI$85"}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C" hidden="1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ASDSAWE" hidden="1">{"Econ Consolidado",#N/A,FALSE,"Econ Consol";"Fluxo de Caixa",#N/A,FALSE,"Fluxo Caixa";"Investimentos",#N/A,FALSE,"Investimentos"}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P" hidden="1">#REF!</definedName>
    <definedName name="Index" hidden="1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hidden="1">{"'Edit'!$A$1:$V$2277"}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tem_1" localSheetId="0">#REF!</definedName>
    <definedName name="item_1" localSheetId="1">#REF!</definedName>
    <definedName name="item_1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HO99" hidden="1">{#N/A,#N/A,TRUE,"Quinzena 01 à 15-04-98 "}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aedkroswr" hidden="1">{"Econ Consolidado",#N/A,FALSE,"Econ Consol";"Fluxo de Caixa",#N/A,FALSE,"Fluxo Caixa";"Investimentos",#N/A,FALSE,"Investimentos"}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ysdusf" hidden="1">{#N/A,#N/A,FALSE,"Plan1";#N/A,#N/A,FALSE,"Plan2"}</definedName>
    <definedName name="kzslçdkçle" hidden="1">{#N/A,#N/A,FALSE,"Plan1";#N/A,#N/A,FALSE,"Plan2"}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hidden="1">{#N/A,#N/A,FALSE,"Plan1";#N/A,#N/A,FALSE,"Plan2"}</definedName>
    <definedName name="lidfjgklruf" hidden="1">{#N/A,#N/A,FALSE,"Plan1";#N/A,#N/A,FALSE,"Plan2"}</definedName>
    <definedName name="limcount" hidden="1">3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waeddew" hidden="1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NU" localSheetId="0">#REF!</definedName>
    <definedName name="MENU" localSheetId="1">#REF!</definedName>
    <definedName name="MENU">#REF!</definedName>
    <definedName name="MENU1" localSheetId="0">#REF!</definedName>
    <definedName name="MENU1" localSheetId="1">#REF!</definedName>
    <definedName name="MENU1">#REF!</definedName>
    <definedName name="MENU2" localSheetId="0">#REF!</definedName>
    <definedName name="MENU2" localSheetId="1">#REF!</definedName>
    <definedName name="MENU2">#REF!</definedName>
    <definedName name="MENU3" localSheetId="0">#REF!</definedName>
    <definedName name="MENU3" localSheetId="1">#REF!</definedName>
    <definedName name="MENU3">#REF!</definedName>
    <definedName name="MENU4" localSheetId="0">#REF!</definedName>
    <definedName name="MENU4" localSheetId="1">#REF!</definedName>
    <definedName name="MENU4">#REF!</definedName>
    <definedName name="MENU5" localSheetId="0">#REF!</definedName>
    <definedName name="MENU5" localSheetId="1">#REF!</definedName>
    <definedName name="MENU5">#REF!</definedName>
    <definedName name="MENU6" localSheetId="0">#REF!</definedName>
    <definedName name="MENU6" localSheetId="1">#REF!</definedName>
    <definedName name="MENU6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ENA" hidden="1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0">#REF!</definedName>
    <definedName name="mo" localSheetId="1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hidden="1">{#N/A,#N/A,FALSE,"Plan1";#N/A,#N/A,FALSE,"Plan2"}</definedName>
    <definedName name="nljsdfljfdsfr" hidden="1">{#N/A,#N/A,FALSE,"Plan1";#N/A,#N/A,FALSE,"Plan2"}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{#N/A,#N/A,FALSE,"$170M Cash";#N/A,#N/A,FALSE,"$250M Cash";#N/A,#N/A,FALSE,"$325M Cash"}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sdkfndgfdnatf" hidden="1">{#N/A,#N/A,FALSE,"Plan1";#N/A,#N/A,FALSE,"Plan2"}</definedName>
    <definedName name="nsfljdiljrf" hidden="1">{#N/A,#N/A,FALSE,"Plan1";#N/A,#N/A,FALSE,"Plan2"}</definedName>
    <definedName name="nzxcnnjkd" hidden="1">{#N/A,#N/A,FALSE,"Plan1";#N/A,#N/A,FALSE,"Plan2"}</definedName>
    <definedName name="OAE" localSheetId="0">#REF!</definedName>
    <definedName name="OAE" localSheetId="1">#REF!</definedName>
    <definedName name="OAE">#REF!</definedName>
    <definedName name="odflgj" hidden="1">25</definedName>
    <definedName name="odfuudor" hidden="1">{#N/A,#N/A,FALSE,"Plan1";#N/A,#N/A,FALSE,"Plan2"}</definedName>
    <definedName name="ODH" hidden="1">#REF!</definedName>
    <definedName name="oiditrot" hidden="1">{#N/A,#N/A,FALSE,"Plan1";#N/A,#N/A,FALSE,"Plan2"}</definedName>
    <definedName name="oio" hidden="1">{#N/A,#N/A,FALSE,"Plan1";#N/A,#N/A,FALSE,"Plan2"}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iwre" hidden="1">{#N/A,#N/A,FALSE,"Plan1";#N/A,#N/A,FALSE,"Plan2"}</definedName>
    <definedName name="os" hidden="1">{#N/A,#N/A,FALSE,"TABLE"}</definedName>
    <definedName name="otodgkrjglsrd" hidden="1">{#N/A,#N/A,FALSE,"Plan1";#N/A,#N/A,FALSE,"Plan2"}</definedName>
    <definedName name="OUERWRSR" hidden="1">{#N/A,#N/A,FALSE,"Plan1";#N/A,#N/A,FALSE,"Plan2"}</definedName>
    <definedName name="outro" hidden="1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l_Workbook_GUID" hidden="1">"3HURD34M2XKWJ5V6M4BWCR5Q"</definedName>
    <definedName name="PAV" localSheetId="0">#REF!</definedName>
    <definedName name="PAV" localSheetId="1">#REF!</definedName>
    <definedName name="PAV">#REF!</definedName>
    <definedName name="pçgktr" hidden="1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ímetro_lajão">#REF!</definedName>
    <definedName name="Perímetro_Terreno">#REF!</definedName>
    <definedName name="Perímetro_torre">#REF!</definedName>
    <definedName name="petro2" hidden="1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hidden="1">{#N/A,#N/A,TRUE,"Quinzena 01 à 15-04-98 "}</definedName>
    <definedName name="Placas_Areas" hidden="1">{#N/A,#N/A,TRUE,"Quinzena 01 à 15-04-98 "}</definedName>
    <definedName name="plan" hidden="1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" localSheetId="0">#REF!</definedName>
    <definedName name="pr" localSheetId="1">#REF!</definedName>
    <definedName name="pr">#REF!</definedName>
    <definedName name="Prazo_da_Estrutura">#REF!</definedName>
    <definedName name="Prazo_Obra">#REF!</definedName>
    <definedName name="PRE" localSheetId="0">#REF!</definedName>
    <definedName name="PRE" localSheetId="1">#REF!</definedName>
    <definedName name="PRE">#REF!</definedName>
    <definedName name="print" hidden="1">{#N/A,#N/A,FALSE,"$170M Cash";#N/A,#N/A,FALSE,"$250M Cash";#N/A,#N/A,FALSE,"$325M Cash"}</definedName>
    <definedName name="Print_Area_MI" localSheetId="0">#REF!</definedName>
    <definedName name="Print_Area_MI" localSheetId="1">#REF!</definedName>
    <definedName name="Print_Area_MI">#REF!</definedName>
    <definedName name="Projeção_torre">#REF!</definedName>
    <definedName name="ptirigyiotut" hidden="1">{#N/A,#N/A,FALSE,"Plan1";#N/A,#N/A,FALSE,"Plan2"}</definedName>
    <definedName name="PWER3" hidden="1">{#N/A,#N/A,FALSE,"Plan1";#N/A,#N/A,FALSE,"Plan2"}</definedName>
    <definedName name="q" hidden="1">#REF!</definedName>
    <definedName name="qe" localSheetId="0">#REF!</definedName>
    <definedName name="qe" localSheetId="1">#REF!</definedName>
    <definedName name="qe">#REF!</definedName>
    <definedName name="qee" localSheetId="0">#REF!</definedName>
    <definedName name="qee" localSheetId="1">#REF!</definedName>
    <definedName name="qee">#REF!</definedName>
    <definedName name="qkqh1" hidden="1">{#N/A,#N/A,FALSE,"명세표"}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QQQ" hidden="1">#REF!</definedName>
    <definedName name="QSQWSE" hidden="1">{#N/A,#N/A,FALSE,"Plan1";#N/A,#N/A,FALSE,"Plan2"}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ADIO" hidden="1">{"HW",#N/A,FALSE,"1998"}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forsu" localSheetId="1">#REF!</definedName>
    <definedName name="reforsu">#REF!</definedName>
    <definedName name="ren" localSheetId="0">#REF!</definedName>
    <definedName name="ren" localSheetId="1">#REF!</definedName>
    <definedName name="ren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hidden="1">{#N/A,#N/A,TRUE,"Quinzena 01 à 15-04-98 "}</definedName>
    <definedName name="REV" localSheetId="0">#REF!</definedName>
    <definedName name="REV" localSheetId="1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TYE" hidden="1">{"'장비'!$A$3:$M$12"}</definedName>
    <definedName name="sa" localSheetId="0">#REF!</definedName>
    <definedName name="sa" localSheetId="1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njay" hidden="1">{#N/A,#N/A,FALSE,"TABLE"}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" localSheetId="1">#REF!</definedName>
    <definedName name="SEG">#REF!</definedName>
    <definedName name="segftru" hidden="1">{#N/A,#N/A,FALSE,"Plan1";#N/A,#N/A,FALSE,"Plan2"}</definedName>
    <definedName name="sencount" hidden="1">1</definedName>
    <definedName name="SEREWRSWE" hidden="1">{"tabela",#N/A,FALSE,"Tabela";"decoração",#N/A,FALSE,"Decor.";"Informações",#N/A,FALSE,"Inform."}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0">#REF!</definedName>
    <definedName name="SIH" localSheetId="1">#REF!</definedName>
    <definedName name="SIH">#REF!</definedName>
    <definedName name="SIV" localSheetId="0">#REF!</definedName>
    <definedName name="SIV" localSheetId="1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>#REF!</definedName>
    <definedName name="ss" localSheetId="1">#REF!</definedName>
    <definedName name="ss">#REF!</definedName>
    <definedName name="sssss" hidden="1">#REF!</definedName>
    <definedName name="status_projeto" hidden="1">OFFSET(INDEX(#REF!,MATCH(#REF!,#REF!,0)),1,0,COUNTA(#REF!)-1)</definedName>
    <definedName name="summ" hidden="1">#REF!</definedName>
    <definedName name="susref" localSheetId="0">#REF!</definedName>
    <definedName name="susref" localSheetId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nia" localSheetId="0">#REF!</definedName>
    <definedName name="tania" localSheetId="1">#REF!</definedName>
    <definedName name="tania">#REF!</definedName>
    <definedName name="tc" localSheetId="0">#REF!</definedName>
    <definedName name="tc" localSheetId="1">#REF!</definedName>
    <definedName name="tc">#REF!</definedName>
    <definedName name="Test" hidden="1">{"'Edit'!$A$1:$V$2277"}</definedName>
    <definedName name="TESTANDO" hidden="1">{#N/A,#N/A,TRUE,"Quinzena 01 à 15-04-98 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_xlnm.Print_Titles">#REF!</definedName>
    <definedName name="TOT" localSheetId="0">#REF!</definedName>
    <definedName name="TOT" localSheetId="1">#REF!</definedName>
    <definedName name="TOT">#REF!</definedName>
    <definedName name="Total" localSheetId="0">#REF!</definedName>
    <definedName name="Total" localSheetId="1">#REF!</definedName>
    <definedName name="Total">#REF!</definedName>
    <definedName name="trjyidih" hidden="1">{#N/A,#N/A,FALSE,"Plan1";#N/A,#N/A,FALSE,"Plan2"}</definedName>
    <definedName name="TRP" localSheetId="0">#REF!</definedName>
    <definedName name="TRP" localSheetId="1">#REF!</definedName>
    <definedName name="TRP">#REF!</definedName>
    <definedName name="tuyedjsksj" hidden="1">{#N/A,#N/A,FALSE,"Plan1";#N/A,#N/A,FALSE,"Plan2"}</definedName>
    <definedName name="TYHGFHFHG" hidden="1">{#N/A,#N/A,FALSE,"Plan1";#N/A,#N/A,FALSE,"Plan2"}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 hidden="1">0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hidden="1">{#N/A,#N/A,FALSE,"Plan1";#N/A,#N/A,FALSE,"Plan2"}</definedName>
    <definedName name="VERIFICAR" hidden="1">{#N/A,#N/A,TRUE,"Quinzena 01 à 15-04-98 "}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hidden="1">{#N/A,#N/A,FALSE,"Plan1";#N/A,#N/A,FALSE,"Plan2"}</definedName>
    <definedName name="WLQ" hidden="1">{#N/A,#N/A,FALSE,"명세표"}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hidden="1">{#N/A,#N/A,FALSE,"Plan1";#N/A,#N/A,FALSE,"Plan2"}</definedName>
    <definedName name="xcndj" hidden="1">{#N/A,#N/A,FALSE,"Plan1";#N/A,#N/A,FALSE,"Plan2"}</definedName>
    <definedName name="XCVGGT" hidden="1">{#N/A,#N/A,FALSE,"Plan1";#N/A,#N/A,FALSE,"Plan2"}</definedName>
    <definedName name="xcvrg" hidden="1">{#N/A,#N/A,FALSE,"Plan1";#N/A,#N/A,FALSE,"Plan2"}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mght" hidden="1">{#N/A,#N/A,FALSE,"Plan1";#N/A,#N/A,FALSE,"Plan2"}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x" hidden="1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hidden="1">{"'Edit'!$A$1:$V$2277"}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dftr" hidden="1">{#N/A,#N/A,FALSE,"Plan1";#N/A,#N/A,FALSE,"Plan2"}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8" l="1"/>
  <c r="C18" i="18"/>
  <c r="B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B23" i="17"/>
  <c r="E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D17" i="17"/>
  <c r="B17" i="17"/>
  <c r="A3" i="17"/>
  <c r="B34" i="16"/>
  <c r="B29" i="16"/>
  <c r="B24" i="16"/>
  <c r="B23" i="16"/>
  <c r="B36" i="16"/>
  <c r="B35" i="16"/>
  <c r="F14" i="16"/>
  <c r="F15" i="16" s="1"/>
  <c r="B33" i="16"/>
  <c r="B32" i="16"/>
  <c r="B31" i="16"/>
  <c r="B30" i="16"/>
  <c r="B28" i="16"/>
  <c r="B27" i="16"/>
  <c r="B26" i="16"/>
  <c r="B25" i="16"/>
  <c r="B22" i="16"/>
  <c r="C44" i="8"/>
  <c r="B8" i="13"/>
  <c r="B7" i="13"/>
  <c r="B52" i="13"/>
  <c r="D18" i="18" l="1"/>
  <c r="B37" i="16"/>
  <c r="B18" i="16"/>
  <c r="C33" i="16" l="1"/>
  <c r="C32" i="16"/>
  <c r="C36" i="16"/>
  <c r="C35" i="16"/>
  <c r="B38" i="16"/>
  <c r="C27" i="16"/>
  <c r="C22" i="16"/>
  <c r="C29" i="16"/>
  <c r="D38" i="16"/>
  <c r="D39" i="16" s="1"/>
  <c r="C26" i="16"/>
  <c r="C34" i="16"/>
  <c r="C23" i="16"/>
  <c r="C31" i="16"/>
  <c r="C25" i="16"/>
  <c r="C30" i="16"/>
  <c r="C28" i="16"/>
  <c r="C24" i="16"/>
  <c r="D18" i="16"/>
  <c r="C38" i="16" l="1"/>
  <c r="C18" i="16"/>
  <c r="F37" i="6" l="1"/>
  <c r="E184" i="7"/>
  <c r="E183" i="7" s="1"/>
  <c r="E176" i="7"/>
  <c r="E175" i="7"/>
  <c r="E173" i="7"/>
  <c r="E172" i="7"/>
  <c r="E171" i="7" s="1"/>
  <c r="E168" i="7"/>
  <c r="E167" i="7"/>
  <c r="E166" i="7"/>
  <c r="E161" i="7"/>
  <c r="E159" i="7"/>
  <c r="E158" i="7" s="1"/>
  <c r="E156" i="7"/>
  <c r="E155" i="7"/>
  <c r="E152" i="7"/>
  <c r="E145" i="7"/>
  <c r="E144" i="7" s="1"/>
  <c r="E137" i="7"/>
  <c r="E136" i="7"/>
  <c r="E135" i="7"/>
  <c r="E134" i="7"/>
  <c r="E133" i="7" s="1"/>
  <c r="E121" i="7" s="1"/>
  <c r="E122" i="7"/>
  <c r="E120" i="7"/>
  <c r="E119" i="7"/>
  <c r="E118" i="7"/>
  <c r="E117" i="7"/>
  <c r="E115" i="7"/>
  <c r="E111" i="7" s="1"/>
  <c r="E101" i="7"/>
  <c r="E100" i="7"/>
  <c r="E98" i="7"/>
  <c r="E97" i="7"/>
  <c r="E96" i="7"/>
  <c r="E95" i="7"/>
  <c r="E94" i="7"/>
  <c r="E93" i="7"/>
  <c r="E90" i="7"/>
  <c r="E89" i="7"/>
  <c r="E88" i="7"/>
  <c r="E86" i="7"/>
  <c r="E84" i="7"/>
  <c r="E83" i="7"/>
  <c r="E82" i="7"/>
  <c r="E81" i="7"/>
  <c r="E74" i="7"/>
  <c r="E73" i="7"/>
  <c r="E72" i="7"/>
  <c r="E71" i="7"/>
  <c r="E70" i="7"/>
  <c r="E69" i="7"/>
  <c r="E68" i="7"/>
  <c r="E67" i="7"/>
  <c r="E66" i="7"/>
  <c r="E64" i="7"/>
  <c r="E63" i="7"/>
  <c r="E62" i="7"/>
  <c r="E61" i="7"/>
  <c r="E60" i="7"/>
  <c r="E59" i="7"/>
  <c r="E58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39" i="7"/>
  <c r="E37" i="7" s="1"/>
  <c r="E36" i="7"/>
  <c r="E35" i="7" s="1"/>
  <c r="E34" i="7"/>
  <c r="E32" i="7" s="1"/>
  <c r="C34" i="7"/>
  <c r="E29" i="7"/>
  <c r="E26" i="7"/>
  <c r="E24" i="7"/>
  <c r="E23" i="7"/>
  <c r="E20" i="7" s="1"/>
  <c r="E22" i="7"/>
  <c r="E21" i="7"/>
  <c r="E19" i="7"/>
  <c r="E18" i="7"/>
  <c r="E17" i="7"/>
  <c r="E16" i="7"/>
  <c r="E15" i="7"/>
  <c r="E12" i="7"/>
  <c r="E11" i="7"/>
  <c r="E10" i="7"/>
  <c r="E9" i="7"/>
  <c r="E8" i="7"/>
  <c r="E7" i="7"/>
  <c r="E165" i="7" l="1"/>
  <c r="E6" i="7"/>
  <c r="E5" i="7" s="1"/>
  <c r="E92" i="7"/>
  <c r="E164" i="7"/>
  <c r="E151" i="7"/>
  <c r="E150" i="7" s="1"/>
  <c r="E57" i="7"/>
  <c r="E79" i="7"/>
  <c r="E78" i="7" s="1"/>
  <c r="E25" i="7"/>
  <c r="E116" i="7"/>
  <c r="E110" i="7" s="1"/>
  <c r="E65" i="7"/>
  <c r="E56" i="7" s="1"/>
  <c r="E41" i="7"/>
  <c r="E40" i="7" s="1"/>
  <c r="E14" i="7"/>
  <c r="E13" i="7" s="1"/>
  <c r="F27" i="6"/>
  <c r="F26" i="6" s="1"/>
  <c r="F77" i="6"/>
  <c r="F73" i="6"/>
  <c r="F71" i="6"/>
  <c r="F62" i="6" s="1"/>
  <c r="F53" i="6"/>
  <c r="F50" i="6"/>
  <c r="F49" i="6"/>
  <c r="F40" i="6" s="1"/>
  <c r="F39" i="6" s="1"/>
  <c r="F33" i="6"/>
  <c r="F28" i="6" s="1"/>
  <c r="F20" i="6"/>
  <c r="F14" i="6" s="1"/>
  <c r="F15" i="6"/>
  <c r="B8" i="6"/>
  <c r="B7" i="6"/>
  <c r="H18" i="13"/>
  <c r="H19" i="13"/>
  <c r="H20" i="13"/>
  <c r="H21" i="13"/>
  <c r="H22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G79" i="15"/>
  <c r="F79" i="15"/>
  <c r="K9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8" i="15" s="1"/>
  <c r="O39" i="15" s="1"/>
  <c r="G6" i="15"/>
  <c r="G7" i="15"/>
  <c r="G8" i="15"/>
  <c r="G9" i="15"/>
  <c r="G10" i="15"/>
  <c r="G11" i="15"/>
  <c r="K5" i="15" s="1"/>
  <c r="G12" i="15"/>
  <c r="G13" i="15"/>
  <c r="G14" i="15"/>
  <c r="K6" i="15" s="1"/>
  <c r="G15" i="15"/>
  <c r="G16" i="15"/>
  <c r="G17" i="15"/>
  <c r="K7" i="15" s="1"/>
  <c r="G18" i="15"/>
  <c r="G19" i="15"/>
  <c r="J8" i="15" s="1"/>
  <c r="G20" i="15"/>
  <c r="G21" i="15"/>
  <c r="G22" i="15"/>
  <c r="G23" i="15"/>
  <c r="G24" i="15"/>
  <c r="G25" i="15"/>
  <c r="K10" i="15" s="1"/>
  <c r="G26" i="15"/>
  <c r="G27" i="15"/>
  <c r="K11" i="15" s="1"/>
  <c r="G28" i="15"/>
  <c r="G29" i="15"/>
  <c r="K12" i="15" s="1"/>
  <c r="G30" i="15"/>
  <c r="G31" i="15"/>
  <c r="K13" i="15" s="1"/>
  <c r="G32" i="15"/>
  <c r="G33" i="15"/>
  <c r="K14" i="15" s="1"/>
  <c r="G34" i="15"/>
  <c r="G35" i="15"/>
  <c r="K15" i="15" s="1"/>
  <c r="G36" i="15"/>
  <c r="G37" i="15"/>
  <c r="K16" i="15" s="1"/>
  <c r="G38" i="15"/>
  <c r="G39" i="15"/>
  <c r="K17" i="15" s="1"/>
  <c r="G40" i="15"/>
  <c r="G41" i="15"/>
  <c r="K18" i="15" s="1"/>
  <c r="G42" i="15"/>
  <c r="G43" i="15"/>
  <c r="K19" i="15" s="1"/>
  <c r="G44" i="15"/>
  <c r="G45" i="15"/>
  <c r="K20" i="15" s="1"/>
  <c r="G46" i="15"/>
  <c r="G47" i="15"/>
  <c r="K21" i="15" s="1"/>
  <c r="G48" i="15"/>
  <c r="G49" i="15"/>
  <c r="K22" i="15" s="1"/>
  <c r="G50" i="15"/>
  <c r="G51" i="15"/>
  <c r="K23" i="15" s="1"/>
  <c r="G52" i="15"/>
  <c r="G53" i="15"/>
  <c r="K24" i="15" s="1"/>
  <c r="G54" i="15"/>
  <c r="G55" i="15"/>
  <c r="K25" i="15" s="1"/>
  <c r="G56" i="15"/>
  <c r="G57" i="15"/>
  <c r="K26" i="15" s="1"/>
  <c r="G58" i="15"/>
  <c r="G59" i="15"/>
  <c r="K27" i="15" s="1"/>
  <c r="G60" i="15"/>
  <c r="G61" i="15"/>
  <c r="K28" i="15" s="1"/>
  <c r="G62" i="15"/>
  <c r="G63" i="15"/>
  <c r="K29" i="15" s="1"/>
  <c r="G64" i="15"/>
  <c r="G65" i="15"/>
  <c r="K30" i="15" s="1"/>
  <c r="G66" i="15"/>
  <c r="G67" i="15"/>
  <c r="K31" i="15" s="1"/>
  <c r="G68" i="15"/>
  <c r="G69" i="15"/>
  <c r="K32" i="15" s="1"/>
  <c r="G70" i="15"/>
  <c r="G71" i="15"/>
  <c r="K33" i="15" s="1"/>
  <c r="G72" i="15"/>
  <c r="G73" i="15"/>
  <c r="K34" i="15" s="1"/>
  <c r="G74" i="15"/>
  <c r="G75" i="15"/>
  <c r="K35" i="15" s="1"/>
  <c r="G76" i="15"/>
  <c r="K36" i="15" s="1"/>
  <c r="G77" i="15"/>
  <c r="K37" i="15" s="1"/>
  <c r="G5" i="15"/>
  <c r="F25" i="6" l="1"/>
  <c r="J37" i="15"/>
  <c r="L37" i="15" s="1"/>
  <c r="C51" i="13" s="1"/>
  <c r="J29" i="15"/>
  <c r="L29" i="15" s="1"/>
  <c r="C43" i="13" s="1"/>
  <c r="J21" i="15"/>
  <c r="L21" i="15" s="1"/>
  <c r="F61" i="6"/>
  <c r="F24" i="6" s="1"/>
  <c r="F81" i="6" s="1"/>
  <c r="E4" i="7" s="1"/>
  <c r="J4" i="15"/>
  <c r="J6" i="15"/>
  <c r="P29" i="15"/>
  <c r="J22" i="15"/>
  <c r="L22" i="15" s="1"/>
  <c r="C36" i="13" s="1"/>
  <c r="J30" i="15"/>
  <c r="J13" i="15"/>
  <c r="L13" i="15" s="1"/>
  <c r="C27" i="13" s="1"/>
  <c r="J14" i="15"/>
  <c r="J7" i="15"/>
  <c r="L7" i="15" s="1"/>
  <c r="C21" i="13" s="1"/>
  <c r="J10" i="15"/>
  <c r="L10" i="15" s="1"/>
  <c r="C24" i="13" s="1"/>
  <c r="K8" i="15"/>
  <c r="L8" i="15" s="1"/>
  <c r="C22" i="13" s="1"/>
  <c r="K4" i="15"/>
  <c r="J36" i="15"/>
  <c r="L36" i="15" s="1"/>
  <c r="C50" i="13" s="1"/>
  <c r="J31" i="15"/>
  <c r="J25" i="15"/>
  <c r="L25" i="15" s="1"/>
  <c r="C39" i="13" s="1"/>
  <c r="J11" i="15"/>
  <c r="L11" i="15" s="1"/>
  <c r="C25" i="13" s="1"/>
  <c r="J33" i="15"/>
  <c r="L33" i="15" s="1"/>
  <c r="C47" i="13" s="1"/>
  <c r="J9" i="15"/>
  <c r="L9" i="15" s="1"/>
  <c r="C23" i="13" s="1"/>
  <c r="J24" i="15"/>
  <c r="L24" i="15" s="1"/>
  <c r="C38" i="13" s="1"/>
  <c r="J32" i="15"/>
  <c r="L32" i="15" s="1"/>
  <c r="C46" i="13" s="1"/>
  <c r="J15" i="15"/>
  <c r="L15" i="15" s="1"/>
  <c r="C29" i="13" s="1"/>
  <c r="J23" i="15"/>
  <c r="L23" i="15" s="1"/>
  <c r="C37" i="13" s="1"/>
  <c r="J27" i="15"/>
  <c r="L27" i="15" s="1"/>
  <c r="C41" i="13" s="1"/>
  <c r="J26" i="15"/>
  <c r="L26" i="15" s="1"/>
  <c r="C40" i="13" s="1"/>
  <c r="J16" i="15"/>
  <c r="J5" i="15"/>
  <c r="L5" i="15" s="1"/>
  <c r="C19" i="13" s="1"/>
  <c r="J28" i="15"/>
  <c r="L28" i="15" s="1"/>
  <c r="C42" i="13" s="1"/>
  <c r="J19" i="15"/>
  <c r="J35" i="15"/>
  <c r="L35" i="15" s="1"/>
  <c r="C49" i="13" s="1"/>
  <c r="J18" i="15"/>
  <c r="L18" i="15" s="1"/>
  <c r="C32" i="13" s="1"/>
  <c r="J34" i="15"/>
  <c r="L34" i="15" s="1"/>
  <c r="C48" i="13" s="1"/>
  <c r="J20" i="15"/>
  <c r="L20" i="15" s="1"/>
  <c r="C34" i="13" s="1"/>
  <c r="J17" i="15"/>
  <c r="L17" i="15" s="1"/>
  <c r="C31" i="13" s="1"/>
  <c r="J12" i="15"/>
  <c r="L12" i="15" s="1"/>
  <c r="C26" i="13" s="1"/>
  <c r="C35" i="13" l="1"/>
  <c r="P21" i="15"/>
  <c r="M37" i="15"/>
  <c r="M29" i="15"/>
  <c r="E2" i="7"/>
  <c r="E186" i="7" s="1"/>
  <c r="E3" i="7"/>
  <c r="L14" i="15"/>
  <c r="C28" i="13" s="1"/>
  <c r="L30" i="15"/>
  <c r="C44" i="13" s="1"/>
  <c r="L31" i="15"/>
  <c r="L19" i="15"/>
  <c r="C33" i="13" s="1"/>
  <c r="L6" i="15"/>
  <c r="C20" i="13" s="1"/>
  <c r="L4" i="15"/>
  <c r="C18" i="13" s="1"/>
  <c r="J38" i="15"/>
  <c r="J39" i="15" s="1"/>
  <c r="L16" i="15"/>
  <c r="C30" i="13" s="1"/>
  <c r="M21" i="15"/>
  <c r="F43" i="13"/>
  <c r="I43" i="13" s="1"/>
  <c r="Q29" i="15"/>
  <c r="F35" i="13"/>
  <c r="I35" i="13" s="1"/>
  <c r="Q21" i="15"/>
  <c r="P5" i="15"/>
  <c r="M5" i="15"/>
  <c r="P15" i="15"/>
  <c r="M15" i="15"/>
  <c r="P22" i="15"/>
  <c r="M22" i="15"/>
  <c r="P23" i="15"/>
  <c r="M23" i="15"/>
  <c r="P32" i="15"/>
  <c r="M32" i="15"/>
  <c r="P24" i="15"/>
  <c r="M24" i="15"/>
  <c r="P37" i="15"/>
  <c r="P26" i="15"/>
  <c r="M26" i="15"/>
  <c r="P13" i="15"/>
  <c r="M13" i="15"/>
  <c r="P12" i="15"/>
  <c r="M12" i="15"/>
  <c r="P9" i="15"/>
  <c r="M9" i="15"/>
  <c r="P17" i="15"/>
  <c r="M17" i="15"/>
  <c r="P33" i="15"/>
  <c r="M33" i="15"/>
  <c r="P27" i="15"/>
  <c r="M27" i="15"/>
  <c r="P20" i="15"/>
  <c r="M20" i="15"/>
  <c r="P11" i="15"/>
  <c r="M11" i="15"/>
  <c r="P34" i="15"/>
  <c r="M34" i="15"/>
  <c r="P25" i="15"/>
  <c r="M25" i="15"/>
  <c r="P18" i="15"/>
  <c r="M18" i="15"/>
  <c r="P14" i="15"/>
  <c r="P10" i="15"/>
  <c r="M10" i="15"/>
  <c r="P36" i="15"/>
  <c r="M36" i="15"/>
  <c r="P30" i="15"/>
  <c r="P7" i="15"/>
  <c r="M7" i="15"/>
  <c r="P35" i="15"/>
  <c r="M35" i="15"/>
  <c r="P28" i="15"/>
  <c r="M28" i="15"/>
  <c r="P8" i="15"/>
  <c r="M8" i="15"/>
  <c r="P6" i="15" l="1"/>
  <c r="P16" i="15"/>
  <c r="F30" i="13" s="1"/>
  <c r="I30" i="13" s="1"/>
  <c r="M4" i="15"/>
  <c r="P4" i="15"/>
  <c r="M6" i="15"/>
  <c r="M19" i="15"/>
  <c r="C45" i="13"/>
  <c r="C52" i="13" s="1"/>
  <c r="P31" i="15"/>
  <c r="P19" i="15"/>
  <c r="M16" i="15"/>
  <c r="M31" i="15"/>
  <c r="M30" i="15"/>
  <c r="M14" i="15"/>
  <c r="F20" i="13"/>
  <c r="I20" i="13" s="1"/>
  <c r="Q6" i="15"/>
  <c r="Q17" i="15"/>
  <c r="F31" i="13"/>
  <c r="I31" i="13" s="1"/>
  <c r="Q25" i="15"/>
  <c r="F39" i="13"/>
  <c r="I39" i="13" s="1"/>
  <c r="Q28" i="15"/>
  <c r="F42" i="13"/>
  <c r="I42" i="13" s="1"/>
  <c r="F37" i="13"/>
  <c r="I37" i="13" s="1"/>
  <c r="Q23" i="15"/>
  <c r="Q18" i="15"/>
  <c r="F32" i="13"/>
  <c r="I32" i="13" s="1"/>
  <c r="F36" i="13"/>
  <c r="I36" i="13" s="1"/>
  <c r="Q22" i="15"/>
  <c r="F22" i="13"/>
  <c r="I22" i="13" s="1"/>
  <c r="Q8" i="15"/>
  <c r="F23" i="13"/>
  <c r="I23" i="13" s="1"/>
  <c r="Q9" i="15"/>
  <c r="F29" i="13"/>
  <c r="I29" i="13" s="1"/>
  <c r="Q15" i="15"/>
  <c r="Q34" i="15"/>
  <c r="F48" i="13"/>
  <c r="I48" i="13" s="1"/>
  <c r="Q12" i="15"/>
  <c r="F26" i="13"/>
  <c r="I26" i="13" s="1"/>
  <c r="F19" i="13"/>
  <c r="I19" i="13" s="1"/>
  <c r="Q5" i="15"/>
  <c r="Q35" i="15"/>
  <c r="F49" i="13"/>
  <c r="I49" i="13" s="1"/>
  <c r="F27" i="13"/>
  <c r="I27" i="13" s="1"/>
  <c r="Q13" i="15"/>
  <c r="Q11" i="15"/>
  <c r="F25" i="13"/>
  <c r="I25" i="13" s="1"/>
  <c r="F21" i="13"/>
  <c r="I21" i="13" s="1"/>
  <c r="Q7" i="15"/>
  <c r="Q26" i="15"/>
  <c r="F40" i="13"/>
  <c r="I40" i="13" s="1"/>
  <c r="F44" i="13"/>
  <c r="I44" i="13" s="1"/>
  <c r="Q30" i="15"/>
  <c r="Q20" i="15"/>
  <c r="F34" i="13"/>
  <c r="I34" i="13" s="1"/>
  <c r="F51" i="13"/>
  <c r="I51" i="13" s="1"/>
  <c r="Q37" i="15"/>
  <c r="Q36" i="15"/>
  <c r="F50" i="13"/>
  <c r="I50" i="13" s="1"/>
  <c r="Q27" i="15"/>
  <c r="F41" i="13"/>
  <c r="I41" i="13" s="1"/>
  <c r="F38" i="13"/>
  <c r="I38" i="13" s="1"/>
  <c r="Q24" i="15"/>
  <c r="Q19" i="15"/>
  <c r="F33" i="13"/>
  <c r="I33" i="13" s="1"/>
  <c r="F24" i="13"/>
  <c r="I24" i="13" s="1"/>
  <c r="Q10" i="15"/>
  <c r="F46" i="13"/>
  <c r="I46" i="13" s="1"/>
  <c r="Q32" i="15"/>
  <c r="F28" i="13"/>
  <c r="I28" i="13" s="1"/>
  <c r="Q14" i="15"/>
  <c r="Q33" i="15"/>
  <c r="F47" i="13"/>
  <c r="I47" i="13" s="1"/>
  <c r="F18" i="13"/>
  <c r="Q4" i="15"/>
  <c r="Q31" i="15" l="1"/>
  <c r="F45" i="13"/>
  <c r="I45" i="13" s="1"/>
  <c r="Q16" i="15"/>
  <c r="I18" i="13"/>
  <c r="F52" i="13" l="1"/>
  <c r="I52" i="13"/>
  <c r="E97" i="10"/>
  <c r="D97" i="10"/>
  <c r="C97" i="10"/>
  <c r="B97" i="10"/>
  <c r="E89" i="10"/>
  <c r="D89" i="10"/>
  <c r="C89" i="10"/>
  <c r="B89" i="10"/>
  <c r="E81" i="10"/>
  <c r="D81" i="10"/>
  <c r="C81" i="10"/>
  <c r="B81" i="10"/>
  <c r="E73" i="10"/>
  <c r="D73" i="10"/>
  <c r="C73" i="10"/>
  <c r="B73" i="10"/>
  <c r="G71" i="10" s="1"/>
  <c r="E65" i="10"/>
  <c r="D65" i="10"/>
  <c r="C65" i="10"/>
  <c r="B65" i="10"/>
  <c r="E55" i="10"/>
  <c r="D55" i="10"/>
  <c r="C55" i="10"/>
  <c r="B55" i="10"/>
  <c r="B57" i="10" s="1"/>
  <c r="E54" i="10"/>
  <c r="E57" i="10" s="1"/>
  <c r="D54" i="10"/>
  <c r="D57" i="10" s="1"/>
  <c r="C54" i="10"/>
  <c r="C4" i="10" s="1"/>
  <c r="C8" i="10" s="1"/>
  <c r="E49" i="10"/>
  <c r="D49" i="10"/>
  <c r="C49" i="10"/>
  <c r="B49" i="10"/>
  <c r="E41" i="10"/>
  <c r="D41" i="10"/>
  <c r="C41" i="10"/>
  <c r="B41" i="10"/>
  <c r="E33" i="10"/>
  <c r="D33" i="10"/>
  <c r="C33" i="10"/>
  <c r="B33" i="10"/>
  <c r="E25" i="10"/>
  <c r="D25" i="10"/>
  <c r="C25" i="10"/>
  <c r="B25" i="10"/>
  <c r="E16" i="10"/>
  <c r="D16" i="10"/>
  <c r="C16" i="10"/>
  <c r="B16" i="10"/>
  <c r="E7" i="10"/>
  <c r="D7" i="10"/>
  <c r="C7" i="10"/>
  <c r="B7" i="10"/>
  <c r="E6" i="10"/>
  <c r="D6" i="10"/>
  <c r="C6" i="10"/>
  <c r="B6" i="10"/>
  <c r="E5" i="10"/>
  <c r="D5" i="10"/>
  <c r="C5" i="10"/>
  <c r="B5" i="10"/>
  <c r="B4" i="10"/>
  <c r="B8" i="10" l="1"/>
  <c r="D4" i="10"/>
  <c r="D8" i="10" s="1"/>
  <c r="C57" i="10"/>
  <c r="E4" i="10"/>
  <c r="E8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deleon galvin</author>
  </authors>
  <commentList>
    <comment ref="B55" authorId="0" shapeId="0" xr:uid="{0AEF7365-42F4-4B43-916A-09C260020003}">
      <text>
        <r>
          <rPr>
            <b/>
            <sz val="9"/>
            <color indexed="81"/>
            <rFont val="Segoe UI"/>
            <family val="2"/>
          </rPr>
          <t>Bianca: 
Cliente pediu para mantero a verba, pois só tem um cavalete provisório</t>
        </r>
      </text>
    </comment>
  </commentList>
</comments>
</file>

<file path=xl/sharedStrings.xml><?xml version="1.0" encoding="utf-8"?>
<sst xmlns="http://schemas.openxmlformats.org/spreadsheetml/2006/main" count="1527" uniqueCount="709">
  <si>
    <t>Obra</t>
  </si>
  <si>
    <t>Empresa</t>
  </si>
  <si>
    <t>Revisão</t>
  </si>
  <si>
    <t>DADOS OBRA</t>
  </si>
  <si>
    <t>Descrição</t>
  </si>
  <si>
    <t>Unidade</t>
  </si>
  <si>
    <t>Quantidade</t>
  </si>
  <si>
    <t>ÁREA CONSTRUÍDA</t>
  </si>
  <si>
    <t>LEVANTAMENTO QUANTITATIVO</t>
  </si>
  <si>
    <t>ORÇAMENTO PARAMÉTRICO - CUSTOS INDIRETOS</t>
  </si>
  <si>
    <t>Data</t>
  </si>
  <si>
    <t>CÓDIGO</t>
  </si>
  <si>
    <t>ITEM</t>
  </si>
  <si>
    <t>Valor Orçado</t>
  </si>
  <si>
    <t>Considerações</t>
  </si>
  <si>
    <t>total</t>
  </si>
  <si>
    <t>formas</t>
  </si>
  <si>
    <t>superficie m2</t>
  </si>
  <si>
    <t>volume m3</t>
  </si>
  <si>
    <t>barras kg</t>
  </si>
  <si>
    <t>lajes maciça</t>
  </si>
  <si>
    <t>vigas</t>
  </si>
  <si>
    <t>muros conc armado</t>
  </si>
  <si>
    <t>pilares</t>
  </si>
  <si>
    <t>Subsolo</t>
  </si>
  <si>
    <t>terreo</t>
  </si>
  <si>
    <t>1o pavto</t>
  </si>
  <si>
    <t>2o pavto</t>
  </si>
  <si>
    <t>3o pavto</t>
  </si>
  <si>
    <t>4o a 7o pavto</t>
  </si>
  <si>
    <t>cobertura</t>
  </si>
  <si>
    <t>barrilete</t>
  </si>
  <si>
    <t>CM</t>
  </si>
  <si>
    <t>reservatório</t>
  </si>
  <si>
    <t>tampa reserv</t>
  </si>
  <si>
    <t>PAVIMENTO</t>
  </si>
  <si>
    <t>ÁREA</t>
  </si>
  <si>
    <t>Mezanino</t>
  </si>
  <si>
    <t>G1</t>
  </si>
  <si>
    <t>G2</t>
  </si>
  <si>
    <t>G3</t>
  </si>
  <si>
    <t>G4</t>
  </si>
  <si>
    <t>Lazer 01</t>
  </si>
  <si>
    <t>Lazer 02</t>
  </si>
  <si>
    <t>TIPO GARDEN 800</t>
  </si>
  <si>
    <t xml:space="preserve">COBERTURA </t>
  </si>
  <si>
    <t>DUPLEX INFERIOR 2700</t>
  </si>
  <si>
    <t>DUPLEX INFERIOR 2900</t>
  </si>
  <si>
    <t>DUPLEX SUPERIOR 2800</t>
  </si>
  <si>
    <t>DUPLEX SUPERIOR 3000</t>
  </si>
  <si>
    <t>PENTHOUSE INFERIOR 3100</t>
  </si>
  <si>
    <t>PENTHOUSE SUPERIOR 3200</t>
  </si>
  <si>
    <t>RESERVATÓRIO</t>
  </si>
  <si>
    <t>ORIGEM 3003</t>
  </si>
  <si>
    <t>NEUHAUS INCORPORADORA</t>
  </si>
  <si>
    <t>R04</t>
  </si>
  <si>
    <t>UNID.</t>
  </si>
  <si>
    <t>mês</t>
  </si>
  <si>
    <t>CUSTO UNIT</t>
  </si>
  <si>
    <t>CUSTO total</t>
  </si>
  <si>
    <t xml:space="preserve">Projeto Origem 3300 </t>
  </si>
  <si>
    <t/>
  </si>
  <si>
    <t>Planilha Gerada Em 05/08/2024</t>
  </si>
  <si>
    <t>Pacote de trabalho</t>
  </si>
  <si>
    <t>Serviço</t>
  </si>
  <si>
    <t>Lote</t>
  </si>
  <si>
    <t>Data de Início</t>
  </si>
  <si>
    <t>Data de Término</t>
  </si>
  <si>
    <t>EST - Supraestrutura</t>
  </si>
  <si>
    <t>-</t>
  </si>
  <si>
    <t>1º Pav - Mez Térreo</t>
  </si>
  <si>
    <t>EST (1) - Supraestrutura</t>
  </si>
  <si>
    <t>2º Pav - G1</t>
  </si>
  <si>
    <t>EST (2) - Supraestrutura</t>
  </si>
  <si>
    <t>EST - Desforma</t>
  </si>
  <si>
    <t>3º Pav - G2</t>
  </si>
  <si>
    <t>4º Pav - G3</t>
  </si>
  <si>
    <t>5º Pav - G4</t>
  </si>
  <si>
    <t>6º Pav - Lazer 01</t>
  </si>
  <si>
    <t>7º Pav - Lazer 02</t>
  </si>
  <si>
    <t>8º Pav - Tipo 08 (Garden)</t>
  </si>
  <si>
    <t>9º Pav - Tipo 09</t>
  </si>
  <si>
    <t>10º Pav - Tipo 10</t>
  </si>
  <si>
    <t>11º Pav - Tipo 11</t>
  </si>
  <si>
    <t>12º Pav - Tipo 12</t>
  </si>
  <si>
    <t>13º Pav - Tipo 13</t>
  </si>
  <si>
    <t>14º Pav - Tipo 14</t>
  </si>
  <si>
    <t>15º Pav - Tipo 15</t>
  </si>
  <si>
    <t>16º Pav - Tipo 16</t>
  </si>
  <si>
    <t>17º Pav - Tipo 17</t>
  </si>
  <si>
    <t>18º Pav - Tipo 18</t>
  </si>
  <si>
    <t>19º Pav - Tipo 19</t>
  </si>
  <si>
    <t>20º Pav - Tipo 20</t>
  </si>
  <si>
    <t>21º Pav - Tipo 21</t>
  </si>
  <si>
    <t>22º Pav - Tipo 22</t>
  </si>
  <si>
    <t>23º Pav - Tipo 23</t>
  </si>
  <si>
    <t>24º Pav - Tipo 24</t>
  </si>
  <si>
    <t>25º Pav - Tipo 25</t>
  </si>
  <si>
    <t>26º Pav - Tipo 26</t>
  </si>
  <si>
    <t>27º Pav - Duplex Inferior 01</t>
  </si>
  <si>
    <t>28º Pav - Duplex Superior 01</t>
  </si>
  <si>
    <t>29º Pav - Duplex Inferior 02</t>
  </si>
  <si>
    <t>30º Pav - Duplex Superior 02</t>
  </si>
  <si>
    <t>31º Pav - Penthouse Inferior</t>
  </si>
  <si>
    <t>32º Pav - Penthouse Superior</t>
  </si>
  <si>
    <t>Cobertura/Barrilete</t>
  </si>
  <si>
    <t>Reservatório</t>
  </si>
  <si>
    <t>TIPO</t>
  </si>
  <si>
    <t>Tempo supra</t>
  </si>
  <si>
    <t>Tempo até desforma</t>
  </si>
  <si>
    <t>Tempo de reescoramento</t>
  </si>
  <si>
    <t>Tempo de desforma</t>
  </si>
  <si>
    <t>Tempo de escoramento</t>
  </si>
  <si>
    <t>Dias uteis</t>
  </si>
  <si>
    <t>Tempo escoramento</t>
  </si>
  <si>
    <t>Tempo reescoramento</t>
  </si>
  <si>
    <t>Cliente</t>
  </si>
  <si>
    <t>Versão</t>
  </si>
  <si>
    <t xml:space="preserve">GERENCIAMENTO TÉCNICO </t>
  </si>
  <si>
    <t>Código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</si>
  <si>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</si>
  <si>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</si>
  <si>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</si>
  <si>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</si>
  <si>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</si>
  <si>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</si>
  <si>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</si>
  <si>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</si>
  <si>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</si>
  <si>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</si>
  <si>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</si>
  <si>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</si>
  <si>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</si>
  <si>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</si>
  <si>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</si>
  <si>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</si>
  <si>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</si>
  <si>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</si>
  <si>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</si>
  <si>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</si>
  <si>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</si>
  <si>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</si>
  <si>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</si>
  <si>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</si>
  <si>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</si>
  <si>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</si>
  <si>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</si>
  <si>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</si>
  <si>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</si>
  <si>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</si>
  <si>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</si>
  <si>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</si>
  <si>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</si>
  <si>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</si>
  <si>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</si>
  <si>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</si>
  <si>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</si>
  <si>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</si>
  <si>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</si>
  <si>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</si>
  <si>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</si>
  <si>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</si>
  <si>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</si>
  <si>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</si>
  <si>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</si>
  <si>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</si>
  <si>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</si>
  <si>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</si>
  <si>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Sinalização com placa indicativa fixada na estrutura</t>
  </si>
  <si>
    <t>vb</t>
  </si>
  <si>
    <t>02.001.002.007</t>
  </si>
  <si>
    <t>Tela fachadeira reforçada com impressão digital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</si>
  <si>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</si>
  <si>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</si>
  <si>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</si>
  <si>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</si>
  <si>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</si>
  <si>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</si>
  <si>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</si>
  <si>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</si>
  <si>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</si>
  <si>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</si>
  <si>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</si>
  <si>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Almoxarife</t>
  </si>
  <si>
    <t>02.002.001.003</t>
  </si>
  <si>
    <t>Mestre de obras</t>
  </si>
  <si>
    <t>02.002.001.004</t>
  </si>
  <si>
    <t>Estagiário</t>
  </si>
  <si>
    <t>02.002.001.006</t>
  </si>
  <si>
    <t>Operador de grua</t>
  </si>
  <si>
    <t>02.002.001.007</t>
  </si>
  <si>
    <t>Servente para segurança</t>
  </si>
  <si>
    <t>02.002.001.008</t>
  </si>
  <si>
    <t>Carpinteiro para segurança</t>
  </si>
  <si>
    <t>02.002.001.009</t>
  </si>
  <si>
    <t>Portaria</t>
  </si>
  <si>
    <t>02.002.001.010</t>
  </si>
  <si>
    <t>Técnico de segurança do trabalho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</si>
  <si>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</si>
  <si>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</si>
  <si>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</si>
  <si>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</si>
  <si>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</si>
  <si>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>Locação da obra</t>
  </si>
  <si>
    <t xml:space="preserve">02.002.003 </t>
  </si>
  <si>
    <t>Instalações Provisórias</t>
  </si>
  <si>
    <t>02.002.003.001</t>
  </si>
  <si>
    <t>Instalações de canteiro</t>
  </si>
  <si>
    <t>02.002.003.002</t>
  </si>
  <si>
    <t>Instalações Provisórias: Redes de Água Fria, Esgoto e Drenagem</t>
  </si>
  <si>
    <t>02.002.003.003</t>
  </si>
  <si>
    <t>Instalações Provisórias: Redes Elétrica, Comunicação e Dados</t>
  </si>
  <si>
    <t>02.002.003.004</t>
  </si>
  <si>
    <t>Mobiliário de apoio a obra</t>
  </si>
  <si>
    <t>02.002.003.005</t>
  </si>
  <si>
    <t>Equipamentos escritório - aquisição</t>
  </si>
  <si>
    <t>02.002.003.006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</si>
  <si>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</si>
  <si>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</si>
  <si>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</si>
  <si>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</si>
  <si>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</si>
  <si>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</si>
  <si>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</si>
  <si>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</si>
  <si>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</si>
  <si>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</si>
  <si>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Mobilização e desmobilização de grua</t>
  </si>
  <si>
    <t>02.003.001.003</t>
  </si>
  <si>
    <t>Locação de grua</t>
  </si>
  <si>
    <t>02.003.001.004</t>
  </si>
  <si>
    <t>Serviço de montagem de grua</t>
  </si>
  <si>
    <t>02.003.001.005</t>
  </si>
  <si>
    <t>Serviço de desmontagem de grua</t>
  </si>
  <si>
    <t>02.003.001.006</t>
  </si>
  <si>
    <t>Ascensão da grua</t>
  </si>
  <si>
    <t>02.003.001.007</t>
  </si>
  <si>
    <t xml:space="preserve">Manutenção preventiva de grua </t>
  </si>
  <si>
    <t>02.003.001.008</t>
  </si>
  <si>
    <t>Locação de elevador cremalheira</t>
  </si>
  <si>
    <t>02.003.001.009</t>
  </si>
  <si>
    <t>Montagem de elevador cremalheira</t>
  </si>
  <si>
    <t>02.003.001.010</t>
  </si>
  <si>
    <t>Desmontagem de elevador cremalheira</t>
  </si>
  <si>
    <t>02.003.001.011</t>
  </si>
  <si>
    <t>Manutenção preventiva de elevador cremalheira</t>
  </si>
  <si>
    <t>02.003.001.012</t>
  </si>
  <si>
    <t>Locação de balancim</t>
  </si>
  <si>
    <t>02.003.001.013</t>
  </si>
  <si>
    <t>Montagem e desmontagem de balancim</t>
  </si>
  <si>
    <t>02.003.001.014</t>
  </si>
  <si>
    <t>Manutenção periódica de balancim</t>
  </si>
  <si>
    <t>02.003.001</t>
  </si>
  <si>
    <t>Andaimes</t>
  </si>
  <si>
    <t>02.003.001.001</t>
  </si>
  <si>
    <t>Locação de andaime fachadeiro</t>
  </si>
  <si>
    <t xml:space="preserve">Mão de obra de montagem de andaime fachadeiro </t>
  </si>
  <si>
    <t>Plataformas de trabalho em madeira para andaime</t>
  </si>
  <si>
    <t>Total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</si>
  <si>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</si>
  <si>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</si>
  <si>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</si>
  <si>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</si>
  <si>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</si>
  <si>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</si>
  <si>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</si>
  <si>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Rebaixamento de lençol freático</t>
  </si>
  <si>
    <t>dias</t>
  </si>
  <si>
    <t>2.1.2</t>
  </si>
  <si>
    <t>Escavação mecanizada para blocos e baldrames</t>
  </si>
  <si>
    <t>m3</t>
  </si>
  <si>
    <t>2.1.3</t>
  </si>
  <si>
    <t>Reaterro para blocos e baldrames</t>
  </si>
  <si>
    <t>2.1.4</t>
  </si>
  <si>
    <t>Movimentação de terra (30% de empolamento)</t>
  </si>
  <si>
    <t>2.1.5</t>
  </si>
  <si>
    <t>Bota-fora da escavação</t>
  </si>
  <si>
    <t>2.1.6</t>
  </si>
  <si>
    <t xml:space="preserve">Lastro de concreto magro e= 10cm - Blocos </t>
  </si>
  <si>
    <t>INFRAESTRUTURA</t>
  </si>
  <si>
    <t>3.1</t>
  </si>
  <si>
    <t xml:space="preserve">FUNDAÇÃO PROFUNDA </t>
  </si>
  <si>
    <t>3.1.1</t>
  </si>
  <si>
    <t>Estaca hélice contínua diâmetro 50cm</t>
  </si>
  <si>
    <t>19 estacas com 32 metros de profundidade</t>
  </si>
  <si>
    <t>3.1.2</t>
  </si>
  <si>
    <t>Estaca hélice contínua diâmetro 60cm</t>
  </si>
  <si>
    <t>141 estacas com 32 metros de profundidade</t>
  </si>
  <si>
    <t>3.1.3</t>
  </si>
  <si>
    <t xml:space="preserve">Armação </t>
  </si>
  <si>
    <t>kg</t>
  </si>
  <si>
    <t>Consideração de R$ 8,50/kg</t>
  </si>
  <si>
    <t>3.1.4</t>
  </si>
  <si>
    <t>Concreto</t>
  </si>
  <si>
    <t>Consideração de R$ 640,00/m³ com 10% de perda</t>
  </si>
  <si>
    <t>3.1.5</t>
  </si>
  <si>
    <t>Arrasamento de estacas</t>
  </si>
  <si>
    <t>und</t>
  </si>
  <si>
    <t>3.2</t>
  </si>
  <si>
    <t>FUNDAÇÃO RASA</t>
  </si>
  <si>
    <t>3.2.1</t>
  </si>
  <si>
    <t>Fabricação, montagem e desmontagem de forma para blocos e baldrames</t>
  </si>
  <si>
    <t>m²</t>
  </si>
  <si>
    <t>3.2.2</t>
  </si>
  <si>
    <t>3.2.3</t>
  </si>
  <si>
    <t>m³</t>
  </si>
  <si>
    <t>Consideração de R$ 640,00/m³ com 5% de perda</t>
  </si>
  <si>
    <t>3.2.5</t>
  </si>
  <si>
    <t>Mão de obra infraestrutura</t>
  </si>
  <si>
    <t>Consideração de área do térreo</t>
  </si>
  <si>
    <t>SUPRAESTRUTURA</t>
  </si>
  <si>
    <t>5.1</t>
  </si>
  <si>
    <t>FORMA</t>
  </si>
  <si>
    <t>5.1.1</t>
  </si>
  <si>
    <t>Fabricação forma - Embasamento</t>
  </si>
  <si>
    <t xml:space="preserve">Considerando as áreas de forma conforme solicitado pelo cliente com 2 jogos </t>
  </si>
  <si>
    <t>5.1.2</t>
  </si>
  <si>
    <t>Fabricação de forma - Torre</t>
  </si>
  <si>
    <t xml:space="preserve">Considerando as áreas de forma conforme solicitado pelo cliente com 3 jogos </t>
  </si>
  <si>
    <t>5.2</t>
  </si>
  <si>
    <t>ESCORAMENTO</t>
  </si>
  <si>
    <t>5.2.1</t>
  </si>
  <si>
    <t>Escoramento - Torre</t>
  </si>
  <si>
    <t>Conforme memorial de cálculo na aba - Custo escoramento</t>
  </si>
  <si>
    <t>5.2.2</t>
  </si>
  <si>
    <t>Escoramento - Embasamento</t>
  </si>
  <si>
    <t>5.3</t>
  </si>
  <si>
    <t>ARMADURA</t>
  </si>
  <si>
    <t>5.3.1</t>
  </si>
  <si>
    <t>Armadura Convencional para Estrutura</t>
  </si>
  <si>
    <t>Consideração de R$ 7,20/kg</t>
  </si>
  <si>
    <t>5.3.2</t>
  </si>
  <si>
    <t>Cabos para protensão</t>
  </si>
  <si>
    <t>Consideração de 1,83 kg/m² de laje e 12,30/kg</t>
  </si>
  <si>
    <t>5.4</t>
  </si>
  <si>
    <t>CONCRETO</t>
  </si>
  <si>
    <t>5.4.1</t>
  </si>
  <si>
    <t>5.5</t>
  </si>
  <si>
    <t>MÃO DE OBRA</t>
  </si>
  <si>
    <t>5.5.1</t>
  </si>
  <si>
    <t>Mão de obra da supraestrutura (incluso montagem de forma)</t>
  </si>
  <si>
    <t>Valor estimado com base na área construída + verba para montagem das formas</t>
  </si>
  <si>
    <t>5.5.2</t>
  </si>
  <si>
    <t>Serviços de protensão</t>
  </si>
  <si>
    <t>Valor estimado por laje da torre</t>
  </si>
  <si>
    <t>ALVENARIA</t>
  </si>
  <si>
    <t>6.1</t>
  </si>
  <si>
    <t>6.1.1</t>
  </si>
  <si>
    <t>Alvenaria embasamento</t>
  </si>
  <si>
    <t>Consideração de bloco cerâmico de 14x19x19cm</t>
  </si>
  <si>
    <t>6.1.2</t>
  </si>
  <si>
    <t>Alvenaria lazer</t>
  </si>
  <si>
    <t>6.1.3</t>
  </si>
  <si>
    <t>Drywall lazer</t>
  </si>
  <si>
    <t>Considerado material e mão de obra</t>
  </si>
  <si>
    <t>6.1.4</t>
  </si>
  <si>
    <t>Alvenaria tipo</t>
  </si>
  <si>
    <t>6.1.5</t>
  </si>
  <si>
    <t>Drywall tipo</t>
  </si>
  <si>
    <t>6.1.6</t>
  </si>
  <si>
    <t>Alvenaria dupla tipo</t>
  </si>
  <si>
    <t>6.1.7</t>
  </si>
  <si>
    <t>Alvenaria tipo diferenciado</t>
  </si>
  <si>
    <t>6.1.8</t>
  </si>
  <si>
    <t>Drywall Diferenciado</t>
  </si>
  <si>
    <t>6.1.9</t>
  </si>
  <si>
    <t>Alvenaria dupla</t>
  </si>
  <si>
    <t>6.1.10</t>
  </si>
  <si>
    <t>Alvenaria cobertura / reservatório</t>
  </si>
  <si>
    <t>6.1.11</t>
  </si>
  <si>
    <t>Bloco de concreto autoclavado</t>
  </si>
  <si>
    <t>Considerado área das escadas e churrasqueiras</t>
  </si>
  <si>
    <t>6.1.12</t>
  </si>
  <si>
    <t>Serviços complementares</t>
  </si>
  <si>
    <t>Considerado tela, encunhamento, verga e contraverga</t>
  </si>
  <si>
    <t>6.1.13</t>
  </si>
  <si>
    <t>Mão de obra - Bloco Cerâmico</t>
  </si>
  <si>
    <t>6.1.14</t>
  </si>
  <si>
    <t>Mão de obra - Bloco Concreto</t>
  </si>
  <si>
    <t>INSTALAÇÕES ELÉTRICAS, HIDRÁULICAS E GLP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</si>
  <si>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</si>
  <si>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</si>
  <si>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</si>
  <si>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</si>
  <si>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</si>
  <si>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</si>
  <si>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</si>
  <si>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Instalações Embutidas e Aparentes</t>
  </si>
  <si>
    <t>7.1.4</t>
  </si>
  <si>
    <t>Cabos e Fiações</t>
  </si>
  <si>
    <t>7.1.5</t>
  </si>
  <si>
    <t>Quadros e Disjuntores</t>
  </si>
  <si>
    <t>7.1.7</t>
  </si>
  <si>
    <t>Equipamentos e Iluminação</t>
  </si>
  <si>
    <t>7.1.8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</si>
  <si>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</si>
  <si>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</si>
  <si>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</si>
  <si>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</si>
  <si>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</si>
  <si>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</si>
  <si>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</si>
  <si>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</si>
  <si>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</si>
  <si>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</si>
  <si>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</si>
  <si>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</si>
  <si>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</si>
  <si>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</si>
  <si>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Cisterna</t>
  </si>
  <si>
    <t>7.2.7</t>
  </si>
  <si>
    <t>7.2.8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</si>
  <si>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</si>
  <si>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</si>
  <si>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</si>
  <si>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</si>
  <si>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</si>
  <si>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</si>
  <si>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</si>
  <si>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</si>
  <si>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</si>
  <si>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</si>
  <si>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</si>
  <si>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</si>
  <si>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</si>
  <si>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</si>
  <si>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Consideração de áres comuns, aptos e salas comerciais</t>
  </si>
  <si>
    <t>8.1.2</t>
  </si>
  <si>
    <t>Instalação de Ar Condicionado</t>
  </si>
  <si>
    <t>un</t>
  </si>
  <si>
    <t>Considerando somente as áreas comuns</t>
  </si>
  <si>
    <t>8.1.3</t>
  </si>
  <si>
    <t>Ventokit</t>
  </si>
  <si>
    <t>Ventilação mecânica em banheiros enclausurados</t>
  </si>
  <si>
    <t>8.1.4</t>
  </si>
  <si>
    <t>Churrasqueiras</t>
  </si>
  <si>
    <t>Considerado uma por apto e mais áreas comuns</t>
  </si>
  <si>
    <t>8.2</t>
  </si>
  <si>
    <t>AUTOMAÇÃO</t>
  </si>
  <si>
    <t>8.2.1</t>
  </si>
  <si>
    <t>Automação, telecomunicação e sistemas de segurança</t>
  </si>
  <si>
    <t>8.3</t>
  </si>
  <si>
    <t>COMUNICAÇÃO</t>
  </si>
  <si>
    <t>8.3.1</t>
  </si>
  <si>
    <t>CFTV</t>
  </si>
  <si>
    <t>8.3.2</t>
  </si>
  <si>
    <t>Interfone</t>
  </si>
  <si>
    <t>8.3.3</t>
  </si>
  <si>
    <t>TV e internet</t>
  </si>
  <si>
    <t>8.4</t>
  </si>
  <si>
    <t>OUTROS SISTEMAS</t>
  </si>
  <si>
    <t>8.4.1</t>
  </si>
  <si>
    <t>Outros sistemas</t>
  </si>
  <si>
    <t>8.5</t>
  </si>
  <si>
    <t>8.5.1</t>
  </si>
  <si>
    <t>Grupo de geradores</t>
  </si>
  <si>
    <t>1 gerador no G1</t>
  </si>
  <si>
    <t>8.5.2</t>
  </si>
  <si>
    <t>Elevador</t>
  </si>
  <si>
    <t>2 elevadores sociais</t>
  </si>
  <si>
    <t>8.5.3</t>
  </si>
  <si>
    <t>Elevador de serviço</t>
  </si>
  <si>
    <t>um</t>
  </si>
  <si>
    <t>1 elevador para serviço</t>
  </si>
  <si>
    <t>8.5.4</t>
  </si>
  <si>
    <t>Saunas</t>
  </si>
  <si>
    <t>1 sauna lazer e 1 pvto Penthouse</t>
  </si>
  <si>
    <t>8.5.5</t>
  </si>
  <si>
    <t>SPA</t>
  </si>
  <si>
    <t>Considerado no pvto Lazer 02</t>
  </si>
  <si>
    <t>8.5.6</t>
  </si>
  <si>
    <t>Equipamentos piscina</t>
  </si>
  <si>
    <t>Considerado 2 piscinas, 1 no lazer e 1 no pvto Penthouse</t>
  </si>
  <si>
    <t>8.5.7</t>
  </si>
  <si>
    <t>Infraestrutura de carro elétrico</t>
  </si>
  <si>
    <t>Considerado 1 ponto por apto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</si>
  <si>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</si>
  <si>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</si>
  <si>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</si>
  <si>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</si>
  <si>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</si>
  <si>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</si>
  <si>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</si>
  <si>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</si>
  <si>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</si>
  <si>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</si>
  <si>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</si>
  <si>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</si>
  <si>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</si>
  <si>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Impermeabilizações com manta asfaltica</t>
  </si>
  <si>
    <t>9.1.7</t>
  </si>
  <si>
    <t>Impermeabilização de peitoril</t>
  </si>
  <si>
    <t>9.1.8</t>
  </si>
  <si>
    <t>Proteção Mecânica</t>
  </si>
  <si>
    <t>REVESTIMENTOS INTERNOS EM PISO E PAREDE</t>
  </si>
  <si>
    <t>10.1</t>
  </si>
  <si>
    <t xml:space="preserve">REVESTIMENTOS INTERNOS EM PISO </t>
  </si>
  <si>
    <t>10.1.1</t>
  </si>
  <si>
    <t>Contrapiso com argamassa estabilizada</t>
  </si>
  <si>
    <t>10.1.2</t>
  </si>
  <si>
    <t>Manta acústica lazer</t>
  </si>
  <si>
    <t>10.1.3</t>
  </si>
  <si>
    <t>Manta acústica torre</t>
  </si>
  <si>
    <t>10.1.4</t>
  </si>
  <si>
    <t>Mão de Obra Contrapiso</t>
  </si>
  <si>
    <t>10.2</t>
  </si>
  <si>
    <t>REVESTIMENTOS INTERNOS EM PAREDE</t>
  </si>
  <si>
    <t>10.2.1</t>
  </si>
  <si>
    <t>Chapisco</t>
  </si>
  <si>
    <t>10.2.2</t>
  </si>
  <si>
    <t>Reboco</t>
  </si>
  <si>
    <t>10.2.3</t>
  </si>
  <si>
    <t>Estucamento</t>
  </si>
  <si>
    <t>10.2.4</t>
  </si>
  <si>
    <t>Mão de Obra Revestimentos Internos em Parede</t>
  </si>
  <si>
    <t>ACABAMENTOS EM PISO E PAREDE</t>
  </si>
  <si>
    <t>11.1</t>
  </si>
  <si>
    <t>ACABAMENTOS EM PISO</t>
  </si>
  <si>
    <t>11.1.1</t>
  </si>
  <si>
    <t xml:space="preserve">Piso porcelanato </t>
  </si>
  <si>
    <t xml:space="preserve">m² </t>
  </si>
  <si>
    <t>Consideração de porcelanato 80x80</t>
  </si>
  <si>
    <t>11.1.2</t>
  </si>
  <si>
    <t>Piso Vinílico - MAT E MDO</t>
  </si>
  <si>
    <t>11.1.3</t>
  </si>
  <si>
    <t>Piso emborrachado</t>
  </si>
  <si>
    <t>11.1.4</t>
  </si>
  <si>
    <t>Pastilha piscinas</t>
  </si>
  <si>
    <t>11.1.5</t>
  </si>
  <si>
    <t>Piso concreto estampado</t>
  </si>
  <si>
    <t>11.1.6</t>
  </si>
  <si>
    <t>Piso deck</t>
  </si>
  <si>
    <t>11.1.7</t>
  </si>
  <si>
    <t>Rodapés</t>
  </si>
  <si>
    <t>11.1.9</t>
  </si>
  <si>
    <t>Soleiras e peitoris</t>
  </si>
  <si>
    <t>11.1.11</t>
  </si>
  <si>
    <t>MO Porcelanato</t>
  </si>
  <si>
    <t>11.1.12</t>
  </si>
  <si>
    <t>MO Pastilhas</t>
  </si>
  <si>
    <t>11.2</t>
  </si>
  <si>
    <t>ACABAMENTOS EM PAREDE</t>
  </si>
  <si>
    <t>11.2.1</t>
  </si>
  <si>
    <t>Revestimento Cerâmico 30x60</t>
  </si>
  <si>
    <t>Consideração banheiros e área de serviço aptos</t>
  </si>
  <si>
    <t>11.2.2</t>
  </si>
  <si>
    <t>Mão de Obra Revestimento Cerâmico Parede30x60</t>
  </si>
  <si>
    <t>REVESTIMENTOS E ACABAMENTOS INTERNOS EM TETO</t>
  </si>
  <si>
    <t>12.1</t>
  </si>
  <si>
    <t>REVESTIMENTOS E ACABAMENTOS EM TETO</t>
  </si>
  <si>
    <t>12.1.1</t>
  </si>
  <si>
    <t>Forro gesso</t>
  </si>
  <si>
    <t>12.1.2</t>
  </si>
  <si>
    <t>Forro vinílico</t>
  </si>
  <si>
    <t>12.1.3</t>
  </si>
  <si>
    <t>Forro ACM</t>
  </si>
  <si>
    <t>12.1.4</t>
  </si>
  <si>
    <t>Negativo</t>
  </si>
  <si>
    <t>12.1.5</t>
  </si>
  <si>
    <t>Cortineiro</t>
  </si>
  <si>
    <t>12.1.6</t>
  </si>
  <si>
    <t>PINTURA INTERNA</t>
  </si>
  <si>
    <t>13.1</t>
  </si>
  <si>
    <t>13.1.1</t>
  </si>
  <si>
    <t>Pintura piso epoxi</t>
  </si>
  <si>
    <t>13.1.2</t>
  </si>
  <si>
    <t>Pintura acrílica paredes</t>
  </si>
  <si>
    <t>13.1.3</t>
  </si>
  <si>
    <t>Pintura acrílica escadaria</t>
  </si>
  <si>
    <t>13.1.4</t>
  </si>
  <si>
    <t>Textura acrílica paredes</t>
  </si>
  <si>
    <t>ESQUADRIAS</t>
  </si>
  <si>
    <t>14.1</t>
  </si>
  <si>
    <t>ESQUADRIAS DE ALUMÍNIO</t>
  </si>
  <si>
    <t>14.1.1</t>
  </si>
  <si>
    <t>Esquadrias de Alumínio</t>
  </si>
  <si>
    <t>Consideração áreas comuns e apartamentos</t>
  </si>
  <si>
    <t>14.1.2</t>
  </si>
  <si>
    <t>Esquadrias de vidro</t>
  </si>
  <si>
    <t>Consideração nas áreas de lazer</t>
  </si>
  <si>
    <t>14.1.3</t>
  </si>
  <si>
    <t>Brise Vertical</t>
  </si>
  <si>
    <t>Consideração área técnica das torres para ventilação</t>
  </si>
  <si>
    <t>14.1.4</t>
  </si>
  <si>
    <t>Guarda-corpo</t>
  </si>
  <si>
    <t>14.1.5</t>
  </si>
  <si>
    <t>Corrimão</t>
  </si>
  <si>
    <t>Consideração escada torre</t>
  </si>
  <si>
    <t>14.1.6</t>
  </si>
  <si>
    <t>Portão de alumínio</t>
  </si>
  <si>
    <t>Consideração 1 portão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</si>
  <si>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</si>
  <si>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</si>
  <si>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</si>
  <si>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</si>
  <si>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</si>
  <si>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</si>
  <si>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</si>
  <si>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</si>
  <si>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14.3.1</t>
  </si>
  <si>
    <t>Esquadrias de Madeira</t>
  </si>
  <si>
    <t>Consideração porta com todas as ferragens</t>
  </si>
  <si>
    <t>14.3.2</t>
  </si>
  <si>
    <t>Fechadura eletrônica</t>
  </si>
  <si>
    <t>Consideração de uma unidade por apto na porta de entrada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</si>
  <si>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</si>
  <si>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</si>
  <si>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</si>
  <si>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</si>
  <si>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</si>
  <si>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Chapisco e reboco externo</t>
  </si>
  <si>
    <t>15.1.2</t>
  </si>
  <si>
    <t>Mão de obra revestimentos argamassados externos</t>
  </si>
  <si>
    <t>15.2</t>
  </si>
  <si>
    <t>PINTURA EXTERNA</t>
  </si>
  <si>
    <t>15.2.1</t>
  </si>
  <si>
    <t>Textura externa</t>
  </si>
  <si>
    <t>Textura projetada na cor preta em toda a fachada</t>
  </si>
  <si>
    <t>15.2.2</t>
  </si>
  <si>
    <t>Pintura externa</t>
  </si>
  <si>
    <t>15.3</t>
  </si>
  <si>
    <t>REVESTIMENTOS ESPECIAIS</t>
  </si>
  <si>
    <t>15.3.1</t>
  </si>
  <si>
    <t>Tijolinho</t>
  </si>
  <si>
    <t>15.3.2</t>
  </si>
  <si>
    <t>Pele de vidro</t>
  </si>
  <si>
    <t>15.3.3</t>
  </si>
  <si>
    <t>Detalhes</t>
  </si>
  <si>
    <t>SERVIÇOS COMPLEMENTARES</t>
  </si>
  <si>
    <t>17.1</t>
  </si>
  <si>
    <t>17.1.1</t>
  </si>
  <si>
    <t>Móveis e decoração</t>
  </si>
  <si>
    <t>17.1.2</t>
  </si>
  <si>
    <t>Comunicação visual</t>
  </si>
  <si>
    <t>17.1.3</t>
  </si>
  <si>
    <t>Paisagismo</t>
  </si>
  <si>
    <t>17.1.4</t>
  </si>
  <si>
    <t>Ligações definitivas</t>
  </si>
  <si>
    <t>17.1.5</t>
  </si>
  <si>
    <t>Desmobilização</t>
  </si>
  <si>
    <t>17.1.6</t>
  </si>
  <si>
    <t>Limpeza</t>
  </si>
  <si>
    <t>IMPREVISTOS</t>
  </si>
  <si>
    <t>18.1</t>
  </si>
  <si>
    <t>18.1.1</t>
  </si>
  <si>
    <t>Imprevistos</t>
  </si>
  <si>
    <t>TOTAL</t>
  </si>
  <si>
    <t>Origem 3300</t>
  </si>
  <si>
    <t>Neuhaus Incorporadora</t>
  </si>
  <si>
    <t>ÁREAS COBERTAS - ESCORAMENTO</t>
  </si>
  <si>
    <t>02.001.002.009</t>
  </si>
  <si>
    <t>Tela SLQA</t>
  </si>
  <si>
    <t>SOMA</t>
  </si>
  <si>
    <t>LEVANTAMENTO DE CUSTO - ESCORAMENTO</t>
  </si>
  <si>
    <t>ÁREA TOTAL</t>
  </si>
  <si>
    <t>ORÇAMENTO PARAMÉTRICO - R04</t>
  </si>
  <si>
    <t>ORIGEM 3300</t>
  </si>
  <si>
    <t>ETAPA</t>
  </si>
  <si>
    <t>VALOR ORÇADO</t>
  </si>
  <si>
    <t>%</t>
  </si>
  <si>
    <t>VALOR / m²</t>
  </si>
  <si>
    <t>INSTALAÇÕES ELÉTRICAS, HIDRÁULICAS, GLP E PREVENTIVAS</t>
  </si>
  <si>
    <t>EQUIPAMENTOS E SISTEMAS ESPECIAIS</t>
  </si>
  <si>
    <t>Imprevistos e contingências</t>
  </si>
  <si>
    <t>ESQUADRIAS, VIDROS E FERRAGENS</t>
  </si>
  <si>
    <t>CUB/SC</t>
  </si>
  <si>
    <t xml:space="preserve">2.793,27	</t>
  </si>
  <si>
    <t>ÁREA CONSTRUÍDA PRIVATIVA</t>
  </si>
  <si>
    <t>OBRA</t>
  </si>
  <si>
    <t>OBRA SIMILAR</t>
  </si>
  <si>
    <t>VALOR</t>
  </si>
  <si>
    <t>900,00 - 1100</t>
  </si>
  <si>
    <t>25,00 - 30,00</t>
  </si>
  <si>
    <t>15,00 - 22,00</t>
  </si>
  <si>
    <t>150,00 - 200,00</t>
  </si>
  <si>
    <t>440,00 - 510,00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</si>
  <si>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</si>
  <si>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</si>
  <si>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</si>
  <si>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</si>
  <si>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</si>
  <si>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</si>
  <si>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</si>
  <si>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</si>
  <si>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</si>
  <si>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</si>
  <si>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</si>
  <si>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15,00 -25,00</t>
  </si>
  <si>
    <t>155,00 -200,00</t>
  </si>
  <si>
    <t>750,00 -890,00</t>
  </si>
  <si>
    <t>100,00 -155,00</t>
  </si>
  <si>
    <t>300,00 -390,00</t>
  </si>
  <si>
    <t>170,00 -240,00</t>
  </si>
  <si>
    <t>40,00 -90,00</t>
  </si>
  <si>
    <t>100,00 -190,00</t>
  </si>
  <si>
    <t>50,00 -90,00</t>
  </si>
  <si>
    <t>150,00 -230,00</t>
  </si>
  <si>
    <t>90,00 -140,00</t>
  </si>
  <si>
    <t>340,00 -420,00</t>
  </si>
  <si>
    <t>90,00 -205,00</t>
  </si>
  <si>
    <t>120,00 -200,00</t>
  </si>
  <si>
    <t>R02</t>
  </si>
  <si>
    <t>R03</t>
  </si>
  <si>
    <t xml:space="preserve">DIFERENÇA </t>
  </si>
  <si>
    <t>COMENTÁRIOS</t>
  </si>
  <si>
    <t>Revisão do custo de equipe técnica, segurança e equipamentos.</t>
  </si>
  <si>
    <t>Revisão do custo do aço, protensão da laje, quantitativo e proposta de escoramento.</t>
  </si>
  <si>
    <t>Atualizado conforme custo total da obra (1,5% sobre o valor total da obra).</t>
  </si>
  <si>
    <t>Sistema de bombas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</si>
</sst>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(* #,##0.00_);_(* \(#,##0.00\);_(* &quot;-&quot;??_);_(@_)"/>
    <numFmt numFmtId="166" formatCode="_-* #.##0.00_-;\-* #.##0.00_-;_-* &quot;-&quot;??_-;_-@_-"/>
    <numFmt numFmtId="167" formatCode="0.0%"/>
    <numFmt numFmtId="168" formatCode="_-* #,##0.00000_-;\-* #,##0.00000_-;_-* &quot;-&quot;?????_-;_-@_-"/>
    <numFmt numFmtId="169" formatCode="_-&quot;R$&quot;\ * #,##0.00_-;\-&quot;R$&quot;\ * #,##0.00_-;_-&quot;R$&quot;\ * &quot;-&quot;??_-;_-@"/>
    <numFmt numFmtId="170" formatCode="#,##0.0000"/>
    <numFmt numFmtId="171" formatCode="_-[$R$-416]\ * #,##0.00_-;\-[$R$-416]\ * #,##0.00_-;_-[$R$-416]\ * &quot;-&quot;??_-;_-@_-"/>
  </numFmts>
  <fonts count="5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rgb="FF002060"/>
      <name val="Poppins"/>
    </font>
    <font>
      <b/>
      <sz val="14"/>
      <color rgb="FF121212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1"/>
      <color theme="0"/>
      <name val="Roboto"/>
    </font>
    <font>
      <sz val="11"/>
      <color rgb="FF010000"/>
      <name val="Roboto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Poppins"/>
    </font>
    <font>
      <sz val="11"/>
      <name val="Roboto"/>
    </font>
    <font>
      <b/>
      <sz val="11"/>
      <color theme="0"/>
      <name val="Poppins"/>
    </font>
    <font>
      <sz val="10"/>
      <color rgb="FF000000"/>
      <name val="Arial"/>
      <family val="2"/>
      <scheme val="minor"/>
    </font>
    <font>
      <sz val="10"/>
      <color indexed="8"/>
      <name val="MS Sans Serif"/>
    </font>
    <font>
      <b/>
      <sz val="12"/>
      <color indexed="8"/>
      <name val="Arial"/>
      <family val="2"/>
    </font>
    <font>
      <sz val="11"/>
      <name val="Arial"/>
      <family val="1"/>
    </font>
    <font>
      <b/>
      <sz val="12"/>
      <color rgb="FFFFFFFF"/>
      <name val="Arial"/>
      <family val="1"/>
    </font>
    <font>
      <b/>
      <sz val="18"/>
      <color rgb="FFFFFFFF"/>
      <name val="Arial"/>
      <family val="1"/>
    </font>
    <font>
      <b/>
      <sz val="15"/>
      <color rgb="FFFFFFFF"/>
      <name val="Arial"/>
      <family val="1"/>
    </font>
    <font>
      <b/>
      <sz val="11"/>
      <color rgb="FF000000"/>
      <name val="Arial"/>
      <family val="1"/>
    </font>
    <font>
      <b/>
      <sz val="11"/>
      <name val="Arial"/>
      <family val="1"/>
    </font>
    <font>
      <sz val="11"/>
      <color rgb="FFFFFFFF"/>
      <name val="Arial"/>
      <family val="1"/>
    </font>
    <font>
      <sz val="12"/>
      <color theme="1"/>
      <name val="Poppins"/>
    </font>
    <font>
      <sz val="11"/>
      <color rgb="FF000000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name val="Poppins"/>
    </font>
    <font>
      <sz val="10"/>
      <color theme="0"/>
      <name val="Poppins"/>
    </font>
    <font>
      <b/>
      <sz val="9"/>
      <color indexed="81"/>
      <name val="Segoe UI"/>
      <family val="2"/>
    </font>
    <font>
      <b/>
      <sz val="11"/>
      <name val="Roboto"/>
    </font>
    <font>
      <sz val="11"/>
      <color theme="0"/>
      <name val="Roboto"/>
    </font>
    <font>
      <b/>
      <sz val="12"/>
      <color theme="0"/>
      <name val="Poppins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rgb="FF0000FF"/>
      <name val="Poppins"/>
    </font>
    <font>
      <sz val="11"/>
      <name val="Poppins"/>
    </font>
    <font>
      <sz val="8"/>
      <color theme="1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rgb="FFFF0000"/>
      <name val="Poppins"/>
    </font>
    <font>
      <sz val="11"/>
      <color theme="5"/>
      <name val="Poppins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2B2B3E"/>
      </patternFill>
    </fill>
    <fill>
      <patternFill patternType="solid">
        <fgColor rgb="FF1D1D36"/>
      </patternFill>
    </fill>
    <fill>
      <patternFill patternType="solid">
        <fgColor rgb="FFE0E0E0"/>
      </patternFill>
    </fill>
    <fill>
      <patternFill patternType="solid">
        <f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CDCDC"/>
        <bgColor rgb="FFDCDCDC"/>
      </patternFill>
    </fill>
  </fills>
  <borders count="9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FFFFFF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</borders>
  <cellStyleXfs count="20">
    <xf numFmtId="0" fontId="0" fillId="0" borderId="0"/>
    <xf numFmtId="43" fontId="24" fillId="0" borderId="0" applyFont="0" applyFill="0" applyBorder="0" applyAlignment="0" applyProtection="0"/>
    <xf numFmtId="0" fontId="24" fillId="0" borderId="16"/>
    <xf numFmtId="0" fontId="10" fillId="0" borderId="16"/>
    <xf numFmtId="0" fontId="4" fillId="0" borderId="16"/>
    <xf numFmtId="44" fontId="4" fillId="0" borderId="16" applyFont="0" applyFill="0" applyBorder="0" applyAlignment="0" applyProtection="0"/>
    <xf numFmtId="0" fontId="3" fillId="0" borderId="16"/>
    <xf numFmtId="43" fontId="3" fillId="0" borderId="16" applyFont="0" applyFill="0" applyBorder="0" applyAlignment="0" applyProtection="0"/>
    <xf numFmtId="44" fontId="3" fillId="0" borderId="16" applyFont="0" applyFill="0" applyBorder="0" applyAlignment="0" applyProtection="0"/>
    <xf numFmtId="44" fontId="28" fillId="0" borderId="0" applyFont="0" applyFill="0" applyBorder="0" applyAlignment="0" applyProtection="0"/>
    <xf numFmtId="0" fontId="2" fillId="0" borderId="16"/>
    <xf numFmtId="44" fontId="29" fillId="0" borderId="16" applyFont="0" applyFill="0" applyBorder="0" applyAlignment="0" applyProtection="0"/>
    <xf numFmtId="0" fontId="10" fillId="0" borderId="16"/>
    <xf numFmtId="165" fontId="2" fillId="0" borderId="16" applyFont="0" applyFill="0" applyBorder="0" applyAlignment="0" applyProtection="0"/>
    <xf numFmtId="165" fontId="10" fillId="0" borderId="16" applyFont="0" applyFill="0" applyBorder="0" applyAlignment="0" applyProtection="0"/>
    <xf numFmtId="165" fontId="30" fillId="0" borderId="16" applyFont="0" applyFill="0" applyBorder="0" applyAlignment="0" applyProtection="0"/>
    <xf numFmtId="0" fontId="10" fillId="0" borderId="16"/>
    <xf numFmtId="0" fontId="1" fillId="0" borderId="16"/>
    <xf numFmtId="0" fontId="31" fillId="0" borderId="16"/>
    <xf numFmtId="9" fontId="48" fillId="0" borderId="0" applyFont="0" applyFill="0" applyBorder="0" applyAlignment="0" applyProtection="0"/>
  </cellStyleXfs>
  <cellXfs count="383">
    <xf numFmtId="0" fontId="0" fillId="0" borderId="0" xfId="0"/>
    <xf numFmtId="0" fontId="5" fillId="2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/>
    <xf numFmtId="0" fontId="8" fillId="0" borderId="0" xfId="0" applyFont="1"/>
    <xf numFmtId="0" fontId="5" fillId="2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left" vertical="center" wrapText="1"/>
    </xf>
    <xf numFmtId="0" fontId="7" fillId="3" borderId="6" xfId="0" applyFont="1" applyFill="1" applyBorder="1"/>
    <xf numFmtId="0" fontId="11" fillId="3" borderId="10" xfId="0" applyFont="1" applyFill="1" applyBorder="1" applyAlignment="1">
      <alignment vertical="center" wrapText="1"/>
    </xf>
    <xf numFmtId="0" fontId="11" fillId="3" borderId="11" xfId="0" applyFont="1" applyFill="1" applyBorder="1" applyAlignment="1">
      <alignment horizontal="center" vertical="center" wrapText="1"/>
    </xf>
    <xf numFmtId="164" fontId="11" fillId="3" borderId="11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0" fontId="6" fillId="3" borderId="10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164" fontId="6" fillId="3" borderId="11" xfId="0" applyNumberFormat="1" applyFont="1" applyFill="1" applyBorder="1" applyAlignment="1">
      <alignment horizontal="left" vertical="center" wrapText="1"/>
    </xf>
    <xf numFmtId="0" fontId="12" fillId="3" borderId="12" xfId="0" applyFont="1" applyFill="1" applyBorder="1"/>
    <xf numFmtId="0" fontId="13" fillId="3" borderId="10" xfId="0" applyFont="1" applyFill="1" applyBorder="1"/>
    <xf numFmtId="0" fontId="12" fillId="3" borderId="13" xfId="0" applyFont="1" applyFill="1" applyBorder="1"/>
    <xf numFmtId="0" fontId="12" fillId="3" borderId="14" xfId="0" applyFont="1" applyFill="1" applyBorder="1" applyAlignment="1">
      <alignment horizontal="center"/>
    </xf>
    <xf numFmtId="164" fontId="12" fillId="3" borderId="14" xfId="0" applyNumberFormat="1" applyFont="1" applyFill="1" applyBorder="1" applyAlignment="1">
      <alignment horizontal="center"/>
    </xf>
    <xf numFmtId="0" fontId="12" fillId="3" borderId="15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43" fontId="25" fillId="0" borderId="19" xfId="1" applyFont="1" applyFill="1" applyBorder="1" applyAlignment="1" applyProtection="1">
      <alignment horizontal="righ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19" fillId="7" borderId="20" xfId="3" applyFont="1" applyFill="1" applyBorder="1" applyAlignment="1">
      <alignment horizontal="left" vertical="center" wrapText="1"/>
    </xf>
    <xf numFmtId="43" fontId="19" fillId="7" borderId="20" xfId="1" applyFont="1" applyFill="1" applyBorder="1" applyAlignment="1">
      <alignment horizontal="right" vertical="center" wrapText="1"/>
    </xf>
    <xf numFmtId="43" fontId="19" fillId="7" borderId="20" xfId="1" applyFont="1" applyFill="1" applyBorder="1" applyAlignment="1" applyProtection="1">
      <alignment horizontal="right" vertical="center" wrapText="1"/>
    </xf>
    <xf numFmtId="43" fontId="19" fillId="7" borderId="21" xfId="1" applyFont="1" applyFill="1" applyBorder="1" applyAlignment="1" applyProtection="1">
      <alignment horizontal="right" vertical="center" wrapText="1"/>
    </xf>
    <xf numFmtId="0" fontId="19" fillId="8" borderId="22" xfId="3" applyFont="1" applyFill="1" applyBorder="1" applyAlignment="1">
      <alignment horizontal="left" vertical="center" wrapText="1"/>
    </xf>
    <xf numFmtId="43" fontId="19" fillId="8" borderId="22" xfId="1" applyFont="1" applyFill="1" applyBorder="1" applyAlignment="1">
      <alignment horizontal="right" vertical="center" wrapText="1"/>
    </xf>
    <xf numFmtId="43" fontId="19" fillId="8" borderId="22" xfId="1" applyFont="1" applyFill="1" applyBorder="1" applyAlignment="1" applyProtection="1">
      <alignment horizontal="right" vertical="center" wrapText="1"/>
    </xf>
    <xf numFmtId="43" fontId="19" fillId="8" borderId="19" xfId="1" applyFont="1" applyFill="1" applyBorder="1" applyAlignment="1" applyProtection="1">
      <alignment horizontal="right" vertical="center" wrapText="1"/>
    </xf>
    <xf numFmtId="0" fontId="19" fillId="9" borderId="22" xfId="3" applyFont="1" applyFill="1" applyBorder="1" applyAlignment="1">
      <alignment horizontal="left" vertical="center" wrapText="1"/>
    </xf>
    <xf numFmtId="43" fontId="19" fillId="9" borderId="22" xfId="1" applyFont="1" applyFill="1" applyBorder="1" applyAlignment="1">
      <alignment horizontal="right" vertical="center" wrapText="1"/>
    </xf>
    <xf numFmtId="43" fontId="19" fillId="9" borderId="22" xfId="1" applyFont="1" applyFill="1" applyBorder="1" applyAlignment="1" applyProtection="1">
      <alignment horizontal="right" vertical="center" wrapText="1"/>
    </xf>
    <xf numFmtId="43" fontId="19" fillId="9" borderId="19" xfId="1" applyFont="1" applyFill="1" applyBorder="1" applyAlignment="1" applyProtection="1">
      <alignment horizontal="right" vertical="center" wrapText="1"/>
    </xf>
    <xf numFmtId="0" fontId="19" fillId="7" borderId="22" xfId="3" applyFont="1" applyFill="1" applyBorder="1" applyAlignment="1">
      <alignment horizontal="left" vertical="center" wrapText="1"/>
    </xf>
    <xf numFmtId="43" fontId="19" fillId="7" borderId="22" xfId="1" applyFont="1" applyFill="1" applyBorder="1" applyAlignment="1">
      <alignment horizontal="right" vertical="center" wrapText="1"/>
    </xf>
    <xf numFmtId="43" fontId="19" fillId="7" borderId="22" xfId="1" applyFont="1" applyFill="1" applyBorder="1" applyAlignment="1" applyProtection="1">
      <alignment horizontal="right" vertical="center" wrapText="1"/>
    </xf>
    <xf numFmtId="43" fontId="19" fillId="7" borderId="19" xfId="1" applyFont="1" applyFill="1" applyBorder="1" applyAlignment="1" applyProtection="1">
      <alignment horizontal="right" vertical="center" wrapText="1"/>
    </xf>
    <xf numFmtId="0" fontId="20" fillId="0" borderId="22" xfId="3" applyFont="1" applyBorder="1" applyAlignment="1">
      <alignment horizontal="left" vertical="center" wrapText="1"/>
    </xf>
    <xf numFmtId="43" fontId="25" fillId="0" borderId="22" xfId="1" applyFont="1" applyBorder="1" applyAlignment="1">
      <alignment horizontal="right" vertical="center" wrapText="1"/>
    </xf>
    <xf numFmtId="43" fontId="20" fillId="0" borderId="22" xfId="1" applyFont="1" applyFill="1" applyBorder="1" applyAlignment="1" applyProtection="1">
      <alignment horizontal="right" vertical="center" wrapText="1"/>
    </xf>
    <xf numFmtId="43" fontId="25" fillId="0" borderId="22" xfId="1" applyFont="1" applyFill="1" applyBorder="1" applyAlignment="1" applyProtection="1">
      <alignment horizontal="right" vertical="center" wrapText="1"/>
    </xf>
    <xf numFmtId="43" fontId="25" fillId="0" borderId="22" xfId="1" applyFont="1" applyFill="1" applyBorder="1" applyAlignment="1">
      <alignment horizontal="right" vertical="center" wrapText="1"/>
    </xf>
    <xf numFmtId="0" fontId="4" fillId="0" borderId="16" xfId="4"/>
    <xf numFmtId="0" fontId="4" fillId="11" borderId="16" xfId="4" applyFill="1"/>
    <xf numFmtId="0" fontId="4" fillId="0" borderId="23" xfId="4" applyBorder="1"/>
    <xf numFmtId="0" fontId="14" fillId="3" borderId="16" xfId="0" applyFont="1" applyFill="1" applyBorder="1" applyAlignment="1">
      <alignment horizontal="center" vertical="center" wrapText="1"/>
    </xf>
    <xf numFmtId="43" fontId="7" fillId="10" borderId="16" xfId="7" applyFont="1" applyFill="1" applyBorder="1"/>
    <xf numFmtId="0" fontId="7" fillId="10" borderId="23" xfId="6" applyFont="1" applyFill="1" applyBorder="1" applyAlignment="1">
      <alignment horizontal="center"/>
    </xf>
    <xf numFmtId="43" fontId="7" fillId="10" borderId="23" xfId="7" applyFont="1" applyFill="1" applyBorder="1"/>
    <xf numFmtId="0" fontId="25" fillId="0" borderId="22" xfId="3" applyFont="1" applyBorder="1" applyAlignment="1">
      <alignment horizontal="left" vertical="center" wrapText="1"/>
    </xf>
    <xf numFmtId="44" fontId="7" fillId="10" borderId="23" xfId="9" applyFont="1" applyFill="1" applyBorder="1"/>
    <xf numFmtId="0" fontId="32" fillId="13" borderId="16" xfId="18" applyFont="1" applyFill="1"/>
    <xf numFmtId="0" fontId="33" fillId="14" borderId="16" xfId="18" applyFont="1" applyFill="1"/>
    <xf numFmtId="0" fontId="34" fillId="14" borderId="29" xfId="18" applyFont="1" applyFill="1" applyBorder="1" applyAlignment="1">
      <alignment horizontal="center"/>
    </xf>
    <xf numFmtId="49" fontId="35" fillId="15" borderId="30" xfId="18" applyNumberFormat="1" applyFont="1" applyFill="1" applyBorder="1" applyAlignment="1">
      <alignment horizontal="center"/>
    </xf>
    <xf numFmtId="14" fontId="36" fillId="15" borderId="30" xfId="18" applyNumberFormat="1" applyFont="1" applyFill="1" applyBorder="1" applyAlignment="1">
      <alignment horizontal="center"/>
    </xf>
    <xf numFmtId="0" fontId="37" fillId="16" borderId="31" xfId="18" applyFont="1" applyFill="1" applyBorder="1"/>
    <xf numFmtId="0" fontId="39" fillId="0" borderId="0" xfId="0" applyFont="1"/>
    <xf numFmtId="49" fontId="41" fillId="15" borderId="29" xfId="18" applyNumberFormat="1" applyFont="1" applyFill="1" applyBorder="1" applyAlignment="1">
      <alignment horizontal="center"/>
    </xf>
    <xf numFmtId="49" fontId="41" fillId="15" borderId="30" xfId="18" applyNumberFormat="1" applyFont="1" applyFill="1" applyBorder="1" applyAlignment="1">
      <alignment horizontal="center"/>
    </xf>
    <xf numFmtId="0" fontId="34" fillId="14" borderId="29" xfId="18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0" fillId="14" borderId="29" xfId="18" applyFont="1" applyFill="1" applyBorder="1" applyAlignment="1">
      <alignment horizontal="center" wrapText="1"/>
    </xf>
    <xf numFmtId="0" fontId="39" fillId="11" borderId="0" xfId="0" applyFont="1" applyFill="1"/>
    <xf numFmtId="0" fontId="39" fillId="17" borderId="0" xfId="0" applyFont="1" applyFill="1"/>
    <xf numFmtId="2" fontId="39" fillId="11" borderId="0" xfId="0" applyNumberFormat="1" applyFont="1" applyFill="1"/>
    <xf numFmtId="2" fontId="39" fillId="17" borderId="0" xfId="0" applyNumberFormat="1" applyFont="1" applyFill="1"/>
    <xf numFmtId="43" fontId="0" fillId="0" borderId="0" xfId="0" applyNumberFormat="1"/>
    <xf numFmtId="0" fontId="24" fillId="0" borderId="0" xfId="0" applyFont="1"/>
    <xf numFmtId="44" fontId="0" fillId="0" borderId="23" xfId="9" applyFont="1" applyBorder="1"/>
    <xf numFmtId="0" fontId="0" fillId="0" borderId="0" xfId="0" applyAlignment="1">
      <alignment horizontal="center"/>
    </xf>
    <xf numFmtId="49" fontId="16" fillId="0" borderId="16" xfId="3" applyNumberFormat="1" applyFont="1" applyAlignment="1">
      <alignment vertical="center"/>
    </xf>
    <xf numFmtId="0" fontId="16" fillId="2" borderId="16" xfId="3" applyFont="1" applyFill="1" applyAlignment="1">
      <alignment vertical="center"/>
    </xf>
    <xf numFmtId="43" fontId="16" fillId="2" borderId="0" xfId="1" applyFont="1" applyFill="1" applyAlignment="1">
      <alignment vertical="center"/>
    </xf>
    <xf numFmtId="43" fontId="16" fillId="2" borderId="0" xfId="1" applyFont="1" applyFill="1" applyAlignment="1">
      <alignment horizontal="center" vertical="center"/>
    </xf>
    <xf numFmtId="49" fontId="17" fillId="18" borderId="32" xfId="3" applyNumberFormat="1" applyFont="1" applyFill="1" applyBorder="1" applyAlignment="1">
      <alignment vertical="center"/>
    </xf>
    <xf numFmtId="49" fontId="17" fillId="18" borderId="34" xfId="3" applyNumberFormat="1" applyFont="1" applyFill="1" applyBorder="1" applyAlignment="1">
      <alignment vertical="center"/>
    </xf>
    <xf numFmtId="49" fontId="17" fillId="18" borderId="35" xfId="3" applyNumberFormat="1" applyFont="1" applyFill="1" applyBorder="1" applyAlignment="1">
      <alignment horizontal="left" vertical="center"/>
    </xf>
    <xf numFmtId="0" fontId="25" fillId="0" borderId="16" xfId="3" applyFont="1" applyAlignment="1">
      <alignment vertical="center"/>
    </xf>
    <xf numFmtId="43" fontId="25" fillId="0" borderId="0" xfId="1" applyFont="1" applyAlignment="1">
      <alignment vertical="center"/>
    </xf>
    <xf numFmtId="0" fontId="17" fillId="12" borderId="27" xfId="3" applyFont="1" applyFill="1" applyBorder="1" applyAlignment="1">
      <alignment horizontal="center" vertical="center" wrapText="1"/>
    </xf>
    <xf numFmtId="43" fontId="17" fillId="12" borderId="27" xfId="1" applyFont="1" applyFill="1" applyBorder="1" applyAlignment="1">
      <alignment horizontal="center" vertical="center" wrapText="1"/>
    </xf>
    <xf numFmtId="43" fontId="17" fillId="12" borderId="27" xfId="1" applyFont="1" applyFill="1" applyBorder="1" applyAlignment="1" applyProtection="1">
      <alignment horizontal="center" vertical="center" wrapText="1"/>
    </xf>
    <xf numFmtId="0" fontId="19" fillId="7" borderId="41" xfId="3" applyFont="1" applyFill="1" applyBorder="1" applyAlignment="1">
      <alignment horizontal="left" vertical="center" wrapText="1"/>
    </xf>
    <xf numFmtId="3" fontId="19" fillId="8" borderId="42" xfId="3" applyNumberFormat="1" applyFont="1" applyFill="1" applyBorder="1" applyAlignment="1">
      <alignment horizontal="left" vertical="center" wrapText="1"/>
    </xf>
    <xf numFmtId="0" fontId="19" fillId="9" borderId="42" xfId="3" applyFont="1" applyFill="1" applyBorder="1" applyAlignment="1">
      <alignment horizontal="left" vertical="center" wrapText="1"/>
    </xf>
    <xf numFmtId="43" fontId="42" fillId="9" borderId="19" xfId="1" applyFont="1" applyFill="1" applyBorder="1" applyAlignment="1" applyProtection="1">
      <alignment horizontal="right" vertical="center" wrapText="1"/>
    </xf>
    <xf numFmtId="49" fontId="19" fillId="9" borderId="42" xfId="3" applyNumberFormat="1" applyFont="1" applyFill="1" applyBorder="1" applyAlignment="1">
      <alignment horizontal="left" vertical="center" wrapText="1"/>
    </xf>
    <xf numFmtId="49" fontId="19" fillId="7" borderId="42" xfId="3" applyNumberFormat="1" applyFont="1" applyFill="1" applyBorder="1" applyAlignment="1">
      <alignment horizontal="left" vertical="center" wrapText="1"/>
    </xf>
    <xf numFmtId="49" fontId="19" fillId="8" borderId="42" xfId="3" applyNumberFormat="1" applyFont="1" applyFill="1" applyBorder="1" applyAlignment="1">
      <alignment horizontal="left" vertical="center" wrapText="1"/>
    </xf>
    <xf numFmtId="49" fontId="20" fillId="0" borderId="42" xfId="3" applyNumberFormat="1" applyFont="1" applyBorder="1" applyAlignment="1">
      <alignment horizontal="left" vertical="center" wrapText="1"/>
    </xf>
    <xf numFmtId="49" fontId="43" fillId="20" borderId="42" xfId="3" applyNumberFormat="1" applyFont="1" applyFill="1" applyBorder="1" applyAlignment="1">
      <alignment horizontal="left" vertical="center" wrapText="1"/>
    </xf>
    <xf numFmtId="0" fontId="43" fillId="20" borderId="22" xfId="3" applyFont="1" applyFill="1" applyBorder="1" applyAlignment="1">
      <alignment horizontal="left" vertical="center" wrapText="1"/>
    </xf>
    <xf numFmtId="43" fontId="43" fillId="20" borderId="22" xfId="1" applyFont="1" applyFill="1" applyBorder="1" applyAlignment="1">
      <alignment horizontal="right" vertical="center" wrapText="1"/>
    </xf>
    <xf numFmtId="43" fontId="43" fillId="20" borderId="22" xfId="1" applyFont="1" applyFill="1" applyBorder="1" applyAlignment="1" applyProtection="1">
      <alignment horizontal="right" vertical="center" wrapText="1"/>
    </xf>
    <xf numFmtId="43" fontId="43" fillId="20" borderId="19" xfId="1" applyFont="1" applyFill="1" applyBorder="1" applyAlignment="1" applyProtection="1">
      <alignment horizontal="right" vertical="center" wrapText="1"/>
    </xf>
    <xf numFmtId="43" fontId="20" fillId="0" borderId="22" xfId="1" applyFont="1" applyBorder="1" applyAlignment="1">
      <alignment horizontal="right" vertical="center" wrapText="1"/>
    </xf>
    <xf numFmtId="43" fontId="20" fillId="0" borderId="19" xfId="1" applyFont="1" applyFill="1" applyBorder="1" applyAlignment="1" applyProtection="1">
      <alignment horizontal="right" vertical="center" wrapText="1"/>
    </xf>
    <xf numFmtId="43" fontId="19" fillId="21" borderId="45" xfId="1" applyFont="1" applyFill="1" applyBorder="1" applyAlignment="1" applyProtection="1">
      <alignment horizontal="right" vertical="center" wrapText="1"/>
    </xf>
    <xf numFmtId="0" fontId="21" fillId="20" borderId="38" xfId="0" applyFont="1" applyFill="1" applyBorder="1" applyAlignment="1">
      <alignment horizontal="center" vertical="center" wrapText="1"/>
    </xf>
    <xf numFmtId="0" fontId="21" fillId="20" borderId="39" xfId="0" applyFont="1" applyFill="1" applyBorder="1" applyAlignment="1">
      <alignment horizontal="center" vertical="center" wrapText="1"/>
    </xf>
    <xf numFmtId="43" fontId="21" fillId="20" borderId="40" xfId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1" fillId="12" borderId="32" xfId="0" applyFont="1" applyFill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left" vertical="center" wrapText="1"/>
    </xf>
    <xf numFmtId="43" fontId="21" fillId="12" borderId="33" xfId="1" applyFont="1" applyFill="1" applyBorder="1" applyAlignment="1" applyProtection="1">
      <alignment horizontal="center" vertical="center" wrapText="1"/>
    </xf>
    <xf numFmtId="43" fontId="21" fillId="12" borderId="33" xfId="1" applyFont="1" applyFill="1" applyBorder="1" applyAlignment="1" applyProtection="1">
      <alignment horizontal="right" vertical="center" wrapText="1"/>
    </xf>
    <xf numFmtId="0" fontId="45" fillId="22" borderId="32" xfId="0" applyFont="1" applyFill="1" applyBorder="1" applyAlignment="1">
      <alignment horizontal="center" vertical="center" wrapText="1"/>
    </xf>
    <xf numFmtId="0" fontId="45" fillId="22" borderId="24" xfId="0" applyFont="1" applyFill="1" applyBorder="1" applyAlignment="1">
      <alignment horizontal="left" vertical="center" wrapText="1"/>
    </xf>
    <xf numFmtId="43" fontId="45" fillId="22" borderId="33" xfId="1" applyFont="1" applyFill="1" applyBorder="1" applyAlignment="1" applyProtection="1">
      <alignment horizontal="center" vertical="center" wrapText="1"/>
    </xf>
    <xf numFmtId="43" fontId="45" fillId="22" borderId="33" xfId="1" applyFont="1" applyFill="1" applyBorder="1" applyAlignment="1" applyProtection="1">
      <alignment horizontal="right" vertical="center" wrapText="1"/>
    </xf>
    <xf numFmtId="0" fontId="26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left" vertical="center" wrapText="1"/>
    </xf>
    <xf numFmtId="43" fontId="22" fillId="10" borderId="48" xfId="1" applyFont="1" applyFill="1" applyBorder="1" applyAlignment="1" applyProtection="1">
      <alignment horizontal="center" vertical="center" wrapText="1"/>
    </xf>
    <xf numFmtId="43" fontId="22" fillId="10" borderId="48" xfId="1" applyFont="1" applyFill="1" applyBorder="1" applyAlignment="1" applyProtection="1">
      <alignment horizontal="right" vertical="center" wrapText="1"/>
    </xf>
    <xf numFmtId="43" fontId="22" fillId="10" borderId="49" xfId="1" applyFont="1" applyFill="1" applyBorder="1" applyAlignment="1" applyProtection="1">
      <alignment horizontal="left" vertical="center" wrapText="1"/>
    </xf>
    <xf numFmtId="0" fontId="21" fillId="12" borderId="34" xfId="0" applyFont="1" applyFill="1" applyBorder="1" applyAlignment="1">
      <alignment horizontal="center" vertical="center" wrapText="1"/>
    </xf>
    <xf numFmtId="0" fontId="21" fillId="12" borderId="23" xfId="0" applyFont="1" applyFill="1" applyBorder="1" applyAlignment="1">
      <alignment horizontal="left" vertical="center" wrapText="1"/>
    </xf>
    <xf numFmtId="43" fontId="21" fillId="12" borderId="25" xfId="1" applyFont="1" applyFill="1" applyBorder="1" applyAlignment="1" applyProtection="1">
      <alignment horizontal="center" vertical="center" wrapText="1"/>
    </xf>
    <xf numFmtId="43" fontId="21" fillId="12" borderId="25" xfId="1" applyFont="1" applyFill="1" applyBorder="1" applyAlignment="1" applyProtection="1">
      <alignment horizontal="right" vertical="center" wrapText="1"/>
    </xf>
    <xf numFmtId="0" fontId="22" fillId="10" borderId="50" xfId="0" applyFont="1" applyFill="1" applyBorder="1" applyAlignment="1">
      <alignment horizontal="left" vertical="center" wrapText="1"/>
    </xf>
    <xf numFmtId="43" fontId="22" fillId="10" borderId="49" xfId="1" applyFont="1" applyFill="1" applyBorder="1" applyAlignment="1" applyProtection="1">
      <alignment horizontal="center" vertical="center" wrapText="1"/>
    </xf>
    <xf numFmtId="43" fontId="22" fillId="10" borderId="49" xfId="1" applyFont="1" applyFill="1" applyBorder="1" applyAlignment="1" applyProtection="1">
      <alignment horizontal="right" vertical="center" wrapText="1"/>
    </xf>
    <xf numFmtId="0" fontId="22" fillId="10" borderId="51" xfId="0" applyFont="1" applyFill="1" applyBorder="1" applyAlignment="1">
      <alignment horizontal="left" vertical="center" wrapText="1"/>
    </xf>
    <xf numFmtId="43" fontId="22" fillId="10" borderId="52" xfId="1" applyFont="1" applyFill="1" applyBorder="1" applyAlignment="1" applyProtection="1">
      <alignment horizontal="center" vertical="center" wrapText="1"/>
    </xf>
    <xf numFmtId="43" fontId="22" fillId="10" borderId="52" xfId="1" applyFont="1" applyFill="1" applyBorder="1" applyAlignment="1" applyProtection="1">
      <alignment horizontal="right" vertical="center" wrapText="1"/>
    </xf>
    <xf numFmtId="0" fontId="22" fillId="10" borderId="26" xfId="0" applyFont="1" applyFill="1" applyBorder="1" applyAlignment="1">
      <alignment horizontal="left" vertical="center" wrapText="1"/>
    </xf>
    <xf numFmtId="43" fontId="22" fillId="10" borderId="53" xfId="1" applyFont="1" applyFill="1" applyBorder="1" applyAlignment="1" applyProtection="1">
      <alignment horizontal="center" vertical="center" wrapText="1"/>
    </xf>
    <xf numFmtId="43" fontId="22" fillId="10" borderId="53" xfId="1" applyFont="1" applyFill="1" applyBorder="1" applyAlignment="1" applyProtection="1">
      <alignment horizontal="right" vertical="center" wrapText="1"/>
    </xf>
    <xf numFmtId="43" fontId="22" fillId="10" borderId="53" xfId="1" applyFont="1" applyFill="1" applyBorder="1" applyAlignment="1" applyProtection="1">
      <alignment horizontal="left" vertical="center" wrapText="1"/>
    </xf>
    <xf numFmtId="0" fontId="45" fillId="22" borderId="34" xfId="0" applyFont="1" applyFill="1" applyBorder="1" applyAlignment="1">
      <alignment horizontal="center" vertical="center" wrapText="1"/>
    </xf>
    <xf numFmtId="0" fontId="45" fillId="22" borderId="23" xfId="0" applyFont="1" applyFill="1" applyBorder="1" applyAlignment="1">
      <alignment horizontal="left" vertical="center" wrapText="1"/>
    </xf>
    <xf numFmtId="43" fontId="45" fillId="22" borderId="25" xfId="1" applyFont="1" applyFill="1" applyBorder="1" applyAlignment="1" applyProtection="1">
      <alignment horizontal="center" vertical="center" wrapText="1"/>
    </xf>
    <xf numFmtId="43" fontId="45" fillId="22" borderId="25" xfId="1" applyFont="1" applyFill="1" applyBorder="1" applyAlignment="1" applyProtection="1">
      <alignment horizontal="right" vertical="center" wrapText="1"/>
    </xf>
    <xf numFmtId="0" fontId="26" fillId="10" borderId="54" xfId="0" applyFont="1" applyFill="1" applyBorder="1" applyAlignment="1">
      <alignment horizontal="center" vertical="center" wrapText="1"/>
    </xf>
    <xf numFmtId="0" fontId="22" fillId="10" borderId="55" xfId="0" applyFont="1" applyFill="1" applyBorder="1" applyAlignment="1">
      <alignment horizontal="left" vertical="center" wrapText="1"/>
    </xf>
    <xf numFmtId="43" fontId="22" fillId="10" borderId="56" xfId="1" applyFont="1" applyFill="1" applyBorder="1" applyAlignment="1" applyProtection="1">
      <alignment horizontal="center" vertical="center" wrapText="1"/>
    </xf>
    <xf numFmtId="43" fontId="22" fillId="10" borderId="56" xfId="1" applyFont="1" applyFill="1" applyBorder="1" applyAlignment="1" applyProtection="1">
      <alignment horizontal="right" vertical="center" wrapText="1"/>
    </xf>
    <xf numFmtId="0" fontId="26" fillId="10" borderId="57" xfId="0" applyFont="1" applyFill="1" applyBorder="1" applyAlignment="1">
      <alignment horizontal="center" vertical="center" wrapText="1"/>
    </xf>
    <xf numFmtId="0" fontId="46" fillId="20" borderId="50" xfId="0" applyFont="1" applyFill="1" applyBorder="1" applyAlignment="1">
      <alignment horizontal="left" vertical="center" wrapText="1"/>
    </xf>
    <xf numFmtId="43" fontId="46" fillId="20" borderId="49" xfId="1" applyFont="1" applyFill="1" applyBorder="1" applyAlignment="1" applyProtection="1">
      <alignment horizontal="center" vertical="center" wrapText="1"/>
    </xf>
    <xf numFmtId="43" fontId="46" fillId="20" borderId="49" xfId="1" applyFont="1" applyFill="1" applyBorder="1" applyAlignment="1" applyProtection="1">
      <alignment horizontal="right" vertical="center" wrapText="1"/>
    </xf>
    <xf numFmtId="43" fontId="46" fillId="20" borderId="49" xfId="1" applyFont="1" applyFill="1" applyBorder="1" applyAlignment="1" applyProtection="1">
      <alignment horizontal="left" vertical="center" wrapText="1"/>
    </xf>
    <xf numFmtId="43" fontId="26" fillId="0" borderId="0" xfId="0" applyNumberFormat="1" applyFont="1" applyAlignment="1">
      <alignment vertical="center" wrapText="1"/>
    </xf>
    <xf numFmtId="0" fontId="46" fillId="20" borderId="57" xfId="0" applyFont="1" applyFill="1" applyBorder="1" applyAlignment="1">
      <alignment horizontal="center" vertical="center" wrapText="1"/>
    </xf>
    <xf numFmtId="0" fontId="26" fillId="10" borderId="26" xfId="0" applyFont="1" applyFill="1" applyBorder="1" applyAlignment="1">
      <alignment horizontal="left" vertical="center" wrapText="1"/>
    </xf>
    <xf numFmtId="43" fontId="26" fillId="10" borderId="53" xfId="1" applyFont="1" applyFill="1" applyBorder="1" applyAlignment="1" applyProtection="1">
      <alignment horizontal="center" vertical="center" wrapText="1"/>
    </xf>
    <xf numFmtId="43" fontId="26" fillId="10" borderId="53" xfId="1" applyFont="1" applyFill="1" applyBorder="1" applyAlignment="1" applyProtection="1">
      <alignment horizontal="right" vertical="center" wrapText="1"/>
    </xf>
    <xf numFmtId="43" fontId="26" fillId="10" borderId="53" xfId="1" applyFont="1" applyFill="1" applyBorder="1" applyAlignment="1" applyProtection="1">
      <alignment horizontal="left" vertical="center" wrapText="1"/>
    </xf>
    <xf numFmtId="0" fontId="22" fillId="10" borderId="57" xfId="0" applyFont="1" applyFill="1" applyBorder="1" applyAlignment="1">
      <alignment horizontal="center" vertical="center" wrapText="1"/>
    </xf>
    <xf numFmtId="43" fontId="26" fillId="10" borderId="49" xfId="1" applyFont="1" applyFill="1" applyBorder="1" applyAlignment="1" applyProtection="1">
      <alignment horizontal="center" vertical="center" wrapText="1"/>
    </xf>
    <xf numFmtId="43" fontId="26" fillId="10" borderId="49" xfId="1" applyFont="1" applyFill="1" applyBorder="1" applyAlignment="1" applyProtection="1">
      <alignment horizontal="right" vertical="center" wrapText="1"/>
    </xf>
    <xf numFmtId="43" fontId="26" fillId="10" borderId="49" xfId="1" applyFont="1" applyFill="1" applyBorder="1" applyAlignment="1">
      <alignment horizontal="center" vertical="center" wrapText="1"/>
    </xf>
    <xf numFmtId="43" fontId="26" fillId="10" borderId="49" xfId="1" applyFont="1" applyFill="1" applyBorder="1" applyAlignment="1">
      <alignment horizontal="right" vertical="center" wrapText="1"/>
    </xf>
    <xf numFmtId="43" fontId="26" fillId="10" borderId="49" xfId="1" applyFont="1" applyFill="1" applyBorder="1" applyAlignment="1">
      <alignment horizontal="left" vertical="center" wrapText="1"/>
    </xf>
    <xf numFmtId="43" fontId="26" fillId="10" borderId="53" xfId="1" applyFont="1" applyFill="1" applyBorder="1" applyAlignment="1">
      <alignment horizontal="center" vertical="center" wrapText="1"/>
    </xf>
    <xf numFmtId="43" fontId="26" fillId="10" borderId="53" xfId="1" applyFont="1" applyFill="1" applyBorder="1" applyAlignment="1">
      <alignment horizontal="left" vertical="center" wrapText="1"/>
    </xf>
    <xf numFmtId="43" fontId="45" fillId="22" borderId="25" xfId="1" applyFont="1" applyFill="1" applyBorder="1" applyAlignment="1" applyProtection="1">
      <alignment horizontal="left" vertical="center" wrapText="1"/>
    </xf>
    <xf numFmtId="0" fontId="26" fillId="10" borderId="50" xfId="0" applyFont="1" applyFill="1" applyBorder="1" applyAlignment="1">
      <alignment vertical="center" wrapText="1"/>
    </xf>
    <xf numFmtId="43" fontId="21" fillId="12" borderId="25" xfId="1" applyFont="1" applyFill="1" applyBorder="1" applyAlignment="1" applyProtection="1">
      <alignment horizontal="left" vertical="center" wrapText="1"/>
    </xf>
    <xf numFmtId="43" fontId="26" fillId="10" borderId="53" xfId="1" applyFont="1" applyFill="1" applyBorder="1" applyAlignment="1">
      <alignment horizontal="right" vertical="center" wrapText="1"/>
    </xf>
    <xf numFmtId="0" fontId="26" fillId="10" borderId="26" xfId="0" applyFont="1" applyFill="1" applyBorder="1" applyAlignment="1">
      <alignment vertical="center" wrapText="1"/>
    </xf>
    <xf numFmtId="43" fontId="26" fillId="0" borderId="49" xfId="1" applyFont="1" applyFill="1" applyBorder="1" applyAlignment="1">
      <alignment horizontal="center" vertical="center" wrapText="1"/>
    </xf>
    <xf numFmtId="43" fontId="26" fillId="0" borderId="49" xfId="1" applyFont="1" applyFill="1" applyBorder="1" applyAlignment="1">
      <alignment horizontal="right" vertical="center" wrapText="1"/>
    </xf>
    <xf numFmtId="43" fontId="26" fillId="0" borderId="49" xfId="1" applyFont="1" applyFill="1" applyBorder="1" applyAlignment="1">
      <alignment horizontal="left" vertical="center" wrapText="1"/>
    </xf>
    <xf numFmtId="43" fontId="26" fillId="0" borderId="53" xfId="1" applyFont="1" applyFill="1" applyBorder="1" applyAlignment="1">
      <alignment horizontal="center" vertical="center" wrapText="1"/>
    </xf>
    <xf numFmtId="43" fontId="26" fillId="0" borderId="53" xfId="1" applyFont="1" applyFill="1" applyBorder="1" applyAlignment="1">
      <alignment horizontal="right" vertical="center" wrapText="1"/>
    </xf>
    <xf numFmtId="43" fontId="26" fillId="0" borderId="53" xfId="1" applyFont="1" applyFill="1" applyBorder="1" applyAlignment="1">
      <alignment horizontal="left" vertical="center" wrapText="1"/>
    </xf>
    <xf numFmtId="43" fontId="21" fillId="20" borderId="40" xfId="1" applyFont="1" applyFill="1" applyBorder="1" applyAlignment="1">
      <alignment horizontal="right" vertical="center" wrapText="1"/>
    </xf>
    <xf numFmtId="0" fontId="26" fillId="0" borderId="0" xfId="0" applyFont="1" applyAlignment="1">
      <alignment horizontal="center" vertical="center" wrapText="1"/>
    </xf>
    <xf numFmtId="43" fontId="26" fillId="0" borderId="0" xfId="1" applyFont="1" applyAlignment="1">
      <alignment horizontal="center" vertical="center" wrapText="1"/>
    </xf>
    <xf numFmtId="43" fontId="26" fillId="0" borderId="0" xfId="1" applyFont="1" applyAlignment="1">
      <alignment horizontal="right" vertical="center" wrapText="1"/>
    </xf>
    <xf numFmtId="44" fontId="26" fillId="0" borderId="0" xfId="9" applyFont="1" applyAlignment="1">
      <alignment horizontal="right" vertical="center" wrapText="1"/>
    </xf>
    <xf numFmtId="0" fontId="10" fillId="10" borderId="16" xfId="0" applyFont="1" applyFill="1" applyBorder="1"/>
    <xf numFmtId="0" fontId="10" fillId="10" borderId="69" xfId="0" applyFont="1" applyFill="1" applyBorder="1"/>
    <xf numFmtId="0" fontId="10" fillId="10" borderId="70" xfId="0" applyFont="1" applyFill="1" applyBorder="1"/>
    <xf numFmtId="0" fontId="0" fillId="10" borderId="69" xfId="0" applyFill="1" applyBorder="1"/>
    <xf numFmtId="0" fontId="0" fillId="10" borderId="70" xfId="0" applyFill="1" applyBorder="1"/>
    <xf numFmtId="0" fontId="0" fillId="10" borderId="16" xfId="0" applyFill="1" applyBorder="1"/>
    <xf numFmtId="0" fontId="0" fillId="10" borderId="71" xfId="0" applyFill="1" applyBorder="1"/>
    <xf numFmtId="0" fontId="0" fillId="10" borderId="60" xfId="0" applyFill="1" applyBorder="1"/>
    <xf numFmtId="0" fontId="0" fillId="10" borderId="72" xfId="0" applyFill="1" applyBorder="1"/>
    <xf numFmtId="0" fontId="38" fillId="10" borderId="23" xfId="6" applyFont="1" applyFill="1" applyBorder="1" applyAlignment="1">
      <alignment horizontal="center"/>
    </xf>
    <xf numFmtId="43" fontId="38" fillId="10" borderId="23" xfId="7" applyFont="1" applyFill="1" applyBorder="1"/>
    <xf numFmtId="0" fontId="27" fillId="23" borderId="23" xfId="6" applyFont="1" applyFill="1" applyBorder="1" applyAlignment="1">
      <alignment horizontal="center"/>
    </xf>
    <xf numFmtId="43" fontId="49" fillId="23" borderId="23" xfId="0" applyNumberFormat="1" applyFont="1" applyFill="1" applyBorder="1"/>
    <xf numFmtId="0" fontId="49" fillId="23" borderId="23" xfId="0" applyFont="1" applyFill="1" applyBorder="1"/>
    <xf numFmtId="44" fontId="49" fillId="23" borderId="23" xfId="9" applyFont="1" applyFill="1" applyBorder="1"/>
    <xf numFmtId="0" fontId="47" fillId="23" borderId="23" xfId="6" applyFont="1" applyFill="1" applyBorder="1" applyAlignment="1">
      <alignment horizontal="center"/>
    </xf>
    <xf numFmtId="0" fontId="0" fillId="10" borderId="0" xfId="0" applyFill="1"/>
    <xf numFmtId="0" fontId="25" fillId="10" borderId="16" xfId="3" applyFont="1" applyFill="1" applyAlignment="1">
      <alignment vertical="center"/>
    </xf>
    <xf numFmtId="43" fontId="25" fillId="10" borderId="0" xfId="1" applyFont="1" applyFill="1" applyAlignment="1">
      <alignment vertical="center"/>
    </xf>
    <xf numFmtId="43" fontId="47" fillId="23" borderId="23" xfId="7" applyFont="1" applyFill="1" applyBorder="1"/>
    <xf numFmtId="43" fontId="7" fillId="24" borderId="23" xfId="7" applyFont="1" applyFill="1" applyBorder="1"/>
    <xf numFmtId="0" fontId="46" fillId="23" borderId="57" xfId="0" applyFont="1" applyFill="1" applyBorder="1" applyAlignment="1">
      <alignment horizontal="center" vertical="center" wrapText="1"/>
    </xf>
    <xf numFmtId="0" fontId="8" fillId="10" borderId="0" xfId="0" applyFont="1" applyFill="1"/>
    <xf numFmtId="0" fontId="11" fillId="3" borderId="16" xfId="0" applyFont="1" applyFill="1" applyBorder="1" applyAlignment="1">
      <alignment horizontal="center" vertical="center" wrapText="1"/>
    </xf>
    <xf numFmtId="164" fontId="11" fillId="3" borderId="16" xfId="0" applyNumberFormat="1" applyFont="1" applyFill="1" applyBorder="1" applyAlignment="1">
      <alignment horizontal="center" vertical="center" wrapText="1"/>
    </xf>
    <xf numFmtId="0" fontId="27" fillId="6" borderId="23" xfId="0" applyFont="1" applyFill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7" fillId="25" borderId="73" xfId="0" applyFont="1" applyFill="1" applyBorder="1" applyAlignment="1">
      <alignment horizontal="left" vertical="center" indent="2"/>
    </xf>
    <xf numFmtId="44" fontId="51" fillId="25" borderId="74" xfId="0" applyNumberFormat="1" applyFont="1" applyFill="1" applyBorder="1" applyAlignment="1">
      <alignment horizontal="left" vertical="center"/>
    </xf>
    <xf numFmtId="10" fontId="7" fillId="25" borderId="74" xfId="0" applyNumberFormat="1" applyFont="1" applyFill="1" applyBorder="1" applyAlignment="1">
      <alignment horizontal="center" vertical="center"/>
    </xf>
    <xf numFmtId="44" fontId="7" fillId="25" borderId="75" xfId="1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7" fillId="3" borderId="78" xfId="0" applyFont="1" applyFill="1" applyBorder="1" applyAlignment="1">
      <alignment horizontal="left" vertical="center" indent="2"/>
    </xf>
    <xf numFmtId="44" fontId="7" fillId="3" borderId="79" xfId="0" applyNumberFormat="1" applyFont="1" applyFill="1" applyBorder="1" applyAlignment="1">
      <alignment horizontal="left" vertical="center"/>
    </xf>
    <xf numFmtId="10" fontId="7" fillId="3" borderId="79" xfId="0" applyNumberFormat="1" applyFont="1" applyFill="1" applyBorder="1" applyAlignment="1">
      <alignment horizontal="center" vertical="center"/>
    </xf>
    <xf numFmtId="44" fontId="7" fillId="3" borderId="80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4" fontId="8" fillId="0" borderId="0" xfId="0" applyNumberFormat="1" applyFont="1"/>
    <xf numFmtId="0" fontId="6" fillId="0" borderId="0" xfId="0" applyFont="1" applyAlignment="1">
      <alignment vertical="center"/>
    </xf>
    <xf numFmtId="17" fontId="16" fillId="0" borderId="0" xfId="0" applyNumberFormat="1" applyFont="1" applyAlignment="1">
      <alignment vertical="center"/>
    </xf>
    <xf numFmtId="2" fontId="6" fillId="0" borderId="16" xfId="0" applyNumberFormat="1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164" fontId="6" fillId="0" borderId="16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17" fontId="16" fillId="0" borderId="16" xfId="0" applyNumberFormat="1" applyFont="1" applyBorder="1" applyAlignment="1">
      <alignment vertical="center"/>
    </xf>
    <xf numFmtId="164" fontId="16" fillId="0" borderId="16" xfId="0" applyNumberFormat="1" applyFont="1" applyBorder="1" applyAlignment="1">
      <alignment vertical="center"/>
    </xf>
    <xf numFmtId="167" fontId="16" fillId="0" borderId="23" xfId="19" applyNumberFormat="1" applyFont="1" applyBorder="1" applyAlignment="1">
      <alignment vertical="center"/>
    </xf>
    <xf numFmtId="10" fontId="16" fillId="0" borderId="0" xfId="19" applyNumberFormat="1" applyFont="1" applyAlignment="1">
      <alignment vertical="center"/>
    </xf>
    <xf numFmtId="166" fontId="16" fillId="0" borderId="16" xfId="0" applyNumberFormat="1" applyFont="1" applyBorder="1" applyAlignment="1">
      <alignment vertical="center"/>
    </xf>
    <xf numFmtId="10" fontId="16" fillId="0" borderId="16" xfId="19" applyNumberFormat="1" applyFont="1" applyFill="1" applyBorder="1" applyAlignment="1">
      <alignment vertical="center"/>
    </xf>
    <xf numFmtId="44" fontId="0" fillId="11" borderId="23" xfId="0" applyNumberFormat="1" applyFill="1" applyBorder="1"/>
    <xf numFmtId="0" fontId="16" fillId="0" borderId="23" xfId="0" applyFont="1" applyBorder="1" applyAlignment="1">
      <alignment vertical="center"/>
    </xf>
    <xf numFmtId="44" fontId="16" fillId="0" borderId="0" xfId="0" applyNumberFormat="1" applyFont="1" applyAlignment="1">
      <alignment vertical="center"/>
    </xf>
    <xf numFmtId="168" fontId="16" fillId="0" borderId="16" xfId="0" applyNumberFormat="1" applyFont="1" applyBorder="1" applyAlignment="1">
      <alignment vertical="center"/>
    </xf>
    <xf numFmtId="44" fontId="27" fillId="6" borderId="23" xfId="0" applyNumberFormat="1" applyFont="1" applyFill="1" applyBorder="1" applyAlignment="1">
      <alignment horizontal="left" vertical="center"/>
    </xf>
    <xf numFmtId="9" fontId="27" fillId="6" borderId="23" xfId="0" applyNumberFormat="1" applyFont="1" applyFill="1" applyBorder="1" applyAlignment="1">
      <alignment horizontal="center" vertical="center"/>
    </xf>
    <xf numFmtId="44" fontId="27" fillId="6" borderId="23" xfId="0" applyNumberFormat="1" applyFont="1" applyFill="1" applyBorder="1" applyAlignment="1">
      <alignment horizontal="center" vertical="center"/>
    </xf>
    <xf numFmtId="44" fontId="16" fillId="0" borderId="0" xfId="9" applyFont="1" applyAlignment="1">
      <alignment vertical="center"/>
    </xf>
    <xf numFmtId="44" fontId="16" fillId="0" borderId="16" xfId="9" applyFont="1" applyFill="1" applyBorder="1" applyAlignment="1">
      <alignment vertical="center"/>
    </xf>
    <xf numFmtId="164" fontId="27" fillId="6" borderId="23" xfId="0" applyNumberFormat="1" applyFont="1" applyFill="1" applyBorder="1" applyAlignment="1">
      <alignment horizontal="right" vertical="center"/>
    </xf>
    <xf numFmtId="17" fontId="27" fillId="6" borderId="23" xfId="0" applyNumberFormat="1" applyFont="1" applyFill="1" applyBorder="1" applyAlignment="1">
      <alignment horizontal="center" vertical="center"/>
    </xf>
    <xf numFmtId="164" fontId="27" fillId="6" borderId="23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vertical="center"/>
    </xf>
    <xf numFmtId="44" fontId="16" fillId="0" borderId="16" xfId="0" applyNumberFormat="1" applyFont="1" applyBorder="1" applyAlignment="1">
      <alignment vertical="center"/>
    </xf>
    <xf numFmtId="43" fontId="16" fillId="0" borderId="16" xfId="1" applyFont="1" applyBorder="1" applyAlignment="1">
      <alignment vertical="center"/>
    </xf>
    <xf numFmtId="0" fontId="7" fillId="25" borderId="73" xfId="0" applyFont="1" applyFill="1" applyBorder="1" applyAlignment="1">
      <alignment horizontal="left" vertical="center" indent="1"/>
    </xf>
    <xf numFmtId="0" fontId="7" fillId="3" borderId="78" xfId="0" applyFont="1" applyFill="1" applyBorder="1" applyAlignment="1">
      <alignment horizontal="left" vertical="center" indent="1"/>
    </xf>
    <xf numFmtId="0" fontId="27" fillId="0" borderId="16" xfId="6" applyFont="1" applyAlignment="1">
      <alignment horizontal="center" vertical="center"/>
    </xf>
    <xf numFmtId="169" fontId="52" fillId="0" borderId="0" xfId="0" applyNumberFormat="1" applyFont="1" applyAlignment="1">
      <alignment horizontal="left"/>
    </xf>
    <xf numFmtId="4" fontId="7" fillId="0" borderId="16" xfId="6" applyNumberFormat="1" applyFont="1" applyAlignment="1">
      <alignment horizontal="center" vertical="center"/>
    </xf>
    <xf numFmtId="170" fontId="7" fillId="0" borderId="16" xfId="6" applyNumberFormat="1" applyFont="1" applyAlignment="1">
      <alignment horizontal="center" vertical="center"/>
    </xf>
    <xf numFmtId="44" fontId="7" fillId="0" borderId="16" xfId="9" applyFont="1" applyFill="1" applyBorder="1" applyAlignment="1">
      <alignment horizontal="center" vertical="center"/>
    </xf>
    <xf numFmtId="169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164" fontId="27" fillId="6" borderId="23" xfId="0" applyNumberFormat="1" applyFont="1" applyFill="1" applyBorder="1" applyAlignment="1">
      <alignment horizontal="left" vertical="center"/>
    </xf>
    <xf numFmtId="43" fontId="27" fillId="6" borderId="33" xfId="1" applyFont="1" applyFill="1" applyBorder="1" applyAlignment="1">
      <alignment horizontal="center" vertical="center"/>
    </xf>
    <xf numFmtId="43" fontId="27" fillId="6" borderId="25" xfId="1" applyFont="1" applyFill="1" applyBorder="1" applyAlignment="1">
      <alignment horizontal="center" vertical="center"/>
    </xf>
    <xf numFmtId="0" fontId="7" fillId="25" borderId="85" xfId="0" applyFont="1" applyFill="1" applyBorder="1" applyAlignment="1">
      <alignment horizontal="left" vertical="center" indent="1"/>
    </xf>
    <xf numFmtId="44" fontId="51" fillId="25" borderId="74" xfId="9" applyFont="1" applyFill="1" applyBorder="1" applyAlignment="1">
      <alignment horizontal="center" vertical="center"/>
    </xf>
    <xf numFmtId="10" fontId="51" fillId="25" borderId="74" xfId="19" applyNumberFormat="1" applyFont="1" applyFill="1" applyBorder="1" applyAlignment="1">
      <alignment horizontal="center" vertical="center"/>
    </xf>
    <xf numFmtId="164" fontId="7" fillId="25" borderId="74" xfId="0" applyNumberFormat="1" applyFont="1" applyFill="1" applyBorder="1" applyAlignment="1">
      <alignment horizontal="left" vertical="center"/>
    </xf>
    <xf numFmtId="171" fontId="7" fillId="25" borderId="86" xfId="9" applyNumberFormat="1" applyFont="1" applyFill="1" applyBorder="1" applyAlignment="1">
      <alignment horizontal="center" vertical="center"/>
    </xf>
    <xf numFmtId="0" fontId="7" fillId="3" borderId="87" xfId="0" applyFont="1" applyFill="1" applyBorder="1" applyAlignment="1">
      <alignment horizontal="left" vertical="center" indent="1"/>
    </xf>
    <xf numFmtId="44" fontId="7" fillId="3" borderId="79" xfId="9" applyFont="1" applyFill="1" applyBorder="1" applyAlignment="1">
      <alignment horizontal="center" vertical="center"/>
    </xf>
    <xf numFmtId="10" fontId="7" fillId="3" borderId="79" xfId="19" applyNumberFormat="1" applyFont="1" applyFill="1" applyBorder="1" applyAlignment="1">
      <alignment horizontal="center" vertical="center"/>
    </xf>
    <xf numFmtId="164" fontId="7" fillId="3" borderId="79" xfId="0" applyNumberFormat="1" applyFont="1" applyFill="1" applyBorder="1" applyAlignment="1">
      <alignment horizontal="left" vertical="center"/>
    </xf>
    <xf numFmtId="171" fontId="7" fillId="3" borderId="88" xfId="9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25" borderId="87" xfId="0" applyFont="1" applyFill="1" applyBorder="1" applyAlignment="1">
      <alignment horizontal="left" vertical="center" indent="1"/>
    </xf>
    <xf numFmtId="44" fontId="7" fillId="25" borderId="79" xfId="9" applyFont="1" applyFill="1" applyBorder="1" applyAlignment="1">
      <alignment horizontal="center" vertical="center"/>
    </xf>
    <xf numFmtId="10" fontId="7" fillId="25" borderId="79" xfId="19" applyNumberFormat="1" applyFont="1" applyFill="1" applyBorder="1" applyAlignment="1">
      <alignment horizontal="center" vertical="center"/>
    </xf>
    <xf numFmtId="164" fontId="7" fillId="25" borderId="79" xfId="0" applyNumberFormat="1" applyFont="1" applyFill="1" applyBorder="1" applyAlignment="1">
      <alignment horizontal="left" vertical="center"/>
    </xf>
    <xf numFmtId="171" fontId="7" fillId="25" borderId="88" xfId="9" applyNumberFormat="1" applyFont="1" applyFill="1" applyBorder="1" applyAlignment="1">
      <alignment horizontal="center" vertical="center"/>
    </xf>
    <xf numFmtId="0" fontId="55" fillId="0" borderId="0" xfId="0" applyFont="1"/>
    <xf numFmtId="0" fontId="56" fillId="0" borderId="0" xfId="0" applyFont="1"/>
    <xf numFmtId="44" fontId="51" fillId="3" borderId="79" xfId="9" applyFont="1" applyFill="1" applyBorder="1" applyAlignment="1">
      <alignment horizontal="center" vertical="center"/>
    </xf>
    <xf numFmtId="10" fontId="51" fillId="3" borderId="79" xfId="19" applyNumberFormat="1" applyFont="1" applyFill="1" applyBorder="1" applyAlignment="1">
      <alignment horizontal="center" vertical="center"/>
    </xf>
    <xf numFmtId="0" fontId="51" fillId="0" borderId="0" xfId="0" applyFont="1"/>
    <xf numFmtId="14" fontId="7" fillId="0" borderId="0" xfId="0" applyNumberFormat="1" applyFont="1" applyAlignment="1">
      <alignment vertical="center"/>
    </xf>
    <xf numFmtId="17" fontId="7" fillId="0" borderId="0" xfId="0" applyNumberFormat="1" applyFont="1" applyAlignment="1">
      <alignment vertical="center"/>
    </xf>
    <xf numFmtId="0" fontId="27" fillId="6" borderId="35" xfId="0" applyFont="1" applyFill="1" applyBorder="1" applyAlignment="1">
      <alignment horizontal="right" vertical="center"/>
    </xf>
    <xf numFmtId="44" fontId="27" fillId="6" borderId="36" xfId="9" applyFont="1" applyFill="1" applyBorder="1" applyAlignment="1">
      <alignment horizontal="center" vertical="center"/>
    </xf>
    <xf numFmtId="9" fontId="27" fillId="6" borderId="36" xfId="19" applyFont="1" applyFill="1" applyBorder="1" applyAlignment="1">
      <alignment horizontal="center" vertical="center"/>
    </xf>
    <xf numFmtId="164" fontId="27" fillId="6" borderId="36" xfId="0" applyNumberFormat="1" applyFont="1" applyFill="1" applyBorder="1" applyAlignment="1">
      <alignment horizontal="center" vertical="top"/>
    </xf>
    <xf numFmtId="44" fontId="53" fillId="6" borderId="37" xfId="9" applyFont="1" applyFill="1" applyBorder="1" applyAlignment="1">
      <alignment horizontal="center" vertical="center"/>
    </xf>
    <xf numFmtId="164" fontId="7" fillId="0" borderId="0" xfId="0" applyNumberFormat="1" applyFont="1"/>
    <xf numFmtId="43" fontId="7" fillId="0" borderId="0" xfId="1" applyFont="1" applyAlignment="1">
      <alignment horizontal="center"/>
    </xf>
    <xf numFmtId="164" fontId="7" fillId="25" borderId="89" xfId="0" applyNumberFormat="1" applyFont="1" applyFill="1" applyBorder="1" applyAlignment="1">
      <alignment horizontal="center"/>
    </xf>
    <xf numFmtId="43" fontId="7" fillId="0" borderId="0" xfId="1" applyFont="1"/>
    <xf numFmtId="164" fontId="7" fillId="3" borderId="89" xfId="0" applyNumberFormat="1" applyFont="1" applyFill="1" applyBorder="1" applyAlignment="1">
      <alignment horizontal="center"/>
    </xf>
    <xf numFmtId="43" fontId="0" fillId="0" borderId="0" xfId="1" applyFont="1"/>
    <xf numFmtId="8" fontId="55" fillId="25" borderId="90" xfId="0" applyNumberFormat="1" applyFont="1" applyFill="1" applyBorder="1" applyAlignment="1">
      <alignment horizontal="left" vertical="center" indent="2"/>
    </xf>
    <xf numFmtId="44" fontId="55" fillId="25" borderId="74" xfId="0" applyNumberFormat="1" applyFont="1" applyFill="1" applyBorder="1" applyAlignment="1">
      <alignment horizontal="left" vertical="center"/>
    </xf>
    <xf numFmtId="8" fontId="51" fillId="3" borderId="91" xfId="0" applyNumberFormat="1" applyFont="1" applyFill="1" applyBorder="1" applyAlignment="1">
      <alignment horizontal="left" vertical="center" indent="2"/>
    </xf>
    <xf numFmtId="44" fontId="51" fillId="3" borderId="79" xfId="0" applyNumberFormat="1" applyFont="1" applyFill="1" applyBorder="1" applyAlignment="1">
      <alignment horizontal="left" vertical="center"/>
    </xf>
    <xf numFmtId="8" fontId="51" fillId="25" borderId="90" xfId="0" applyNumberFormat="1" applyFont="1" applyFill="1" applyBorder="1" applyAlignment="1">
      <alignment horizontal="left" vertical="center" indent="2"/>
    </xf>
    <xf numFmtId="8" fontId="55" fillId="3" borderId="91" xfId="0" applyNumberFormat="1" applyFont="1" applyFill="1" applyBorder="1" applyAlignment="1">
      <alignment horizontal="left" vertical="center" indent="2"/>
    </xf>
    <xf numFmtId="44" fontId="55" fillId="3" borderId="79" xfId="0" applyNumberFormat="1" applyFont="1" applyFill="1" applyBorder="1" applyAlignment="1">
      <alignment horizontal="left" vertical="center"/>
    </xf>
    <xf numFmtId="8" fontId="7" fillId="3" borderId="91" xfId="0" applyNumberFormat="1" applyFont="1" applyFill="1" applyBorder="1" applyAlignment="1">
      <alignment horizontal="left" vertical="center" indent="2"/>
    </xf>
    <xf numFmtId="8" fontId="7" fillId="25" borderId="90" xfId="0" applyNumberFormat="1" applyFont="1" applyFill="1" applyBorder="1" applyAlignment="1">
      <alignment horizontal="left" vertical="center" indent="2"/>
    </xf>
    <xf numFmtId="8" fontId="27" fillId="6" borderId="23" xfId="0" applyNumberFormat="1" applyFont="1" applyFill="1" applyBorder="1" applyAlignment="1">
      <alignment horizontal="left" vertical="center"/>
    </xf>
    <xf numFmtId="44" fontId="0" fillId="0" borderId="0" xfId="9" applyFont="1"/>
    <xf numFmtId="0" fontId="51" fillId="3" borderId="78" xfId="0" applyFont="1" applyFill="1" applyBorder="1" applyAlignment="1">
      <alignment vertical="center"/>
    </xf>
    <xf numFmtId="0" fontId="51" fillId="25" borderId="73" xfId="0" applyFont="1" applyFill="1" applyBorder="1" applyAlignment="1">
      <alignment vertical="center"/>
    </xf>
    <xf numFmtId="0" fontId="55" fillId="25" borderId="73" xfId="0" applyFont="1" applyFill="1" applyBorder="1" applyAlignment="1">
      <alignment horizontal="left" vertical="center"/>
    </xf>
    <xf numFmtId="0" fontId="51" fillId="3" borderId="78" xfId="0" applyFont="1" applyFill="1" applyBorder="1" applyAlignment="1">
      <alignment horizontal="left" vertical="center"/>
    </xf>
    <xf numFmtId="0" fontId="51" fillId="25" borderId="73" xfId="0" applyFont="1" applyFill="1" applyBorder="1" applyAlignment="1">
      <alignment horizontal="left" vertical="center"/>
    </xf>
    <xf numFmtId="0" fontId="55" fillId="3" borderId="78" xfId="0" applyFont="1" applyFill="1" applyBorder="1" applyAlignment="1">
      <alignment horizontal="left" vertical="center"/>
    </xf>
    <xf numFmtId="0" fontId="7" fillId="3" borderId="78" xfId="0" applyFont="1" applyFill="1" applyBorder="1" applyAlignment="1">
      <alignment horizontal="left" vertical="center"/>
    </xf>
    <xf numFmtId="0" fontId="7" fillId="25" borderId="73" xfId="0" applyFont="1" applyFill="1" applyBorder="1" applyAlignment="1">
      <alignment horizontal="left" vertical="center"/>
    </xf>
    <xf numFmtId="0" fontId="51" fillId="3" borderId="78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0" borderId="8" xfId="0" applyFont="1" applyBorder="1"/>
    <xf numFmtId="0" fontId="10" fillId="0" borderId="9" xfId="0" applyFont="1" applyBorder="1"/>
    <xf numFmtId="0" fontId="50" fillId="3" borderId="16" xfId="0" applyFont="1" applyFill="1" applyBorder="1" applyAlignment="1">
      <alignment horizontal="center" vertical="center" wrapText="1"/>
    </xf>
    <xf numFmtId="0" fontId="17" fillId="19" borderId="38" xfId="3" applyFont="1" applyFill="1" applyBorder="1" applyAlignment="1">
      <alignment horizontal="center" vertical="center" wrapText="1"/>
    </xf>
    <xf numFmtId="0" fontId="17" fillId="19" borderId="39" xfId="3" applyFont="1" applyFill="1" applyBorder="1" applyAlignment="1">
      <alignment horizontal="center" vertical="center" wrapText="1"/>
    </xf>
    <xf numFmtId="43" fontId="17" fillId="19" borderId="39" xfId="7" applyFont="1" applyFill="1" applyBorder="1" applyAlignment="1">
      <alignment horizontal="center" vertical="center" wrapText="1"/>
    </xf>
    <xf numFmtId="43" fontId="17" fillId="19" borderId="40" xfId="7" applyFont="1" applyFill="1" applyBorder="1" applyAlignment="1">
      <alignment horizontal="center" vertical="center" wrapText="1"/>
    </xf>
    <xf numFmtId="0" fontId="19" fillId="21" borderId="43" xfId="3" applyFont="1" applyFill="1" applyBorder="1" applyAlignment="1">
      <alignment horizontal="right" vertical="center" wrapText="1"/>
    </xf>
    <xf numFmtId="0" fontId="19" fillId="21" borderId="44" xfId="3" applyFont="1" applyFill="1" applyBorder="1" applyAlignment="1">
      <alignment horizontal="right" vertical="center" wrapText="1"/>
    </xf>
    <xf numFmtId="0" fontId="15" fillId="0" borderId="23" xfId="3" applyFont="1" applyBorder="1" applyAlignment="1">
      <alignment horizontal="left" vertical="center" wrapText="1"/>
    </xf>
    <xf numFmtId="43" fontId="15" fillId="0" borderId="23" xfId="7" applyFont="1" applyBorder="1" applyAlignment="1">
      <alignment horizontal="left" vertical="center" wrapText="1"/>
    </xf>
    <xf numFmtId="0" fontId="18" fillId="0" borderId="24" xfId="3" applyFont="1" applyBorder="1" applyAlignment="1">
      <alignment horizontal="left" vertical="center"/>
    </xf>
    <xf numFmtId="43" fontId="18" fillId="0" borderId="24" xfId="7" applyFont="1" applyFill="1" applyBorder="1" applyAlignment="1">
      <alignment horizontal="left" vertical="center"/>
    </xf>
    <xf numFmtId="43" fontId="18" fillId="0" borderId="33" xfId="7" applyFont="1" applyFill="1" applyBorder="1" applyAlignment="1">
      <alignment horizontal="left" vertical="center"/>
    </xf>
    <xf numFmtId="0" fontId="18" fillId="0" borderId="23" xfId="3" applyFont="1" applyBorder="1" applyAlignment="1">
      <alignment horizontal="left" vertical="center"/>
    </xf>
    <xf numFmtId="43" fontId="18" fillId="0" borderId="23" xfId="7" applyFont="1" applyFill="1" applyBorder="1" applyAlignment="1">
      <alignment horizontal="left" vertical="center"/>
    </xf>
    <xf numFmtId="43" fontId="18" fillId="0" borderId="25" xfId="7" applyFont="1" applyFill="1" applyBorder="1" applyAlignment="1">
      <alignment horizontal="left" vertical="center"/>
    </xf>
    <xf numFmtId="14" fontId="18" fillId="0" borderId="23" xfId="3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left" vertical="center"/>
    </xf>
    <xf numFmtId="43" fontId="18" fillId="0" borderId="36" xfId="7" applyFont="1" applyFill="1" applyBorder="1" applyAlignment="1">
      <alignment horizontal="left" vertical="center"/>
    </xf>
    <xf numFmtId="43" fontId="18" fillId="0" borderId="37" xfId="7" applyFont="1" applyFill="1" applyBorder="1" applyAlignment="1">
      <alignment horizontal="left" vertical="center"/>
    </xf>
    <xf numFmtId="43" fontId="26" fillId="0" borderId="58" xfId="1" applyFont="1" applyFill="1" applyBorder="1" applyAlignment="1">
      <alignment horizontal="left" vertical="center" wrapText="1"/>
    </xf>
    <xf numFmtId="43" fontId="26" fillId="0" borderId="59" xfId="1" applyFont="1" applyFill="1" applyBorder="1" applyAlignment="1">
      <alignment horizontal="left" vertical="center" wrapText="1"/>
    </xf>
    <xf numFmtId="0" fontId="21" fillId="20" borderId="38" xfId="0" applyFont="1" applyFill="1" applyBorder="1" applyAlignment="1">
      <alignment horizontal="right" vertical="center" wrapText="1"/>
    </xf>
    <xf numFmtId="0" fontId="21" fillId="20" borderId="39" xfId="0" applyFont="1" applyFill="1" applyBorder="1" applyAlignment="1">
      <alignment horizontal="right" vertical="center" wrapText="1"/>
    </xf>
    <xf numFmtId="43" fontId="16" fillId="0" borderId="76" xfId="1" applyFont="1" applyFill="1" applyBorder="1" applyAlignment="1">
      <alignment horizontal="center" vertical="center"/>
    </xf>
    <xf numFmtId="43" fontId="16" fillId="0" borderId="77" xfId="1" applyFont="1" applyFill="1" applyBorder="1" applyAlignment="1">
      <alignment horizontal="center" vertical="center"/>
    </xf>
    <xf numFmtId="17" fontId="16" fillId="0" borderId="23" xfId="0" applyNumberFormat="1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 wrapText="1"/>
    </xf>
    <xf numFmtId="43" fontId="16" fillId="0" borderId="82" xfId="1" applyFont="1" applyBorder="1" applyAlignment="1">
      <alignment horizontal="center" vertical="center"/>
    </xf>
    <xf numFmtId="43" fontId="16" fillId="0" borderId="84" xfId="1" applyFont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54" fillId="0" borderId="34" xfId="0" applyFont="1" applyBorder="1"/>
    <xf numFmtId="0" fontId="53" fillId="6" borderId="24" xfId="0" applyFont="1" applyFill="1" applyBorder="1" applyAlignment="1">
      <alignment horizontal="center" vertical="center"/>
    </xf>
    <xf numFmtId="0" fontId="54" fillId="0" borderId="24" xfId="0" applyFont="1" applyBorder="1"/>
    <xf numFmtId="0" fontId="27" fillId="12" borderId="69" xfId="6" applyFont="1" applyFill="1" applyBorder="1" applyAlignment="1">
      <alignment horizontal="center" vertical="center"/>
    </xf>
    <xf numFmtId="0" fontId="27" fillId="12" borderId="16" xfId="6" applyFont="1" applyFill="1" applyBorder="1" applyAlignment="1">
      <alignment horizontal="center" vertical="center"/>
    </xf>
    <xf numFmtId="0" fontId="27" fillId="12" borderId="70" xfId="6" applyFont="1" applyFill="1" applyBorder="1" applyAlignment="1">
      <alignment horizontal="center" vertical="center"/>
    </xf>
    <xf numFmtId="0" fontId="27" fillId="12" borderId="71" xfId="6" applyFont="1" applyFill="1" applyBorder="1" applyAlignment="1">
      <alignment horizontal="center" vertical="center"/>
    </xf>
    <xf numFmtId="0" fontId="27" fillId="12" borderId="60" xfId="6" applyFont="1" applyFill="1" applyBorder="1" applyAlignment="1">
      <alignment horizontal="center" vertical="center"/>
    </xf>
    <xf numFmtId="0" fontId="27" fillId="12" borderId="72" xfId="6" applyFont="1" applyFill="1" applyBorder="1" applyAlignment="1">
      <alignment horizontal="center" vertical="center"/>
    </xf>
    <xf numFmtId="43" fontId="27" fillId="12" borderId="26" xfId="7" applyFont="1" applyFill="1" applyBorder="1" applyAlignment="1">
      <alignment horizontal="center" vertical="center" wrapText="1"/>
    </xf>
    <xf numFmtId="43" fontId="27" fillId="12" borderId="27" xfId="7" applyFont="1" applyFill="1" applyBorder="1" applyAlignment="1">
      <alignment horizontal="center" vertical="center" wrapText="1"/>
    </xf>
    <xf numFmtId="0" fontId="27" fillId="12" borderId="26" xfId="6" applyFont="1" applyFill="1" applyBorder="1" applyAlignment="1">
      <alignment horizontal="center" vertical="center"/>
    </xf>
    <xf numFmtId="0" fontId="27" fillId="12" borderId="27" xfId="6" applyFont="1" applyFill="1" applyBorder="1" applyAlignment="1">
      <alignment horizontal="center" vertical="center"/>
    </xf>
    <xf numFmtId="43" fontId="27" fillId="12" borderId="26" xfId="7" applyFont="1" applyFill="1" applyBorder="1" applyAlignment="1">
      <alignment horizontal="center" vertical="center"/>
    </xf>
    <xf numFmtId="43" fontId="27" fillId="12" borderId="27" xfId="7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5" borderId="66" xfId="0" applyFont="1" applyFill="1" applyBorder="1" applyAlignment="1">
      <alignment horizontal="center" vertical="center" wrapText="1"/>
    </xf>
    <xf numFmtId="0" fontId="10" fillId="0" borderId="67" xfId="0" applyFont="1" applyBorder="1"/>
    <xf numFmtId="0" fontId="10" fillId="0" borderId="68" xfId="0" applyFont="1" applyBorder="1"/>
    <xf numFmtId="0" fontId="47" fillId="23" borderId="26" xfId="6" applyFont="1" applyFill="1" applyBorder="1" applyAlignment="1">
      <alignment horizontal="center" vertical="center"/>
    </xf>
    <xf numFmtId="0" fontId="47" fillId="23" borderId="27" xfId="6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left" vertical="center" wrapText="1"/>
    </xf>
    <xf numFmtId="0" fontId="6" fillId="3" borderId="62" xfId="0" applyFont="1" applyFill="1" applyBorder="1" applyAlignment="1">
      <alignment horizontal="left" vertical="center" wrapText="1"/>
    </xf>
    <xf numFmtId="0" fontId="6" fillId="3" borderId="63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6" fillId="3" borderId="64" xfId="0" applyFont="1" applyFill="1" applyBorder="1" applyAlignment="1">
      <alignment horizontal="left" vertical="center"/>
    </xf>
    <xf numFmtId="0" fontId="6" fillId="3" borderId="65" xfId="0" applyFont="1" applyFill="1" applyBorder="1" applyAlignment="1">
      <alignment horizontal="left" vertical="center"/>
    </xf>
    <xf numFmtId="43" fontId="47" fillId="23" borderId="26" xfId="7" applyFont="1" applyFill="1" applyBorder="1" applyAlignment="1">
      <alignment horizontal="center" vertical="center"/>
    </xf>
    <xf numFmtId="43" fontId="47" fillId="23" borderId="27" xfId="7" applyFont="1" applyFill="1" applyBorder="1" applyAlignment="1">
      <alignment horizontal="center" vertical="center"/>
    </xf>
  </cellXfs>
  <cellStyles count="20">
    <cellStyle name="Moeda" xfId="9" builtinId="4"/>
    <cellStyle name="Moeda 2" xfId="5" xr:uid="{EEFE48F1-3CFE-492F-B573-65E611C0C8B2}"/>
    <cellStyle name="Moeda 3" xfId="8" xr:uid="{5A619519-E85A-446F-B929-BA4902C5E659}"/>
    <cellStyle name="Moeda 8" xfId="11" xr:uid="{FAA52F86-CB61-45C6-A162-A8E8AE836925}"/>
    <cellStyle name="Normal" xfId="0" builtinId="0"/>
    <cellStyle name="Normal 10" xfId="16" xr:uid="{62183043-AD1E-424B-BBF0-244C57399CCA}"/>
    <cellStyle name="Normal 17 2" xfId="10" xr:uid="{94D67F99-0A1F-47B6-917C-C6D973A30527}"/>
    <cellStyle name="Normal 2" xfId="4" xr:uid="{C0251F8D-5BAA-471B-8B41-03672ADD9236}"/>
    <cellStyle name="Normal 2 2 2 2" xfId="12" xr:uid="{C09C1D40-1BD7-4267-A2E7-3DAB1399A8E5}"/>
    <cellStyle name="Normal 3" xfId="6" xr:uid="{9048BF54-3AD9-4B5F-9619-37246F61BEC2}"/>
    <cellStyle name="Normal 4" xfId="3" xr:uid="{6815760E-718D-4D24-8155-E925FC93E5CB}"/>
    <cellStyle name="Normal 5" xfId="18" xr:uid="{71FBD0F7-13FD-460B-8A07-1DF904197C54}"/>
    <cellStyle name="Normal 6" xfId="2" xr:uid="{7AE2F601-46E9-4822-BE52-FA344EC95F30}"/>
    <cellStyle name="Normal 7" xfId="17" xr:uid="{958FC46F-3A23-464C-8704-418F60B6FB69}"/>
    <cellStyle name="Porcentagem" xfId="19" builtinId="5"/>
    <cellStyle name="Separador de milhares 2 2 2 5" xfId="14" xr:uid="{5128CFAF-BCD9-4005-889B-D155A9C40C68}"/>
    <cellStyle name="Vírgula" xfId="1" builtinId="3"/>
    <cellStyle name="Vírgula 12" xfId="15" xr:uid="{911742CF-D0A2-4605-AC5D-64E9A15F6C35}"/>
    <cellStyle name="Vírgula 12 2" xfId="13" xr:uid="{12F03A00-CCD5-4B66-958D-01C16533A397}"/>
    <cellStyle name="Vírgula 2" xfId="7" xr:uid="{12B117CE-F388-4952-84F7-A69556674F2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2467237</xdr:colOff>
      <xdr:row>11</xdr:row>
      <xdr:rowOff>163902</xdr:rowOff>
    </xdr:from>
    <xdr:to>
      <xdr:col>1</xdr:col>
      <xdr:colOff>4851846</xdr:colOff>
      <xdr:row>20</xdr:row>
      <xdr:rowOff>235443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5F7C7E-CE07-2939-8776-F08682AA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109" y="2760453"/>
          <a:ext cx="2384609" cy="2323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1144974</xdr:colOff>
      <xdr:row>0</xdr:row>
      <xdr:rowOff>131035</xdr:rowOff>
    </xdr:from>
    <xdr:to>
      <xdr:col>5</xdr:col>
      <xdr:colOff>786205</xdr:colOff>
      <xdr:row>3</xdr:row>
      <xdr:rowOff>48377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EF1FBF-28C8-4A80-8382-1C0598DC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7487" y="131035"/>
          <a:ext cx="1715938" cy="408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308211</xdr:colOff>
      <xdr:row>0</xdr:row>
      <xdr:rowOff>139662</xdr:rowOff>
    </xdr:from>
    <xdr:to>
      <xdr:col>8</xdr:col>
      <xdr:colOff>967359</xdr:colOff>
      <xdr:row>3</xdr:row>
      <xdr:rowOff>57004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7289D8-38AD-4D76-9C80-5888527E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5336" y="139662"/>
          <a:ext cx="1720197" cy="40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.shortcut-targets-by-id\16oaQUYgx8kiowDwLhg-oO1zGZ777DJUb\2.%20Projetos%20em%20Andamento\Neuhaus\2023.08%20-%20Origem%203300\04.%20Custo\03.0%20Custo%20-%20Or&#231;amento%20Param&#233;trico\CTN-NEUHAUS-ORIGEM%203300%20-%20Custos_Indiretos_Estimativas_R00.xlsx?11310ABD" TargetMode="External"/><Relationship Id="rId1" Type="http://schemas.openxmlformats.org/officeDocument/2006/relationships/externalLinkPath" Target="file:///\\11310ABD\CTN-NEUHAUS-ORIGEM%203300%20-%20Custos_Indiretos_Estimativas_R0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03.%20Revis&#227;o%2002/CTN-NEUHAUS-ORIGEM%203300%20-%20Gerenciamento_executivo_R02.xlsx?2548A507" TargetMode="External"/><Relationship Id="rId1" Type="http://schemas.openxmlformats.org/officeDocument/2006/relationships/externalLinkPath" Target="file:///\\2548A507\CTN-NEUHAUS-ORIGEM%203300%20-%20Gerenciamento_executivo_R0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CTN-NEUHAUS-ORIGEM%203300%20-%20Gerenciamento_executivo_R03.xlsx?7555AD12" TargetMode="External"/><Relationship Id="rId1" Type="http://schemas.openxmlformats.org/officeDocument/2006/relationships/externalLinkPath" Target="file:///\\7555AD12\CTN-NEUHAUS-ORIGEM%203300%20-%20Gerenciamento_executivo_R0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.shortcut-targets-by-id\16oaQUYgx8kiowDwLhg-oO1zGZ777DJUb\2.%20Projetos%20em%20Andamento\Neuhaus\2023.08%20-%20Origem%203300\04.%20Custo\03.0%20Custo%20-%20Or&#231;amento%20Param&#233;trico\05.%20Revis&#227;o%2004\CTN-NEUHAUS-ORIGEM%203300%20-%20Gerenciamento_executivo_R03.xlsx?5686A616" TargetMode="External"/><Relationship Id="rId1" Type="http://schemas.openxmlformats.org/officeDocument/2006/relationships/externalLinkPath" Target="file:///\\5686A616\CTN-NEUHAUS-ORIGEM%203300%20-%20Gerenciamento_executivo_R0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CTN-NEUHAUS-ORIGEM%203300%20-%20Apresenta&#231;&#227;o%20Or&#231;amento_R04.xlsx?BFA044FD" TargetMode="External"/><Relationship Id="rId1" Type="http://schemas.openxmlformats.org/officeDocument/2006/relationships/externalLinkPath" Target="file:///\\BFA044FD\CTN-NEUHAUS-ORIGEM%203300%20-%20Apresenta&#231;&#227;o%20Or&#231;amento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EPC's"/>
      <sheetName val="CANTEIRO"/>
      <sheetName val="BASES"/>
      <sheetName val="CUSTOS_INDIRETOS"/>
      <sheetName val="EQUIPAMENTOS"/>
      <sheetName val="MOBILIÁRIOS"/>
      <sheetName val="PROJETOS"/>
    </sheetNames>
    <sheetDataSet>
      <sheetData sheetId="0" refreshError="1">
        <row r="1">
          <cell r="B1" t="str">
            <v>Origem 3300</v>
          </cell>
        </row>
        <row r="2">
          <cell r="B2" t="str">
            <v>Neuhaus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/>
      <sheetData sheetId="1">
        <row r="18">
          <cell r="D18">
            <v>334397.12</v>
          </cell>
        </row>
      </sheetData>
      <sheetData sheetId="2">
        <row r="22">
          <cell r="I22">
            <v>5500</v>
          </cell>
        </row>
        <row r="29">
          <cell r="I29">
            <v>134618</v>
          </cell>
        </row>
        <row r="30">
          <cell r="I30">
            <v>13592</v>
          </cell>
        </row>
        <row r="31">
          <cell r="I31">
            <v>131906.25</v>
          </cell>
        </row>
        <row r="32">
          <cell r="I32">
            <v>19200.87</v>
          </cell>
        </row>
        <row r="39">
          <cell r="I39">
            <v>29580</v>
          </cell>
        </row>
      </sheetData>
      <sheetData sheetId="3">
        <row r="17">
          <cell r="I17">
            <v>66880</v>
          </cell>
        </row>
        <row r="19">
          <cell r="I19">
            <v>502986.42</v>
          </cell>
        </row>
        <row r="20">
          <cell r="I20">
            <v>176197</v>
          </cell>
        </row>
        <row r="21">
          <cell r="I21">
            <v>1072000</v>
          </cell>
        </row>
        <row r="22">
          <cell r="I22">
            <v>56000</v>
          </cell>
        </row>
        <row r="29">
          <cell r="I29">
            <v>41809.120000000003</v>
          </cell>
        </row>
        <row r="30">
          <cell r="I30">
            <v>334784.40000000002</v>
          </cell>
        </row>
        <row r="31">
          <cell r="I31">
            <v>196439.67</v>
          </cell>
        </row>
        <row r="32">
          <cell r="I32">
            <v>361862.55</v>
          </cell>
        </row>
      </sheetData>
      <sheetData sheetId="4">
        <row r="15">
          <cell r="I15">
            <v>1433492.5249999999</v>
          </cell>
        </row>
        <row r="21">
          <cell r="I21">
            <v>252000</v>
          </cell>
        </row>
      </sheetData>
      <sheetData sheetId="5">
        <row r="15">
          <cell r="I15">
            <v>206805.49999999997</v>
          </cell>
        </row>
        <row r="16">
          <cell r="I16">
            <v>36156.011096792674</v>
          </cell>
        </row>
        <row r="17">
          <cell r="I17">
            <v>135082.29733676976</v>
          </cell>
        </row>
        <row r="18">
          <cell r="I18">
            <v>287607.09999999998</v>
          </cell>
        </row>
        <row r="19">
          <cell r="I19">
            <v>1328897.4690721652</v>
          </cell>
        </row>
        <row r="20">
          <cell r="I20">
            <v>92245.117983963355</v>
          </cell>
        </row>
        <row r="21">
          <cell r="I21">
            <v>14407.235037227951</v>
          </cell>
        </row>
        <row r="22">
          <cell r="I22">
            <v>67089.853350515477</v>
          </cell>
        </row>
        <row r="23">
          <cell r="I23">
            <v>4657.0270332187865</v>
          </cell>
        </row>
        <row r="24">
          <cell r="I24">
            <v>15382</v>
          </cell>
        </row>
        <row r="25">
          <cell r="I25">
            <v>125764.20000000001</v>
          </cell>
        </row>
        <row r="26">
          <cell r="I26">
            <v>172733.2983032646</v>
          </cell>
        </row>
        <row r="27">
          <cell r="I27">
            <v>468903.75457044668</v>
          </cell>
        </row>
        <row r="28">
          <cell r="I28">
            <v>104803.50000000001</v>
          </cell>
        </row>
      </sheetData>
      <sheetData sheetId="6">
        <row r="15">
          <cell r="I15">
            <v>72581.899999999994</v>
          </cell>
        </row>
        <row r="16">
          <cell r="I16">
            <v>185809.66399999999</v>
          </cell>
        </row>
        <row r="17">
          <cell r="I17">
            <v>245326.82199999996</v>
          </cell>
        </row>
        <row r="18">
          <cell r="I18">
            <v>580655.19999999995</v>
          </cell>
        </row>
        <row r="19">
          <cell r="I19">
            <v>290327.59999999998</v>
          </cell>
        </row>
        <row r="20">
          <cell r="I20">
            <v>275811.21999999997</v>
          </cell>
        </row>
        <row r="21">
          <cell r="I21">
            <v>798400.89999999991</v>
          </cell>
        </row>
        <row r="27">
          <cell r="I27">
            <v>362909.5</v>
          </cell>
        </row>
        <row r="28">
          <cell r="I28">
            <v>217745.69999999998</v>
          </cell>
        </row>
        <row r="29">
          <cell r="I29">
            <v>145163.79999999999</v>
          </cell>
        </row>
        <row r="30">
          <cell r="I30">
            <v>217745.69999999998</v>
          </cell>
        </row>
        <row r="31">
          <cell r="I31">
            <v>5371.0605999999998</v>
          </cell>
        </row>
        <row r="32">
          <cell r="I32">
            <v>31936.036</v>
          </cell>
        </row>
        <row r="33">
          <cell r="I33">
            <v>653237.1</v>
          </cell>
        </row>
        <row r="34">
          <cell r="I34">
            <v>725819</v>
          </cell>
        </row>
      </sheetData>
      <sheetData sheetId="7">
        <row r="16">
          <cell r="I16">
            <v>60000</v>
          </cell>
        </row>
        <row r="17">
          <cell r="I17">
            <v>184000</v>
          </cell>
        </row>
        <row r="18">
          <cell r="I18">
            <v>54000</v>
          </cell>
        </row>
        <row r="25">
          <cell r="I25">
            <v>130647.42</v>
          </cell>
        </row>
        <row r="26">
          <cell r="I26">
            <v>174196.56</v>
          </cell>
        </row>
        <row r="44">
          <cell r="I44">
            <v>1320000</v>
          </cell>
        </row>
        <row r="45">
          <cell r="I45">
            <v>660000</v>
          </cell>
        </row>
        <row r="46">
          <cell r="I46">
            <v>240000</v>
          </cell>
        </row>
        <row r="47">
          <cell r="I47">
            <v>40000</v>
          </cell>
        </row>
        <row r="48">
          <cell r="I48">
            <v>35000</v>
          </cell>
        </row>
        <row r="49">
          <cell r="I49">
            <v>120000</v>
          </cell>
        </row>
      </sheetData>
      <sheetData sheetId="8"/>
      <sheetData sheetId="9">
        <row r="18">
          <cell r="I18">
            <v>28366.72075</v>
          </cell>
        </row>
        <row r="19">
          <cell r="I19">
            <v>260973.8309</v>
          </cell>
        </row>
        <row r="20">
          <cell r="I20">
            <v>18871.293999999998</v>
          </cell>
        </row>
        <row r="21">
          <cell r="I21">
            <v>581466.15</v>
          </cell>
        </row>
        <row r="22">
          <cell r="I22">
            <v>397134.09049999999</v>
          </cell>
        </row>
      </sheetData>
      <sheetData sheetId="10">
        <row r="22">
          <cell r="I22">
            <v>424424.7</v>
          </cell>
        </row>
        <row r="24">
          <cell r="I24">
            <v>212212.35</v>
          </cell>
        </row>
      </sheetData>
      <sheetData sheetId="11"/>
      <sheetData sheetId="12"/>
      <sheetData sheetId="13">
        <row r="15">
          <cell r="I15">
            <v>1767034.5</v>
          </cell>
        </row>
        <row r="17">
          <cell r="I17">
            <v>1512210</v>
          </cell>
        </row>
        <row r="20">
          <cell r="I20">
            <v>126000</v>
          </cell>
        </row>
        <row r="21">
          <cell r="I21">
            <v>78846</v>
          </cell>
        </row>
      </sheetData>
      <sheetData sheetId="14">
        <row r="15">
          <cell r="I15">
            <v>260190.30000000002</v>
          </cell>
        </row>
        <row r="16">
          <cell r="I16">
            <v>607110.70000000007</v>
          </cell>
        </row>
        <row r="30">
          <cell r="I30">
            <v>113088.79999999999</v>
          </cell>
        </row>
        <row r="31">
          <cell r="I31">
            <v>290990</v>
          </cell>
        </row>
      </sheetData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">
          <cell r="I20">
            <v>319084.14</v>
          </cell>
        </row>
        <row r="22">
          <cell r="I22">
            <v>115188.27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I15">
            <v>4970913.84</v>
          </cell>
        </row>
        <row r="24">
          <cell r="I24">
            <v>3748686.48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_PARAMÉTRICO"/>
      <sheetName val="DIFERENÇA"/>
      <sheetName val="ANÁLISE_CUSTOS"/>
      <sheetName val="CÁLCULO_MÉDIAS"/>
    </sheetNames>
    <sheetDataSet>
      <sheetData sheetId="0">
        <row r="3">
          <cell r="A3" t="str">
            <v>MOVIMENTAÇÃO DE TERRA</v>
          </cell>
        </row>
        <row r="4">
          <cell r="A4" t="str">
            <v>INFRAESTRUTURA</v>
          </cell>
        </row>
        <row r="5">
          <cell r="A5" t="str">
            <v>SUPRAESTRUTURA</v>
          </cell>
        </row>
        <row r="6">
          <cell r="A6" t="str">
            <v>ALVENARIA</v>
          </cell>
        </row>
        <row r="7">
          <cell r="A7" t="str">
            <v>INSTALAÇÕES ELÉTRICAS, HIDRÁULICAS, GLP E PREVENTIVAS</v>
          </cell>
        </row>
        <row r="8">
          <cell r="A8" t="str">
            <v>EQUIPAMENTOS E SISTEMAS ESPECIAIS</v>
          </cell>
        </row>
        <row r="9">
          <cell r="A9" t="str">
            <v>IMPERMEABILIZAÇÃO</v>
          </cell>
        </row>
        <row r="10">
          <cell r="A10" t="str">
            <v>REVESTIMENTOS INTERNOS EM PISO E PAREDE</v>
          </cell>
        </row>
        <row r="11">
          <cell r="A11" t="str">
            <v>REVESTIMENTOS E ACABAMENTOS INTERNOS EM TETO</v>
          </cell>
        </row>
        <row r="12">
          <cell r="A12" t="str">
            <v>ACABAMENTOS EM PISO E PAREDE</v>
          </cell>
        </row>
        <row r="13">
          <cell r="A13" t="str">
            <v>PINTURA INTERNA</v>
          </cell>
        </row>
        <row r="14">
          <cell r="A14" t="str">
            <v>ESQUADRIAS, VIDROS E FERRAGENS</v>
          </cell>
        </row>
        <row r="15">
          <cell r="A15" t="str">
            <v>REVESTIMENTOS E ACABAMENTOS DE FACHADA</v>
          </cell>
        </row>
        <row r="16">
          <cell r="A16" t="str">
            <v>SERVIÇOS COMPLEMENTARES</v>
          </cell>
        </row>
        <row r="19">
          <cell r="D19">
            <v>1.61</v>
          </cell>
        </row>
      </sheetData>
      <sheetData sheetId="1"/>
      <sheetData sheetId="2"/>
      <sheetData sheetId="3">
        <row r="24">
          <cell r="N24">
            <v>2845</v>
          </cell>
          <cell r="O24">
            <v>3927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tricia Bragatto" id="{4654D7D1-3A08-45AB-B7B9-A39431C9CFF2}" userId="7d561a28a41ad666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1"/>
  <sheetViews>
    <sheetView workbookViewId="0">
      <selection activeCell="K14" sqref="K1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8" customHeight="1" x14ac:dyDescent="0.6">
      <c r="A1" s="1" t="s">
        <v>0</v>
      </c>
      <c r="B1" s="28" t="s">
        <v>53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29" t="s">
        <v>54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29" t="s">
        <v>55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319" t="s">
        <v>3</v>
      </c>
      <c r="B4" s="320"/>
      <c r="C4" s="320"/>
      <c r="D4" s="320"/>
      <c r="E4" s="32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10"/>
      <c r="B6" s="205"/>
      <c r="C6" s="205"/>
      <c r="D6" s="206"/>
      <c r="E6" s="1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0"/>
      <c r="B7" s="205"/>
      <c r="C7" s="205"/>
      <c r="D7" s="206"/>
      <c r="E7" s="1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8.5" x14ac:dyDescent="0.6">
      <c r="A8" s="10"/>
      <c r="B8" s="322" t="s">
        <v>655</v>
      </c>
      <c r="C8" s="322"/>
      <c r="D8" s="322"/>
      <c r="E8" s="1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8.5" x14ac:dyDescent="0.6">
      <c r="A9" s="10"/>
      <c r="B9" s="322" t="s">
        <v>656</v>
      </c>
      <c r="C9" s="322"/>
      <c r="D9" s="322"/>
      <c r="E9" s="1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10"/>
      <c r="B10" s="205"/>
      <c r="C10" s="205"/>
      <c r="D10" s="206"/>
      <c r="E10" s="1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10"/>
      <c r="B11" s="205"/>
      <c r="C11" s="205"/>
      <c r="D11" s="206"/>
      <c r="E11" s="1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10"/>
      <c r="B12" s="205"/>
      <c r="C12" s="205"/>
      <c r="D12" s="206"/>
      <c r="E12" s="1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10"/>
      <c r="B13" s="205"/>
      <c r="C13" s="205"/>
      <c r="D13" s="206"/>
      <c r="E13" s="1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8.5" x14ac:dyDescent="0.6">
      <c r="A14" s="10"/>
      <c r="B14" s="322"/>
      <c r="C14" s="322"/>
      <c r="D14" s="322"/>
      <c r="E14" s="1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8.5" x14ac:dyDescent="0.6">
      <c r="A15" s="10"/>
      <c r="B15" s="322"/>
      <c r="C15" s="322"/>
      <c r="D15" s="322"/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10"/>
      <c r="B16" s="205"/>
      <c r="C16" s="205"/>
      <c r="D16" s="206"/>
      <c r="E16" s="1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10"/>
      <c r="B17" s="205"/>
      <c r="C17" s="205"/>
      <c r="D17" s="206"/>
      <c r="E17" s="1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x14ac:dyDescent="0.6">
      <c r="A18" s="14"/>
      <c r="B18" s="15"/>
      <c r="C18" s="16"/>
      <c r="D18" s="17"/>
      <c r="E18" s="1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19"/>
      <c r="B19" s="204"/>
      <c r="C19" s="204"/>
      <c r="D19" s="204"/>
      <c r="E19" s="1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19"/>
      <c r="B20" s="204"/>
      <c r="C20" s="204"/>
      <c r="D20" s="204"/>
      <c r="E20" s="1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19"/>
      <c r="B21" s="204"/>
      <c r="C21" s="204"/>
      <c r="D21" s="204"/>
      <c r="E21" s="1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19"/>
      <c r="B22" s="204"/>
      <c r="C22" s="204"/>
      <c r="D22" s="204"/>
      <c r="E22" s="1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19"/>
      <c r="B23" s="204"/>
      <c r="C23" s="204"/>
      <c r="D23" s="204"/>
      <c r="E23" s="1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19"/>
      <c r="B24" s="204"/>
      <c r="C24" s="204"/>
      <c r="D24" s="204"/>
      <c r="E24" s="1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20"/>
      <c r="B25" s="21"/>
      <c r="C25" s="21"/>
      <c r="D25" s="22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24"/>
      <c r="B26" s="25"/>
      <c r="C26" s="25"/>
      <c r="D26" s="26"/>
      <c r="E26" s="2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24"/>
      <c r="B27" s="25"/>
      <c r="C27" s="25"/>
      <c r="D27" s="26"/>
      <c r="E27" s="2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24"/>
      <c r="B28" s="25"/>
      <c r="C28" s="25"/>
      <c r="D28" s="26"/>
      <c r="E28" s="2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24"/>
      <c r="B29" s="25"/>
      <c r="C29" s="25"/>
      <c r="D29" s="26"/>
      <c r="E29" s="2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24"/>
      <c r="B30" s="25"/>
      <c r="C30" s="25"/>
      <c r="D30" s="26"/>
      <c r="E30" s="2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24"/>
      <c r="B31" s="25"/>
      <c r="C31" s="25"/>
      <c r="D31" s="26"/>
      <c r="E31" s="2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24"/>
      <c r="B32" s="25"/>
      <c r="C32" s="25"/>
      <c r="D32" s="26"/>
      <c r="E32" s="2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24"/>
      <c r="B33" s="25"/>
      <c r="C33" s="25"/>
      <c r="D33" s="26"/>
      <c r="E33" s="2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24"/>
      <c r="B34" s="25"/>
      <c r="C34" s="25"/>
      <c r="D34" s="26"/>
      <c r="E34" s="2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24"/>
      <c r="B35" s="25"/>
      <c r="C35" s="25"/>
      <c r="D35" s="26"/>
      <c r="E35" s="2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24"/>
      <c r="B36" s="25"/>
      <c r="C36" s="25"/>
      <c r="D36" s="26"/>
      <c r="E36" s="2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24"/>
      <c r="B37" s="25"/>
      <c r="C37" s="25"/>
      <c r="D37" s="26"/>
      <c r="E37" s="2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24"/>
      <c r="B38" s="25"/>
      <c r="C38" s="25"/>
      <c r="D38" s="26"/>
      <c r="E38" s="2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24"/>
      <c r="B39" s="25"/>
      <c r="C39" s="25"/>
      <c r="D39" s="26"/>
      <c r="E39" s="2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24"/>
      <c r="B40" s="25"/>
      <c r="C40" s="25"/>
      <c r="D40" s="26"/>
      <c r="E40" s="2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24"/>
      <c r="B41" s="25"/>
      <c r="C41" s="25"/>
      <c r="D41" s="26"/>
      <c r="E41" s="2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24"/>
      <c r="B42" s="25"/>
      <c r="C42" s="25"/>
      <c r="D42" s="26"/>
      <c r="E42" s="2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24"/>
      <c r="B43" s="25"/>
      <c r="C43" s="25"/>
      <c r="D43" s="26"/>
      <c r="E43" s="2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24"/>
      <c r="B44" s="25"/>
      <c r="C44" s="25"/>
      <c r="D44" s="26"/>
      <c r="E44" s="2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24"/>
      <c r="B45" s="25"/>
      <c r="C45" s="25"/>
      <c r="D45" s="26"/>
      <c r="E45" s="2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24"/>
      <c r="B46" s="25"/>
      <c r="C46" s="25"/>
      <c r="D46" s="26"/>
      <c r="E46" s="2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24"/>
      <c r="B47" s="25"/>
      <c r="C47" s="25"/>
      <c r="D47" s="26"/>
      <c r="E47" s="2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24"/>
      <c r="B48" s="25"/>
      <c r="C48" s="25"/>
      <c r="D48" s="26"/>
      <c r="E48" s="2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24"/>
      <c r="B49" s="25"/>
      <c r="C49" s="25"/>
      <c r="D49" s="26"/>
      <c r="E49" s="2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24"/>
      <c r="B50" s="25"/>
      <c r="C50" s="25"/>
      <c r="D50" s="26"/>
      <c r="E50" s="2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24"/>
      <c r="B51" s="25"/>
      <c r="C51" s="25"/>
      <c r="D51" s="26"/>
      <c r="E51" s="2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24"/>
      <c r="B52" s="25"/>
      <c r="C52" s="25"/>
      <c r="D52" s="26"/>
      <c r="E52" s="2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24"/>
      <c r="B53" s="25"/>
      <c r="C53" s="25"/>
      <c r="D53" s="26"/>
      <c r="E53" s="2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24"/>
      <c r="B54" s="25"/>
      <c r="C54" s="25"/>
      <c r="D54" s="26"/>
      <c r="E54" s="2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24"/>
      <c r="B55" s="25"/>
      <c r="C55" s="25"/>
      <c r="D55" s="26"/>
      <c r="E55" s="2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24"/>
      <c r="B56" s="25"/>
      <c r="C56" s="25"/>
      <c r="D56" s="26"/>
      <c r="E56" s="2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24"/>
      <c r="B57" s="25"/>
      <c r="C57" s="25"/>
      <c r="D57" s="26"/>
      <c r="E57" s="2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24"/>
      <c r="B58" s="25"/>
      <c r="C58" s="25"/>
      <c r="D58" s="26"/>
      <c r="E58" s="2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24"/>
      <c r="B59" s="25"/>
      <c r="C59" s="25"/>
      <c r="D59" s="26"/>
      <c r="E59" s="2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24"/>
      <c r="B60" s="25"/>
      <c r="C60" s="25"/>
      <c r="D60" s="26"/>
      <c r="E60" s="2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24"/>
      <c r="B61" s="25"/>
      <c r="C61" s="25"/>
      <c r="D61" s="26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24"/>
      <c r="B62" s="25"/>
      <c r="C62" s="25"/>
      <c r="D62" s="26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24"/>
      <c r="B63" s="25"/>
      <c r="C63" s="25"/>
      <c r="D63" s="26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24"/>
      <c r="B64" s="25"/>
      <c r="C64" s="25"/>
      <c r="D64" s="26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24"/>
      <c r="B65" s="25"/>
      <c r="C65" s="25"/>
      <c r="D65" s="26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24"/>
      <c r="B66" s="25"/>
      <c r="C66" s="25"/>
      <c r="D66" s="26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24"/>
      <c r="B67" s="25"/>
      <c r="C67" s="25"/>
      <c r="D67" s="26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24"/>
      <c r="B68" s="25"/>
      <c r="C68" s="25"/>
      <c r="D68" s="26"/>
      <c r="E68" s="2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24"/>
      <c r="B69" s="25"/>
      <c r="C69" s="25"/>
      <c r="D69" s="26"/>
      <c r="E69" s="2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24"/>
      <c r="B70" s="25"/>
      <c r="C70" s="25"/>
      <c r="D70" s="26"/>
      <c r="E70" s="2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24"/>
      <c r="B71" s="25"/>
      <c r="C71" s="25"/>
      <c r="D71" s="26"/>
      <c r="E71" s="2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24"/>
      <c r="B72" s="25"/>
      <c r="C72" s="25"/>
      <c r="D72" s="26"/>
      <c r="E72" s="2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24"/>
      <c r="B73" s="25"/>
      <c r="C73" s="25"/>
      <c r="D73" s="26"/>
      <c r="E73" s="2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24"/>
      <c r="B74" s="25"/>
      <c r="C74" s="25"/>
      <c r="D74" s="26"/>
      <c r="E74" s="2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24"/>
      <c r="B75" s="25"/>
      <c r="C75" s="25"/>
      <c r="D75" s="26"/>
      <c r="E75" s="2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24"/>
      <c r="B76" s="25"/>
      <c r="C76" s="25"/>
      <c r="D76" s="26"/>
      <c r="E76" s="2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24"/>
      <c r="B77" s="25"/>
      <c r="C77" s="25"/>
      <c r="D77" s="26"/>
      <c r="E77" s="2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24"/>
      <c r="B78" s="25"/>
      <c r="C78" s="25"/>
      <c r="D78" s="26"/>
      <c r="E78" s="2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24"/>
      <c r="B79" s="25"/>
      <c r="C79" s="25"/>
      <c r="D79" s="26"/>
      <c r="E79" s="2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24"/>
      <c r="B80" s="25"/>
      <c r="C80" s="25"/>
      <c r="D80" s="26"/>
      <c r="E80" s="2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24"/>
      <c r="B81" s="25"/>
      <c r="C81" s="25"/>
      <c r="D81" s="26"/>
      <c r="E81" s="2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24"/>
      <c r="B82" s="25"/>
      <c r="C82" s="25"/>
      <c r="D82" s="26"/>
      <c r="E82" s="2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24"/>
      <c r="B83" s="25"/>
      <c r="C83" s="25"/>
      <c r="D83" s="26"/>
      <c r="E83" s="2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24"/>
      <c r="B84" s="25"/>
      <c r="C84" s="25"/>
      <c r="D84" s="26"/>
      <c r="E84" s="2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24"/>
      <c r="B85" s="25"/>
      <c r="C85" s="25"/>
      <c r="D85" s="26"/>
      <c r="E85" s="2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24"/>
      <c r="B86" s="25"/>
      <c r="C86" s="25"/>
      <c r="D86" s="26"/>
      <c r="E86" s="2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24"/>
      <c r="B87" s="25"/>
      <c r="C87" s="25"/>
      <c r="D87" s="26"/>
      <c r="E87" s="2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24"/>
      <c r="B88" s="25"/>
      <c r="C88" s="25"/>
      <c r="D88" s="26"/>
      <c r="E88" s="2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24"/>
      <c r="B89" s="25"/>
      <c r="C89" s="25"/>
      <c r="D89" s="26"/>
      <c r="E89" s="2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24"/>
      <c r="B90" s="25"/>
      <c r="C90" s="25"/>
      <c r="D90" s="26"/>
      <c r="E90" s="2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24"/>
      <c r="B91" s="25"/>
      <c r="C91" s="25"/>
      <c r="D91" s="26"/>
      <c r="E91" s="2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24"/>
      <c r="B92" s="25"/>
      <c r="C92" s="25"/>
      <c r="D92" s="26"/>
      <c r="E92" s="2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24"/>
      <c r="B93" s="25"/>
      <c r="C93" s="25"/>
      <c r="D93" s="26"/>
      <c r="E93" s="2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24"/>
      <c r="B94" s="25"/>
      <c r="C94" s="25"/>
      <c r="D94" s="26"/>
      <c r="E94" s="2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24"/>
      <c r="B95" s="25"/>
      <c r="C95" s="25"/>
      <c r="D95" s="26"/>
      <c r="E95" s="2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24"/>
      <c r="B96" s="25"/>
      <c r="C96" s="25"/>
      <c r="D96" s="26"/>
      <c r="E96" s="2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24"/>
      <c r="B97" s="25"/>
      <c r="C97" s="25"/>
      <c r="D97" s="26"/>
      <c r="E97" s="2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24"/>
      <c r="B98" s="25"/>
      <c r="C98" s="25"/>
      <c r="D98" s="26"/>
      <c r="E98" s="2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24"/>
      <c r="B99" s="25"/>
      <c r="C99" s="25"/>
      <c r="D99" s="26"/>
      <c r="E99" s="2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24"/>
      <c r="B100" s="25"/>
      <c r="C100" s="25"/>
      <c r="D100" s="26"/>
      <c r="E100" s="2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24"/>
      <c r="B101" s="25"/>
      <c r="C101" s="25"/>
      <c r="D101" s="26"/>
      <c r="E101" s="2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24"/>
      <c r="B102" s="25"/>
      <c r="C102" s="25"/>
      <c r="D102" s="26"/>
      <c r="E102" s="2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24"/>
      <c r="B103" s="25"/>
      <c r="C103" s="25"/>
      <c r="D103" s="26"/>
      <c r="E103" s="2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24"/>
      <c r="B104" s="25"/>
      <c r="C104" s="25"/>
      <c r="D104" s="26"/>
      <c r="E104" s="2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24"/>
      <c r="B105" s="25"/>
      <c r="C105" s="25"/>
      <c r="D105" s="26"/>
      <c r="E105" s="2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24"/>
      <c r="B106" s="25"/>
      <c r="C106" s="25"/>
      <c r="D106" s="26"/>
      <c r="E106" s="2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24"/>
      <c r="B107" s="25"/>
      <c r="C107" s="25"/>
      <c r="D107" s="26"/>
      <c r="E107" s="2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24"/>
      <c r="B108" s="25"/>
      <c r="C108" s="25"/>
      <c r="D108" s="26"/>
      <c r="E108" s="2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24"/>
      <c r="B109" s="25"/>
      <c r="C109" s="25"/>
      <c r="D109" s="26"/>
      <c r="E109" s="2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24"/>
      <c r="B110" s="25"/>
      <c r="C110" s="25"/>
      <c r="D110" s="26"/>
      <c r="E110" s="2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24"/>
      <c r="B111" s="25"/>
      <c r="C111" s="25"/>
      <c r="D111" s="26"/>
      <c r="E111" s="2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24"/>
      <c r="B112" s="25"/>
      <c r="C112" s="25"/>
      <c r="D112" s="26"/>
      <c r="E112" s="2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24"/>
      <c r="B113" s="25"/>
      <c r="C113" s="25"/>
      <c r="D113" s="26"/>
      <c r="E113" s="2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24"/>
      <c r="B114" s="25"/>
      <c r="C114" s="25"/>
      <c r="D114" s="26"/>
      <c r="E114" s="2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24"/>
      <c r="B115" s="25"/>
      <c r="C115" s="25"/>
      <c r="D115" s="26"/>
      <c r="E115" s="2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24"/>
      <c r="B116" s="25"/>
      <c r="C116" s="25"/>
      <c r="D116" s="26"/>
      <c r="E116" s="2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24"/>
      <c r="B117" s="25"/>
      <c r="C117" s="25"/>
      <c r="D117" s="26"/>
      <c r="E117" s="2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24"/>
      <c r="B118" s="25"/>
      <c r="C118" s="25"/>
      <c r="D118" s="26"/>
      <c r="E118" s="2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24"/>
      <c r="B119" s="25"/>
      <c r="C119" s="25"/>
      <c r="D119" s="26"/>
      <c r="E119" s="2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24"/>
      <c r="B120" s="25"/>
      <c r="C120" s="25"/>
      <c r="D120" s="26"/>
      <c r="E120" s="2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24"/>
      <c r="B121" s="25"/>
      <c r="C121" s="25"/>
      <c r="D121" s="26"/>
      <c r="E121" s="2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24"/>
      <c r="B122" s="25"/>
      <c r="C122" s="25"/>
      <c r="D122" s="26"/>
      <c r="E122" s="2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24"/>
      <c r="B123" s="25"/>
      <c r="C123" s="25"/>
      <c r="D123" s="26"/>
      <c r="E123" s="2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24"/>
      <c r="B124" s="25"/>
      <c r="C124" s="25"/>
      <c r="D124" s="26"/>
      <c r="E124" s="2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24"/>
      <c r="B125" s="25"/>
      <c r="C125" s="25"/>
      <c r="D125" s="26"/>
      <c r="E125" s="2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24"/>
      <c r="B126" s="25"/>
      <c r="C126" s="25"/>
      <c r="D126" s="26"/>
      <c r="E126" s="2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24"/>
      <c r="B127" s="25"/>
      <c r="C127" s="25"/>
      <c r="D127" s="26"/>
      <c r="E127" s="2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24"/>
      <c r="B128" s="25"/>
      <c r="C128" s="25"/>
      <c r="D128" s="26"/>
      <c r="E128" s="2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24"/>
      <c r="B129" s="25"/>
      <c r="C129" s="25"/>
      <c r="D129" s="26"/>
      <c r="E129" s="2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24"/>
      <c r="B130" s="25"/>
      <c r="C130" s="25"/>
      <c r="D130" s="26"/>
      <c r="E130" s="2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24"/>
      <c r="B131" s="25"/>
      <c r="C131" s="25"/>
      <c r="D131" s="26"/>
      <c r="E131" s="2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24"/>
      <c r="B132" s="25"/>
      <c r="C132" s="25"/>
      <c r="D132" s="26"/>
      <c r="E132" s="2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24"/>
      <c r="B133" s="25"/>
      <c r="C133" s="25"/>
      <c r="D133" s="26"/>
      <c r="E133" s="2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24"/>
      <c r="B134" s="25"/>
      <c r="C134" s="25"/>
      <c r="D134" s="26"/>
      <c r="E134" s="2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24"/>
      <c r="B135" s="25"/>
      <c r="C135" s="25"/>
      <c r="D135" s="26"/>
      <c r="E135" s="2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24"/>
      <c r="B136" s="25"/>
      <c r="C136" s="25"/>
      <c r="D136" s="26"/>
      <c r="E136" s="2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24"/>
      <c r="B137" s="25"/>
      <c r="C137" s="25"/>
      <c r="D137" s="26"/>
      <c r="E137" s="2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24"/>
      <c r="B138" s="25"/>
      <c r="C138" s="25"/>
      <c r="D138" s="26"/>
      <c r="E138" s="2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24"/>
      <c r="B139" s="25"/>
      <c r="C139" s="25"/>
      <c r="D139" s="26"/>
      <c r="E139" s="2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24"/>
      <c r="B140" s="25"/>
      <c r="C140" s="25"/>
      <c r="D140" s="26"/>
      <c r="E140" s="2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24"/>
      <c r="B141" s="25"/>
      <c r="C141" s="25"/>
      <c r="D141" s="26"/>
      <c r="E141" s="2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24"/>
      <c r="B142" s="25"/>
      <c r="C142" s="25"/>
      <c r="D142" s="26"/>
      <c r="E142" s="2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24"/>
      <c r="B143" s="25"/>
      <c r="C143" s="25"/>
      <c r="D143" s="26"/>
      <c r="E143" s="2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24"/>
      <c r="B144" s="25"/>
      <c r="C144" s="25"/>
      <c r="D144" s="26"/>
      <c r="E144" s="2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24"/>
      <c r="B145" s="25"/>
      <c r="C145" s="25"/>
      <c r="D145" s="26"/>
      <c r="E145" s="2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24"/>
      <c r="B146" s="25"/>
      <c r="C146" s="25"/>
      <c r="D146" s="26"/>
      <c r="E146" s="2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24"/>
      <c r="B147" s="25"/>
      <c r="C147" s="25"/>
      <c r="D147" s="26"/>
      <c r="E147" s="2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24"/>
      <c r="B148" s="25"/>
      <c r="C148" s="25"/>
      <c r="D148" s="26"/>
      <c r="E148" s="2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24"/>
      <c r="B149" s="25"/>
      <c r="C149" s="25"/>
      <c r="D149" s="26"/>
      <c r="E149" s="2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24"/>
      <c r="B150" s="25"/>
      <c r="C150" s="25"/>
      <c r="D150" s="26"/>
      <c r="E150" s="2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24"/>
      <c r="B151" s="25"/>
      <c r="C151" s="25"/>
      <c r="D151" s="26"/>
      <c r="E151" s="2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24"/>
      <c r="B152" s="25"/>
      <c r="C152" s="25"/>
      <c r="D152" s="26"/>
      <c r="E152" s="2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24"/>
      <c r="B153" s="25"/>
      <c r="C153" s="25"/>
      <c r="D153" s="26"/>
      <c r="E153" s="2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24"/>
      <c r="B154" s="25"/>
      <c r="C154" s="25"/>
      <c r="D154" s="26"/>
      <c r="E154" s="2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24"/>
      <c r="B155" s="25"/>
      <c r="C155" s="25"/>
      <c r="D155" s="26"/>
      <c r="E155" s="2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24"/>
      <c r="B156" s="25"/>
      <c r="C156" s="25"/>
      <c r="D156" s="26"/>
      <c r="E156" s="2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24"/>
      <c r="B157" s="25"/>
      <c r="C157" s="25"/>
      <c r="D157" s="26"/>
      <c r="E157" s="2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24"/>
      <c r="B158" s="25"/>
      <c r="C158" s="25"/>
      <c r="D158" s="26"/>
      <c r="E158" s="2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24"/>
      <c r="B159" s="25"/>
      <c r="C159" s="25"/>
      <c r="D159" s="26"/>
      <c r="E159" s="2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24"/>
      <c r="B160" s="25"/>
      <c r="C160" s="25"/>
      <c r="D160" s="26"/>
      <c r="E160" s="2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24"/>
      <c r="B161" s="25"/>
      <c r="C161" s="25"/>
      <c r="D161" s="26"/>
      <c r="E161" s="2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24"/>
      <c r="B162" s="25"/>
      <c r="C162" s="25"/>
      <c r="D162" s="26"/>
      <c r="E162" s="2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24"/>
      <c r="B163" s="25"/>
      <c r="C163" s="25"/>
      <c r="D163" s="26"/>
      <c r="E163" s="2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24"/>
      <c r="B164" s="25"/>
      <c r="C164" s="25"/>
      <c r="D164" s="26"/>
      <c r="E164" s="2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24"/>
      <c r="B165" s="25"/>
      <c r="C165" s="25"/>
      <c r="D165" s="26"/>
      <c r="E165" s="2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24"/>
      <c r="B166" s="25"/>
      <c r="C166" s="25"/>
      <c r="D166" s="26"/>
      <c r="E166" s="2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24"/>
      <c r="B167" s="25"/>
      <c r="C167" s="25"/>
      <c r="D167" s="26"/>
      <c r="E167" s="2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24"/>
      <c r="B168" s="25"/>
      <c r="C168" s="25"/>
      <c r="D168" s="26"/>
      <c r="E168" s="2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24"/>
      <c r="B169" s="25"/>
      <c r="C169" s="25"/>
      <c r="D169" s="26"/>
      <c r="E169" s="2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24"/>
      <c r="B170" s="25"/>
      <c r="C170" s="25"/>
      <c r="D170" s="26"/>
      <c r="E170" s="2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24"/>
      <c r="B171" s="25"/>
      <c r="C171" s="25"/>
      <c r="D171" s="26"/>
      <c r="E171" s="2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24"/>
      <c r="B172" s="25"/>
      <c r="C172" s="25"/>
      <c r="D172" s="26"/>
      <c r="E172" s="2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24"/>
      <c r="B173" s="25"/>
      <c r="C173" s="25"/>
      <c r="D173" s="26"/>
      <c r="E173" s="2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24"/>
      <c r="B174" s="25"/>
      <c r="C174" s="25"/>
      <c r="D174" s="26"/>
      <c r="E174" s="2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24"/>
      <c r="B175" s="25"/>
      <c r="C175" s="25"/>
      <c r="D175" s="26"/>
      <c r="E175" s="2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24"/>
      <c r="B176" s="25"/>
      <c r="C176" s="25"/>
      <c r="D176" s="26"/>
      <c r="E176" s="2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24"/>
      <c r="B177" s="25"/>
      <c r="C177" s="25"/>
      <c r="D177" s="26"/>
      <c r="E177" s="2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24"/>
      <c r="B178" s="25"/>
      <c r="C178" s="25"/>
      <c r="D178" s="26"/>
      <c r="E178" s="2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24"/>
      <c r="B179" s="25"/>
      <c r="C179" s="25"/>
      <c r="D179" s="26"/>
      <c r="E179" s="2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24"/>
      <c r="B180" s="25"/>
      <c r="C180" s="25"/>
      <c r="D180" s="26"/>
      <c r="E180" s="2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24"/>
      <c r="B181" s="25"/>
      <c r="C181" s="25"/>
      <c r="D181" s="26"/>
      <c r="E181" s="2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24"/>
      <c r="B182" s="25"/>
      <c r="C182" s="25"/>
      <c r="D182" s="26"/>
      <c r="E182" s="2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24"/>
      <c r="B183" s="25"/>
      <c r="C183" s="25"/>
      <c r="D183" s="26"/>
      <c r="E183" s="2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24"/>
      <c r="B184" s="25"/>
      <c r="C184" s="25"/>
      <c r="D184" s="26"/>
      <c r="E184" s="2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24"/>
      <c r="B185" s="25"/>
      <c r="C185" s="25"/>
      <c r="D185" s="26"/>
      <c r="E185" s="2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24"/>
      <c r="B186" s="25"/>
      <c r="C186" s="25"/>
      <c r="D186" s="26"/>
      <c r="E186" s="2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24"/>
      <c r="B187" s="25"/>
      <c r="C187" s="25"/>
      <c r="D187" s="26"/>
      <c r="E187" s="2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24"/>
      <c r="B188" s="25"/>
      <c r="C188" s="25"/>
      <c r="D188" s="26"/>
      <c r="E188" s="2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24"/>
      <c r="B189" s="25"/>
      <c r="C189" s="25"/>
      <c r="D189" s="26"/>
      <c r="E189" s="2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24"/>
      <c r="B190" s="25"/>
      <c r="C190" s="25"/>
      <c r="D190" s="26"/>
      <c r="E190" s="2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24"/>
      <c r="B191" s="25"/>
      <c r="C191" s="25"/>
      <c r="D191" s="26"/>
      <c r="E191" s="2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24"/>
      <c r="B192" s="25"/>
      <c r="C192" s="25"/>
      <c r="D192" s="26"/>
      <c r="E192" s="2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24"/>
      <c r="B193" s="25"/>
      <c r="C193" s="25"/>
      <c r="D193" s="26"/>
      <c r="E193" s="2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24"/>
      <c r="B194" s="25"/>
      <c r="C194" s="25"/>
      <c r="D194" s="26"/>
      <c r="E194" s="2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24"/>
      <c r="B195" s="25"/>
      <c r="C195" s="25"/>
      <c r="D195" s="26"/>
      <c r="E195" s="2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24"/>
      <c r="B196" s="25"/>
      <c r="C196" s="25"/>
      <c r="D196" s="26"/>
      <c r="E196" s="2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24"/>
      <c r="B197" s="25"/>
      <c r="C197" s="25"/>
      <c r="D197" s="26"/>
      <c r="E197" s="2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24"/>
      <c r="B198" s="25"/>
      <c r="C198" s="25"/>
      <c r="D198" s="26"/>
      <c r="E198" s="2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24"/>
      <c r="B199" s="25"/>
      <c r="C199" s="25"/>
      <c r="D199" s="26"/>
      <c r="E199" s="2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24"/>
      <c r="B200" s="25"/>
      <c r="C200" s="25"/>
      <c r="D200" s="26"/>
      <c r="E200" s="2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24"/>
      <c r="B201" s="25"/>
      <c r="C201" s="25"/>
      <c r="D201" s="26"/>
      <c r="E201" s="2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24"/>
      <c r="B202" s="25"/>
      <c r="C202" s="25"/>
      <c r="D202" s="26"/>
      <c r="E202" s="2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24"/>
      <c r="B203" s="25"/>
      <c r="C203" s="25"/>
      <c r="D203" s="26"/>
      <c r="E203" s="2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24"/>
      <c r="B204" s="25"/>
      <c r="C204" s="25"/>
      <c r="D204" s="26"/>
      <c r="E204" s="2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24"/>
      <c r="B205" s="25"/>
      <c r="C205" s="25"/>
      <c r="D205" s="26"/>
      <c r="E205" s="2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24"/>
      <c r="B206" s="25"/>
      <c r="C206" s="25"/>
      <c r="D206" s="26"/>
      <c r="E206" s="2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24"/>
      <c r="B207" s="25"/>
      <c r="C207" s="25"/>
      <c r="D207" s="26"/>
      <c r="E207" s="2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24"/>
      <c r="B208" s="25"/>
      <c r="C208" s="25"/>
      <c r="D208" s="26"/>
      <c r="E208" s="2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24"/>
      <c r="B209" s="25"/>
      <c r="C209" s="25"/>
      <c r="D209" s="26"/>
      <c r="E209" s="2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24"/>
      <c r="B210" s="25"/>
      <c r="C210" s="25"/>
      <c r="D210" s="26"/>
      <c r="E210" s="2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24"/>
      <c r="B211" s="25"/>
      <c r="C211" s="25"/>
      <c r="D211" s="26"/>
      <c r="E211" s="2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24"/>
      <c r="B212" s="25"/>
      <c r="C212" s="25"/>
      <c r="D212" s="26"/>
      <c r="E212" s="2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24"/>
      <c r="B213" s="25"/>
      <c r="C213" s="25"/>
      <c r="D213" s="26"/>
      <c r="E213" s="2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24"/>
      <c r="B214" s="25"/>
      <c r="C214" s="25"/>
      <c r="D214" s="26"/>
      <c r="E214" s="2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24"/>
      <c r="B215" s="25"/>
      <c r="C215" s="25"/>
      <c r="D215" s="26"/>
      <c r="E215" s="2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24"/>
      <c r="B216" s="25"/>
      <c r="C216" s="25"/>
      <c r="D216" s="26"/>
      <c r="E216" s="2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24"/>
      <c r="B217" s="25"/>
      <c r="C217" s="25"/>
      <c r="D217" s="26"/>
      <c r="E217" s="2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24"/>
      <c r="B218" s="25"/>
      <c r="C218" s="25"/>
      <c r="D218" s="26"/>
      <c r="E218" s="2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24"/>
      <c r="B219" s="25"/>
      <c r="C219" s="25"/>
      <c r="D219" s="26"/>
      <c r="E219" s="2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24"/>
      <c r="B220" s="25"/>
      <c r="C220" s="25"/>
      <c r="D220" s="26"/>
      <c r="E220" s="2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24"/>
      <c r="B221" s="25"/>
      <c r="C221" s="25"/>
      <c r="D221" s="26"/>
      <c r="E221" s="2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24"/>
      <c r="B222" s="25"/>
      <c r="C222" s="25"/>
      <c r="D222" s="26"/>
      <c r="E222" s="2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24"/>
      <c r="B223" s="25"/>
      <c r="C223" s="25"/>
      <c r="D223" s="26"/>
      <c r="E223" s="2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24"/>
      <c r="B224" s="25"/>
      <c r="C224" s="25"/>
      <c r="D224" s="26"/>
      <c r="E224" s="2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24"/>
      <c r="B225" s="25"/>
      <c r="C225" s="25"/>
      <c r="D225" s="26"/>
      <c r="E225" s="2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24"/>
      <c r="B226" s="25"/>
      <c r="C226" s="25"/>
      <c r="D226" s="26"/>
      <c r="E226" s="2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24"/>
      <c r="B227" s="25"/>
      <c r="C227" s="25"/>
      <c r="D227" s="26"/>
      <c r="E227" s="2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24"/>
      <c r="B228" s="25"/>
      <c r="C228" s="25"/>
      <c r="D228" s="26"/>
      <c r="E228" s="2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24"/>
      <c r="B229" s="25"/>
      <c r="C229" s="25"/>
      <c r="D229" s="26"/>
      <c r="E229" s="2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24"/>
      <c r="B230" s="25"/>
      <c r="C230" s="25"/>
      <c r="D230" s="26"/>
      <c r="E230" s="2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24"/>
      <c r="B231" s="25"/>
      <c r="C231" s="25"/>
      <c r="D231" s="26"/>
      <c r="E231" s="2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24"/>
      <c r="B232" s="25"/>
      <c r="C232" s="25"/>
      <c r="D232" s="26"/>
      <c r="E232" s="2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24"/>
      <c r="B233" s="25"/>
      <c r="C233" s="25"/>
      <c r="D233" s="26"/>
      <c r="E233" s="2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24"/>
      <c r="B234" s="25"/>
      <c r="C234" s="25"/>
      <c r="D234" s="26"/>
      <c r="E234" s="2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24"/>
      <c r="B235" s="25"/>
      <c r="C235" s="25"/>
      <c r="D235" s="26"/>
      <c r="E235" s="2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24"/>
      <c r="B236" s="25"/>
      <c r="C236" s="25"/>
      <c r="D236" s="26"/>
      <c r="E236" s="2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24"/>
      <c r="B237" s="25"/>
      <c r="C237" s="25"/>
      <c r="D237" s="26"/>
      <c r="E237" s="2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24"/>
      <c r="B238" s="25"/>
      <c r="C238" s="25"/>
      <c r="D238" s="26"/>
      <c r="E238" s="2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24"/>
      <c r="B239" s="25"/>
      <c r="C239" s="25"/>
      <c r="D239" s="26"/>
      <c r="E239" s="2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24"/>
      <c r="B240" s="25"/>
      <c r="C240" s="25"/>
      <c r="D240" s="26"/>
      <c r="E240" s="2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24"/>
      <c r="B241" s="25"/>
      <c r="C241" s="25"/>
      <c r="D241" s="26"/>
      <c r="E241" s="2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24"/>
      <c r="B242" s="25"/>
      <c r="C242" s="25"/>
      <c r="D242" s="26"/>
      <c r="E242" s="2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24"/>
      <c r="B243" s="25"/>
      <c r="C243" s="25"/>
      <c r="D243" s="26"/>
      <c r="E243" s="2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24"/>
      <c r="B244" s="25"/>
      <c r="C244" s="25"/>
      <c r="D244" s="26"/>
      <c r="E244" s="2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24"/>
      <c r="B245" s="25"/>
      <c r="C245" s="25"/>
      <c r="D245" s="26"/>
      <c r="E245" s="2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24"/>
      <c r="B246" s="25"/>
      <c r="C246" s="25"/>
      <c r="D246" s="26"/>
      <c r="E246" s="2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24"/>
      <c r="B247" s="25"/>
      <c r="C247" s="25"/>
      <c r="D247" s="26"/>
      <c r="E247" s="2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24"/>
      <c r="B248" s="25"/>
      <c r="C248" s="25"/>
      <c r="D248" s="26"/>
      <c r="E248" s="2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24"/>
      <c r="B249" s="25"/>
      <c r="C249" s="25"/>
      <c r="D249" s="26"/>
      <c r="E249" s="2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24"/>
      <c r="B250" s="25"/>
      <c r="C250" s="25"/>
      <c r="D250" s="26"/>
      <c r="E250" s="2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24"/>
      <c r="B251" s="25"/>
      <c r="C251" s="25"/>
      <c r="D251" s="26"/>
      <c r="E251" s="2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24"/>
      <c r="B252" s="25"/>
      <c r="C252" s="25"/>
      <c r="D252" s="26"/>
      <c r="E252" s="2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24"/>
      <c r="B253" s="25"/>
      <c r="C253" s="25"/>
      <c r="D253" s="26"/>
      <c r="E253" s="2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24"/>
      <c r="B254" s="25"/>
      <c r="C254" s="25"/>
      <c r="D254" s="26"/>
      <c r="E254" s="2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24"/>
      <c r="B255" s="25"/>
      <c r="C255" s="25"/>
      <c r="D255" s="26"/>
      <c r="E255" s="2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24"/>
      <c r="B256" s="25"/>
      <c r="C256" s="25"/>
      <c r="D256" s="26"/>
      <c r="E256" s="2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24"/>
      <c r="B257" s="25"/>
      <c r="C257" s="25"/>
      <c r="D257" s="26"/>
      <c r="E257" s="2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24"/>
      <c r="B258" s="25"/>
      <c r="C258" s="25"/>
      <c r="D258" s="26"/>
      <c r="E258" s="2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24"/>
      <c r="B259" s="25"/>
      <c r="C259" s="25"/>
      <c r="D259" s="26"/>
      <c r="E259" s="2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24"/>
      <c r="B260" s="25"/>
      <c r="C260" s="25"/>
      <c r="D260" s="26"/>
      <c r="E260" s="2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24"/>
      <c r="B261" s="25"/>
      <c r="C261" s="25"/>
      <c r="D261" s="26"/>
      <c r="E261" s="2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24"/>
      <c r="B262" s="25"/>
      <c r="C262" s="25"/>
      <c r="D262" s="26"/>
      <c r="E262" s="2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24"/>
      <c r="B263" s="25"/>
      <c r="C263" s="25"/>
      <c r="D263" s="26"/>
      <c r="E263" s="2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24"/>
      <c r="B264" s="25"/>
      <c r="C264" s="25"/>
      <c r="D264" s="26"/>
      <c r="E264" s="2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24"/>
      <c r="B265" s="25"/>
      <c r="C265" s="25"/>
      <c r="D265" s="26"/>
      <c r="E265" s="2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24"/>
      <c r="B266" s="25"/>
      <c r="C266" s="25"/>
      <c r="D266" s="26"/>
      <c r="E266" s="2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24"/>
      <c r="B267" s="25"/>
      <c r="C267" s="25"/>
      <c r="D267" s="26"/>
      <c r="E267" s="2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24"/>
      <c r="B268" s="25"/>
      <c r="C268" s="25"/>
      <c r="D268" s="26"/>
      <c r="E268" s="2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24"/>
      <c r="B269" s="25"/>
      <c r="C269" s="25"/>
      <c r="D269" s="26"/>
      <c r="E269" s="2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24"/>
      <c r="B270" s="25"/>
      <c r="C270" s="25"/>
      <c r="D270" s="26"/>
      <c r="E270" s="2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24"/>
      <c r="B271" s="25"/>
      <c r="C271" s="25"/>
      <c r="D271" s="26"/>
      <c r="E271" s="2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24"/>
      <c r="B272" s="25"/>
      <c r="C272" s="25"/>
      <c r="D272" s="26"/>
      <c r="E272" s="2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24"/>
      <c r="B273" s="25"/>
      <c r="C273" s="25"/>
      <c r="D273" s="26"/>
      <c r="E273" s="2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24"/>
      <c r="B274" s="25"/>
      <c r="C274" s="25"/>
      <c r="D274" s="26"/>
      <c r="E274" s="2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24"/>
      <c r="B275" s="25"/>
      <c r="C275" s="25"/>
      <c r="D275" s="26"/>
      <c r="E275" s="2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24"/>
      <c r="B276" s="25"/>
      <c r="C276" s="25"/>
      <c r="D276" s="26"/>
      <c r="E276" s="2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24"/>
      <c r="B277" s="25"/>
      <c r="C277" s="25"/>
      <c r="D277" s="26"/>
      <c r="E277" s="2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24"/>
      <c r="B278" s="25"/>
      <c r="C278" s="25"/>
      <c r="D278" s="26"/>
      <c r="E278" s="2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24"/>
      <c r="B279" s="25"/>
      <c r="C279" s="25"/>
      <c r="D279" s="26"/>
      <c r="E279" s="2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24"/>
      <c r="B280" s="25"/>
      <c r="C280" s="25"/>
      <c r="D280" s="26"/>
      <c r="E280" s="2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24"/>
      <c r="B281" s="25"/>
      <c r="C281" s="25"/>
      <c r="D281" s="26"/>
      <c r="E281" s="2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24"/>
      <c r="B282" s="25"/>
      <c r="C282" s="25"/>
      <c r="D282" s="26"/>
      <c r="E282" s="2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24"/>
      <c r="B283" s="25"/>
      <c r="C283" s="25"/>
      <c r="D283" s="26"/>
      <c r="E283" s="2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24"/>
      <c r="B284" s="25"/>
      <c r="C284" s="25"/>
      <c r="D284" s="26"/>
      <c r="E284" s="2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24"/>
      <c r="B285" s="25"/>
      <c r="C285" s="25"/>
      <c r="D285" s="26"/>
      <c r="E285" s="2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24"/>
      <c r="B286" s="25"/>
      <c r="C286" s="25"/>
      <c r="D286" s="26"/>
      <c r="E286" s="2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24"/>
      <c r="B287" s="25"/>
      <c r="C287" s="25"/>
      <c r="D287" s="26"/>
      <c r="E287" s="2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24"/>
      <c r="B288" s="25"/>
      <c r="C288" s="25"/>
      <c r="D288" s="26"/>
      <c r="E288" s="2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24"/>
      <c r="B289" s="25"/>
      <c r="C289" s="25"/>
      <c r="D289" s="26"/>
      <c r="E289" s="2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24"/>
      <c r="B290" s="25"/>
      <c r="C290" s="25"/>
      <c r="D290" s="26"/>
      <c r="E290" s="2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24"/>
      <c r="B291" s="25"/>
      <c r="C291" s="25"/>
      <c r="D291" s="26"/>
      <c r="E291" s="2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24"/>
      <c r="B292" s="25"/>
      <c r="C292" s="25"/>
      <c r="D292" s="26"/>
      <c r="E292" s="2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24"/>
      <c r="B293" s="25"/>
      <c r="C293" s="25"/>
      <c r="D293" s="26"/>
      <c r="E293" s="2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24"/>
      <c r="B294" s="25"/>
      <c r="C294" s="25"/>
      <c r="D294" s="26"/>
      <c r="E294" s="2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24"/>
      <c r="B295" s="25"/>
      <c r="C295" s="25"/>
      <c r="D295" s="26"/>
      <c r="E295" s="2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24"/>
      <c r="B296" s="25"/>
      <c r="C296" s="25"/>
      <c r="D296" s="26"/>
      <c r="E296" s="2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24"/>
      <c r="B297" s="25"/>
      <c r="C297" s="25"/>
      <c r="D297" s="26"/>
      <c r="E297" s="2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24"/>
      <c r="B298" s="25"/>
      <c r="C298" s="25"/>
      <c r="D298" s="26"/>
      <c r="E298" s="2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24"/>
      <c r="B299" s="25"/>
      <c r="C299" s="25"/>
      <c r="D299" s="26"/>
      <c r="E299" s="2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24"/>
      <c r="B300" s="25"/>
      <c r="C300" s="25"/>
      <c r="D300" s="26"/>
      <c r="E300" s="2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24"/>
      <c r="B301" s="25"/>
      <c r="C301" s="25"/>
      <c r="D301" s="26"/>
      <c r="E301" s="2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24"/>
      <c r="B302" s="25"/>
      <c r="C302" s="25"/>
      <c r="D302" s="26"/>
      <c r="E302" s="2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24"/>
      <c r="B303" s="25"/>
      <c r="C303" s="25"/>
      <c r="D303" s="26"/>
      <c r="E303" s="2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24"/>
      <c r="B304" s="25"/>
      <c r="C304" s="25"/>
      <c r="D304" s="26"/>
      <c r="E304" s="2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24"/>
      <c r="B305" s="25"/>
      <c r="C305" s="25"/>
      <c r="D305" s="26"/>
      <c r="E305" s="2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24"/>
      <c r="B306" s="25"/>
      <c r="C306" s="25"/>
      <c r="D306" s="26"/>
      <c r="E306" s="2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24"/>
      <c r="B307" s="25"/>
      <c r="C307" s="25"/>
      <c r="D307" s="26"/>
      <c r="E307" s="2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24"/>
      <c r="B308" s="25"/>
      <c r="C308" s="25"/>
      <c r="D308" s="26"/>
      <c r="E308" s="2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24"/>
      <c r="B309" s="25"/>
      <c r="C309" s="25"/>
      <c r="D309" s="26"/>
      <c r="E309" s="2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24"/>
      <c r="B310" s="25"/>
      <c r="C310" s="25"/>
      <c r="D310" s="26"/>
      <c r="E310" s="2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24"/>
      <c r="B311" s="25"/>
      <c r="C311" s="25"/>
      <c r="D311" s="26"/>
      <c r="E311" s="2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24"/>
      <c r="B312" s="25"/>
      <c r="C312" s="25"/>
      <c r="D312" s="26"/>
      <c r="E312" s="2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24"/>
      <c r="B313" s="25"/>
      <c r="C313" s="25"/>
      <c r="D313" s="26"/>
      <c r="E313" s="2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24"/>
      <c r="B314" s="25"/>
      <c r="C314" s="25"/>
      <c r="D314" s="26"/>
      <c r="E314" s="2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24"/>
      <c r="B315" s="25"/>
      <c r="C315" s="25"/>
      <c r="D315" s="26"/>
      <c r="E315" s="2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24"/>
      <c r="B316" s="25"/>
      <c r="C316" s="25"/>
      <c r="D316" s="26"/>
      <c r="E316" s="2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24"/>
      <c r="B317" s="25"/>
      <c r="C317" s="25"/>
      <c r="D317" s="26"/>
      <c r="E317" s="2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24"/>
      <c r="B318" s="25"/>
      <c r="C318" s="25"/>
      <c r="D318" s="26"/>
      <c r="E318" s="2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24"/>
      <c r="B319" s="25"/>
      <c r="C319" s="25"/>
      <c r="D319" s="26"/>
      <c r="E319" s="2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24"/>
      <c r="B320" s="25"/>
      <c r="C320" s="25"/>
      <c r="D320" s="26"/>
      <c r="E320" s="2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24"/>
      <c r="B321" s="25"/>
      <c r="C321" s="25"/>
      <c r="D321" s="26"/>
      <c r="E321" s="2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24"/>
      <c r="B322" s="25"/>
      <c r="C322" s="25"/>
      <c r="D322" s="26"/>
      <c r="E322" s="2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24"/>
      <c r="B323" s="25"/>
      <c r="C323" s="25"/>
      <c r="D323" s="26"/>
      <c r="E323" s="2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24"/>
      <c r="B324" s="25"/>
      <c r="C324" s="25"/>
      <c r="D324" s="26"/>
      <c r="E324" s="2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24"/>
      <c r="B325" s="25"/>
      <c r="C325" s="25"/>
      <c r="D325" s="26"/>
      <c r="E325" s="2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24"/>
      <c r="B326" s="25"/>
      <c r="C326" s="25"/>
      <c r="D326" s="26"/>
      <c r="E326" s="2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24"/>
      <c r="B327" s="25"/>
      <c r="C327" s="25"/>
      <c r="D327" s="26"/>
      <c r="E327" s="2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24"/>
      <c r="B328" s="25"/>
      <c r="C328" s="25"/>
      <c r="D328" s="26"/>
      <c r="E328" s="2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24"/>
      <c r="B329" s="25"/>
      <c r="C329" s="25"/>
      <c r="D329" s="26"/>
      <c r="E329" s="2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24"/>
      <c r="B330" s="25"/>
      <c r="C330" s="25"/>
      <c r="D330" s="26"/>
      <c r="E330" s="2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24"/>
      <c r="B331" s="25"/>
      <c r="C331" s="25"/>
      <c r="D331" s="26"/>
      <c r="E331" s="2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24"/>
      <c r="B332" s="25"/>
      <c r="C332" s="25"/>
      <c r="D332" s="26"/>
      <c r="E332" s="2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24"/>
      <c r="B333" s="25"/>
      <c r="C333" s="25"/>
      <c r="D333" s="26"/>
      <c r="E333" s="2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24"/>
      <c r="B334" s="25"/>
      <c r="C334" s="25"/>
      <c r="D334" s="26"/>
      <c r="E334" s="2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24"/>
      <c r="B335" s="25"/>
      <c r="C335" s="25"/>
      <c r="D335" s="26"/>
      <c r="E335" s="2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24"/>
      <c r="B336" s="25"/>
      <c r="C336" s="25"/>
      <c r="D336" s="26"/>
      <c r="E336" s="2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24"/>
      <c r="B337" s="25"/>
      <c r="C337" s="25"/>
      <c r="D337" s="26"/>
      <c r="E337" s="2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24"/>
      <c r="B338" s="25"/>
      <c r="C338" s="25"/>
      <c r="D338" s="26"/>
      <c r="E338" s="2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24"/>
      <c r="B339" s="25"/>
      <c r="C339" s="25"/>
      <c r="D339" s="26"/>
      <c r="E339" s="2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24"/>
      <c r="B340" s="25"/>
      <c r="C340" s="25"/>
      <c r="D340" s="26"/>
      <c r="E340" s="2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24"/>
      <c r="B341" s="25"/>
      <c r="C341" s="25"/>
      <c r="D341" s="26"/>
      <c r="E341" s="2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24"/>
      <c r="B342" s="25"/>
      <c r="C342" s="25"/>
      <c r="D342" s="26"/>
      <c r="E342" s="2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24"/>
      <c r="B343" s="25"/>
      <c r="C343" s="25"/>
      <c r="D343" s="26"/>
      <c r="E343" s="2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24"/>
      <c r="B344" s="25"/>
      <c r="C344" s="25"/>
      <c r="D344" s="26"/>
      <c r="E344" s="2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24"/>
      <c r="B345" s="25"/>
      <c r="C345" s="25"/>
      <c r="D345" s="26"/>
      <c r="E345" s="2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24"/>
      <c r="B346" s="25"/>
      <c r="C346" s="25"/>
      <c r="D346" s="26"/>
      <c r="E346" s="2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24"/>
      <c r="B347" s="25"/>
      <c r="C347" s="25"/>
      <c r="D347" s="26"/>
      <c r="E347" s="2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24"/>
      <c r="B348" s="25"/>
      <c r="C348" s="25"/>
      <c r="D348" s="26"/>
      <c r="E348" s="2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24"/>
      <c r="B349" s="25"/>
      <c r="C349" s="25"/>
      <c r="D349" s="26"/>
      <c r="E349" s="2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24"/>
      <c r="B350" s="25"/>
      <c r="C350" s="25"/>
      <c r="D350" s="26"/>
      <c r="E350" s="2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24"/>
      <c r="B351" s="25"/>
      <c r="C351" s="25"/>
      <c r="D351" s="26"/>
      <c r="E351" s="2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24"/>
      <c r="B352" s="25"/>
      <c r="C352" s="25"/>
      <c r="D352" s="26"/>
      <c r="E352" s="2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24"/>
      <c r="B353" s="25"/>
      <c r="C353" s="25"/>
      <c r="D353" s="26"/>
      <c r="E353" s="2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24"/>
      <c r="B354" s="25"/>
      <c r="C354" s="25"/>
      <c r="D354" s="26"/>
      <c r="E354" s="2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24"/>
      <c r="B355" s="25"/>
      <c r="C355" s="25"/>
      <c r="D355" s="26"/>
      <c r="E355" s="2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24"/>
      <c r="B356" s="25"/>
      <c r="C356" s="25"/>
      <c r="D356" s="26"/>
      <c r="E356" s="2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24"/>
      <c r="B357" s="25"/>
      <c r="C357" s="25"/>
      <c r="D357" s="26"/>
      <c r="E357" s="2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24"/>
      <c r="B358" s="25"/>
      <c r="C358" s="25"/>
      <c r="D358" s="26"/>
      <c r="E358" s="2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24"/>
      <c r="B359" s="25"/>
      <c r="C359" s="25"/>
      <c r="D359" s="26"/>
      <c r="E359" s="2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24"/>
      <c r="B360" s="25"/>
      <c r="C360" s="25"/>
      <c r="D360" s="26"/>
      <c r="E360" s="2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24"/>
      <c r="B361" s="25"/>
      <c r="C361" s="25"/>
      <c r="D361" s="26"/>
      <c r="E361" s="2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24"/>
      <c r="B362" s="25"/>
      <c r="C362" s="25"/>
      <c r="D362" s="26"/>
      <c r="E362" s="2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24"/>
      <c r="B363" s="25"/>
      <c r="C363" s="25"/>
      <c r="D363" s="26"/>
      <c r="E363" s="2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24"/>
      <c r="B364" s="25"/>
      <c r="C364" s="25"/>
      <c r="D364" s="26"/>
      <c r="E364" s="2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24"/>
      <c r="B365" s="25"/>
      <c r="C365" s="25"/>
      <c r="D365" s="26"/>
      <c r="E365" s="2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24"/>
      <c r="B366" s="25"/>
      <c r="C366" s="25"/>
      <c r="D366" s="26"/>
      <c r="E366" s="2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24"/>
      <c r="B367" s="25"/>
      <c r="C367" s="25"/>
      <c r="D367" s="26"/>
      <c r="E367" s="2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24"/>
      <c r="B368" s="25"/>
      <c r="C368" s="25"/>
      <c r="D368" s="26"/>
      <c r="E368" s="2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24"/>
      <c r="B369" s="25"/>
      <c r="C369" s="25"/>
      <c r="D369" s="26"/>
      <c r="E369" s="2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24"/>
      <c r="B370" s="25"/>
      <c r="C370" s="25"/>
      <c r="D370" s="26"/>
      <c r="E370" s="2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24"/>
      <c r="B371" s="25"/>
      <c r="C371" s="25"/>
      <c r="D371" s="26"/>
      <c r="E371" s="2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24"/>
      <c r="B372" s="25"/>
      <c r="C372" s="25"/>
      <c r="D372" s="26"/>
      <c r="E372" s="2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24"/>
      <c r="B373" s="25"/>
      <c r="C373" s="25"/>
      <c r="D373" s="26"/>
      <c r="E373" s="2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24"/>
      <c r="B374" s="25"/>
      <c r="C374" s="25"/>
      <c r="D374" s="26"/>
      <c r="E374" s="2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24"/>
      <c r="B375" s="25"/>
      <c r="C375" s="25"/>
      <c r="D375" s="26"/>
      <c r="E375" s="2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24"/>
      <c r="B376" s="25"/>
      <c r="C376" s="25"/>
      <c r="D376" s="26"/>
      <c r="E376" s="2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24"/>
      <c r="B377" s="25"/>
      <c r="C377" s="25"/>
      <c r="D377" s="26"/>
      <c r="E377" s="2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24"/>
      <c r="B378" s="25"/>
      <c r="C378" s="25"/>
      <c r="D378" s="26"/>
      <c r="E378" s="2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24"/>
      <c r="B379" s="25"/>
      <c r="C379" s="25"/>
      <c r="D379" s="26"/>
      <c r="E379" s="2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24"/>
      <c r="B380" s="25"/>
      <c r="C380" s="25"/>
      <c r="D380" s="26"/>
      <c r="E380" s="2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24"/>
      <c r="B381" s="25"/>
      <c r="C381" s="25"/>
      <c r="D381" s="26"/>
      <c r="E381" s="2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24"/>
      <c r="B382" s="25"/>
      <c r="C382" s="25"/>
      <c r="D382" s="26"/>
      <c r="E382" s="2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24"/>
      <c r="B383" s="25"/>
      <c r="C383" s="25"/>
      <c r="D383" s="26"/>
      <c r="E383" s="2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24"/>
      <c r="B384" s="25"/>
      <c r="C384" s="25"/>
      <c r="D384" s="26"/>
      <c r="E384" s="2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24"/>
      <c r="B385" s="25"/>
      <c r="C385" s="25"/>
      <c r="D385" s="26"/>
      <c r="E385" s="2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24"/>
      <c r="B386" s="25"/>
      <c r="C386" s="25"/>
      <c r="D386" s="26"/>
      <c r="E386" s="2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24"/>
      <c r="B387" s="25"/>
      <c r="C387" s="25"/>
      <c r="D387" s="26"/>
      <c r="E387" s="2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24"/>
      <c r="B388" s="25"/>
      <c r="C388" s="25"/>
      <c r="D388" s="26"/>
      <c r="E388" s="2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24"/>
      <c r="B389" s="25"/>
      <c r="C389" s="25"/>
      <c r="D389" s="26"/>
      <c r="E389" s="2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24"/>
      <c r="B390" s="25"/>
      <c r="C390" s="25"/>
      <c r="D390" s="26"/>
      <c r="E390" s="2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24"/>
      <c r="B391" s="25"/>
      <c r="C391" s="25"/>
      <c r="D391" s="26"/>
      <c r="E391" s="2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24"/>
      <c r="B392" s="25"/>
      <c r="C392" s="25"/>
      <c r="D392" s="26"/>
      <c r="E392" s="2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24"/>
      <c r="B393" s="25"/>
      <c r="C393" s="25"/>
      <c r="D393" s="26"/>
      <c r="E393" s="2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24"/>
      <c r="B394" s="25"/>
      <c r="C394" s="25"/>
      <c r="D394" s="26"/>
      <c r="E394" s="2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24"/>
      <c r="B395" s="25"/>
      <c r="C395" s="25"/>
      <c r="D395" s="26"/>
      <c r="E395" s="2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24"/>
      <c r="B396" s="25"/>
      <c r="C396" s="25"/>
      <c r="D396" s="26"/>
      <c r="E396" s="2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24"/>
      <c r="B397" s="25"/>
      <c r="C397" s="25"/>
      <c r="D397" s="26"/>
      <c r="E397" s="2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24"/>
      <c r="B398" s="25"/>
      <c r="C398" s="25"/>
      <c r="D398" s="26"/>
      <c r="E398" s="2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24"/>
      <c r="B399" s="25"/>
      <c r="C399" s="25"/>
      <c r="D399" s="26"/>
      <c r="E399" s="2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24"/>
      <c r="B400" s="25"/>
      <c r="C400" s="25"/>
      <c r="D400" s="26"/>
      <c r="E400" s="2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24"/>
      <c r="B401" s="25"/>
      <c r="C401" s="25"/>
      <c r="D401" s="26"/>
      <c r="E401" s="2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24"/>
      <c r="B402" s="25"/>
      <c r="C402" s="25"/>
      <c r="D402" s="26"/>
      <c r="E402" s="2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24"/>
      <c r="B403" s="25"/>
      <c r="C403" s="25"/>
      <c r="D403" s="26"/>
      <c r="E403" s="2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24"/>
      <c r="B404" s="25"/>
      <c r="C404" s="25"/>
      <c r="D404" s="26"/>
      <c r="E404" s="2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24"/>
      <c r="B405" s="25"/>
      <c r="C405" s="25"/>
      <c r="D405" s="26"/>
      <c r="E405" s="2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24"/>
      <c r="B406" s="25"/>
      <c r="C406" s="25"/>
      <c r="D406" s="26"/>
      <c r="E406" s="2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24"/>
      <c r="B407" s="25"/>
      <c r="C407" s="25"/>
      <c r="D407" s="26"/>
      <c r="E407" s="2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24"/>
      <c r="B408" s="25"/>
      <c r="C408" s="25"/>
      <c r="D408" s="26"/>
      <c r="E408" s="2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24"/>
      <c r="B409" s="25"/>
      <c r="C409" s="25"/>
      <c r="D409" s="26"/>
      <c r="E409" s="2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24"/>
      <c r="B410" s="25"/>
      <c r="C410" s="25"/>
      <c r="D410" s="26"/>
      <c r="E410" s="2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24"/>
      <c r="B411" s="25"/>
      <c r="C411" s="25"/>
      <c r="D411" s="26"/>
      <c r="E411" s="2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24"/>
      <c r="B412" s="25"/>
      <c r="C412" s="25"/>
      <c r="D412" s="26"/>
      <c r="E412" s="2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24"/>
      <c r="B413" s="25"/>
      <c r="C413" s="25"/>
      <c r="D413" s="26"/>
      <c r="E413" s="2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24"/>
      <c r="B414" s="25"/>
      <c r="C414" s="25"/>
      <c r="D414" s="26"/>
      <c r="E414" s="2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24"/>
      <c r="B415" s="25"/>
      <c r="C415" s="25"/>
      <c r="D415" s="26"/>
      <c r="E415" s="2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24"/>
      <c r="B416" s="25"/>
      <c r="C416" s="25"/>
      <c r="D416" s="26"/>
      <c r="E416" s="2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24"/>
      <c r="B417" s="25"/>
      <c r="C417" s="25"/>
      <c r="D417" s="26"/>
      <c r="E417" s="2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24"/>
      <c r="B418" s="25"/>
      <c r="C418" s="25"/>
      <c r="D418" s="26"/>
      <c r="E418" s="2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24"/>
      <c r="B419" s="25"/>
      <c r="C419" s="25"/>
      <c r="D419" s="26"/>
      <c r="E419" s="2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24"/>
      <c r="B420" s="25"/>
      <c r="C420" s="25"/>
      <c r="D420" s="26"/>
      <c r="E420" s="2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24"/>
      <c r="B421" s="25"/>
      <c r="C421" s="25"/>
      <c r="D421" s="26"/>
      <c r="E421" s="2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24"/>
      <c r="B422" s="25"/>
      <c r="C422" s="25"/>
      <c r="D422" s="26"/>
      <c r="E422" s="2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24"/>
      <c r="B423" s="25"/>
      <c r="C423" s="25"/>
      <c r="D423" s="26"/>
      <c r="E423" s="2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24"/>
      <c r="B424" s="25"/>
      <c r="C424" s="25"/>
      <c r="D424" s="26"/>
      <c r="E424" s="2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24"/>
      <c r="B425" s="25"/>
      <c r="C425" s="25"/>
      <c r="D425" s="26"/>
      <c r="E425" s="2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24"/>
      <c r="B426" s="25"/>
      <c r="C426" s="25"/>
      <c r="D426" s="26"/>
      <c r="E426" s="2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24"/>
      <c r="B427" s="25"/>
      <c r="C427" s="25"/>
      <c r="D427" s="26"/>
      <c r="E427" s="2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24"/>
      <c r="B428" s="25"/>
      <c r="C428" s="25"/>
      <c r="D428" s="26"/>
      <c r="E428" s="2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24"/>
      <c r="B429" s="25"/>
      <c r="C429" s="25"/>
      <c r="D429" s="26"/>
      <c r="E429" s="2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24"/>
      <c r="B430" s="25"/>
      <c r="C430" s="25"/>
      <c r="D430" s="26"/>
      <c r="E430" s="2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24"/>
      <c r="B431" s="25"/>
      <c r="C431" s="25"/>
      <c r="D431" s="26"/>
      <c r="E431" s="2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24"/>
      <c r="B432" s="25"/>
      <c r="C432" s="25"/>
      <c r="D432" s="26"/>
      <c r="E432" s="2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24"/>
      <c r="B433" s="25"/>
      <c r="C433" s="25"/>
      <c r="D433" s="26"/>
      <c r="E433" s="2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24"/>
      <c r="B434" s="25"/>
      <c r="C434" s="25"/>
      <c r="D434" s="26"/>
      <c r="E434" s="2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24"/>
      <c r="B435" s="25"/>
      <c r="C435" s="25"/>
      <c r="D435" s="26"/>
      <c r="E435" s="2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24"/>
      <c r="B436" s="25"/>
      <c r="C436" s="25"/>
      <c r="D436" s="26"/>
      <c r="E436" s="2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24"/>
      <c r="B437" s="25"/>
      <c r="C437" s="25"/>
      <c r="D437" s="26"/>
      <c r="E437" s="2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24"/>
      <c r="B438" s="25"/>
      <c r="C438" s="25"/>
      <c r="D438" s="26"/>
      <c r="E438" s="2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24"/>
      <c r="B439" s="25"/>
      <c r="C439" s="25"/>
      <c r="D439" s="26"/>
      <c r="E439" s="2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24"/>
      <c r="B440" s="25"/>
      <c r="C440" s="25"/>
      <c r="D440" s="26"/>
      <c r="E440" s="2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24"/>
      <c r="B441" s="25"/>
      <c r="C441" s="25"/>
      <c r="D441" s="26"/>
      <c r="E441" s="2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24"/>
      <c r="B442" s="25"/>
      <c r="C442" s="25"/>
      <c r="D442" s="26"/>
      <c r="E442" s="2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24"/>
      <c r="B443" s="25"/>
      <c r="C443" s="25"/>
      <c r="D443" s="26"/>
      <c r="E443" s="2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24"/>
      <c r="B444" s="25"/>
      <c r="C444" s="25"/>
      <c r="D444" s="26"/>
      <c r="E444" s="2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24"/>
      <c r="B445" s="25"/>
      <c r="C445" s="25"/>
      <c r="D445" s="26"/>
      <c r="E445" s="2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24"/>
      <c r="B446" s="25"/>
      <c r="C446" s="25"/>
      <c r="D446" s="26"/>
      <c r="E446" s="2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24"/>
      <c r="B447" s="25"/>
      <c r="C447" s="25"/>
      <c r="D447" s="26"/>
      <c r="E447" s="2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24"/>
      <c r="B448" s="25"/>
      <c r="C448" s="25"/>
      <c r="D448" s="26"/>
      <c r="E448" s="2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24"/>
      <c r="B449" s="25"/>
      <c r="C449" s="25"/>
      <c r="D449" s="26"/>
      <c r="E449" s="2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24"/>
      <c r="B450" s="25"/>
      <c r="C450" s="25"/>
      <c r="D450" s="26"/>
      <c r="E450" s="2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24"/>
      <c r="B451" s="25"/>
      <c r="C451" s="25"/>
      <c r="D451" s="26"/>
      <c r="E451" s="2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24"/>
      <c r="B452" s="25"/>
      <c r="C452" s="25"/>
      <c r="D452" s="26"/>
      <c r="E452" s="2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24"/>
      <c r="B453" s="25"/>
      <c r="C453" s="25"/>
      <c r="D453" s="26"/>
      <c r="E453" s="2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24"/>
      <c r="B454" s="25"/>
      <c r="C454" s="25"/>
      <c r="D454" s="26"/>
      <c r="E454" s="2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24"/>
      <c r="B455" s="25"/>
      <c r="C455" s="25"/>
      <c r="D455" s="26"/>
      <c r="E455" s="2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24"/>
      <c r="B456" s="25"/>
      <c r="C456" s="25"/>
      <c r="D456" s="26"/>
      <c r="E456" s="2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24"/>
      <c r="B457" s="25"/>
      <c r="C457" s="25"/>
      <c r="D457" s="26"/>
      <c r="E457" s="2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24"/>
      <c r="B458" s="25"/>
      <c r="C458" s="25"/>
      <c r="D458" s="26"/>
      <c r="E458" s="2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24"/>
      <c r="B459" s="25"/>
      <c r="C459" s="25"/>
      <c r="D459" s="26"/>
      <c r="E459" s="2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24"/>
      <c r="B460" s="25"/>
      <c r="C460" s="25"/>
      <c r="D460" s="26"/>
      <c r="E460" s="2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24"/>
      <c r="B461" s="25"/>
      <c r="C461" s="25"/>
      <c r="D461" s="26"/>
      <c r="E461" s="2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24"/>
      <c r="B462" s="25"/>
      <c r="C462" s="25"/>
      <c r="D462" s="26"/>
      <c r="E462" s="2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24"/>
      <c r="B463" s="25"/>
      <c r="C463" s="25"/>
      <c r="D463" s="26"/>
      <c r="E463" s="2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24"/>
      <c r="B464" s="25"/>
      <c r="C464" s="25"/>
      <c r="D464" s="26"/>
      <c r="E464" s="2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24"/>
      <c r="B465" s="25"/>
      <c r="C465" s="25"/>
      <c r="D465" s="26"/>
      <c r="E465" s="2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24"/>
      <c r="B466" s="25"/>
      <c r="C466" s="25"/>
      <c r="D466" s="26"/>
      <c r="E466" s="2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24"/>
      <c r="B467" s="25"/>
      <c r="C467" s="25"/>
      <c r="D467" s="26"/>
      <c r="E467" s="2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24"/>
      <c r="B468" s="25"/>
      <c r="C468" s="25"/>
      <c r="D468" s="26"/>
      <c r="E468" s="2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24"/>
      <c r="B469" s="25"/>
      <c r="C469" s="25"/>
      <c r="D469" s="26"/>
      <c r="E469" s="2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24"/>
      <c r="B470" s="25"/>
      <c r="C470" s="25"/>
      <c r="D470" s="26"/>
      <c r="E470" s="2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24"/>
      <c r="B471" s="25"/>
      <c r="C471" s="25"/>
      <c r="D471" s="26"/>
      <c r="E471" s="2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24"/>
      <c r="B472" s="25"/>
      <c r="C472" s="25"/>
      <c r="D472" s="26"/>
      <c r="E472" s="2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24"/>
      <c r="B473" s="25"/>
      <c r="C473" s="25"/>
      <c r="D473" s="26"/>
      <c r="E473" s="2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24"/>
      <c r="B474" s="25"/>
      <c r="C474" s="25"/>
      <c r="D474" s="26"/>
      <c r="E474" s="2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24"/>
      <c r="B475" s="25"/>
      <c r="C475" s="25"/>
      <c r="D475" s="26"/>
      <c r="E475" s="2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24"/>
      <c r="B476" s="25"/>
      <c r="C476" s="25"/>
      <c r="D476" s="26"/>
      <c r="E476" s="2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24"/>
      <c r="B477" s="25"/>
      <c r="C477" s="25"/>
      <c r="D477" s="26"/>
      <c r="E477" s="2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24"/>
      <c r="B478" s="25"/>
      <c r="C478" s="25"/>
      <c r="D478" s="26"/>
      <c r="E478" s="2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24"/>
      <c r="B479" s="25"/>
      <c r="C479" s="25"/>
      <c r="D479" s="26"/>
      <c r="E479" s="2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24"/>
      <c r="B480" s="25"/>
      <c r="C480" s="25"/>
      <c r="D480" s="26"/>
      <c r="E480" s="2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24"/>
      <c r="B481" s="25"/>
      <c r="C481" s="25"/>
      <c r="D481" s="26"/>
      <c r="E481" s="2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24"/>
      <c r="B482" s="25"/>
      <c r="C482" s="25"/>
      <c r="D482" s="26"/>
      <c r="E482" s="2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24"/>
      <c r="B483" s="25"/>
      <c r="C483" s="25"/>
      <c r="D483" s="26"/>
      <c r="E483" s="2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24"/>
      <c r="B484" s="25"/>
      <c r="C484" s="25"/>
      <c r="D484" s="26"/>
      <c r="E484" s="2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24"/>
      <c r="B485" s="25"/>
      <c r="C485" s="25"/>
      <c r="D485" s="26"/>
      <c r="E485" s="2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24"/>
      <c r="B486" s="25"/>
      <c r="C486" s="25"/>
      <c r="D486" s="26"/>
      <c r="E486" s="2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24"/>
      <c r="B487" s="25"/>
      <c r="C487" s="25"/>
      <c r="D487" s="26"/>
      <c r="E487" s="2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24"/>
      <c r="B488" s="25"/>
      <c r="C488" s="25"/>
      <c r="D488" s="26"/>
      <c r="E488" s="2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24"/>
      <c r="B489" s="25"/>
      <c r="C489" s="25"/>
      <c r="D489" s="26"/>
      <c r="E489" s="2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24"/>
      <c r="B490" s="25"/>
      <c r="C490" s="25"/>
      <c r="D490" s="26"/>
      <c r="E490" s="2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24"/>
      <c r="B491" s="25"/>
      <c r="C491" s="25"/>
      <c r="D491" s="26"/>
      <c r="E491" s="2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24"/>
      <c r="B492" s="25"/>
      <c r="C492" s="25"/>
      <c r="D492" s="26"/>
      <c r="E492" s="2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24"/>
      <c r="B493" s="25"/>
      <c r="C493" s="25"/>
      <c r="D493" s="26"/>
      <c r="E493" s="2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24"/>
      <c r="B494" s="25"/>
      <c r="C494" s="25"/>
      <c r="D494" s="26"/>
      <c r="E494" s="2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24"/>
      <c r="B495" s="25"/>
      <c r="C495" s="25"/>
      <c r="D495" s="26"/>
      <c r="E495" s="2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24"/>
      <c r="B496" s="25"/>
      <c r="C496" s="25"/>
      <c r="D496" s="26"/>
      <c r="E496" s="2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24"/>
      <c r="B497" s="25"/>
      <c r="C497" s="25"/>
      <c r="D497" s="26"/>
      <c r="E497" s="2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24"/>
      <c r="B498" s="25"/>
      <c r="C498" s="25"/>
      <c r="D498" s="26"/>
      <c r="E498" s="2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24"/>
      <c r="B499" s="25"/>
      <c r="C499" s="25"/>
      <c r="D499" s="26"/>
      <c r="E499" s="2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24"/>
      <c r="B500" s="25"/>
      <c r="C500" s="25"/>
      <c r="D500" s="26"/>
      <c r="E500" s="2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24"/>
      <c r="B501" s="25"/>
      <c r="C501" s="25"/>
      <c r="D501" s="26"/>
      <c r="E501" s="2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24"/>
      <c r="B502" s="25"/>
      <c r="C502" s="25"/>
      <c r="D502" s="26"/>
      <c r="E502" s="2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24"/>
      <c r="B503" s="25"/>
      <c r="C503" s="25"/>
      <c r="D503" s="26"/>
      <c r="E503" s="2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24"/>
      <c r="B504" s="25"/>
      <c r="C504" s="25"/>
      <c r="D504" s="26"/>
      <c r="E504" s="2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24"/>
      <c r="B505" s="25"/>
      <c r="C505" s="25"/>
      <c r="D505" s="26"/>
      <c r="E505" s="2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24"/>
      <c r="B506" s="25"/>
      <c r="C506" s="25"/>
      <c r="D506" s="26"/>
      <c r="E506" s="2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24"/>
      <c r="B507" s="25"/>
      <c r="C507" s="25"/>
      <c r="D507" s="26"/>
      <c r="E507" s="2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24"/>
      <c r="B508" s="25"/>
      <c r="C508" s="25"/>
      <c r="D508" s="26"/>
      <c r="E508" s="2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24"/>
      <c r="B509" s="25"/>
      <c r="C509" s="25"/>
      <c r="D509" s="26"/>
      <c r="E509" s="2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24"/>
      <c r="B510" s="25"/>
      <c r="C510" s="25"/>
      <c r="D510" s="26"/>
      <c r="E510" s="2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24"/>
      <c r="B511" s="25"/>
      <c r="C511" s="25"/>
      <c r="D511" s="26"/>
      <c r="E511" s="2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24"/>
      <c r="B512" s="25"/>
      <c r="C512" s="25"/>
      <c r="D512" s="26"/>
      <c r="E512" s="2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24"/>
      <c r="B513" s="25"/>
      <c r="C513" s="25"/>
      <c r="D513" s="26"/>
      <c r="E513" s="2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24"/>
      <c r="B514" s="25"/>
      <c r="C514" s="25"/>
      <c r="D514" s="26"/>
      <c r="E514" s="2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24"/>
      <c r="B515" s="25"/>
      <c r="C515" s="25"/>
      <c r="D515" s="26"/>
      <c r="E515" s="2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24"/>
      <c r="B516" s="25"/>
      <c r="C516" s="25"/>
      <c r="D516" s="26"/>
      <c r="E516" s="2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24"/>
      <c r="B517" s="25"/>
      <c r="C517" s="25"/>
      <c r="D517" s="26"/>
      <c r="E517" s="2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24"/>
      <c r="B518" s="25"/>
      <c r="C518" s="25"/>
      <c r="D518" s="26"/>
      <c r="E518" s="2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24"/>
      <c r="B519" s="25"/>
      <c r="C519" s="25"/>
      <c r="D519" s="26"/>
      <c r="E519" s="2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24"/>
      <c r="B520" s="25"/>
      <c r="C520" s="25"/>
      <c r="D520" s="26"/>
      <c r="E520" s="2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24"/>
      <c r="B521" s="25"/>
      <c r="C521" s="25"/>
      <c r="D521" s="26"/>
      <c r="E521" s="2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24"/>
      <c r="B522" s="25"/>
      <c r="C522" s="25"/>
      <c r="D522" s="26"/>
      <c r="E522" s="2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24"/>
      <c r="B523" s="25"/>
      <c r="C523" s="25"/>
      <c r="D523" s="26"/>
      <c r="E523" s="2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24"/>
      <c r="B524" s="25"/>
      <c r="C524" s="25"/>
      <c r="D524" s="26"/>
      <c r="E524" s="2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24"/>
      <c r="B525" s="25"/>
      <c r="C525" s="25"/>
      <c r="D525" s="26"/>
      <c r="E525" s="2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24"/>
      <c r="B526" s="25"/>
      <c r="C526" s="25"/>
      <c r="D526" s="26"/>
      <c r="E526" s="2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24"/>
      <c r="B527" s="25"/>
      <c r="C527" s="25"/>
      <c r="D527" s="26"/>
      <c r="E527" s="2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24"/>
      <c r="B528" s="25"/>
      <c r="C528" s="25"/>
      <c r="D528" s="26"/>
      <c r="E528" s="2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24"/>
      <c r="B529" s="25"/>
      <c r="C529" s="25"/>
      <c r="D529" s="26"/>
      <c r="E529" s="2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24"/>
      <c r="B530" s="25"/>
      <c r="C530" s="25"/>
      <c r="D530" s="26"/>
      <c r="E530" s="2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24"/>
      <c r="B531" s="25"/>
      <c r="C531" s="25"/>
      <c r="D531" s="26"/>
      <c r="E531" s="2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24"/>
      <c r="B532" s="25"/>
      <c r="C532" s="25"/>
      <c r="D532" s="26"/>
      <c r="E532" s="2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24"/>
      <c r="B533" s="25"/>
      <c r="C533" s="25"/>
      <c r="D533" s="26"/>
      <c r="E533" s="2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24"/>
      <c r="B534" s="25"/>
      <c r="C534" s="25"/>
      <c r="D534" s="26"/>
      <c r="E534" s="2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24"/>
      <c r="B535" s="25"/>
      <c r="C535" s="25"/>
      <c r="D535" s="26"/>
      <c r="E535" s="2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24"/>
      <c r="B536" s="25"/>
      <c r="C536" s="25"/>
      <c r="D536" s="26"/>
      <c r="E536" s="2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24"/>
      <c r="B537" s="25"/>
      <c r="C537" s="25"/>
      <c r="D537" s="26"/>
      <c r="E537" s="2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24"/>
      <c r="B538" s="25"/>
      <c r="C538" s="25"/>
      <c r="D538" s="26"/>
      <c r="E538" s="2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24"/>
      <c r="B539" s="25"/>
      <c r="C539" s="25"/>
      <c r="D539" s="26"/>
      <c r="E539" s="2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24"/>
      <c r="B540" s="25"/>
      <c r="C540" s="25"/>
      <c r="D540" s="26"/>
      <c r="E540" s="2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24"/>
      <c r="B541" s="25"/>
      <c r="C541" s="25"/>
      <c r="D541" s="26"/>
      <c r="E541" s="2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24"/>
      <c r="B542" s="25"/>
      <c r="C542" s="25"/>
      <c r="D542" s="26"/>
      <c r="E542" s="2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24"/>
      <c r="B543" s="25"/>
      <c r="C543" s="25"/>
      <c r="D543" s="26"/>
      <c r="E543" s="2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24"/>
      <c r="B544" s="25"/>
      <c r="C544" s="25"/>
      <c r="D544" s="26"/>
      <c r="E544" s="2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24"/>
      <c r="B545" s="25"/>
      <c r="C545" s="25"/>
      <c r="D545" s="26"/>
      <c r="E545" s="2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24"/>
      <c r="B546" s="25"/>
      <c r="C546" s="25"/>
      <c r="D546" s="26"/>
      <c r="E546" s="2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24"/>
      <c r="B547" s="25"/>
      <c r="C547" s="25"/>
      <c r="D547" s="26"/>
      <c r="E547" s="2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24"/>
      <c r="B548" s="25"/>
      <c r="C548" s="25"/>
      <c r="D548" s="26"/>
      <c r="E548" s="2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24"/>
      <c r="B549" s="25"/>
      <c r="C549" s="25"/>
      <c r="D549" s="26"/>
      <c r="E549" s="2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24"/>
      <c r="B550" s="25"/>
      <c r="C550" s="25"/>
      <c r="D550" s="26"/>
      <c r="E550" s="2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24"/>
      <c r="B551" s="25"/>
      <c r="C551" s="25"/>
      <c r="D551" s="26"/>
      <c r="E551" s="2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24"/>
      <c r="B552" s="25"/>
      <c r="C552" s="25"/>
      <c r="D552" s="26"/>
      <c r="E552" s="2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24"/>
      <c r="B553" s="25"/>
      <c r="C553" s="25"/>
      <c r="D553" s="26"/>
      <c r="E553" s="2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24"/>
      <c r="B554" s="25"/>
      <c r="C554" s="25"/>
      <c r="D554" s="26"/>
      <c r="E554" s="2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24"/>
      <c r="B555" s="25"/>
      <c r="C555" s="25"/>
      <c r="D555" s="26"/>
      <c r="E555" s="2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24"/>
      <c r="B556" s="25"/>
      <c r="C556" s="25"/>
      <c r="D556" s="26"/>
      <c r="E556" s="2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24"/>
      <c r="B557" s="25"/>
      <c r="C557" s="25"/>
      <c r="D557" s="26"/>
      <c r="E557" s="2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24"/>
      <c r="B558" s="25"/>
      <c r="C558" s="25"/>
      <c r="D558" s="26"/>
      <c r="E558" s="2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24"/>
      <c r="B559" s="25"/>
      <c r="C559" s="25"/>
      <c r="D559" s="26"/>
      <c r="E559" s="2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24"/>
      <c r="B560" s="25"/>
      <c r="C560" s="25"/>
      <c r="D560" s="26"/>
      <c r="E560" s="2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24"/>
      <c r="B561" s="25"/>
      <c r="C561" s="25"/>
      <c r="D561" s="26"/>
      <c r="E561" s="2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24"/>
      <c r="B562" s="25"/>
      <c r="C562" s="25"/>
      <c r="D562" s="26"/>
      <c r="E562" s="2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24"/>
      <c r="B563" s="25"/>
      <c r="C563" s="25"/>
      <c r="D563" s="26"/>
      <c r="E563" s="2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24"/>
      <c r="B564" s="25"/>
      <c r="C564" s="25"/>
      <c r="D564" s="26"/>
      <c r="E564" s="2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24"/>
      <c r="B565" s="25"/>
      <c r="C565" s="25"/>
      <c r="D565" s="26"/>
      <c r="E565" s="2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24"/>
      <c r="B566" s="25"/>
      <c r="C566" s="25"/>
      <c r="D566" s="26"/>
      <c r="E566" s="2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24"/>
      <c r="B567" s="25"/>
      <c r="C567" s="25"/>
      <c r="D567" s="26"/>
      <c r="E567" s="2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24"/>
      <c r="B568" s="25"/>
      <c r="C568" s="25"/>
      <c r="D568" s="26"/>
      <c r="E568" s="2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24"/>
      <c r="B569" s="25"/>
      <c r="C569" s="25"/>
      <c r="D569" s="26"/>
      <c r="E569" s="2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24"/>
      <c r="B570" s="25"/>
      <c r="C570" s="25"/>
      <c r="D570" s="26"/>
      <c r="E570" s="2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24"/>
      <c r="B571" s="25"/>
      <c r="C571" s="25"/>
      <c r="D571" s="26"/>
      <c r="E571" s="2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24"/>
      <c r="B572" s="25"/>
      <c r="C572" s="25"/>
      <c r="D572" s="26"/>
      <c r="E572" s="2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24"/>
      <c r="B573" s="25"/>
      <c r="C573" s="25"/>
      <c r="D573" s="26"/>
      <c r="E573" s="2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24"/>
      <c r="B574" s="25"/>
      <c r="C574" s="25"/>
      <c r="D574" s="26"/>
      <c r="E574" s="2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24"/>
      <c r="B575" s="25"/>
      <c r="C575" s="25"/>
      <c r="D575" s="26"/>
      <c r="E575" s="2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24"/>
      <c r="B576" s="25"/>
      <c r="C576" s="25"/>
      <c r="D576" s="26"/>
      <c r="E576" s="2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24"/>
      <c r="B577" s="25"/>
      <c r="C577" s="25"/>
      <c r="D577" s="26"/>
      <c r="E577" s="2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24"/>
      <c r="B578" s="25"/>
      <c r="C578" s="25"/>
      <c r="D578" s="26"/>
      <c r="E578" s="2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24"/>
      <c r="B579" s="25"/>
      <c r="C579" s="25"/>
      <c r="D579" s="26"/>
      <c r="E579" s="2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24"/>
      <c r="B580" s="25"/>
      <c r="C580" s="25"/>
      <c r="D580" s="26"/>
      <c r="E580" s="2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24"/>
      <c r="B581" s="25"/>
      <c r="C581" s="25"/>
      <c r="D581" s="26"/>
      <c r="E581" s="2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24"/>
      <c r="B582" s="25"/>
      <c r="C582" s="25"/>
      <c r="D582" s="26"/>
      <c r="E582" s="2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24"/>
      <c r="B583" s="25"/>
      <c r="C583" s="25"/>
      <c r="D583" s="26"/>
      <c r="E583" s="2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24"/>
      <c r="B584" s="25"/>
      <c r="C584" s="25"/>
      <c r="D584" s="26"/>
      <c r="E584" s="2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24"/>
      <c r="B585" s="25"/>
      <c r="C585" s="25"/>
      <c r="D585" s="26"/>
      <c r="E585" s="2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24"/>
      <c r="B586" s="25"/>
      <c r="C586" s="25"/>
      <c r="D586" s="26"/>
      <c r="E586" s="2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24"/>
      <c r="B587" s="25"/>
      <c r="C587" s="25"/>
      <c r="D587" s="26"/>
      <c r="E587" s="2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24"/>
      <c r="B588" s="25"/>
      <c r="C588" s="25"/>
      <c r="D588" s="26"/>
      <c r="E588" s="2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24"/>
      <c r="B589" s="25"/>
      <c r="C589" s="25"/>
      <c r="D589" s="26"/>
      <c r="E589" s="2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24"/>
      <c r="B590" s="25"/>
      <c r="C590" s="25"/>
      <c r="D590" s="26"/>
      <c r="E590" s="2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24"/>
      <c r="B591" s="25"/>
      <c r="C591" s="25"/>
      <c r="D591" s="26"/>
      <c r="E591" s="2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24"/>
      <c r="B592" s="25"/>
      <c r="C592" s="25"/>
      <c r="D592" s="26"/>
      <c r="E592" s="2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24"/>
      <c r="B593" s="25"/>
      <c r="C593" s="25"/>
      <c r="D593" s="26"/>
      <c r="E593" s="2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24"/>
      <c r="B594" s="25"/>
      <c r="C594" s="25"/>
      <c r="D594" s="26"/>
      <c r="E594" s="2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24"/>
      <c r="B595" s="25"/>
      <c r="C595" s="25"/>
      <c r="D595" s="26"/>
      <c r="E595" s="2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24"/>
      <c r="B596" s="25"/>
      <c r="C596" s="25"/>
      <c r="D596" s="26"/>
      <c r="E596" s="2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24"/>
      <c r="B597" s="25"/>
      <c r="C597" s="25"/>
      <c r="D597" s="26"/>
      <c r="E597" s="2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24"/>
      <c r="B598" s="25"/>
      <c r="C598" s="25"/>
      <c r="D598" s="26"/>
      <c r="E598" s="2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24"/>
      <c r="B599" s="25"/>
      <c r="C599" s="25"/>
      <c r="D599" s="26"/>
      <c r="E599" s="2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24"/>
      <c r="B600" s="25"/>
      <c r="C600" s="25"/>
      <c r="D600" s="26"/>
      <c r="E600" s="2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24"/>
      <c r="B601" s="25"/>
      <c r="C601" s="25"/>
      <c r="D601" s="26"/>
      <c r="E601" s="2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24"/>
      <c r="B602" s="25"/>
      <c r="C602" s="25"/>
      <c r="D602" s="26"/>
      <c r="E602" s="2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24"/>
      <c r="B603" s="25"/>
      <c r="C603" s="25"/>
      <c r="D603" s="26"/>
      <c r="E603" s="2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24"/>
      <c r="B604" s="25"/>
      <c r="C604" s="25"/>
      <c r="D604" s="26"/>
      <c r="E604" s="2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24"/>
      <c r="B605" s="25"/>
      <c r="C605" s="25"/>
      <c r="D605" s="26"/>
      <c r="E605" s="2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24"/>
      <c r="B606" s="25"/>
      <c r="C606" s="25"/>
      <c r="D606" s="26"/>
      <c r="E606" s="2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24"/>
      <c r="B607" s="25"/>
      <c r="C607" s="25"/>
      <c r="D607" s="26"/>
      <c r="E607" s="2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24"/>
      <c r="B608" s="25"/>
      <c r="C608" s="25"/>
      <c r="D608" s="26"/>
      <c r="E608" s="2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24"/>
      <c r="B609" s="25"/>
      <c r="C609" s="25"/>
      <c r="D609" s="26"/>
      <c r="E609" s="2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24"/>
      <c r="B610" s="25"/>
      <c r="C610" s="25"/>
      <c r="D610" s="26"/>
      <c r="E610" s="2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24"/>
      <c r="B611" s="25"/>
      <c r="C611" s="25"/>
      <c r="D611" s="26"/>
      <c r="E611" s="2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24"/>
      <c r="B612" s="25"/>
      <c r="C612" s="25"/>
      <c r="D612" s="26"/>
      <c r="E612" s="2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24"/>
      <c r="B613" s="25"/>
      <c r="C613" s="25"/>
      <c r="D613" s="26"/>
      <c r="E613" s="2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24"/>
      <c r="B614" s="25"/>
      <c r="C614" s="25"/>
      <c r="D614" s="26"/>
      <c r="E614" s="2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24"/>
      <c r="B615" s="25"/>
      <c r="C615" s="25"/>
      <c r="D615" s="26"/>
      <c r="E615" s="2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24"/>
      <c r="B616" s="25"/>
      <c r="C616" s="25"/>
      <c r="D616" s="26"/>
      <c r="E616" s="2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24"/>
      <c r="B617" s="25"/>
      <c r="C617" s="25"/>
      <c r="D617" s="26"/>
      <c r="E617" s="2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24"/>
      <c r="B618" s="25"/>
      <c r="C618" s="25"/>
      <c r="D618" s="26"/>
      <c r="E618" s="2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24"/>
      <c r="B619" s="25"/>
      <c r="C619" s="25"/>
      <c r="D619" s="26"/>
      <c r="E619" s="2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24"/>
      <c r="B620" s="25"/>
      <c r="C620" s="25"/>
      <c r="D620" s="26"/>
      <c r="E620" s="2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24"/>
      <c r="B621" s="25"/>
      <c r="C621" s="25"/>
      <c r="D621" s="26"/>
      <c r="E621" s="2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24"/>
      <c r="B622" s="25"/>
      <c r="C622" s="25"/>
      <c r="D622" s="26"/>
      <c r="E622" s="2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24"/>
      <c r="B623" s="25"/>
      <c r="C623" s="25"/>
      <c r="D623" s="26"/>
      <c r="E623" s="2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24"/>
      <c r="B624" s="25"/>
      <c r="C624" s="25"/>
      <c r="D624" s="26"/>
      <c r="E624" s="2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24"/>
      <c r="B625" s="25"/>
      <c r="C625" s="25"/>
      <c r="D625" s="26"/>
      <c r="E625" s="2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24"/>
      <c r="B626" s="25"/>
      <c r="C626" s="25"/>
      <c r="D626" s="26"/>
      <c r="E626" s="2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24"/>
      <c r="B627" s="25"/>
      <c r="C627" s="25"/>
      <c r="D627" s="26"/>
      <c r="E627" s="2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24"/>
      <c r="B628" s="25"/>
      <c r="C628" s="25"/>
      <c r="D628" s="26"/>
      <c r="E628" s="2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24"/>
      <c r="B629" s="25"/>
      <c r="C629" s="25"/>
      <c r="D629" s="26"/>
      <c r="E629" s="2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24"/>
      <c r="B630" s="25"/>
      <c r="C630" s="25"/>
      <c r="D630" s="26"/>
      <c r="E630" s="2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24"/>
      <c r="B631" s="25"/>
      <c r="C631" s="25"/>
      <c r="D631" s="26"/>
      <c r="E631" s="2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24"/>
      <c r="B632" s="25"/>
      <c r="C632" s="25"/>
      <c r="D632" s="26"/>
      <c r="E632" s="2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24"/>
      <c r="B633" s="25"/>
      <c r="C633" s="25"/>
      <c r="D633" s="26"/>
      <c r="E633" s="2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24"/>
      <c r="B634" s="25"/>
      <c r="C634" s="25"/>
      <c r="D634" s="26"/>
      <c r="E634" s="2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24"/>
      <c r="B635" s="25"/>
      <c r="C635" s="25"/>
      <c r="D635" s="26"/>
      <c r="E635" s="2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24"/>
      <c r="B636" s="25"/>
      <c r="C636" s="25"/>
      <c r="D636" s="26"/>
      <c r="E636" s="2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24"/>
      <c r="B637" s="25"/>
      <c r="C637" s="25"/>
      <c r="D637" s="26"/>
      <c r="E637" s="2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24"/>
      <c r="B638" s="25"/>
      <c r="C638" s="25"/>
      <c r="D638" s="26"/>
      <c r="E638" s="2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24"/>
      <c r="B639" s="25"/>
      <c r="C639" s="25"/>
      <c r="D639" s="26"/>
      <c r="E639" s="2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24"/>
      <c r="B640" s="25"/>
      <c r="C640" s="25"/>
      <c r="D640" s="26"/>
      <c r="E640" s="2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24"/>
      <c r="B641" s="25"/>
      <c r="C641" s="25"/>
      <c r="D641" s="26"/>
      <c r="E641" s="2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24"/>
      <c r="B642" s="25"/>
      <c r="C642" s="25"/>
      <c r="D642" s="26"/>
      <c r="E642" s="2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24"/>
      <c r="B643" s="25"/>
      <c r="C643" s="25"/>
      <c r="D643" s="26"/>
      <c r="E643" s="2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24"/>
      <c r="B644" s="25"/>
      <c r="C644" s="25"/>
      <c r="D644" s="26"/>
      <c r="E644" s="2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24"/>
      <c r="B645" s="25"/>
      <c r="C645" s="25"/>
      <c r="D645" s="26"/>
      <c r="E645" s="2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24"/>
      <c r="B646" s="25"/>
      <c r="C646" s="25"/>
      <c r="D646" s="26"/>
      <c r="E646" s="2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24"/>
      <c r="B647" s="25"/>
      <c r="C647" s="25"/>
      <c r="D647" s="26"/>
      <c r="E647" s="2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24"/>
      <c r="B648" s="25"/>
      <c r="C648" s="25"/>
      <c r="D648" s="26"/>
      <c r="E648" s="2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24"/>
      <c r="B649" s="25"/>
      <c r="C649" s="25"/>
      <c r="D649" s="26"/>
      <c r="E649" s="2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24"/>
      <c r="B650" s="25"/>
      <c r="C650" s="25"/>
      <c r="D650" s="26"/>
      <c r="E650" s="2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24"/>
      <c r="B651" s="25"/>
      <c r="C651" s="25"/>
      <c r="D651" s="26"/>
      <c r="E651" s="2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24"/>
      <c r="B652" s="25"/>
      <c r="C652" s="25"/>
      <c r="D652" s="26"/>
      <c r="E652" s="2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24"/>
      <c r="B653" s="25"/>
      <c r="C653" s="25"/>
      <c r="D653" s="26"/>
      <c r="E653" s="2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24"/>
      <c r="B654" s="25"/>
      <c r="C654" s="25"/>
      <c r="D654" s="26"/>
      <c r="E654" s="2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24"/>
      <c r="B655" s="25"/>
      <c r="C655" s="25"/>
      <c r="D655" s="26"/>
      <c r="E655" s="2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24"/>
      <c r="B656" s="25"/>
      <c r="C656" s="25"/>
      <c r="D656" s="26"/>
      <c r="E656" s="2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24"/>
      <c r="B657" s="25"/>
      <c r="C657" s="25"/>
      <c r="D657" s="26"/>
      <c r="E657" s="2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24"/>
      <c r="B658" s="25"/>
      <c r="C658" s="25"/>
      <c r="D658" s="26"/>
      <c r="E658" s="2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24"/>
      <c r="B659" s="25"/>
      <c r="C659" s="25"/>
      <c r="D659" s="26"/>
      <c r="E659" s="2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24"/>
      <c r="B660" s="25"/>
      <c r="C660" s="25"/>
      <c r="D660" s="26"/>
      <c r="E660" s="2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24"/>
      <c r="B661" s="25"/>
      <c r="C661" s="25"/>
      <c r="D661" s="26"/>
      <c r="E661" s="2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24"/>
      <c r="B662" s="25"/>
      <c r="C662" s="25"/>
      <c r="D662" s="26"/>
      <c r="E662" s="2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24"/>
      <c r="B663" s="25"/>
      <c r="C663" s="25"/>
      <c r="D663" s="26"/>
      <c r="E663" s="2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24"/>
      <c r="B664" s="25"/>
      <c r="C664" s="25"/>
      <c r="D664" s="26"/>
      <c r="E664" s="2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24"/>
      <c r="B665" s="25"/>
      <c r="C665" s="25"/>
      <c r="D665" s="26"/>
      <c r="E665" s="2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24"/>
      <c r="B666" s="25"/>
      <c r="C666" s="25"/>
      <c r="D666" s="26"/>
      <c r="E666" s="2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24"/>
      <c r="B667" s="25"/>
      <c r="C667" s="25"/>
      <c r="D667" s="26"/>
      <c r="E667" s="2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24"/>
      <c r="B668" s="25"/>
      <c r="C668" s="25"/>
      <c r="D668" s="26"/>
      <c r="E668" s="2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24"/>
      <c r="B669" s="25"/>
      <c r="C669" s="25"/>
      <c r="D669" s="26"/>
      <c r="E669" s="2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24"/>
      <c r="B670" s="25"/>
      <c r="C670" s="25"/>
      <c r="D670" s="26"/>
      <c r="E670" s="2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24"/>
      <c r="B671" s="25"/>
      <c r="C671" s="25"/>
      <c r="D671" s="26"/>
      <c r="E671" s="2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24"/>
      <c r="B672" s="25"/>
      <c r="C672" s="25"/>
      <c r="D672" s="26"/>
      <c r="E672" s="2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24"/>
      <c r="B673" s="25"/>
      <c r="C673" s="25"/>
      <c r="D673" s="26"/>
      <c r="E673" s="2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24"/>
      <c r="B674" s="25"/>
      <c r="C674" s="25"/>
      <c r="D674" s="26"/>
      <c r="E674" s="2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24"/>
      <c r="B675" s="25"/>
      <c r="C675" s="25"/>
      <c r="D675" s="26"/>
      <c r="E675" s="2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24"/>
      <c r="B676" s="25"/>
      <c r="C676" s="25"/>
      <c r="D676" s="26"/>
      <c r="E676" s="2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24"/>
      <c r="B677" s="25"/>
      <c r="C677" s="25"/>
      <c r="D677" s="26"/>
      <c r="E677" s="2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24"/>
      <c r="B678" s="25"/>
      <c r="C678" s="25"/>
      <c r="D678" s="26"/>
      <c r="E678" s="2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24"/>
      <c r="B679" s="25"/>
      <c r="C679" s="25"/>
      <c r="D679" s="26"/>
      <c r="E679" s="2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24"/>
      <c r="B680" s="25"/>
      <c r="C680" s="25"/>
      <c r="D680" s="26"/>
      <c r="E680" s="2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24"/>
      <c r="B681" s="25"/>
      <c r="C681" s="25"/>
      <c r="D681" s="26"/>
      <c r="E681" s="2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24"/>
      <c r="B682" s="25"/>
      <c r="C682" s="25"/>
      <c r="D682" s="26"/>
      <c r="E682" s="2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24"/>
      <c r="B683" s="25"/>
      <c r="C683" s="25"/>
      <c r="D683" s="26"/>
      <c r="E683" s="2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24"/>
      <c r="B684" s="25"/>
      <c r="C684" s="25"/>
      <c r="D684" s="26"/>
      <c r="E684" s="2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24"/>
      <c r="B685" s="25"/>
      <c r="C685" s="25"/>
      <c r="D685" s="26"/>
      <c r="E685" s="2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24"/>
      <c r="B686" s="25"/>
      <c r="C686" s="25"/>
      <c r="D686" s="26"/>
      <c r="E686" s="2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24"/>
      <c r="B687" s="25"/>
      <c r="C687" s="25"/>
      <c r="D687" s="26"/>
      <c r="E687" s="2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24"/>
      <c r="B688" s="25"/>
      <c r="C688" s="25"/>
      <c r="D688" s="26"/>
      <c r="E688" s="2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24"/>
      <c r="B689" s="25"/>
      <c r="C689" s="25"/>
      <c r="D689" s="26"/>
      <c r="E689" s="2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24"/>
      <c r="B690" s="25"/>
      <c r="C690" s="25"/>
      <c r="D690" s="26"/>
      <c r="E690" s="2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24"/>
      <c r="B691" s="25"/>
      <c r="C691" s="25"/>
      <c r="D691" s="26"/>
      <c r="E691" s="2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24"/>
      <c r="B692" s="25"/>
      <c r="C692" s="25"/>
      <c r="D692" s="26"/>
      <c r="E692" s="2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24"/>
      <c r="B693" s="25"/>
      <c r="C693" s="25"/>
      <c r="D693" s="26"/>
      <c r="E693" s="2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24"/>
      <c r="B694" s="25"/>
      <c r="C694" s="25"/>
      <c r="D694" s="26"/>
      <c r="E694" s="2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24"/>
      <c r="B695" s="25"/>
      <c r="C695" s="25"/>
      <c r="D695" s="26"/>
      <c r="E695" s="2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24"/>
      <c r="B696" s="25"/>
      <c r="C696" s="25"/>
      <c r="D696" s="26"/>
      <c r="E696" s="2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24"/>
      <c r="B697" s="25"/>
      <c r="C697" s="25"/>
      <c r="D697" s="26"/>
      <c r="E697" s="2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24"/>
      <c r="B698" s="25"/>
      <c r="C698" s="25"/>
      <c r="D698" s="26"/>
      <c r="E698" s="2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24"/>
      <c r="B699" s="25"/>
      <c r="C699" s="25"/>
      <c r="D699" s="26"/>
      <c r="E699" s="2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24"/>
      <c r="B700" s="25"/>
      <c r="C700" s="25"/>
      <c r="D700" s="26"/>
      <c r="E700" s="2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24"/>
      <c r="B701" s="25"/>
      <c r="C701" s="25"/>
      <c r="D701" s="26"/>
      <c r="E701" s="2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24"/>
      <c r="B702" s="25"/>
      <c r="C702" s="25"/>
      <c r="D702" s="26"/>
      <c r="E702" s="2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24"/>
      <c r="B703" s="25"/>
      <c r="C703" s="25"/>
      <c r="D703" s="26"/>
      <c r="E703" s="2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24"/>
      <c r="B704" s="25"/>
      <c r="C704" s="25"/>
      <c r="D704" s="26"/>
      <c r="E704" s="2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24"/>
      <c r="B705" s="25"/>
      <c r="C705" s="25"/>
      <c r="D705" s="26"/>
      <c r="E705" s="2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24"/>
      <c r="B706" s="25"/>
      <c r="C706" s="25"/>
      <c r="D706" s="26"/>
      <c r="E706" s="2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24"/>
      <c r="B707" s="25"/>
      <c r="C707" s="25"/>
      <c r="D707" s="26"/>
      <c r="E707" s="2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24"/>
      <c r="B708" s="25"/>
      <c r="C708" s="25"/>
      <c r="D708" s="26"/>
      <c r="E708" s="2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24"/>
      <c r="B709" s="25"/>
      <c r="C709" s="25"/>
      <c r="D709" s="26"/>
      <c r="E709" s="2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24"/>
      <c r="B710" s="25"/>
      <c r="C710" s="25"/>
      <c r="D710" s="26"/>
      <c r="E710" s="2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24"/>
      <c r="B711" s="25"/>
      <c r="C711" s="25"/>
      <c r="D711" s="26"/>
      <c r="E711" s="2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24"/>
      <c r="B712" s="25"/>
      <c r="C712" s="25"/>
      <c r="D712" s="26"/>
      <c r="E712" s="2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24"/>
      <c r="B713" s="25"/>
      <c r="C713" s="25"/>
      <c r="D713" s="26"/>
      <c r="E713" s="2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24"/>
      <c r="B714" s="25"/>
      <c r="C714" s="25"/>
      <c r="D714" s="26"/>
      <c r="E714" s="2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24"/>
      <c r="B715" s="25"/>
      <c r="C715" s="25"/>
      <c r="D715" s="26"/>
      <c r="E715" s="2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24"/>
      <c r="B716" s="25"/>
      <c r="C716" s="25"/>
      <c r="D716" s="26"/>
      <c r="E716" s="2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24"/>
      <c r="B717" s="25"/>
      <c r="C717" s="25"/>
      <c r="D717" s="26"/>
      <c r="E717" s="2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24"/>
      <c r="B718" s="25"/>
      <c r="C718" s="25"/>
      <c r="D718" s="26"/>
      <c r="E718" s="2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24"/>
      <c r="B719" s="25"/>
      <c r="C719" s="25"/>
      <c r="D719" s="26"/>
      <c r="E719" s="2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24"/>
      <c r="B720" s="25"/>
      <c r="C720" s="25"/>
      <c r="D720" s="26"/>
      <c r="E720" s="2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24"/>
      <c r="B721" s="25"/>
      <c r="C721" s="25"/>
      <c r="D721" s="26"/>
      <c r="E721" s="2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24"/>
      <c r="B722" s="25"/>
      <c r="C722" s="25"/>
      <c r="D722" s="26"/>
      <c r="E722" s="2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24"/>
      <c r="B723" s="25"/>
      <c r="C723" s="25"/>
      <c r="D723" s="26"/>
      <c r="E723" s="2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24"/>
      <c r="B724" s="25"/>
      <c r="C724" s="25"/>
      <c r="D724" s="26"/>
      <c r="E724" s="2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24"/>
      <c r="B725" s="25"/>
      <c r="C725" s="25"/>
      <c r="D725" s="26"/>
      <c r="E725" s="2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24"/>
      <c r="B726" s="25"/>
      <c r="C726" s="25"/>
      <c r="D726" s="26"/>
      <c r="E726" s="2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24"/>
      <c r="B727" s="25"/>
      <c r="C727" s="25"/>
      <c r="D727" s="26"/>
      <c r="E727" s="2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24"/>
      <c r="B728" s="25"/>
      <c r="C728" s="25"/>
      <c r="D728" s="26"/>
      <c r="E728" s="2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24"/>
      <c r="B729" s="25"/>
      <c r="C729" s="25"/>
      <c r="D729" s="26"/>
      <c r="E729" s="2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24"/>
      <c r="B730" s="25"/>
      <c r="C730" s="25"/>
      <c r="D730" s="26"/>
      <c r="E730" s="2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24"/>
      <c r="B731" s="25"/>
      <c r="C731" s="25"/>
      <c r="D731" s="26"/>
      <c r="E731" s="2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24"/>
      <c r="B732" s="25"/>
      <c r="C732" s="25"/>
      <c r="D732" s="26"/>
      <c r="E732" s="2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24"/>
      <c r="B733" s="25"/>
      <c r="C733" s="25"/>
      <c r="D733" s="26"/>
      <c r="E733" s="2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24"/>
      <c r="B734" s="25"/>
      <c r="C734" s="25"/>
      <c r="D734" s="26"/>
      <c r="E734" s="2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24"/>
      <c r="B735" s="25"/>
      <c r="C735" s="25"/>
      <c r="D735" s="26"/>
      <c r="E735" s="2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24"/>
      <c r="B736" s="25"/>
      <c r="C736" s="25"/>
      <c r="D736" s="26"/>
      <c r="E736" s="2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24"/>
      <c r="B737" s="25"/>
      <c r="C737" s="25"/>
      <c r="D737" s="26"/>
      <c r="E737" s="2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24"/>
      <c r="B738" s="25"/>
      <c r="C738" s="25"/>
      <c r="D738" s="26"/>
      <c r="E738" s="2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24"/>
      <c r="B739" s="25"/>
      <c r="C739" s="25"/>
      <c r="D739" s="26"/>
      <c r="E739" s="2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24"/>
      <c r="B740" s="25"/>
      <c r="C740" s="25"/>
      <c r="D740" s="26"/>
      <c r="E740" s="2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24"/>
      <c r="B741" s="25"/>
      <c r="C741" s="25"/>
      <c r="D741" s="26"/>
      <c r="E741" s="2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24"/>
      <c r="B742" s="25"/>
      <c r="C742" s="25"/>
      <c r="D742" s="26"/>
      <c r="E742" s="2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24"/>
      <c r="B743" s="25"/>
      <c r="C743" s="25"/>
      <c r="D743" s="26"/>
      <c r="E743" s="2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24"/>
      <c r="B744" s="25"/>
      <c r="C744" s="25"/>
      <c r="D744" s="26"/>
      <c r="E744" s="2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24"/>
      <c r="B745" s="25"/>
      <c r="C745" s="25"/>
      <c r="D745" s="26"/>
      <c r="E745" s="2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24"/>
      <c r="B746" s="25"/>
      <c r="C746" s="25"/>
      <c r="D746" s="26"/>
      <c r="E746" s="2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24"/>
      <c r="B747" s="25"/>
      <c r="C747" s="25"/>
      <c r="D747" s="26"/>
      <c r="E747" s="2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24"/>
      <c r="B748" s="25"/>
      <c r="C748" s="25"/>
      <c r="D748" s="26"/>
      <c r="E748" s="2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24"/>
      <c r="B749" s="25"/>
      <c r="C749" s="25"/>
      <c r="D749" s="26"/>
      <c r="E749" s="2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24"/>
      <c r="B750" s="25"/>
      <c r="C750" s="25"/>
      <c r="D750" s="26"/>
      <c r="E750" s="2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24"/>
      <c r="B751" s="25"/>
      <c r="C751" s="25"/>
      <c r="D751" s="26"/>
      <c r="E751" s="2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24"/>
      <c r="B752" s="25"/>
      <c r="C752" s="25"/>
      <c r="D752" s="26"/>
      <c r="E752" s="2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24"/>
      <c r="B753" s="25"/>
      <c r="C753" s="25"/>
      <c r="D753" s="26"/>
      <c r="E753" s="2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24"/>
      <c r="B754" s="25"/>
      <c r="C754" s="25"/>
      <c r="D754" s="26"/>
      <c r="E754" s="2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24"/>
      <c r="B755" s="25"/>
      <c r="C755" s="25"/>
      <c r="D755" s="26"/>
      <c r="E755" s="2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24"/>
      <c r="B756" s="25"/>
      <c r="C756" s="25"/>
      <c r="D756" s="26"/>
      <c r="E756" s="2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24"/>
      <c r="B757" s="25"/>
      <c r="C757" s="25"/>
      <c r="D757" s="26"/>
      <c r="E757" s="2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24"/>
      <c r="B758" s="25"/>
      <c r="C758" s="25"/>
      <c r="D758" s="26"/>
      <c r="E758" s="2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24"/>
      <c r="B759" s="25"/>
      <c r="C759" s="25"/>
      <c r="D759" s="26"/>
      <c r="E759" s="2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24"/>
      <c r="B760" s="25"/>
      <c r="C760" s="25"/>
      <c r="D760" s="26"/>
      <c r="E760" s="2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24"/>
      <c r="B761" s="25"/>
      <c r="C761" s="25"/>
      <c r="D761" s="26"/>
      <c r="E761" s="2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24"/>
      <c r="B762" s="25"/>
      <c r="C762" s="25"/>
      <c r="D762" s="26"/>
      <c r="E762" s="2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24"/>
      <c r="B763" s="25"/>
      <c r="C763" s="25"/>
      <c r="D763" s="26"/>
      <c r="E763" s="2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24"/>
      <c r="B764" s="25"/>
      <c r="C764" s="25"/>
      <c r="D764" s="26"/>
      <c r="E764" s="2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24"/>
      <c r="B765" s="25"/>
      <c r="C765" s="25"/>
      <c r="D765" s="26"/>
      <c r="E765" s="2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24"/>
      <c r="B766" s="25"/>
      <c r="C766" s="25"/>
      <c r="D766" s="26"/>
      <c r="E766" s="2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24"/>
      <c r="B767" s="25"/>
      <c r="C767" s="25"/>
      <c r="D767" s="26"/>
      <c r="E767" s="2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24"/>
      <c r="B768" s="25"/>
      <c r="C768" s="25"/>
      <c r="D768" s="26"/>
      <c r="E768" s="2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24"/>
      <c r="B769" s="25"/>
      <c r="C769" s="25"/>
      <c r="D769" s="26"/>
      <c r="E769" s="2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24"/>
      <c r="B770" s="25"/>
      <c r="C770" s="25"/>
      <c r="D770" s="26"/>
      <c r="E770" s="2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24"/>
      <c r="B771" s="25"/>
      <c r="C771" s="25"/>
      <c r="D771" s="26"/>
      <c r="E771" s="2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24"/>
      <c r="B772" s="25"/>
      <c r="C772" s="25"/>
      <c r="D772" s="26"/>
      <c r="E772" s="2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24"/>
      <c r="B773" s="25"/>
      <c r="C773" s="25"/>
      <c r="D773" s="26"/>
      <c r="E773" s="2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24"/>
      <c r="B774" s="25"/>
      <c r="C774" s="25"/>
      <c r="D774" s="26"/>
      <c r="E774" s="2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24"/>
      <c r="B775" s="25"/>
      <c r="C775" s="25"/>
      <c r="D775" s="26"/>
      <c r="E775" s="2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24"/>
      <c r="B776" s="25"/>
      <c r="C776" s="25"/>
      <c r="D776" s="26"/>
      <c r="E776" s="2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24"/>
      <c r="B777" s="25"/>
      <c r="C777" s="25"/>
      <c r="D777" s="26"/>
      <c r="E777" s="2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24"/>
      <c r="B778" s="25"/>
      <c r="C778" s="25"/>
      <c r="D778" s="26"/>
      <c r="E778" s="2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24"/>
      <c r="B779" s="25"/>
      <c r="C779" s="25"/>
      <c r="D779" s="26"/>
      <c r="E779" s="2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24"/>
      <c r="B780" s="25"/>
      <c r="C780" s="25"/>
      <c r="D780" s="26"/>
      <c r="E780" s="2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24"/>
      <c r="B781" s="25"/>
      <c r="C781" s="25"/>
      <c r="D781" s="26"/>
      <c r="E781" s="2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24"/>
      <c r="B782" s="25"/>
      <c r="C782" s="25"/>
      <c r="D782" s="26"/>
      <c r="E782" s="2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24"/>
      <c r="B783" s="25"/>
      <c r="C783" s="25"/>
      <c r="D783" s="26"/>
      <c r="E783" s="2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24"/>
      <c r="B784" s="25"/>
      <c r="C784" s="25"/>
      <c r="D784" s="26"/>
      <c r="E784" s="2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24"/>
      <c r="B785" s="25"/>
      <c r="C785" s="25"/>
      <c r="D785" s="26"/>
      <c r="E785" s="2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24"/>
      <c r="B786" s="25"/>
      <c r="C786" s="25"/>
      <c r="D786" s="26"/>
      <c r="E786" s="2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24"/>
      <c r="B787" s="25"/>
      <c r="C787" s="25"/>
      <c r="D787" s="26"/>
      <c r="E787" s="2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24"/>
      <c r="B788" s="25"/>
      <c r="C788" s="25"/>
      <c r="D788" s="26"/>
      <c r="E788" s="2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24"/>
      <c r="B789" s="25"/>
      <c r="C789" s="25"/>
      <c r="D789" s="26"/>
      <c r="E789" s="2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24"/>
      <c r="B790" s="25"/>
      <c r="C790" s="25"/>
      <c r="D790" s="26"/>
      <c r="E790" s="2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24"/>
      <c r="B791" s="25"/>
      <c r="C791" s="25"/>
      <c r="D791" s="26"/>
      <c r="E791" s="2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24"/>
      <c r="B792" s="25"/>
      <c r="C792" s="25"/>
      <c r="D792" s="26"/>
      <c r="E792" s="2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24"/>
      <c r="B793" s="25"/>
      <c r="C793" s="25"/>
      <c r="D793" s="26"/>
      <c r="E793" s="2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24"/>
      <c r="B794" s="25"/>
      <c r="C794" s="25"/>
      <c r="D794" s="26"/>
      <c r="E794" s="2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24"/>
      <c r="B795" s="25"/>
      <c r="C795" s="25"/>
      <c r="D795" s="26"/>
      <c r="E795" s="2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24"/>
      <c r="B796" s="25"/>
      <c r="C796" s="25"/>
      <c r="D796" s="26"/>
      <c r="E796" s="2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24"/>
      <c r="B797" s="25"/>
      <c r="C797" s="25"/>
      <c r="D797" s="26"/>
      <c r="E797" s="2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24"/>
      <c r="B798" s="25"/>
      <c r="C798" s="25"/>
      <c r="D798" s="26"/>
      <c r="E798" s="2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24"/>
      <c r="B799" s="25"/>
      <c r="C799" s="25"/>
      <c r="D799" s="26"/>
      <c r="E799" s="2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24"/>
      <c r="B800" s="25"/>
      <c r="C800" s="25"/>
      <c r="D800" s="26"/>
      <c r="E800" s="2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24"/>
      <c r="B801" s="25"/>
      <c r="C801" s="25"/>
      <c r="D801" s="26"/>
      <c r="E801" s="2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24"/>
      <c r="B802" s="25"/>
      <c r="C802" s="25"/>
      <c r="D802" s="26"/>
      <c r="E802" s="2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24"/>
      <c r="B803" s="25"/>
      <c r="C803" s="25"/>
      <c r="D803" s="26"/>
      <c r="E803" s="2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24"/>
      <c r="B804" s="25"/>
      <c r="C804" s="25"/>
      <c r="D804" s="26"/>
      <c r="E804" s="2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24"/>
      <c r="B805" s="25"/>
      <c r="C805" s="25"/>
      <c r="D805" s="26"/>
      <c r="E805" s="2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24"/>
      <c r="B806" s="25"/>
      <c r="C806" s="25"/>
      <c r="D806" s="26"/>
      <c r="E806" s="2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24"/>
      <c r="B807" s="25"/>
      <c r="C807" s="25"/>
      <c r="D807" s="26"/>
      <c r="E807" s="2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24"/>
      <c r="B808" s="25"/>
      <c r="C808" s="25"/>
      <c r="D808" s="26"/>
      <c r="E808" s="2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24"/>
      <c r="B809" s="25"/>
      <c r="C809" s="25"/>
      <c r="D809" s="26"/>
      <c r="E809" s="2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24"/>
      <c r="B810" s="25"/>
      <c r="C810" s="25"/>
      <c r="D810" s="26"/>
      <c r="E810" s="2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24"/>
      <c r="B811" s="25"/>
      <c r="C811" s="25"/>
      <c r="D811" s="26"/>
      <c r="E811" s="2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24"/>
      <c r="B812" s="25"/>
      <c r="C812" s="25"/>
      <c r="D812" s="26"/>
      <c r="E812" s="2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24"/>
      <c r="B813" s="25"/>
      <c r="C813" s="25"/>
      <c r="D813" s="26"/>
      <c r="E813" s="2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24"/>
      <c r="B814" s="25"/>
      <c r="C814" s="25"/>
      <c r="D814" s="26"/>
      <c r="E814" s="2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24"/>
      <c r="B815" s="25"/>
      <c r="C815" s="25"/>
      <c r="D815" s="26"/>
      <c r="E815" s="2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24"/>
      <c r="B816" s="25"/>
      <c r="C816" s="25"/>
      <c r="D816" s="26"/>
      <c r="E816" s="2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24"/>
      <c r="B817" s="25"/>
      <c r="C817" s="25"/>
      <c r="D817" s="26"/>
      <c r="E817" s="2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24"/>
      <c r="B818" s="25"/>
      <c r="C818" s="25"/>
      <c r="D818" s="26"/>
      <c r="E818" s="2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24"/>
      <c r="B819" s="25"/>
      <c r="C819" s="25"/>
      <c r="D819" s="26"/>
      <c r="E819" s="2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24"/>
      <c r="B820" s="25"/>
      <c r="C820" s="25"/>
      <c r="D820" s="26"/>
      <c r="E820" s="2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24"/>
      <c r="B821" s="25"/>
      <c r="C821" s="25"/>
      <c r="D821" s="26"/>
      <c r="E821" s="2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24"/>
      <c r="B822" s="25"/>
      <c r="C822" s="25"/>
      <c r="D822" s="26"/>
      <c r="E822" s="2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24"/>
      <c r="B823" s="25"/>
      <c r="C823" s="25"/>
      <c r="D823" s="26"/>
      <c r="E823" s="2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24"/>
      <c r="B824" s="25"/>
      <c r="C824" s="25"/>
      <c r="D824" s="26"/>
      <c r="E824" s="2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24"/>
      <c r="B825" s="25"/>
      <c r="C825" s="25"/>
      <c r="D825" s="26"/>
      <c r="E825" s="2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24"/>
      <c r="B826" s="25"/>
      <c r="C826" s="25"/>
      <c r="D826" s="26"/>
      <c r="E826" s="2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24"/>
      <c r="B827" s="25"/>
      <c r="C827" s="25"/>
      <c r="D827" s="26"/>
      <c r="E827" s="2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24"/>
      <c r="B828" s="25"/>
      <c r="C828" s="25"/>
      <c r="D828" s="26"/>
      <c r="E828" s="2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24"/>
      <c r="B829" s="25"/>
      <c r="C829" s="25"/>
      <c r="D829" s="26"/>
      <c r="E829" s="2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24"/>
      <c r="B830" s="25"/>
      <c r="C830" s="25"/>
      <c r="D830" s="26"/>
      <c r="E830" s="2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24"/>
      <c r="B831" s="25"/>
      <c r="C831" s="25"/>
      <c r="D831" s="26"/>
      <c r="E831" s="2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24"/>
      <c r="B832" s="25"/>
      <c r="C832" s="25"/>
      <c r="D832" s="26"/>
      <c r="E832" s="2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24"/>
      <c r="B833" s="25"/>
      <c r="C833" s="25"/>
      <c r="D833" s="26"/>
      <c r="E833" s="2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24"/>
      <c r="B834" s="25"/>
      <c r="C834" s="25"/>
      <c r="D834" s="26"/>
      <c r="E834" s="2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24"/>
      <c r="B835" s="25"/>
      <c r="C835" s="25"/>
      <c r="D835" s="26"/>
      <c r="E835" s="2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24"/>
      <c r="B836" s="25"/>
      <c r="C836" s="25"/>
      <c r="D836" s="26"/>
      <c r="E836" s="2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24"/>
      <c r="B837" s="25"/>
      <c r="C837" s="25"/>
      <c r="D837" s="26"/>
      <c r="E837" s="2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24"/>
      <c r="B838" s="25"/>
      <c r="C838" s="25"/>
      <c r="D838" s="26"/>
      <c r="E838" s="2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24"/>
      <c r="B839" s="25"/>
      <c r="C839" s="25"/>
      <c r="D839" s="26"/>
      <c r="E839" s="2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24"/>
      <c r="B840" s="25"/>
      <c r="C840" s="25"/>
      <c r="D840" s="26"/>
      <c r="E840" s="2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24"/>
      <c r="B841" s="25"/>
      <c r="C841" s="25"/>
      <c r="D841" s="26"/>
      <c r="E841" s="2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24"/>
      <c r="B842" s="25"/>
      <c r="C842" s="25"/>
      <c r="D842" s="26"/>
      <c r="E842" s="2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24"/>
      <c r="B843" s="25"/>
      <c r="C843" s="25"/>
      <c r="D843" s="26"/>
      <c r="E843" s="2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24"/>
      <c r="B844" s="25"/>
      <c r="C844" s="25"/>
      <c r="D844" s="26"/>
      <c r="E844" s="2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24"/>
      <c r="B845" s="25"/>
      <c r="C845" s="25"/>
      <c r="D845" s="26"/>
      <c r="E845" s="2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24"/>
      <c r="B846" s="25"/>
      <c r="C846" s="25"/>
      <c r="D846" s="26"/>
      <c r="E846" s="2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24"/>
      <c r="B847" s="25"/>
      <c r="C847" s="25"/>
      <c r="D847" s="26"/>
      <c r="E847" s="2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24"/>
      <c r="B848" s="25"/>
      <c r="C848" s="25"/>
      <c r="D848" s="26"/>
      <c r="E848" s="2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24"/>
      <c r="B849" s="25"/>
      <c r="C849" s="25"/>
      <c r="D849" s="26"/>
      <c r="E849" s="2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24"/>
      <c r="B850" s="25"/>
      <c r="C850" s="25"/>
      <c r="D850" s="26"/>
      <c r="E850" s="2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24"/>
      <c r="B851" s="25"/>
      <c r="C851" s="25"/>
      <c r="D851" s="26"/>
      <c r="E851" s="2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24"/>
      <c r="B852" s="25"/>
      <c r="C852" s="25"/>
      <c r="D852" s="26"/>
      <c r="E852" s="2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24"/>
      <c r="B853" s="25"/>
      <c r="C853" s="25"/>
      <c r="D853" s="26"/>
      <c r="E853" s="2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24"/>
      <c r="B854" s="25"/>
      <c r="C854" s="25"/>
      <c r="D854" s="26"/>
      <c r="E854" s="2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24"/>
      <c r="B855" s="25"/>
      <c r="C855" s="25"/>
      <c r="D855" s="26"/>
      <c r="E855" s="2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24"/>
      <c r="B856" s="25"/>
      <c r="C856" s="25"/>
      <c r="D856" s="26"/>
      <c r="E856" s="2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24"/>
      <c r="B857" s="25"/>
      <c r="C857" s="25"/>
      <c r="D857" s="26"/>
      <c r="E857" s="2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24"/>
      <c r="B858" s="25"/>
      <c r="C858" s="25"/>
      <c r="D858" s="26"/>
      <c r="E858" s="2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24"/>
      <c r="B859" s="25"/>
      <c r="C859" s="25"/>
      <c r="D859" s="26"/>
      <c r="E859" s="2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24"/>
      <c r="B860" s="25"/>
      <c r="C860" s="25"/>
      <c r="D860" s="26"/>
      <c r="E860" s="2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24"/>
      <c r="B861" s="25"/>
      <c r="C861" s="25"/>
      <c r="D861" s="26"/>
      <c r="E861" s="2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24"/>
      <c r="B862" s="25"/>
      <c r="C862" s="25"/>
      <c r="D862" s="26"/>
      <c r="E862" s="2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24"/>
      <c r="B863" s="25"/>
      <c r="C863" s="25"/>
      <c r="D863" s="26"/>
      <c r="E863" s="2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24"/>
      <c r="B864" s="25"/>
      <c r="C864" s="25"/>
      <c r="D864" s="26"/>
      <c r="E864" s="2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24"/>
      <c r="B865" s="25"/>
      <c r="C865" s="25"/>
      <c r="D865" s="26"/>
      <c r="E865" s="2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24"/>
      <c r="B866" s="25"/>
      <c r="C866" s="25"/>
      <c r="D866" s="26"/>
      <c r="E866" s="2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24"/>
      <c r="B867" s="25"/>
      <c r="C867" s="25"/>
      <c r="D867" s="26"/>
      <c r="E867" s="2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24"/>
      <c r="B868" s="25"/>
      <c r="C868" s="25"/>
      <c r="D868" s="26"/>
      <c r="E868" s="2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24"/>
      <c r="B869" s="25"/>
      <c r="C869" s="25"/>
      <c r="D869" s="26"/>
      <c r="E869" s="2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24"/>
      <c r="B870" s="25"/>
      <c r="C870" s="25"/>
      <c r="D870" s="26"/>
      <c r="E870" s="2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24"/>
      <c r="B871" s="25"/>
      <c r="C871" s="25"/>
      <c r="D871" s="26"/>
      <c r="E871" s="2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24"/>
      <c r="B872" s="25"/>
      <c r="C872" s="25"/>
      <c r="D872" s="26"/>
      <c r="E872" s="2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24"/>
      <c r="B873" s="25"/>
      <c r="C873" s="25"/>
      <c r="D873" s="26"/>
      <c r="E873" s="2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24"/>
      <c r="B874" s="25"/>
      <c r="C874" s="25"/>
      <c r="D874" s="26"/>
      <c r="E874" s="2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24"/>
      <c r="B875" s="25"/>
      <c r="C875" s="25"/>
      <c r="D875" s="26"/>
      <c r="E875" s="2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24"/>
      <c r="B876" s="25"/>
      <c r="C876" s="25"/>
      <c r="D876" s="26"/>
      <c r="E876" s="2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24"/>
      <c r="B877" s="25"/>
      <c r="C877" s="25"/>
      <c r="D877" s="26"/>
      <c r="E877" s="2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24"/>
      <c r="B878" s="25"/>
      <c r="C878" s="25"/>
      <c r="D878" s="26"/>
      <c r="E878" s="2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24"/>
      <c r="B879" s="25"/>
      <c r="C879" s="25"/>
      <c r="D879" s="26"/>
      <c r="E879" s="2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24"/>
      <c r="B880" s="25"/>
      <c r="C880" s="25"/>
      <c r="D880" s="26"/>
      <c r="E880" s="2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24"/>
      <c r="B881" s="25"/>
      <c r="C881" s="25"/>
      <c r="D881" s="26"/>
      <c r="E881" s="2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24"/>
      <c r="B882" s="25"/>
      <c r="C882" s="25"/>
      <c r="D882" s="26"/>
      <c r="E882" s="2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24"/>
      <c r="B883" s="25"/>
      <c r="C883" s="25"/>
      <c r="D883" s="26"/>
      <c r="E883" s="2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24"/>
      <c r="B884" s="25"/>
      <c r="C884" s="25"/>
      <c r="D884" s="26"/>
      <c r="E884" s="2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24"/>
      <c r="B885" s="25"/>
      <c r="C885" s="25"/>
      <c r="D885" s="26"/>
      <c r="E885" s="2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24"/>
      <c r="B886" s="25"/>
      <c r="C886" s="25"/>
      <c r="D886" s="26"/>
      <c r="E886" s="2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24"/>
      <c r="B887" s="25"/>
      <c r="C887" s="25"/>
      <c r="D887" s="26"/>
      <c r="E887" s="2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24"/>
      <c r="B888" s="25"/>
      <c r="C888" s="25"/>
      <c r="D888" s="26"/>
      <c r="E888" s="2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24"/>
      <c r="B889" s="25"/>
      <c r="C889" s="25"/>
      <c r="D889" s="26"/>
      <c r="E889" s="2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24"/>
      <c r="B890" s="25"/>
      <c r="C890" s="25"/>
      <c r="D890" s="26"/>
      <c r="E890" s="2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24"/>
      <c r="B891" s="25"/>
      <c r="C891" s="25"/>
      <c r="D891" s="26"/>
      <c r="E891" s="2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24"/>
      <c r="B892" s="25"/>
      <c r="C892" s="25"/>
      <c r="D892" s="26"/>
      <c r="E892" s="2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24"/>
      <c r="B893" s="25"/>
      <c r="C893" s="25"/>
      <c r="D893" s="26"/>
      <c r="E893" s="2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24"/>
      <c r="B894" s="25"/>
      <c r="C894" s="25"/>
      <c r="D894" s="26"/>
      <c r="E894" s="2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24"/>
      <c r="B895" s="25"/>
      <c r="C895" s="25"/>
      <c r="D895" s="26"/>
      <c r="E895" s="2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24"/>
      <c r="B896" s="25"/>
      <c r="C896" s="25"/>
      <c r="D896" s="26"/>
      <c r="E896" s="2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24"/>
      <c r="B897" s="25"/>
      <c r="C897" s="25"/>
      <c r="D897" s="26"/>
      <c r="E897" s="2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24"/>
      <c r="B898" s="25"/>
      <c r="C898" s="25"/>
      <c r="D898" s="26"/>
      <c r="E898" s="2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24"/>
      <c r="B899" s="25"/>
      <c r="C899" s="25"/>
      <c r="D899" s="26"/>
      <c r="E899" s="2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24"/>
      <c r="B900" s="25"/>
      <c r="C900" s="25"/>
      <c r="D900" s="26"/>
      <c r="E900" s="2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24"/>
      <c r="B901" s="25"/>
      <c r="C901" s="25"/>
      <c r="D901" s="26"/>
      <c r="E901" s="2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24"/>
      <c r="B902" s="25"/>
      <c r="C902" s="25"/>
      <c r="D902" s="26"/>
      <c r="E902" s="2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24"/>
      <c r="B903" s="25"/>
      <c r="C903" s="25"/>
      <c r="D903" s="26"/>
      <c r="E903" s="2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24"/>
      <c r="B904" s="25"/>
      <c r="C904" s="25"/>
      <c r="D904" s="26"/>
      <c r="E904" s="2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24"/>
      <c r="B905" s="25"/>
      <c r="C905" s="25"/>
      <c r="D905" s="26"/>
      <c r="E905" s="2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24"/>
      <c r="B906" s="25"/>
      <c r="C906" s="25"/>
      <c r="D906" s="26"/>
      <c r="E906" s="2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24"/>
      <c r="B907" s="25"/>
      <c r="C907" s="25"/>
      <c r="D907" s="26"/>
      <c r="E907" s="2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24"/>
      <c r="B908" s="25"/>
      <c r="C908" s="25"/>
      <c r="D908" s="26"/>
      <c r="E908" s="2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24"/>
      <c r="B909" s="25"/>
      <c r="C909" s="25"/>
      <c r="D909" s="26"/>
      <c r="E909" s="2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24"/>
      <c r="B910" s="25"/>
      <c r="C910" s="25"/>
      <c r="D910" s="26"/>
      <c r="E910" s="2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24"/>
      <c r="B911" s="25"/>
      <c r="C911" s="25"/>
      <c r="D911" s="26"/>
      <c r="E911" s="2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24"/>
      <c r="B912" s="25"/>
      <c r="C912" s="25"/>
      <c r="D912" s="26"/>
      <c r="E912" s="2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24"/>
      <c r="B913" s="25"/>
      <c r="C913" s="25"/>
      <c r="D913" s="26"/>
      <c r="E913" s="2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24"/>
      <c r="B914" s="25"/>
      <c r="C914" s="25"/>
      <c r="D914" s="26"/>
      <c r="E914" s="2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24"/>
      <c r="B915" s="25"/>
      <c r="C915" s="25"/>
      <c r="D915" s="26"/>
      <c r="E915" s="2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24"/>
      <c r="B916" s="25"/>
      <c r="C916" s="25"/>
      <c r="D916" s="26"/>
      <c r="E916" s="2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24"/>
      <c r="B917" s="25"/>
      <c r="C917" s="25"/>
      <c r="D917" s="26"/>
      <c r="E917" s="2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24"/>
      <c r="B918" s="25"/>
      <c r="C918" s="25"/>
      <c r="D918" s="26"/>
      <c r="E918" s="2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24"/>
      <c r="B919" s="25"/>
      <c r="C919" s="25"/>
      <c r="D919" s="26"/>
      <c r="E919" s="2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24"/>
      <c r="B920" s="25"/>
      <c r="C920" s="25"/>
      <c r="D920" s="26"/>
      <c r="E920" s="2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24"/>
      <c r="B921" s="25"/>
      <c r="C921" s="25"/>
      <c r="D921" s="26"/>
      <c r="E921" s="2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24"/>
      <c r="B922" s="25"/>
      <c r="C922" s="25"/>
      <c r="D922" s="26"/>
      <c r="E922" s="2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24"/>
      <c r="B923" s="25"/>
      <c r="C923" s="25"/>
      <c r="D923" s="26"/>
      <c r="E923" s="2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24"/>
      <c r="B924" s="25"/>
      <c r="C924" s="25"/>
      <c r="D924" s="26"/>
      <c r="E924" s="2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24"/>
      <c r="B925" s="25"/>
      <c r="C925" s="25"/>
      <c r="D925" s="26"/>
      <c r="E925" s="2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24"/>
      <c r="B926" s="25"/>
      <c r="C926" s="25"/>
      <c r="D926" s="26"/>
      <c r="E926" s="2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24"/>
      <c r="B927" s="25"/>
      <c r="C927" s="25"/>
      <c r="D927" s="26"/>
      <c r="E927" s="2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24"/>
      <c r="B928" s="25"/>
      <c r="C928" s="25"/>
      <c r="D928" s="26"/>
      <c r="E928" s="2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24"/>
      <c r="B929" s="25"/>
      <c r="C929" s="25"/>
      <c r="D929" s="26"/>
      <c r="E929" s="2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24"/>
      <c r="B930" s="25"/>
      <c r="C930" s="25"/>
      <c r="D930" s="26"/>
      <c r="E930" s="2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24"/>
      <c r="B931" s="25"/>
      <c r="C931" s="25"/>
      <c r="D931" s="26"/>
      <c r="E931" s="2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24"/>
      <c r="B932" s="25"/>
      <c r="C932" s="25"/>
      <c r="D932" s="26"/>
      <c r="E932" s="2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24"/>
      <c r="B933" s="25"/>
      <c r="C933" s="25"/>
      <c r="D933" s="26"/>
      <c r="E933" s="2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24"/>
      <c r="B934" s="25"/>
      <c r="C934" s="25"/>
      <c r="D934" s="26"/>
      <c r="E934" s="2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24"/>
      <c r="B935" s="25"/>
      <c r="C935" s="25"/>
      <c r="D935" s="26"/>
      <c r="E935" s="2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24"/>
      <c r="B936" s="25"/>
      <c r="C936" s="25"/>
      <c r="D936" s="26"/>
      <c r="E936" s="2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24"/>
      <c r="B937" s="25"/>
      <c r="C937" s="25"/>
      <c r="D937" s="26"/>
      <c r="E937" s="2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24"/>
      <c r="B938" s="25"/>
      <c r="C938" s="25"/>
      <c r="D938" s="26"/>
      <c r="E938" s="2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24"/>
      <c r="B939" s="25"/>
      <c r="C939" s="25"/>
      <c r="D939" s="26"/>
      <c r="E939" s="2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24"/>
      <c r="B940" s="25"/>
      <c r="C940" s="25"/>
      <c r="D940" s="26"/>
      <c r="E940" s="2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24"/>
      <c r="B941" s="25"/>
      <c r="C941" s="25"/>
      <c r="D941" s="26"/>
      <c r="E941" s="2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24"/>
      <c r="B942" s="25"/>
      <c r="C942" s="25"/>
      <c r="D942" s="26"/>
      <c r="E942" s="2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24"/>
      <c r="B943" s="25"/>
      <c r="C943" s="25"/>
      <c r="D943" s="26"/>
      <c r="E943" s="2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24"/>
      <c r="B944" s="25"/>
      <c r="C944" s="25"/>
      <c r="D944" s="26"/>
      <c r="E944" s="2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24"/>
      <c r="B945" s="25"/>
      <c r="C945" s="25"/>
      <c r="D945" s="26"/>
      <c r="E945" s="2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24"/>
      <c r="B946" s="25"/>
      <c r="C946" s="25"/>
      <c r="D946" s="26"/>
      <c r="E946" s="2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24"/>
      <c r="B947" s="25"/>
      <c r="C947" s="25"/>
      <c r="D947" s="26"/>
      <c r="E947" s="2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24"/>
      <c r="B948" s="25"/>
      <c r="C948" s="25"/>
      <c r="D948" s="26"/>
      <c r="E948" s="2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24"/>
      <c r="B949" s="25"/>
      <c r="C949" s="25"/>
      <c r="D949" s="26"/>
      <c r="E949" s="2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24"/>
      <c r="B950" s="25"/>
      <c r="C950" s="25"/>
      <c r="D950" s="26"/>
      <c r="E950" s="2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24"/>
      <c r="B951" s="25"/>
      <c r="C951" s="25"/>
      <c r="D951" s="26"/>
      <c r="E951" s="2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24"/>
      <c r="B952" s="25"/>
      <c r="C952" s="25"/>
      <c r="D952" s="26"/>
      <c r="E952" s="2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24"/>
      <c r="B953" s="25"/>
      <c r="C953" s="25"/>
      <c r="D953" s="26"/>
      <c r="E953" s="2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24"/>
      <c r="B954" s="25"/>
      <c r="C954" s="25"/>
      <c r="D954" s="26"/>
      <c r="E954" s="2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24"/>
      <c r="B955" s="25"/>
      <c r="C955" s="25"/>
      <c r="D955" s="26"/>
      <c r="E955" s="2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24"/>
      <c r="B956" s="25"/>
      <c r="C956" s="25"/>
      <c r="D956" s="26"/>
      <c r="E956" s="2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24"/>
      <c r="B957" s="25"/>
      <c r="C957" s="25"/>
      <c r="D957" s="26"/>
      <c r="E957" s="2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24"/>
      <c r="B958" s="25"/>
      <c r="C958" s="25"/>
      <c r="D958" s="26"/>
      <c r="E958" s="2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24"/>
      <c r="B959" s="25"/>
      <c r="C959" s="25"/>
      <c r="D959" s="26"/>
      <c r="E959" s="2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24"/>
      <c r="B960" s="25"/>
      <c r="C960" s="25"/>
      <c r="D960" s="26"/>
      <c r="E960" s="2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24"/>
      <c r="B961" s="25"/>
      <c r="C961" s="25"/>
      <c r="D961" s="26"/>
      <c r="E961" s="2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24"/>
      <c r="B962" s="25"/>
      <c r="C962" s="25"/>
      <c r="D962" s="26"/>
      <c r="E962" s="2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24"/>
      <c r="B963" s="25"/>
      <c r="C963" s="25"/>
      <c r="D963" s="26"/>
      <c r="E963" s="2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24"/>
      <c r="B964" s="25"/>
      <c r="C964" s="25"/>
      <c r="D964" s="26"/>
      <c r="E964" s="2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24"/>
      <c r="B965" s="25"/>
      <c r="C965" s="25"/>
      <c r="D965" s="26"/>
      <c r="E965" s="2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24"/>
      <c r="B966" s="25"/>
      <c r="C966" s="25"/>
      <c r="D966" s="26"/>
      <c r="E966" s="2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24"/>
      <c r="B967" s="25"/>
      <c r="C967" s="25"/>
      <c r="D967" s="26"/>
      <c r="E967" s="2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24"/>
      <c r="B968" s="25"/>
      <c r="C968" s="25"/>
      <c r="D968" s="26"/>
      <c r="E968" s="2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24"/>
      <c r="B969" s="25"/>
      <c r="C969" s="25"/>
      <c r="D969" s="26"/>
      <c r="E969" s="2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24"/>
      <c r="B970" s="25"/>
      <c r="C970" s="25"/>
      <c r="D970" s="26"/>
      <c r="E970" s="2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24"/>
      <c r="B971" s="25"/>
      <c r="C971" s="25"/>
      <c r="D971" s="26"/>
      <c r="E971" s="2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24"/>
      <c r="B972" s="25"/>
      <c r="C972" s="25"/>
      <c r="D972" s="26"/>
      <c r="E972" s="2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24"/>
      <c r="B973" s="25"/>
      <c r="C973" s="25"/>
      <c r="D973" s="26"/>
      <c r="E973" s="2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24"/>
      <c r="B974" s="25"/>
      <c r="C974" s="25"/>
      <c r="D974" s="26"/>
      <c r="E974" s="2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24"/>
      <c r="B975" s="25"/>
      <c r="C975" s="25"/>
      <c r="D975" s="26"/>
      <c r="E975" s="2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24"/>
      <c r="B976" s="25"/>
      <c r="C976" s="25"/>
      <c r="D976" s="26"/>
      <c r="E976" s="2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24"/>
      <c r="B977" s="25"/>
      <c r="C977" s="25"/>
      <c r="D977" s="26"/>
      <c r="E977" s="2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24"/>
      <c r="B978" s="25"/>
      <c r="C978" s="25"/>
      <c r="D978" s="26"/>
      <c r="E978" s="2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24"/>
      <c r="B979" s="25"/>
      <c r="C979" s="25"/>
      <c r="D979" s="26"/>
      <c r="E979" s="2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24"/>
      <c r="B980" s="25"/>
      <c r="C980" s="25"/>
      <c r="D980" s="26"/>
      <c r="E980" s="2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24"/>
      <c r="B981" s="25"/>
      <c r="C981" s="25"/>
      <c r="D981" s="26"/>
      <c r="E981" s="2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24"/>
      <c r="B982" s="25"/>
      <c r="C982" s="25"/>
      <c r="D982" s="26"/>
      <c r="E982" s="2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24"/>
      <c r="B983" s="25"/>
      <c r="C983" s="25"/>
      <c r="D983" s="26"/>
      <c r="E983" s="2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24"/>
      <c r="B984" s="25"/>
      <c r="C984" s="25"/>
      <c r="D984" s="26"/>
      <c r="E984" s="2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24"/>
      <c r="B985" s="25"/>
      <c r="C985" s="25"/>
      <c r="D985" s="26"/>
      <c r="E985" s="2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24"/>
      <c r="B986" s="25"/>
      <c r="C986" s="25"/>
      <c r="D986" s="26"/>
      <c r="E986" s="2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24"/>
      <c r="B987" s="25"/>
      <c r="C987" s="25"/>
      <c r="D987" s="26"/>
      <c r="E987" s="2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24"/>
      <c r="B988" s="25"/>
      <c r="C988" s="25"/>
      <c r="D988" s="26"/>
      <c r="E988" s="2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24"/>
      <c r="B989" s="25"/>
      <c r="C989" s="25"/>
      <c r="D989" s="26"/>
      <c r="E989" s="2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24"/>
      <c r="B990" s="25"/>
      <c r="C990" s="25"/>
      <c r="D990" s="26"/>
      <c r="E990" s="2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24"/>
      <c r="B991" s="25"/>
      <c r="C991" s="25"/>
      <c r="D991" s="26"/>
      <c r="E991" s="2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24"/>
      <c r="B992" s="25"/>
      <c r="C992" s="25"/>
      <c r="D992" s="26"/>
      <c r="E992" s="2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24"/>
      <c r="B993" s="25"/>
      <c r="C993" s="25"/>
      <c r="D993" s="26"/>
      <c r="E993" s="2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24"/>
      <c r="B994" s="25"/>
      <c r="C994" s="25"/>
      <c r="D994" s="26"/>
      <c r="E994" s="2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24"/>
      <c r="B995" s="25"/>
      <c r="C995" s="25"/>
      <c r="D995" s="26"/>
      <c r="E995" s="2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24"/>
      <c r="B996" s="25"/>
      <c r="C996" s="25"/>
      <c r="D996" s="26"/>
      <c r="E996" s="2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24"/>
      <c r="B997" s="25"/>
      <c r="C997" s="25"/>
      <c r="D997" s="26"/>
      <c r="E997" s="2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24"/>
      <c r="B998" s="25"/>
      <c r="C998" s="25"/>
      <c r="D998" s="26"/>
      <c r="E998" s="2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24"/>
      <c r="B999" s="25"/>
      <c r="C999" s="25"/>
      <c r="D999" s="26"/>
      <c r="E999" s="2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24"/>
      <c r="B1000" s="25"/>
      <c r="C1000" s="25"/>
      <c r="D1000" s="26"/>
      <c r="E1000" s="2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1.75" customHeight="1" x14ac:dyDescent="0.6">
      <c r="A1001" s="24"/>
      <c r="B1001" s="25"/>
      <c r="C1001" s="25"/>
      <c r="D1001" s="26"/>
      <c r="E1001" s="2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1.75" customHeight="1" x14ac:dyDescent="0.6">
      <c r="A1002" s="24"/>
      <c r="B1002" s="25"/>
      <c r="C1002" s="25"/>
      <c r="D1002" s="26"/>
      <c r="E1002" s="2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1.75" customHeight="1" x14ac:dyDescent="0.6">
      <c r="A1003" s="24"/>
      <c r="B1003" s="25"/>
      <c r="C1003" s="25"/>
      <c r="D1003" s="26"/>
      <c r="E1003" s="2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1.75" customHeight="1" x14ac:dyDescent="0.6">
      <c r="A1004" s="24"/>
      <c r="B1004" s="25"/>
      <c r="C1004" s="25"/>
      <c r="D1004" s="26"/>
      <c r="E1004" s="2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1.75" customHeight="1" x14ac:dyDescent="0.6">
      <c r="A1005" s="24"/>
      <c r="B1005" s="25"/>
      <c r="C1005" s="25"/>
      <c r="D1005" s="26"/>
      <c r="E1005" s="2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1.75" customHeight="1" x14ac:dyDescent="0.6">
      <c r="A1006" s="24"/>
      <c r="B1006" s="25"/>
      <c r="C1006" s="25"/>
      <c r="D1006" s="26"/>
      <c r="E1006" s="2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1.75" customHeight="1" x14ac:dyDescent="0.6">
      <c r="A1007" s="24"/>
      <c r="B1007" s="25"/>
      <c r="C1007" s="25"/>
      <c r="D1007" s="26"/>
      <c r="E1007" s="2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1.75" customHeight="1" x14ac:dyDescent="0.6">
      <c r="A1008" s="24"/>
      <c r="B1008" s="25"/>
      <c r="C1008" s="25"/>
      <c r="D1008" s="26"/>
      <c r="E1008" s="2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1.75" customHeight="1" x14ac:dyDescent="0.6">
      <c r="A1009" s="24"/>
      <c r="B1009" s="25"/>
      <c r="C1009" s="25"/>
      <c r="D1009" s="26"/>
      <c r="E1009" s="2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1.75" customHeight="1" x14ac:dyDescent="0.6">
      <c r="A1010" s="24"/>
      <c r="B1010" s="25"/>
      <c r="C1010" s="25"/>
      <c r="D1010" s="26"/>
      <c r="E1010" s="2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1.75" customHeight="1" x14ac:dyDescent="0.6">
      <c r="A1011" s="24"/>
      <c r="B1011" s="25"/>
      <c r="C1011" s="25"/>
      <c r="D1011" s="26"/>
      <c r="E1011" s="2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mergeCells count="5">
    <mergeCell ref="A4:E4"/>
    <mergeCell ref="B14:D14"/>
    <mergeCell ref="B15:D15"/>
    <mergeCell ref="B8:D8"/>
    <mergeCell ref="B9:D9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62"/>
  <sheetViews>
    <sheetView showGridLines="0" zoomScale="79" zoomScaleNormal="79" workbookViewId="0">
      <selection activeCell="F47" sqref="F47"/>
    </sheetView>
  </sheetViews>
  <sheetFormatPr defaultRowHeight="12.75" x14ac:dyDescent="0.2"/>
  <cols>
    <col min="1" max="1" width="15.7109375" customWidth="1"/>
    <col min="2" max="2" width="66.140625" customWidth="1"/>
    <col min="3" max="3" width="11.42578125" customWidth="1"/>
    <col min="4" max="4" width="18.42578125" customWidth="1"/>
    <col min="5" max="5" width="11.7109375" bestFit="1" customWidth="1"/>
    <col min="6" max="6" width="19.42578125" bestFit="1" customWidth="1"/>
  </cols>
  <sheetData>
    <row r="1" spans="1:6" x14ac:dyDescent="0.2">
      <c r="A1" s="329" t="s">
        <v>9</v>
      </c>
      <c r="B1" s="329"/>
      <c r="C1" s="329"/>
      <c r="D1" s="330"/>
      <c r="E1" s="330"/>
      <c r="F1" s="330"/>
    </row>
    <row r="2" spans="1:6" x14ac:dyDescent="0.2">
      <c r="A2" s="329"/>
      <c r="B2" s="329"/>
      <c r="C2" s="329"/>
      <c r="D2" s="330"/>
      <c r="E2" s="330"/>
      <c r="F2" s="330"/>
    </row>
    <row r="3" spans="1:6" x14ac:dyDescent="0.2">
      <c r="A3" s="329"/>
      <c r="B3" s="329"/>
      <c r="C3" s="329"/>
      <c r="D3" s="330"/>
      <c r="E3" s="330"/>
      <c r="F3" s="330"/>
    </row>
    <row r="4" spans="1:6" x14ac:dyDescent="0.2">
      <c r="A4" s="329"/>
      <c r="B4" s="329"/>
      <c r="C4" s="329"/>
      <c r="D4" s="330"/>
      <c r="E4" s="330"/>
      <c r="F4" s="330"/>
    </row>
    <row r="5" spans="1:6" x14ac:dyDescent="0.2">
      <c r="A5" s="329"/>
      <c r="B5" s="329"/>
      <c r="C5" s="329"/>
      <c r="D5" s="330"/>
      <c r="E5" s="330"/>
      <c r="F5" s="330"/>
    </row>
    <row r="6" spans="1:6" ht="20.25" thickBot="1" x14ac:dyDescent="0.25">
      <c r="A6" s="80"/>
      <c r="B6" s="81"/>
      <c r="C6" s="81"/>
      <c r="D6" s="82"/>
      <c r="E6" s="82"/>
      <c r="F6" s="83"/>
    </row>
    <row r="7" spans="1:6" ht="19.5" x14ac:dyDescent="0.2">
      <c r="A7" s="84" t="s">
        <v>116</v>
      </c>
      <c r="B7" s="331" t="str">
        <f>[3]OBRA!B2</f>
        <v>Neuhaus</v>
      </c>
      <c r="C7" s="331"/>
      <c r="D7" s="332"/>
      <c r="E7" s="332"/>
      <c r="F7" s="333"/>
    </row>
    <row r="8" spans="1:6" ht="19.5" x14ac:dyDescent="0.2">
      <c r="A8" s="85" t="s">
        <v>0</v>
      </c>
      <c r="B8" s="334" t="str">
        <f>[3]OBRA!B1</f>
        <v>Origem 3300</v>
      </c>
      <c r="C8" s="334"/>
      <c r="D8" s="335"/>
      <c r="E8" s="335"/>
      <c r="F8" s="336"/>
    </row>
    <row r="9" spans="1:6" ht="19.5" x14ac:dyDescent="0.2">
      <c r="A9" s="85" t="s">
        <v>10</v>
      </c>
      <c r="B9" s="337">
        <v>45509</v>
      </c>
      <c r="C9" s="337"/>
      <c r="D9" s="335"/>
      <c r="E9" s="335"/>
      <c r="F9" s="336"/>
    </row>
    <row r="10" spans="1:6" ht="20.25" thickBot="1" x14ac:dyDescent="0.25">
      <c r="A10" s="86" t="s">
        <v>117</v>
      </c>
      <c r="B10" s="338" t="s">
        <v>55</v>
      </c>
      <c r="C10" s="338"/>
      <c r="D10" s="339"/>
      <c r="E10" s="339"/>
      <c r="F10" s="340"/>
    </row>
    <row r="11" spans="1:6" ht="20.25" thickBot="1" x14ac:dyDescent="0.25">
      <c r="A11" s="87"/>
      <c r="B11" s="87"/>
      <c r="C11" s="87"/>
      <c r="D11" s="88"/>
      <c r="E11" s="88"/>
      <c r="F11" s="88"/>
    </row>
    <row r="12" spans="1:6" ht="20.25" thickBot="1" x14ac:dyDescent="0.25">
      <c r="A12" s="323" t="s">
        <v>118</v>
      </c>
      <c r="B12" s="324"/>
      <c r="C12" s="324"/>
      <c r="D12" s="325"/>
      <c r="E12" s="325"/>
      <c r="F12" s="326"/>
    </row>
    <row r="13" spans="1:6" ht="39" x14ac:dyDescent="0.2">
      <c r="A13" s="89" t="s">
        <v>119</v>
      </c>
      <c r="B13" s="89" t="s">
        <v>4</v>
      </c>
      <c r="C13" s="89" t="s">
        <v>120</v>
      </c>
      <c r="D13" s="90" t="s">
        <v>121</v>
      </c>
      <c r="E13" s="91" t="s">
        <v>122</v>
      </c>
      <c r="F13" s="91" t="s">
        <v>123</v>
      </c>
    </row>
    <row r="14" spans="1:6" ht="19.5" x14ac:dyDescent="0.2">
      <c r="A14" s="92" t="s">
        <v>124</v>
      </c>
      <c r="B14" s="30" t="s">
        <v>125</v>
      </c>
      <c r="C14" s="30"/>
      <c r="D14" s="31"/>
      <c r="E14" s="32"/>
      <c r="F14" s="33">
        <f>SUM(F20+F15)</f>
        <v>1276327.0737287248</v>
      </c>
    </row>
    <row r="15" spans="1:6" ht="19.5" x14ac:dyDescent="0.2">
      <c r="A15" s="93" t="s">
        <v>126</v>
      </c>
      <c r="B15" s="34" t="s">
        <v>127</v>
      </c>
      <c r="C15" s="34"/>
      <c r="D15" s="35"/>
      <c r="E15" s="36"/>
      <c r="F15" s="37">
        <f>SUM(F16:F19)</f>
        <v>584595.64151582902</v>
      </c>
    </row>
    <row r="16" spans="1:6" ht="19.5" x14ac:dyDescent="0.2">
      <c r="A16" s="94" t="s">
        <v>128</v>
      </c>
      <c r="B16" s="38" t="s">
        <v>129</v>
      </c>
      <c r="C16" s="38"/>
      <c r="D16" s="39"/>
      <c r="E16" s="40"/>
      <c r="F16" s="41">
        <v>28641.924007139438</v>
      </c>
    </row>
    <row r="17" spans="1:6" ht="19.5" x14ac:dyDescent="0.2">
      <c r="A17" s="94" t="s">
        <v>130</v>
      </c>
      <c r="B17" s="38" t="s">
        <v>131</v>
      </c>
      <c r="C17" s="38"/>
      <c r="D17" s="39"/>
      <c r="E17" s="40"/>
      <c r="F17" s="95">
        <v>466942.44889220182</v>
      </c>
    </row>
    <row r="18" spans="1:6" ht="19.5" x14ac:dyDescent="0.2">
      <c r="A18" s="94" t="s">
        <v>132</v>
      </c>
      <c r="B18" s="38" t="s">
        <v>133</v>
      </c>
      <c r="C18" s="38"/>
      <c r="D18" s="39"/>
      <c r="E18" s="40"/>
      <c r="F18" s="41">
        <v>63138.443895112941</v>
      </c>
    </row>
    <row r="19" spans="1:6" ht="19.5" x14ac:dyDescent="0.2">
      <c r="A19" s="94" t="s">
        <v>134</v>
      </c>
      <c r="B19" s="38" t="s">
        <v>135</v>
      </c>
      <c r="C19" s="38"/>
      <c r="D19" s="39"/>
      <c r="E19" s="40"/>
      <c r="F19" s="41">
        <v>25872.824721374731</v>
      </c>
    </row>
    <row r="20" spans="1:6" ht="19.5" x14ac:dyDescent="0.2">
      <c r="A20" s="93" t="s">
        <v>136</v>
      </c>
      <c r="B20" s="34" t="s">
        <v>137</v>
      </c>
      <c r="C20" s="34"/>
      <c r="D20" s="35"/>
      <c r="E20" s="36"/>
      <c r="F20" s="37">
        <f>SUM(F21:F23)</f>
        <v>691731.43221289571</v>
      </c>
    </row>
    <row r="21" spans="1:6" ht="19.5" x14ac:dyDescent="0.2">
      <c r="A21" s="96" t="s">
        <v>138</v>
      </c>
      <c r="B21" s="38" t="s">
        <v>139</v>
      </c>
      <c r="C21" s="38"/>
      <c r="D21" s="39"/>
      <c r="E21" s="40"/>
      <c r="F21" s="41">
        <v>94382.854461404349</v>
      </c>
    </row>
    <row r="22" spans="1:6" ht="19.5" x14ac:dyDescent="0.2">
      <c r="A22" s="96" t="s">
        <v>140</v>
      </c>
      <c r="B22" s="38" t="s">
        <v>141</v>
      </c>
      <c r="C22" s="38"/>
      <c r="D22" s="39"/>
      <c r="E22" s="40"/>
      <c r="F22" s="41">
        <v>529878.76703631051</v>
      </c>
    </row>
    <row r="23" spans="1:6" ht="19.5" x14ac:dyDescent="0.2">
      <c r="A23" s="94" t="s">
        <v>142</v>
      </c>
      <c r="B23" s="38" t="s">
        <v>143</v>
      </c>
      <c r="C23" s="38"/>
      <c r="D23" s="39"/>
      <c r="E23" s="40"/>
      <c r="F23" s="41">
        <v>67469.810715180836</v>
      </c>
    </row>
    <row r="24" spans="1:6" ht="19.5" x14ac:dyDescent="0.2">
      <c r="A24" s="97" t="s">
        <v>144</v>
      </c>
      <c r="B24" s="42" t="s">
        <v>145</v>
      </c>
      <c r="C24" s="42"/>
      <c r="D24" s="43"/>
      <c r="E24" s="44"/>
      <c r="F24" s="45">
        <f>SUM(F25+F39+F61)</f>
        <v>6014676.584121611</v>
      </c>
    </row>
    <row r="25" spans="1:6" ht="19.5" x14ac:dyDescent="0.2">
      <c r="A25" s="98" t="s">
        <v>146</v>
      </c>
      <c r="B25" s="34" t="s">
        <v>147</v>
      </c>
      <c r="C25" s="34"/>
      <c r="D25" s="35"/>
      <c r="E25" s="36"/>
      <c r="F25" s="37">
        <f>SUM(F26+F28+F38)</f>
        <v>850034.4460449958</v>
      </c>
    </row>
    <row r="26" spans="1:6" ht="19.5" x14ac:dyDescent="0.2">
      <c r="A26" s="96" t="s">
        <v>148</v>
      </c>
      <c r="B26" s="38" t="s">
        <v>149</v>
      </c>
      <c r="C26" s="38"/>
      <c r="D26" s="39"/>
      <c r="E26" s="40"/>
      <c r="F26" s="41">
        <f>F27</f>
        <v>19200</v>
      </c>
    </row>
    <row r="27" spans="1:6" ht="19.5" x14ac:dyDescent="0.2">
      <c r="A27" s="99" t="s">
        <v>150</v>
      </c>
      <c r="B27" s="46" t="s">
        <v>151</v>
      </c>
      <c r="C27" s="46" t="s">
        <v>152</v>
      </c>
      <c r="D27" s="47">
        <v>48</v>
      </c>
      <c r="E27" s="48">
        <v>400</v>
      </c>
      <c r="F27" s="27">
        <f>E27*D27</f>
        <v>19200</v>
      </c>
    </row>
    <row r="28" spans="1:6" ht="19.5" x14ac:dyDescent="0.2">
      <c r="A28" s="96" t="s">
        <v>153</v>
      </c>
      <c r="B28" s="38" t="s">
        <v>154</v>
      </c>
      <c r="C28" s="38"/>
      <c r="D28" s="39"/>
      <c r="E28" s="40"/>
      <c r="F28" s="41">
        <f>SUM(F29:F37)</f>
        <v>742035.66799999995</v>
      </c>
    </row>
    <row r="29" spans="1:6" ht="19.5" x14ac:dyDescent="0.2">
      <c r="A29" s="99" t="s">
        <v>155</v>
      </c>
      <c r="B29" s="46" t="s">
        <v>156</v>
      </c>
      <c r="C29" s="46" t="s">
        <v>157</v>
      </c>
      <c r="D29" s="47">
        <v>301.68</v>
      </c>
      <c r="E29" s="49">
        <v>350</v>
      </c>
      <c r="F29" s="27">
        <v>105588</v>
      </c>
    </row>
    <row r="30" spans="1:6" ht="19.5" x14ac:dyDescent="0.2">
      <c r="A30" s="99" t="s">
        <v>158</v>
      </c>
      <c r="B30" s="46" t="s">
        <v>159</v>
      </c>
      <c r="C30" s="46" t="s">
        <v>157</v>
      </c>
      <c r="D30" s="47">
        <v>779.67</v>
      </c>
      <c r="E30" s="49">
        <v>300</v>
      </c>
      <c r="F30" s="27">
        <v>233901</v>
      </c>
    </row>
    <row r="31" spans="1:6" ht="19.5" x14ac:dyDescent="0.2">
      <c r="A31" s="99" t="s">
        <v>160</v>
      </c>
      <c r="B31" s="46" t="s">
        <v>161</v>
      </c>
      <c r="C31" s="46" t="s">
        <v>157</v>
      </c>
      <c r="D31" s="50">
        <v>754.2</v>
      </c>
      <c r="E31" s="49">
        <v>49</v>
      </c>
      <c r="F31" s="27">
        <v>36955.800000000003</v>
      </c>
    </row>
    <row r="32" spans="1:6" ht="19.5" x14ac:dyDescent="0.2">
      <c r="A32" s="99" t="s">
        <v>162</v>
      </c>
      <c r="B32" s="46" t="s">
        <v>163</v>
      </c>
      <c r="C32" s="46" t="s">
        <v>164</v>
      </c>
      <c r="D32" s="47">
        <v>638.55000000000007</v>
      </c>
      <c r="E32" s="49">
        <v>50</v>
      </c>
      <c r="F32" s="27">
        <v>31927.500000000004</v>
      </c>
    </row>
    <row r="33" spans="1:6" ht="19.5" x14ac:dyDescent="0.2">
      <c r="A33" s="100" t="s">
        <v>165</v>
      </c>
      <c r="B33" s="101" t="s">
        <v>166</v>
      </c>
      <c r="C33" s="101" t="s">
        <v>157</v>
      </c>
      <c r="D33" s="102">
        <v>754.2</v>
      </c>
      <c r="E33" s="103">
        <v>20</v>
      </c>
      <c r="F33" s="104">
        <f>E33*D33</f>
        <v>15084</v>
      </c>
    </row>
    <row r="34" spans="1:6" ht="19.5" x14ac:dyDescent="0.2">
      <c r="A34" s="99" t="s">
        <v>167</v>
      </c>
      <c r="B34" s="46" t="s">
        <v>168</v>
      </c>
      <c r="C34" s="46" t="s">
        <v>169</v>
      </c>
      <c r="D34" s="47">
        <v>1</v>
      </c>
      <c r="E34" s="49">
        <v>15968.018</v>
      </c>
      <c r="F34" s="27">
        <v>15968.018</v>
      </c>
    </row>
    <row r="35" spans="1:6" ht="19.5" x14ac:dyDescent="0.2">
      <c r="A35" s="99" t="s">
        <v>170</v>
      </c>
      <c r="B35" s="46" t="s">
        <v>171</v>
      </c>
      <c r="C35" s="46" t="s">
        <v>164</v>
      </c>
      <c r="D35" s="47">
        <v>9974.09</v>
      </c>
      <c r="E35" s="49">
        <v>15</v>
      </c>
      <c r="F35" s="27">
        <v>149611.35</v>
      </c>
    </row>
    <row r="36" spans="1:6" ht="19.5" x14ac:dyDescent="0.2">
      <c r="A36" s="99" t="s">
        <v>172</v>
      </c>
      <c r="B36" s="46" t="s">
        <v>173</v>
      </c>
      <c r="C36" s="46" t="s">
        <v>169</v>
      </c>
      <c r="D36" s="47">
        <v>1</v>
      </c>
      <c r="E36" s="49">
        <v>38000</v>
      </c>
      <c r="F36" s="27">
        <v>38000</v>
      </c>
    </row>
    <row r="37" spans="1:6" ht="19.5" x14ac:dyDescent="0.2">
      <c r="A37" s="100" t="s">
        <v>650</v>
      </c>
      <c r="B37" s="101" t="s">
        <v>651</v>
      </c>
      <c r="C37" s="101" t="s">
        <v>169</v>
      </c>
      <c r="D37" s="102">
        <v>1</v>
      </c>
      <c r="E37" s="103">
        <v>115000</v>
      </c>
      <c r="F37" s="104">
        <f>E37*D37</f>
        <v>115000</v>
      </c>
    </row>
    <row r="38" spans="1:6" ht="19.5" x14ac:dyDescent="0.2">
      <c r="A38" s="96" t="s">
        <v>174</v>
      </c>
      <c r="B38" s="38" t="s">
        <v>175</v>
      </c>
      <c r="C38" s="38"/>
      <c r="D38" s="39"/>
      <c r="E38" s="40"/>
      <c r="F38" s="41">
        <v>88798.778044995823</v>
      </c>
    </row>
    <row r="39" spans="1:6" ht="19.5" x14ac:dyDescent="0.2">
      <c r="A39" s="98" t="s">
        <v>176</v>
      </c>
      <c r="B39" s="34" t="s">
        <v>177</v>
      </c>
      <c r="C39" s="34"/>
      <c r="D39" s="35"/>
      <c r="E39" s="36"/>
      <c r="F39" s="37">
        <f>SUM(F40+F50+F60+F53)</f>
        <v>3338744.1380766146</v>
      </c>
    </row>
    <row r="40" spans="1:6" ht="19.5" x14ac:dyDescent="0.2">
      <c r="A40" s="96" t="s">
        <v>178</v>
      </c>
      <c r="B40" s="38" t="s">
        <v>179</v>
      </c>
      <c r="C40" s="38"/>
      <c r="D40" s="39"/>
      <c r="E40" s="40"/>
      <c r="F40" s="41">
        <f>SUM(F41:F49)</f>
        <v>2553724.7999999998</v>
      </c>
    </row>
    <row r="41" spans="1:6" ht="19.5" x14ac:dyDescent="0.2">
      <c r="A41" s="99" t="s">
        <v>180</v>
      </c>
      <c r="B41" s="46" t="s">
        <v>181</v>
      </c>
      <c r="C41" s="46" t="s">
        <v>152</v>
      </c>
      <c r="D41" s="47">
        <v>48</v>
      </c>
      <c r="E41" s="48">
        <v>12000</v>
      </c>
      <c r="F41" s="27">
        <v>576000</v>
      </c>
    </row>
    <row r="42" spans="1:6" ht="19.5" x14ac:dyDescent="0.2">
      <c r="A42" s="99" t="s">
        <v>182</v>
      </c>
      <c r="B42" s="46" t="s">
        <v>183</v>
      </c>
      <c r="C42" s="46" t="s">
        <v>152</v>
      </c>
      <c r="D42" s="47">
        <v>48</v>
      </c>
      <c r="E42" s="48">
        <v>4254.4479999999994</v>
      </c>
      <c r="F42" s="27">
        <v>204213.50399999996</v>
      </c>
    </row>
    <row r="43" spans="1:6" ht="19.5" x14ac:dyDescent="0.2">
      <c r="A43" s="99" t="s">
        <v>184</v>
      </c>
      <c r="B43" s="46" t="s">
        <v>185</v>
      </c>
      <c r="C43" s="46" t="s">
        <v>152</v>
      </c>
      <c r="D43" s="47">
        <v>48</v>
      </c>
      <c r="E43" s="48">
        <v>8369.7920000000013</v>
      </c>
      <c r="F43" s="27">
        <v>401750.01600000006</v>
      </c>
    </row>
    <row r="44" spans="1:6" ht="19.5" x14ac:dyDescent="0.2">
      <c r="A44" s="99" t="s">
        <v>186</v>
      </c>
      <c r="B44" s="46" t="s">
        <v>187</v>
      </c>
      <c r="C44" s="46" t="s">
        <v>152</v>
      </c>
      <c r="D44" s="47">
        <v>48</v>
      </c>
      <c r="E44" s="48">
        <v>3000</v>
      </c>
      <c r="F44" s="27">
        <v>144000</v>
      </c>
    </row>
    <row r="45" spans="1:6" ht="19.5" x14ac:dyDescent="0.2">
      <c r="A45" s="100" t="s">
        <v>188</v>
      </c>
      <c r="B45" s="101" t="s">
        <v>189</v>
      </c>
      <c r="C45" s="101" t="s">
        <v>152</v>
      </c>
      <c r="D45" s="102">
        <v>22</v>
      </c>
      <c r="E45" s="103">
        <v>7800</v>
      </c>
      <c r="F45" s="104">
        <v>171600</v>
      </c>
    </row>
    <row r="46" spans="1:6" ht="19.5" x14ac:dyDescent="0.2">
      <c r="A46" s="99" t="s">
        <v>190</v>
      </c>
      <c r="B46" s="46" t="s">
        <v>191</v>
      </c>
      <c r="C46" s="46" t="s">
        <v>152</v>
      </c>
      <c r="D46" s="47">
        <v>48</v>
      </c>
      <c r="E46" s="48">
        <v>3812.48</v>
      </c>
      <c r="F46" s="27">
        <v>182999.04000000001</v>
      </c>
    </row>
    <row r="47" spans="1:6" ht="19.5" x14ac:dyDescent="0.2">
      <c r="A47" s="100" t="s">
        <v>192</v>
      </c>
      <c r="B47" s="101" t="s">
        <v>193</v>
      </c>
      <c r="C47" s="101" t="s">
        <v>152</v>
      </c>
      <c r="D47" s="102">
        <v>48</v>
      </c>
      <c r="E47" s="103">
        <v>7142.88</v>
      </c>
      <c r="F47" s="104">
        <v>342858.23999999999</v>
      </c>
    </row>
    <row r="48" spans="1:6" ht="19.5" x14ac:dyDescent="0.2">
      <c r="A48" s="99" t="s">
        <v>194</v>
      </c>
      <c r="B48" s="46" t="s">
        <v>195</v>
      </c>
      <c r="C48" s="46" t="s">
        <v>152</v>
      </c>
      <c r="D48" s="47">
        <v>48</v>
      </c>
      <c r="E48" s="48">
        <v>4048</v>
      </c>
      <c r="F48" s="27">
        <v>194304</v>
      </c>
    </row>
    <row r="49" spans="1:6" ht="19.5" x14ac:dyDescent="0.2">
      <c r="A49" s="100" t="s">
        <v>196</v>
      </c>
      <c r="B49" s="101" t="s">
        <v>197</v>
      </c>
      <c r="C49" s="101" t="s">
        <v>152</v>
      </c>
      <c r="D49" s="102">
        <v>48</v>
      </c>
      <c r="E49" s="103">
        <v>7000</v>
      </c>
      <c r="F49" s="104">
        <f>E49*D49</f>
        <v>336000</v>
      </c>
    </row>
    <row r="50" spans="1:6" ht="19.5" x14ac:dyDescent="0.2">
      <c r="A50" s="96" t="s">
        <v>198</v>
      </c>
      <c r="B50" s="38" t="s">
        <v>199</v>
      </c>
      <c r="C50" s="38"/>
      <c r="D50" s="39"/>
      <c r="E50" s="40"/>
      <c r="F50" s="41">
        <f>SUM(F51:F52)</f>
        <v>34191.804400000001</v>
      </c>
    </row>
    <row r="51" spans="1:6" ht="19.5" x14ac:dyDescent="0.2">
      <c r="A51" s="99" t="s">
        <v>200</v>
      </c>
      <c r="B51" s="46" t="s">
        <v>201</v>
      </c>
      <c r="C51" s="46" t="s">
        <v>164</v>
      </c>
      <c r="D51" s="47">
        <v>1294.4000000000001</v>
      </c>
      <c r="E51" s="48">
        <v>12.5</v>
      </c>
      <c r="F51" s="27">
        <v>16180.000000000002</v>
      </c>
    </row>
    <row r="52" spans="1:6" ht="19.5" x14ac:dyDescent="0.2">
      <c r="A52" s="99" t="s">
        <v>202</v>
      </c>
      <c r="B52" s="46" t="s">
        <v>203</v>
      </c>
      <c r="C52" s="46" t="s">
        <v>157</v>
      </c>
      <c r="D52" s="47">
        <v>150.84</v>
      </c>
      <c r="E52" s="49">
        <v>119.41000000000001</v>
      </c>
      <c r="F52" s="27">
        <v>18011.804400000001</v>
      </c>
    </row>
    <row r="53" spans="1:6" ht="19.5" x14ac:dyDescent="0.2">
      <c r="A53" s="96" t="s">
        <v>204</v>
      </c>
      <c r="B53" s="38" t="s">
        <v>205</v>
      </c>
      <c r="C53" s="38"/>
      <c r="D53" s="39"/>
      <c r="E53" s="40"/>
      <c r="F53" s="41">
        <f>SUM(F54:F59)</f>
        <v>242754.23367661505</v>
      </c>
    </row>
    <row r="54" spans="1:6" ht="19.5" x14ac:dyDescent="0.2">
      <c r="A54" s="99" t="s">
        <v>206</v>
      </c>
      <c r="B54" s="46" t="s">
        <v>207</v>
      </c>
      <c r="C54" s="46" t="s">
        <v>169</v>
      </c>
      <c r="D54" s="105">
        <v>1</v>
      </c>
      <c r="E54" s="48">
        <v>145163.79999999999</v>
      </c>
      <c r="F54" s="106">
        <v>145163.79999999999</v>
      </c>
    </row>
    <row r="55" spans="1:6" ht="19.5" x14ac:dyDescent="0.2">
      <c r="A55" s="100" t="s">
        <v>208</v>
      </c>
      <c r="B55" s="101" t="s">
        <v>209</v>
      </c>
      <c r="C55" s="101" t="s">
        <v>169</v>
      </c>
      <c r="D55" s="102">
        <v>1</v>
      </c>
      <c r="E55" s="103">
        <v>12355.569968307549</v>
      </c>
      <c r="F55" s="104">
        <v>12355.569968307549</v>
      </c>
    </row>
    <row r="56" spans="1:6" ht="19.5" x14ac:dyDescent="0.2">
      <c r="A56" s="99" t="s">
        <v>210</v>
      </c>
      <c r="B56" s="46" t="s">
        <v>211</v>
      </c>
      <c r="C56" s="46" t="s">
        <v>169</v>
      </c>
      <c r="D56" s="105">
        <v>1</v>
      </c>
      <c r="E56" s="48">
        <v>12355.569968307549</v>
      </c>
      <c r="F56" s="106">
        <v>12355.569968307549</v>
      </c>
    </row>
    <row r="57" spans="1:6" ht="19.5" x14ac:dyDescent="0.2">
      <c r="A57" s="99" t="s">
        <v>212</v>
      </c>
      <c r="B57" s="46" t="s">
        <v>213</v>
      </c>
      <c r="C57" s="46" t="s">
        <v>169</v>
      </c>
      <c r="D57" s="105">
        <v>1</v>
      </c>
      <c r="E57" s="48">
        <v>14300</v>
      </c>
      <c r="F57" s="106">
        <v>14300</v>
      </c>
    </row>
    <row r="58" spans="1:6" ht="19.5" x14ac:dyDescent="0.2">
      <c r="A58" s="99" t="s">
        <v>214</v>
      </c>
      <c r="B58" s="46" t="s">
        <v>215</v>
      </c>
      <c r="C58" s="58" t="s">
        <v>169</v>
      </c>
      <c r="D58" s="105">
        <v>1</v>
      </c>
      <c r="E58" s="48">
        <v>33000</v>
      </c>
      <c r="F58" s="106">
        <v>33000</v>
      </c>
    </row>
    <row r="59" spans="1:6" ht="19.5" x14ac:dyDescent="0.2">
      <c r="A59" s="99" t="s">
        <v>216</v>
      </c>
      <c r="B59" s="46" t="s">
        <v>217</v>
      </c>
      <c r="C59" s="46" t="s">
        <v>164</v>
      </c>
      <c r="D59" s="47">
        <v>214.21400000000003</v>
      </c>
      <c r="E59" s="48">
        <v>119.41000000000001</v>
      </c>
      <c r="F59" s="27">
        <v>25579.293740000005</v>
      </c>
    </row>
    <row r="60" spans="1:6" ht="19.5" x14ac:dyDescent="0.2">
      <c r="A60" s="96" t="s">
        <v>218</v>
      </c>
      <c r="B60" s="38" t="s">
        <v>219</v>
      </c>
      <c r="C60" s="38"/>
      <c r="D60" s="39"/>
      <c r="E60" s="40"/>
      <c r="F60" s="41">
        <v>508073.3</v>
      </c>
    </row>
    <row r="61" spans="1:6" ht="19.5" x14ac:dyDescent="0.2">
      <c r="A61" s="98" t="s">
        <v>220</v>
      </c>
      <c r="B61" s="34" t="s">
        <v>221</v>
      </c>
      <c r="C61" s="34"/>
      <c r="D61" s="35"/>
      <c r="E61" s="36"/>
      <c r="F61" s="37">
        <f>F62+F77</f>
        <v>1825898</v>
      </c>
    </row>
    <row r="62" spans="1:6" ht="19.5" x14ac:dyDescent="0.2">
      <c r="A62" s="96" t="s">
        <v>222</v>
      </c>
      <c r="B62" s="38" t="s">
        <v>223</v>
      </c>
      <c r="C62" s="38"/>
      <c r="D62" s="39"/>
      <c r="E62" s="40"/>
      <c r="F62" s="41">
        <f>SUM(F63:F76)</f>
        <v>1766425</v>
      </c>
    </row>
    <row r="63" spans="1:6" ht="19.5" x14ac:dyDescent="0.2">
      <c r="A63" s="99" t="s">
        <v>224</v>
      </c>
      <c r="B63" s="46" t="s">
        <v>225</v>
      </c>
      <c r="C63" s="46" t="s">
        <v>169</v>
      </c>
      <c r="D63" s="50">
        <v>1</v>
      </c>
      <c r="E63" s="48">
        <v>60800</v>
      </c>
      <c r="F63" s="106">
        <v>60800</v>
      </c>
    </row>
    <row r="64" spans="1:6" ht="19.5" x14ac:dyDescent="0.2">
      <c r="A64" s="99" t="s">
        <v>226</v>
      </c>
      <c r="B64" s="46" t="s">
        <v>227</v>
      </c>
      <c r="C64" s="46" t="s">
        <v>120</v>
      </c>
      <c r="D64" s="50">
        <v>1</v>
      </c>
      <c r="E64" s="48">
        <v>24000</v>
      </c>
      <c r="F64" s="106">
        <v>24000</v>
      </c>
    </row>
    <row r="65" spans="1:6" ht="20.25" customHeight="1" x14ac:dyDescent="0.2">
      <c r="A65" s="99" t="s">
        <v>228</v>
      </c>
      <c r="B65" s="46" t="s">
        <v>229</v>
      </c>
      <c r="C65" s="46" t="s">
        <v>152</v>
      </c>
      <c r="D65" s="50">
        <v>22</v>
      </c>
      <c r="E65" s="48">
        <v>22000</v>
      </c>
      <c r="F65" s="106">
        <v>484000</v>
      </c>
    </row>
    <row r="66" spans="1:6" ht="19.5" x14ac:dyDescent="0.2">
      <c r="A66" s="99" t="s">
        <v>230</v>
      </c>
      <c r="B66" s="46" t="s">
        <v>231</v>
      </c>
      <c r="C66" s="46" t="s">
        <v>120</v>
      </c>
      <c r="D66" s="50">
        <v>1</v>
      </c>
      <c r="E66" s="48">
        <v>7500</v>
      </c>
      <c r="F66" s="106">
        <v>7500</v>
      </c>
    </row>
    <row r="67" spans="1:6" ht="19.5" x14ac:dyDescent="0.2">
      <c r="A67" s="99" t="s">
        <v>232</v>
      </c>
      <c r="B67" s="46" t="s">
        <v>233</v>
      </c>
      <c r="C67" s="46" t="s">
        <v>120</v>
      </c>
      <c r="D67" s="50">
        <v>1</v>
      </c>
      <c r="E67" s="48">
        <v>20000</v>
      </c>
      <c r="F67" s="106">
        <v>20000</v>
      </c>
    </row>
    <row r="68" spans="1:6" ht="19.5" x14ac:dyDescent="0.2">
      <c r="A68" s="99" t="s">
        <v>234</v>
      </c>
      <c r="B68" s="46" t="s">
        <v>235</v>
      </c>
      <c r="C68" s="46" t="s">
        <v>120</v>
      </c>
      <c r="D68" s="50">
        <v>11</v>
      </c>
      <c r="E68" s="48">
        <v>4500</v>
      </c>
      <c r="F68" s="106">
        <v>49500</v>
      </c>
    </row>
    <row r="69" spans="1:6" ht="19.5" x14ac:dyDescent="0.2">
      <c r="A69" s="99" t="s">
        <v>236</v>
      </c>
      <c r="B69" s="46" t="s">
        <v>237</v>
      </c>
      <c r="C69" s="46" t="s">
        <v>152</v>
      </c>
      <c r="D69" s="50">
        <v>22</v>
      </c>
      <c r="E69" s="48">
        <v>2100</v>
      </c>
      <c r="F69" s="106">
        <v>46200</v>
      </c>
    </row>
    <row r="70" spans="1:6" ht="19.5" x14ac:dyDescent="0.2">
      <c r="A70" s="99" t="s">
        <v>238</v>
      </c>
      <c r="B70" s="46" t="s">
        <v>239</v>
      </c>
      <c r="C70" s="46" t="s">
        <v>152</v>
      </c>
      <c r="D70" s="50">
        <v>45</v>
      </c>
      <c r="E70" s="49">
        <v>20000</v>
      </c>
      <c r="F70" s="106">
        <v>900000</v>
      </c>
    </row>
    <row r="71" spans="1:6" ht="19.5" x14ac:dyDescent="0.2">
      <c r="A71" s="100" t="s">
        <v>240</v>
      </c>
      <c r="B71" s="101" t="s">
        <v>241</v>
      </c>
      <c r="C71" s="101" t="s">
        <v>120</v>
      </c>
      <c r="D71" s="102">
        <v>1</v>
      </c>
      <c r="E71" s="103">
        <v>20000</v>
      </c>
      <c r="F71" s="104">
        <f>E71*D71</f>
        <v>20000</v>
      </c>
    </row>
    <row r="72" spans="1:6" ht="19.5" x14ac:dyDescent="0.2">
      <c r="A72" s="99" t="s">
        <v>242</v>
      </c>
      <c r="B72" s="46" t="s">
        <v>243</v>
      </c>
      <c r="C72" s="46" t="s">
        <v>120</v>
      </c>
      <c r="D72" s="50">
        <v>2</v>
      </c>
      <c r="E72" s="49">
        <v>15000</v>
      </c>
      <c r="F72" s="106">
        <v>30000</v>
      </c>
    </row>
    <row r="73" spans="1:6" ht="19.5" x14ac:dyDescent="0.2">
      <c r="A73" s="100" t="s">
        <v>244</v>
      </c>
      <c r="B73" s="101" t="s">
        <v>245</v>
      </c>
      <c r="C73" s="101" t="s">
        <v>152</v>
      </c>
      <c r="D73" s="102">
        <v>15</v>
      </c>
      <c r="E73" s="103">
        <v>3000</v>
      </c>
      <c r="F73" s="104">
        <f>E73*D73</f>
        <v>45000</v>
      </c>
    </row>
    <row r="74" spans="1:6" ht="19.5" x14ac:dyDescent="0.2">
      <c r="A74" s="99" t="s">
        <v>246</v>
      </c>
      <c r="B74" s="46" t="s">
        <v>247</v>
      </c>
      <c r="C74" s="46" t="s">
        <v>152</v>
      </c>
      <c r="D74" s="50">
        <v>12</v>
      </c>
      <c r="E74" s="49">
        <v>3800</v>
      </c>
      <c r="F74" s="106">
        <v>45600</v>
      </c>
    </row>
    <row r="75" spans="1:6" ht="19.5" x14ac:dyDescent="0.2">
      <c r="A75" s="99" t="s">
        <v>248</v>
      </c>
      <c r="B75" s="46" t="s">
        <v>249</v>
      </c>
      <c r="C75" s="46" t="s">
        <v>120</v>
      </c>
      <c r="D75" s="50">
        <v>51</v>
      </c>
      <c r="E75" s="49">
        <v>450</v>
      </c>
      <c r="F75" s="106">
        <v>22950</v>
      </c>
    </row>
    <row r="76" spans="1:6" ht="19.5" x14ac:dyDescent="0.2">
      <c r="A76" s="99" t="s">
        <v>250</v>
      </c>
      <c r="B76" s="46" t="s">
        <v>251</v>
      </c>
      <c r="C76" s="46" t="s">
        <v>152</v>
      </c>
      <c r="D76" s="50">
        <v>10</v>
      </c>
      <c r="E76" s="49">
        <v>1087.5</v>
      </c>
      <c r="F76" s="106">
        <v>10875</v>
      </c>
    </row>
    <row r="77" spans="1:6" ht="19.5" x14ac:dyDescent="0.2">
      <c r="A77" s="96" t="s">
        <v>252</v>
      </c>
      <c r="B77" s="38" t="s">
        <v>253</v>
      </c>
      <c r="C77" s="38"/>
      <c r="D77" s="39"/>
      <c r="E77" s="40"/>
      <c r="F77" s="41">
        <f>SUM(F78:F80)</f>
        <v>59473</v>
      </c>
    </row>
    <row r="78" spans="1:6" ht="19.5" x14ac:dyDescent="0.2">
      <c r="A78" s="99" t="s">
        <v>254</v>
      </c>
      <c r="B78" s="46" t="s">
        <v>255</v>
      </c>
      <c r="C78" s="46" t="s">
        <v>152</v>
      </c>
      <c r="D78" s="50">
        <v>10</v>
      </c>
      <c r="E78" s="48">
        <v>3000</v>
      </c>
      <c r="F78" s="106">
        <v>30000</v>
      </c>
    </row>
    <row r="79" spans="1:6" ht="19.5" x14ac:dyDescent="0.2">
      <c r="A79" s="99" t="s">
        <v>226</v>
      </c>
      <c r="B79" s="46" t="s">
        <v>256</v>
      </c>
      <c r="C79" s="46" t="s">
        <v>164</v>
      </c>
      <c r="D79" s="50">
        <v>514.04</v>
      </c>
      <c r="E79" s="48">
        <v>50</v>
      </c>
      <c r="F79" s="106">
        <v>25702</v>
      </c>
    </row>
    <row r="80" spans="1:6" ht="19.5" x14ac:dyDescent="0.2">
      <c r="A80" s="99" t="s">
        <v>228</v>
      </c>
      <c r="B80" s="46" t="s">
        <v>257</v>
      </c>
      <c r="C80" s="46" t="s">
        <v>157</v>
      </c>
      <c r="D80" s="50">
        <v>150.84</v>
      </c>
      <c r="E80" s="48">
        <v>25</v>
      </c>
      <c r="F80" s="106">
        <v>3771</v>
      </c>
    </row>
    <row r="81" spans="1:6" ht="20.25" thickBot="1" x14ac:dyDescent="0.25">
      <c r="A81" s="327" t="s">
        <v>258</v>
      </c>
      <c r="B81" s="328"/>
      <c r="C81" s="328"/>
      <c r="D81" s="328"/>
      <c r="E81" s="328"/>
      <c r="F81" s="107">
        <f>F24+F14</f>
        <v>7291003.6578503363</v>
      </c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</sheetData>
  <mergeCells count="7">
    <mergeCell ref="A12:F12"/>
    <mergeCell ref="A81:E81"/>
    <mergeCell ref="A1:F5"/>
    <mergeCell ref="B7:F7"/>
    <mergeCell ref="B8:F8"/>
    <mergeCell ref="B9:F9"/>
    <mergeCell ref="B10:F10"/>
  </mergeCells>
  <phoneticPr fontId="23" type="noConversion"/>
  <pageMargins left="0.52999994886203072" right="0.52999994886203072" top="0.52999994886203072" bottom="0.68999998212799307" header="0" footer="0"/>
  <pageSetup paperSize="9" scale="63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7"/>
  <sheetViews>
    <sheetView tabSelected="1" topLeftCell="A55" zoomScale="91" zoomScaleNormal="91" workbookViewId="0">
      <selection activeCell="F63" sqref="F63"/>
    </sheetView>
  </sheetViews>
  <sheetFormatPr defaultColWidth="9.140625" defaultRowHeight="15" customHeight="1" outlineLevelRow="2" x14ac:dyDescent="0.2"/>
  <cols>
    <col min="1" max="1" width="12.28515625" style="178" customWidth="1"/>
    <col min="2" max="2" width="56.85546875" style="111" bestFit="1" customWidth="1"/>
    <col min="3" max="3" width="15.7109375" style="179" bestFit="1" customWidth="1"/>
    <col min="4" max="4" width="16" style="179" bestFit="1" customWidth="1"/>
    <col min="5" max="5" width="18.7109375" style="180" bestFit="1" customWidth="1"/>
    <col min="6" max="6" width="63" style="111" customWidth="1"/>
    <col min="7" max="7" width="11" style="111" customWidth="1"/>
    <col min="8" max="16384" width="9.140625" style="111"/>
  </cols>
  <sheetData>
    <row r="1" spans="1:6" ht="34.5" customHeight="1" thickBot="1" x14ac:dyDescent="0.25">
      <c r="A1" s="108" t="s">
        <v>11</v>
      </c>
      <c r="B1" s="109" t="s">
        <v>12</v>
      </c>
      <c r="C1" s="110" t="s">
        <v>6</v>
      </c>
      <c r="D1" s="110" t="s">
        <v>5</v>
      </c>
      <c r="E1" s="110" t="s">
        <v>13</v>
      </c>
      <c r="F1" s="110" t="s">
        <v>14</v>
      </c>
    </row>
    <row r="2" spans="1:6" ht="15.75" customHeight="1" thickBot="1" x14ac:dyDescent="0.25">
      <c r="A2" s="112">
        <v>1</v>
      </c>
      <c r="B2" s="113" t="s">
        <v>259</v>
      </c>
      <c r="C2" s="114"/>
      <c r="D2" s="114"/>
      <c r="E2" s="115">
        <f>E4</f>
        <v>7291003.6578503363</v>
      </c>
      <c r="F2" s="115"/>
    </row>
    <row r="3" spans="1:6" ht="15.75" customHeight="1" outlineLevel="1" x14ac:dyDescent="0.2">
      <c r="A3" s="116" t="s">
        <v>260</v>
      </c>
      <c r="B3" s="117" t="s">
        <v>259</v>
      </c>
      <c r="C3" s="118"/>
      <c r="D3" s="118"/>
      <c r="E3" s="119">
        <f>E4</f>
        <v>7291003.6578503363</v>
      </c>
      <c r="F3" s="119"/>
    </row>
    <row r="4" spans="1:6" ht="15.75" customHeight="1" outlineLevel="2" thickBot="1" x14ac:dyDescent="0.25">
      <c r="A4" s="120" t="s">
        <v>261</v>
      </c>
      <c r="B4" s="121" t="s">
        <v>262</v>
      </c>
      <c r="C4" s="122">
        <v>1</v>
      </c>
      <c r="D4" s="122" t="s">
        <v>169</v>
      </c>
      <c r="E4" s="123">
        <f>Custos_Indiretos!F81</f>
        <v>7291003.6578503363</v>
      </c>
      <c r="F4" s="124"/>
    </row>
    <row r="5" spans="1:6" ht="15.75" customHeight="1" thickBot="1" x14ac:dyDescent="0.25">
      <c r="A5" s="125">
        <v>2</v>
      </c>
      <c r="B5" s="126" t="s">
        <v>263</v>
      </c>
      <c r="C5" s="127"/>
      <c r="D5" s="127"/>
      <c r="E5" s="128">
        <f>E6</f>
        <v>334397.12</v>
      </c>
      <c r="F5" s="115"/>
    </row>
    <row r="6" spans="1:6" ht="15.75" customHeight="1" outlineLevel="1" x14ac:dyDescent="0.2">
      <c r="A6" s="116" t="s">
        <v>264</v>
      </c>
      <c r="B6" s="117" t="s">
        <v>263</v>
      </c>
      <c r="C6" s="118"/>
      <c r="D6" s="118"/>
      <c r="E6" s="119">
        <f>SUM(E7:E12)</f>
        <v>334397.12</v>
      </c>
      <c r="F6" s="119"/>
    </row>
    <row r="7" spans="1:6" ht="15.75" customHeight="1" outlineLevel="1" x14ac:dyDescent="0.2">
      <c r="A7" s="120" t="s">
        <v>265</v>
      </c>
      <c r="B7" s="121" t="s">
        <v>266</v>
      </c>
      <c r="C7" s="122">
        <v>10</v>
      </c>
      <c r="D7" s="122" t="s">
        <v>267</v>
      </c>
      <c r="E7" s="123">
        <f>'[4]Movimentação de Terra'!$I$22</f>
        <v>5500</v>
      </c>
      <c r="F7" s="124"/>
    </row>
    <row r="8" spans="1:6" ht="15.75" customHeight="1" outlineLevel="2" x14ac:dyDescent="0.2">
      <c r="A8" s="120" t="s">
        <v>268</v>
      </c>
      <c r="B8" s="129" t="s">
        <v>269</v>
      </c>
      <c r="C8" s="130">
        <v>512.02</v>
      </c>
      <c r="D8" s="130" t="s">
        <v>270</v>
      </c>
      <c r="E8" s="131">
        <f>'[4]Movimentação de Terra'!$I$29</f>
        <v>134618</v>
      </c>
      <c r="F8" s="130"/>
    </row>
    <row r="9" spans="1:6" ht="15.75" customHeight="1" outlineLevel="2" x14ac:dyDescent="0.2">
      <c r="A9" s="120" t="s">
        <v>271</v>
      </c>
      <c r="B9" s="129" t="s">
        <v>272</v>
      </c>
      <c r="C9" s="130">
        <v>118.16</v>
      </c>
      <c r="D9" s="130" t="s">
        <v>270</v>
      </c>
      <c r="E9" s="131">
        <f>'[4]Movimentação de Terra'!$I$30</f>
        <v>13592</v>
      </c>
      <c r="F9" s="130"/>
    </row>
    <row r="10" spans="1:6" ht="15.75" customHeight="1" outlineLevel="2" x14ac:dyDescent="0.2">
      <c r="A10" s="120" t="s">
        <v>273</v>
      </c>
      <c r="B10" s="129" t="s">
        <v>274</v>
      </c>
      <c r="C10" s="130">
        <v>3014.01</v>
      </c>
      <c r="D10" s="130" t="s">
        <v>270</v>
      </c>
      <c r="E10" s="131">
        <f>'[4]Movimentação de Terra'!$I$31</f>
        <v>131906.25</v>
      </c>
      <c r="F10" s="130"/>
    </row>
    <row r="11" spans="1:6" ht="15.75" customHeight="1" outlineLevel="2" x14ac:dyDescent="0.2">
      <c r="A11" s="120" t="s">
        <v>275</v>
      </c>
      <c r="B11" s="132" t="s">
        <v>276</v>
      </c>
      <c r="C11" s="133">
        <v>640.03</v>
      </c>
      <c r="D11" s="130" t="s">
        <v>270</v>
      </c>
      <c r="E11" s="134">
        <f>'[4]Movimentação de Terra'!$I$32</f>
        <v>19200.87</v>
      </c>
      <c r="F11" s="130"/>
    </row>
    <row r="12" spans="1:6" ht="15.75" customHeight="1" outlineLevel="2" thickBot="1" x14ac:dyDescent="0.25">
      <c r="A12" s="120" t="s">
        <v>277</v>
      </c>
      <c r="B12" s="132" t="s">
        <v>278</v>
      </c>
      <c r="C12" s="133">
        <v>1035.52</v>
      </c>
      <c r="D12" s="133" t="s">
        <v>164</v>
      </c>
      <c r="E12" s="134">
        <f>'[4]Movimentação de Terra'!$I$39</f>
        <v>29580</v>
      </c>
      <c r="F12" s="130"/>
    </row>
    <row r="13" spans="1:6" ht="15.75" customHeight="1" thickBot="1" x14ac:dyDescent="0.25">
      <c r="A13" s="125">
        <v>3</v>
      </c>
      <c r="B13" s="126" t="s">
        <v>279</v>
      </c>
      <c r="C13" s="127"/>
      <c r="D13" s="127"/>
      <c r="E13" s="128">
        <f>E14+E20</f>
        <v>2808959.16</v>
      </c>
      <c r="F13" s="115"/>
    </row>
    <row r="14" spans="1:6" ht="15.75" customHeight="1" outlineLevel="1" x14ac:dyDescent="0.2">
      <c r="A14" s="116" t="s">
        <v>280</v>
      </c>
      <c r="B14" s="117" t="s">
        <v>281</v>
      </c>
      <c r="C14" s="118"/>
      <c r="D14" s="118"/>
      <c r="E14" s="119">
        <f>SUM(E15:E19)</f>
        <v>1874063.42</v>
      </c>
      <c r="F14" s="119"/>
    </row>
    <row r="15" spans="1:6" ht="15.75" customHeight="1" outlineLevel="2" x14ac:dyDescent="0.2">
      <c r="A15" s="120" t="s">
        <v>282</v>
      </c>
      <c r="B15" s="121" t="s">
        <v>283</v>
      </c>
      <c r="C15" s="122">
        <v>608</v>
      </c>
      <c r="D15" s="122" t="s">
        <v>157</v>
      </c>
      <c r="E15" s="123">
        <f>[4]Infraestrutura!$I$17</f>
        <v>66880</v>
      </c>
      <c r="F15" s="124" t="s">
        <v>284</v>
      </c>
    </row>
    <row r="16" spans="1:6" ht="15.75" customHeight="1" outlineLevel="2" x14ac:dyDescent="0.2">
      <c r="A16" s="120" t="s">
        <v>285</v>
      </c>
      <c r="B16" s="121" t="s">
        <v>286</v>
      </c>
      <c r="C16" s="130">
        <v>4371</v>
      </c>
      <c r="D16" s="130" t="s">
        <v>157</v>
      </c>
      <c r="E16" s="131">
        <f>[4]Infraestrutura!$I$19</f>
        <v>502986.42</v>
      </c>
      <c r="F16" s="124" t="s">
        <v>287</v>
      </c>
    </row>
    <row r="17" spans="1:11" ht="15.75" customHeight="1" outlineLevel="2" x14ac:dyDescent="0.2">
      <c r="A17" s="120" t="s">
        <v>288</v>
      </c>
      <c r="B17" s="129" t="s">
        <v>289</v>
      </c>
      <c r="C17" s="130">
        <v>20729</v>
      </c>
      <c r="D17" s="130" t="s">
        <v>290</v>
      </c>
      <c r="E17" s="131">
        <f>[4]Infraestrutura!$I$20</f>
        <v>176197</v>
      </c>
      <c r="F17" s="124" t="s">
        <v>291</v>
      </c>
    </row>
    <row r="18" spans="1:11" ht="15.75" customHeight="1" outlineLevel="2" x14ac:dyDescent="0.2">
      <c r="A18" s="120" t="s">
        <v>292</v>
      </c>
      <c r="B18" s="129" t="s">
        <v>293</v>
      </c>
      <c r="C18" s="130">
        <v>1675</v>
      </c>
      <c r="D18" s="130" t="s">
        <v>270</v>
      </c>
      <c r="E18" s="131">
        <f>[4]Infraestrutura!$I$21</f>
        <v>1072000</v>
      </c>
      <c r="F18" s="124" t="s">
        <v>294</v>
      </c>
    </row>
    <row r="19" spans="1:11" ht="15.75" customHeight="1" outlineLevel="2" thickBot="1" x14ac:dyDescent="0.25">
      <c r="A19" s="120" t="s">
        <v>295</v>
      </c>
      <c r="B19" s="135" t="s">
        <v>296</v>
      </c>
      <c r="C19" s="136">
        <v>160</v>
      </c>
      <c r="D19" s="136" t="s">
        <v>297</v>
      </c>
      <c r="E19" s="137">
        <f>[4]Infraestrutura!$I$22</f>
        <v>56000</v>
      </c>
      <c r="F19" s="138"/>
    </row>
    <row r="20" spans="1:11" ht="15.75" customHeight="1" outlineLevel="1" x14ac:dyDescent="0.2">
      <c r="A20" s="139" t="s">
        <v>298</v>
      </c>
      <c r="B20" s="140" t="s">
        <v>299</v>
      </c>
      <c r="C20" s="141"/>
      <c r="D20" s="141"/>
      <c r="E20" s="142">
        <f>SUM(E21:E24)</f>
        <v>934895.74</v>
      </c>
      <c r="F20" s="119"/>
    </row>
    <row r="21" spans="1:11" ht="30" outlineLevel="2" x14ac:dyDescent="0.2">
      <c r="A21" s="143" t="s">
        <v>300</v>
      </c>
      <c r="B21" s="144" t="s">
        <v>301</v>
      </c>
      <c r="C21" s="145">
        <v>983.74</v>
      </c>
      <c r="D21" s="145" t="s">
        <v>302</v>
      </c>
      <c r="E21" s="146">
        <f>[4]Infraestrutura!$I$29</f>
        <v>41809.120000000003</v>
      </c>
      <c r="F21" s="124"/>
    </row>
    <row r="22" spans="1:11" ht="15.75" customHeight="1" outlineLevel="2" x14ac:dyDescent="0.2">
      <c r="A22" s="147" t="s">
        <v>303</v>
      </c>
      <c r="B22" s="129" t="s">
        <v>289</v>
      </c>
      <c r="C22" s="130">
        <v>39386.400000000001</v>
      </c>
      <c r="D22" s="130" t="s">
        <v>290</v>
      </c>
      <c r="E22" s="131">
        <f>[4]Infraestrutura!$I$30</f>
        <v>334784.40000000002</v>
      </c>
      <c r="F22" s="124" t="s">
        <v>291</v>
      </c>
    </row>
    <row r="23" spans="1:11" ht="15.75" customHeight="1" outlineLevel="2" x14ac:dyDescent="0.2">
      <c r="A23" s="147" t="s">
        <v>304</v>
      </c>
      <c r="B23" s="129" t="s">
        <v>293</v>
      </c>
      <c r="C23" s="130">
        <v>492.33</v>
      </c>
      <c r="D23" s="130" t="s">
        <v>305</v>
      </c>
      <c r="E23" s="131">
        <f>[4]Infraestrutura!$I$31</f>
        <v>196439.67</v>
      </c>
      <c r="F23" s="124" t="s">
        <v>306</v>
      </c>
    </row>
    <row r="24" spans="1:11" ht="15.75" customHeight="1" outlineLevel="2" thickBot="1" x14ac:dyDescent="0.25">
      <c r="A24" s="147" t="s">
        <v>307</v>
      </c>
      <c r="B24" s="129" t="s">
        <v>308</v>
      </c>
      <c r="C24" s="130">
        <v>984.66</v>
      </c>
      <c r="D24" s="130" t="s">
        <v>169</v>
      </c>
      <c r="E24" s="131">
        <f>[4]Infraestrutura!$I$32</f>
        <v>361862.55</v>
      </c>
      <c r="F24" s="124" t="s">
        <v>309</v>
      </c>
    </row>
    <row r="25" spans="1:11" ht="15.75" customHeight="1" outlineLevel="2" thickBot="1" x14ac:dyDescent="0.25">
      <c r="A25" s="125">
        <v>5</v>
      </c>
      <c r="B25" s="126" t="s">
        <v>310</v>
      </c>
      <c r="C25" s="127"/>
      <c r="D25" s="127"/>
      <c r="E25" s="128">
        <f>E26+E29+E32+E35+E37</f>
        <v>14216001.396666666</v>
      </c>
      <c r="F25" s="115"/>
    </row>
    <row r="26" spans="1:11" ht="15.75" customHeight="1" outlineLevel="2" x14ac:dyDescent="0.2">
      <c r="A26" s="139" t="s">
        <v>311</v>
      </c>
      <c r="B26" s="140" t="s">
        <v>312</v>
      </c>
      <c r="C26" s="141"/>
      <c r="D26" s="141"/>
      <c r="E26" s="142">
        <f>E27+E28</f>
        <v>1154356.4266666668</v>
      </c>
      <c r="F26" s="119"/>
    </row>
    <row r="27" spans="1:11" ht="30" outlineLevel="2" x14ac:dyDescent="0.2">
      <c r="A27" s="203" t="s">
        <v>313</v>
      </c>
      <c r="B27" s="148" t="s">
        <v>314</v>
      </c>
      <c r="C27" s="149">
        <v>4196.66</v>
      </c>
      <c r="D27" s="149" t="s">
        <v>302</v>
      </c>
      <c r="E27" s="150">
        <v>663072.28</v>
      </c>
      <c r="F27" s="151" t="s">
        <v>315</v>
      </c>
    </row>
    <row r="28" spans="1:11" ht="30.75" outlineLevel="2" thickBot="1" x14ac:dyDescent="0.25">
      <c r="A28" s="203" t="s">
        <v>316</v>
      </c>
      <c r="B28" s="148" t="s">
        <v>317</v>
      </c>
      <c r="C28" s="149">
        <v>3109.3933333333334</v>
      </c>
      <c r="D28" s="149" t="s">
        <v>302</v>
      </c>
      <c r="E28" s="150">
        <v>491284.14666666667</v>
      </c>
      <c r="F28" s="151" t="s">
        <v>318</v>
      </c>
    </row>
    <row r="29" spans="1:11" ht="15.75" customHeight="1" outlineLevel="2" x14ac:dyDescent="0.2">
      <c r="A29" s="139" t="s">
        <v>319</v>
      </c>
      <c r="B29" s="140" t="s">
        <v>320</v>
      </c>
      <c r="C29" s="141"/>
      <c r="D29" s="141"/>
      <c r="E29" s="142">
        <f>E30+E31</f>
        <v>661702.41</v>
      </c>
      <c r="F29" s="119"/>
    </row>
    <row r="30" spans="1:11" ht="15.75" customHeight="1" outlineLevel="2" x14ac:dyDescent="0.2">
      <c r="A30" s="203" t="s">
        <v>321</v>
      </c>
      <c r="B30" s="148" t="s">
        <v>322</v>
      </c>
      <c r="C30" s="149">
        <v>9328.18</v>
      </c>
      <c r="D30" s="149" t="s">
        <v>302</v>
      </c>
      <c r="E30" s="150">
        <v>251748.28</v>
      </c>
      <c r="F30" s="151" t="s">
        <v>323</v>
      </c>
      <c r="K30" s="152"/>
    </row>
    <row r="31" spans="1:11" ht="15.75" customHeight="1" outlineLevel="2" thickBot="1" x14ac:dyDescent="0.25">
      <c r="A31" s="203" t="s">
        <v>324</v>
      </c>
      <c r="B31" s="148" t="s">
        <v>325</v>
      </c>
      <c r="C31" s="149">
        <v>4193.66</v>
      </c>
      <c r="D31" s="149" t="s">
        <v>302</v>
      </c>
      <c r="E31" s="150">
        <v>409954.13</v>
      </c>
      <c r="F31" s="151" t="s">
        <v>323</v>
      </c>
    </row>
    <row r="32" spans="1:11" ht="15.75" customHeight="1" outlineLevel="2" x14ac:dyDescent="0.2">
      <c r="A32" s="139" t="s">
        <v>326</v>
      </c>
      <c r="B32" s="140" t="s">
        <v>327</v>
      </c>
      <c r="C32" s="141"/>
      <c r="D32" s="141"/>
      <c r="E32" s="142">
        <f>E33+E34</f>
        <v>4398189.21</v>
      </c>
      <c r="F32" s="119"/>
    </row>
    <row r="33" spans="1:6" ht="15.75" customHeight="1" outlineLevel="2" x14ac:dyDescent="0.2">
      <c r="A33" s="203" t="s">
        <v>328</v>
      </c>
      <c r="B33" s="148" t="s">
        <v>329</v>
      </c>
      <c r="C33" s="149">
        <v>550544</v>
      </c>
      <c r="D33" s="149" t="s">
        <v>290</v>
      </c>
      <c r="E33" s="150">
        <v>3963916.8000000003</v>
      </c>
      <c r="F33" s="151" t="s">
        <v>330</v>
      </c>
    </row>
    <row r="34" spans="1:6" ht="15.75" customHeight="1" outlineLevel="2" thickBot="1" x14ac:dyDescent="0.25">
      <c r="A34" s="147" t="s">
        <v>331</v>
      </c>
      <c r="B34" s="135" t="s">
        <v>332</v>
      </c>
      <c r="C34" s="136">
        <f>25941.8+9364.9</f>
        <v>35306.699999999997</v>
      </c>
      <c r="D34" s="136" t="s">
        <v>290</v>
      </c>
      <c r="E34" s="137">
        <f>[5]Supraestrutura!$I$20+[5]Supraestrutura!$I$22</f>
        <v>434272.41000000003</v>
      </c>
      <c r="F34" s="138" t="s">
        <v>333</v>
      </c>
    </row>
    <row r="35" spans="1:6" ht="15.75" customHeight="1" outlineLevel="2" x14ac:dyDescent="0.2">
      <c r="A35" s="139" t="s">
        <v>334</v>
      </c>
      <c r="B35" s="140" t="s">
        <v>335</v>
      </c>
      <c r="C35" s="141"/>
      <c r="D35" s="141"/>
      <c r="E35" s="142">
        <f>E36</f>
        <v>3748686.48</v>
      </c>
      <c r="F35" s="119"/>
    </row>
    <row r="36" spans="1:6" ht="15.75" customHeight="1" outlineLevel="2" thickBot="1" x14ac:dyDescent="0.25">
      <c r="A36" s="147" t="s">
        <v>336</v>
      </c>
      <c r="B36" s="129" t="s">
        <v>293</v>
      </c>
      <c r="C36" s="130">
        <v>5409.36</v>
      </c>
      <c r="D36" s="130" t="s">
        <v>305</v>
      </c>
      <c r="E36" s="131">
        <f>[6]Supraestrutura!$I$24</f>
        <v>3748686.48</v>
      </c>
      <c r="F36" s="124" t="s">
        <v>306</v>
      </c>
    </row>
    <row r="37" spans="1:6" ht="15.75" customHeight="1" outlineLevel="2" x14ac:dyDescent="0.2">
      <c r="A37" s="139" t="s">
        <v>337</v>
      </c>
      <c r="B37" s="140" t="s">
        <v>338</v>
      </c>
      <c r="C37" s="141"/>
      <c r="D37" s="141"/>
      <c r="E37" s="142">
        <f>E38+E39</f>
        <v>4253066.8699999992</v>
      </c>
      <c r="F37" s="119"/>
    </row>
    <row r="38" spans="1:6" ht="30" outlineLevel="2" x14ac:dyDescent="0.2">
      <c r="A38" s="153" t="s">
        <v>339</v>
      </c>
      <c r="B38" s="148" t="s">
        <v>340</v>
      </c>
      <c r="C38" s="149">
        <v>14100.96</v>
      </c>
      <c r="D38" s="149" t="s">
        <v>305</v>
      </c>
      <c r="E38" s="150">
        <v>4001066.8699999996</v>
      </c>
      <c r="F38" s="151" t="s">
        <v>341</v>
      </c>
    </row>
    <row r="39" spans="1:6" ht="15.75" customHeight="1" outlineLevel="2" thickBot="1" x14ac:dyDescent="0.25">
      <c r="A39" s="147" t="s">
        <v>342</v>
      </c>
      <c r="B39" s="154" t="s">
        <v>343</v>
      </c>
      <c r="C39" s="155">
        <v>28</v>
      </c>
      <c r="D39" s="155" t="s">
        <v>297</v>
      </c>
      <c r="E39" s="156">
        <f>[4]Supraestrutura!$I$21</f>
        <v>252000</v>
      </c>
      <c r="F39" s="157" t="s">
        <v>344</v>
      </c>
    </row>
    <row r="40" spans="1:6" ht="15.75" customHeight="1" x14ac:dyDescent="0.2">
      <c r="A40" s="125">
        <v>6</v>
      </c>
      <c r="B40" s="126" t="s">
        <v>345</v>
      </c>
      <c r="C40" s="127"/>
      <c r="D40" s="127"/>
      <c r="E40" s="128">
        <f>E41</f>
        <v>3060534.3637843644</v>
      </c>
      <c r="F40" s="115"/>
    </row>
    <row r="41" spans="1:6" ht="15.75" customHeight="1" outlineLevel="1" x14ac:dyDescent="0.2">
      <c r="A41" s="139" t="s">
        <v>346</v>
      </c>
      <c r="B41" s="140" t="s">
        <v>345</v>
      </c>
      <c r="C41" s="141"/>
      <c r="D41" s="141"/>
      <c r="E41" s="142">
        <f>SUM(E42:E55)</f>
        <v>3060534.3637843644</v>
      </c>
      <c r="F41" s="142"/>
    </row>
    <row r="42" spans="1:6" ht="17.100000000000001" customHeight="1" outlineLevel="2" x14ac:dyDescent="0.2">
      <c r="A42" s="158" t="s">
        <v>347</v>
      </c>
      <c r="B42" s="129" t="s">
        <v>348</v>
      </c>
      <c r="C42" s="130">
        <v>4136.1099999999997</v>
      </c>
      <c r="D42" s="130" t="s">
        <v>302</v>
      </c>
      <c r="E42" s="131">
        <f>[4]Alvenaria!$I$15</f>
        <v>206805.49999999997</v>
      </c>
      <c r="F42" s="124" t="s">
        <v>349</v>
      </c>
    </row>
    <row r="43" spans="1:6" ht="15.75" customHeight="1" outlineLevel="2" x14ac:dyDescent="0.2">
      <c r="A43" s="158" t="s">
        <v>350</v>
      </c>
      <c r="B43" s="129" t="s">
        <v>351</v>
      </c>
      <c r="C43" s="130">
        <v>723.12022193585346</v>
      </c>
      <c r="D43" s="130" t="s">
        <v>302</v>
      </c>
      <c r="E43" s="131">
        <f>[4]Alvenaria!$I$16</f>
        <v>36156.011096792674</v>
      </c>
      <c r="F43" s="124" t="s">
        <v>349</v>
      </c>
    </row>
    <row r="44" spans="1:6" ht="15.75" customHeight="1" outlineLevel="2" x14ac:dyDescent="0.2">
      <c r="A44" s="158" t="s">
        <v>352</v>
      </c>
      <c r="B44" s="129" t="s">
        <v>353</v>
      </c>
      <c r="C44" s="130">
        <v>614.01044243986257</v>
      </c>
      <c r="D44" s="130" t="s">
        <v>302</v>
      </c>
      <c r="E44" s="131">
        <f>[4]Alvenaria!$I$17</f>
        <v>135082.29733676976</v>
      </c>
      <c r="F44" s="124" t="s">
        <v>354</v>
      </c>
    </row>
    <row r="45" spans="1:6" ht="15.75" customHeight="1" outlineLevel="2" x14ac:dyDescent="0.2">
      <c r="A45" s="158" t="s">
        <v>355</v>
      </c>
      <c r="B45" s="129" t="s">
        <v>356</v>
      </c>
      <c r="C45" s="130">
        <v>5752.1419999999998</v>
      </c>
      <c r="D45" s="130" t="s">
        <v>302</v>
      </c>
      <c r="E45" s="131">
        <f>[4]Alvenaria!$I$18</f>
        <v>287607.09999999998</v>
      </c>
      <c r="F45" s="124" t="s">
        <v>349</v>
      </c>
    </row>
    <row r="46" spans="1:6" ht="15.75" customHeight="1" outlineLevel="2" x14ac:dyDescent="0.2">
      <c r="A46" s="158" t="s">
        <v>357</v>
      </c>
      <c r="B46" s="129" t="s">
        <v>358</v>
      </c>
      <c r="C46" s="130">
        <v>6040.4430412371148</v>
      </c>
      <c r="D46" s="130" t="s">
        <v>302</v>
      </c>
      <c r="E46" s="131">
        <f>[4]Alvenaria!$I$19</f>
        <v>1328897.4690721652</v>
      </c>
      <c r="F46" s="124" t="s">
        <v>354</v>
      </c>
    </row>
    <row r="47" spans="1:6" ht="15.75" customHeight="1" outlineLevel="2" x14ac:dyDescent="0.2">
      <c r="A47" s="158" t="s">
        <v>359</v>
      </c>
      <c r="B47" s="129" t="s">
        <v>360</v>
      </c>
      <c r="C47" s="130">
        <v>490.66552119129443</v>
      </c>
      <c r="D47" s="130" t="s">
        <v>302</v>
      </c>
      <c r="E47" s="131">
        <f>[4]Alvenaria!$I$20</f>
        <v>92245.117983963355</v>
      </c>
      <c r="F47" s="124" t="s">
        <v>349</v>
      </c>
    </row>
    <row r="48" spans="1:6" ht="15.75" customHeight="1" outlineLevel="2" x14ac:dyDescent="0.2">
      <c r="A48" s="158" t="s">
        <v>361</v>
      </c>
      <c r="B48" s="129" t="s">
        <v>362</v>
      </c>
      <c r="C48" s="130">
        <v>288.14470074455903</v>
      </c>
      <c r="D48" s="130" t="s">
        <v>302</v>
      </c>
      <c r="E48" s="131">
        <f>[4]Alvenaria!$I$21</f>
        <v>14407.235037227951</v>
      </c>
      <c r="F48" s="124" t="s">
        <v>349</v>
      </c>
    </row>
    <row r="49" spans="1:6" ht="15.75" customHeight="1" outlineLevel="2" x14ac:dyDescent="0.2">
      <c r="A49" s="158" t="s">
        <v>363</v>
      </c>
      <c r="B49" s="129" t="s">
        <v>364</v>
      </c>
      <c r="C49" s="130">
        <v>304.95387886597945</v>
      </c>
      <c r="D49" s="130" t="s">
        <v>302</v>
      </c>
      <c r="E49" s="131">
        <f>[4]Alvenaria!$I$22</f>
        <v>67089.853350515477</v>
      </c>
      <c r="F49" s="124" t="s">
        <v>354</v>
      </c>
    </row>
    <row r="50" spans="1:6" ht="15.75" customHeight="1" outlineLevel="2" x14ac:dyDescent="0.2">
      <c r="A50" s="158" t="s">
        <v>365</v>
      </c>
      <c r="B50" s="129" t="s">
        <v>366</v>
      </c>
      <c r="C50" s="130">
        <v>24.771420389461628</v>
      </c>
      <c r="D50" s="130" t="s">
        <v>302</v>
      </c>
      <c r="E50" s="131">
        <f>[4]Alvenaria!$I$23</f>
        <v>4657.0270332187865</v>
      </c>
      <c r="F50" s="124" t="s">
        <v>349</v>
      </c>
    </row>
    <row r="51" spans="1:6" ht="15.75" customHeight="1" outlineLevel="2" x14ac:dyDescent="0.2">
      <c r="A51" s="158" t="s">
        <v>367</v>
      </c>
      <c r="B51" s="129" t="s">
        <v>368</v>
      </c>
      <c r="C51" s="130">
        <v>307.64</v>
      </c>
      <c r="D51" s="130" t="s">
        <v>302</v>
      </c>
      <c r="E51" s="131">
        <f>[4]Alvenaria!$I$24</f>
        <v>15382</v>
      </c>
      <c r="F51" s="124" t="s">
        <v>349</v>
      </c>
    </row>
    <row r="52" spans="1:6" ht="15.75" customHeight="1" outlineLevel="2" x14ac:dyDescent="0.2">
      <c r="A52" s="158" t="s">
        <v>369</v>
      </c>
      <c r="B52" s="129" t="s">
        <v>370</v>
      </c>
      <c r="C52" s="130">
        <v>2096.0700000000002</v>
      </c>
      <c r="D52" s="130" t="s">
        <v>302</v>
      </c>
      <c r="E52" s="131">
        <f>[4]Alvenaria!$I$25</f>
        <v>125764.20000000001</v>
      </c>
      <c r="F52" s="124" t="s">
        <v>371</v>
      </c>
    </row>
    <row r="53" spans="1:6" ht="15.75" customHeight="1" outlineLevel="1" x14ac:dyDescent="0.2">
      <c r="A53" s="158" t="s">
        <v>372</v>
      </c>
      <c r="B53" s="129" t="s">
        <v>373</v>
      </c>
      <c r="C53" s="130">
        <v>13818.663864261167</v>
      </c>
      <c r="D53" s="130" t="s">
        <v>302</v>
      </c>
      <c r="E53" s="131">
        <f>[4]Alvenaria!$I$26</f>
        <v>172733.2983032646</v>
      </c>
      <c r="F53" s="124" t="s">
        <v>374</v>
      </c>
    </row>
    <row r="54" spans="1:6" outlineLevel="2" x14ac:dyDescent="0.2">
      <c r="A54" s="158" t="s">
        <v>375</v>
      </c>
      <c r="B54" s="129" t="s">
        <v>376</v>
      </c>
      <c r="C54" s="130">
        <v>11722.593864261167</v>
      </c>
      <c r="D54" s="130" t="s">
        <v>302</v>
      </c>
      <c r="E54" s="131">
        <f>[4]Alvenaria!$I$27</f>
        <v>468903.75457044668</v>
      </c>
      <c r="F54" s="124"/>
    </row>
    <row r="55" spans="1:6" outlineLevel="1" x14ac:dyDescent="0.2">
      <c r="A55" s="158" t="s">
        <v>377</v>
      </c>
      <c r="B55" s="129" t="s">
        <v>378</v>
      </c>
      <c r="C55" s="130">
        <v>2096.0700000000002</v>
      </c>
      <c r="D55" s="130" t="s">
        <v>302</v>
      </c>
      <c r="E55" s="131">
        <f>[4]Alvenaria!$I$28</f>
        <v>104803.50000000001</v>
      </c>
      <c r="F55" s="124"/>
    </row>
    <row r="56" spans="1:6" ht="15" customHeight="1" outlineLevel="2" thickBot="1" x14ac:dyDescent="0.25">
      <c r="A56" s="125">
        <v>7</v>
      </c>
      <c r="B56" s="126" t="s">
        <v>379</v>
      </c>
      <c r="C56" s="127"/>
      <c r="D56" s="127"/>
      <c r="E56" s="128">
        <f>E57+E65+E74</f>
        <v>5636274.8625999996</v>
      </c>
      <c r="F56" s="128"/>
    </row>
    <row r="57" spans="1:6" ht="15.75" customHeight="1" outlineLevel="1" x14ac:dyDescent="0.2">
      <c r="A57" s="116" t="s">
        <v>380</v>
      </c>
      <c r="B57" s="117" t="s">
        <v>381</v>
      </c>
      <c r="C57" s="118"/>
      <c r="D57" s="118"/>
      <c r="E57" s="119">
        <f>SUM(E58:E64)</f>
        <v>2448913.3059999999</v>
      </c>
      <c r="F57" s="119"/>
    </row>
    <row r="58" spans="1:6" ht="15.75" customHeight="1" outlineLevel="2" x14ac:dyDescent="0.2">
      <c r="A58" s="147" t="s">
        <v>382</v>
      </c>
      <c r="B58" s="129" t="s">
        <v>383</v>
      </c>
      <c r="C58" s="130">
        <v>1</v>
      </c>
      <c r="D58" s="130" t="s">
        <v>169</v>
      </c>
      <c r="E58" s="131">
        <f>[4]Instalações!$I$15</f>
        <v>72581.899999999994</v>
      </c>
      <c r="F58" s="131"/>
    </row>
    <row r="59" spans="1:6" ht="15.75" customHeight="1" outlineLevel="2" x14ac:dyDescent="0.2">
      <c r="A59" s="147" t="s">
        <v>384</v>
      </c>
      <c r="B59" s="129" t="s">
        <v>385</v>
      </c>
      <c r="C59" s="130">
        <v>1</v>
      </c>
      <c r="D59" s="130" t="s">
        <v>169</v>
      </c>
      <c r="E59" s="131">
        <f>[4]Instalações!$I$16</f>
        <v>185809.66399999999</v>
      </c>
      <c r="F59" s="131"/>
    </row>
    <row r="60" spans="1:6" ht="15.75" customHeight="1" outlineLevel="2" x14ac:dyDescent="0.2">
      <c r="A60" s="147" t="s">
        <v>386</v>
      </c>
      <c r="B60" s="129" t="s">
        <v>387</v>
      </c>
      <c r="C60" s="130">
        <v>1</v>
      </c>
      <c r="D60" s="130" t="s">
        <v>169</v>
      </c>
      <c r="E60" s="131">
        <f>[4]Instalações!$I$17</f>
        <v>245326.82199999996</v>
      </c>
      <c r="F60" s="131"/>
    </row>
    <row r="61" spans="1:6" ht="15.75" customHeight="1" outlineLevel="2" x14ac:dyDescent="0.2">
      <c r="A61" s="147" t="s">
        <v>388</v>
      </c>
      <c r="B61" s="129" t="s">
        <v>389</v>
      </c>
      <c r="C61" s="130">
        <v>1</v>
      </c>
      <c r="D61" s="130" t="s">
        <v>169</v>
      </c>
      <c r="E61" s="131">
        <f>[4]Instalações!$I$18</f>
        <v>580655.19999999995</v>
      </c>
      <c r="F61" s="131"/>
    </row>
    <row r="62" spans="1:6" ht="15.75" customHeight="1" outlineLevel="2" x14ac:dyDescent="0.2">
      <c r="A62" s="147" t="s">
        <v>390</v>
      </c>
      <c r="B62" s="129" t="s">
        <v>391</v>
      </c>
      <c r="C62" s="130">
        <v>1</v>
      </c>
      <c r="D62" s="130" t="s">
        <v>169</v>
      </c>
      <c r="E62" s="131">
        <f>[4]Instalações!$I$19</f>
        <v>290327.59999999998</v>
      </c>
      <c r="F62" s="131"/>
    </row>
    <row r="63" spans="1:6" ht="15.75" customHeight="1" outlineLevel="1" x14ac:dyDescent="0.2">
      <c r="A63" s="147" t="s">
        <v>392</v>
      </c>
      <c r="B63" s="129" t="s">
        <v>393</v>
      </c>
      <c r="C63" s="130">
        <v>1</v>
      </c>
      <c r="D63" s="130" t="s">
        <v>169</v>
      </c>
      <c r="E63" s="131">
        <f>[4]Instalações!$I$20</f>
        <v>275811.21999999997</v>
      </c>
      <c r="F63" s="131"/>
    </row>
    <row r="64" spans="1:6" outlineLevel="2" x14ac:dyDescent="0.2">
      <c r="A64" s="147" t="s">
        <v>394</v>
      </c>
      <c r="B64" s="135" t="s">
        <v>395</v>
      </c>
      <c r="C64" s="130">
        <v>1</v>
      </c>
      <c r="D64" s="130" t="s">
        <v>169</v>
      </c>
      <c r="E64" s="137">
        <f>[4]Instalações!$I$21</f>
        <v>798400.89999999991</v>
      </c>
      <c r="F64" s="137"/>
    </row>
    <row r="65" spans="1:6" outlineLevel="2" x14ac:dyDescent="0.2">
      <c r="A65" s="139" t="s">
        <v>396</v>
      </c>
      <c r="B65" s="140" t="s">
        <v>397</v>
      </c>
      <c r="C65" s="141"/>
      <c r="D65" s="141"/>
      <c r="E65" s="142">
        <f>SUM(E66:E73)</f>
        <v>2359927.8965999996</v>
      </c>
      <c r="F65" s="142"/>
    </row>
    <row r="66" spans="1:6" ht="15.75" customHeight="1" outlineLevel="2" x14ac:dyDescent="0.2">
      <c r="A66" s="147" t="s">
        <v>398</v>
      </c>
      <c r="B66" s="129" t="s">
        <v>399</v>
      </c>
      <c r="C66" s="130">
        <v>1</v>
      </c>
      <c r="D66" s="130" t="s">
        <v>169</v>
      </c>
      <c r="E66" s="131">
        <f>[4]Instalações!$I$27</f>
        <v>362909.5</v>
      </c>
      <c r="F66" s="131"/>
    </row>
    <row r="67" spans="1:6" ht="15.75" customHeight="1" outlineLevel="2" x14ac:dyDescent="0.2">
      <c r="A67" s="147" t="s">
        <v>400</v>
      </c>
      <c r="B67" s="129" t="s">
        <v>401</v>
      </c>
      <c r="C67" s="130">
        <v>1</v>
      </c>
      <c r="D67" s="130" t="s">
        <v>169</v>
      </c>
      <c r="E67" s="131">
        <f>[4]Instalações!$I$28</f>
        <v>217745.69999999998</v>
      </c>
      <c r="F67" s="131"/>
    </row>
    <row r="68" spans="1:6" ht="15.75" customHeight="1" outlineLevel="2" x14ac:dyDescent="0.2">
      <c r="A68" s="147" t="s">
        <v>402</v>
      </c>
      <c r="B68" s="129" t="s">
        <v>403</v>
      </c>
      <c r="C68" s="130">
        <v>1</v>
      </c>
      <c r="D68" s="130" t="s">
        <v>169</v>
      </c>
      <c r="E68" s="131">
        <f>[4]Instalações!$I$29</f>
        <v>145163.79999999999</v>
      </c>
      <c r="F68" s="131"/>
    </row>
    <row r="69" spans="1:6" ht="15.75" customHeight="1" outlineLevel="2" x14ac:dyDescent="0.2">
      <c r="A69" s="147" t="s">
        <v>404</v>
      </c>
      <c r="B69" s="129" t="s">
        <v>405</v>
      </c>
      <c r="C69" s="130">
        <v>1</v>
      </c>
      <c r="D69" s="130" t="s">
        <v>169</v>
      </c>
      <c r="E69" s="131">
        <f>[4]Instalações!$I$30</f>
        <v>217745.69999999998</v>
      </c>
      <c r="F69" s="131"/>
    </row>
    <row r="70" spans="1:6" x14ac:dyDescent="0.2">
      <c r="A70" s="147" t="s">
        <v>406</v>
      </c>
      <c r="B70" s="129" t="s">
        <v>409</v>
      </c>
      <c r="C70" s="130">
        <v>1</v>
      </c>
      <c r="D70" s="130" t="s">
        <v>169</v>
      </c>
      <c r="E70" s="131">
        <f>[4]Instalações!$I$31</f>
        <v>5371.0605999999998</v>
      </c>
      <c r="F70" s="131"/>
    </row>
    <row r="71" spans="1:6" x14ac:dyDescent="0.2">
      <c r="A71" s="147" t="s">
        <v>408</v>
      </c>
      <c r="B71" s="129" t="s">
        <v>708</v>
      </c>
      <c r="C71" s="130">
        <v>1</v>
      </c>
      <c r="D71" s="130" t="s">
        <v>169</v>
      </c>
      <c r="E71" s="131">
        <f>[4]Instalações!$I$32</f>
        <v>31936.036</v>
      </c>
      <c r="F71" s="131"/>
    </row>
    <row r="72" spans="1:6" x14ac:dyDescent="0.2">
      <c r="A72" s="147" t="s">
        <v>410</v>
      </c>
      <c r="B72" s="129" t="s">
        <v>407</v>
      </c>
      <c r="C72" s="130">
        <v>1</v>
      </c>
      <c r="D72" s="130" t="s">
        <v>169</v>
      </c>
      <c r="E72" s="131">
        <f>[4]Instalações!$I$33</f>
        <v>653237.1</v>
      </c>
      <c r="F72" s="131"/>
    </row>
    <row r="73" spans="1:6" ht="15.75" customHeight="1" outlineLevel="1" x14ac:dyDescent="0.2">
      <c r="A73" s="147" t="s">
        <v>411</v>
      </c>
      <c r="B73" s="135" t="s">
        <v>412</v>
      </c>
      <c r="C73" s="130">
        <v>1</v>
      </c>
      <c r="D73" s="159" t="s">
        <v>169</v>
      </c>
      <c r="E73" s="160">
        <f>[4]Instalações!$I$34</f>
        <v>725819</v>
      </c>
      <c r="F73" s="137"/>
    </row>
    <row r="74" spans="1:6" outlineLevel="2" x14ac:dyDescent="0.2">
      <c r="A74" s="139" t="s">
        <v>413</v>
      </c>
      <c r="B74" s="140" t="s">
        <v>414</v>
      </c>
      <c r="C74" s="141"/>
      <c r="D74" s="141"/>
      <c r="E74" s="142">
        <f>SUM(E75:E77)</f>
        <v>827433.65999999992</v>
      </c>
      <c r="F74" s="142"/>
    </row>
    <row r="75" spans="1:6" outlineLevel="2" x14ac:dyDescent="0.2">
      <c r="A75" s="147" t="s">
        <v>415</v>
      </c>
      <c r="B75" s="129" t="s">
        <v>416</v>
      </c>
      <c r="C75" s="130">
        <v>1</v>
      </c>
      <c r="D75" s="130" t="s">
        <v>169</v>
      </c>
      <c r="E75" s="131">
        <v>362909.5</v>
      </c>
      <c r="F75" s="131"/>
    </row>
    <row r="76" spans="1:6" outlineLevel="2" x14ac:dyDescent="0.2">
      <c r="A76" s="147" t="s">
        <v>417</v>
      </c>
      <c r="B76" s="129" t="s">
        <v>418</v>
      </c>
      <c r="C76" s="130">
        <v>1</v>
      </c>
      <c r="D76" s="130" t="s">
        <v>169</v>
      </c>
      <c r="E76" s="131">
        <v>319360.36</v>
      </c>
      <c r="F76" s="131"/>
    </row>
    <row r="77" spans="1:6" outlineLevel="2" x14ac:dyDescent="0.2">
      <c r="A77" s="147" t="s">
        <v>419</v>
      </c>
      <c r="B77" s="129" t="s">
        <v>420</v>
      </c>
      <c r="C77" s="130">
        <v>1</v>
      </c>
      <c r="D77" s="130" t="s">
        <v>169</v>
      </c>
      <c r="E77" s="131">
        <v>145163.79999999999</v>
      </c>
      <c r="F77" s="131"/>
    </row>
    <row r="78" spans="1:6" outlineLevel="2" x14ac:dyDescent="0.2">
      <c r="A78" s="125">
        <v>8</v>
      </c>
      <c r="B78" s="126" t="s">
        <v>421</v>
      </c>
      <c r="C78" s="127"/>
      <c r="D78" s="127"/>
      <c r="E78" s="128">
        <f>E79+E84+E90+E92+E86</f>
        <v>4015448.32</v>
      </c>
      <c r="F78" s="128"/>
    </row>
    <row r="79" spans="1:6" ht="30" outlineLevel="2" x14ac:dyDescent="0.2">
      <c r="A79" s="139" t="s">
        <v>422</v>
      </c>
      <c r="B79" s="140" t="s">
        <v>423</v>
      </c>
      <c r="C79" s="141"/>
      <c r="D79" s="141"/>
      <c r="E79" s="142">
        <f>SUM(E80:E83)</f>
        <v>637000</v>
      </c>
      <c r="F79" s="142"/>
    </row>
    <row r="80" spans="1:6" outlineLevel="2" x14ac:dyDescent="0.2">
      <c r="A80" s="147" t="s">
        <v>424</v>
      </c>
      <c r="B80" s="129" t="s">
        <v>425</v>
      </c>
      <c r="C80" s="161">
        <v>226</v>
      </c>
      <c r="D80" s="161" t="s">
        <v>297</v>
      </c>
      <c r="E80" s="162">
        <v>339000</v>
      </c>
      <c r="F80" s="163" t="s">
        <v>426</v>
      </c>
    </row>
    <row r="81" spans="1:6" ht="15.75" customHeight="1" outlineLevel="1" x14ac:dyDescent="0.2">
      <c r="A81" s="147" t="s">
        <v>427</v>
      </c>
      <c r="B81" s="129" t="s">
        <v>428</v>
      </c>
      <c r="C81" s="130">
        <v>16</v>
      </c>
      <c r="D81" s="130" t="s">
        <v>429</v>
      </c>
      <c r="E81" s="131">
        <f>'[4]Sistemas especiais'!$I$16</f>
        <v>60000</v>
      </c>
      <c r="F81" s="124" t="s">
        <v>430</v>
      </c>
    </row>
    <row r="82" spans="1:6" ht="15.75" customHeight="1" outlineLevel="2" x14ac:dyDescent="0.2">
      <c r="A82" s="147" t="s">
        <v>431</v>
      </c>
      <c r="B82" s="129" t="s">
        <v>432</v>
      </c>
      <c r="C82" s="161">
        <v>54</v>
      </c>
      <c r="D82" s="161" t="s">
        <v>429</v>
      </c>
      <c r="E82" s="131">
        <f>'[4]Sistemas especiais'!$I$17</f>
        <v>184000</v>
      </c>
      <c r="F82" s="163" t="s">
        <v>433</v>
      </c>
    </row>
    <row r="83" spans="1:6" ht="15.75" customHeight="1" outlineLevel="2" x14ac:dyDescent="0.2">
      <c r="A83" s="147" t="s">
        <v>434</v>
      </c>
      <c r="B83" s="135" t="s">
        <v>435</v>
      </c>
      <c r="C83" s="164">
        <v>46</v>
      </c>
      <c r="D83" s="164" t="s">
        <v>429</v>
      </c>
      <c r="E83" s="131">
        <f>'[4]Sistemas especiais'!$I$18</f>
        <v>54000</v>
      </c>
      <c r="F83" s="165" t="s">
        <v>436</v>
      </c>
    </row>
    <row r="84" spans="1:6" ht="15.75" customHeight="1" outlineLevel="2" x14ac:dyDescent="0.2">
      <c r="A84" s="139" t="s">
        <v>437</v>
      </c>
      <c r="B84" s="140" t="s">
        <v>438</v>
      </c>
      <c r="C84" s="141"/>
      <c r="D84" s="141"/>
      <c r="E84" s="142">
        <f>SUM(E85)</f>
        <v>116131.04</v>
      </c>
      <c r="F84" s="166"/>
    </row>
    <row r="85" spans="1:6" ht="15.75" customHeight="1" outlineLevel="2" x14ac:dyDescent="0.2">
      <c r="A85" s="147" t="s">
        <v>439</v>
      </c>
      <c r="B85" s="129" t="s">
        <v>440</v>
      </c>
      <c r="C85" s="161">
        <v>1</v>
      </c>
      <c r="D85" s="161" t="s">
        <v>169</v>
      </c>
      <c r="E85" s="162">
        <v>116131.04</v>
      </c>
      <c r="F85" s="163"/>
    </row>
    <row r="86" spans="1:6" ht="15.75" customHeight="1" outlineLevel="1" x14ac:dyDescent="0.2">
      <c r="A86" s="139" t="s">
        <v>441</v>
      </c>
      <c r="B86" s="140" t="s">
        <v>442</v>
      </c>
      <c r="C86" s="141"/>
      <c r="D86" s="141"/>
      <c r="E86" s="142">
        <f>SUM(E87:E89)</f>
        <v>377425.88</v>
      </c>
      <c r="F86" s="166"/>
    </row>
    <row r="87" spans="1:6" ht="15.75" customHeight="1" outlineLevel="2" x14ac:dyDescent="0.2">
      <c r="A87" s="147" t="s">
        <v>443</v>
      </c>
      <c r="B87" s="129" t="s">
        <v>444</v>
      </c>
      <c r="C87" s="161">
        <v>1</v>
      </c>
      <c r="D87" s="161" t="s">
        <v>169</v>
      </c>
      <c r="E87" s="162">
        <v>72581.899999999994</v>
      </c>
      <c r="F87" s="163"/>
    </row>
    <row r="88" spans="1:6" ht="15.75" customHeight="1" outlineLevel="2" x14ac:dyDescent="0.2">
      <c r="A88" s="147" t="s">
        <v>445</v>
      </c>
      <c r="B88" s="129" t="s">
        <v>446</v>
      </c>
      <c r="C88" s="130">
        <v>1</v>
      </c>
      <c r="D88" s="130" t="s">
        <v>169</v>
      </c>
      <c r="E88" s="131">
        <f>'[4]Sistemas especiais'!$I$25</f>
        <v>130647.42</v>
      </c>
      <c r="F88" s="124"/>
    </row>
    <row r="89" spans="1:6" ht="15.75" customHeight="1" outlineLevel="2" x14ac:dyDescent="0.2">
      <c r="A89" s="147" t="s">
        <v>447</v>
      </c>
      <c r="B89" s="129" t="s">
        <v>448</v>
      </c>
      <c r="C89" s="161">
        <v>1</v>
      </c>
      <c r="D89" s="161" t="s">
        <v>169</v>
      </c>
      <c r="E89" s="162">
        <f>'[4]Sistemas especiais'!$I$26</f>
        <v>174196.56</v>
      </c>
      <c r="F89" s="163"/>
    </row>
    <row r="90" spans="1:6" ht="15.75" customHeight="1" outlineLevel="2" x14ac:dyDescent="0.2">
      <c r="A90" s="139" t="s">
        <v>449</v>
      </c>
      <c r="B90" s="140" t="s">
        <v>450</v>
      </c>
      <c r="C90" s="141"/>
      <c r="D90" s="141"/>
      <c r="E90" s="142">
        <f>SUM(E91)</f>
        <v>435491.4</v>
      </c>
      <c r="F90" s="166"/>
    </row>
    <row r="91" spans="1:6" ht="15.75" customHeight="1" outlineLevel="2" x14ac:dyDescent="0.2">
      <c r="A91" s="147" t="s">
        <v>451</v>
      </c>
      <c r="B91" s="129" t="s">
        <v>452</v>
      </c>
      <c r="C91" s="161">
        <v>1</v>
      </c>
      <c r="D91" s="161" t="s">
        <v>169</v>
      </c>
      <c r="E91" s="162">
        <v>435491.4</v>
      </c>
      <c r="F91" s="163"/>
    </row>
    <row r="92" spans="1:6" ht="15.75" customHeight="1" outlineLevel="2" x14ac:dyDescent="0.2">
      <c r="A92" s="139" t="s">
        <v>453</v>
      </c>
      <c r="B92" s="140" t="s">
        <v>421</v>
      </c>
      <c r="C92" s="141"/>
      <c r="D92" s="141"/>
      <c r="E92" s="142">
        <f>SUM(E93:E99)</f>
        <v>2449400</v>
      </c>
      <c r="F92" s="166"/>
    </row>
    <row r="93" spans="1:6" ht="15.75" customHeight="1" outlineLevel="2" x14ac:dyDescent="0.2">
      <c r="A93" s="147" t="s">
        <v>454</v>
      </c>
      <c r="B93" s="129" t="s">
        <v>455</v>
      </c>
      <c r="C93" s="161">
        <v>1</v>
      </c>
      <c r="D93" s="161" t="s">
        <v>429</v>
      </c>
      <c r="E93" s="162">
        <f>'[4]Sistemas especiais'!$I$49</f>
        <v>120000</v>
      </c>
      <c r="F93" s="163" t="s">
        <v>456</v>
      </c>
    </row>
    <row r="94" spans="1:6" ht="15.75" customHeight="1" x14ac:dyDescent="0.2">
      <c r="A94" s="147" t="s">
        <v>457</v>
      </c>
      <c r="B94" s="129" t="s">
        <v>458</v>
      </c>
      <c r="C94" s="130">
        <v>2</v>
      </c>
      <c r="D94" s="130" t="s">
        <v>429</v>
      </c>
      <c r="E94" s="131">
        <f>'[4]Sistemas especiais'!$I$44</f>
        <v>1320000</v>
      </c>
      <c r="F94" s="124" t="s">
        <v>459</v>
      </c>
    </row>
    <row r="95" spans="1:6" ht="15.75" customHeight="1" x14ac:dyDescent="0.2">
      <c r="A95" s="147" t="s">
        <v>460</v>
      </c>
      <c r="B95" s="129" t="s">
        <v>461</v>
      </c>
      <c r="C95" s="130">
        <v>1</v>
      </c>
      <c r="D95" s="130" t="s">
        <v>462</v>
      </c>
      <c r="E95" s="131">
        <f>'[4]Sistemas especiais'!$I$45</f>
        <v>660000</v>
      </c>
      <c r="F95" s="124" t="s">
        <v>463</v>
      </c>
    </row>
    <row r="96" spans="1:6" ht="15.75" customHeight="1" x14ac:dyDescent="0.2">
      <c r="A96" s="147" t="s">
        <v>464</v>
      </c>
      <c r="B96" s="129" t="s">
        <v>465</v>
      </c>
      <c r="C96" s="130">
        <v>2</v>
      </c>
      <c r="D96" s="130" t="s">
        <v>429</v>
      </c>
      <c r="E96" s="131">
        <f>'[4]Sistemas especiais'!$I$47</f>
        <v>40000</v>
      </c>
      <c r="F96" s="124" t="s">
        <v>466</v>
      </c>
    </row>
    <row r="97" spans="1:6" x14ac:dyDescent="0.2">
      <c r="A97" s="147" t="s">
        <v>467</v>
      </c>
      <c r="B97" s="129" t="s">
        <v>468</v>
      </c>
      <c r="C97" s="130">
        <v>1</v>
      </c>
      <c r="D97" s="130" t="s">
        <v>429</v>
      </c>
      <c r="E97" s="131">
        <f>'[4]Sistemas especiais'!$I$48</f>
        <v>35000</v>
      </c>
      <c r="F97" s="124" t="s">
        <v>469</v>
      </c>
    </row>
    <row r="98" spans="1:6" ht="15.75" customHeight="1" x14ac:dyDescent="0.2">
      <c r="A98" s="147" t="s">
        <v>470</v>
      </c>
      <c r="B98" s="167" t="s">
        <v>471</v>
      </c>
      <c r="C98" s="161">
        <v>2</v>
      </c>
      <c r="D98" s="161" t="s">
        <v>429</v>
      </c>
      <c r="E98" s="162">
        <f>'[4]Sistemas especiais'!$I$46</f>
        <v>240000</v>
      </c>
      <c r="F98" s="163" t="s">
        <v>472</v>
      </c>
    </row>
    <row r="99" spans="1:6" ht="15.75" customHeight="1" x14ac:dyDescent="0.2">
      <c r="A99" s="147" t="s">
        <v>473</v>
      </c>
      <c r="B99" s="167" t="s">
        <v>474</v>
      </c>
      <c r="C99" s="161">
        <v>43</v>
      </c>
      <c r="D99" s="161" t="s">
        <v>429</v>
      </c>
      <c r="E99" s="162">
        <v>34400</v>
      </c>
      <c r="F99" s="163" t="s">
        <v>475</v>
      </c>
    </row>
    <row r="100" spans="1:6" ht="15.75" customHeight="1" x14ac:dyDescent="0.2">
      <c r="A100" s="125">
        <v>9</v>
      </c>
      <c r="B100" s="126" t="s">
        <v>476</v>
      </c>
      <c r="C100" s="127"/>
      <c r="D100" s="127"/>
      <c r="E100" s="128">
        <f>E101</f>
        <v>1142037.169</v>
      </c>
      <c r="F100" s="168"/>
    </row>
    <row r="101" spans="1:6" ht="15.75" customHeight="1" x14ac:dyDescent="0.2">
      <c r="A101" s="139" t="s">
        <v>477</v>
      </c>
      <c r="B101" s="140" t="s">
        <v>476</v>
      </c>
      <c r="C101" s="141"/>
      <c r="D101" s="141"/>
      <c r="E101" s="142">
        <f>SUM(E102:E109)</f>
        <v>1142037.169</v>
      </c>
      <c r="F101" s="166"/>
    </row>
    <row r="102" spans="1:6" x14ac:dyDescent="0.2">
      <c r="A102" s="147" t="s">
        <v>478</v>
      </c>
      <c r="B102" s="167" t="s">
        <v>479</v>
      </c>
      <c r="C102" s="130">
        <v>1</v>
      </c>
      <c r="D102" s="130" t="s">
        <v>169</v>
      </c>
      <c r="E102" s="131">
        <v>130647.42</v>
      </c>
      <c r="F102" s="124"/>
    </row>
    <row r="103" spans="1:6" ht="15.75" customHeight="1" x14ac:dyDescent="0.2">
      <c r="A103" s="147" t="s">
        <v>480</v>
      </c>
      <c r="B103" s="167" t="s">
        <v>481</v>
      </c>
      <c r="C103" s="130">
        <v>30</v>
      </c>
      <c r="D103" s="130" t="s">
        <v>302</v>
      </c>
      <c r="E103" s="131">
        <v>900</v>
      </c>
      <c r="F103" s="124"/>
    </row>
    <row r="104" spans="1:6" ht="15.75" customHeight="1" x14ac:dyDescent="0.2">
      <c r="A104" s="147" t="s">
        <v>482</v>
      </c>
      <c r="B104" s="167" t="s">
        <v>483</v>
      </c>
      <c r="C104" s="130">
        <v>688.62</v>
      </c>
      <c r="D104" s="130" t="s">
        <v>302</v>
      </c>
      <c r="E104" s="131">
        <v>24101.728000000003</v>
      </c>
      <c r="F104" s="124"/>
    </row>
    <row r="105" spans="1:6" ht="15.75" customHeight="1" x14ac:dyDescent="0.2">
      <c r="A105" s="147" t="s">
        <v>484</v>
      </c>
      <c r="B105" s="167" t="s">
        <v>485</v>
      </c>
      <c r="C105" s="130">
        <v>1</v>
      </c>
      <c r="D105" s="130" t="s">
        <v>169</v>
      </c>
      <c r="E105" s="131">
        <v>31936.036</v>
      </c>
      <c r="F105" s="124"/>
    </row>
    <row r="106" spans="1:6" outlineLevel="1" x14ac:dyDescent="0.2">
      <c r="A106" s="147" t="s">
        <v>486</v>
      </c>
      <c r="B106" s="167" t="s">
        <v>487</v>
      </c>
      <c r="C106" s="130">
        <v>1</v>
      </c>
      <c r="D106" s="130" t="s">
        <v>169</v>
      </c>
      <c r="E106" s="131">
        <v>188712.94</v>
      </c>
      <c r="F106" s="124"/>
    </row>
    <row r="107" spans="1:6" ht="14.25" customHeight="1" outlineLevel="2" x14ac:dyDescent="0.2">
      <c r="A107" s="147" t="s">
        <v>488</v>
      </c>
      <c r="B107" s="167" t="s">
        <v>489</v>
      </c>
      <c r="C107" s="130">
        <v>1</v>
      </c>
      <c r="D107" s="130" t="s">
        <v>169</v>
      </c>
      <c r="E107" s="131">
        <v>580655.19999999995</v>
      </c>
      <c r="F107" s="124"/>
    </row>
    <row r="108" spans="1:6" ht="15.75" customHeight="1" outlineLevel="2" x14ac:dyDescent="0.2">
      <c r="A108" s="147" t="s">
        <v>490</v>
      </c>
      <c r="B108" s="167" t="s">
        <v>491</v>
      </c>
      <c r="C108" s="130">
        <v>1</v>
      </c>
      <c r="D108" s="130" t="s">
        <v>169</v>
      </c>
      <c r="E108" s="131">
        <v>10887.285</v>
      </c>
      <c r="F108" s="124"/>
    </row>
    <row r="109" spans="1:6" ht="15.75" customHeight="1" outlineLevel="2" x14ac:dyDescent="0.2">
      <c r="A109" s="147" t="s">
        <v>492</v>
      </c>
      <c r="B109" s="167" t="s">
        <v>493</v>
      </c>
      <c r="C109" s="130">
        <v>1</v>
      </c>
      <c r="D109" s="130" t="s">
        <v>169</v>
      </c>
      <c r="E109" s="131">
        <v>174196.56</v>
      </c>
      <c r="F109" s="124"/>
    </row>
    <row r="110" spans="1:6" ht="15.75" customHeight="1" outlineLevel="2" x14ac:dyDescent="0.2">
      <c r="A110" s="125">
        <v>10</v>
      </c>
      <c r="B110" s="126" t="s">
        <v>494</v>
      </c>
      <c r="C110" s="127"/>
      <c r="D110" s="127"/>
      <c r="E110" s="128">
        <f>E111+E116</f>
        <v>1922134.1421500002</v>
      </c>
      <c r="F110" s="128"/>
    </row>
    <row r="111" spans="1:6" ht="15.75" customHeight="1" outlineLevel="2" x14ac:dyDescent="0.2">
      <c r="A111" s="139" t="s">
        <v>495</v>
      </c>
      <c r="B111" s="140" t="s">
        <v>496</v>
      </c>
      <c r="C111" s="141"/>
      <c r="D111" s="141"/>
      <c r="E111" s="142">
        <f>SUM(E112:E115)</f>
        <v>1216788.2060000002</v>
      </c>
      <c r="F111" s="142"/>
    </row>
    <row r="112" spans="1:6" outlineLevel="2" x14ac:dyDescent="0.2">
      <c r="A112" s="147" t="s">
        <v>497</v>
      </c>
      <c r="B112" s="129" t="s">
        <v>498</v>
      </c>
      <c r="C112" s="130">
        <v>12921.47</v>
      </c>
      <c r="D112" s="130" t="s">
        <v>302</v>
      </c>
      <c r="E112" s="131">
        <v>516858.8</v>
      </c>
      <c r="F112" s="124"/>
    </row>
    <row r="113" spans="1:6" outlineLevel="2" x14ac:dyDescent="0.2">
      <c r="A113" s="147" t="s">
        <v>499</v>
      </c>
      <c r="B113" s="129" t="s">
        <v>500</v>
      </c>
      <c r="C113" s="130">
        <v>955.09</v>
      </c>
      <c r="D113" s="130" t="s">
        <v>302</v>
      </c>
      <c r="E113" s="131">
        <v>95541</v>
      </c>
      <c r="F113" s="124"/>
    </row>
    <row r="114" spans="1:6" outlineLevel="2" x14ac:dyDescent="0.2">
      <c r="A114" s="147" t="s">
        <v>501</v>
      </c>
      <c r="B114" s="129" t="s">
        <v>502</v>
      </c>
      <c r="C114" s="130">
        <v>6369.4</v>
      </c>
      <c r="D114" s="130" t="s">
        <v>302</v>
      </c>
      <c r="E114" s="131">
        <v>22922.256000000001</v>
      </c>
      <c r="F114" s="124"/>
    </row>
    <row r="115" spans="1:6" outlineLevel="1" x14ac:dyDescent="0.2">
      <c r="A115" s="147" t="s">
        <v>503</v>
      </c>
      <c r="B115" s="129" t="s">
        <v>504</v>
      </c>
      <c r="C115" s="130">
        <v>12921.47</v>
      </c>
      <c r="D115" s="130" t="s">
        <v>302</v>
      </c>
      <c r="E115" s="131">
        <f>'[4]Rev. Internos Piso e Parede'!$I$21</f>
        <v>581466.15</v>
      </c>
      <c r="F115" s="124"/>
    </row>
    <row r="116" spans="1:6" ht="15.75" customHeight="1" outlineLevel="2" x14ac:dyDescent="0.2">
      <c r="A116" s="139" t="s">
        <v>505</v>
      </c>
      <c r="B116" s="140" t="s">
        <v>506</v>
      </c>
      <c r="C116" s="141"/>
      <c r="D116" s="141"/>
      <c r="E116" s="142">
        <f>SUM(E117:E120)</f>
        <v>705345.93614999996</v>
      </c>
      <c r="F116" s="166"/>
    </row>
    <row r="117" spans="1:6" ht="15.75" customHeight="1" outlineLevel="2" x14ac:dyDescent="0.2">
      <c r="A117" s="147" t="s">
        <v>507</v>
      </c>
      <c r="B117" s="129" t="s">
        <v>508</v>
      </c>
      <c r="C117" s="130">
        <v>24141.89</v>
      </c>
      <c r="D117" s="130" t="s">
        <v>302</v>
      </c>
      <c r="E117" s="131">
        <f>'[4]Rev. Internos Piso e Parede'!$I$18</f>
        <v>28366.72075</v>
      </c>
      <c r="F117" s="124"/>
    </row>
    <row r="118" spans="1:6" ht="15.75" customHeight="1" outlineLevel="2" x14ac:dyDescent="0.2">
      <c r="A118" s="147" t="s">
        <v>509</v>
      </c>
      <c r="B118" s="129" t="s">
        <v>510</v>
      </c>
      <c r="C118" s="130">
        <v>24141.89</v>
      </c>
      <c r="D118" s="130" t="s">
        <v>302</v>
      </c>
      <c r="E118" s="131">
        <f>'[4]Rev. Internos Piso e Parede'!$I$19</f>
        <v>260973.8309</v>
      </c>
      <c r="F118" s="124"/>
    </row>
    <row r="119" spans="1:6" ht="15.75" customHeight="1" outlineLevel="2" x14ac:dyDescent="0.2">
      <c r="A119" s="147" t="s">
        <v>511</v>
      </c>
      <c r="B119" s="129" t="s">
        <v>512</v>
      </c>
      <c r="C119" s="130">
        <v>1</v>
      </c>
      <c r="D119" s="130" t="s">
        <v>169</v>
      </c>
      <c r="E119" s="131">
        <f>'[4]Rev. Internos Piso e Parede'!$I$20</f>
        <v>18871.293999999998</v>
      </c>
      <c r="F119" s="124"/>
    </row>
    <row r="120" spans="1:6" ht="15.75" customHeight="1" outlineLevel="2" x14ac:dyDescent="0.2">
      <c r="A120" s="147" t="s">
        <v>513</v>
      </c>
      <c r="B120" s="135" t="s">
        <v>514</v>
      </c>
      <c r="C120" s="136">
        <v>24141.89</v>
      </c>
      <c r="D120" s="136" t="s">
        <v>302</v>
      </c>
      <c r="E120" s="137">
        <f>'[4]Rev. Internos Piso e Parede'!$I$22</f>
        <v>397134.09049999999</v>
      </c>
      <c r="F120" s="138"/>
    </row>
    <row r="121" spans="1:6" ht="15.75" customHeight="1" outlineLevel="2" x14ac:dyDescent="0.2">
      <c r="A121" s="125">
        <v>11</v>
      </c>
      <c r="B121" s="126" t="s">
        <v>515</v>
      </c>
      <c r="C121" s="127"/>
      <c r="D121" s="127"/>
      <c r="E121" s="128">
        <f>E122+E133</f>
        <v>2915218.5199999996</v>
      </c>
      <c r="F121" s="128"/>
    </row>
    <row r="122" spans="1:6" ht="15.75" customHeight="1" outlineLevel="2" x14ac:dyDescent="0.2">
      <c r="A122" s="139" t="s">
        <v>516</v>
      </c>
      <c r="B122" s="140" t="s">
        <v>517</v>
      </c>
      <c r="C122" s="141"/>
      <c r="D122" s="141"/>
      <c r="E122" s="142">
        <f>SUM(E123:E132)</f>
        <v>2278581.4699999997</v>
      </c>
      <c r="F122" s="142"/>
    </row>
    <row r="123" spans="1:6" ht="15.75" customHeight="1" outlineLevel="2" x14ac:dyDescent="0.2">
      <c r="A123" s="147" t="s">
        <v>518</v>
      </c>
      <c r="B123" s="129" t="s">
        <v>519</v>
      </c>
      <c r="C123" s="161">
        <v>5420.4340000000002</v>
      </c>
      <c r="D123" s="161" t="s">
        <v>520</v>
      </c>
      <c r="E123" s="162">
        <v>677554.25</v>
      </c>
      <c r="F123" s="163" t="s">
        <v>521</v>
      </c>
    </row>
    <row r="124" spans="1:6" ht="15.75" customHeight="1" x14ac:dyDescent="0.2">
      <c r="A124" s="147" t="s">
        <v>522</v>
      </c>
      <c r="B124" s="129" t="s">
        <v>523</v>
      </c>
      <c r="C124" s="161">
        <v>2617.77</v>
      </c>
      <c r="D124" s="161" t="s">
        <v>520</v>
      </c>
      <c r="E124" s="162">
        <v>680620.2</v>
      </c>
      <c r="F124" s="163"/>
    </row>
    <row r="125" spans="1:6" ht="15.75" customHeight="1" x14ac:dyDescent="0.2">
      <c r="A125" s="147" t="s">
        <v>524</v>
      </c>
      <c r="B125" s="129" t="s">
        <v>525</v>
      </c>
      <c r="C125" s="161">
        <v>23.47</v>
      </c>
      <c r="D125" s="161" t="s">
        <v>302</v>
      </c>
      <c r="E125" s="162">
        <v>5867.5</v>
      </c>
      <c r="F125" s="163"/>
    </row>
    <row r="126" spans="1:6" ht="15.75" customHeight="1" x14ac:dyDescent="0.2">
      <c r="A126" s="147" t="s">
        <v>526</v>
      </c>
      <c r="B126" s="129" t="s">
        <v>527</v>
      </c>
      <c r="C126" s="161">
        <v>113</v>
      </c>
      <c r="D126" s="161" t="s">
        <v>302</v>
      </c>
      <c r="E126" s="162">
        <v>16385</v>
      </c>
      <c r="F126" s="163"/>
    </row>
    <row r="127" spans="1:6" outlineLevel="1" x14ac:dyDescent="0.2">
      <c r="A127" s="147" t="s">
        <v>528</v>
      </c>
      <c r="B127" s="129" t="s">
        <v>529</v>
      </c>
      <c r="C127" s="161">
        <v>391</v>
      </c>
      <c r="D127" s="161" t="s">
        <v>520</v>
      </c>
      <c r="E127" s="162">
        <v>46920</v>
      </c>
      <c r="F127" s="163"/>
    </row>
    <row r="128" spans="1:6" outlineLevel="1" x14ac:dyDescent="0.2">
      <c r="A128" s="147" t="s">
        <v>530</v>
      </c>
      <c r="B128" s="129" t="s">
        <v>531</v>
      </c>
      <c r="C128" s="161">
        <v>91.15</v>
      </c>
      <c r="D128" s="161" t="s">
        <v>302</v>
      </c>
      <c r="E128" s="162">
        <v>45575</v>
      </c>
      <c r="F128" s="163"/>
    </row>
    <row r="129" spans="1:6" ht="14.45" customHeight="1" outlineLevel="2" x14ac:dyDescent="0.2">
      <c r="A129" s="147" t="s">
        <v>532</v>
      </c>
      <c r="B129" s="129" t="s">
        <v>533</v>
      </c>
      <c r="C129" s="161">
        <v>6826.0099999999993</v>
      </c>
      <c r="D129" s="161" t="s">
        <v>157</v>
      </c>
      <c r="E129" s="162">
        <v>409560.6</v>
      </c>
      <c r="F129" s="162"/>
    </row>
    <row r="130" spans="1:6" ht="15.75" customHeight="1" outlineLevel="2" x14ac:dyDescent="0.2">
      <c r="A130" s="147" t="s">
        <v>534</v>
      </c>
      <c r="B130" s="129" t="s">
        <v>535</v>
      </c>
      <c r="C130" s="161">
        <v>1</v>
      </c>
      <c r="D130" s="161" t="s">
        <v>169</v>
      </c>
      <c r="E130" s="162">
        <v>174196.56</v>
      </c>
      <c r="F130" s="163"/>
    </row>
    <row r="131" spans="1:6" ht="15.75" customHeight="1" outlineLevel="2" x14ac:dyDescent="0.2">
      <c r="A131" s="147" t="s">
        <v>536</v>
      </c>
      <c r="B131" s="129" t="s">
        <v>537</v>
      </c>
      <c r="C131" s="161">
        <v>5420.4340000000002</v>
      </c>
      <c r="D131" s="161" t="s">
        <v>302</v>
      </c>
      <c r="E131" s="162">
        <v>216817.36000000002</v>
      </c>
      <c r="F131" s="163"/>
    </row>
    <row r="132" spans="1:6" ht="15.75" customHeight="1" outlineLevel="2" x14ac:dyDescent="0.2">
      <c r="A132" s="147" t="s">
        <v>538</v>
      </c>
      <c r="B132" s="129" t="s">
        <v>539</v>
      </c>
      <c r="C132" s="161">
        <v>113</v>
      </c>
      <c r="D132" s="161" t="s">
        <v>302</v>
      </c>
      <c r="E132" s="162">
        <v>5085</v>
      </c>
      <c r="F132" s="163"/>
    </row>
    <row r="133" spans="1:6" ht="15.75" customHeight="1" outlineLevel="2" x14ac:dyDescent="0.2">
      <c r="A133" s="139" t="s">
        <v>540</v>
      </c>
      <c r="B133" s="140" t="s">
        <v>541</v>
      </c>
      <c r="C133" s="141"/>
      <c r="D133" s="141"/>
      <c r="E133" s="142">
        <f>E134+E135</f>
        <v>636637.05000000005</v>
      </c>
      <c r="F133" s="142"/>
    </row>
    <row r="134" spans="1:6" ht="15.75" customHeight="1" outlineLevel="2" x14ac:dyDescent="0.2">
      <c r="A134" s="147" t="s">
        <v>542</v>
      </c>
      <c r="B134" s="129" t="s">
        <v>543</v>
      </c>
      <c r="C134" s="161">
        <v>4715.83</v>
      </c>
      <c r="D134" s="161" t="s">
        <v>302</v>
      </c>
      <c r="E134" s="162">
        <f>'[4]Acabamentos de Piso e Parede'!$I$22</f>
        <v>424424.7</v>
      </c>
      <c r="F134" s="163" t="s">
        <v>544</v>
      </c>
    </row>
    <row r="135" spans="1:6" ht="15.75" customHeight="1" outlineLevel="2" x14ac:dyDescent="0.2">
      <c r="A135" s="147" t="s">
        <v>545</v>
      </c>
      <c r="B135" s="135" t="s">
        <v>546</v>
      </c>
      <c r="C135" s="164">
        <v>4715.83</v>
      </c>
      <c r="D135" s="164" t="s">
        <v>302</v>
      </c>
      <c r="E135" s="169">
        <f>'[4]Acabamentos de Piso e Parede'!$I$24</f>
        <v>212212.35</v>
      </c>
      <c r="F135" s="165"/>
    </row>
    <row r="136" spans="1:6" ht="15.75" customHeight="1" x14ac:dyDescent="0.2">
      <c r="A136" s="125">
        <v>12</v>
      </c>
      <c r="B136" s="126" t="s">
        <v>547</v>
      </c>
      <c r="C136" s="127"/>
      <c r="D136" s="127"/>
      <c r="E136" s="128">
        <f>E137</f>
        <v>1271472.6699999997</v>
      </c>
      <c r="F136" s="128"/>
    </row>
    <row r="137" spans="1:6" ht="15" customHeight="1" outlineLevel="1" x14ac:dyDescent="0.2">
      <c r="A137" s="139" t="s">
        <v>548</v>
      </c>
      <c r="B137" s="140" t="s">
        <v>549</v>
      </c>
      <c r="C137" s="141"/>
      <c r="D137" s="141"/>
      <c r="E137" s="142">
        <f>SUM(E138:E143)</f>
        <v>1271472.6699999997</v>
      </c>
      <c r="F137" s="142"/>
    </row>
    <row r="138" spans="1:6" ht="15" customHeight="1" outlineLevel="2" x14ac:dyDescent="0.2">
      <c r="A138" s="147" t="s">
        <v>550</v>
      </c>
      <c r="B138" s="129" t="s">
        <v>551</v>
      </c>
      <c r="C138" s="161">
        <v>6549.19</v>
      </c>
      <c r="D138" s="161" t="s">
        <v>302</v>
      </c>
      <c r="E138" s="162">
        <v>556426.15</v>
      </c>
      <c r="F138" s="163"/>
    </row>
    <row r="139" spans="1:6" ht="15" customHeight="1" outlineLevel="2" x14ac:dyDescent="0.2">
      <c r="A139" s="147" t="s">
        <v>552</v>
      </c>
      <c r="B139" s="129" t="s">
        <v>553</v>
      </c>
      <c r="C139" s="161">
        <v>662.45</v>
      </c>
      <c r="D139" s="161" t="s">
        <v>302</v>
      </c>
      <c r="E139" s="162">
        <v>298102.5</v>
      </c>
      <c r="F139" s="163"/>
    </row>
    <row r="140" spans="1:6" ht="15" customHeight="1" outlineLevel="2" x14ac:dyDescent="0.2">
      <c r="A140" s="147" t="s">
        <v>554</v>
      </c>
      <c r="B140" s="129" t="s">
        <v>555</v>
      </c>
      <c r="C140" s="161">
        <v>13.85</v>
      </c>
      <c r="D140" s="161" t="s">
        <v>302</v>
      </c>
      <c r="E140" s="162">
        <v>4155</v>
      </c>
      <c r="F140" s="163"/>
    </row>
    <row r="141" spans="1:6" ht="15" customHeight="1" outlineLevel="2" x14ac:dyDescent="0.2">
      <c r="A141" s="147" t="s">
        <v>556</v>
      </c>
      <c r="B141" s="129" t="s">
        <v>557</v>
      </c>
      <c r="C141" s="161">
        <v>8065.83</v>
      </c>
      <c r="D141" s="161" t="s">
        <v>157</v>
      </c>
      <c r="E141" s="162">
        <v>201645.75</v>
      </c>
      <c r="F141" s="163"/>
    </row>
    <row r="142" spans="1:6" ht="15" customHeight="1" outlineLevel="2" x14ac:dyDescent="0.2">
      <c r="A142" s="147" t="s">
        <v>558</v>
      </c>
      <c r="B142" s="129" t="s">
        <v>559</v>
      </c>
      <c r="C142" s="161">
        <v>1016.15</v>
      </c>
      <c r="D142" s="161" t="s">
        <v>302</v>
      </c>
      <c r="E142" s="162">
        <v>43549.14</v>
      </c>
      <c r="F142" s="163"/>
    </row>
    <row r="143" spans="1:6" ht="15" customHeight="1" outlineLevel="2" x14ac:dyDescent="0.2">
      <c r="A143" s="147" t="s">
        <v>560</v>
      </c>
      <c r="B143" s="129" t="s">
        <v>512</v>
      </c>
      <c r="C143" s="161">
        <v>5078.6099999999997</v>
      </c>
      <c r="D143" s="161" t="s">
        <v>302</v>
      </c>
      <c r="E143" s="162">
        <v>167594.12999999998</v>
      </c>
      <c r="F143" s="163"/>
    </row>
    <row r="144" spans="1:6" ht="15" customHeight="1" outlineLevel="2" x14ac:dyDescent="0.2">
      <c r="A144" s="125">
        <v>13</v>
      </c>
      <c r="B144" s="126" t="s">
        <v>561</v>
      </c>
      <c r="C144" s="127"/>
      <c r="D144" s="127"/>
      <c r="E144" s="128">
        <f>E145</f>
        <v>1912985.6899999997</v>
      </c>
      <c r="F144" s="128"/>
    </row>
    <row r="145" spans="1:6" ht="15" customHeight="1" outlineLevel="2" x14ac:dyDescent="0.2">
      <c r="A145" s="139" t="s">
        <v>562</v>
      </c>
      <c r="B145" s="140" t="s">
        <v>561</v>
      </c>
      <c r="C145" s="141"/>
      <c r="D145" s="141"/>
      <c r="E145" s="142">
        <f>E146+E147+E148+E149</f>
        <v>1912985.6899999997</v>
      </c>
      <c r="F145" s="142"/>
    </row>
    <row r="146" spans="1:6" ht="15" customHeight="1" outlineLevel="2" x14ac:dyDescent="0.2">
      <c r="A146" s="147" t="s">
        <v>563</v>
      </c>
      <c r="B146" s="167" t="s">
        <v>564</v>
      </c>
      <c r="C146" s="161">
        <v>2141.16</v>
      </c>
      <c r="D146" s="161" t="s">
        <v>302</v>
      </c>
      <c r="E146" s="162">
        <v>342585.59999999998</v>
      </c>
      <c r="F146" s="163"/>
    </row>
    <row r="147" spans="1:6" ht="15" customHeight="1" outlineLevel="2" x14ac:dyDescent="0.2">
      <c r="A147" s="147" t="s">
        <v>565</v>
      </c>
      <c r="B147" s="167" t="s">
        <v>566</v>
      </c>
      <c r="C147" s="161">
        <v>20946.87</v>
      </c>
      <c r="D147" s="161" t="s">
        <v>302</v>
      </c>
      <c r="E147" s="162">
        <v>242776.3</v>
      </c>
      <c r="F147" s="163"/>
    </row>
    <row r="148" spans="1:6" ht="15" customHeight="1" outlineLevel="2" x14ac:dyDescent="0.2">
      <c r="A148" s="147" t="s">
        <v>567</v>
      </c>
      <c r="B148" s="167" t="s">
        <v>568</v>
      </c>
      <c r="C148" s="161">
        <v>3735.02</v>
      </c>
      <c r="D148" s="161" t="s">
        <v>302</v>
      </c>
      <c r="E148" s="162">
        <v>1152077.8499999999</v>
      </c>
      <c r="F148" s="163"/>
    </row>
    <row r="149" spans="1:6" ht="15" customHeight="1" outlineLevel="2" x14ac:dyDescent="0.2">
      <c r="A149" s="147" t="s">
        <v>569</v>
      </c>
      <c r="B149" s="167" t="s">
        <v>570</v>
      </c>
      <c r="C149" s="161">
        <v>3735.02</v>
      </c>
      <c r="D149" s="161" t="s">
        <v>302</v>
      </c>
      <c r="E149" s="162">
        <v>175545.94</v>
      </c>
      <c r="F149" s="163"/>
    </row>
    <row r="150" spans="1:6" ht="15" customHeight="1" outlineLevel="2" x14ac:dyDescent="0.2">
      <c r="A150" s="125">
        <v>14</v>
      </c>
      <c r="B150" s="126" t="s">
        <v>571</v>
      </c>
      <c r="C150" s="127"/>
      <c r="D150" s="127"/>
      <c r="E150" s="128">
        <f>E151+E158+E161</f>
        <v>5559680.5</v>
      </c>
      <c r="F150" s="128"/>
    </row>
    <row r="151" spans="1:6" ht="15" customHeight="1" outlineLevel="2" x14ac:dyDescent="0.2">
      <c r="A151" s="139" t="s">
        <v>572</v>
      </c>
      <c r="B151" s="140" t="s">
        <v>573</v>
      </c>
      <c r="C151" s="141"/>
      <c r="D151" s="141"/>
      <c r="E151" s="142">
        <f>SUM(E152:E157)</f>
        <v>4199180.5</v>
      </c>
      <c r="F151" s="142"/>
    </row>
    <row r="152" spans="1:6" ht="15.75" customHeight="1" outlineLevel="2" x14ac:dyDescent="0.2">
      <c r="A152" s="147" t="s">
        <v>574</v>
      </c>
      <c r="B152" s="167" t="s">
        <v>575</v>
      </c>
      <c r="C152" s="161">
        <v>1070.93</v>
      </c>
      <c r="D152" s="161" t="s">
        <v>302</v>
      </c>
      <c r="E152" s="162">
        <f>[4]Esquadrias!$I$15</f>
        <v>1767034.5</v>
      </c>
      <c r="F152" s="163" t="s">
        <v>576</v>
      </c>
    </row>
    <row r="153" spans="1:6" ht="15.75" customHeight="1" outlineLevel="2" x14ac:dyDescent="0.2">
      <c r="A153" s="147" t="s">
        <v>577</v>
      </c>
      <c r="B153" s="167" t="s">
        <v>578</v>
      </c>
      <c r="C153" s="161">
        <v>389.85</v>
      </c>
      <c r="D153" s="161" t="s">
        <v>302</v>
      </c>
      <c r="E153" s="162">
        <v>389850</v>
      </c>
      <c r="F153" s="163" t="s">
        <v>579</v>
      </c>
    </row>
    <row r="154" spans="1:6" ht="14.45" customHeight="1" outlineLevel="1" x14ac:dyDescent="0.2">
      <c r="A154" s="147" t="s">
        <v>580</v>
      </c>
      <c r="B154" s="167" t="s">
        <v>581</v>
      </c>
      <c r="C154" s="161">
        <v>210.62</v>
      </c>
      <c r="D154" s="161" t="s">
        <v>302</v>
      </c>
      <c r="E154" s="162">
        <v>421240</v>
      </c>
      <c r="F154" s="163" t="s">
        <v>582</v>
      </c>
    </row>
    <row r="155" spans="1:6" ht="15.75" customHeight="1" outlineLevel="2" x14ac:dyDescent="0.2">
      <c r="A155" s="147" t="s">
        <v>583</v>
      </c>
      <c r="B155" s="167" t="s">
        <v>584</v>
      </c>
      <c r="C155" s="161">
        <v>720.1</v>
      </c>
      <c r="D155" s="161" t="s">
        <v>302</v>
      </c>
      <c r="E155" s="162">
        <f>[4]Esquadrias!$I$17</f>
        <v>1512210</v>
      </c>
      <c r="F155" s="163" t="s">
        <v>576</v>
      </c>
    </row>
    <row r="156" spans="1:6" ht="15.75" customHeight="1" outlineLevel="2" x14ac:dyDescent="0.2">
      <c r="A156" s="147" t="s">
        <v>585</v>
      </c>
      <c r="B156" s="167" t="s">
        <v>586</v>
      </c>
      <c r="C156" s="161">
        <v>525.64</v>
      </c>
      <c r="D156" s="161" t="s">
        <v>157</v>
      </c>
      <c r="E156" s="162">
        <f>[4]Esquadrias!$I$21</f>
        <v>78846</v>
      </c>
      <c r="F156" s="163" t="s">
        <v>587</v>
      </c>
    </row>
    <row r="157" spans="1:6" ht="15.75" customHeight="1" x14ac:dyDescent="0.2">
      <c r="A157" s="147" t="s">
        <v>588</v>
      </c>
      <c r="B157" s="167" t="s">
        <v>589</v>
      </c>
      <c r="C157" s="161">
        <v>1</v>
      </c>
      <c r="D157" s="161" t="s">
        <v>429</v>
      </c>
      <c r="E157" s="162">
        <v>30000</v>
      </c>
      <c r="F157" s="163" t="s">
        <v>590</v>
      </c>
    </row>
    <row r="158" spans="1:6" ht="15" customHeight="1" outlineLevel="1" x14ac:dyDescent="0.2">
      <c r="A158" s="139" t="s">
        <v>591</v>
      </c>
      <c r="B158" s="140" t="s">
        <v>592</v>
      </c>
      <c r="C158" s="141"/>
      <c r="D158" s="141"/>
      <c r="E158" s="142">
        <f>SUM(E159:E160)</f>
        <v>326000</v>
      </c>
      <c r="F158" s="142"/>
    </row>
    <row r="159" spans="1:6" ht="15.75" customHeight="1" outlineLevel="2" x14ac:dyDescent="0.2">
      <c r="A159" s="147" t="s">
        <v>593</v>
      </c>
      <c r="B159" s="167" t="s">
        <v>594</v>
      </c>
      <c r="C159" s="161">
        <v>72</v>
      </c>
      <c r="D159" s="161" t="s">
        <v>429</v>
      </c>
      <c r="E159" s="162">
        <f>[4]Esquadrias!$I$20</f>
        <v>126000</v>
      </c>
      <c r="F159" s="163"/>
    </row>
    <row r="160" spans="1:6" ht="15.75" customHeight="1" outlineLevel="2" x14ac:dyDescent="0.2">
      <c r="A160" s="147" t="s">
        <v>595</v>
      </c>
      <c r="B160" s="167" t="s">
        <v>596</v>
      </c>
      <c r="C160" s="161">
        <v>1</v>
      </c>
      <c r="D160" s="161" t="s">
        <v>169</v>
      </c>
      <c r="E160" s="162">
        <v>200000</v>
      </c>
      <c r="F160" s="162"/>
    </row>
    <row r="161" spans="1:6" ht="15.75" customHeight="1" outlineLevel="2" x14ac:dyDescent="0.2">
      <c r="A161" s="139" t="s">
        <v>597</v>
      </c>
      <c r="B161" s="140" t="s">
        <v>598</v>
      </c>
      <c r="C161" s="141"/>
      <c r="D161" s="141"/>
      <c r="E161" s="142">
        <f>E162+E163</f>
        <v>1034500</v>
      </c>
      <c r="F161" s="142"/>
    </row>
    <row r="162" spans="1:6" ht="15.75" customHeight="1" outlineLevel="2" x14ac:dyDescent="0.2">
      <c r="A162" s="147" t="s">
        <v>599</v>
      </c>
      <c r="B162" s="167" t="s">
        <v>600</v>
      </c>
      <c r="C162" s="161">
        <v>309</v>
      </c>
      <c r="D162" s="161" t="s">
        <v>429</v>
      </c>
      <c r="E162" s="162">
        <v>927000</v>
      </c>
      <c r="F162" s="163" t="s">
        <v>601</v>
      </c>
    </row>
    <row r="163" spans="1:6" ht="15.75" customHeight="1" outlineLevel="2" x14ac:dyDescent="0.2">
      <c r="A163" s="147" t="s">
        <v>602</v>
      </c>
      <c r="B163" s="170" t="s">
        <v>603</v>
      </c>
      <c r="C163" s="164">
        <v>43</v>
      </c>
      <c r="D163" s="164" t="s">
        <v>429</v>
      </c>
      <c r="E163" s="169">
        <v>107500</v>
      </c>
      <c r="F163" s="165" t="s">
        <v>604</v>
      </c>
    </row>
    <row r="164" spans="1:6" ht="15.75" customHeight="1" x14ac:dyDescent="0.2">
      <c r="A164" s="125">
        <v>15</v>
      </c>
      <c r="B164" s="126" t="s">
        <v>605</v>
      </c>
      <c r="C164" s="127"/>
      <c r="D164" s="127"/>
      <c r="E164" s="128">
        <f>E165+E168+E171</f>
        <v>2672331.2999999998</v>
      </c>
      <c r="F164" s="128"/>
    </row>
    <row r="165" spans="1:6" ht="15" customHeight="1" outlineLevel="1" x14ac:dyDescent="0.2">
      <c r="A165" s="139" t="s">
        <v>606</v>
      </c>
      <c r="B165" s="140" t="s">
        <v>607</v>
      </c>
      <c r="C165" s="141"/>
      <c r="D165" s="141"/>
      <c r="E165" s="142">
        <f>E166+E167</f>
        <v>867301.00000000012</v>
      </c>
      <c r="F165" s="142"/>
    </row>
    <row r="166" spans="1:6" ht="15.75" customHeight="1" outlineLevel="2" x14ac:dyDescent="0.2">
      <c r="A166" s="147" t="s">
        <v>608</v>
      </c>
      <c r="B166" s="167" t="s">
        <v>609</v>
      </c>
      <c r="C166" s="171">
        <v>8673.01</v>
      </c>
      <c r="D166" s="171" t="s">
        <v>302</v>
      </c>
      <c r="E166" s="172">
        <f>'[4]Rev. Fachada'!$I$15</f>
        <v>260190.30000000002</v>
      </c>
      <c r="F166" s="173" t="s">
        <v>610</v>
      </c>
    </row>
    <row r="167" spans="1:6" ht="15.75" customHeight="1" outlineLevel="2" x14ac:dyDescent="0.2">
      <c r="A167" s="147" t="s">
        <v>611</v>
      </c>
      <c r="B167" s="170" t="s">
        <v>612</v>
      </c>
      <c r="C167" s="174">
        <v>8673.01</v>
      </c>
      <c r="D167" s="174" t="s">
        <v>302</v>
      </c>
      <c r="E167" s="175">
        <f>'[4]Rev. Fachada'!$I$16</f>
        <v>607110.70000000007</v>
      </c>
      <c r="F167" s="176"/>
    </row>
    <row r="168" spans="1:6" ht="15.75" customHeight="1" outlineLevel="2" x14ac:dyDescent="0.2">
      <c r="A168" s="139" t="s">
        <v>613</v>
      </c>
      <c r="B168" s="140" t="s">
        <v>614</v>
      </c>
      <c r="C168" s="141"/>
      <c r="D168" s="141"/>
      <c r="E168" s="142">
        <f>E169+E170</f>
        <v>1300951.5</v>
      </c>
      <c r="F168" s="142"/>
    </row>
    <row r="169" spans="1:6" ht="15.75" customHeight="1" outlineLevel="2" x14ac:dyDescent="0.2">
      <c r="A169" s="147" t="s">
        <v>615</v>
      </c>
      <c r="B169" s="167" t="s">
        <v>616</v>
      </c>
      <c r="C169" s="171">
        <v>8673.01</v>
      </c>
      <c r="D169" s="171" t="s">
        <v>302</v>
      </c>
      <c r="E169" s="172">
        <v>520380.6</v>
      </c>
      <c r="F169" s="341" t="s">
        <v>617</v>
      </c>
    </row>
    <row r="170" spans="1:6" ht="15.75" customHeight="1" outlineLevel="2" x14ac:dyDescent="0.2">
      <c r="A170" s="147" t="s">
        <v>618</v>
      </c>
      <c r="B170" s="170" t="s">
        <v>619</v>
      </c>
      <c r="C170" s="174">
        <v>8673.01</v>
      </c>
      <c r="D170" s="174" t="s">
        <v>302</v>
      </c>
      <c r="E170" s="175">
        <v>780570.9</v>
      </c>
      <c r="F170" s="342"/>
    </row>
    <row r="171" spans="1:6" ht="15.75" customHeight="1" x14ac:dyDescent="0.2">
      <c r="A171" s="139" t="s">
        <v>620</v>
      </c>
      <c r="B171" s="140" t="s">
        <v>621</v>
      </c>
      <c r="C171" s="141"/>
      <c r="D171" s="141"/>
      <c r="E171" s="142">
        <f>E172+E174+E173</f>
        <v>504078.8</v>
      </c>
      <c r="F171" s="142"/>
    </row>
    <row r="172" spans="1:6" ht="15" customHeight="1" outlineLevel="1" x14ac:dyDescent="0.2">
      <c r="A172" s="147" t="s">
        <v>622</v>
      </c>
      <c r="B172" s="167" t="s">
        <v>623</v>
      </c>
      <c r="C172" s="171">
        <v>514.04</v>
      </c>
      <c r="D172" s="171" t="s">
        <v>302</v>
      </c>
      <c r="E172" s="172">
        <f>'[4]Rev. Fachada'!$I$30</f>
        <v>113088.79999999999</v>
      </c>
      <c r="F172" s="172"/>
    </row>
    <row r="173" spans="1:6" ht="15" customHeight="1" outlineLevel="1" x14ac:dyDescent="0.2">
      <c r="A173" s="147" t="s">
        <v>624</v>
      </c>
      <c r="B173" s="167" t="s">
        <v>625</v>
      </c>
      <c r="C173" s="161">
        <v>290.99</v>
      </c>
      <c r="D173" s="161" t="s">
        <v>302</v>
      </c>
      <c r="E173" s="162">
        <f>'[4]Rev. Fachada'!$I$31</f>
        <v>290990</v>
      </c>
      <c r="F173" s="163"/>
    </row>
    <row r="174" spans="1:6" ht="15.75" customHeight="1" outlineLevel="2" x14ac:dyDescent="0.2">
      <c r="A174" s="147" t="s">
        <v>626</v>
      </c>
      <c r="B174" s="170" t="s">
        <v>627</v>
      </c>
      <c r="C174" s="174">
        <v>1</v>
      </c>
      <c r="D174" s="174" t="s">
        <v>169</v>
      </c>
      <c r="E174" s="175">
        <v>100000</v>
      </c>
      <c r="F174" s="175"/>
    </row>
    <row r="175" spans="1:6" ht="15.75" customHeight="1" outlineLevel="2" x14ac:dyDescent="0.2">
      <c r="A175" s="125">
        <v>17</v>
      </c>
      <c r="B175" s="126" t="s">
        <v>628</v>
      </c>
      <c r="C175" s="127"/>
      <c r="D175" s="127"/>
      <c r="E175" s="128">
        <f>E176</f>
        <v>4713356.95</v>
      </c>
      <c r="F175" s="128"/>
    </row>
    <row r="176" spans="1:6" ht="15.75" customHeight="1" outlineLevel="2" x14ac:dyDescent="0.2">
      <c r="A176" s="139" t="s">
        <v>629</v>
      </c>
      <c r="B176" s="140" t="s">
        <v>628</v>
      </c>
      <c r="C176" s="141"/>
      <c r="D176" s="141"/>
      <c r="E176" s="142">
        <f>SUM(E177:E182)</f>
        <v>4713356.95</v>
      </c>
      <c r="F176" s="142"/>
    </row>
    <row r="177" spans="1:6" ht="15.75" customHeight="1" outlineLevel="2" x14ac:dyDescent="0.2">
      <c r="A177" s="147" t="s">
        <v>630</v>
      </c>
      <c r="B177" s="167" t="s">
        <v>631</v>
      </c>
      <c r="C177" s="171">
        <v>1</v>
      </c>
      <c r="D177" s="171" t="s">
        <v>169</v>
      </c>
      <c r="E177" s="172">
        <v>3081600</v>
      </c>
      <c r="F177" s="173"/>
    </row>
    <row r="178" spans="1:6" ht="15.75" customHeight="1" outlineLevel="2" x14ac:dyDescent="0.2">
      <c r="A178" s="147" t="s">
        <v>632</v>
      </c>
      <c r="B178" s="167" t="s">
        <v>633</v>
      </c>
      <c r="C178" s="171">
        <v>1</v>
      </c>
      <c r="D178" s="171" t="s">
        <v>169</v>
      </c>
      <c r="E178" s="172">
        <v>145163.79999999999</v>
      </c>
      <c r="F178" s="173"/>
    </row>
    <row r="179" spans="1:6" ht="15.75" customHeight="1" outlineLevel="2" x14ac:dyDescent="0.2">
      <c r="A179" s="147" t="s">
        <v>634</v>
      </c>
      <c r="B179" s="167" t="s">
        <v>635</v>
      </c>
      <c r="C179" s="171">
        <v>1</v>
      </c>
      <c r="D179" s="171" t="s">
        <v>169</v>
      </c>
      <c r="E179" s="172">
        <v>580655.19999999995</v>
      </c>
      <c r="F179" s="173"/>
    </row>
    <row r="180" spans="1:6" ht="15.75" customHeight="1" outlineLevel="2" x14ac:dyDescent="0.2">
      <c r="A180" s="147" t="s">
        <v>636</v>
      </c>
      <c r="B180" s="167" t="s">
        <v>637</v>
      </c>
      <c r="C180" s="171">
        <v>1</v>
      </c>
      <c r="D180" s="171" t="s">
        <v>169</v>
      </c>
      <c r="E180" s="172">
        <v>217745.69999999998</v>
      </c>
      <c r="F180" s="173"/>
    </row>
    <row r="181" spans="1:6" ht="15" customHeight="1" outlineLevel="2" x14ac:dyDescent="0.2">
      <c r="A181" s="147" t="s">
        <v>638</v>
      </c>
      <c r="B181" s="167" t="s">
        <v>639</v>
      </c>
      <c r="C181" s="171">
        <v>1</v>
      </c>
      <c r="D181" s="171" t="s">
        <v>169</v>
      </c>
      <c r="E181" s="172">
        <v>470446.55</v>
      </c>
      <c r="F181" s="173"/>
    </row>
    <row r="182" spans="1:6" ht="15" customHeight="1" outlineLevel="1" x14ac:dyDescent="0.2">
      <c r="A182" s="147" t="s">
        <v>640</v>
      </c>
      <c r="B182" s="167" t="s">
        <v>641</v>
      </c>
      <c r="C182" s="171">
        <v>1</v>
      </c>
      <c r="D182" s="171" t="s">
        <v>169</v>
      </c>
      <c r="E182" s="172">
        <v>217745.69999999998</v>
      </c>
      <c r="F182" s="173"/>
    </row>
    <row r="183" spans="1:6" ht="15.75" customHeight="1" outlineLevel="2" thickBot="1" x14ac:dyDescent="0.25">
      <c r="A183" s="125">
        <v>18</v>
      </c>
      <c r="B183" s="126" t="s">
        <v>642</v>
      </c>
      <c r="C183" s="127"/>
      <c r="D183" s="127"/>
      <c r="E183" s="128">
        <f>E184</f>
        <v>892077.53733077052</v>
      </c>
      <c r="F183" s="128"/>
    </row>
    <row r="184" spans="1:6" ht="15" customHeight="1" outlineLevel="1" x14ac:dyDescent="0.2">
      <c r="A184" s="116" t="s">
        <v>643</v>
      </c>
      <c r="B184" s="117" t="s">
        <v>642</v>
      </c>
      <c r="C184" s="118"/>
      <c r="D184" s="118"/>
      <c r="E184" s="119">
        <f>E185</f>
        <v>892077.53733077052</v>
      </c>
      <c r="F184" s="119"/>
    </row>
    <row r="185" spans="1:6" ht="15" customHeight="1" outlineLevel="2" thickBot="1" x14ac:dyDescent="0.25">
      <c r="A185" s="120" t="s">
        <v>644</v>
      </c>
      <c r="B185" s="121" t="s">
        <v>645</v>
      </c>
      <c r="C185" s="122">
        <v>1</v>
      </c>
      <c r="D185" s="122" t="s">
        <v>169</v>
      </c>
      <c r="E185" s="123">
        <v>892077.53733077052</v>
      </c>
      <c r="F185" s="172"/>
    </row>
    <row r="186" spans="1:6" ht="15" customHeight="1" outlineLevel="2" thickBot="1" x14ac:dyDescent="0.25">
      <c r="A186" s="343" t="s">
        <v>646</v>
      </c>
      <c r="B186" s="344"/>
      <c r="C186" s="110"/>
      <c r="D186" s="110"/>
      <c r="E186" s="177">
        <f>E1291+E175+E164+E150+E144+E136+E121+E110+E100+E78+E56+E40+E25+E13+E5+E2+E183</f>
        <v>60363913.35938213</v>
      </c>
      <c r="F186" s="177"/>
    </row>
    <row r="187" spans="1:6" outlineLevel="2" x14ac:dyDescent="0.2"/>
    <row r="188" spans="1:6" ht="15" customHeight="1" outlineLevel="2" x14ac:dyDescent="0.2">
      <c r="E188" s="181"/>
    </row>
    <row r="189" spans="1:6" ht="15.75" customHeight="1" x14ac:dyDescent="0.2">
      <c r="E189" s="181"/>
    </row>
    <row r="190" spans="1:6" ht="15" customHeight="1" outlineLevel="1" x14ac:dyDescent="0.2"/>
    <row r="191" spans="1:6" outlineLevel="2" x14ac:dyDescent="0.2"/>
    <row r="192" spans="1:6" ht="15" customHeight="1" outlineLevel="1" x14ac:dyDescent="0.2"/>
    <row r="193" outlineLevel="2" x14ac:dyDescent="0.2"/>
    <row r="194" outlineLevel="2" x14ac:dyDescent="0.2"/>
    <row r="195" ht="15.75" customHeight="1" x14ac:dyDescent="0.2"/>
    <row r="196" ht="15" customHeight="1" outlineLevel="1" x14ac:dyDescent="0.2"/>
    <row r="197" outlineLevel="2" x14ac:dyDescent="0.2"/>
    <row r="198" outlineLevel="2" x14ac:dyDescent="0.2"/>
    <row r="199" outlineLevel="2" x14ac:dyDescent="0.2"/>
    <row r="200" ht="16.5" customHeight="1" outlineLevel="2" x14ac:dyDescent="0.2"/>
    <row r="201" outlineLevel="2" x14ac:dyDescent="0.2"/>
    <row r="202" outlineLevel="2" x14ac:dyDescent="0.2"/>
    <row r="203" outlineLevel="2" x14ac:dyDescent="0.2"/>
    <row r="204" outlineLevel="2" x14ac:dyDescent="0.2"/>
    <row r="205" ht="15.75" customHeight="1" x14ac:dyDescent="0.2"/>
    <row r="206" ht="15.75" customHeight="1" outlineLevel="1" x14ac:dyDescent="0.2"/>
    <row r="207" ht="15.75" customHeight="1" outlineLevel="2" x14ac:dyDescent="0.2"/>
  </sheetData>
  <mergeCells count="2">
    <mergeCell ref="F169:F170"/>
    <mergeCell ref="A186:B186"/>
  </mergeCells>
  <phoneticPr fontId="23" type="noConversion"/>
  <pageMargins left="0.51181102362204722" right="0.51181102362204722" top="0.78740157480314965" bottom="0.78740157480314965" header="0" footer="0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8F88-4325-4DF3-9F2E-BAB2019F424F}">
  <dimension ref="A1:G97"/>
  <sheetViews>
    <sheetView topLeftCell="A18" workbookViewId="0">
      <selection activeCell="G72" sqref="G72"/>
    </sheetView>
  </sheetViews>
  <sheetFormatPr defaultColWidth="8.85546875" defaultRowHeight="14.25" x14ac:dyDescent="0.2"/>
  <cols>
    <col min="1" max="1" width="17.42578125" style="51" bestFit="1" customWidth="1"/>
    <col min="2" max="2" width="8.85546875" style="51"/>
    <col min="3" max="3" width="11.85546875" style="51" bestFit="1" customWidth="1"/>
    <col min="4" max="4" width="10" style="51" bestFit="1" customWidth="1"/>
    <col min="5" max="16384" width="8.85546875" style="51"/>
  </cols>
  <sheetData>
    <row r="1" spans="1:5" s="52" customFormat="1" x14ac:dyDescent="0.2">
      <c r="A1" s="52" t="s">
        <v>15</v>
      </c>
    </row>
    <row r="3" spans="1:5" x14ac:dyDescent="0.2">
      <c r="A3" s="53"/>
      <c r="B3" s="53" t="s">
        <v>16</v>
      </c>
      <c r="C3" s="53" t="s">
        <v>17</v>
      </c>
      <c r="D3" s="53" t="s">
        <v>18</v>
      </c>
      <c r="E3" s="53" t="s">
        <v>19</v>
      </c>
    </row>
    <row r="4" spans="1:5" x14ac:dyDescent="0.2">
      <c r="A4" s="53" t="s">
        <v>20</v>
      </c>
      <c r="B4" s="53">
        <f>SUM(B13,B21,B30,B38,B46,B54,B62,B70,B78,B86,B94)</f>
        <v>0</v>
      </c>
      <c r="C4" s="53">
        <f t="shared" ref="C4:E5" si="0">SUM(C13,C21,C30,C38,C46,C54,C62,C70,C78,C86,C94)</f>
        <v>4958.71</v>
      </c>
      <c r="D4" s="53">
        <f t="shared" si="0"/>
        <v>1150.9299999999998</v>
      </c>
      <c r="E4" s="53">
        <f t="shared" si="0"/>
        <v>728980</v>
      </c>
    </row>
    <row r="5" spans="1:5" x14ac:dyDescent="0.2">
      <c r="A5" s="53" t="s">
        <v>21</v>
      </c>
      <c r="B5" s="53">
        <f>SUM(B14,B22,B31,B39,B47,B55,B63,B71,B79,B87,B95)</f>
        <v>1946.8600000000001</v>
      </c>
      <c r="C5" s="53">
        <f t="shared" si="0"/>
        <v>593.39</v>
      </c>
      <c r="D5" s="53">
        <f t="shared" si="0"/>
        <v>314.91999999999996</v>
      </c>
      <c r="E5" s="53">
        <f t="shared" si="0"/>
        <v>74356</v>
      </c>
    </row>
    <row r="6" spans="1:5" x14ac:dyDescent="0.2">
      <c r="A6" s="53" t="s">
        <v>22</v>
      </c>
      <c r="B6" s="53">
        <f>B23</f>
        <v>0</v>
      </c>
      <c r="C6" s="53">
        <f t="shared" ref="C6:E6" si="1">C23</f>
        <v>691.89</v>
      </c>
      <c r="D6" s="53">
        <f t="shared" si="1"/>
        <v>103.78400000000001</v>
      </c>
      <c r="E6" s="53">
        <f t="shared" si="1"/>
        <v>35762</v>
      </c>
    </row>
    <row r="7" spans="1:5" x14ac:dyDescent="0.2">
      <c r="A7" s="53" t="s">
        <v>23</v>
      </c>
      <c r="B7" s="53">
        <f>SUM(B15,B24,B32,B40,B48,B56,B64,B72,B80,B88,B96)</f>
        <v>1373.3700000000001</v>
      </c>
      <c r="C7" s="53">
        <f t="shared" ref="C7:D7" si="2">SUM(C15,C24,C32,C40,C48,C56,C64,C72,C80,C88,C96)</f>
        <v>0</v>
      </c>
      <c r="D7" s="53">
        <f t="shared" si="2"/>
        <v>103.16</v>
      </c>
      <c r="E7" s="53">
        <f>SUM(E15,E24,E32,E40,E48,E56,E64,E72,E80,E88,E96)</f>
        <v>52781</v>
      </c>
    </row>
    <row r="8" spans="1:5" x14ac:dyDescent="0.2">
      <c r="A8" s="53" t="s">
        <v>15</v>
      </c>
      <c r="B8" s="53">
        <f>SUM(B4:B7)</f>
        <v>3320.2300000000005</v>
      </c>
      <c r="C8" s="53">
        <f t="shared" ref="C8:E8" si="3">SUM(C4:C7)</f>
        <v>6243.9900000000007</v>
      </c>
      <c r="D8" s="53">
        <f t="shared" si="3"/>
        <v>1672.7940000000001</v>
      </c>
      <c r="E8" s="53">
        <f t="shared" si="3"/>
        <v>891879</v>
      </c>
    </row>
    <row r="10" spans="1:5" s="52" customFormat="1" x14ac:dyDescent="0.2">
      <c r="A10" s="52" t="s">
        <v>24</v>
      </c>
    </row>
    <row r="12" spans="1:5" x14ac:dyDescent="0.2">
      <c r="A12" s="53"/>
      <c r="B12" s="53" t="s">
        <v>16</v>
      </c>
      <c r="C12" s="53" t="s">
        <v>17</v>
      </c>
      <c r="D12" s="53" t="s">
        <v>18</v>
      </c>
      <c r="E12" s="53" t="s">
        <v>19</v>
      </c>
    </row>
    <row r="13" spans="1:5" x14ac:dyDescent="0.2">
      <c r="A13" s="53" t="s">
        <v>20</v>
      </c>
      <c r="B13" s="53"/>
      <c r="C13" s="53">
        <v>557.61</v>
      </c>
      <c r="D13" s="53">
        <v>83.64</v>
      </c>
      <c r="E13" s="53">
        <v>97677</v>
      </c>
    </row>
    <row r="14" spans="1:5" x14ac:dyDescent="0.2">
      <c r="A14" s="53" t="s">
        <v>21</v>
      </c>
      <c r="B14" s="53">
        <v>237.71</v>
      </c>
      <c r="C14" s="53">
        <v>71.849999999999994</v>
      </c>
      <c r="D14" s="53">
        <v>36.729999999999997</v>
      </c>
      <c r="E14" s="53">
        <v>6603</v>
      </c>
    </row>
    <row r="15" spans="1:5" x14ac:dyDescent="0.2">
      <c r="A15" s="53" t="s">
        <v>23</v>
      </c>
      <c r="B15" s="53"/>
      <c r="C15" s="53"/>
      <c r="D15" s="53"/>
      <c r="E15" s="53"/>
    </row>
    <row r="16" spans="1:5" x14ac:dyDescent="0.2">
      <c r="A16" s="53" t="s">
        <v>15</v>
      </c>
      <c r="B16" s="53">
        <f>SUM(B13:B15)</f>
        <v>237.71</v>
      </c>
      <c r="C16" s="53">
        <f>SUM(C13:C15)</f>
        <v>629.46</v>
      </c>
      <c r="D16" s="53">
        <f t="shared" ref="D16:E16" si="4">SUM(D13:D15)</f>
        <v>120.37</v>
      </c>
      <c r="E16" s="53">
        <f t="shared" si="4"/>
        <v>104280</v>
      </c>
    </row>
    <row r="18" spans="1:5" s="52" customFormat="1" x14ac:dyDescent="0.2">
      <c r="A18" s="52" t="s">
        <v>25</v>
      </c>
    </row>
    <row r="20" spans="1:5" x14ac:dyDescent="0.2">
      <c r="A20" s="53"/>
      <c r="B20" s="53" t="s">
        <v>16</v>
      </c>
      <c r="C20" s="53" t="s">
        <v>17</v>
      </c>
      <c r="D20" s="53" t="s">
        <v>18</v>
      </c>
      <c r="E20" s="53" t="s">
        <v>19</v>
      </c>
    </row>
    <row r="21" spans="1:5" x14ac:dyDescent="0.2">
      <c r="A21" s="53" t="s">
        <v>20</v>
      </c>
      <c r="B21" s="53"/>
      <c r="C21" s="53">
        <v>504.54</v>
      </c>
      <c r="D21" s="53">
        <v>126.14</v>
      </c>
      <c r="E21" s="53">
        <v>104872</v>
      </c>
    </row>
    <row r="22" spans="1:5" x14ac:dyDescent="0.2">
      <c r="A22" s="53" t="s">
        <v>21</v>
      </c>
      <c r="B22" s="53">
        <v>141.15</v>
      </c>
      <c r="C22" s="53">
        <v>83.79</v>
      </c>
      <c r="D22" s="53">
        <v>28.5</v>
      </c>
      <c r="E22" s="53">
        <v>6109</v>
      </c>
    </row>
    <row r="23" spans="1:5" x14ac:dyDescent="0.2">
      <c r="A23" s="53" t="s">
        <v>22</v>
      </c>
      <c r="B23" s="53"/>
      <c r="C23" s="53">
        <v>691.89</v>
      </c>
      <c r="D23" s="53">
        <v>103.78400000000001</v>
      </c>
      <c r="E23" s="53">
        <v>35762</v>
      </c>
    </row>
    <row r="24" spans="1:5" x14ac:dyDescent="0.2">
      <c r="A24" s="53" t="s">
        <v>23</v>
      </c>
      <c r="B24" s="53">
        <v>72.959999999999994</v>
      </c>
      <c r="C24" s="53"/>
      <c r="D24" s="53">
        <v>6.09</v>
      </c>
      <c r="E24" s="53">
        <v>4456</v>
      </c>
    </row>
    <row r="25" spans="1:5" x14ac:dyDescent="0.2">
      <c r="A25" s="53" t="s">
        <v>15</v>
      </c>
      <c r="B25" s="53">
        <f>SUM(B21:B24)</f>
        <v>214.11</v>
      </c>
      <c r="C25" s="53">
        <f t="shared" ref="C25:E25" si="5">SUM(C21:C24)</f>
        <v>1280.22</v>
      </c>
      <c r="D25" s="53">
        <f t="shared" si="5"/>
        <v>264.51399999999995</v>
      </c>
      <c r="E25" s="53">
        <f t="shared" si="5"/>
        <v>151199</v>
      </c>
    </row>
    <row r="26" spans="1:5" ht="13.9" customHeight="1" x14ac:dyDescent="0.2"/>
    <row r="27" spans="1:5" s="52" customFormat="1" x14ac:dyDescent="0.2">
      <c r="A27" s="52" t="s">
        <v>26</v>
      </c>
    </row>
    <row r="29" spans="1:5" x14ac:dyDescent="0.2">
      <c r="A29" s="53"/>
      <c r="B29" s="53" t="s">
        <v>16</v>
      </c>
      <c r="C29" s="53" t="s">
        <v>17</v>
      </c>
      <c r="D29" s="53" t="s">
        <v>18</v>
      </c>
      <c r="E29" s="53" t="s">
        <v>19</v>
      </c>
    </row>
    <row r="30" spans="1:5" x14ac:dyDescent="0.2">
      <c r="A30" s="53" t="s">
        <v>20</v>
      </c>
      <c r="B30" s="53"/>
      <c r="C30" s="53">
        <v>314.91000000000003</v>
      </c>
      <c r="D30" s="53">
        <v>77.72</v>
      </c>
      <c r="E30" s="53">
        <v>56228</v>
      </c>
    </row>
    <row r="31" spans="1:5" x14ac:dyDescent="0.2">
      <c r="A31" s="53" t="s">
        <v>21</v>
      </c>
      <c r="B31" s="53">
        <v>187.86</v>
      </c>
      <c r="C31" s="53">
        <v>42.6</v>
      </c>
      <c r="D31" s="53">
        <v>26.78</v>
      </c>
      <c r="E31" s="53">
        <v>7305</v>
      </c>
    </row>
    <row r="32" spans="1:5" x14ac:dyDescent="0.2">
      <c r="A32" s="53" t="s">
        <v>23</v>
      </c>
      <c r="B32" s="53">
        <v>123.33</v>
      </c>
      <c r="C32" s="53"/>
      <c r="D32" s="53">
        <v>10.31</v>
      </c>
      <c r="E32" s="53">
        <v>8367</v>
      </c>
    </row>
    <row r="33" spans="1:5" x14ac:dyDescent="0.2">
      <c r="A33" s="53" t="s">
        <v>15</v>
      </c>
      <c r="B33" s="53">
        <f>SUM(B30:B32)</f>
        <v>311.19</v>
      </c>
      <c r="C33" s="53">
        <f t="shared" ref="C33:E33" si="6">SUM(C30:C32)</f>
        <v>357.51000000000005</v>
      </c>
      <c r="D33" s="53">
        <f t="shared" si="6"/>
        <v>114.81</v>
      </c>
      <c r="E33" s="53">
        <f t="shared" si="6"/>
        <v>71900</v>
      </c>
    </row>
    <row r="35" spans="1:5" s="52" customFormat="1" x14ac:dyDescent="0.2">
      <c r="A35" s="52" t="s">
        <v>27</v>
      </c>
    </row>
    <row r="37" spans="1:5" x14ac:dyDescent="0.2">
      <c r="A37" s="53"/>
      <c r="B37" s="53" t="s">
        <v>16</v>
      </c>
      <c r="C37" s="53" t="s">
        <v>17</v>
      </c>
      <c r="D37" s="53" t="s">
        <v>18</v>
      </c>
      <c r="E37" s="53" t="s">
        <v>19</v>
      </c>
    </row>
    <row r="38" spans="1:5" x14ac:dyDescent="0.2">
      <c r="A38" s="53" t="s">
        <v>20</v>
      </c>
      <c r="B38" s="53"/>
      <c r="C38" s="53">
        <v>474.43</v>
      </c>
      <c r="D38" s="53">
        <v>118.36</v>
      </c>
      <c r="E38" s="53">
        <v>262558</v>
      </c>
    </row>
    <row r="39" spans="1:5" x14ac:dyDescent="0.2">
      <c r="A39" s="53" t="s">
        <v>21</v>
      </c>
      <c r="B39" s="53">
        <v>158.30000000000001</v>
      </c>
      <c r="C39" s="53">
        <v>51.12</v>
      </c>
      <c r="D39" s="53">
        <v>28.15</v>
      </c>
      <c r="E39" s="53">
        <v>10243</v>
      </c>
    </row>
    <row r="40" spans="1:5" x14ac:dyDescent="0.2">
      <c r="A40" s="53" t="s">
        <v>23</v>
      </c>
      <c r="B40" s="53">
        <v>124.63</v>
      </c>
      <c r="C40" s="53"/>
      <c r="D40" s="53">
        <v>10.58</v>
      </c>
      <c r="E40" s="53">
        <v>6811</v>
      </c>
    </row>
    <row r="41" spans="1:5" x14ac:dyDescent="0.2">
      <c r="A41" s="53" t="s">
        <v>15</v>
      </c>
      <c r="B41" s="53">
        <f>SUM(B38:B40)</f>
        <v>282.93</v>
      </c>
      <c r="C41" s="53">
        <f t="shared" ref="C41:E41" si="7">SUM(C38:C40)</f>
        <v>525.54999999999995</v>
      </c>
      <c r="D41" s="53">
        <f t="shared" si="7"/>
        <v>157.09</v>
      </c>
      <c r="E41" s="53">
        <f t="shared" si="7"/>
        <v>279612</v>
      </c>
    </row>
    <row r="43" spans="1:5" s="52" customFormat="1" x14ac:dyDescent="0.2">
      <c r="A43" s="52" t="s">
        <v>28</v>
      </c>
    </row>
    <row r="45" spans="1:5" x14ac:dyDescent="0.2">
      <c r="A45" s="53"/>
      <c r="B45" s="53" t="s">
        <v>16</v>
      </c>
      <c r="C45" s="53" t="s">
        <v>17</v>
      </c>
      <c r="D45" s="53" t="s">
        <v>18</v>
      </c>
      <c r="E45" s="53" t="s">
        <v>19</v>
      </c>
    </row>
    <row r="46" spans="1:5" x14ac:dyDescent="0.2">
      <c r="A46" s="53" t="s">
        <v>20</v>
      </c>
      <c r="B46" s="53"/>
      <c r="C46" s="53">
        <v>463.04</v>
      </c>
      <c r="D46" s="53">
        <v>114.39</v>
      </c>
      <c r="E46" s="53">
        <v>44867</v>
      </c>
    </row>
    <row r="47" spans="1:5" x14ac:dyDescent="0.2">
      <c r="A47" s="53" t="s">
        <v>21</v>
      </c>
      <c r="B47" s="53">
        <v>145.52000000000001</v>
      </c>
      <c r="C47" s="53">
        <v>45.41</v>
      </c>
      <c r="D47" s="53">
        <v>24.59</v>
      </c>
      <c r="E47" s="53">
        <v>8194</v>
      </c>
    </row>
    <row r="48" spans="1:5" x14ac:dyDescent="0.2">
      <c r="A48" s="53" t="s">
        <v>23</v>
      </c>
      <c r="B48" s="53">
        <v>113.4</v>
      </c>
      <c r="C48" s="53"/>
      <c r="D48" s="53">
        <v>7.66</v>
      </c>
      <c r="E48" s="53">
        <v>4038</v>
      </c>
    </row>
    <row r="49" spans="1:5" x14ac:dyDescent="0.2">
      <c r="A49" s="53" t="s">
        <v>15</v>
      </c>
      <c r="B49" s="53">
        <f>SUM(B46:B48)</f>
        <v>258.92</v>
      </c>
      <c r="C49" s="53">
        <f t="shared" ref="C49:E49" si="8">SUM(C46:C48)</f>
        <v>508.45000000000005</v>
      </c>
      <c r="D49" s="53">
        <f t="shared" si="8"/>
        <v>146.63999999999999</v>
      </c>
      <c r="E49" s="53">
        <f t="shared" si="8"/>
        <v>57099</v>
      </c>
    </row>
    <row r="51" spans="1:5" s="52" customFormat="1" x14ac:dyDescent="0.2">
      <c r="A51" s="52" t="s">
        <v>29</v>
      </c>
    </row>
    <row r="53" spans="1:5" x14ac:dyDescent="0.2">
      <c r="A53" s="53"/>
      <c r="B53" s="53" t="s">
        <v>16</v>
      </c>
      <c r="C53" s="53" t="s">
        <v>17</v>
      </c>
      <c r="D53" s="53" t="s">
        <v>18</v>
      </c>
      <c r="E53" s="53" t="s">
        <v>19</v>
      </c>
    </row>
    <row r="54" spans="1:5" x14ac:dyDescent="0.2">
      <c r="A54" s="53" t="s">
        <v>20</v>
      </c>
      <c r="B54" s="53"/>
      <c r="C54" s="53">
        <f>4*465.71</f>
        <v>1862.84</v>
      </c>
      <c r="D54" s="53">
        <f>4*116.43</f>
        <v>465.72</v>
      </c>
      <c r="E54" s="53">
        <f>4*28470</f>
        <v>113880</v>
      </c>
    </row>
    <row r="55" spans="1:5" x14ac:dyDescent="0.2">
      <c r="A55" s="53" t="s">
        <v>21</v>
      </c>
      <c r="B55" s="53">
        <f>4*138.74</f>
        <v>554.96</v>
      </c>
      <c r="C55" s="53">
        <f>4*43.55</f>
        <v>174.2</v>
      </c>
      <c r="D55" s="53">
        <f>4*23.73</f>
        <v>94.92</v>
      </c>
      <c r="E55" s="53">
        <f>4*6856</f>
        <v>27424</v>
      </c>
    </row>
    <row r="56" spans="1:5" x14ac:dyDescent="0.2">
      <c r="A56" s="53" t="s">
        <v>23</v>
      </c>
      <c r="B56" s="53">
        <v>611.62</v>
      </c>
      <c r="C56" s="53"/>
      <c r="D56" s="53">
        <v>44.2</v>
      </c>
      <c r="E56" s="53">
        <v>19776</v>
      </c>
    </row>
    <row r="57" spans="1:5" x14ac:dyDescent="0.2">
      <c r="A57" s="53" t="s">
        <v>15</v>
      </c>
      <c r="B57" s="53">
        <f>SUM(B54:B56)</f>
        <v>1166.58</v>
      </c>
      <c r="C57" s="53">
        <f t="shared" ref="C57:E57" si="9">SUM(C54:C56)</f>
        <v>2037.04</v>
      </c>
      <c r="D57" s="53">
        <f t="shared" si="9"/>
        <v>604.84</v>
      </c>
      <c r="E57" s="53">
        <f t="shared" si="9"/>
        <v>161080</v>
      </c>
    </row>
    <row r="59" spans="1:5" s="52" customFormat="1" x14ac:dyDescent="0.2">
      <c r="A59" s="52" t="s">
        <v>30</v>
      </c>
    </row>
    <row r="61" spans="1:5" x14ac:dyDescent="0.2">
      <c r="A61" s="53"/>
      <c r="B61" s="53" t="s">
        <v>16</v>
      </c>
      <c r="C61" s="53" t="s">
        <v>17</v>
      </c>
      <c r="D61" s="53" t="s">
        <v>18</v>
      </c>
      <c r="E61" s="53" t="s">
        <v>19</v>
      </c>
    </row>
    <row r="62" spans="1:5" x14ac:dyDescent="0.2">
      <c r="A62" s="53" t="s">
        <v>20</v>
      </c>
      <c r="B62" s="53"/>
      <c r="C62" s="53">
        <v>444.7</v>
      </c>
      <c r="D62" s="53">
        <v>111.17</v>
      </c>
      <c r="E62" s="53">
        <v>20164</v>
      </c>
    </row>
    <row r="63" spans="1:5" x14ac:dyDescent="0.2">
      <c r="A63" s="53" t="s">
        <v>21</v>
      </c>
      <c r="B63" s="53">
        <v>159.63</v>
      </c>
      <c r="C63" s="53">
        <v>58.18</v>
      </c>
      <c r="D63" s="53">
        <v>29.59</v>
      </c>
      <c r="E63" s="53">
        <v>3652</v>
      </c>
    </row>
    <row r="64" spans="1:5" x14ac:dyDescent="0.2">
      <c r="A64" s="53" t="s">
        <v>23</v>
      </c>
      <c r="B64" s="53">
        <v>156.43</v>
      </c>
      <c r="C64" s="53"/>
      <c r="D64" s="53">
        <v>11.28</v>
      </c>
      <c r="E64" s="53">
        <v>4038</v>
      </c>
    </row>
    <row r="65" spans="1:7" x14ac:dyDescent="0.2">
      <c r="A65" s="53" t="s">
        <v>15</v>
      </c>
      <c r="B65" s="53">
        <f>SUM(B62:B64)</f>
        <v>316.06</v>
      </c>
      <c r="C65" s="53">
        <f t="shared" ref="C65:E65" si="10">SUM(C62:C64)</f>
        <v>502.88</v>
      </c>
      <c r="D65" s="53">
        <f t="shared" si="10"/>
        <v>152.04</v>
      </c>
      <c r="E65" s="53">
        <f t="shared" si="10"/>
        <v>27854</v>
      </c>
    </row>
    <row r="67" spans="1:7" s="52" customFormat="1" x14ac:dyDescent="0.2">
      <c r="A67" s="52" t="s">
        <v>31</v>
      </c>
    </row>
    <row r="69" spans="1:7" x14ac:dyDescent="0.2">
      <c r="A69" s="53"/>
      <c r="B69" s="53" t="s">
        <v>16</v>
      </c>
      <c r="C69" s="53" t="s">
        <v>17</v>
      </c>
      <c r="D69" s="53" t="s">
        <v>18</v>
      </c>
      <c r="E69" s="53" t="s">
        <v>19</v>
      </c>
    </row>
    <row r="70" spans="1:7" x14ac:dyDescent="0.2">
      <c r="A70" s="53" t="s">
        <v>20</v>
      </c>
      <c r="B70" s="53"/>
      <c r="C70" s="53">
        <v>265.07</v>
      </c>
      <c r="D70" s="53">
        <v>39.76</v>
      </c>
      <c r="E70" s="53">
        <v>23134</v>
      </c>
    </row>
    <row r="71" spans="1:7" x14ac:dyDescent="0.2">
      <c r="A71" s="53" t="s">
        <v>21</v>
      </c>
      <c r="B71" s="53">
        <v>266.3</v>
      </c>
      <c r="C71" s="53">
        <v>53.48</v>
      </c>
      <c r="D71" s="53">
        <v>33.93</v>
      </c>
      <c r="E71" s="53">
        <v>3629</v>
      </c>
      <c r="G71" s="51">
        <f>B73*3</f>
        <v>1184.73</v>
      </c>
    </row>
    <row r="72" spans="1:7" x14ac:dyDescent="0.2">
      <c r="A72" s="53" t="s">
        <v>23</v>
      </c>
      <c r="B72" s="53">
        <v>128.61000000000001</v>
      </c>
      <c r="C72" s="53"/>
      <c r="D72" s="53">
        <v>9.3800000000000008</v>
      </c>
      <c r="E72" s="53">
        <v>3243</v>
      </c>
    </row>
    <row r="73" spans="1:7" x14ac:dyDescent="0.2">
      <c r="A73" s="53" t="s">
        <v>15</v>
      </c>
      <c r="B73" s="53">
        <f>SUM(B70:B72)</f>
        <v>394.91</v>
      </c>
      <c r="C73" s="53">
        <f t="shared" ref="C73:E73" si="11">SUM(C70:C72)</f>
        <v>318.55</v>
      </c>
      <c r="D73" s="53">
        <f t="shared" si="11"/>
        <v>83.07</v>
      </c>
      <c r="E73" s="53">
        <f t="shared" si="11"/>
        <v>30006</v>
      </c>
    </row>
    <row r="75" spans="1:7" s="52" customFormat="1" x14ac:dyDescent="0.2">
      <c r="A75" s="52" t="s">
        <v>32</v>
      </c>
    </row>
    <row r="77" spans="1:7" x14ac:dyDescent="0.2">
      <c r="A77" s="53"/>
      <c r="B77" s="53" t="s">
        <v>16</v>
      </c>
      <c r="C77" s="53" t="s">
        <v>17</v>
      </c>
      <c r="D77" s="53" t="s">
        <v>18</v>
      </c>
      <c r="E77" s="53" t="s">
        <v>19</v>
      </c>
    </row>
    <row r="78" spans="1:7" x14ac:dyDescent="0.2">
      <c r="A78" s="53" t="s">
        <v>20</v>
      </c>
      <c r="B78" s="53"/>
      <c r="C78" s="53">
        <v>5.77</v>
      </c>
      <c r="D78" s="53">
        <v>0.87</v>
      </c>
      <c r="E78" s="53">
        <v>4360</v>
      </c>
    </row>
    <row r="79" spans="1:7" x14ac:dyDescent="0.2">
      <c r="A79" s="53" t="s">
        <v>21</v>
      </c>
      <c r="B79" s="53">
        <v>5.61</v>
      </c>
      <c r="C79" s="53">
        <v>0.99</v>
      </c>
      <c r="D79" s="53">
        <v>0.57999999999999996</v>
      </c>
      <c r="E79" s="53">
        <v>135</v>
      </c>
    </row>
    <row r="80" spans="1:7" x14ac:dyDescent="0.2">
      <c r="A80" s="53" t="s">
        <v>23</v>
      </c>
      <c r="B80" s="53">
        <v>25.69</v>
      </c>
      <c r="C80" s="53"/>
      <c r="D80" s="53">
        <v>2.13</v>
      </c>
      <c r="E80" s="53">
        <v>1262</v>
      </c>
    </row>
    <row r="81" spans="1:5" x14ac:dyDescent="0.2">
      <c r="A81" s="53" t="s">
        <v>15</v>
      </c>
      <c r="B81" s="53">
        <f>SUM(B78:B80)</f>
        <v>31.3</v>
      </c>
      <c r="C81" s="53">
        <f t="shared" ref="C81:E81" si="12">SUM(C78:C80)</f>
        <v>6.76</v>
      </c>
      <c r="D81" s="53">
        <f t="shared" si="12"/>
        <v>3.58</v>
      </c>
      <c r="E81" s="53">
        <f t="shared" si="12"/>
        <v>5757</v>
      </c>
    </row>
    <row r="83" spans="1:5" s="52" customFormat="1" x14ac:dyDescent="0.2">
      <c r="A83" s="52" t="s">
        <v>33</v>
      </c>
    </row>
    <row r="85" spans="1:5" x14ac:dyDescent="0.2">
      <c r="A85" s="53"/>
      <c r="B85" s="53" t="s">
        <v>16</v>
      </c>
      <c r="C85" s="53" t="s">
        <v>17</v>
      </c>
      <c r="D85" s="53" t="s">
        <v>18</v>
      </c>
      <c r="E85" s="53" t="s">
        <v>19</v>
      </c>
    </row>
    <row r="86" spans="1:5" x14ac:dyDescent="0.2">
      <c r="A86" s="53" t="s">
        <v>20</v>
      </c>
      <c r="B86" s="53"/>
      <c r="C86" s="53">
        <v>32.68</v>
      </c>
      <c r="D86" s="53">
        <v>6.54</v>
      </c>
      <c r="E86" s="53">
        <v>695</v>
      </c>
    </row>
    <row r="87" spans="1:5" x14ac:dyDescent="0.2">
      <c r="A87" s="53" t="s">
        <v>21</v>
      </c>
      <c r="B87" s="53">
        <v>26.65</v>
      </c>
      <c r="C87" s="53">
        <v>6.74</v>
      </c>
      <c r="D87" s="53">
        <v>3.62</v>
      </c>
      <c r="E87" s="53">
        <v>348</v>
      </c>
    </row>
    <row r="88" spans="1:5" x14ac:dyDescent="0.2">
      <c r="A88" s="53" t="s">
        <v>23</v>
      </c>
      <c r="B88" s="53">
        <v>9.6999999999999993</v>
      </c>
      <c r="C88" s="53"/>
      <c r="D88" s="53">
        <v>0.88</v>
      </c>
      <c r="E88" s="53">
        <v>365</v>
      </c>
    </row>
    <row r="89" spans="1:5" x14ac:dyDescent="0.2">
      <c r="A89" s="53" t="s">
        <v>15</v>
      </c>
      <c r="B89" s="53">
        <f>SUM(B86:B88)</f>
        <v>36.349999999999994</v>
      </c>
      <c r="C89" s="53">
        <f t="shared" ref="C89:E89" si="13">SUM(C86:C88)</f>
        <v>39.42</v>
      </c>
      <c r="D89" s="53">
        <f t="shared" si="13"/>
        <v>11.040000000000001</v>
      </c>
      <c r="E89" s="53">
        <f t="shared" si="13"/>
        <v>1408</v>
      </c>
    </row>
    <row r="91" spans="1:5" s="52" customFormat="1" x14ac:dyDescent="0.2">
      <c r="A91" s="52" t="s">
        <v>34</v>
      </c>
    </row>
    <row r="93" spans="1:5" x14ac:dyDescent="0.2">
      <c r="A93" s="53"/>
      <c r="B93" s="53" t="s">
        <v>16</v>
      </c>
      <c r="C93" s="53" t="s">
        <v>17</v>
      </c>
      <c r="D93" s="53" t="s">
        <v>18</v>
      </c>
      <c r="E93" s="53" t="s">
        <v>19</v>
      </c>
    </row>
    <row r="94" spans="1:5" x14ac:dyDescent="0.2">
      <c r="A94" s="53" t="s">
        <v>20</v>
      </c>
      <c r="B94" s="53"/>
      <c r="C94" s="53">
        <v>33.119999999999997</v>
      </c>
      <c r="D94" s="53">
        <v>6.62</v>
      </c>
      <c r="E94" s="53">
        <v>545</v>
      </c>
    </row>
    <row r="95" spans="1:5" x14ac:dyDescent="0.2">
      <c r="A95" s="53" t="s">
        <v>21</v>
      </c>
      <c r="B95" s="53">
        <v>63.17</v>
      </c>
      <c r="C95" s="53">
        <v>5.03</v>
      </c>
      <c r="D95" s="53">
        <v>7.53</v>
      </c>
      <c r="E95" s="53">
        <v>714</v>
      </c>
    </row>
    <row r="96" spans="1:5" x14ac:dyDescent="0.2">
      <c r="A96" s="53" t="s">
        <v>23</v>
      </c>
      <c r="B96" s="53">
        <v>7</v>
      </c>
      <c r="C96" s="53"/>
      <c r="D96" s="53">
        <v>0.65</v>
      </c>
      <c r="E96" s="53">
        <v>425</v>
      </c>
    </row>
    <row r="97" spans="1:5" x14ac:dyDescent="0.2">
      <c r="A97" s="53" t="s">
        <v>15</v>
      </c>
      <c r="B97" s="53">
        <f>SUM(B94:B96)</f>
        <v>70.17</v>
      </c>
      <c r="C97" s="53">
        <f t="shared" ref="C97:E97" si="14">SUM(C94:C96)</f>
        <v>38.15</v>
      </c>
      <c r="D97" s="53">
        <f t="shared" si="14"/>
        <v>14.8</v>
      </c>
      <c r="E97" s="53">
        <f t="shared" si="14"/>
        <v>1684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F7C0-5864-4985-9005-7CA89A9D2664}">
  <dimension ref="A1:Q999"/>
  <sheetViews>
    <sheetView workbookViewId="0">
      <selection activeCell="F30" sqref="F30"/>
    </sheetView>
  </sheetViews>
  <sheetFormatPr defaultColWidth="14.42578125" defaultRowHeight="12.75" x14ac:dyDescent="0.2"/>
  <cols>
    <col min="1" max="1" width="64.42578125" customWidth="1"/>
    <col min="2" max="2" width="21.7109375" customWidth="1"/>
    <col min="3" max="3" width="14.28515625" style="79" customWidth="1"/>
    <col min="4" max="4" width="17.85546875" style="79" bestFit="1" customWidth="1"/>
    <col min="5" max="5" width="17.7109375" customWidth="1"/>
    <col min="6" max="6" width="31" bestFit="1" customWidth="1"/>
    <col min="7" max="7" width="18.140625" bestFit="1" customWidth="1"/>
    <col min="8" max="8" width="9.140625" customWidth="1"/>
    <col min="9" max="9" width="11.28515625" bestFit="1" customWidth="1"/>
    <col min="10" max="11" width="27.42578125" bestFit="1" customWidth="1"/>
    <col min="12" max="12" width="12.85546875" bestFit="1" customWidth="1"/>
    <col min="13" max="13" width="24.5703125" bestFit="1" customWidth="1"/>
    <col min="14" max="14" width="24.7109375" bestFit="1" customWidth="1"/>
    <col min="15" max="17" width="9.140625" customWidth="1"/>
  </cols>
  <sheetData>
    <row r="1" spans="1:17" ht="22.7" customHeight="1" thickBot="1" x14ac:dyDescent="0.25">
      <c r="A1" s="207" t="s">
        <v>657</v>
      </c>
      <c r="B1" s="207" t="s">
        <v>658</v>
      </c>
      <c r="C1" s="208" t="s">
        <v>659</v>
      </c>
      <c r="D1" s="208" t="s">
        <v>660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17" ht="22.7" customHeight="1" thickBot="1" x14ac:dyDescent="0.25">
      <c r="A2" s="210" t="s">
        <v>259</v>
      </c>
      <c r="B2" s="211">
        <v>7291003.6578503363</v>
      </c>
      <c r="C2" s="212">
        <v>0.12078414489866937</v>
      </c>
      <c r="D2" s="213">
        <v>502.26045734889391</v>
      </c>
      <c r="E2" s="209"/>
      <c r="F2" s="214" t="s">
        <v>7</v>
      </c>
      <c r="G2" s="345">
        <v>14516.38</v>
      </c>
      <c r="H2" s="346"/>
      <c r="I2" s="209"/>
      <c r="J2" s="209"/>
      <c r="K2" s="209"/>
      <c r="L2" s="209"/>
      <c r="M2" s="209"/>
      <c r="N2" s="209"/>
      <c r="O2" s="209"/>
      <c r="P2" s="209"/>
      <c r="Q2" s="209"/>
    </row>
    <row r="3" spans="1:17" ht="19.5" customHeight="1" x14ac:dyDescent="0.2">
      <c r="A3" s="215" t="s">
        <v>263</v>
      </c>
      <c r="B3" s="216">
        <v>334397.12</v>
      </c>
      <c r="C3" s="217">
        <v>5.539685904873924E-3</v>
      </c>
      <c r="D3" s="218">
        <v>23.035847780231713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17" ht="19.5" customHeight="1" x14ac:dyDescent="0.2">
      <c r="A4" s="210" t="s">
        <v>279</v>
      </c>
      <c r="B4" s="211">
        <v>2808959.16</v>
      </c>
      <c r="C4" s="212">
        <v>4.6533748454587465E-2</v>
      </c>
      <c r="D4" s="213">
        <v>193.50273001946769</v>
      </c>
      <c r="E4" s="209"/>
      <c r="F4" s="219"/>
      <c r="G4" s="220"/>
      <c r="H4" s="209"/>
      <c r="I4" s="209"/>
      <c r="J4" s="209"/>
      <c r="K4" s="209"/>
      <c r="L4" s="209"/>
      <c r="M4" s="209"/>
      <c r="N4" s="209"/>
      <c r="O4" s="209"/>
      <c r="P4" s="209"/>
      <c r="Q4" s="209"/>
    </row>
    <row r="5" spans="1:17" ht="19.5" customHeight="1" x14ac:dyDescent="0.2">
      <c r="A5" s="215" t="s">
        <v>310</v>
      </c>
      <c r="B5" s="216">
        <v>14216001.396666666</v>
      </c>
      <c r="C5" s="217">
        <v>0.23550496655229075</v>
      </c>
      <c r="D5" s="218">
        <v>979.3076095188103</v>
      </c>
      <c r="E5" s="209"/>
      <c r="F5" s="21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17" ht="19.5" customHeight="1" x14ac:dyDescent="0.2">
      <c r="A6" s="210" t="s">
        <v>345</v>
      </c>
      <c r="B6" s="211">
        <v>3060534.3637843644</v>
      </c>
      <c r="C6" s="212">
        <v>5.0701390838648754E-2</v>
      </c>
      <c r="D6" s="213">
        <v>210.83316665617494</v>
      </c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19.5" customHeight="1" x14ac:dyDescent="0.2">
      <c r="A7" s="215" t="s">
        <v>661</v>
      </c>
      <c r="B7" s="216">
        <v>5636274.8625999996</v>
      </c>
      <c r="C7" s="217">
        <v>9.3371594864036012E-2</v>
      </c>
      <c r="D7" s="218">
        <v>388.27</v>
      </c>
      <c r="E7" s="209"/>
      <c r="F7" s="221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</row>
    <row r="8" spans="1:17" ht="19.5" customHeight="1" x14ac:dyDescent="0.25">
      <c r="A8" s="210" t="s">
        <v>662</v>
      </c>
      <c r="B8" s="211">
        <v>4015448.32</v>
      </c>
      <c r="C8" s="212">
        <v>6.6520675955742917E-2</v>
      </c>
      <c r="D8" s="213">
        <v>276.6149907897148</v>
      </c>
      <c r="E8" s="222"/>
      <c r="F8" s="223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ht="19.5" customHeight="1" x14ac:dyDescent="0.2">
      <c r="A9" s="215" t="s">
        <v>476</v>
      </c>
      <c r="B9" s="216">
        <v>1142037.169</v>
      </c>
      <c r="C9" s="217">
        <v>1.8919203634144396E-2</v>
      </c>
      <c r="D9" s="218">
        <v>78.672311485370329</v>
      </c>
      <c r="E9" s="209"/>
      <c r="F9" s="221"/>
      <c r="G9" s="224"/>
      <c r="H9" s="209"/>
      <c r="I9" s="209"/>
      <c r="J9" s="209"/>
      <c r="K9" s="209"/>
      <c r="L9" s="209"/>
      <c r="M9" s="209"/>
      <c r="N9" s="209"/>
      <c r="O9" s="209"/>
      <c r="P9" s="209"/>
      <c r="Q9" s="209"/>
    </row>
    <row r="10" spans="1:17" ht="19.5" customHeight="1" x14ac:dyDescent="0.2">
      <c r="A10" s="210" t="s">
        <v>494</v>
      </c>
      <c r="B10" s="211">
        <v>1922134.1421500002</v>
      </c>
      <c r="C10" s="212">
        <v>3.1842437562097689E-2</v>
      </c>
      <c r="D10" s="213">
        <v>132.41139610219631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</row>
    <row r="11" spans="1:17" ht="19.5" customHeight="1" x14ac:dyDescent="0.2">
      <c r="A11" s="215" t="s">
        <v>547</v>
      </c>
      <c r="B11" s="216">
        <v>1271472.6699999997</v>
      </c>
      <c r="C11" s="217">
        <v>2.1063456612399691E-2</v>
      </c>
      <c r="D11" s="218">
        <v>87.5888251754225</v>
      </c>
      <c r="E11" s="209"/>
      <c r="F11" s="225"/>
      <c r="G11" s="226"/>
      <c r="H11" s="209"/>
      <c r="I11" s="209"/>
      <c r="J11" s="227"/>
      <c r="K11" s="228"/>
      <c r="L11" s="227"/>
      <c r="M11" s="227"/>
      <c r="N11" s="227"/>
      <c r="O11" s="209"/>
      <c r="P11" s="209"/>
      <c r="Q11" s="209"/>
    </row>
    <row r="12" spans="1:17" ht="19.5" customHeight="1" x14ac:dyDescent="0.2">
      <c r="A12" s="210" t="s">
        <v>515</v>
      </c>
      <c r="B12" s="211">
        <v>2915218.52</v>
      </c>
      <c r="C12" s="212">
        <v>4.8294061099782862E-2</v>
      </c>
      <c r="D12" s="213">
        <v>200.8226927098905</v>
      </c>
      <c r="E12" s="209"/>
      <c r="F12" s="225"/>
      <c r="G12" s="229"/>
      <c r="H12" s="209"/>
      <c r="I12" s="209"/>
      <c r="J12" s="230"/>
      <c r="K12" s="231"/>
      <c r="L12" s="227"/>
      <c r="M12" s="227"/>
      <c r="N12" s="227"/>
      <c r="O12" s="209"/>
      <c r="P12" s="209"/>
      <c r="Q12" s="209"/>
    </row>
    <row r="13" spans="1:17" ht="19.5" customHeight="1" x14ac:dyDescent="0.2">
      <c r="A13" s="215" t="s">
        <v>561</v>
      </c>
      <c r="B13" s="216">
        <v>1912985.6899999997</v>
      </c>
      <c r="C13" s="217">
        <v>3.1690882574343097E-2</v>
      </c>
      <c r="D13" s="218">
        <v>131.78118029426068</v>
      </c>
      <c r="E13" s="209"/>
      <c r="F13" s="347" t="s">
        <v>663</v>
      </c>
      <c r="G13" s="347"/>
      <c r="H13" s="209"/>
      <c r="I13" s="209"/>
      <c r="J13" s="230"/>
      <c r="K13" s="227"/>
      <c r="L13" s="227"/>
      <c r="M13" s="227"/>
      <c r="N13" s="227"/>
      <c r="O13" s="209"/>
      <c r="P13" s="209"/>
      <c r="Q13" s="209"/>
    </row>
    <row r="14" spans="1:17" ht="19.5" customHeight="1" x14ac:dyDescent="0.2">
      <c r="A14" s="210" t="s">
        <v>664</v>
      </c>
      <c r="B14" s="211">
        <v>5559680.5</v>
      </c>
      <c r="C14" s="212">
        <v>9.2102718173686454E-2</v>
      </c>
      <c r="D14" s="213">
        <v>382.99359068858769</v>
      </c>
      <c r="E14" s="209"/>
      <c r="F14" s="78">
        <f>SUM(B2:B16)</f>
        <v>59471835.822051369</v>
      </c>
      <c r="G14" s="232">
        <v>1.4999999999999999E-2</v>
      </c>
      <c r="H14" s="233"/>
      <c r="I14" s="209"/>
      <c r="J14" s="227"/>
      <c r="K14" s="234"/>
      <c r="L14" s="235"/>
      <c r="M14" s="227"/>
      <c r="N14" s="227"/>
      <c r="O14" s="209"/>
      <c r="P14" s="209"/>
      <c r="Q14" s="209"/>
    </row>
    <row r="15" spans="1:17" ht="19.5" customHeight="1" x14ac:dyDescent="0.2">
      <c r="A15" s="215" t="s">
        <v>605</v>
      </c>
      <c r="B15" s="216">
        <v>2672331.2999999998</v>
      </c>
      <c r="C15" s="217">
        <v>4.4270345497483377E-2</v>
      </c>
      <c r="D15" s="218">
        <v>184.09075127545572</v>
      </c>
      <c r="E15" s="209"/>
      <c r="F15" s="236">
        <f>F14*G14</f>
        <v>892077.53733077052</v>
      </c>
      <c r="G15" s="237"/>
      <c r="H15" s="233"/>
      <c r="I15" s="209"/>
      <c r="J15" s="227"/>
      <c r="K15" s="227"/>
      <c r="L15" s="227"/>
      <c r="M15" s="227"/>
      <c r="N15" s="227"/>
      <c r="O15" s="209"/>
      <c r="P15" s="209"/>
      <c r="Q15" s="209"/>
    </row>
    <row r="16" spans="1:17" ht="19.5" customHeight="1" x14ac:dyDescent="0.2">
      <c r="A16" s="210" t="s">
        <v>628</v>
      </c>
      <c r="B16" s="211">
        <v>4713356.95</v>
      </c>
      <c r="C16" s="212">
        <v>7.8082362254060539E-2</v>
      </c>
      <c r="D16" s="213">
        <v>324.69230965295759</v>
      </c>
      <c r="E16" s="238"/>
      <c r="I16" s="209"/>
      <c r="J16" s="227"/>
      <c r="K16" s="227"/>
      <c r="L16" s="227"/>
      <c r="M16" s="239"/>
      <c r="N16" s="227"/>
      <c r="O16" s="209"/>
      <c r="P16" s="209"/>
      <c r="Q16" s="209"/>
    </row>
    <row r="17" spans="1:17" ht="19.5" customHeight="1" x14ac:dyDescent="0.2">
      <c r="A17" s="215" t="s">
        <v>642</v>
      </c>
      <c r="B17" s="216">
        <v>892077.53733077052</v>
      </c>
      <c r="C17" s="217">
        <v>1.4999999999999999E-2</v>
      </c>
      <c r="D17" s="218">
        <v>61.453167892461522</v>
      </c>
      <c r="E17" s="238"/>
      <c r="I17" s="209"/>
      <c r="J17" s="227"/>
      <c r="K17" s="227"/>
      <c r="L17" s="227"/>
      <c r="M17" s="227"/>
      <c r="N17" s="227"/>
      <c r="O17" s="209"/>
      <c r="P17" s="209"/>
      <c r="Q17" s="209"/>
    </row>
    <row r="18" spans="1:17" ht="19.5" customHeight="1" x14ac:dyDescent="0.2">
      <c r="A18" s="207" t="s">
        <v>646</v>
      </c>
      <c r="B18" s="240">
        <f>SUM(B2:B17)</f>
        <v>60363913.359382138</v>
      </c>
      <c r="C18" s="241">
        <f>SUM(C2:C17)</f>
        <v>1.0002216748768471</v>
      </c>
      <c r="D18" s="242">
        <f>SUM(D2:D17)</f>
        <v>4158.3310273898951</v>
      </c>
      <c r="E18" s="209"/>
      <c r="F18" s="243"/>
      <c r="G18" s="220"/>
      <c r="H18" s="209"/>
      <c r="I18" s="209"/>
      <c r="J18" s="244"/>
      <c r="K18" s="227"/>
      <c r="L18" s="227"/>
      <c r="M18" s="227"/>
      <c r="N18" s="227"/>
      <c r="O18" s="209"/>
      <c r="P18" s="209"/>
      <c r="Q18" s="209"/>
    </row>
    <row r="19" spans="1:17" ht="19.5" customHeight="1" x14ac:dyDescent="0.2">
      <c r="A19" s="207" t="s">
        <v>665</v>
      </c>
      <c r="B19" s="245" t="s">
        <v>666</v>
      </c>
      <c r="C19" s="246">
        <v>45474</v>
      </c>
      <c r="D19" s="247">
        <v>1.61</v>
      </c>
      <c r="E19" s="248"/>
      <c r="F19" s="243"/>
      <c r="G19" s="209"/>
      <c r="H19" s="209"/>
      <c r="I19" s="209"/>
      <c r="J19" s="244"/>
      <c r="K19" s="227"/>
      <c r="L19" s="227"/>
      <c r="M19" s="239"/>
      <c r="N19" s="227"/>
      <c r="O19" s="209"/>
      <c r="P19" s="209"/>
      <c r="Q19" s="209"/>
    </row>
    <row r="20" spans="1:17" ht="19.5" customHeight="1" thickBot="1" x14ac:dyDescent="0.25">
      <c r="A20" s="209"/>
      <c r="B20" s="209"/>
      <c r="C20" s="221"/>
      <c r="D20" s="221"/>
      <c r="E20" s="248"/>
      <c r="F20" s="243"/>
      <c r="G20" s="209"/>
      <c r="H20" s="209"/>
      <c r="I20" s="209"/>
      <c r="J20" s="244"/>
      <c r="K20" s="227"/>
      <c r="L20" s="227"/>
      <c r="M20" s="227"/>
      <c r="N20" s="249"/>
      <c r="O20" s="209"/>
      <c r="P20" s="209"/>
      <c r="Q20" s="209"/>
    </row>
    <row r="21" spans="1:17" ht="23.25" customHeight="1" x14ac:dyDescent="0.2">
      <c r="A21" s="207" t="s">
        <v>657</v>
      </c>
      <c r="B21" s="207" t="s">
        <v>658</v>
      </c>
      <c r="C21" s="208" t="s">
        <v>659</v>
      </c>
      <c r="D21" s="208" t="s">
        <v>660</v>
      </c>
      <c r="E21" s="209"/>
      <c r="F21" s="348" t="s">
        <v>667</v>
      </c>
      <c r="G21" s="350">
        <v>5700.91</v>
      </c>
      <c r="H21" s="250"/>
      <c r="I21" s="209"/>
      <c r="J21" s="227"/>
      <c r="K21" s="227"/>
      <c r="L21" s="227"/>
      <c r="M21" s="244"/>
      <c r="N21" s="244"/>
      <c r="O21" s="209"/>
      <c r="P21" s="209"/>
      <c r="Q21" s="209"/>
    </row>
    <row r="22" spans="1:17" ht="22.7" customHeight="1" thickBot="1" x14ac:dyDescent="0.25">
      <c r="A22" s="251" t="s">
        <v>259</v>
      </c>
      <c r="B22" s="211">
        <f>B2</f>
        <v>7291003.6578503363</v>
      </c>
      <c r="C22" s="212">
        <f t="shared" ref="C22:C36" si="0">B22/B$18</f>
        <v>0.12078414489866937</v>
      </c>
      <c r="D22" s="213">
        <v>1278.9192704060117</v>
      </c>
      <c r="E22" s="209"/>
      <c r="F22" s="349"/>
      <c r="G22" s="351"/>
      <c r="H22" s="250"/>
      <c r="I22" s="220"/>
      <c r="J22" s="227"/>
      <c r="K22" s="227"/>
      <c r="L22" s="227"/>
      <c r="M22" s="227"/>
      <c r="N22" s="227"/>
      <c r="O22" s="209"/>
      <c r="P22" s="209"/>
      <c r="Q22" s="209"/>
    </row>
    <row r="23" spans="1:17" ht="18.75" customHeight="1" x14ac:dyDescent="0.2">
      <c r="A23" s="252" t="s">
        <v>263</v>
      </c>
      <c r="B23" s="216">
        <f t="shared" ref="B23:B35" si="1">B3</f>
        <v>334397.12</v>
      </c>
      <c r="C23" s="217">
        <f t="shared" si="0"/>
        <v>5.539685904873924E-3</v>
      </c>
      <c r="D23" s="218">
        <v>58.656796897337443</v>
      </c>
      <c r="E23" s="209"/>
      <c r="F23" s="248"/>
      <c r="G23" s="209"/>
      <c r="H23" s="209"/>
      <c r="I23" s="209"/>
      <c r="J23" s="227"/>
      <c r="K23" s="227"/>
      <c r="L23" s="227"/>
      <c r="M23" s="227"/>
      <c r="N23" s="227"/>
      <c r="O23" s="209"/>
      <c r="P23" s="209"/>
      <c r="Q23" s="209"/>
    </row>
    <row r="24" spans="1:17" ht="19.5" customHeight="1" x14ac:dyDescent="0.25">
      <c r="A24" s="251" t="s">
        <v>279</v>
      </c>
      <c r="B24" s="211">
        <f t="shared" si="1"/>
        <v>2808959.16</v>
      </c>
      <c r="C24" s="212">
        <f t="shared" si="0"/>
        <v>4.6533748454587465E-2</v>
      </c>
      <c r="D24" s="213">
        <v>492.72119012578696</v>
      </c>
      <c r="E24" s="223"/>
      <c r="F24" s="209"/>
      <c r="G24" s="248"/>
      <c r="H24" s="220"/>
      <c r="I24" s="209"/>
      <c r="J24" s="253"/>
      <c r="K24" s="253"/>
      <c r="L24" s="253"/>
      <c r="M24" s="253"/>
      <c r="N24" s="253"/>
      <c r="O24" s="209"/>
      <c r="P24" s="209"/>
      <c r="Q24" s="209"/>
    </row>
    <row r="25" spans="1:17" ht="19.5" customHeight="1" x14ac:dyDescent="0.45">
      <c r="A25" s="252" t="s">
        <v>310</v>
      </c>
      <c r="B25" s="216">
        <f t="shared" si="1"/>
        <v>14216001.396666666</v>
      </c>
      <c r="C25" s="217">
        <f t="shared" si="0"/>
        <v>0.23550496655229075</v>
      </c>
      <c r="D25" s="218">
        <v>2493.6372257528478</v>
      </c>
      <c r="E25" s="254"/>
      <c r="F25" s="248"/>
      <c r="G25" s="248"/>
      <c r="H25" s="220"/>
      <c r="I25" s="209"/>
      <c r="J25" s="255"/>
      <c r="K25" s="255"/>
      <c r="L25" s="256"/>
      <c r="M25" s="257"/>
      <c r="N25" s="257"/>
      <c r="O25" s="209"/>
      <c r="P25" s="209"/>
      <c r="Q25" s="209"/>
    </row>
    <row r="26" spans="1:17" ht="19.5" customHeight="1" x14ac:dyDescent="0.2">
      <c r="A26" s="251" t="s">
        <v>345</v>
      </c>
      <c r="B26" s="211">
        <f t="shared" si="1"/>
        <v>3060534.3637843644</v>
      </c>
      <c r="C26" s="212">
        <f t="shared" si="0"/>
        <v>5.0701390838648754E-2</v>
      </c>
      <c r="D26" s="213">
        <v>536.85014564067217</v>
      </c>
      <c r="E26" s="258"/>
      <c r="F26" s="259"/>
      <c r="G26" s="209"/>
      <c r="H26" s="259"/>
      <c r="I26" s="209"/>
      <c r="J26" s="227"/>
      <c r="K26" s="227"/>
      <c r="L26" s="227"/>
      <c r="M26" s="227"/>
      <c r="N26" s="227"/>
      <c r="O26" s="209"/>
      <c r="P26" s="209"/>
      <c r="Q26" s="209"/>
    </row>
    <row r="27" spans="1:17" ht="19.5" customHeight="1" x14ac:dyDescent="0.2">
      <c r="A27" s="252" t="s">
        <v>661</v>
      </c>
      <c r="B27" s="216">
        <f t="shared" si="1"/>
        <v>5636274.8625999996</v>
      </c>
      <c r="C27" s="217">
        <f t="shared" si="0"/>
        <v>9.3371594864036012E-2</v>
      </c>
      <c r="D27" s="218">
        <v>988.66231226242826</v>
      </c>
      <c r="E27" s="209"/>
      <c r="F27" s="259"/>
      <c r="G27" s="209"/>
      <c r="H27" s="259"/>
      <c r="I27" s="209"/>
      <c r="J27" s="227"/>
      <c r="K27" s="227"/>
      <c r="L27" s="227"/>
      <c r="M27" s="249"/>
      <c r="N27" s="227"/>
      <c r="O27" s="209"/>
      <c r="P27" s="209"/>
      <c r="Q27" s="209"/>
    </row>
    <row r="28" spans="1:17" ht="19.5" customHeight="1" x14ac:dyDescent="0.2">
      <c r="A28" s="251" t="s">
        <v>662</v>
      </c>
      <c r="B28" s="211">
        <f t="shared" si="1"/>
        <v>4015448.32</v>
      </c>
      <c r="C28" s="212">
        <f t="shared" si="0"/>
        <v>6.6520675955742917E-2</v>
      </c>
      <c r="D28" s="213">
        <v>704.35216833803725</v>
      </c>
      <c r="E28" s="209"/>
      <c r="F28" s="209"/>
      <c r="G28" s="209"/>
      <c r="H28" s="209"/>
      <c r="I28" s="209"/>
      <c r="J28" s="227"/>
      <c r="K28" s="227"/>
      <c r="L28" s="227"/>
      <c r="M28" s="227"/>
      <c r="N28" s="227"/>
      <c r="O28" s="209"/>
      <c r="P28" s="209"/>
      <c r="Q28" s="209"/>
    </row>
    <row r="29" spans="1:17" ht="19.5" customHeight="1" x14ac:dyDescent="0.2">
      <c r="A29" s="252" t="s">
        <v>476</v>
      </c>
      <c r="B29" s="216">
        <f t="shared" si="1"/>
        <v>1142037.169</v>
      </c>
      <c r="C29" s="217">
        <f t="shared" si="0"/>
        <v>1.8919203634144396E-2</v>
      </c>
      <c r="D29" s="218">
        <v>200.32541629318828</v>
      </c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</row>
    <row r="30" spans="1:17" ht="19.5" customHeight="1" x14ac:dyDescent="0.2">
      <c r="A30" s="251" t="s">
        <v>494</v>
      </c>
      <c r="B30" s="211">
        <f t="shared" si="1"/>
        <v>1922134.1421500002</v>
      </c>
      <c r="C30" s="212">
        <f t="shared" si="0"/>
        <v>3.1842437562097689E-2</v>
      </c>
      <c r="D30" s="213">
        <v>337.16268843921415</v>
      </c>
      <c r="E30" s="209"/>
      <c r="F30" s="248"/>
      <c r="G30" s="209"/>
      <c r="H30" s="220"/>
      <c r="I30" s="209"/>
      <c r="J30" s="209"/>
      <c r="K30" s="209"/>
      <c r="L30" s="209"/>
      <c r="M30" s="209"/>
      <c r="N30" s="209"/>
      <c r="O30" s="209"/>
      <c r="P30" s="209"/>
      <c r="Q30" s="209"/>
    </row>
    <row r="31" spans="1:17" ht="19.5" customHeight="1" x14ac:dyDescent="0.2">
      <c r="A31" s="252" t="s">
        <v>547</v>
      </c>
      <c r="B31" s="216">
        <f t="shared" si="1"/>
        <v>1271472.6699999997</v>
      </c>
      <c r="C31" s="217">
        <f t="shared" si="0"/>
        <v>2.1063456612399691E-2</v>
      </c>
      <c r="D31" s="218">
        <v>223.02977419394443</v>
      </c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</row>
    <row r="32" spans="1:17" ht="19.5" customHeight="1" x14ac:dyDescent="0.2">
      <c r="A32" s="251" t="s">
        <v>515</v>
      </c>
      <c r="B32" s="211">
        <f t="shared" si="1"/>
        <v>2915218.52</v>
      </c>
      <c r="C32" s="212">
        <f t="shared" si="0"/>
        <v>4.8294061099782862E-2</v>
      </c>
      <c r="D32" s="213">
        <v>511.3602074054844</v>
      </c>
      <c r="E32" s="209"/>
      <c r="F32" s="248"/>
      <c r="G32" s="209"/>
      <c r="H32" s="220"/>
      <c r="I32" s="209"/>
      <c r="J32" s="209"/>
      <c r="K32" s="209"/>
      <c r="L32" s="209"/>
      <c r="M32" s="209"/>
      <c r="N32" s="209"/>
      <c r="O32" s="209"/>
      <c r="P32" s="209"/>
      <c r="Q32" s="209"/>
    </row>
    <row r="33" spans="1:17" ht="19.5" customHeight="1" x14ac:dyDescent="0.2">
      <c r="A33" s="252" t="s">
        <v>561</v>
      </c>
      <c r="B33" s="216">
        <f t="shared" si="1"/>
        <v>1912985.6899999997</v>
      </c>
      <c r="C33" s="217">
        <f t="shared" si="0"/>
        <v>3.1690882574343097E-2</v>
      </c>
      <c r="D33" s="218">
        <v>335.55795302855154</v>
      </c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</row>
    <row r="34" spans="1:17" ht="19.5" customHeight="1" x14ac:dyDescent="0.2">
      <c r="A34" s="251" t="s">
        <v>664</v>
      </c>
      <c r="B34" s="211">
        <f t="shared" si="1"/>
        <v>5559680.5</v>
      </c>
      <c r="C34" s="212">
        <f t="shared" si="0"/>
        <v>9.2102718173686454E-2</v>
      </c>
      <c r="D34" s="213">
        <v>975.22684974854894</v>
      </c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</row>
    <row r="35" spans="1:17" ht="19.5" customHeight="1" x14ac:dyDescent="0.2">
      <c r="A35" s="252" t="s">
        <v>605</v>
      </c>
      <c r="B35" s="216">
        <f t="shared" si="1"/>
        <v>2672331.2999999998</v>
      </c>
      <c r="C35" s="217">
        <f t="shared" si="0"/>
        <v>4.4270345497483377E-2</v>
      </c>
      <c r="D35" s="218">
        <v>468.7552162724898</v>
      </c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</row>
    <row r="36" spans="1:17" ht="19.5" customHeight="1" x14ac:dyDescent="0.2">
      <c r="A36" s="251" t="s">
        <v>628</v>
      </c>
      <c r="B36" s="211">
        <f>B16</f>
        <v>4713356.95</v>
      </c>
      <c r="C36" s="212">
        <f t="shared" si="0"/>
        <v>7.8082362254060539E-2</v>
      </c>
      <c r="D36" s="213">
        <v>826.77273452834731</v>
      </c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</row>
    <row r="37" spans="1:17" ht="22.7" customHeight="1" x14ac:dyDescent="0.2">
      <c r="A37" s="252" t="s">
        <v>642</v>
      </c>
      <c r="B37" s="216">
        <f>B17</f>
        <v>892077.53733077052</v>
      </c>
      <c r="C37" s="217">
        <v>1.4999999999999999E-2</v>
      </c>
      <c r="D37" s="218">
        <v>156.47984923999337</v>
      </c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</row>
    <row r="38" spans="1:17" ht="23.25" customHeight="1" x14ac:dyDescent="0.2">
      <c r="A38" s="207" t="s">
        <v>646</v>
      </c>
      <c r="B38" s="240">
        <f>SUM(B22:B37)</f>
        <v>60363913.359382138</v>
      </c>
      <c r="C38" s="241">
        <f>SUM(C22:C37)</f>
        <v>1.0002216748768471</v>
      </c>
      <c r="D38" s="242">
        <f>SUM(D22:D37)</f>
        <v>10588.469798572882</v>
      </c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</row>
    <row r="39" spans="1:17" ht="19.5" customHeight="1" x14ac:dyDescent="0.2">
      <c r="A39" s="207" t="s">
        <v>665</v>
      </c>
      <c r="B39" s="260">
        <v>2774.29</v>
      </c>
      <c r="C39" s="246">
        <v>45444</v>
      </c>
      <c r="D39" s="247">
        <f>+D38/B39</f>
        <v>3.816641302305412</v>
      </c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</row>
    <row r="40" spans="1:17" ht="19.5" customHeight="1" x14ac:dyDescent="0.2">
      <c r="A40" s="209"/>
      <c r="B40" s="209"/>
      <c r="C40" s="221"/>
      <c r="D40" s="221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ht="19.5" customHeight="1" x14ac:dyDescent="0.2">
      <c r="A41" s="209"/>
      <c r="B41" s="209"/>
      <c r="C41" s="221"/>
      <c r="D41" s="221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</row>
    <row r="42" spans="1:17" ht="19.5" customHeight="1" x14ac:dyDescent="0.2">
      <c r="A42" s="209"/>
      <c r="B42" s="209"/>
      <c r="C42" s="221"/>
      <c r="D42" s="221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</row>
    <row r="43" spans="1:17" ht="19.5" customHeight="1" x14ac:dyDescent="0.2">
      <c r="A43" s="209"/>
      <c r="B43" s="209"/>
      <c r="C43" s="221"/>
      <c r="D43" s="221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</row>
    <row r="44" spans="1:17" ht="19.5" customHeight="1" x14ac:dyDescent="0.2">
      <c r="A44" s="209"/>
      <c r="B44" s="209"/>
      <c r="C44" s="221"/>
      <c r="D44" s="221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</row>
    <row r="45" spans="1:17" ht="19.5" customHeight="1" x14ac:dyDescent="0.2">
      <c r="A45" s="209"/>
      <c r="B45" s="209"/>
      <c r="C45" s="221"/>
      <c r="D45" s="221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</row>
    <row r="46" spans="1:17" ht="19.5" customHeight="1" x14ac:dyDescent="0.2">
      <c r="A46" s="209"/>
      <c r="B46" s="209"/>
      <c r="C46" s="221"/>
      <c r="D46" s="221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</row>
    <row r="47" spans="1:17" ht="19.5" customHeight="1" x14ac:dyDescent="0.2">
      <c r="A47" s="209"/>
      <c r="B47" s="209"/>
      <c r="C47" s="221"/>
      <c r="D47" s="221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</row>
    <row r="48" spans="1:17" ht="19.5" customHeight="1" x14ac:dyDescent="0.2">
      <c r="A48" s="209"/>
      <c r="B48" s="209"/>
      <c r="C48" s="221"/>
      <c r="D48" s="221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</row>
    <row r="49" spans="1:17" ht="19.5" customHeight="1" x14ac:dyDescent="0.2">
      <c r="A49" s="209"/>
      <c r="B49" s="209"/>
      <c r="C49" s="221"/>
      <c r="D49" s="221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</row>
    <row r="50" spans="1:17" ht="19.5" customHeight="1" x14ac:dyDescent="0.2">
      <c r="A50" s="209"/>
      <c r="B50" s="209"/>
      <c r="C50" s="221"/>
      <c r="D50" s="221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</row>
    <row r="51" spans="1:17" ht="19.5" customHeight="1" x14ac:dyDescent="0.2">
      <c r="A51" s="209"/>
      <c r="B51" s="209"/>
      <c r="C51" s="221"/>
      <c r="D51" s="221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</row>
    <row r="52" spans="1:17" ht="19.5" customHeight="1" x14ac:dyDescent="0.2">
      <c r="A52" s="209"/>
      <c r="B52" s="209"/>
      <c r="C52" s="221"/>
      <c r="D52" s="221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</row>
    <row r="53" spans="1:17" ht="19.5" customHeight="1" x14ac:dyDescent="0.2">
      <c r="A53" s="209"/>
      <c r="B53" s="209"/>
      <c r="C53" s="221"/>
      <c r="D53" s="221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</row>
    <row r="54" spans="1:17" ht="19.5" customHeight="1" x14ac:dyDescent="0.2">
      <c r="A54" s="209"/>
      <c r="B54" s="209"/>
      <c r="C54" s="221"/>
      <c r="D54" s="221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</row>
    <row r="55" spans="1:17" ht="19.5" customHeight="1" x14ac:dyDescent="0.2">
      <c r="A55" s="209"/>
      <c r="B55" s="209"/>
      <c r="C55" s="221"/>
      <c r="D55" s="221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</row>
    <row r="56" spans="1:17" ht="19.5" customHeight="1" x14ac:dyDescent="0.2">
      <c r="A56" s="209"/>
      <c r="B56" s="209"/>
      <c r="C56" s="221"/>
      <c r="D56" s="221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</row>
    <row r="57" spans="1:17" ht="19.5" customHeight="1" x14ac:dyDescent="0.2">
      <c r="A57" s="209"/>
      <c r="B57" s="209"/>
      <c r="C57" s="221"/>
      <c r="D57" s="221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</row>
    <row r="58" spans="1:17" ht="19.5" customHeight="1" x14ac:dyDescent="0.2">
      <c r="A58" s="209"/>
      <c r="B58" s="209"/>
      <c r="C58" s="221"/>
      <c r="D58" s="221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</row>
    <row r="59" spans="1:17" ht="19.5" customHeight="1" x14ac:dyDescent="0.2">
      <c r="A59" s="209"/>
      <c r="B59" s="209"/>
      <c r="C59" s="221"/>
      <c r="D59" s="221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</row>
    <row r="60" spans="1:17" ht="19.5" customHeight="1" x14ac:dyDescent="0.2">
      <c r="A60" s="209"/>
      <c r="B60" s="209"/>
      <c r="C60" s="221"/>
      <c r="D60" s="221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</row>
    <row r="61" spans="1:17" ht="19.5" customHeight="1" x14ac:dyDescent="0.2">
      <c r="A61" s="209"/>
      <c r="B61" s="209"/>
      <c r="C61" s="221"/>
      <c r="D61" s="221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</row>
    <row r="62" spans="1:17" ht="19.5" customHeight="1" x14ac:dyDescent="0.2">
      <c r="A62" s="209"/>
      <c r="B62" s="209"/>
      <c r="C62" s="221"/>
      <c r="D62" s="221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</row>
    <row r="63" spans="1:17" ht="19.5" customHeight="1" x14ac:dyDescent="0.2">
      <c r="A63" s="209"/>
      <c r="B63" s="209"/>
      <c r="C63" s="221"/>
      <c r="D63" s="221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</row>
    <row r="64" spans="1:17" ht="19.5" customHeight="1" x14ac:dyDescent="0.2">
      <c r="A64" s="209"/>
      <c r="B64" s="209"/>
      <c r="C64" s="221"/>
      <c r="D64" s="221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</row>
    <row r="65" spans="1:17" ht="19.5" customHeight="1" x14ac:dyDescent="0.2">
      <c r="A65" s="209"/>
      <c r="B65" s="209"/>
      <c r="C65" s="221"/>
      <c r="D65" s="221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</row>
    <row r="66" spans="1:17" ht="19.5" customHeight="1" x14ac:dyDescent="0.2">
      <c r="A66" s="209"/>
      <c r="B66" s="209"/>
      <c r="C66" s="221"/>
      <c r="D66" s="221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</row>
    <row r="67" spans="1:17" ht="19.5" customHeight="1" x14ac:dyDescent="0.2">
      <c r="A67" s="209"/>
      <c r="B67" s="209"/>
      <c r="C67" s="221"/>
      <c r="D67" s="221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</row>
    <row r="68" spans="1:17" ht="19.5" customHeight="1" x14ac:dyDescent="0.2">
      <c r="A68" s="209"/>
      <c r="B68" s="209"/>
      <c r="C68" s="221"/>
      <c r="D68" s="221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</row>
    <row r="69" spans="1:17" ht="19.5" customHeight="1" x14ac:dyDescent="0.2">
      <c r="A69" s="209"/>
      <c r="B69" s="209"/>
      <c r="C69" s="221"/>
      <c r="D69" s="221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</row>
    <row r="70" spans="1:17" ht="19.5" customHeight="1" x14ac:dyDescent="0.2">
      <c r="A70" s="209"/>
      <c r="B70" s="209"/>
      <c r="C70" s="221"/>
      <c r="D70" s="221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</row>
    <row r="71" spans="1:17" ht="19.5" customHeight="1" x14ac:dyDescent="0.2">
      <c r="A71" s="209"/>
      <c r="B71" s="209"/>
      <c r="C71" s="221"/>
      <c r="D71" s="221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</row>
    <row r="72" spans="1:17" ht="19.5" customHeight="1" x14ac:dyDescent="0.2">
      <c r="A72" s="209"/>
      <c r="B72" s="209"/>
      <c r="C72" s="221"/>
      <c r="D72" s="221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</row>
    <row r="73" spans="1:17" ht="19.5" customHeight="1" x14ac:dyDescent="0.2">
      <c r="A73" s="209"/>
      <c r="B73" s="209"/>
      <c r="C73" s="221"/>
      <c r="D73" s="221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</row>
    <row r="74" spans="1:17" ht="19.5" customHeight="1" x14ac:dyDescent="0.2">
      <c r="A74" s="209"/>
      <c r="B74" s="209"/>
      <c r="C74" s="221"/>
      <c r="D74" s="221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</row>
    <row r="75" spans="1:17" ht="19.5" customHeight="1" x14ac:dyDescent="0.2">
      <c r="A75" s="209"/>
      <c r="B75" s="209"/>
      <c r="C75" s="221"/>
      <c r="D75" s="221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</row>
    <row r="76" spans="1:17" ht="19.5" customHeight="1" x14ac:dyDescent="0.2">
      <c r="A76" s="209"/>
      <c r="B76" s="209"/>
      <c r="C76" s="221"/>
      <c r="D76" s="221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</row>
    <row r="77" spans="1:17" ht="19.5" customHeight="1" x14ac:dyDescent="0.2">
      <c r="A77" s="209"/>
      <c r="B77" s="209"/>
      <c r="C77" s="221"/>
      <c r="D77" s="221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</row>
    <row r="78" spans="1:17" ht="19.5" customHeight="1" x14ac:dyDescent="0.2">
      <c r="A78" s="209"/>
      <c r="B78" s="209"/>
      <c r="C78" s="221"/>
      <c r="D78" s="221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</row>
    <row r="79" spans="1:17" ht="19.5" customHeight="1" x14ac:dyDescent="0.2">
      <c r="A79" s="209"/>
      <c r="B79" s="209"/>
      <c r="C79" s="221"/>
      <c r="D79" s="221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</row>
    <row r="80" spans="1:17" ht="19.5" customHeight="1" x14ac:dyDescent="0.2">
      <c r="A80" s="209"/>
      <c r="B80" s="209"/>
      <c r="C80" s="221"/>
      <c r="D80" s="221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</row>
    <row r="81" spans="1:17" ht="19.5" customHeight="1" x14ac:dyDescent="0.2">
      <c r="A81" s="209"/>
      <c r="B81" s="209"/>
      <c r="C81" s="221"/>
      <c r="D81" s="221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</row>
    <row r="82" spans="1:17" ht="19.5" customHeight="1" x14ac:dyDescent="0.2">
      <c r="A82" s="209"/>
      <c r="B82" s="209"/>
      <c r="C82" s="221"/>
      <c r="D82" s="221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</row>
    <row r="83" spans="1:17" ht="19.5" customHeight="1" x14ac:dyDescent="0.2">
      <c r="A83" s="209"/>
      <c r="B83" s="209"/>
      <c r="C83" s="221"/>
      <c r="D83" s="221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</row>
    <row r="84" spans="1:17" ht="19.5" customHeight="1" x14ac:dyDescent="0.2">
      <c r="A84" s="209"/>
      <c r="B84" s="209"/>
      <c r="C84" s="221"/>
      <c r="D84" s="221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</row>
    <row r="85" spans="1:17" ht="19.5" customHeight="1" x14ac:dyDescent="0.2">
      <c r="A85" s="209"/>
      <c r="B85" s="209"/>
      <c r="C85" s="221"/>
      <c r="D85" s="221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</row>
    <row r="86" spans="1:17" ht="19.5" customHeight="1" x14ac:dyDescent="0.2">
      <c r="A86" s="209"/>
      <c r="B86" s="209"/>
      <c r="C86" s="221"/>
      <c r="D86" s="221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</row>
    <row r="87" spans="1:17" ht="19.5" customHeight="1" x14ac:dyDescent="0.2">
      <c r="A87" s="209"/>
      <c r="B87" s="209"/>
      <c r="C87" s="221"/>
      <c r="D87" s="221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</row>
    <row r="88" spans="1:17" ht="19.5" customHeight="1" x14ac:dyDescent="0.2">
      <c r="A88" s="209"/>
      <c r="B88" s="209"/>
      <c r="C88" s="221"/>
      <c r="D88" s="221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</row>
    <row r="89" spans="1:17" ht="19.5" customHeight="1" x14ac:dyDescent="0.2">
      <c r="A89" s="209"/>
      <c r="B89" s="209"/>
      <c r="C89" s="221"/>
      <c r="D89" s="221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</row>
    <row r="90" spans="1:17" ht="19.5" customHeight="1" x14ac:dyDescent="0.2">
      <c r="A90" s="209"/>
      <c r="B90" s="209"/>
      <c r="C90" s="221"/>
      <c r="D90" s="221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</row>
    <row r="91" spans="1:17" ht="19.5" customHeight="1" x14ac:dyDescent="0.2">
      <c r="A91" s="209"/>
      <c r="B91" s="209"/>
      <c r="C91" s="221"/>
      <c r="D91" s="221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</row>
    <row r="92" spans="1:17" ht="19.5" customHeight="1" x14ac:dyDescent="0.2">
      <c r="A92" s="209"/>
      <c r="B92" s="209"/>
      <c r="C92" s="221"/>
      <c r="D92" s="221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</row>
    <row r="93" spans="1:17" ht="19.5" customHeight="1" x14ac:dyDescent="0.2">
      <c r="A93" s="209"/>
      <c r="B93" s="209"/>
      <c r="C93" s="221"/>
      <c r="D93" s="221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</row>
    <row r="94" spans="1:17" ht="19.5" customHeight="1" x14ac:dyDescent="0.2">
      <c r="A94" s="209"/>
      <c r="B94" s="209"/>
      <c r="C94" s="221"/>
      <c r="D94" s="221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</row>
    <row r="95" spans="1:17" ht="19.5" customHeight="1" x14ac:dyDescent="0.2">
      <c r="A95" s="209"/>
      <c r="B95" s="209"/>
      <c r="C95" s="221"/>
      <c r="D95" s="221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</row>
    <row r="96" spans="1:17" ht="19.5" customHeight="1" x14ac:dyDescent="0.2">
      <c r="A96" s="209"/>
      <c r="B96" s="209"/>
      <c r="C96" s="221"/>
      <c r="D96" s="221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</row>
    <row r="97" spans="1:17" ht="19.5" customHeight="1" x14ac:dyDescent="0.2">
      <c r="A97" s="209"/>
      <c r="B97" s="209"/>
      <c r="C97" s="221"/>
      <c r="D97" s="221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</row>
    <row r="98" spans="1:17" ht="19.5" customHeight="1" x14ac:dyDescent="0.2">
      <c r="A98" s="209"/>
      <c r="B98" s="209"/>
      <c r="C98" s="221"/>
      <c r="D98" s="221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</row>
    <row r="99" spans="1:17" ht="19.5" customHeight="1" x14ac:dyDescent="0.2">
      <c r="A99" s="209"/>
      <c r="B99" s="209"/>
      <c r="C99" s="221"/>
      <c r="D99" s="221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</row>
    <row r="100" spans="1:17" ht="19.5" customHeight="1" x14ac:dyDescent="0.2">
      <c r="A100" s="209"/>
      <c r="B100" s="209"/>
      <c r="C100" s="221"/>
      <c r="D100" s="221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</row>
    <row r="101" spans="1:17" ht="19.5" customHeight="1" x14ac:dyDescent="0.2">
      <c r="A101" s="209"/>
      <c r="B101" s="209"/>
      <c r="C101" s="221"/>
      <c r="D101" s="221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</row>
    <row r="102" spans="1:17" ht="19.5" customHeight="1" x14ac:dyDescent="0.2">
      <c r="A102" s="209"/>
      <c r="B102" s="209"/>
      <c r="C102" s="221"/>
      <c r="D102" s="221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</row>
    <row r="103" spans="1:17" ht="19.5" customHeight="1" x14ac:dyDescent="0.2">
      <c r="A103" s="209"/>
      <c r="B103" s="209"/>
      <c r="C103" s="221"/>
      <c r="D103" s="221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</row>
    <row r="104" spans="1:17" ht="19.5" customHeight="1" x14ac:dyDescent="0.2">
      <c r="A104" s="209"/>
      <c r="B104" s="209"/>
      <c r="C104" s="221"/>
      <c r="D104" s="221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</row>
    <row r="105" spans="1:17" ht="19.5" customHeight="1" x14ac:dyDescent="0.2">
      <c r="A105" s="209"/>
      <c r="B105" s="209"/>
      <c r="C105" s="221"/>
      <c r="D105" s="221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</row>
    <row r="106" spans="1:17" ht="19.5" customHeight="1" x14ac:dyDescent="0.2">
      <c r="A106" s="209"/>
      <c r="B106" s="209"/>
      <c r="C106" s="221"/>
      <c r="D106" s="221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</row>
    <row r="107" spans="1:17" ht="19.5" customHeight="1" x14ac:dyDescent="0.2">
      <c r="A107" s="209"/>
      <c r="B107" s="209"/>
      <c r="C107" s="221"/>
      <c r="D107" s="221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</row>
    <row r="108" spans="1:17" ht="19.5" customHeight="1" x14ac:dyDescent="0.2">
      <c r="A108" s="209"/>
      <c r="B108" s="209"/>
      <c r="C108" s="221"/>
      <c r="D108" s="221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</row>
    <row r="109" spans="1:17" ht="19.5" customHeight="1" x14ac:dyDescent="0.2">
      <c r="A109" s="209"/>
      <c r="B109" s="209"/>
      <c r="C109" s="221"/>
      <c r="D109" s="221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</row>
    <row r="110" spans="1:17" ht="19.5" customHeight="1" x14ac:dyDescent="0.2">
      <c r="A110" s="209"/>
      <c r="B110" s="209"/>
      <c r="C110" s="221"/>
      <c r="D110" s="221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</row>
    <row r="111" spans="1:17" ht="19.5" customHeight="1" x14ac:dyDescent="0.2">
      <c r="A111" s="209"/>
      <c r="B111" s="209"/>
      <c r="C111" s="221"/>
      <c r="D111" s="221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</row>
    <row r="112" spans="1:17" ht="19.5" customHeight="1" x14ac:dyDescent="0.2">
      <c r="A112" s="209"/>
      <c r="B112" s="209"/>
      <c r="C112" s="221"/>
      <c r="D112" s="221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</row>
    <row r="113" spans="1:17" ht="19.5" customHeight="1" x14ac:dyDescent="0.2">
      <c r="A113" s="209"/>
      <c r="B113" s="209"/>
      <c r="C113" s="221"/>
      <c r="D113" s="221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</row>
    <row r="114" spans="1:17" ht="19.5" customHeight="1" x14ac:dyDescent="0.2">
      <c r="A114" s="209"/>
      <c r="B114" s="209"/>
      <c r="C114" s="221"/>
      <c r="D114" s="221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</row>
    <row r="115" spans="1:17" ht="19.5" customHeight="1" x14ac:dyDescent="0.2">
      <c r="A115" s="209"/>
      <c r="B115" s="209"/>
      <c r="C115" s="221"/>
      <c r="D115" s="221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</row>
    <row r="116" spans="1:17" ht="19.5" customHeight="1" x14ac:dyDescent="0.2">
      <c r="A116" s="209"/>
      <c r="B116" s="209"/>
      <c r="C116" s="221"/>
      <c r="D116" s="221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</row>
    <row r="117" spans="1:17" ht="19.5" customHeight="1" x14ac:dyDescent="0.2">
      <c r="A117" s="209"/>
      <c r="B117" s="209"/>
      <c r="C117" s="221"/>
      <c r="D117" s="221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</row>
    <row r="118" spans="1:17" ht="19.5" customHeight="1" x14ac:dyDescent="0.2">
      <c r="A118" s="209"/>
      <c r="B118" s="209"/>
      <c r="C118" s="221"/>
      <c r="D118" s="221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</row>
    <row r="119" spans="1:17" ht="19.5" customHeight="1" x14ac:dyDescent="0.2">
      <c r="A119" s="209"/>
      <c r="B119" s="209"/>
      <c r="C119" s="221"/>
      <c r="D119" s="221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</row>
    <row r="120" spans="1:17" ht="19.5" customHeight="1" x14ac:dyDescent="0.2">
      <c r="A120" s="209"/>
      <c r="B120" s="209"/>
      <c r="C120" s="221"/>
      <c r="D120" s="221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</row>
    <row r="121" spans="1:17" ht="19.5" customHeight="1" x14ac:dyDescent="0.2">
      <c r="A121" s="209"/>
      <c r="B121" s="209"/>
      <c r="C121" s="221"/>
      <c r="D121" s="221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</row>
    <row r="122" spans="1:17" ht="19.5" customHeight="1" x14ac:dyDescent="0.2">
      <c r="A122" s="209"/>
      <c r="B122" s="209"/>
      <c r="C122" s="221"/>
      <c r="D122" s="221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</row>
    <row r="123" spans="1:17" ht="19.5" customHeight="1" x14ac:dyDescent="0.2">
      <c r="A123" s="209"/>
      <c r="B123" s="209"/>
      <c r="C123" s="221"/>
      <c r="D123" s="221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</row>
    <row r="124" spans="1:17" ht="19.5" customHeight="1" x14ac:dyDescent="0.2">
      <c r="A124" s="209"/>
      <c r="B124" s="209"/>
      <c r="C124" s="221"/>
      <c r="D124" s="221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</row>
    <row r="125" spans="1:17" ht="19.5" customHeight="1" x14ac:dyDescent="0.2">
      <c r="A125" s="209"/>
      <c r="B125" s="209"/>
      <c r="C125" s="221"/>
      <c r="D125" s="221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</row>
    <row r="126" spans="1:17" ht="19.5" customHeight="1" x14ac:dyDescent="0.2">
      <c r="A126" s="209"/>
      <c r="B126" s="209"/>
      <c r="C126" s="221"/>
      <c r="D126" s="221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</row>
    <row r="127" spans="1:17" ht="19.5" customHeight="1" x14ac:dyDescent="0.2">
      <c r="A127" s="209"/>
      <c r="B127" s="209"/>
      <c r="C127" s="221"/>
      <c r="D127" s="221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</row>
    <row r="128" spans="1:17" ht="19.5" customHeight="1" x14ac:dyDescent="0.2">
      <c r="A128" s="209"/>
      <c r="B128" s="209"/>
      <c r="C128" s="221"/>
      <c r="D128" s="221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</row>
    <row r="129" spans="1:17" ht="19.5" customHeight="1" x14ac:dyDescent="0.2">
      <c r="A129" s="209"/>
      <c r="B129" s="209"/>
      <c r="C129" s="221"/>
      <c r="D129" s="221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</row>
    <row r="130" spans="1:17" ht="19.5" customHeight="1" x14ac:dyDescent="0.2">
      <c r="A130" s="209"/>
      <c r="B130" s="209"/>
      <c r="C130" s="221"/>
      <c r="D130" s="221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</row>
    <row r="131" spans="1:17" ht="19.5" customHeight="1" x14ac:dyDescent="0.2">
      <c r="A131" s="209"/>
      <c r="B131" s="209"/>
      <c r="C131" s="221"/>
      <c r="D131" s="221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</row>
    <row r="132" spans="1:17" ht="19.5" customHeight="1" x14ac:dyDescent="0.2">
      <c r="A132" s="209"/>
      <c r="B132" s="209"/>
      <c r="C132" s="221"/>
      <c r="D132" s="221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</row>
    <row r="133" spans="1:17" ht="19.5" customHeight="1" x14ac:dyDescent="0.2">
      <c r="A133" s="209"/>
      <c r="B133" s="209"/>
      <c r="C133" s="221"/>
      <c r="D133" s="221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</row>
    <row r="134" spans="1:17" ht="19.5" customHeight="1" x14ac:dyDescent="0.2">
      <c r="A134" s="209"/>
      <c r="B134" s="209"/>
      <c r="C134" s="221"/>
      <c r="D134" s="221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</row>
    <row r="135" spans="1:17" ht="19.5" customHeight="1" x14ac:dyDescent="0.2">
      <c r="A135" s="209"/>
      <c r="B135" s="209"/>
      <c r="C135" s="221"/>
      <c r="D135" s="221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</row>
    <row r="136" spans="1:17" ht="19.5" customHeight="1" x14ac:dyDescent="0.2">
      <c r="A136" s="209"/>
      <c r="B136" s="209"/>
      <c r="C136" s="221"/>
      <c r="D136" s="221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</row>
    <row r="137" spans="1:17" ht="19.5" customHeight="1" x14ac:dyDescent="0.2">
      <c r="A137" s="209"/>
      <c r="B137" s="209"/>
      <c r="C137" s="221"/>
      <c r="D137" s="221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</row>
    <row r="138" spans="1:17" ht="19.5" customHeight="1" x14ac:dyDescent="0.2">
      <c r="A138" s="209"/>
      <c r="B138" s="209"/>
      <c r="C138" s="221"/>
      <c r="D138" s="221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</row>
    <row r="139" spans="1:17" ht="19.5" customHeight="1" x14ac:dyDescent="0.2">
      <c r="A139" s="209"/>
      <c r="B139" s="209"/>
      <c r="C139" s="221"/>
      <c r="D139" s="221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</row>
    <row r="140" spans="1:17" ht="19.5" customHeight="1" x14ac:dyDescent="0.2">
      <c r="A140" s="209"/>
      <c r="B140" s="209"/>
      <c r="C140" s="221"/>
      <c r="D140" s="221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</row>
    <row r="141" spans="1:17" ht="19.5" customHeight="1" x14ac:dyDescent="0.2">
      <c r="A141" s="209"/>
      <c r="B141" s="209"/>
      <c r="C141" s="221"/>
      <c r="D141" s="221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</row>
    <row r="142" spans="1:17" ht="19.5" customHeight="1" x14ac:dyDescent="0.2">
      <c r="A142" s="209"/>
      <c r="B142" s="209"/>
      <c r="C142" s="221"/>
      <c r="D142" s="221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</row>
    <row r="143" spans="1:17" ht="19.5" customHeight="1" x14ac:dyDescent="0.2">
      <c r="A143" s="209"/>
      <c r="B143" s="209"/>
      <c r="C143" s="221"/>
      <c r="D143" s="221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</row>
    <row r="144" spans="1:17" ht="19.5" customHeight="1" x14ac:dyDescent="0.2">
      <c r="A144" s="209"/>
      <c r="B144" s="209"/>
      <c r="C144" s="221"/>
      <c r="D144" s="221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</row>
    <row r="145" spans="1:17" ht="19.5" customHeight="1" x14ac:dyDescent="0.2">
      <c r="A145" s="209"/>
      <c r="B145" s="209"/>
      <c r="C145" s="221"/>
      <c r="D145" s="221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</row>
    <row r="146" spans="1:17" ht="19.5" customHeight="1" x14ac:dyDescent="0.2">
      <c r="A146" s="209"/>
      <c r="B146" s="209"/>
      <c r="C146" s="221"/>
      <c r="D146" s="221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</row>
    <row r="147" spans="1:17" ht="19.5" customHeight="1" x14ac:dyDescent="0.2">
      <c r="A147" s="209"/>
      <c r="B147" s="209"/>
      <c r="C147" s="221"/>
      <c r="D147" s="221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</row>
    <row r="148" spans="1:17" ht="19.5" customHeight="1" x14ac:dyDescent="0.2">
      <c r="A148" s="209"/>
      <c r="B148" s="209"/>
      <c r="C148" s="221"/>
      <c r="D148" s="221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</row>
    <row r="149" spans="1:17" ht="19.5" customHeight="1" x14ac:dyDescent="0.2">
      <c r="A149" s="209"/>
      <c r="B149" s="209"/>
      <c r="C149" s="221"/>
      <c r="D149" s="221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</row>
    <row r="150" spans="1:17" ht="19.5" customHeight="1" x14ac:dyDescent="0.2">
      <c r="A150" s="209"/>
      <c r="B150" s="209"/>
      <c r="C150" s="221"/>
      <c r="D150" s="221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</row>
    <row r="151" spans="1:17" ht="19.5" customHeight="1" x14ac:dyDescent="0.2">
      <c r="A151" s="209"/>
      <c r="B151" s="209"/>
      <c r="C151" s="221"/>
      <c r="D151" s="221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</row>
    <row r="152" spans="1:17" ht="19.5" customHeight="1" x14ac:dyDescent="0.2">
      <c r="A152" s="209"/>
      <c r="B152" s="209"/>
      <c r="C152" s="221"/>
      <c r="D152" s="221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</row>
    <row r="153" spans="1:17" ht="19.5" customHeight="1" x14ac:dyDescent="0.2">
      <c r="A153" s="209"/>
      <c r="B153" s="209"/>
      <c r="C153" s="221"/>
      <c r="D153" s="221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</row>
    <row r="154" spans="1:17" ht="19.5" customHeight="1" x14ac:dyDescent="0.2">
      <c r="A154" s="209"/>
      <c r="B154" s="209"/>
      <c r="C154" s="221"/>
      <c r="D154" s="221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</row>
    <row r="155" spans="1:17" ht="19.5" customHeight="1" x14ac:dyDescent="0.2">
      <c r="A155" s="209"/>
      <c r="B155" s="209"/>
      <c r="C155" s="221"/>
      <c r="D155" s="221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</row>
    <row r="156" spans="1:17" ht="19.5" customHeight="1" x14ac:dyDescent="0.2">
      <c r="A156" s="209"/>
      <c r="B156" s="209"/>
      <c r="C156" s="221"/>
      <c r="D156" s="221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</row>
    <row r="157" spans="1:17" ht="19.5" customHeight="1" x14ac:dyDescent="0.2">
      <c r="A157" s="209"/>
      <c r="B157" s="209"/>
      <c r="C157" s="221"/>
      <c r="D157" s="221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</row>
    <row r="158" spans="1:17" ht="19.5" customHeight="1" x14ac:dyDescent="0.2">
      <c r="A158" s="209"/>
      <c r="B158" s="209"/>
      <c r="C158" s="221"/>
      <c r="D158" s="221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</row>
    <row r="159" spans="1:17" ht="19.5" customHeight="1" x14ac:dyDescent="0.2">
      <c r="A159" s="209"/>
      <c r="B159" s="209"/>
      <c r="C159" s="221"/>
      <c r="D159" s="221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</row>
    <row r="160" spans="1:17" ht="19.5" customHeight="1" x14ac:dyDescent="0.2">
      <c r="A160" s="209"/>
      <c r="B160" s="209"/>
      <c r="C160" s="221"/>
      <c r="D160" s="221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</row>
    <row r="161" spans="1:17" ht="19.5" customHeight="1" x14ac:dyDescent="0.2">
      <c r="A161" s="209"/>
      <c r="B161" s="209"/>
      <c r="C161" s="221"/>
      <c r="D161" s="221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</row>
    <row r="162" spans="1:17" ht="19.5" customHeight="1" x14ac:dyDescent="0.2">
      <c r="A162" s="209"/>
      <c r="B162" s="209"/>
      <c r="C162" s="221"/>
      <c r="D162" s="221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</row>
    <row r="163" spans="1:17" ht="19.5" customHeight="1" x14ac:dyDescent="0.2">
      <c r="A163" s="209"/>
      <c r="B163" s="209"/>
      <c r="C163" s="221"/>
      <c r="D163" s="221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</row>
    <row r="164" spans="1:17" ht="19.5" customHeight="1" x14ac:dyDescent="0.2">
      <c r="A164" s="209"/>
      <c r="B164" s="209"/>
      <c r="C164" s="221"/>
      <c r="D164" s="221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</row>
    <row r="165" spans="1:17" ht="19.5" customHeight="1" x14ac:dyDescent="0.2">
      <c r="A165" s="209"/>
      <c r="B165" s="209"/>
      <c r="C165" s="221"/>
      <c r="D165" s="221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</row>
    <row r="166" spans="1:17" ht="19.5" customHeight="1" x14ac:dyDescent="0.2">
      <c r="A166" s="209"/>
      <c r="B166" s="209"/>
      <c r="C166" s="221"/>
      <c r="D166" s="221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</row>
    <row r="167" spans="1:17" ht="19.5" customHeight="1" x14ac:dyDescent="0.2">
      <c r="A167" s="209"/>
      <c r="B167" s="209"/>
      <c r="C167" s="221"/>
      <c r="D167" s="221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</row>
    <row r="168" spans="1:17" ht="19.5" customHeight="1" x14ac:dyDescent="0.2">
      <c r="A168" s="209"/>
      <c r="B168" s="209"/>
      <c r="C168" s="221"/>
      <c r="D168" s="221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</row>
    <row r="169" spans="1:17" ht="19.5" customHeight="1" x14ac:dyDescent="0.2">
      <c r="A169" s="209"/>
      <c r="B169" s="209"/>
      <c r="C169" s="221"/>
      <c r="D169" s="221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</row>
    <row r="170" spans="1:17" ht="19.5" customHeight="1" x14ac:dyDescent="0.2">
      <c r="A170" s="209"/>
      <c r="B170" s="209"/>
      <c r="C170" s="221"/>
      <c r="D170" s="221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</row>
    <row r="171" spans="1:17" ht="19.5" customHeight="1" x14ac:dyDescent="0.2">
      <c r="A171" s="209"/>
      <c r="B171" s="209"/>
      <c r="C171" s="221"/>
      <c r="D171" s="221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</row>
    <row r="172" spans="1:17" ht="19.5" customHeight="1" x14ac:dyDescent="0.2">
      <c r="A172" s="209"/>
      <c r="B172" s="209"/>
      <c r="C172" s="221"/>
      <c r="D172" s="221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</row>
    <row r="173" spans="1:17" ht="19.5" customHeight="1" x14ac:dyDescent="0.2">
      <c r="A173" s="209"/>
      <c r="B173" s="209"/>
      <c r="C173" s="221"/>
      <c r="D173" s="221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</row>
    <row r="174" spans="1:17" ht="19.5" customHeight="1" x14ac:dyDescent="0.2">
      <c r="A174" s="209"/>
      <c r="B174" s="209"/>
      <c r="C174" s="221"/>
      <c r="D174" s="221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</row>
    <row r="175" spans="1:17" ht="19.5" customHeight="1" x14ac:dyDescent="0.2">
      <c r="A175" s="209"/>
      <c r="B175" s="209"/>
      <c r="C175" s="221"/>
      <c r="D175" s="221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</row>
    <row r="176" spans="1:17" ht="19.5" customHeight="1" x14ac:dyDescent="0.2">
      <c r="A176" s="209"/>
      <c r="B176" s="209"/>
      <c r="C176" s="221"/>
      <c r="D176" s="221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</row>
    <row r="177" spans="1:17" ht="19.5" customHeight="1" x14ac:dyDescent="0.2">
      <c r="A177" s="209"/>
      <c r="B177" s="209"/>
      <c r="C177" s="221"/>
      <c r="D177" s="221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</row>
    <row r="178" spans="1:17" ht="19.5" customHeight="1" x14ac:dyDescent="0.2">
      <c r="A178" s="209"/>
      <c r="B178" s="209"/>
      <c r="C178" s="221"/>
      <c r="D178" s="221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</row>
    <row r="179" spans="1:17" ht="19.5" customHeight="1" x14ac:dyDescent="0.2">
      <c r="A179" s="209"/>
      <c r="B179" s="209"/>
      <c r="C179" s="221"/>
      <c r="D179" s="221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</row>
    <row r="180" spans="1:17" ht="19.5" customHeight="1" x14ac:dyDescent="0.2">
      <c r="A180" s="209"/>
      <c r="B180" s="209"/>
      <c r="C180" s="221"/>
      <c r="D180" s="221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</row>
    <row r="181" spans="1:17" ht="19.5" customHeight="1" x14ac:dyDescent="0.2">
      <c r="A181" s="209"/>
      <c r="B181" s="209"/>
      <c r="C181" s="221"/>
      <c r="D181" s="221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</row>
    <row r="182" spans="1:17" ht="19.5" customHeight="1" x14ac:dyDescent="0.2">
      <c r="A182" s="209"/>
      <c r="B182" s="209"/>
      <c r="C182" s="221"/>
      <c r="D182" s="221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</row>
    <row r="183" spans="1:17" ht="19.5" customHeight="1" x14ac:dyDescent="0.2">
      <c r="A183" s="209"/>
      <c r="B183" s="209"/>
      <c r="C183" s="221"/>
      <c r="D183" s="221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</row>
    <row r="184" spans="1:17" ht="19.5" customHeight="1" x14ac:dyDescent="0.2">
      <c r="A184" s="209"/>
      <c r="B184" s="209"/>
      <c r="C184" s="221"/>
      <c r="D184" s="221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</row>
    <row r="185" spans="1:17" ht="19.5" customHeight="1" x14ac:dyDescent="0.2">
      <c r="A185" s="209"/>
      <c r="B185" s="209"/>
      <c r="C185" s="221"/>
      <c r="D185" s="221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</row>
    <row r="186" spans="1:17" ht="19.5" customHeight="1" x14ac:dyDescent="0.2">
      <c r="A186" s="209"/>
      <c r="B186" s="209"/>
      <c r="C186" s="221"/>
      <c r="D186" s="221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</row>
    <row r="187" spans="1:17" ht="19.5" customHeight="1" x14ac:dyDescent="0.2">
      <c r="A187" s="209"/>
      <c r="B187" s="209"/>
      <c r="C187" s="221"/>
      <c r="D187" s="221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</row>
    <row r="188" spans="1:17" ht="19.5" customHeight="1" x14ac:dyDescent="0.2">
      <c r="A188" s="209"/>
      <c r="B188" s="209"/>
      <c r="C188" s="221"/>
      <c r="D188" s="221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</row>
    <row r="189" spans="1:17" ht="19.5" customHeight="1" x14ac:dyDescent="0.2">
      <c r="A189" s="209"/>
      <c r="B189" s="209"/>
      <c r="C189" s="221"/>
      <c r="D189" s="221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</row>
    <row r="190" spans="1:17" ht="19.5" customHeight="1" x14ac:dyDescent="0.2">
      <c r="A190" s="209"/>
      <c r="B190" s="209"/>
      <c r="C190" s="221"/>
      <c r="D190" s="221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</row>
    <row r="191" spans="1:17" ht="19.5" customHeight="1" x14ac:dyDescent="0.2">
      <c r="A191" s="209"/>
      <c r="B191" s="209"/>
      <c r="C191" s="221"/>
      <c r="D191" s="221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</row>
    <row r="192" spans="1:17" ht="19.5" customHeight="1" x14ac:dyDescent="0.2">
      <c r="A192" s="209"/>
      <c r="B192" s="209"/>
      <c r="C192" s="221"/>
      <c r="D192" s="221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</row>
    <row r="193" spans="1:17" ht="19.5" customHeight="1" x14ac:dyDescent="0.2">
      <c r="A193" s="209"/>
      <c r="B193" s="209"/>
      <c r="C193" s="221"/>
      <c r="D193" s="221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</row>
    <row r="194" spans="1:17" ht="19.5" customHeight="1" x14ac:dyDescent="0.2">
      <c r="A194" s="209"/>
      <c r="B194" s="209"/>
      <c r="C194" s="221"/>
      <c r="D194" s="221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</row>
    <row r="195" spans="1:17" ht="19.5" customHeight="1" x14ac:dyDescent="0.2">
      <c r="A195" s="209"/>
      <c r="B195" s="209"/>
      <c r="C195" s="221"/>
      <c r="D195" s="221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</row>
    <row r="196" spans="1:17" ht="19.5" customHeight="1" x14ac:dyDescent="0.2">
      <c r="A196" s="209"/>
      <c r="B196" s="209"/>
      <c r="C196" s="221"/>
      <c r="D196" s="221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</row>
    <row r="197" spans="1:17" ht="19.5" customHeight="1" x14ac:dyDescent="0.2">
      <c r="A197" s="209"/>
      <c r="B197" s="209"/>
      <c r="C197" s="221"/>
      <c r="D197" s="221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</row>
    <row r="198" spans="1:17" ht="19.5" customHeight="1" x14ac:dyDescent="0.2">
      <c r="A198" s="209"/>
      <c r="B198" s="209"/>
      <c r="C198" s="221"/>
      <c r="D198" s="221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</row>
    <row r="199" spans="1:17" ht="19.5" customHeight="1" x14ac:dyDescent="0.2">
      <c r="A199" s="209"/>
      <c r="B199" s="209"/>
      <c r="C199" s="221"/>
      <c r="D199" s="221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</row>
    <row r="200" spans="1:17" ht="19.5" customHeight="1" x14ac:dyDescent="0.2">
      <c r="A200" s="209"/>
      <c r="B200" s="209"/>
      <c r="C200" s="221"/>
      <c r="D200" s="221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</row>
    <row r="201" spans="1:17" ht="19.5" customHeight="1" x14ac:dyDescent="0.2">
      <c r="A201" s="209"/>
      <c r="B201" s="209"/>
      <c r="C201" s="221"/>
      <c r="D201" s="221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</row>
    <row r="202" spans="1:17" ht="19.5" customHeight="1" x14ac:dyDescent="0.2">
      <c r="A202" s="209"/>
      <c r="B202" s="209"/>
      <c r="C202" s="221"/>
      <c r="D202" s="221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</row>
    <row r="203" spans="1:17" ht="19.5" customHeight="1" x14ac:dyDescent="0.2">
      <c r="A203" s="209"/>
      <c r="B203" s="209"/>
      <c r="C203" s="221"/>
      <c r="D203" s="221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</row>
    <row r="204" spans="1:17" ht="19.5" customHeight="1" x14ac:dyDescent="0.2">
      <c r="A204" s="209"/>
      <c r="B204" s="209"/>
      <c r="C204" s="221"/>
      <c r="D204" s="221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</row>
    <row r="205" spans="1:17" ht="19.5" customHeight="1" x14ac:dyDescent="0.2">
      <c r="A205" s="209"/>
      <c r="B205" s="209"/>
      <c r="C205" s="221"/>
      <c r="D205" s="221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</row>
    <row r="206" spans="1:17" ht="19.5" customHeight="1" x14ac:dyDescent="0.2">
      <c r="A206" s="209"/>
      <c r="B206" s="209"/>
      <c r="C206" s="221"/>
      <c r="D206" s="221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</row>
    <row r="207" spans="1:17" ht="19.5" customHeight="1" x14ac:dyDescent="0.2">
      <c r="A207" s="209"/>
      <c r="B207" s="209"/>
      <c r="C207" s="221"/>
      <c r="D207" s="221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</row>
    <row r="208" spans="1:17" ht="19.5" customHeight="1" x14ac:dyDescent="0.2">
      <c r="A208" s="209"/>
      <c r="B208" s="209"/>
      <c r="C208" s="221"/>
      <c r="D208" s="221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</row>
    <row r="209" spans="1:17" ht="19.5" customHeight="1" x14ac:dyDescent="0.2">
      <c r="A209" s="209"/>
      <c r="B209" s="209"/>
      <c r="C209" s="221"/>
      <c r="D209" s="221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</row>
    <row r="210" spans="1:17" ht="19.5" customHeight="1" x14ac:dyDescent="0.2">
      <c r="A210" s="209"/>
      <c r="B210" s="209"/>
      <c r="C210" s="221"/>
      <c r="D210" s="221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</row>
    <row r="211" spans="1:17" ht="19.5" customHeight="1" x14ac:dyDescent="0.2">
      <c r="A211" s="209"/>
      <c r="B211" s="209"/>
      <c r="C211" s="221"/>
      <c r="D211" s="221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</row>
    <row r="212" spans="1:17" ht="19.5" customHeight="1" x14ac:dyDescent="0.2">
      <c r="A212" s="209"/>
      <c r="B212" s="209"/>
      <c r="C212" s="221"/>
      <c r="D212" s="221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</row>
    <row r="213" spans="1:17" ht="19.5" customHeight="1" x14ac:dyDescent="0.2">
      <c r="A213" s="209"/>
      <c r="B213" s="209"/>
      <c r="C213" s="221"/>
      <c r="D213" s="221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</row>
    <row r="214" spans="1:17" ht="19.5" customHeight="1" x14ac:dyDescent="0.2">
      <c r="A214" s="209"/>
      <c r="B214" s="209"/>
      <c r="C214" s="221"/>
      <c r="D214" s="221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</row>
    <row r="215" spans="1:17" ht="19.5" customHeight="1" x14ac:dyDescent="0.2">
      <c r="A215" s="209"/>
      <c r="B215" s="209"/>
      <c r="C215" s="221"/>
      <c r="D215" s="221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</row>
    <row r="216" spans="1:17" ht="19.5" customHeight="1" x14ac:dyDescent="0.2">
      <c r="A216" s="209"/>
      <c r="B216" s="209"/>
      <c r="C216" s="221"/>
      <c r="D216" s="221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</row>
    <row r="217" spans="1:17" ht="19.5" customHeight="1" x14ac:dyDescent="0.2">
      <c r="A217" s="209"/>
      <c r="B217" s="209"/>
      <c r="C217" s="221"/>
      <c r="D217" s="221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</row>
    <row r="218" spans="1:17" ht="19.5" customHeight="1" x14ac:dyDescent="0.2">
      <c r="A218" s="209"/>
      <c r="B218" s="209"/>
      <c r="C218" s="221"/>
      <c r="D218" s="221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</row>
    <row r="219" spans="1:17" ht="19.5" customHeight="1" x14ac:dyDescent="0.2">
      <c r="A219" s="209"/>
      <c r="B219" s="209"/>
      <c r="C219" s="221"/>
      <c r="D219" s="221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</row>
    <row r="220" spans="1:17" ht="19.5" customHeight="1" x14ac:dyDescent="0.2">
      <c r="A220" s="209"/>
      <c r="B220" s="209"/>
      <c r="C220" s="221"/>
      <c r="D220" s="221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</row>
    <row r="221" spans="1:17" ht="19.5" customHeight="1" x14ac:dyDescent="0.2">
      <c r="A221" s="209"/>
      <c r="B221" s="209"/>
      <c r="C221" s="221"/>
      <c r="D221" s="221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</row>
    <row r="222" spans="1:17" ht="19.5" customHeight="1" x14ac:dyDescent="0.2">
      <c r="A222" s="209"/>
      <c r="B222" s="209"/>
      <c r="C222" s="221"/>
      <c r="D222" s="221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</row>
    <row r="223" spans="1:17" ht="19.5" customHeight="1" x14ac:dyDescent="0.2">
      <c r="A223" s="209"/>
      <c r="B223" s="209"/>
      <c r="C223" s="221"/>
      <c r="D223" s="221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</row>
    <row r="224" spans="1:17" ht="19.5" customHeight="1" x14ac:dyDescent="0.2">
      <c r="A224" s="209"/>
      <c r="B224" s="209"/>
      <c r="C224" s="221"/>
      <c r="D224" s="221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</row>
    <row r="225" spans="1:17" ht="19.5" customHeight="1" x14ac:dyDescent="0.2">
      <c r="A225" s="209"/>
      <c r="B225" s="209"/>
      <c r="C225" s="221"/>
      <c r="D225" s="221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</row>
    <row r="226" spans="1:17" ht="19.5" customHeight="1" x14ac:dyDescent="0.2">
      <c r="A226" s="209"/>
      <c r="B226" s="209"/>
      <c r="C226" s="221"/>
      <c r="D226" s="221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</row>
    <row r="227" spans="1:17" ht="19.5" customHeight="1" x14ac:dyDescent="0.2">
      <c r="A227" s="209"/>
      <c r="B227" s="209"/>
      <c r="C227" s="221"/>
      <c r="D227" s="221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</row>
    <row r="228" spans="1:17" ht="19.5" customHeight="1" x14ac:dyDescent="0.2">
      <c r="A228" s="209"/>
      <c r="B228" s="209"/>
      <c r="C228" s="221"/>
      <c r="D228" s="221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</row>
    <row r="229" spans="1:17" ht="19.5" customHeight="1" x14ac:dyDescent="0.2">
      <c r="A229" s="209"/>
      <c r="B229" s="209"/>
      <c r="C229" s="221"/>
      <c r="D229" s="221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</row>
    <row r="230" spans="1:17" ht="19.5" customHeight="1" x14ac:dyDescent="0.2">
      <c r="A230" s="209"/>
      <c r="B230" s="209"/>
      <c r="C230" s="221"/>
      <c r="D230" s="221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</row>
    <row r="231" spans="1:17" ht="19.5" customHeight="1" x14ac:dyDescent="0.2">
      <c r="A231" s="209"/>
      <c r="B231" s="209"/>
      <c r="C231" s="221"/>
      <c r="D231" s="221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</row>
    <row r="232" spans="1:17" ht="19.5" customHeight="1" x14ac:dyDescent="0.2">
      <c r="A232" s="209"/>
      <c r="B232" s="209"/>
      <c r="C232" s="221"/>
      <c r="D232" s="221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</row>
    <row r="233" spans="1:17" ht="19.5" customHeight="1" x14ac:dyDescent="0.2">
      <c r="A233" s="209"/>
      <c r="B233" s="209"/>
      <c r="C233" s="221"/>
      <c r="D233" s="221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</row>
    <row r="234" spans="1:17" ht="19.5" customHeight="1" x14ac:dyDescent="0.2">
      <c r="A234" s="209"/>
      <c r="B234" s="209"/>
      <c r="C234" s="221"/>
      <c r="D234" s="221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</row>
    <row r="235" spans="1:17" ht="19.5" customHeight="1" x14ac:dyDescent="0.2">
      <c r="A235" s="209"/>
      <c r="B235" s="209"/>
      <c r="C235" s="221"/>
      <c r="D235" s="221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</row>
    <row r="236" spans="1:17" ht="19.5" customHeight="1" x14ac:dyDescent="0.2">
      <c r="A236" s="209"/>
      <c r="B236" s="209"/>
      <c r="C236" s="221"/>
      <c r="D236" s="221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</row>
    <row r="237" spans="1:17" ht="19.5" customHeight="1" x14ac:dyDescent="0.2">
      <c r="A237" s="209"/>
      <c r="B237" s="209"/>
      <c r="C237" s="221"/>
      <c r="D237" s="221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</row>
    <row r="238" spans="1:17" ht="19.5" customHeight="1" x14ac:dyDescent="0.2">
      <c r="A238" s="209"/>
      <c r="B238" s="209"/>
      <c r="C238" s="221"/>
      <c r="D238" s="221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</row>
    <row r="239" spans="1:17" ht="19.5" customHeight="1" x14ac:dyDescent="0.2">
      <c r="A239" s="209"/>
      <c r="B239" s="209"/>
      <c r="C239" s="221"/>
      <c r="D239" s="221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</row>
    <row r="240" spans="1:17" ht="19.5" customHeight="1" x14ac:dyDescent="0.2">
      <c r="A240" s="209"/>
      <c r="B240" s="209"/>
      <c r="C240" s="221"/>
      <c r="D240" s="221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</row>
    <row r="241" spans="1:17" ht="19.5" customHeight="1" x14ac:dyDescent="0.2">
      <c r="A241" s="209"/>
      <c r="B241" s="209"/>
      <c r="C241" s="221"/>
      <c r="D241" s="221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</row>
    <row r="242" spans="1:17" ht="19.5" customHeight="1" x14ac:dyDescent="0.2">
      <c r="A242" s="209"/>
      <c r="B242" s="209"/>
      <c r="C242" s="221"/>
      <c r="D242" s="221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</row>
    <row r="243" spans="1:17" ht="19.5" customHeight="1" x14ac:dyDescent="0.2">
      <c r="A243" s="209"/>
      <c r="B243" s="209"/>
      <c r="C243" s="221"/>
      <c r="D243" s="221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</row>
    <row r="244" spans="1:17" ht="19.5" customHeight="1" x14ac:dyDescent="0.2">
      <c r="A244" s="209"/>
      <c r="B244" s="209"/>
      <c r="C244" s="221"/>
      <c r="D244" s="221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</row>
    <row r="245" spans="1:17" ht="19.5" customHeight="1" x14ac:dyDescent="0.2">
      <c r="A245" s="209"/>
      <c r="B245" s="209"/>
      <c r="C245" s="221"/>
      <c r="D245" s="221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</row>
    <row r="246" spans="1:17" ht="19.5" customHeight="1" x14ac:dyDescent="0.2">
      <c r="A246" s="209"/>
      <c r="B246" s="209"/>
      <c r="C246" s="221"/>
      <c r="D246" s="221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</row>
    <row r="247" spans="1:17" ht="19.5" customHeight="1" x14ac:dyDescent="0.2">
      <c r="A247" s="209"/>
      <c r="B247" s="209"/>
      <c r="C247" s="221"/>
      <c r="D247" s="221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</row>
    <row r="248" spans="1:17" ht="19.5" customHeight="1" x14ac:dyDescent="0.2">
      <c r="A248" s="209"/>
      <c r="B248" s="209"/>
      <c r="C248" s="221"/>
      <c r="D248" s="221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</row>
    <row r="249" spans="1:17" ht="19.5" customHeight="1" x14ac:dyDescent="0.2">
      <c r="A249" s="209"/>
      <c r="B249" s="209"/>
      <c r="C249" s="221"/>
      <c r="D249" s="221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</row>
    <row r="250" spans="1:17" ht="19.5" customHeight="1" x14ac:dyDescent="0.2">
      <c r="A250" s="209"/>
      <c r="B250" s="209"/>
      <c r="C250" s="221"/>
      <c r="D250" s="221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</row>
    <row r="251" spans="1:17" ht="19.5" customHeight="1" x14ac:dyDescent="0.2">
      <c r="A251" s="209"/>
      <c r="B251" s="209"/>
      <c r="C251" s="221"/>
      <c r="D251" s="221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</row>
    <row r="252" spans="1:17" ht="19.5" customHeight="1" x14ac:dyDescent="0.2">
      <c r="A252" s="209"/>
      <c r="B252" s="209"/>
      <c r="C252" s="221"/>
      <c r="D252" s="221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</row>
    <row r="253" spans="1:17" ht="19.5" customHeight="1" x14ac:dyDescent="0.2">
      <c r="A253" s="209"/>
      <c r="B253" s="209"/>
      <c r="C253" s="221"/>
      <c r="D253" s="221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</row>
    <row r="254" spans="1:17" ht="19.5" customHeight="1" x14ac:dyDescent="0.2">
      <c r="A254" s="209"/>
      <c r="B254" s="209"/>
      <c r="C254" s="221"/>
      <c r="D254" s="221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</row>
    <row r="255" spans="1:17" ht="19.5" customHeight="1" x14ac:dyDescent="0.2">
      <c r="A255" s="209"/>
      <c r="B255" s="209"/>
      <c r="C255" s="221"/>
      <c r="D255" s="221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</row>
    <row r="256" spans="1:17" ht="19.5" customHeight="1" x14ac:dyDescent="0.2">
      <c r="A256" s="209"/>
      <c r="B256" s="209"/>
      <c r="C256" s="221"/>
      <c r="D256" s="221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</row>
    <row r="257" spans="1:17" ht="19.5" customHeight="1" x14ac:dyDescent="0.2">
      <c r="A257" s="209"/>
      <c r="B257" s="209"/>
      <c r="C257" s="221"/>
      <c r="D257" s="221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</row>
    <row r="258" spans="1:17" ht="19.5" customHeight="1" x14ac:dyDescent="0.2">
      <c r="A258" s="209"/>
      <c r="B258" s="209"/>
      <c r="C258" s="221"/>
      <c r="D258" s="221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</row>
    <row r="259" spans="1:17" ht="19.5" customHeight="1" x14ac:dyDescent="0.2">
      <c r="A259" s="209"/>
      <c r="B259" s="209"/>
      <c r="C259" s="221"/>
      <c r="D259" s="221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</row>
    <row r="260" spans="1:17" ht="19.5" customHeight="1" x14ac:dyDescent="0.2">
      <c r="A260" s="209"/>
      <c r="B260" s="209"/>
      <c r="C260" s="221"/>
      <c r="D260" s="221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</row>
    <row r="261" spans="1:17" ht="19.5" customHeight="1" x14ac:dyDescent="0.2">
      <c r="A261" s="209"/>
      <c r="B261" s="209"/>
      <c r="C261" s="221"/>
      <c r="D261" s="221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</row>
    <row r="262" spans="1:17" ht="19.5" customHeight="1" x14ac:dyDescent="0.2">
      <c r="A262" s="209"/>
      <c r="B262" s="209"/>
      <c r="C262" s="221"/>
      <c r="D262" s="221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</row>
    <row r="263" spans="1:17" ht="19.5" customHeight="1" x14ac:dyDescent="0.2">
      <c r="A263" s="209"/>
      <c r="B263" s="209"/>
      <c r="C263" s="221"/>
      <c r="D263" s="221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</row>
    <row r="264" spans="1:17" ht="19.5" customHeight="1" x14ac:dyDescent="0.2">
      <c r="A264" s="209"/>
      <c r="B264" s="209"/>
      <c r="C264" s="221"/>
      <c r="D264" s="221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</row>
    <row r="265" spans="1:17" ht="19.5" customHeight="1" x14ac:dyDescent="0.2">
      <c r="A265" s="209"/>
      <c r="B265" s="209"/>
      <c r="C265" s="221"/>
      <c r="D265" s="221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</row>
    <row r="266" spans="1:17" ht="19.5" customHeight="1" x14ac:dyDescent="0.2">
      <c r="A266" s="209"/>
      <c r="B266" s="209"/>
      <c r="C266" s="221"/>
      <c r="D266" s="221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</row>
    <row r="267" spans="1:17" ht="19.5" customHeight="1" x14ac:dyDescent="0.2">
      <c r="A267" s="209"/>
      <c r="B267" s="209"/>
      <c r="C267" s="221"/>
      <c r="D267" s="221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</row>
    <row r="268" spans="1:17" ht="19.5" customHeight="1" x14ac:dyDescent="0.2">
      <c r="A268" s="209"/>
      <c r="B268" s="209"/>
      <c r="C268" s="221"/>
      <c r="D268" s="221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</row>
    <row r="269" spans="1:17" ht="19.5" customHeight="1" x14ac:dyDescent="0.2">
      <c r="A269" s="209"/>
      <c r="B269" s="209"/>
      <c r="C269" s="221"/>
      <c r="D269" s="221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</row>
    <row r="270" spans="1:17" ht="19.5" customHeight="1" x14ac:dyDescent="0.2">
      <c r="A270" s="209"/>
      <c r="B270" s="209"/>
      <c r="C270" s="221"/>
      <c r="D270" s="221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</row>
    <row r="271" spans="1:17" ht="19.5" customHeight="1" x14ac:dyDescent="0.2">
      <c r="A271" s="209"/>
      <c r="B271" s="209"/>
      <c r="C271" s="221"/>
      <c r="D271" s="221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</row>
    <row r="272" spans="1:17" ht="19.5" customHeight="1" x14ac:dyDescent="0.2">
      <c r="A272" s="209"/>
      <c r="B272" s="209"/>
      <c r="C272" s="221"/>
      <c r="D272" s="221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</row>
    <row r="273" spans="1:17" ht="19.5" customHeight="1" x14ac:dyDescent="0.2">
      <c r="A273" s="209"/>
      <c r="B273" s="209"/>
      <c r="C273" s="221"/>
      <c r="D273" s="221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</row>
    <row r="274" spans="1:17" ht="19.5" customHeight="1" x14ac:dyDescent="0.2">
      <c r="A274" s="209"/>
      <c r="B274" s="209"/>
      <c r="C274" s="221"/>
      <c r="D274" s="221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</row>
    <row r="275" spans="1:17" ht="19.5" customHeight="1" x14ac:dyDescent="0.2">
      <c r="A275" s="209"/>
      <c r="B275" s="209"/>
      <c r="C275" s="221"/>
      <c r="D275" s="221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</row>
    <row r="276" spans="1:17" ht="19.5" customHeight="1" x14ac:dyDescent="0.2">
      <c r="A276" s="209"/>
      <c r="B276" s="209"/>
      <c r="C276" s="221"/>
      <c r="D276" s="221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</row>
    <row r="277" spans="1:17" ht="19.5" customHeight="1" x14ac:dyDescent="0.2">
      <c r="A277" s="209"/>
      <c r="B277" s="209"/>
      <c r="C277" s="221"/>
      <c r="D277" s="221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</row>
    <row r="278" spans="1:17" ht="19.5" customHeight="1" x14ac:dyDescent="0.2">
      <c r="A278" s="209"/>
      <c r="B278" s="209"/>
      <c r="C278" s="221"/>
      <c r="D278" s="221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</row>
    <row r="279" spans="1:17" ht="19.5" customHeight="1" x14ac:dyDescent="0.2">
      <c r="A279" s="209"/>
      <c r="B279" s="209"/>
      <c r="C279" s="221"/>
      <c r="D279" s="221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</row>
    <row r="280" spans="1:17" ht="19.5" customHeight="1" x14ac:dyDescent="0.2">
      <c r="A280" s="209"/>
      <c r="B280" s="209"/>
      <c r="C280" s="221"/>
      <c r="D280" s="221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</row>
    <row r="281" spans="1:17" ht="19.5" customHeight="1" x14ac:dyDescent="0.2">
      <c r="A281" s="209"/>
      <c r="B281" s="209"/>
      <c r="C281" s="221"/>
      <c r="D281" s="221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</row>
    <row r="282" spans="1:17" ht="19.5" customHeight="1" x14ac:dyDescent="0.2">
      <c r="A282" s="209"/>
      <c r="B282" s="209"/>
      <c r="C282" s="221"/>
      <c r="D282" s="221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</row>
    <row r="283" spans="1:17" ht="19.5" customHeight="1" x14ac:dyDescent="0.2">
      <c r="A283" s="209"/>
      <c r="B283" s="209"/>
      <c r="C283" s="221"/>
      <c r="D283" s="221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</row>
    <row r="284" spans="1:17" ht="19.5" customHeight="1" x14ac:dyDescent="0.2">
      <c r="A284" s="209"/>
      <c r="B284" s="209"/>
      <c r="C284" s="221"/>
      <c r="D284" s="221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</row>
    <row r="285" spans="1:17" ht="19.5" customHeight="1" x14ac:dyDescent="0.2">
      <c r="A285" s="209"/>
      <c r="B285" s="209"/>
      <c r="C285" s="221"/>
      <c r="D285" s="221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</row>
    <row r="286" spans="1:17" ht="19.5" customHeight="1" x14ac:dyDescent="0.2">
      <c r="A286" s="209"/>
      <c r="B286" s="209"/>
      <c r="C286" s="221"/>
      <c r="D286" s="221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</row>
    <row r="287" spans="1:17" ht="19.5" customHeight="1" x14ac:dyDescent="0.2">
      <c r="A287" s="209"/>
      <c r="B287" s="209"/>
      <c r="C287" s="221"/>
      <c r="D287" s="221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</row>
    <row r="288" spans="1:17" ht="19.5" customHeight="1" x14ac:dyDescent="0.2">
      <c r="A288" s="209"/>
      <c r="B288" s="209"/>
      <c r="C288" s="221"/>
      <c r="D288" s="221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</row>
    <row r="289" spans="1:17" ht="19.5" customHeight="1" x14ac:dyDescent="0.2">
      <c r="A289" s="209"/>
      <c r="B289" s="209"/>
      <c r="C289" s="221"/>
      <c r="D289" s="221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</row>
    <row r="290" spans="1:17" ht="19.5" customHeight="1" x14ac:dyDescent="0.2">
      <c r="A290" s="209"/>
      <c r="B290" s="209"/>
      <c r="C290" s="221"/>
      <c r="D290" s="221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</row>
    <row r="291" spans="1:17" ht="19.5" customHeight="1" x14ac:dyDescent="0.2">
      <c r="A291" s="209"/>
      <c r="B291" s="209"/>
      <c r="C291" s="221"/>
      <c r="D291" s="221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</row>
    <row r="292" spans="1:17" ht="19.5" customHeight="1" x14ac:dyDescent="0.2">
      <c r="A292" s="209"/>
      <c r="B292" s="209"/>
      <c r="C292" s="221"/>
      <c r="D292" s="221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</row>
    <row r="293" spans="1:17" ht="19.5" customHeight="1" x14ac:dyDescent="0.2">
      <c r="A293" s="209"/>
      <c r="B293" s="209"/>
      <c r="C293" s="221"/>
      <c r="D293" s="221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</row>
    <row r="294" spans="1:17" ht="19.5" customHeight="1" x14ac:dyDescent="0.2">
      <c r="A294" s="209"/>
      <c r="B294" s="209"/>
      <c r="C294" s="221"/>
      <c r="D294" s="221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</row>
    <row r="295" spans="1:17" ht="19.5" customHeight="1" x14ac:dyDescent="0.2">
      <c r="A295" s="209"/>
      <c r="B295" s="209"/>
      <c r="C295" s="221"/>
      <c r="D295" s="221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</row>
    <row r="296" spans="1:17" ht="19.5" customHeight="1" x14ac:dyDescent="0.2">
      <c r="A296" s="209"/>
      <c r="B296" s="209"/>
      <c r="C296" s="221"/>
      <c r="D296" s="221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</row>
    <row r="297" spans="1:17" ht="19.5" customHeight="1" x14ac:dyDescent="0.2">
      <c r="A297" s="209"/>
      <c r="B297" s="209"/>
      <c r="C297" s="221"/>
      <c r="D297" s="221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</row>
    <row r="298" spans="1:17" ht="19.5" customHeight="1" x14ac:dyDescent="0.2">
      <c r="A298" s="209"/>
      <c r="B298" s="209"/>
      <c r="C298" s="221"/>
      <c r="D298" s="221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</row>
    <row r="299" spans="1:17" ht="19.5" customHeight="1" x14ac:dyDescent="0.2">
      <c r="A299" s="209"/>
      <c r="B299" s="209"/>
      <c r="C299" s="221"/>
      <c r="D299" s="221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</row>
    <row r="300" spans="1:17" ht="19.5" customHeight="1" x14ac:dyDescent="0.2">
      <c r="A300" s="209"/>
      <c r="B300" s="209"/>
      <c r="C300" s="221"/>
      <c r="D300" s="221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</row>
    <row r="301" spans="1:17" ht="19.5" customHeight="1" x14ac:dyDescent="0.2">
      <c r="A301" s="209"/>
      <c r="B301" s="209"/>
      <c r="C301" s="221"/>
      <c r="D301" s="221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</row>
    <row r="302" spans="1:17" ht="19.5" customHeight="1" x14ac:dyDescent="0.2">
      <c r="A302" s="209"/>
      <c r="B302" s="209"/>
      <c r="C302" s="221"/>
      <c r="D302" s="221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</row>
    <row r="303" spans="1:17" ht="19.5" customHeight="1" x14ac:dyDescent="0.2">
      <c r="A303" s="209"/>
      <c r="B303" s="209"/>
      <c r="C303" s="221"/>
      <c r="D303" s="221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</row>
    <row r="304" spans="1:17" ht="19.5" customHeight="1" x14ac:dyDescent="0.2">
      <c r="A304" s="209"/>
      <c r="B304" s="209"/>
      <c r="C304" s="221"/>
      <c r="D304" s="221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</row>
    <row r="305" spans="1:17" ht="19.5" customHeight="1" x14ac:dyDescent="0.2">
      <c r="A305" s="209"/>
      <c r="B305" s="209"/>
      <c r="C305" s="221"/>
      <c r="D305" s="221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</row>
    <row r="306" spans="1:17" ht="19.5" customHeight="1" x14ac:dyDescent="0.2">
      <c r="A306" s="209"/>
      <c r="B306" s="209"/>
      <c r="C306" s="221"/>
      <c r="D306" s="221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</row>
    <row r="307" spans="1:17" ht="19.5" customHeight="1" x14ac:dyDescent="0.2">
      <c r="A307" s="209"/>
      <c r="B307" s="209"/>
      <c r="C307" s="221"/>
      <c r="D307" s="221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</row>
    <row r="308" spans="1:17" ht="19.5" customHeight="1" x14ac:dyDescent="0.2">
      <c r="A308" s="209"/>
      <c r="B308" s="209"/>
      <c r="C308" s="221"/>
      <c r="D308" s="221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</row>
    <row r="309" spans="1:17" ht="19.5" customHeight="1" x14ac:dyDescent="0.2">
      <c r="A309" s="209"/>
      <c r="B309" s="209"/>
      <c r="C309" s="221"/>
      <c r="D309" s="221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</row>
    <row r="310" spans="1:17" ht="19.5" customHeight="1" x14ac:dyDescent="0.2">
      <c r="A310" s="209"/>
      <c r="B310" s="209"/>
      <c r="C310" s="221"/>
      <c r="D310" s="221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</row>
    <row r="311" spans="1:17" ht="19.5" customHeight="1" x14ac:dyDescent="0.2">
      <c r="A311" s="209"/>
      <c r="B311" s="209"/>
      <c r="C311" s="221"/>
      <c r="D311" s="221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</row>
    <row r="312" spans="1:17" ht="19.5" customHeight="1" x14ac:dyDescent="0.2">
      <c r="A312" s="209"/>
      <c r="B312" s="209"/>
      <c r="C312" s="221"/>
      <c r="D312" s="221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</row>
    <row r="313" spans="1:17" ht="19.5" customHeight="1" x14ac:dyDescent="0.2">
      <c r="A313" s="209"/>
      <c r="B313" s="209"/>
      <c r="C313" s="221"/>
      <c r="D313" s="221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</row>
    <row r="314" spans="1:17" ht="19.5" customHeight="1" x14ac:dyDescent="0.2">
      <c r="A314" s="209"/>
      <c r="B314" s="209"/>
      <c r="C314" s="221"/>
      <c r="D314" s="221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</row>
    <row r="315" spans="1:17" ht="19.5" customHeight="1" x14ac:dyDescent="0.2">
      <c r="A315" s="209"/>
      <c r="B315" s="209"/>
      <c r="C315" s="221"/>
      <c r="D315" s="221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</row>
    <row r="316" spans="1:17" ht="19.5" customHeight="1" x14ac:dyDescent="0.2">
      <c r="A316" s="209"/>
      <c r="B316" s="209"/>
      <c r="C316" s="221"/>
      <c r="D316" s="221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</row>
    <row r="317" spans="1:17" ht="19.5" customHeight="1" x14ac:dyDescent="0.2">
      <c r="A317" s="209"/>
      <c r="B317" s="209"/>
      <c r="C317" s="221"/>
      <c r="D317" s="221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</row>
    <row r="318" spans="1:17" ht="19.5" customHeight="1" x14ac:dyDescent="0.2">
      <c r="A318" s="209"/>
      <c r="B318" s="209"/>
      <c r="C318" s="221"/>
      <c r="D318" s="221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</row>
    <row r="319" spans="1:17" ht="19.5" customHeight="1" x14ac:dyDescent="0.2">
      <c r="A319" s="209"/>
      <c r="B319" s="209"/>
      <c r="C319" s="221"/>
      <c r="D319" s="221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</row>
    <row r="320" spans="1:17" ht="19.5" customHeight="1" x14ac:dyDescent="0.2">
      <c r="A320" s="209"/>
      <c r="B320" s="209"/>
      <c r="C320" s="221"/>
      <c r="D320" s="221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</row>
    <row r="321" spans="1:17" ht="19.5" customHeight="1" x14ac:dyDescent="0.2">
      <c r="A321" s="209"/>
      <c r="B321" s="209"/>
      <c r="C321" s="221"/>
      <c r="D321" s="221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</row>
    <row r="322" spans="1:17" ht="19.5" customHeight="1" x14ac:dyDescent="0.2">
      <c r="A322" s="209"/>
      <c r="B322" s="209"/>
      <c r="C322" s="221"/>
      <c r="D322" s="221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</row>
    <row r="323" spans="1:17" ht="19.5" customHeight="1" x14ac:dyDescent="0.2">
      <c r="A323" s="209"/>
      <c r="B323" s="209"/>
      <c r="C323" s="221"/>
      <c r="D323" s="221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</row>
    <row r="324" spans="1:17" ht="19.5" customHeight="1" x14ac:dyDescent="0.2">
      <c r="A324" s="209"/>
      <c r="B324" s="209"/>
      <c r="C324" s="221"/>
      <c r="D324" s="221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</row>
    <row r="325" spans="1:17" ht="19.5" customHeight="1" x14ac:dyDescent="0.2">
      <c r="A325" s="209"/>
      <c r="B325" s="209"/>
      <c r="C325" s="221"/>
      <c r="D325" s="221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</row>
    <row r="326" spans="1:17" ht="19.5" customHeight="1" x14ac:dyDescent="0.2">
      <c r="A326" s="209"/>
      <c r="B326" s="209"/>
      <c r="C326" s="221"/>
      <c r="D326" s="221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</row>
    <row r="327" spans="1:17" ht="19.5" customHeight="1" x14ac:dyDescent="0.2">
      <c r="A327" s="209"/>
      <c r="B327" s="209"/>
      <c r="C327" s="221"/>
      <c r="D327" s="221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</row>
    <row r="328" spans="1:17" ht="19.5" customHeight="1" x14ac:dyDescent="0.2">
      <c r="A328" s="209"/>
      <c r="B328" s="209"/>
      <c r="C328" s="221"/>
      <c r="D328" s="221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</row>
    <row r="329" spans="1:17" ht="19.5" customHeight="1" x14ac:dyDescent="0.2">
      <c r="A329" s="209"/>
      <c r="B329" s="209"/>
      <c r="C329" s="221"/>
      <c r="D329" s="221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</row>
    <row r="330" spans="1:17" ht="19.5" customHeight="1" x14ac:dyDescent="0.2">
      <c r="A330" s="209"/>
      <c r="B330" s="209"/>
      <c r="C330" s="221"/>
      <c r="D330" s="221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</row>
    <row r="331" spans="1:17" ht="19.5" customHeight="1" x14ac:dyDescent="0.2">
      <c r="A331" s="209"/>
      <c r="B331" s="209"/>
      <c r="C331" s="221"/>
      <c r="D331" s="221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</row>
    <row r="332" spans="1:17" ht="19.5" customHeight="1" x14ac:dyDescent="0.2">
      <c r="A332" s="209"/>
      <c r="B332" s="209"/>
      <c r="C332" s="221"/>
      <c r="D332" s="221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</row>
    <row r="333" spans="1:17" ht="19.5" customHeight="1" x14ac:dyDescent="0.2">
      <c r="A333" s="209"/>
      <c r="B333" s="209"/>
      <c r="C333" s="221"/>
      <c r="D333" s="221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</row>
    <row r="334" spans="1:17" ht="19.5" customHeight="1" x14ac:dyDescent="0.2">
      <c r="A334" s="209"/>
      <c r="B334" s="209"/>
      <c r="C334" s="221"/>
      <c r="D334" s="221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</row>
    <row r="335" spans="1:17" ht="19.5" customHeight="1" x14ac:dyDescent="0.2">
      <c r="A335" s="209"/>
      <c r="B335" s="209"/>
      <c r="C335" s="221"/>
      <c r="D335" s="221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</row>
    <row r="336" spans="1:17" ht="19.5" customHeight="1" x14ac:dyDescent="0.2">
      <c r="A336" s="209"/>
      <c r="B336" s="209"/>
      <c r="C336" s="221"/>
      <c r="D336" s="221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</row>
    <row r="337" spans="1:17" ht="19.5" customHeight="1" x14ac:dyDescent="0.2">
      <c r="A337" s="209"/>
      <c r="B337" s="209"/>
      <c r="C337" s="221"/>
      <c r="D337" s="221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</row>
    <row r="338" spans="1:17" ht="19.5" customHeight="1" x14ac:dyDescent="0.2">
      <c r="A338" s="209"/>
      <c r="B338" s="209"/>
      <c r="C338" s="221"/>
      <c r="D338" s="221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</row>
    <row r="339" spans="1:17" ht="19.5" customHeight="1" x14ac:dyDescent="0.2">
      <c r="A339" s="209"/>
      <c r="B339" s="209"/>
      <c r="C339" s="221"/>
      <c r="D339" s="221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</row>
    <row r="340" spans="1:17" ht="19.5" customHeight="1" x14ac:dyDescent="0.2">
      <c r="A340" s="209"/>
      <c r="B340" s="209"/>
      <c r="C340" s="221"/>
      <c r="D340" s="221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</row>
    <row r="341" spans="1:17" ht="19.5" customHeight="1" x14ac:dyDescent="0.2">
      <c r="A341" s="209"/>
      <c r="B341" s="209"/>
      <c r="C341" s="221"/>
      <c r="D341" s="221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</row>
    <row r="342" spans="1:17" ht="19.5" customHeight="1" x14ac:dyDescent="0.2">
      <c r="A342" s="209"/>
      <c r="B342" s="209"/>
      <c r="C342" s="221"/>
      <c r="D342" s="221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</row>
    <row r="343" spans="1:17" ht="19.5" customHeight="1" x14ac:dyDescent="0.2">
      <c r="A343" s="209"/>
      <c r="B343" s="209"/>
      <c r="C343" s="221"/>
      <c r="D343" s="221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</row>
    <row r="344" spans="1:17" ht="19.5" customHeight="1" x14ac:dyDescent="0.2">
      <c r="A344" s="209"/>
      <c r="B344" s="209"/>
      <c r="C344" s="221"/>
      <c r="D344" s="221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</row>
    <row r="345" spans="1:17" ht="19.5" customHeight="1" x14ac:dyDescent="0.2">
      <c r="A345" s="209"/>
      <c r="B345" s="209"/>
      <c r="C345" s="221"/>
      <c r="D345" s="221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</row>
    <row r="346" spans="1:17" ht="19.5" customHeight="1" x14ac:dyDescent="0.2">
      <c r="A346" s="209"/>
      <c r="B346" s="209"/>
      <c r="C346" s="221"/>
      <c r="D346" s="221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</row>
    <row r="347" spans="1:17" ht="19.5" customHeight="1" x14ac:dyDescent="0.2">
      <c r="A347" s="209"/>
      <c r="B347" s="209"/>
      <c r="C347" s="221"/>
      <c r="D347" s="221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</row>
    <row r="348" spans="1:17" ht="19.5" customHeight="1" x14ac:dyDescent="0.2">
      <c r="A348" s="209"/>
      <c r="B348" s="209"/>
      <c r="C348" s="221"/>
      <c r="D348" s="221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</row>
    <row r="349" spans="1:17" ht="19.5" customHeight="1" x14ac:dyDescent="0.2">
      <c r="A349" s="209"/>
      <c r="B349" s="209"/>
      <c r="C349" s="221"/>
      <c r="D349" s="221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</row>
    <row r="350" spans="1:17" ht="19.5" customHeight="1" x14ac:dyDescent="0.2">
      <c r="A350" s="209"/>
      <c r="B350" s="209"/>
      <c r="C350" s="221"/>
      <c r="D350" s="221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</row>
    <row r="351" spans="1:17" ht="19.5" customHeight="1" x14ac:dyDescent="0.2">
      <c r="A351" s="209"/>
      <c r="B351" s="209"/>
      <c r="C351" s="221"/>
      <c r="D351" s="221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</row>
    <row r="352" spans="1:17" ht="19.5" customHeight="1" x14ac:dyDescent="0.2">
      <c r="A352" s="209"/>
      <c r="B352" s="209"/>
      <c r="C352" s="221"/>
      <c r="D352" s="221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</row>
    <row r="353" spans="1:17" ht="19.5" customHeight="1" x14ac:dyDescent="0.2">
      <c r="A353" s="209"/>
      <c r="B353" s="209"/>
      <c r="C353" s="221"/>
      <c r="D353" s="221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</row>
    <row r="354" spans="1:17" ht="19.5" customHeight="1" x14ac:dyDescent="0.2">
      <c r="A354" s="209"/>
      <c r="B354" s="209"/>
      <c r="C354" s="221"/>
      <c r="D354" s="221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</row>
    <row r="355" spans="1:17" ht="19.5" customHeight="1" x14ac:dyDescent="0.2">
      <c r="A355" s="209"/>
      <c r="B355" s="209"/>
      <c r="C355" s="221"/>
      <c r="D355" s="221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</row>
    <row r="356" spans="1:17" ht="19.5" customHeight="1" x14ac:dyDescent="0.2">
      <c r="A356" s="209"/>
      <c r="B356" s="209"/>
      <c r="C356" s="221"/>
      <c r="D356" s="221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</row>
    <row r="357" spans="1:17" ht="19.5" customHeight="1" x14ac:dyDescent="0.2">
      <c r="A357" s="209"/>
      <c r="B357" s="209"/>
      <c r="C357" s="221"/>
      <c r="D357" s="221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</row>
    <row r="358" spans="1:17" ht="19.5" customHeight="1" x14ac:dyDescent="0.2">
      <c r="A358" s="209"/>
      <c r="B358" s="209"/>
      <c r="C358" s="221"/>
      <c r="D358" s="221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</row>
    <row r="359" spans="1:17" ht="19.5" customHeight="1" x14ac:dyDescent="0.2">
      <c r="A359" s="209"/>
      <c r="B359" s="209"/>
      <c r="C359" s="221"/>
      <c r="D359" s="221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</row>
    <row r="360" spans="1:17" ht="19.5" customHeight="1" x14ac:dyDescent="0.2">
      <c r="A360" s="209"/>
      <c r="B360" s="209"/>
      <c r="C360" s="221"/>
      <c r="D360" s="221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</row>
    <row r="361" spans="1:17" ht="19.5" customHeight="1" x14ac:dyDescent="0.2">
      <c r="A361" s="209"/>
      <c r="B361" s="209"/>
      <c r="C361" s="221"/>
      <c r="D361" s="221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</row>
    <row r="362" spans="1:17" ht="19.5" customHeight="1" x14ac:dyDescent="0.2">
      <c r="A362" s="209"/>
      <c r="B362" s="209"/>
      <c r="C362" s="221"/>
      <c r="D362" s="221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</row>
    <row r="363" spans="1:17" ht="19.5" customHeight="1" x14ac:dyDescent="0.2">
      <c r="A363" s="209"/>
      <c r="B363" s="209"/>
      <c r="C363" s="221"/>
      <c r="D363" s="221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</row>
    <row r="364" spans="1:17" ht="19.5" customHeight="1" x14ac:dyDescent="0.2">
      <c r="A364" s="209"/>
      <c r="B364" s="209"/>
      <c r="C364" s="221"/>
      <c r="D364" s="221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</row>
    <row r="365" spans="1:17" ht="19.5" customHeight="1" x14ac:dyDescent="0.2">
      <c r="A365" s="209"/>
      <c r="B365" s="209"/>
      <c r="C365" s="221"/>
      <c r="D365" s="221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</row>
    <row r="366" spans="1:17" ht="19.5" customHeight="1" x14ac:dyDescent="0.2">
      <c r="A366" s="209"/>
      <c r="B366" s="209"/>
      <c r="C366" s="221"/>
      <c r="D366" s="221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</row>
    <row r="367" spans="1:17" ht="19.5" customHeight="1" x14ac:dyDescent="0.2">
      <c r="A367" s="209"/>
      <c r="B367" s="209"/>
      <c r="C367" s="221"/>
      <c r="D367" s="221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</row>
    <row r="368" spans="1:17" ht="19.5" customHeight="1" x14ac:dyDescent="0.2">
      <c r="A368" s="209"/>
      <c r="B368" s="209"/>
      <c r="C368" s="221"/>
      <c r="D368" s="221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</row>
    <row r="369" spans="1:17" ht="19.5" customHeight="1" x14ac:dyDescent="0.2">
      <c r="A369" s="209"/>
      <c r="B369" s="209"/>
      <c r="C369" s="221"/>
      <c r="D369" s="221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</row>
    <row r="370" spans="1:17" ht="19.5" customHeight="1" x14ac:dyDescent="0.2">
      <c r="A370" s="209"/>
      <c r="B370" s="209"/>
      <c r="C370" s="221"/>
      <c r="D370" s="221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</row>
    <row r="371" spans="1:17" ht="19.5" customHeight="1" x14ac:dyDescent="0.2">
      <c r="A371" s="209"/>
      <c r="B371" s="209"/>
      <c r="C371" s="221"/>
      <c r="D371" s="221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</row>
    <row r="372" spans="1:17" ht="19.5" customHeight="1" x14ac:dyDescent="0.2">
      <c r="A372" s="209"/>
      <c r="B372" s="209"/>
      <c r="C372" s="221"/>
      <c r="D372" s="221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</row>
    <row r="373" spans="1:17" ht="19.5" customHeight="1" x14ac:dyDescent="0.2">
      <c r="A373" s="209"/>
      <c r="B373" s="209"/>
      <c r="C373" s="221"/>
      <c r="D373" s="221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</row>
    <row r="374" spans="1:17" ht="19.5" customHeight="1" x14ac:dyDescent="0.2">
      <c r="A374" s="209"/>
      <c r="B374" s="209"/>
      <c r="C374" s="221"/>
      <c r="D374" s="221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</row>
    <row r="375" spans="1:17" ht="19.5" customHeight="1" x14ac:dyDescent="0.2">
      <c r="A375" s="209"/>
      <c r="B375" s="209"/>
      <c r="C375" s="221"/>
      <c r="D375" s="221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</row>
    <row r="376" spans="1:17" ht="19.5" customHeight="1" x14ac:dyDescent="0.2">
      <c r="A376" s="209"/>
      <c r="B376" s="209"/>
      <c r="C376" s="221"/>
      <c r="D376" s="221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</row>
    <row r="377" spans="1:17" ht="19.5" customHeight="1" x14ac:dyDescent="0.2">
      <c r="A377" s="209"/>
      <c r="B377" s="209"/>
      <c r="C377" s="221"/>
      <c r="D377" s="221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</row>
    <row r="378" spans="1:17" ht="19.5" customHeight="1" x14ac:dyDescent="0.2">
      <c r="A378" s="209"/>
      <c r="B378" s="209"/>
      <c r="C378" s="221"/>
      <c r="D378" s="221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</row>
    <row r="379" spans="1:17" ht="19.5" customHeight="1" x14ac:dyDescent="0.2">
      <c r="A379" s="209"/>
      <c r="B379" s="209"/>
      <c r="C379" s="221"/>
      <c r="D379" s="221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</row>
    <row r="380" spans="1:17" ht="19.5" customHeight="1" x14ac:dyDescent="0.2">
      <c r="A380" s="209"/>
      <c r="B380" s="209"/>
      <c r="C380" s="221"/>
      <c r="D380" s="221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</row>
    <row r="381" spans="1:17" ht="19.5" customHeight="1" x14ac:dyDescent="0.2">
      <c r="A381" s="209"/>
      <c r="B381" s="209"/>
      <c r="C381" s="221"/>
      <c r="D381" s="221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</row>
    <row r="382" spans="1:17" ht="19.5" customHeight="1" x14ac:dyDescent="0.2">
      <c r="A382" s="209"/>
      <c r="B382" s="209"/>
      <c r="C382" s="221"/>
      <c r="D382" s="221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</row>
    <row r="383" spans="1:17" ht="19.5" customHeight="1" x14ac:dyDescent="0.2">
      <c r="A383" s="209"/>
      <c r="B383" s="209"/>
      <c r="C383" s="221"/>
      <c r="D383" s="221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</row>
    <row r="384" spans="1:17" ht="19.5" customHeight="1" x14ac:dyDescent="0.2">
      <c r="A384" s="209"/>
      <c r="B384" s="209"/>
      <c r="C384" s="221"/>
      <c r="D384" s="221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</row>
    <row r="385" spans="1:17" ht="19.5" customHeight="1" x14ac:dyDescent="0.2">
      <c r="A385" s="209"/>
      <c r="B385" s="209"/>
      <c r="C385" s="221"/>
      <c r="D385" s="221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</row>
    <row r="386" spans="1:17" ht="19.5" customHeight="1" x14ac:dyDescent="0.2">
      <c r="A386" s="209"/>
      <c r="B386" s="209"/>
      <c r="C386" s="221"/>
      <c r="D386" s="221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</row>
    <row r="387" spans="1:17" ht="19.5" customHeight="1" x14ac:dyDescent="0.2">
      <c r="A387" s="209"/>
      <c r="B387" s="209"/>
      <c r="C387" s="221"/>
      <c r="D387" s="221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</row>
    <row r="388" spans="1:17" ht="19.5" customHeight="1" x14ac:dyDescent="0.2">
      <c r="A388" s="209"/>
      <c r="B388" s="209"/>
      <c r="C388" s="221"/>
      <c r="D388" s="221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</row>
    <row r="389" spans="1:17" ht="19.5" customHeight="1" x14ac:dyDescent="0.2">
      <c r="A389" s="209"/>
      <c r="B389" s="209"/>
      <c r="C389" s="221"/>
      <c r="D389" s="221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</row>
    <row r="390" spans="1:17" ht="19.5" customHeight="1" x14ac:dyDescent="0.2">
      <c r="A390" s="209"/>
      <c r="B390" s="209"/>
      <c r="C390" s="221"/>
      <c r="D390" s="221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</row>
    <row r="391" spans="1:17" ht="19.5" customHeight="1" x14ac:dyDescent="0.2">
      <c r="A391" s="209"/>
      <c r="B391" s="209"/>
      <c r="C391" s="221"/>
      <c r="D391" s="221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</row>
    <row r="392" spans="1:17" ht="19.5" customHeight="1" x14ac:dyDescent="0.2">
      <c r="A392" s="209"/>
      <c r="B392" s="209"/>
      <c r="C392" s="221"/>
      <c r="D392" s="221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</row>
    <row r="393" spans="1:17" ht="19.5" customHeight="1" x14ac:dyDescent="0.2">
      <c r="A393" s="209"/>
      <c r="B393" s="209"/>
      <c r="C393" s="221"/>
      <c r="D393" s="221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</row>
    <row r="394" spans="1:17" ht="19.5" customHeight="1" x14ac:dyDescent="0.2">
      <c r="A394" s="209"/>
      <c r="B394" s="209"/>
      <c r="C394" s="221"/>
      <c r="D394" s="221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</row>
    <row r="395" spans="1:17" ht="19.5" customHeight="1" x14ac:dyDescent="0.2">
      <c r="A395" s="209"/>
      <c r="B395" s="209"/>
      <c r="C395" s="221"/>
      <c r="D395" s="221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</row>
    <row r="396" spans="1:17" ht="19.5" customHeight="1" x14ac:dyDescent="0.2">
      <c r="A396" s="209"/>
      <c r="B396" s="209"/>
      <c r="C396" s="221"/>
      <c r="D396" s="221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</row>
    <row r="397" spans="1:17" ht="19.5" customHeight="1" x14ac:dyDescent="0.2">
      <c r="A397" s="209"/>
      <c r="B397" s="209"/>
      <c r="C397" s="221"/>
      <c r="D397" s="221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</row>
    <row r="398" spans="1:17" ht="19.5" customHeight="1" x14ac:dyDescent="0.2">
      <c r="A398" s="209"/>
      <c r="B398" s="209"/>
      <c r="C398" s="221"/>
      <c r="D398" s="221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</row>
    <row r="399" spans="1:17" ht="19.5" customHeight="1" x14ac:dyDescent="0.2">
      <c r="A399" s="209"/>
      <c r="B399" s="209"/>
      <c r="C399" s="221"/>
      <c r="D399" s="221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</row>
    <row r="400" spans="1:17" ht="19.5" customHeight="1" x14ac:dyDescent="0.2">
      <c r="A400" s="209"/>
      <c r="B400" s="209"/>
      <c r="C400" s="221"/>
      <c r="D400" s="221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</row>
    <row r="401" spans="1:17" ht="19.5" customHeight="1" x14ac:dyDescent="0.2">
      <c r="A401" s="209"/>
      <c r="B401" s="209"/>
      <c r="C401" s="221"/>
      <c r="D401" s="221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</row>
    <row r="402" spans="1:17" ht="19.5" customHeight="1" x14ac:dyDescent="0.2">
      <c r="A402" s="209"/>
      <c r="B402" s="209"/>
      <c r="C402" s="221"/>
      <c r="D402" s="221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</row>
    <row r="403" spans="1:17" ht="19.5" customHeight="1" x14ac:dyDescent="0.2">
      <c r="A403" s="209"/>
      <c r="B403" s="209"/>
      <c r="C403" s="221"/>
      <c r="D403" s="221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</row>
    <row r="404" spans="1:17" ht="19.5" customHeight="1" x14ac:dyDescent="0.2">
      <c r="A404" s="209"/>
      <c r="B404" s="209"/>
      <c r="C404" s="221"/>
      <c r="D404" s="221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</row>
    <row r="405" spans="1:17" ht="19.5" customHeight="1" x14ac:dyDescent="0.2">
      <c r="A405" s="209"/>
      <c r="B405" s="209"/>
      <c r="C405" s="221"/>
      <c r="D405" s="221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</row>
    <row r="406" spans="1:17" ht="19.5" customHeight="1" x14ac:dyDescent="0.2">
      <c r="A406" s="209"/>
      <c r="B406" s="209"/>
      <c r="C406" s="221"/>
      <c r="D406" s="221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</row>
    <row r="407" spans="1:17" ht="19.5" customHeight="1" x14ac:dyDescent="0.2">
      <c r="A407" s="209"/>
      <c r="B407" s="209"/>
      <c r="C407" s="221"/>
      <c r="D407" s="221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</row>
    <row r="408" spans="1:17" ht="19.5" customHeight="1" x14ac:dyDescent="0.2">
      <c r="A408" s="209"/>
      <c r="B408" s="209"/>
      <c r="C408" s="221"/>
      <c r="D408" s="221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</row>
    <row r="409" spans="1:17" ht="19.5" customHeight="1" x14ac:dyDescent="0.2">
      <c r="A409" s="209"/>
      <c r="B409" s="209"/>
      <c r="C409" s="221"/>
      <c r="D409" s="221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</row>
    <row r="410" spans="1:17" ht="19.5" customHeight="1" x14ac:dyDescent="0.2">
      <c r="A410" s="209"/>
      <c r="B410" s="209"/>
      <c r="C410" s="221"/>
      <c r="D410" s="221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</row>
    <row r="411" spans="1:17" ht="19.5" customHeight="1" x14ac:dyDescent="0.2">
      <c r="A411" s="209"/>
      <c r="B411" s="209"/>
      <c r="C411" s="221"/>
      <c r="D411" s="221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</row>
    <row r="412" spans="1:17" ht="19.5" customHeight="1" x14ac:dyDescent="0.2">
      <c r="A412" s="209"/>
      <c r="B412" s="209"/>
      <c r="C412" s="221"/>
      <c r="D412" s="221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</row>
    <row r="413" spans="1:17" ht="19.5" customHeight="1" x14ac:dyDescent="0.2">
      <c r="A413" s="209"/>
      <c r="B413" s="209"/>
      <c r="C413" s="221"/>
      <c r="D413" s="221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</row>
    <row r="414" spans="1:17" ht="19.5" customHeight="1" x14ac:dyDescent="0.2">
      <c r="A414" s="209"/>
      <c r="B414" s="209"/>
      <c r="C414" s="221"/>
      <c r="D414" s="221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</row>
    <row r="415" spans="1:17" ht="19.5" customHeight="1" x14ac:dyDescent="0.2">
      <c r="A415" s="209"/>
      <c r="B415" s="209"/>
      <c r="C415" s="221"/>
      <c r="D415" s="221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</row>
    <row r="416" spans="1:17" ht="19.5" customHeight="1" x14ac:dyDescent="0.2">
      <c r="A416" s="209"/>
      <c r="B416" s="209"/>
      <c r="C416" s="221"/>
      <c r="D416" s="221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</row>
    <row r="417" spans="1:17" ht="19.5" customHeight="1" x14ac:dyDescent="0.2">
      <c r="A417" s="209"/>
      <c r="B417" s="209"/>
      <c r="C417" s="221"/>
      <c r="D417" s="221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</row>
    <row r="418" spans="1:17" ht="19.5" customHeight="1" x14ac:dyDescent="0.2">
      <c r="A418" s="209"/>
      <c r="B418" s="209"/>
      <c r="C418" s="221"/>
      <c r="D418" s="221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</row>
    <row r="419" spans="1:17" ht="19.5" customHeight="1" x14ac:dyDescent="0.2">
      <c r="A419" s="209"/>
      <c r="B419" s="209"/>
      <c r="C419" s="221"/>
      <c r="D419" s="221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</row>
    <row r="420" spans="1:17" ht="19.5" customHeight="1" x14ac:dyDescent="0.2">
      <c r="A420" s="209"/>
      <c r="B420" s="209"/>
      <c r="C420" s="221"/>
      <c r="D420" s="221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</row>
    <row r="421" spans="1:17" ht="19.5" customHeight="1" x14ac:dyDescent="0.2">
      <c r="A421" s="209"/>
      <c r="B421" s="209"/>
      <c r="C421" s="221"/>
      <c r="D421" s="221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</row>
    <row r="422" spans="1:17" ht="19.5" customHeight="1" x14ac:dyDescent="0.2">
      <c r="A422" s="209"/>
      <c r="B422" s="209"/>
      <c r="C422" s="221"/>
      <c r="D422" s="221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</row>
    <row r="423" spans="1:17" ht="19.5" customHeight="1" x14ac:dyDescent="0.2">
      <c r="A423" s="209"/>
      <c r="B423" s="209"/>
      <c r="C423" s="221"/>
      <c r="D423" s="221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</row>
    <row r="424" spans="1:17" ht="19.5" customHeight="1" x14ac:dyDescent="0.2">
      <c r="A424" s="209"/>
      <c r="B424" s="209"/>
      <c r="C424" s="221"/>
      <c r="D424" s="221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</row>
    <row r="425" spans="1:17" ht="19.5" customHeight="1" x14ac:dyDescent="0.2">
      <c r="A425" s="209"/>
      <c r="B425" s="209"/>
      <c r="C425" s="221"/>
      <c r="D425" s="221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</row>
    <row r="426" spans="1:17" ht="19.5" customHeight="1" x14ac:dyDescent="0.2">
      <c r="A426" s="209"/>
      <c r="B426" s="209"/>
      <c r="C426" s="221"/>
      <c r="D426" s="221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</row>
    <row r="427" spans="1:17" ht="19.5" customHeight="1" x14ac:dyDescent="0.2">
      <c r="A427" s="209"/>
      <c r="B427" s="209"/>
      <c r="C427" s="221"/>
      <c r="D427" s="221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</row>
    <row r="428" spans="1:17" ht="19.5" customHeight="1" x14ac:dyDescent="0.2">
      <c r="A428" s="209"/>
      <c r="B428" s="209"/>
      <c r="C428" s="221"/>
      <c r="D428" s="221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</row>
    <row r="429" spans="1:17" ht="19.5" customHeight="1" x14ac:dyDescent="0.2">
      <c r="A429" s="209"/>
      <c r="B429" s="209"/>
      <c r="C429" s="221"/>
      <c r="D429" s="221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</row>
    <row r="430" spans="1:17" ht="19.5" customHeight="1" x14ac:dyDescent="0.2">
      <c r="A430" s="209"/>
      <c r="B430" s="209"/>
      <c r="C430" s="221"/>
      <c r="D430" s="221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</row>
    <row r="431" spans="1:17" ht="19.5" customHeight="1" x14ac:dyDescent="0.2">
      <c r="A431" s="209"/>
      <c r="B431" s="209"/>
      <c r="C431" s="221"/>
      <c r="D431" s="221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</row>
    <row r="432" spans="1:17" ht="19.5" customHeight="1" x14ac:dyDescent="0.2">
      <c r="A432" s="209"/>
      <c r="B432" s="209"/>
      <c r="C432" s="221"/>
      <c r="D432" s="221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</row>
    <row r="433" spans="1:17" ht="19.5" customHeight="1" x14ac:dyDescent="0.2">
      <c r="A433" s="209"/>
      <c r="B433" s="209"/>
      <c r="C433" s="221"/>
      <c r="D433" s="221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</row>
    <row r="434" spans="1:17" ht="19.5" customHeight="1" x14ac:dyDescent="0.2">
      <c r="A434" s="209"/>
      <c r="B434" s="209"/>
      <c r="C434" s="221"/>
      <c r="D434" s="221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</row>
    <row r="435" spans="1:17" ht="19.5" customHeight="1" x14ac:dyDescent="0.2">
      <c r="A435" s="209"/>
      <c r="B435" s="209"/>
      <c r="C435" s="221"/>
      <c r="D435" s="221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</row>
    <row r="436" spans="1:17" ht="19.5" customHeight="1" x14ac:dyDescent="0.2">
      <c r="A436" s="209"/>
      <c r="B436" s="209"/>
      <c r="C436" s="221"/>
      <c r="D436" s="221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</row>
    <row r="437" spans="1:17" ht="19.5" customHeight="1" x14ac:dyDescent="0.2">
      <c r="A437" s="209"/>
      <c r="B437" s="209"/>
      <c r="C437" s="221"/>
      <c r="D437" s="221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</row>
    <row r="438" spans="1:17" ht="19.5" customHeight="1" x14ac:dyDescent="0.2">
      <c r="A438" s="209"/>
      <c r="B438" s="209"/>
      <c r="C438" s="221"/>
      <c r="D438" s="221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</row>
    <row r="439" spans="1:17" ht="19.5" customHeight="1" x14ac:dyDescent="0.2">
      <c r="A439" s="209"/>
      <c r="B439" s="209"/>
      <c r="C439" s="221"/>
      <c r="D439" s="221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</row>
    <row r="440" spans="1:17" ht="19.5" customHeight="1" x14ac:dyDescent="0.2">
      <c r="A440" s="209"/>
      <c r="B440" s="209"/>
      <c r="C440" s="221"/>
      <c r="D440" s="221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</row>
    <row r="441" spans="1:17" ht="19.5" customHeight="1" x14ac:dyDescent="0.2">
      <c r="A441" s="209"/>
      <c r="B441" s="209"/>
      <c r="C441" s="221"/>
      <c r="D441" s="221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</row>
    <row r="442" spans="1:17" ht="19.5" customHeight="1" x14ac:dyDescent="0.2">
      <c r="A442" s="209"/>
      <c r="B442" s="209"/>
      <c r="C442" s="221"/>
      <c r="D442" s="221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</row>
    <row r="443" spans="1:17" ht="19.5" customHeight="1" x14ac:dyDescent="0.2">
      <c r="A443" s="209"/>
      <c r="B443" s="209"/>
      <c r="C443" s="221"/>
      <c r="D443" s="221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</row>
    <row r="444" spans="1:17" ht="19.5" customHeight="1" x14ac:dyDescent="0.2">
      <c r="A444" s="209"/>
      <c r="B444" s="209"/>
      <c r="C444" s="221"/>
      <c r="D444" s="221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</row>
    <row r="445" spans="1:17" ht="19.5" customHeight="1" x14ac:dyDescent="0.2">
      <c r="A445" s="209"/>
      <c r="B445" s="209"/>
      <c r="C445" s="221"/>
      <c r="D445" s="221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</row>
    <row r="446" spans="1:17" ht="19.5" customHeight="1" x14ac:dyDescent="0.2">
      <c r="A446" s="209"/>
      <c r="B446" s="209"/>
      <c r="C446" s="221"/>
      <c r="D446" s="221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</row>
    <row r="447" spans="1:17" ht="19.5" customHeight="1" x14ac:dyDescent="0.2">
      <c r="A447" s="209"/>
      <c r="B447" s="209"/>
      <c r="C447" s="221"/>
      <c r="D447" s="221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</row>
    <row r="448" spans="1:17" ht="19.5" customHeight="1" x14ac:dyDescent="0.2">
      <c r="A448" s="209"/>
      <c r="B448" s="209"/>
      <c r="C448" s="221"/>
      <c r="D448" s="221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</row>
    <row r="449" spans="1:17" ht="19.5" customHeight="1" x14ac:dyDescent="0.2">
      <c r="A449" s="209"/>
      <c r="B449" s="209"/>
      <c r="C449" s="221"/>
      <c r="D449" s="221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</row>
    <row r="450" spans="1:17" ht="19.5" customHeight="1" x14ac:dyDescent="0.2">
      <c r="A450" s="209"/>
      <c r="B450" s="209"/>
      <c r="C450" s="221"/>
      <c r="D450" s="221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</row>
    <row r="451" spans="1:17" ht="19.5" customHeight="1" x14ac:dyDescent="0.2">
      <c r="A451" s="209"/>
      <c r="B451" s="209"/>
      <c r="C451" s="221"/>
      <c r="D451" s="221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</row>
    <row r="452" spans="1:17" ht="19.5" customHeight="1" x14ac:dyDescent="0.2">
      <c r="A452" s="209"/>
      <c r="B452" s="209"/>
      <c r="C452" s="221"/>
      <c r="D452" s="221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</row>
    <row r="453" spans="1:17" ht="19.5" customHeight="1" x14ac:dyDescent="0.2">
      <c r="A453" s="209"/>
      <c r="B453" s="209"/>
      <c r="C453" s="221"/>
      <c r="D453" s="221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</row>
    <row r="454" spans="1:17" ht="19.5" customHeight="1" x14ac:dyDescent="0.2">
      <c r="A454" s="209"/>
      <c r="B454" s="209"/>
      <c r="C454" s="221"/>
      <c r="D454" s="221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</row>
    <row r="455" spans="1:17" ht="19.5" customHeight="1" x14ac:dyDescent="0.2">
      <c r="A455" s="209"/>
      <c r="B455" s="209"/>
      <c r="C455" s="221"/>
      <c r="D455" s="221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</row>
    <row r="456" spans="1:17" ht="19.5" customHeight="1" x14ac:dyDescent="0.2">
      <c r="A456" s="209"/>
      <c r="B456" s="209"/>
      <c r="C456" s="221"/>
      <c r="D456" s="221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</row>
    <row r="457" spans="1:17" ht="19.5" customHeight="1" x14ac:dyDescent="0.2">
      <c r="A457" s="209"/>
      <c r="B457" s="209"/>
      <c r="C457" s="221"/>
      <c r="D457" s="221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</row>
    <row r="458" spans="1:17" ht="19.5" customHeight="1" x14ac:dyDescent="0.2">
      <c r="A458" s="209"/>
      <c r="B458" s="209"/>
      <c r="C458" s="221"/>
      <c r="D458" s="221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</row>
    <row r="459" spans="1:17" ht="19.5" customHeight="1" x14ac:dyDescent="0.2">
      <c r="A459" s="209"/>
      <c r="B459" s="209"/>
      <c r="C459" s="221"/>
      <c r="D459" s="221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</row>
    <row r="460" spans="1:17" ht="19.5" customHeight="1" x14ac:dyDescent="0.2">
      <c r="A460" s="209"/>
      <c r="B460" s="209"/>
      <c r="C460" s="221"/>
      <c r="D460" s="221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</row>
    <row r="461" spans="1:17" ht="19.5" customHeight="1" x14ac:dyDescent="0.2">
      <c r="A461" s="209"/>
      <c r="B461" s="209"/>
      <c r="C461" s="221"/>
      <c r="D461" s="221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</row>
    <row r="462" spans="1:17" ht="19.5" customHeight="1" x14ac:dyDescent="0.2">
      <c r="A462" s="209"/>
      <c r="B462" s="209"/>
      <c r="C462" s="221"/>
      <c r="D462" s="221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</row>
    <row r="463" spans="1:17" ht="19.5" customHeight="1" x14ac:dyDescent="0.2">
      <c r="A463" s="209"/>
      <c r="B463" s="209"/>
      <c r="C463" s="221"/>
      <c r="D463" s="221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</row>
    <row r="464" spans="1:17" ht="19.5" customHeight="1" x14ac:dyDescent="0.2">
      <c r="A464" s="209"/>
      <c r="B464" s="209"/>
      <c r="C464" s="221"/>
      <c r="D464" s="221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</row>
    <row r="465" spans="1:17" ht="19.5" customHeight="1" x14ac:dyDescent="0.2">
      <c r="A465" s="209"/>
      <c r="B465" s="209"/>
      <c r="C465" s="221"/>
      <c r="D465" s="221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</row>
    <row r="466" spans="1:17" ht="19.5" customHeight="1" x14ac:dyDescent="0.2">
      <c r="A466" s="209"/>
      <c r="B466" s="209"/>
      <c r="C466" s="221"/>
      <c r="D466" s="221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</row>
    <row r="467" spans="1:17" ht="19.5" customHeight="1" x14ac:dyDescent="0.2">
      <c r="A467" s="209"/>
      <c r="B467" s="209"/>
      <c r="C467" s="221"/>
      <c r="D467" s="221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</row>
    <row r="468" spans="1:17" ht="19.5" customHeight="1" x14ac:dyDescent="0.2">
      <c r="A468" s="209"/>
      <c r="B468" s="209"/>
      <c r="C468" s="221"/>
      <c r="D468" s="221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</row>
    <row r="469" spans="1:17" ht="19.5" customHeight="1" x14ac:dyDescent="0.2">
      <c r="A469" s="209"/>
      <c r="B469" s="209"/>
      <c r="C469" s="221"/>
      <c r="D469" s="221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</row>
    <row r="470" spans="1:17" ht="19.5" customHeight="1" x14ac:dyDescent="0.2">
      <c r="A470" s="209"/>
      <c r="B470" s="209"/>
      <c r="C470" s="221"/>
      <c r="D470" s="221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</row>
    <row r="471" spans="1:17" ht="19.5" customHeight="1" x14ac:dyDescent="0.2">
      <c r="A471" s="209"/>
      <c r="B471" s="209"/>
      <c r="C471" s="221"/>
      <c r="D471" s="221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</row>
    <row r="472" spans="1:17" ht="19.5" customHeight="1" x14ac:dyDescent="0.2">
      <c r="A472" s="209"/>
      <c r="B472" s="209"/>
      <c r="C472" s="221"/>
      <c r="D472" s="221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</row>
    <row r="473" spans="1:17" ht="19.5" customHeight="1" x14ac:dyDescent="0.2">
      <c r="A473" s="209"/>
      <c r="B473" s="209"/>
      <c r="C473" s="221"/>
      <c r="D473" s="221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</row>
    <row r="474" spans="1:17" ht="19.5" customHeight="1" x14ac:dyDescent="0.2">
      <c r="A474" s="209"/>
      <c r="B474" s="209"/>
      <c r="C474" s="221"/>
      <c r="D474" s="221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</row>
    <row r="475" spans="1:17" ht="19.5" customHeight="1" x14ac:dyDescent="0.2">
      <c r="A475" s="209"/>
      <c r="B475" s="209"/>
      <c r="C475" s="221"/>
      <c r="D475" s="221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</row>
    <row r="476" spans="1:17" ht="19.5" customHeight="1" x14ac:dyDescent="0.2">
      <c r="A476" s="209"/>
      <c r="B476" s="209"/>
      <c r="C476" s="221"/>
      <c r="D476" s="221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</row>
    <row r="477" spans="1:17" ht="19.5" customHeight="1" x14ac:dyDescent="0.2">
      <c r="A477" s="209"/>
      <c r="B477" s="209"/>
      <c r="C477" s="221"/>
      <c r="D477" s="221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</row>
    <row r="478" spans="1:17" ht="19.5" customHeight="1" x14ac:dyDescent="0.2">
      <c r="A478" s="209"/>
      <c r="B478" s="209"/>
      <c r="C478" s="221"/>
      <c r="D478" s="221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</row>
    <row r="479" spans="1:17" ht="19.5" customHeight="1" x14ac:dyDescent="0.2">
      <c r="A479" s="209"/>
      <c r="B479" s="209"/>
      <c r="C479" s="221"/>
      <c r="D479" s="221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</row>
    <row r="480" spans="1:17" ht="19.5" customHeight="1" x14ac:dyDescent="0.2">
      <c r="A480" s="209"/>
      <c r="B480" s="209"/>
      <c r="C480" s="221"/>
      <c r="D480" s="221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</row>
    <row r="481" spans="1:17" ht="19.5" customHeight="1" x14ac:dyDescent="0.2">
      <c r="A481" s="209"/>
      <c r="B481" s="209"/>
      <c r="C481" s="221"/>
      <c r="D481" s="221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</row>
    <row r="482" spans="1:17" ht="19.5" customHeight="1" x14ac:dyDescent="0.2">
      <c r="A482" s="209"/>
      <c r="B482" s="209"/>
      <c r="C482" s="221"/>
      <c r="D482" s="221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</row>
    <row r="483" spans="1:17" ht="19.5" customHeight="1" x14ac:dyDescent="0.2">
      <c r="A483" s="209"/>
      <c r="B483" s="209"/>
      <c r="C483" s="221"/>
      <c r="D483" s="221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</row>
    <row r="484" spans="1:17" ht="19.5" customHeight="1" x14ac:dyDescent="0.2">
      <c r="A484" s="209"/>
      <c r="B484" s="209"/>
      <c r="C484" s="221"/>
      <c r="D484" s="221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</row>
    <row r="485" spans="1:17" ht="19.5" customHeight="1" x14ac:dyDescent="0.2">
      <c r="A485" s="209"/>
      <c r="B485" s="209"/>
      <c r="C485" s="221"/>
      <c r="D485" s="221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</row>
    <row r="486" spans="1:17" ht="19.5" customHeight="1" x14ac:dyDescent="0.2">
      <c r="A486" s="209"/>
      <c r="B486" s="209"/>
      <c r="C486" s="221"/>
      <c r="D486" s="221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</row>
    <row r="487" spans="1:17" ht="19.5" customHeight="1" x14ac:dyDescent="0.2">
      <c r="A487" s="209"/>
      <c r="B487" s="209"/>
      <c r="C487" s="221"/>
      <c r="D487" s="221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</row>
    <row r="488" spans="1:17" ht="19.5" customHeight="1" x14ac:dyDescent="0.2">
      <c r="A488" s="209"/>
      <c r="B488" s="209"/>
      <c r="C488" s="221"/>
      <c r="D488" s="221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</row>
    <row r="489" spans="1:17" ht="19.5" customHeight="1" x14ac:dyDescent="0.2">
      <c r="A489" s="209"/>
      <c r="B489" s="209"/>
      <c r="C489" s="221"/>
      <c r="D489" s="221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</row>
    <row r="490" spans="1:17" ht="19.5" customHeight="1" x14ac:dyDescent="0.2">
      <c r="A490" s="209"/>
      <c r="B490" s="209"/>
      <c r="C490" s="221"/>
      <c r="D490" s="221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</row>
    <row r="491" spans="1:17" ht="19.5" customHeight="1" x14ac:dyDescent="0.2">
      <c r="A491" s="209"/>
      <c r="B491" s="209"/>
      <c r="C491" s="221"/>
      <c r="D491" s="221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</row>
    <row r="492" spans="1:17" ht="19.5" customHeight="1" x14ac:dyDescent="0.2">
      <c r="A492" s="209"/>
      <c r="B492" s="209"/>
      <c r="C492" s="221"/>
      <c r="D492" s="221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</row>
    <row r="493" spans="1:17" ht="19.5" customHeight="1" x14ac:dyDescent="0.2">
      <c r="A493" s="209"/>
      <c r="B493" s="209"/>
      <c r="C493" s="221"/>
      <c r="D493" s="221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</row>
    <row r="494" spans="1:17" ht="19.5" customHeight="1" x14ac:dyDescent="0.2">
      <c r="A494" s="209"/>
      <c r="B494" s="209"/>
      <c r="C494" s="221"/>
      <c r="D494" s="221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</row>
    <row r="495" spans="1:17" ht="19.5" customHeight="1" x14ac:dyDescent="0.2">
      <c r="A495" s="209"/>
      <c r="B495" s="209"/>
      <c r="C495" s="221"/>
      <c r="D495" s="221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</row>
    <row r="496" spans="1:17" ht="19.5" customHeight="1" x14ac:dyDescent="0.2">
      <c r="A496" s="209"/>
      <c r="B496" s="209"/>
      <c r="C496" s="221"/>
      <c r="D496" s="221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</row>
    <row r="497" spans="1:17" ht="19.5" customHeight="1" x14ac:dyDescent="0.2">
      <c r="A497" s="209"/>
      <c r="B497" s="209"/>
      <c r="C497" s="221"/>
      <c r="D497" s="221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</row>
    <row r="498" spans="1:17" ht="19.5" customHeight="1" x14ac:dyDescent="0.2">
      <c r="A498" s="209"/>
      <c r="B498" s="209"/>
      <c r="C498" s="221"/>
      <c r="D498" s="221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</row>
    <row r="499" spans="1:17" ht="19.5" customHeight="1" x14ac:dyDescent="0.2">
      <c r="A499" s="209"/>
      <c r="B499" s="209"/>
      <c r="C499" s="221"/>
      <c r="D499" s="221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</row>
    <row r="500" spans="1:17" ht="19.5" customHeight="1" x14ac:dyDescent="0.2">
      <c r="A500" s="209"/>
      <c r="B500" s="209"/>
      <c r="C500" s="221"/>
      <c r="D500" s="221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</row>
    <row r="501" spans="1:17" ht="19.5" customHeight="1" x14ac:dyDescent="0.2">
      <c r="A501" s="209"/>
      <c r="B501" s="209"/>
      <c r="C501" s="221"/>
      <c r="D501" s="221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</row>
    <row r="502" spans="1:17" ht="19.5" customHeight="1" x14ac:dyDescent="0.2">
      <c r="A502" s="209"/>
      <c r="B502" s="209"/>
      <c r="C502" s="221"/>
      <c r="D502" s="221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</row>
    <row r="503" spans="1:17" ht="19.5" customHeight="1" x14ac:dyDescent="0.2">
      <c r="A503" s="209"/>
      <c r="B503" s="209"/>
      <c r="C503" s="221"/>
      <c r="D503" s="221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</row>
    <row r="504" spans="1:17" ht="19.5" customHeight="1" x14ac:dyDescent="0.2">
      <c r="A504" s="209"/>
      <c r="B504" s="209"/>
      <c r="C504" s="221"/>
      <c r="D504" s="221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</row>
    <row r="505" spans="1:17" ht="19.5" customHeight="1" x14ac:dyDescent="0.2">
      <c r="A505" s="209"/>
      <c r="B505" s="209"/>
      <c r="C505" s="221"/>
      <c r="D505" s="221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</row>
    <row r="506" spans="1:17" ht="19.5" customHeight="1" x14ac:dyDescent="0.2">
      <c r="A506" s="209"/>
      <c r="B506" s="209"/>
      <c r="C506" s="221"/>
      <c r="D506" s="221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</row>
    <row r="507" spans="1:17" ht="19.5" customHeight="1" x14ac:dyDescent="0.2">
      <c r="A507" s="209"/>
      <c r="B507" s="209"/>
      <c r="C507" s="221"/>
      <c r="D507" s="221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</row>
    <row r="508" spans="1:17" ht="19.5" customHeight="1" x14ac:dyDescent="0.2">
      <c r="A508" s="209"/>
      <c r="B508" s="209"/>
      <c r="C508" s="221"/>
      <c r="D508" s="221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</row>
    <row r="509" spans="1:17" ht="19.5" customHeight="1" x14ac:dyDescent="0.2">
      <c r="A509" s="209"/>
      <c r="B509" s="209"/>
      <c r="C509" s="221"/>
      <c r="D509" s="221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</row>
    <row r="510" spans="1:17" ht="19.5" customHeight="1" x14ac:dyDescent="0.2">
      <c r="A510" s="209"/>
      <c r="B510" s="209"/>
      <c r="C510" s="221"/>
      <c r="D510" s="221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</row>
    <row r="511" spans="1:17" ht="19.5" customHeight="1" x14ac:dyDescent="0.2">
      <c r="A511" s="209"/>
      <c r="B511" s="209"/>
      <c r="C511" s="221"/>
      <c r="D511" s="221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</row>
    <row r="512" spans="1:17" ht="19.5" customHeight="1" x14ac:dyDescent="0.2">
      <c r="A512" s="209"/>
      <c r="B512" s="209"/>
      <c r="C512" s="221"/>
      <c r="D512" s="221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</row>
    <row r="513" spans="1:17" ht="19.5" customHeight="1" x14ac:dyDescent="0.2">
      <c r="A513" s="209"/>
      <c r="B513" s="209"/>
      <c r="C513" s="221"/>
      <c r="D513" s="221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</row>
    <row r="514" spans="1:17" ht="19.5" customHeight="1" x14ac:dyDescent="0.2">
      <c r="A514" s="209"/>
      <c r="B514" s="209"/>
      <c r="C514" s="221"/>
      <c r="D514" s="221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</row>
    <row r="515" spans="1:17" ht="19.5" customHeight="1" x14ac:dyDescent="0.2">
      <c r="A515" s="209"/>
      <c r="B515" s="209"/>
      <c r="C515" s="221"/>
      <c r="D515" s="221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</row>
    <row r="516" spans="1:17" ht="19.5" customHeight="1" x14ac:dyDescent="0.2">
      <c r="A516" s="209"/>
      <c r="B516" s="209"/>
      <c r="C516" s="221"/>
      <c r="D516" s="221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</row>
    <row r="517" spans="1:17" ht="19.5" customHeight="1" x14ac:dyDescent="0.2">
      <c r="A517" s="209"/>
      <c r="B517" s="209"/>
      <c r="C517" s="221"/>
      <c r="D517" s="221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</row>
    <row r="518" spans="1:17" ht="19.5" customHeight="1" x14ac:dyDescent="0.2">
      <c r="A518" s="209"/>
      <c r="B518" s="209"/>
      <c r="C518" s="221"/>
      <c r="D518" s="221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</row>
    <row r="519" spans="1:17" ht="19.5" customHeight="1" x14ac:dyDescent="0.2">
      <c r="A519" s="209"/>
      <c r="B519" s="209"/>
      <c r="C519" s="221"/>
      <c r="D519" s="221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</row>
    <row r="520" spans="1:17" ht="19.5" customHeight="1" x14ac:dyDescent="0.2">
      <c r="A520" s="209"/>
      <c r="B520" s="209"/>
      <c r="C520" s="221"/>
      <c r="D520" s="221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</row>
    <row r="521" spans="1:17" ht="19.5" customHeight="1" x14ac:dyDescent="0.2">
      <c r="A521" s="209"/>
      <c r="B521" s="209"/>
      <c r="C521" s="221"/>
      <c r="D521" s="221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</row>
    <row r="522" spans="1:17" ht="19.5" customHeight="1" x14ac:dyDescent="0.2">
      <c r="A522" s="209"/>
      <c r="B522" s="209"/>
      <c r="C522" s="221"/>
      <c r="D522" s="221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</row>
    <row r="523" spans="1:17" ht="19.5" customHeight="1" x14ac:dyDescent="0.2">
      <c r="A523" s="209"/>
      <c r="B523" s="209"/>
      <c r="C523" s="221"/>
      <c r="D523" s="221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</row>
    <row r="524" spans="1:17" ht="19.5" customHeight="1" x14ac:dyDescent="0.2">
      <c r="A524" s="209"/>
      <c r="B524" s="209"/>
      <c r="C524" s="221"/>
      <c r="D524" s="221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</row>
    <row r="525" spans="1:17" ht="19.5" customHeight="1" x14ac:dyDescent="0.2">
      <c r="A525" s="209"/>
      <c r="B525" s="209"/>
      <c r="C525" s="221"/>
      <c r="D525" s="221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</row>
    <row r="526" spans="1:17" ht="19.5" customHeight="1" x14ac:dyDescent="0.2">
      <c r="A526" s="209"/>
      <c r="B526" s="209"/>
      <c r="C526" s="221"/>
      <c r="D526" s="221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</row>
    <row r="527" spans="1:17" ht="19.5" customHeight="1" x14ac:dyDescent="0.2">
      <c r="A527" s="209"/>
      <c r="B527" s="209"/>
      <c r="C527" s="221"/>
      <c r="D527" s="221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</row>
    <row r="528" spans="1:17" ht="19.5" customHeight="1" x14ac:dyDescent="0.2">
      <c r="A528" s="209"/>
      <c r="B528" s="209"/>
      <c r="C528" s="221"/>
      <c r="D528" s="221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</row>
    <row r="529" spans="1:17" ht="19.5" customHeight="1" x14ac:dyDescent="0.2">
      <c r="A529" s="209"/>
      <c r="B529" s="209"/>
      <c r="C529" s="221"/>
      <c r="D529" s="221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</row>
    <row r="530" spans="1:17" ht="19.5" customHeight="1" x14ac:dyDescent="0.2">
      <c r="A530" s="209"/>
      <c r="B530" s="209"/>
      <c r="C530" s="221"/>
      <c r="D530" s="221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</row>
    <row r="531" spans="1:17" ht="19.5" customHeight="1" x14ac:dyDescent="0.2">
      <c r="A531" s="209"/>
      <c r="B531" s="209"/>
      <c r="C531" s="221"/>
      <c r="D531" s="221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</row>
    <row r="532" spans="1:17" ht="19.5" customHeight="1" x14ac:dyDescent="0.2">
      <c r="A532" s="209"/>
      <c r="B532" s="209"/>
      <c r="C532" s="221"/>
      <c r="D532" s="221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</row>
    <row r="533" spans="1:17" ht="19.5" customHeight="1" x14ac:dyDescent="0.2">
      <c r="A533" s="209"/>
      <c r="B533" s="209"/>
      <c r="C533" s="221"/>
      <c r="D533" s="221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</row>
    <row r="534" spans="1:17" ht="19.5" customHeight="1" x14ac:dyDescent="0.2">
      <c r="A534" s="209"/>
      <c r="B534" s="209"/>
      <c r="C534" s="221"/>
      <c r="D534" s="221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</row>
    <row r="535" spans="1:17" ht="19.5" customHeight="1" x14ac:dyDescent="0.2">
      <c r="A535" s="209"/>
      <c r="B535" s="209"/>
      <c r="C535" s="221"/>
      <c r="D535" s="221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</row>
    <row r="536" spans="1:17" ht="19.5" customHeight="1" x14ac:dyDescent="0.2">
      <c r="A536" s="209"/>
      <c r="B536" s="209"/>
      <c r="C536" s="221"/>
      <c r="D536" s="221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</row>
    <row r="537" spans="1:17" ht="19.5" customHeight="1" x14ac:dyDescent="0.2">
      <c r="A537" s="209"/>
      <c r="B537" s="209"/>
      <c r="C537" s="221"/>
      <c r="D537" s="221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</row>
    <row r="538" spans="1:17" ht="19.5" customHeight="1" x14ac:dyDescent="0.2">
      <c r="A538" s="209"/>
      <c r="B538" s="209"/>
      <c r="C538" s="221"/>
      <c r="D538" s="221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</row>
    <row r="539" spans="1:17" ht="19.5" customHeight="1" x14ac:dyDescent="0.2">
      <c r="A539" s="209"/>
      <c r="B539" s="209"/>
      <c r="C539" s="221"/>
      <c r="D539" s="221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</row>
    <row r="540" spans="1:17" ht="19.5" customHeight="1" x14ac:dyDescent="0.2">
      <c r="A540" s="209"/>
      <c r="B540" s="209"/>
      <c r="C540" s="221"/>
      <c r="D540" s="221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</row>
    <row r="541" spans="1:17" ht="19.5" customHeight="1" x14ac:dyDescent="0.2">
      <c r="A541" s="209"/>
      <c r="B541" s="209"/>
      <c r="C541" s="221"/>
      <c r="D541" s="221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</row>
    <row r="542" spans="1:17" ht="19.5" customHeight="1" x14ac:dyDescent="0.2">
      <c r="A542" s="209"/>
      <c r="B542" s="209"/>
      <c r="C542" s="221"/>
      <c r="D542" s="221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</row>
    <row r="543" spans="1:17" ht="19.5" customHeight="1" x14ac:dyDescent="0.2">
      <c r="A543" s="209"/>
      <c r="B543" s="209"/>
      <c r="C543" s="221"/>
      <c r="D543" s="221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</row>
    <row r="544" spans="1:17" ht="19.5" customHeight="1" x14ac:dyDescent="0.2">
      <c r="A544" s="209"/>
      <c r="B544" s="209"/>
      <c r="C544" s="221"/>
      <c r="D544" s="221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</row>
    <row r="545" spans="1:17" ht="19.5" customHeight="1" x14ac:dyDescent="0.2">
      <c r="A545" s="209"/>
      <c r="B545" s="209"/>
      <c r="C545" s="221"/>
      <c r="D545" s="221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</row>
    <row r="546" spans="1:17" ht="19.5" customHeight="1" x14ac:dyDescent="0.2">
      <c r="A546" s="209"/>
      <c r="B546" s="209"/>
      <c r="C546" s="221"/>
      <c r="D546" s="221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</row>
    <row r="547" spans="1:17" ht="19.5" customHeight="1" x14ac:dyDescent="0.2">
      <c r="A547" s="209"/>
      <c r="B547" s="209"/>
      <c r="C547" s="221"/>
      <c r="D547" s="221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</row>
    <row r="548" spans="1:17" ht="19.5" customHeight="1" x14ac:dyDescent="0.2">
      <c r="A548" s="209"/>
      <c r="B548" s="209"/>
      <c r="C548" s="221"/>
      <c r="D548" s="221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</row>
    <row r="549" spans="1:17" ht="19.5" customHeight="1" x14ac:dyDescent="0.2">
      <c r="A549" s="209"/>
      <c r="B549" s="209"/>
      <c r="C549" s="221"/>
      <c r="D549" s="221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</row>
    <row r="550" spans="1:17" ht="19.5" customHeight="1" x14ac:dyDescent="0.2">
      <c r="A550" s="209"/>
      <c r="B550" s="209"/>
      <c r="C550" s="221"/>
      <c r="D550" s="221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</row>
    <row r="551" spans="1:17" ht="19.5" customHeight="1" x14ac:dyDescent="0.2">
      <c r="A551" s="209"/>
      <c r="B551" s="209"/>
      <c r="C551" s="221"/>
      <c r="D551" s="221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</row>
    <row r="552" spans="1:17" ht="19.5" customHeight="1" x14ac:dyDescent="0.2">
      <c r="A552" s="209"/>
      <c r="B552" s="209"/>
      <c r="C552" s="221"/>
      <c r="D552" s="221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</row>
    <row r="553" spans="1:17" ht="19.5" customHeight="1" x14ac:dyDescent="0.2">
      <c r="A553" s="209"/>
      <c r="B553" s="209"/>
      <c r="C553" s="221"/>
      <c r="D553" s="221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</row>
    <row r="554" spans="1:17" ht="19.5" customHeight="1" x14ac:dyDescent="0.2">
      <c r="A554" s="209"/>
      <c r="B554" s="209"/>
      <c r="C554" s="221"/>
      <c r="D554" s="221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</row>
    <row r="555" spans="1:17" ht="19.5" customHeight="1" x14ac:dyDescent="0.2">
      <c r="A555" s="209"/>
      <c r="B555" s="209"/>
      <c r="C555" s="221"/>
      <c r="D555" s="221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</row>
    <row r="556" spans="1:17" ht="19.5" customHeight="1" x14ac:dyDescent="0.2">
      <c r="A556" s="209"/>
      <c r="B556" s="209"/>
      <c r="C556" s="221"/>
      <c r="D556" s="221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</row>
    <row r="557" spans="1:17" ht="19.5" customHeight="1" x14ac:dyDescent="0.2">
      <c r="A557" s="209"/>
      <c r="B557" s="209"/>
      <c r="C557" s="221"/>
      <c r="D557" s="221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</row>
    <row r="558" spans="1:17" ht="19.5" customHeight="1" x14ac:dyDescent="0.2">
      <c r="A558" s="209"/>
      <c r="B558" s="209"/>
      <c r="C558" s="221"/>
      <c r="D558" s="221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</row>
    <row r="559" spans="1:17" ht="19.5" customHeight="1" x14ac:dyDescent="0.2">
      <c r="A559" s="209"/>
      <c r="B559" s="209"/>
      <c r="C559" s="221"/>
      <c r="D559" s="221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</row>
    <row r="560" spans="1:17" ht="19.5" customHeight="1" x14ac:dyDescent="0.2">
      <c r="A560" s="209"/>
      <c r="B560" s="209"/>
      <c r="C560" s="221"/>
      <c r="D560" s="221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</row>
    <row r="561" spans="1:17" ht="19.5" customHeight="1" x14ac:dyDescent="0.2">
      <c r="A561" s="209"/>
      <c r="B561" s="209"/>
      <c r="C561" s="221"/>
      <c r="D561" s="221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</row>
    <row r="562" spans="1:17" ht="19.5" customHeight="1" x14ac:dyDescent="0.2">
      <c r="A562" s="209"/>
      <c r="B562" s="209"/>
      <c r="C562" s="221"/>
      <c r="D562" s="221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</row>
    <row r="563" spans="1:17" ht="19.5" customHeight="1" x14ac:dyDescent="0.2">
      <c r="A563" s="209"/>
      <c r="B563" s="209"/>
      <c r="C563" s="221"/>
      <c r="D563" s="221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</row>
    <row r="564" spans="1:17" ht="19.5" customHeight="1" x14ac:dyDescent="0.2">
      <c r="A564" s="209"/>
      <c r="B564" s="209"/>
      <c r="C564" s="221"/>
      <c r="D564" s="221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</row>
    <row r="565" spans="1:17" ht="19.5" customHeight="1" x14ac:dyDescent="0.2">
      <c r="A565" s="209"/>
      <c r="B565" s="209"/>
      <c r="C565" s="221"/>
      <c r="D565" s="221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</row>
    <row r="566" spans="1:17" ht="19.5" customHeight="1" x14ac:dyDescent="0.2">
      <c r="A566" s="209"/>
      <c r="B566" s="209"/>
      <c r="C566" s="221"/>
      <c r="D566" s="221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</row>
    <row r="567" spans="1:17" ht="19.5" customHeight="1" x14ac:dyDescent="0.2">
      <c r="A567" s="209"/>
      <c r="B567" s="209"/>
      <c r="C567" s="221"/>
      <c r="D567" s="221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</row>
    <row r="568" spans="1:17" ht="19.5" customHeight="1" x14ac:dyDescent="0.2">
      <c r="A568" s="209"/>
      <c r="B568" s="209"/>
      <c r="C568" s="221"/>
      <c r="D568" s="221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</row>
    <row r="569" spans="1:17" ht="19.5" customHeight="1" x14ac:dyDescent="0.2">
      <c r="A569" s="209"/>
      <c r="B569" s="209"/>
      <c r="C569" s="221"/>
      <c r="D569" s="221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</row>
    <row r="570" spans="1:17" ht="19.5" customHeight="1" x14ac:dyDescent="0.2">
      <c r="A570" s="209"/>
      <c r="B570" s="209"/>
      <c r="C570" s="221"/>
      <c r="D570" s="221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</row>
    <row r="571" spans="1:17" ht="19.5" customHeight="1" x14ac:dyDescent="0.2">
      <c r="A571" s="209"/>
      <c r="B571" s="209"/>
      <c r="C571" s="221"/>
      <c r="D571" s="221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</row>
    <row r="572" spans="1:17" ht="19.5" customHeight="1" x14ac:dyDescent="0.2">
      <c r="A572" s="209"/>
      <c r="B572" s="209"/>
      <c r="C572" s="221"/>
      <c r="D572" s="221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</row>
    <row r="573" spans="1:17" ht="19.5" customHeight="1" x14ac:dyDescent="0.2">
      <c r="A573" s="209"/>
      <c r="B573" s="209"/>
      <c r="C573" s="221"/>
      <c r="D573" s="221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</row>
    <row r="574" spans="1:17" ht="19.5" customHeight="1" x14ac:dyDescent="0.2">
      <c r="A574" s="209"/>
      <c r="B574" s="209"/>
      <c r="C574" s="221"/>
      <c r="D574" s="221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</row>
    <row r="575" spans="1:17" ht="19.5" customHeight="1" x14ac:dyDescent="0.2">
      <c r="A575" s="209"/>
      <c r="B575" s="209"/>
      <c r="C575" s="221"/>
      <c r="D575" s="221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</row>
    <row r="576" spans="1:17" ht="19.5" customHeight="1" x14ac:dyDescent="0.2">
      <c r="A576" s="209"/>
      <c r="B576" s="209"/>
      <c r="C576" s="221"/>
      <c r="D576" s="221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</row>
    <row r="577" spans="1:17" ht="19.5" customHeight="1" x14ac:dyDescent="0.2">
      <c r="A577" s="209"/>
      <c r="B577" s="209"/>
      <c r="C577" s="221"/>
      <c r="D577" s="221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</row>
    <row r="578" spans="1:17" ht="19.5" customHeight="1" x14ac:dyDescent="0.2">
      <c r="A578" s="209"/>
      <c r="B578" s="209"/>
      <c r="C578" s="221"/>
      <c r="D578" s="221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</row>
    <row r="579" spans="1:17" ht="19.5" customHeight="1" x14ac:dyDescent="0.2">
      <c r="A579" s="209"/>
      <c r="B579" s="209"/>
      <c r="C579" s="221"/>
      <c r="D579" s="221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</row>
    <row r="580" spans="1:17" ht="19.5" customHeight="1" x14ac:dyDescent="0.2">
      <c r="A580" s="209"/>
      <c r="B580" s="209"/>
      <c r="C580" s="221"/>
      <c r="D580" s="221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</row>
    <row r="581" spans="1:17" ht="19.5" customHeight="1" x14ac:dyDescent="0.2">
      <c r="A581" s="209"/>
      <c r="B581" s="209"/>
      <c r="C581" s="221"/>
      <c r="D581" s="221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</row>
    <row r="582" spans="1:17" ht="19.5" customHeight="1" x14ac:dyDescent="0.2">
      <c r="A582" s="209"/>
      <c r="B582" s="209"/>
      <c r="C582" s="221"/>
      <c r="D582" s="221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</row>
    <row r="583" spans="1:17" ht="19.5" customHeight="1" x14ac:dyDescent="0.2">
      <c r="A583" s="209"/>
      <c r="B583" s="209"/>
      <c r="C583" s="221"/>
      <c r="D583" s="221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</row>
    <row r="584" spans="1:17" ht="19.5" customHeight="1" x14ac:dyDescent="0.2">
      <c r="A584" s="209"/>
      <c r="B584" s="209"/>
      <c r="C584" s="221"/>
      <c r="D584" s="221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</row>
    <row r="585" spans="1:17" ht="19.5" customHeight="1" x14ac:dyDescent="0.2">
      <c r="A585" s="209"/>
      <c r="B585" s="209"/>
      <c r="C585" s="221"/>
      <c r="D585" s="221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</row>
    <row r="586" spans="1:17" ht="19.5" customHeight="1" x14ac:dyDescent="0.2">
      <c r="A586" s="209"/>
      <c r="B586" s="209"/>
      <c r="C586" s="221"/>
      <c r="D586" s="221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</row>
    <row r="587" spans="1:17" ht="19.5" customHeight="1" x14ac:dyDescent="0.2">
      <c r="A587" s="209"/>
      <c r="B587" s="209"/>
      <c r="C587" s="221"/>
      <c r="D587" s="221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</row>
    <row r="588" spans="1:17" ht="19.5" customHeight="1" x14ac:dyDescent="0.2">
      <c r="A588" s="209"/>
      <c r="B588" s="209"/>
      <c r="C588" s="221"/>
      <c r="D588" s="221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</row>
    <row r="589" spans="1:17" ht="19.5" customHeight="1" x14ac:dyDescent="0.2">
      <c r="A589" s="209"/>
      <c r="B589" s="209"/>
      <c r="C589" s="221"/>
      <c r="D589" s="221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</row>
    <row r="590" spans="1:17" ht="19.5" customHeight="1" x14ac:dyDescent="0.2">
      <c r="A590" s="209"/>
      <c r="B590" s="209"/>
      <c r="C590" s="221"/>
      <c r="D590" s="221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</row>
    <row r="591" spans="1:17" ht="19.5" customHeight="1" x14ac:dyDescent="0.2">
      <c r="A591" s="209"/>
      <c r="B591" s="209"/>
      <c r="C591" s="221"/>
      <c r="D591" s="221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</row>
    <row r="592" spans="1:17" ht="19.5" customHeight="1" x14ac:dyDescent="0.2">
      <c r="A592" s="209"/>
      <c r="B592" s="209"/>
      <c r="C592" s="221"/>
      <c r="D592" s="221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</row>
    <row r="593" spans="1:17" ht="19.5" customHeight="1" x14ac:dyDescent="0.2">
      <c r="A593" s="209"/>
      <c r="B593" s="209"/>
      <c r="C593" s="221"/>
      <c r="D593" s="221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</row>
    <row r="594" spans="1:17" ht="19.5" customHeight="1" x14ac:dyDescent="0.2">
      <c r="A594" s="209"/>
      <c r="B594" s="209"/>
      <c r="C594" s="221"/>
      <c r="D594" s="221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</row>
    <row r="595" spans="1:17" ht="19.5" customHeight="1" x14ac:dyDescent="0.2">
      <c r="A595" s="209"/>
      <c r="B595" s="209"/>
      <c r="C595" s="221"/>
      <c r="D595" s="221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</row>
    <row r="596" spans="1:17" ht="19.5" customHeight="1" x14ac:dyDescent="0.2">
      <c r="A596" s="209"/>
      <c r="B596" s="209"/>
      <c r="C596" s="221"/>
      <c r="D596" s="221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</row>
    <row r="597" spans="1:17" ht="19.5" customHeight="1" x14ac:dyDescent="0.2">
      <c r="A597" s="209"/>
      <c r="B597" s="209"/>
      <c r="C597" s="221"/>
      <c r="D597" s="221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</row>
    <row r="598" spans="1:17" ht="19.5" customHeight="1" x14ac:dyDescent="0.2">
      <c r="A598" s="209"/>
      <c r="B598" s="209"/>
      <c r="C598" s="221"/>
      <c r="D598" s="221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</row>
    <row r="599" spans="1:17" ht="19.5" customHeight="1" x14ac:dyDescent="0.2">
      <c r="A599" s="209"/>
      <c r="B599" s="209"/>
      <c r="C599" s="221"/>
      <c r="D599" s="221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</row>
    <row r="600" spans="1:17" ht="19.5" customHeight="1" x14ac:dyDescent="0.2">
      <c r="A600" s="209"/>
      <c r="B600" s="209"/>
      <c r="C600" s="221"/>
      <c r="D600" s="221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</row>
    <row r="601" spans="1:17" ht="19.5" customHeight="1" x14ac:dyDescent="0.2">
      <c r="A601" s="209"/>
      <c r="B601" s="209"/>
      <c r="C601" s="221"/>
      <c r="D601" s="221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</row>
    <row r="602" spans="1:17" ht="19.5" customHeight="1" x14ac:dyDescent="0.2">
      <c r="A602" s="209"/>
      <c r="B602" s="209"/>
      <c r="C602" s="221"/>
      <c r="D602" s="221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</row>
    <row r="603" spans="1:17" ht="19.5" customHeight="1" x14ac:dyDescent="0.2">
      <c r="A603" s="209"/>
      <c r="B603" s="209"/>
      <c r="C603" s="221"/>
      <c r="D603" s="221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</row>
    <row r="604" spans="1:17" ht="19.5" customHeight="1" x14ac:dyDescent="0.2">
      <c r="A604" s="209"/>
      <c r="B604" s="209"/>
      <c r="C604" s="221"/>
      <c r="D604" s="221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</row>
    <row r="605" spans="1:17" ht="19.5" customHeight="1" x14ac:dyDescent="0.2">
      <c r="A605" s="209"/>
      <c r="B605" s="209"/>
      <c r="C605" s="221"/>
      <c r="D605" s="221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</row>
    <row r="606" spans="1:17" ht="19.5" customHeight="1" x14ac:dyDescent="0.2">
      <c r="A606" s="209"/>
      <c r="B606" s="209"/>
      <c r="C606" s="221"/>
      <c r="D606" s="221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</row>
    <row r="607" spans="1:17" ht="19.5" customHeight="1" x14ac:dyDescent="0.2">
      <c r="A607" s="209"/>
      <c r="B607" s="209"/>
      <c r="C607" s="221"/>
      <c r="D607" s="221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</row>
    <row r="608" spans="1:17" ht="19.5" customHeight="1" x14ac:dyDescent="0.2">
      <c r="A608" s="209"/>
      <c r="B608" s="209"/>
      <c r="C608" s="221"/>
      <c r="D608" s="221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</row>
    <row r="609" spans="1:17" ht="19.5" customHeight="1" x14ac:dyDescent="0.2">
      <c r="A609" s="209"/>
      <c r="B609" s="209"/>
      <c r="C609" s="221"/>
      <c r="D609" s="221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</row>
    <row r="610" spans="1:17" ht="19.5" customHeight="1" x14ac:dyDescent="0.2">
      <c r="A610" s="209"/>
      <c r="B610" s="209"/>
      <c r="C610" s="221"/>
      <c r="D610" s="221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</row>
    <row r="611" spans="1:17" ht="19.5" customHeight="1" x14ac:dyDescent="0.2">
      <c r="A611" s="209"/>
      <c r="B611" s="209"/>
      <c r="C611" s="221"/>
      <c r="D611" s="221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</row>
    <row r="612" spans="1:17" ht="19.5" customHeight="1" x14ac:dyDescent="0.2">
      <c r="A612" s="209"/>
      <c r="B612" s="209"/>
      <c r="C612" s="221"/>
      <c r="D612" s="221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</row>
    <row r="613" spans="1:17" ht="19.5" customHeight="1" x14ac:dyDescent="0.2">
      <c r="A613" s="209"/>
      <c r="B613" s="209"/>
      <c r="C613" s="221"/>
      <c r="D613" s="221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</row>
    <row r="614" spans="1:17" ht="19.5" customHeight="1" x14ac:dyDescent="0.2">
      <c r="A614" s="209"/>
      <c r="B614" s="209"/>
      <c r="C614" s="221"/>
      <c r="D614" s="221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</row>
    <row r="615" spans="1:17" ht="19.5" customHeight="1" x14ac:dyDescent="0.2">
      <c r="A615" s="209"/>
      <c r="B615" s="209"/>
      <c r="C615" s="221"/>
      <c r="D615" s="221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</row>
    <row r="616" spans="1:17" ht="19.5" customHeight="1" x14ac:dyDescent="0.2">
      <c r="A616" s="209"/>
      <c r="B616" s="209"/>
      <c r="C616" s="221"/>
      <c r="D616" s="221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</row>
    <row r="617" spans="1:17" ht="19.5" customHeight="1" x14ac:dyDescent="0.2">
      <c r="A617" s="209"/>
      <c r="B617" s="209"/>
      <c r="C617" s="221"/>
      <c r="D617" s="221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</row>
    <row r="618" spans="1:17" ht="19.5" customHeight="1" x14ac:dyDescent="0.2">
      <c r="A618" s="209"/>
      <c r="B618" s="209"/>
      <c r="C618" s="221"/>
      <c r="D618" s="221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</row>
    <row r="619" spans="1:17" ht="19.5" customHeight="1" x14ac:dyDescent="0.2">
      <c r="A619" s="209"/>
      <c r="B619" s="209"/>
      <c r="C619" s="221"/>
      <c r="D619" s="221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</row>
    <row r="620" spans="1:17" ht="19.5" customHeight="1" x14ac:dyDescent="0.2">
      <c r="A620" s="209"/>
      <c r="B620" s="209"/>
      <c r="C620" s="221"/>
      <c r="D620" s="221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</row>
    <row r="621" spans="1:17" ht="19.5" customHeight="1" x14ac:dyDescent="0.2">
      <c r="A621" s="209"/>
      <c r="B621" s="209"/>
      <c r="C621" s="221"/>
      <c r="D621" s="221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</row>
    <row r="622" spans="1:17" ht="19.5" customHeight="1" x14ac:dyDescent="0.2">
      <c r="A622" s="209"/>
      <c r="B622" s="209"/>
      <c r="C622" s="221"/>
      <c r="D622" s="221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</row>
    <row r="623" spans="1:17" ht="19.5" customHeight="1" x14ac:dyDescent="0.2">
      <c r="A623" s="209"/>
      <c r="B623" s="209"/>
      <c r="C623" s="221"/>
      <c r="D623" s="221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</row>
    <row r="624" spans="1:17" ht="19.5" customHeight="1" x14ac:dyDescent="0.2">
      <c r="A624" s="209"/>
      <c r="B624" s="209"/>
      <c r="C624" s="221"/>
      <c r="D624" s="221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</row>
    <row r="625" spans="1:17" ht="19.5" customHeight="1" x14ac:dyDescent="0.2">
      <c r="A625" s="209"/>
      <c r="B625" s="209"/>
      <c r="C625" s="221"/>
      <c r="D625" s="221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</row>
    <row r="626" spans="1:17" ht="19.5" customHeight="1" x14ac:dyDescent="0.2">
      <c r="A626" s="209"/>
      <c r="B626" s="209"/>
      <c r="C626" s="221"/>
      <c r="D626" s="221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</row>
    <row r="627" spans="1:17" ht="19.5" customHeight="1" x14ac:dyDescent="0.2">
      <c r="A627" s="209"/>
      <c r="B627" s="209"/>
      <c r="C627" s="221"/>
      <c r="D627" s="221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</row>
    <row r="628" spans="1:17" ht="19.5" customHeight="1" x14ac:dyDescent="0.2">
      <c r="A628" s="209"/>
      <c r="B628" s="209"/>
      <c r="C628" s="221"/>
      <c r="D628" s="221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</row>
    <row r="629" spans="1:17" ht="19.5" customHeight="1" x14ac:dyDescent="0.2">
      <c r="A629" s="209"/>
      <c r="B629" s="209"/>
      <c r="C629" s="221"/>
      <c r="D629" s="221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</row>
    <row r="630" spans="1:17" ht="19.5" customHeight="1" x14ac:dyDescent="0.2">
      <c r="A630" s="209"/>
      <c r="B630" s="209"/>
      <c r="C630" s="221"/>
      <c r="D630" s="221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</row>
    <row r="631" spans="1:17" ht="19.5" customHeight="1" x14ac:dyDescent="0.2">
      <c r="A631" s="209"/>
      <c r="B631" s="209"/>
      <c r="C631" s="221"/>
      <c r="D631" s="221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</row>
    <row r="632" spans="1:17" ht="19.5" customHeight="1" x14ac:dyDescent="0.2">
      <c r="A632" s="209"/>
      <c r="B632" s="209"/>
      <c r="C632" s="221"/>
      <c r="D632" s="221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</row>
    <row r="633" spans="1:17" ht="19.5" customHeight="1" x14ac:dyDescent="0.2">
      <c r="A633" s="209"/>
      <c r="B633" s="209"/>
      <c r="C633" s="221"/>
      <c r="D633" s="221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</row>
    <row r="634" spans="1:17" ht="19.5" customHeight="1" x14ac:dyDescent="0.2">
      <c r="A634" s="209"/>
      <c r="B634" s="209"/>
      <c r="C634" s="221"/>
      <c r="D634" s="221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</row>
    <row r="635" spans="1:17" ht="19.5" customHeight="1" x14ac:dyDescent="0.2">
      <c r="A635" s="209"/>
      <c r="B635" s="209"/>
      <c r="C635" s="221"/>
      <c r="D635" s="221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</row>
    <row r="636" spans="1:17" ht="19.5" customHeight="1" x14ac:dyDescent="0.2">
      <c r="A636" s="209"/>
      <c r="B636" s="209"/>
      <c r="C636" s="221"/>
      <c r="D636" s="221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</row>
    <row r="637" spans="1:17" ht="19.5" customHeight="1" x14ac:dyDescent="0.2">
      <c r="A637" s="209"/>
      <c r="B637" s="209"/>
      <c r="C637" s="221"/>
      <c r="D637" s="221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</row>
    <row r="638" spans="1:17" ht="19.5" customHeight="1" x14ac:dyDescent="0.2">
      <c r="A638" s="209"/>
      <c r="B638" s="209"/>
      <c r="C638" s="221"/>
      <c r="D638" s="221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</row>
    <row r="639" spans="1:17" ht="19.5" customHeight="1" x14ac:dyDescent="0.2">
      <c r="A639" s="209"/>
      <c r="B639" s="209"/>
      <c r="C639" s="221"/>
      <c r="D639" s="221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</row>
    <row r="640" spans="1:17" ht="19.5" customHeight="1" x14ac:dyDescent="0.2">
      <c r="A640" s="209"/>
      <c r="B640" s="209"/>
      <c r="C640" s="221"/>
      <c r="D640" s="221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</row>
    <row r="641" spans="1:17" ht="19.5" customHeight="1" x14ac:dyDescent="0.2">
      <c r="A641" s="209"/>
      <c r="B641" s="209"/>
      <c r="C641" s="221"/>
      <c r="D641" s="221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</row>
    <row r="642" spans="1:17" ht="19.5" customHeight="1" x14ac:dyDescent="0.2">
      <c r="A642" s="209"/>
      <c r="B642" s="209"/>
      <c r="C642" s="221"/>
      <c r="D642" s="221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</row>
    <row r="643" spans="1:17" ht="19.5" customHeight="1" x14ac:dyDescent="0.2">
      <c r="A643" s="209"/>
      <c r="B643" s="209"/>
      <c r="C643" s="221"/>
      <c r="D643" s="221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</row>
    <row r="644" spans="1:17" ht="19.5" customHeight="1" x14ac:dyDescent="0.2">
      <c r="A644" s="209"/>
      <c r="B644" s="209"/>
      <c r="C644" s="221"/>
      <c r="D644" s="221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</row>
    <row r="645" spans="1:17" ht="19.5" customHeight="1" x14ac:dyDescent="0.2">
      <c r="A645" s="209"/>
      <c r="B645" s="209"/>
      <c r="C645" s="221"/>
      <c r="D645" s="221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</row>
    <row r="646" spans="1:17" ht="19.5" customHeight="1" x14ac:dyDescent="0.2">
      <c r="A646" s="209"/>
      <c r="B646" s="209"/>
      <c r="C646" s="221"/>
      <c r="D646" s="221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</row>
    <row r="647" spans="1:17" ht="19.5" customHeight="1" x14ac:dyDescent="0.2">
      <c r="A647" s="209"/>
      <c r="B647" s="209"/>
      <c r="C647" s="221"/>
      <c r="D647" s="221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</row>
    <row r="648" spans="1:17" ht="19.5" customHeight="1" x14ac:dyDescent="0.2">
      <c r="A648" s="209"/>
      <c r="B648" s="209"/>
      <c r="C648" s="221"/>
      <c r="D648" s="221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</row>
    <row r="649" spans="1:17" ht="19.5" customHeight="1" x14ac:dyDescent="0.2">
      <c r="A649" s="209"/>
      <c r="B649" s="209"/>
      <c r="C649" s="221"/>
      <c r="D649" s="221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</row>
    <row r="650" spans="1:17" ht="19.5" customHeight="1" x14ac:dyDescent="0.2">
      <c r="A650" s="209"/>
      <c r="B650" s="209"/>
      <c r="C650" s="221"/>
      <c r="D650" s="221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</row>
    <row r="651" spans="1:17" ht="19.5" customHeight="1" x14ac:dyDescent="0.2">
      <c r="A651" s="209"/>
      <c r="B651" s="209"/>
      <c r="C651" s="221"/>
      <c r="D651" s="221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</row>
    <row r="652" spans="1:17" ht="19.5" customHeight="1" x14ac:dyDescent="0.2">
      <c r="A652" s="209"/>
      <c r="B652" s="209"/>
      <c r="C652" s="221"/>
      <c r="D652" s="221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</row>
    <row r="653" spans="1:17" ht="19.5" customHeight="1" x14ac:dyDescent="0.2">
      <c r="A653" s="209"/>
      <c r="B653" s="209"/>
      <c r="C653" s="221"/>
      <c r="D653" s="221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</row>
    <row r="654" spans="1:17" ht="19.5" customHeight="1" x14ac:dyDescent="0.2">
      <c r="A654" s="209"/>
      <c r="B654" s="209"/>
      <c r="C654" s="221"/>
      <c r="D654" s="221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</row>
    <row r="655" spans="1:17" ht="19.5" customHeight="1" x14ac:dyDescent="0.2">
      <c r="A655" s="209"/>
      <c r="B655" s="209"/>
      <c r="C655" s="221"/>
      <c r="D655" s="221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</row>
    <row r="656" spans="1:17" ht="19.5" customHeight="1" x14ac:dyDescent="0.2">
      <c r="A656" s="209"/>
      <c r="B656" s="209"/>
      <c r="C656" s="221"/>
      <c r="D656" s="221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</row>
    <row r="657" spans="1:17" ht="19.5" customHeight="1" x14ac:dyDescent="0.2">
      <c r="A657" s="209"/>
      <c r="B657" s="209"/>
      <c r="C657" s="221"/>
      <c r="D657" s="221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</row>
    <row r="658" spans="1:17" ht="19.5" customHeight="1" x14ac:dyDescent="0.2">
      <c r="A658" s="209"/>
      <c r="B658" s="209"/>
      <c r="C658" s="221"/>
      <c r="D658" s="221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</row>
    <row r="659" spans="1:17" ht="19.5" customHeight="1" x14ac:dyDescent="0.2">
      <c r="A659" s="209"/>
      <c r="B659" s="209"/>
      <c r="C659" s="221"/>
      <c r="D659" s="221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</row>
    <row r="660" spans="1:17" ht="19.5" customHeight="1" x14ac:dyDescent="0.2">
      <c r="A660" s="209"/>
      <c r="B660" s="209"/>
      <c r="C660" s="221"/>
      <c r="D660" s="221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</row>
    <row r="661" spans="1:17" ht="19.5" customHeight="1" x14ac:dyDescent="0.2">
      <c r="A661" s="209"/>
      <c r="B661" s="209"/>
      <c r="C661" s="221"/>
      <c r="D661" s="221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</row>
    <row r="662" spans="1:17" ht="19.5" customHeight="1" x14ac:dyDescent="0.2">
      <c r="A662" s="209"/>
      <c r="B662" s="209"/>
      <c r="C662" s="221"/>
      <c r="D662" s="221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</row>
    <row r="663" spans="1:17" ht="19.5" customHeight="1" x14ac:dyDescent="0.2">
      <c r="A663" s="209"/>
      <c r="B663" s="209"/>
      <c r="C663" s="221"/>
      <c r="D663" s="221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</row>
    <row r="664" spans="1:17" ht="19.5" customHeight="1" x14ac:dyDescent="0.2">
      <c r="A664" s="209"/>
      <c r="B664" s="209"/>
      <c r="C664" s="221"/>
      <c r="D664" s="221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</row>
    <row r="665" spans="1:17" ht="19.5" customHeight="1" x14ac:dyDescent="0.2">
      <c r="A665" s="209"/>
      <c r="B665" s="209"/>
      <c r="C665" s="221"/>
      <c r="D665" s="221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</row>
    <row r="666" spans="1:17" ht="19.5" customHeight="1" x14ac:dyDescent="0.2">
      <c r="A666" s="209"/>
      <c r="B666" s="209"/>
      <c r="C666" s="221"/>
      <c r="D666" s="221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</row>
    <row r="667" spans="1:17" ht="19.5" customHeight="1" x14ac:dyDescent="0.2">
      <c r="A667" s="209"/>
      <c r="B667" s="209"/>
      <c r="C667" s="221"/>
      <c r="D667" s="221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</row>
    <row r="668" spans="1:17" ht="19.5" customHeight="1" x14ac:dyDescent="0.2">
      <c r="A668" s="209"/>
      <c r="B668" s="209"/>
      <c r="C668" s="221"/>
      <c r="D668" s="221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</row>
    <row r="669" spans="1:17" ht="19.5" customHeight="1" x14ac:dyDescent="0.2">
      <c r="A669" s="209"/>
      <c r="B669" s="209"/>
      <c r="C669" s="221"/>
      <c r="D669" s="221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</row>
    <row r="670" spans="1:17" ht="19.5" customHeight="1" x14ac:dyDescent="0.2">
      <c r="A670" s="209"/>
      <c r="B670" s="209"/>
      <c r="C670" s="221"/>
      <c r="D670" s="221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</row>
    <row r="671" spans="1:17" ht="19.5" customHeight="1" x14ac:dyDescent="0.2">
      <c r="A671" s="209"/>
      <c r="B671" s="209"/>
      <c r="C671" s="221"/>
      <c r="D671" s="221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</row>
    <row r="672" spans="1:17" ht="19.5" customHeight="1" x14ac:dyDescent="0.2">
      <c r="A672" s="209"/>
      <c r="B672" s="209"/>
      <c r="C672" s="221"/>
      <c r="D672" s="221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</row>
    <row r="673" spans="1:17" ht="19.5" customHeight="1" x14ac:dyDescent="0.2">
      <c r="A673" s="209"/>
      <c r="B673" s="209"/>
      <c r="C673" s="221"/>
      <c r="D673" s="221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</row>
    <row r="674" spans="1:17" ht="19.5" customHeight="1" x14ac:dyDescent="0.2">
      <c r="A674" s="209"/>
      <c r="B674" s="209"/>
      <c r="C674" s="221"/>
      <c r="D674" s="221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</row>
    <row r="675" spans="1:17" ht="19.5" customHeight="1" x14ac:dyDescent="0.2">
      <c r="A675" s="209"/>
      <c r="B675" s="209"/>
      <c r="C675" s="221"/>
      <c r="D675" s="221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</row>
    <row r="676" spans="1:17" ht="19.5" customHeight="1" x14ac:dyDescent="0.2">
      <c r="A676" s="209"/>
      <c r="B676" s="209"/>
      <c r="C676" s="221"/>
      <c r="D676" s="221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</row>
    <row r="677" spans="1:17" ht="19.5" customHeight="1" x14ac:dyDescent="0.2">
      <c r="A677" s="209"/>
      <c r="B677" s="209"/>
      <c r="C677" s="221"/>
      <c r="D677" s="221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</row>
    <row r="678" spans="1:17" ht="19.5" customHeight="1" x14ac:dyDescent="0.2">
      <c r="A678" s="209"/>
      <c r="B678" s="209"/>
      <c r="C678" s="221"/>
      <c r="D678" s="221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</row>
    <row r="679" spans="1:17" ht="19.5" customHeight="1" x14ac:dyDescent="0.2">
      <c r="A679" s="209"/>
      <c r="B679" s="209"/>
      <c r="C679" s="221"/>
      <c r="D679" s="221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</row>
    <row r="680" spans="1:17" ht="19.5" customHeight="1" x14ac:dyDescent="0.2">
      <c r="A680" s="209"/>
      <c r="B680" s="209"/>
      <c r="C680" s="221"/>
      <c r="D680" s="221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</row>
    <row r="681" spans="1:17" ht="19.5" customHeight="1" x14ac:dyDescent="0.2">
      <c r="A681" s="209"/>
      <c r="B681" s="209"/>
      <c r="C681" s="221"/>
      <c r="D681" s="221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</row>
    <row r="682" spans="1:17" ht="19.5" customHeight="1" x14ac:dyDescent="0.2">
      <c r="A682" s="209"/>
      <c r="B682" s="209"/>
      <c r="C682" s="221"/>
      <c r="D682" s="221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</row>
    <row r="683" spans="1:17" ht="19.5" customHeight="1" x14ac:dyDescent="0.2">
      <c r="A683" s="209"/>
      <c r="B683" s="209"/>
      <c r="C683" s="221"/>
      <c r="D683" s="221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</row>
    <row r="684" spans="1:17" ht="19.5" customHeight="1" x14ac:dyDescent="0.2">
      <c r="A684" s="209"/>
      <c r="B684" s="209"/>
      <c r="C684" s="221"/>
      <c r="D684" s="221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</row>
    <row r="685" spans="1:17" ht="19.5" customHeight="1" x14ac:dyDescent="0.2">
      <c r="A685" s="209"/>
      <c r="B685" s="209"/>
      <c r="C685" s="221"/>
      <c r="D685" s="221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</row>
    <row r="686" spans="1:17" ht="19.5" customHeight="1" x14ac:dyDescent="0.2">
      <c r="A686" s="209"/>
      <c r="B686" s="209"/>
      <c r="C686" s="221"/>
      <c r="D686" s="221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</row>
    <row r="687" spans="1:17" ht="19.5" customHeight="1" x14ac:dyDescent="0.2">
      <c r="A687" s="209"/>
      <c r="B687" s="209"/>
      <c r="C687" s="221"/>
      <c r="D687" s="221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</row>
    <row r="688" spans="1:17" ht="19.5" customHeight="1" x14ac:dyDescent="0.2">
      <c r="A688" s="209"/>
      <c r="B688" s="209"/>
      <c r="C688" s="221"/>
      <c r="D688" s="221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</row>
    <row r="689" spans="1:17" ht="19.5" customHeight="1" x14ac:dyDescent="0.2">
      <c r="A689" s="209"/>
      <c r="B689" s="209"/>
      <c r="C689" s="221"/>
      <c r="D689" s="221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</row>
    <row r="690" spans="1:17" ht="19.5" customHeight="1" x14ac:dyDescent="0.2">
      <c r="A690" s="209"/>
      <c r="B690" s="209"/>
      <c r="C690" s="221"/>
      <c r="D690" s="221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</row>
    <row r="691" spans="1:17" ht="19.5" customHeight="1" x14ac:dyDescent="0.2">
      <c r="A691" s="209"/>
      <c r="B691" s="209"/>
      <c r="C691" s="221"/>
      <c r="D691" s="221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</row>
    <row r="692" spans="1:17" ht="19.5" customHeight="1" x14ac:dyDescent="0.2">
      <c r="A692" s="209"/>
      <c r="B692" s="209"/>
      <c r="C692" s="221"/>
      <c r="D692" s="221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</row>
    <row r="693" spans="1:17" ht="19.5" customHeight="1" x14ac:dyDescent="0.2">
      <c r="A693" s="209"/>
      <c r="B693" s="209"/>
      <c r="C693" s="221"/>
      <c r="D693" s="221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</row>
    <row r="694" spans="1:17" ht="19.5" customHeight="1" x14ac:dyDescent="0.2">
      <c r="A694" s="209"/>
      <c r="B694" s="209"/>
      <c r="C694" s="221"/>
      <c r="D694" s="221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</row>
    <row r="695" spans="1:17" ht="19.5" customHeight="1" x14ac:dyDescent="0.2">
      <c r="A695" s="209"/>
      <c r="B695" s="209"/>
      <c r="C695" s="221"/>
      <c r="D695" s="221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</row>
    <row r="696" spans="1:17" ht="19.5" customHeight="1" x14ac:dyDescent="0.2">
      <c r="A696" s="209"/>
      <c r="B696" s="209"/>
      <c r="C696" s="221"/>
      <c r="D696" s="221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</row>
    <row r="697" spans="1:17" ht="19.5" customHeight="1" x14ac:dyDescent="0.2">
      <c r="A697" s="209"/>
      <c r="B697" s="209"/>
      <c r="C697" s="221"/>
      <c r="D697" s="221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</row>
    <row r="698" spans="1:17" ht="19.5" customHeight="1" x14ac:dyDescent="0.2">
      <c r="A698" s="209"/>
      <c r="B698" s="209"/>
      <c r="C698" s="221"/>
      <c r="D698" s="221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</row>
    <row r="699" spans="1:17" ht="19.5" customHeight="1" x14ac:dyDescent="0.2">
      <c r="A699" s="209"/>
      <c r="B699" s="209"/>
      <c r="C699" s="221"/>
      <c r="D699" s="221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</row>
    <row r="700" spans="1:17" ht="19.5" customHeight="1" x14ac:dyDescent="0.2">
      <c r="A700" s="209"/>
      <c r="B700" s="209"/>
      <c r="C700" s="221"/>
      <c r="D700" s="221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</row>
    <row r="701" spans="1:17" ht="19.5" customHeight="1" x14ac:dyDescent="0.2">
      <c r="A701" s="209"/>
      <c r="B701" s="209"/>
      <c r="C701" s="221"/>
      <c r="D701" s="221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</row>
    <row r="702" spans="1:17" ht="19.5" customHeight="1" x14ac:dyDescent="0.2">
      <c r="A702" s="209"/>
      <c r="B702" s="209"/>
      <c r="C702" s="221"/>
      <c r="D702" s="221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</row>
    <row r="703" spans="1:17" ht="19.5" customHeight="1" x14ac:dyDescent="0.2">
      <c r="A703" s="209"/>
      <c r="B703" s="209"/>
      <c r="C703" s="221"/>
      <c r="D703" s="221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</row>
    <row r="704" spans="1:17" ht="19.5" customHeight="1" x14ac:dyDescent="0.2">
      <c r="A704" s="209"/>
      <c r="B704" s="209"/>
      <c r="C704" s="221"/>
      <c r="D704" s="221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</row>
    <row r="705" spans="1:17" ht="19.5" customHeight="1" x14ac:dyDescent="0.2">
      <c r="A705" s="209"/>
      <c r="B705" s="209"/>
      <c r="C705" s="221"/>
      <c r="D705" s="221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</row>
    <row r="706" spans="1:17" ht="19.5" customHeight="1" x14ac:dyDescent="0.2">
      <c r="A706" s="209"/>
      <c r="B706" s="209"/>
      <c r="C706" s="221"/>
      <c r="D706" s="221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</row>
    <row r="707" spans="1:17" ht="19.5" customHeight="1" x14ac:dyDescent="0.2">
      <c r="A707" s="209"/>
      <c r="B707" s="209"/>
      <c r="C707" s="221"/>
      <c r="D707" s="221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</row>
    <row r="708" spans="1:17" ht="19.5" customHeight="1" x14ac:dyDescent="0.2">
      <c r="A708" s="209"/>
      <c r="B708" s="209"/>
      <c r="C708" s="221"/>
      <c r="D708" s="221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</row>
    <row r="709" spans="1:17" ht="19.5" customHeight="1" x14ac:dyDescent="0.2">
      <c r="A709" s="209"/>
      <c r="B709" s="209"/>
      <c r="C709" s="221"/>
      <c r="D709" s="221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</row>
    <row r="710" spans="1:17" ht="19.5" customHeight="1" x14ac:dyDescent="0.2">
      <c r="A710" s="209"/>
      <c r="B710" s="209"/>
      <c r="C710" s="221"/>
      <c r="D710" s="221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</row>
    <row r="711" spans="1:17" ht="19.5" customHeight="1" x14ac:dyDescent="0.2">
      <c r="A711" s="209"/>
      <c r="B711" s="209"/>
      <c r="C711" s="221"/>
      <c r="D711" s="221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</row>
    <row r="712" spans="1:17" ht="19.5" customHeight="1" x14ac:dyDescent="0.2">
      <c r="A712" s="209"/>
      <c r="B712" s="209"/>
      <c r="C712" s="221"/>
      <c r="D712" s="221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</row>
    <row r="713" spans="1:17" ht="19.5" customHeight="1" x14ac:dyDescent="0.2">
      <c r="A713" s="209"/>
      <c r="B713" s="209"/>
      <c r="C713" s="221"/>
      <c r="D713" s="221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</row>
    <row r="714" spans="1:17" ht="19.5" customHeight="1" x14ac:dyDescent="0.2">
      <c r="A714" s="209"/>
      <c r="B714" s="209"/>
      <c r="C714" s="221"/>
      <c r="D714" s="221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</row>
    <row r="715" spans="1:17" ht="19.5" customHeight="1" x14ac:dyDescent="0.2">
      <c r="A715" s="209"/>
      <c r="B715" s="209"/>
      <c r="C715" s="221"/>
      <c r="D715" s="221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</row>
    <row r="716" spans="1:17" ht="19.5" customHeight="1" x14ac:dyDescent="0.2">
      <c r="A716" s="209"/>
      <c r="B716" s="209"/>
      <c r="C716" s="221"/>
      <c r="D716" s="221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</row>
    <row r="717" spans="1:17" ht="19.5" customHeight="1" x14ac:dyDescent="0.2">
      <c r="A717" s="209"/>
      <c r="B717" s="209"/>
      <c r="C717" s="221"/>
      <c r="D717" s="221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</row>
    <row r="718" spans="1:17" ht="19.5" customHeight="1" x14ac:dyDescent="0.2">
      <c r="A718" s="209"/>
      <c r="B718" s="209"/>
      <c r="C718" s="221"/>
      <c r="D718" s="221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</row>
    <row r="719" spans="1:17" ht="19.5" customHeight="1" x14ac:dyDescent="0.2">
      <c r="A719" s="209"/>
      <c r="B719" s="209"/>
      <c r="C719" s="221"/>
      <c r="D719" s="221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</row>
    <row r="720" spans="1:17" ht="19.5" customHeight="1" x14ac:dyDescent="0.2">
      <c r="A720" s="209"/>
      <c r="B720" s="209"/>
      <c r="C720" s="221"/>
      <c r="D720" s="221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</row>
    <row r="721" spans="1:17" ht="19.5" customHeight="1" x14ac:dyDescent="0.2">
      <c r="A721" s="209"/>
      <c r="B721" s="209"/>
      <c r="C721" s="221"/>
      <c r="D721" s="221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</row>
    <row r="722" spans="1:17" ht="19.5" customHeight="1" x14ac:dyDescent="0.2">
      <c r="A722" s="209"/>
      <c r="B722" s="209"/>
      <c r="C722" s="221"/>
      <c r="D722" s="221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</row>
    <row r="723" spans="1:17" ht="19.5" customHeight="1" x14ac:dyDescent="0.2">
      <c r="A723" s="209"/>
      <c r="B723" s="209"/>
      <c r="C723" s="221"/>
      <c r="D723" s="221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</row>
    <row r="724" spans="1:17" ht="19.5" customHeight="1" x14ac:dyDescent="0.2">
      <c r="A724" s="209"/>
      <c r="B724" s="209"/>
      <c r="C724" s="221"/>
      <c r="D724" s="221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</row>
    <row r="725" spans="1:17" ht="19.5" customHeight="1" x14ac:dyDescent="0.2">
      <c r="A725" s="209"/>
      <c r="B725" s="209"/>
      <c r="C725" s="221"/>
      <c r="D725" s="221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</row>
    <row r="726" spans="1:17" ht="19.5" customHeight="1" x14ac:dyDescent="0.2">
      <c r="A726" s="209"/>
      <c r="B726" s="209"/>
      <c r="C726" s="221"/>
      <c r="D726" s="221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</row>
    <row r="727" spans="1:17" ht="19.5" customHeight="1" x14ac:dyDescent="0.2">
      <c r="A727" s="209"/>
      <c r="B727" s="209"/>
      <c r="C727" s="221"/>
      <c r="D727" s="221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</row>
    <row r="728" spans="1:17" ht="19.5" customHeight="1" x14ac:dyDescent="0.2">
      <c r="A728" s="209"/>
      <c r="B728" s="209"/>
      <c r="C728" s="221"/>
      <c r="D728" s="221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</row>
    <row r="729" spans="1:17" ht="19.5" customHeight="1" x14ac:dyDescent="0.2">
      <c r="A729" s="209"/>
      <c r="B729" s="209"/>
      <c r="C729" s="221"/>
      <c r="D729" s="221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</row>
    <row r="730" spans="1:17" ht="19.5" customHeight="1" x14ac:dyDescent="0.2">
      <c r="A730" s="209"/>
      <c r="B730" s="209"/>
      <c r="C730" s="221"/>
      <c r="D730" s="221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</row>
    <row r="731" spans="1:17" ht="19.5" customHeight="1" x14ac:dyDescent="0.2">
      <c r="A731" s="209"/>
      <c r="B731" s="209"/>
      <c r="C731" s="221"/>
      <c r="D731" s="221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</row>
    <row r="732" spans="1:17" ht="19.5" customHeight="1" x14ac:dyDescent="0.2">
      <c r="A732" s="209"/>
      <c r="B732" s="209"/>
      <c r="C732" s="221"/>
      <c r="D732" s="221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</row>
    <row r="733" spans="1:17" ht="19.5" customHeight="1" x14ac:dyDescent="0.2">
      <c r="A733" s="209"/>
      <c r="B733" s="209"/>
      <c r="C733" s="221"/>
      <c r="D733" s="221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</row>
    <row r="734" spans="1:17" ht="19.5" customHeight="1" x14ac:dyDescent="0.2">
      <c r="A734" s="209"/>
      <c r="B734" s="209"/>
      <c r="C734" s="221"/>
      <c r="D734" s="221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</row>
    <row r="735" spans="1:17" ht="19.5" customHeight="1" x14ac:dyDescent="0.2">
      <c r="A735" s="209"/>
      <c r="B735" s="209"/>
      <c r="C735" s="221"/>
      <c r="D735" s="221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</row>
    <row r="736" spans="1:17" ht="19.5" customHeight="1" x14ac:dyDescent="0.2">
      <c r="A736" s="209"/>
      <c r="B736" s="209"/>
      <c r="C736" s="221"/>
      <c r="D736" s="221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</row>
    <row r="737" spans="1:17" ht="19.5" customHeight="1" x14ac:dyDescent="0.2">
      <c r="A737" s="209"/>
      <c r="B737" s="209"/>
      <c r="C737" s="221"/>
      <c r="D737" s="221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</row>
    <row r="738" spans="1:17" ht="19.5" customHeight="1" x14ac:dyDescent="0.2">
      <c r="A738" s="209"/>
      <c r="B738" s="209"/>
      <c r="C738" s="221"/>
      <c r="D738" s="221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</row>
    <row r="739" spans="1:17" ht="19.5" customHeight="1" x14ac:dyDescent="0.2">
      <c r="A739" s="209"/>
      <c r="B739" s="209"/>
      <c r="C739" s="221"/>
      <c r="D739" s="221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</row>
    <row r="740" spans="1:17" ht="19.5" customHeight="1" x14ac:dyDescent="0.2">
      <c r="A740" s="209"/>
      <c r="B740" s="209"/>
      <c r="C740" s="221"/>
      <c r="D740" s="221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</row>
    <row r="741" spans="1:17" ht="19.5" customHeight="1" x14ac:dyDescent="0.2">
      <c r="A741" s="209"/>
      <c r="B741" s="209"/>
      <c r="C741" s="221"/>
      <c r="D741" s="221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</row>
    <row r="742" spans="1:17" ht="19.5" customHeight="1" x14ac:dyDescent="0.2">
      <c r="A742" s="209"/>
      <c r="B742" s="209"/>
      <c r="C742" s="221"/>
      <c r="D742" s="221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</row>
    <row r="743" spans="1:17" ht="19.5" customHeight="1" x14ac:dyDescent="0.2">
      <c r="A743" s="209"/>
      <c r="B743" s="209"/>
      <c r="C743" s="221"/>
      <c r="D743" s="221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</row>
    <row r="744" spans="1:17" ht="19.5" customHeight="1" x14ac:dyDescent="0.2">
      <c r="A744" s="209"/>
      <c r="B744" s="209"/>
      <c r="C744" s="221"/>
      <c r="D744" s="221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</row>
    <row r="745" spans="1:17" ht="19.5" customHeight="1" x14ac:dyDescent="0.2">
      <c r="A745" s="209"/>
      <c r="B745" s="209"/>
      <c r="C745" s="221"/>
      <c r="D745" s="221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</row>
    <row r="746" spans="1:17" ht="19.5" customHeight="1" x14ac:dyDescent="0.2">
      <c r="A746" s="209"/>
      <c r="B746" s="209"/>
      <c r="C746" s="221"/>
      <c r="D746" s="221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</row>
    <row r="747" spans="1:17" ht="19.5" customHeight="1" x14ac:dyDescent="0.2">
      <c r="A747" s="209"/>
      <c r="B747" s="209"/>
      <c r="C747" s="221"/>
      <c r="D747" s="221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</row>
    <row r="748" spans="1:17" ht="19.5" customHeight="1" x14ac:dyDescent="0.2">
      <c r="A748" s="209"/>
      <c r="B748" s="209"/>
      <c r="C748" s="221"/>
      <c r="D748" s="221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</row>
    <row r="749" spans="1:17" ht="19.5" customHeight="1" x14ac:dyDescent="0.2">
      <c r="A749" s="209"/>
      <c r="B749" s="209"/>
      <c r="C749" s="221"/>
      <c r="D749" s="221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</row>
    <row r="750" spans="1:17" ht="19.5" customHeight="1" x14ac:dyDescent="0.2">
      <c r="A750" s="209"/>
      <c r="B750" s="209"/>
      <c r="C750" s="221"/>
      <c r="D750" s="221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</row>
    <row r="751" spans="1:17" ht="19.5" customHeight="1" x14ac:dyDescent="0.2">
      <c r="A751" s="209"/>
      <c r="B751" s="209"/>
      <c r="C751" s="221"/>
      <c r="D751" s="221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</row>
    <row r="752" spans="1:17" ht="19.5" customHeight="1" x14ac:dyDescent="0.2">
      <c r="A752" s="209"/>
      <c r="B752" s="209"/>
      <c r="C752" s="221"/>
      <c r="D752" s="221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</row>
    <row r="753" spans="1:17" ht="19.5" customHeight="1" x14ac:dyDescent="0.2">
      <c r="A753" s="209"/>
      <c r="B753" s="209"/>
      <c r="C753" s="221"/>
      <c r="D753" s="221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</row>
    <row r="754" spans="1:17" ht="19.5" customHeight="1" x14ac:dyDescent="0.2">
      <c r="A754" s="209"/>
      <c r="B754" s="209"/>
      <c r="C754" s="221"/>
      <c r="D754" s="221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</row>
    <row r="755" spans="1:17" ht="19.5" customHeight="1" x14ac:dyDescent="0.2">
      <c r="A755" s="209"/>
      <c r="B755" s="209"/>
      <c r="C755" s="221"/>
      <c r="D755" s="221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</row>
    <row r="756" spans="1:17" ht="19.5" customHeight="1" x14ac:dyDescent="0.2">
      <c r="A756" s="209"/>
      <c r="B756" s="209"/>
      <c r="C756" s="221"/>
      <c r="D756" s="221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</row>
    <row r="757" spans="1:17" ht="19.5" customHeight="1" x14ac:dyDescent="0.2">
      <c r="A757" s="209"/>
      <c r="B757" s="209"/>
      <c r="C757" s="221"/>
      <c r="D757" s="221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</row>
    <row r="758" spans="1:17" ht="19.5" customHeight="1" x14ac:dyDescent="0.2">
      <c r="A758" s="209"/>
      <c r="B758" s="209"/>
      <c r="C758" s="221"/>
      <c r="D758" s="221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</row>
    <row r="759" spans="1:17" ht="19.5" customHeight="1" x14ac:dyDescent="0.2">
      <c r="A759" s="209"/>
      <c r="B759" s="209"/>
      <c r="C759" s="221"/>
      <c r="D759" s="221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</row>
    <row r="760" spans="1:17" ht="19.5" customHeight="1" x14ac:dyDescent="0.2">
      <c r="A760" s="209"/>
      <c r="B760" s="209"/>
      <c r="C760" s="221"/>
      <c r="D760" s="221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</row>
    <row r="761" spans="1:17" ht="19.5" customHeight="1" x14ac:dyDescent="0.2">
      <c r="A761" s="209"/>
      <c r="B761" s="209"/>
      <c r="C761" s="221"/>
      <c r="D761" s="221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</row>
    <row r="762" spans="1:17" ht="19.5" customHeight="1" x14ac:dyDescent="0.2">
      <c r="A762" s="209"/>
      <c r="B762" s="209"/>
      <c r="C762" s="221"/>
      <c r="D762" s="221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</row>
    <row r="763" spans="1:17" ht="19.5" customHeight="1" x14ac:dyDescent="0.2">
      <c r="A763" s="209"/>
      <c r="B763" s="209"/>
      <c r="C763" s="221"/>
      <c r="D763" s="221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</row>
    <row r="764" spans="1:17" ht="19.5" customHeight="1" x14ac:dyDescent="0.2">
      <c r="A764" s="209"/>
      <c r="B764" s="209"/>
      <c r="C764" s="221"/>
      <c r="D764" s="221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</row>
    <row r="765" spans="1:17" ht="19.5" customHeight="1" x14ac:dyDescent="0.2">
      <c r="A765" s="209"/>
      <c r="B765" s="209"/>
      <c r="C765" s="221"/>
      <c r="D765" s="221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</row>
    <row r="766" spans="1:17" ht="19.5" customHeight="1" x14ac:dyDescent="0.2">
      <c r="A766" s="209"/>
      <c r="B766" s="209"/>
      <c r="C766" s="221"/>
      <c r="D766" s="221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</row>
    <row r="767" spans="1:17" ht="19.5" customHeight="1" x14ac:dyDescent="0.2">
      <c r="A767" s="209"/>
      <c r="B767" s="209"/>
      <c r="C767" s="221"/>
      <c r="D767" s="221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</row>
    <row r="768" spans="1:17" ht="19.5" customHeight="1" x14ac:dyDescent="0.2">
      <c r="A768" s="209"/>
      <c r="B768" s="209"/>
      <c r="C768" s="221"/>
      <c r="D768" s="221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</row>
    <row r="769" spans="1:17" ht="19.5" customHeight="1" x14ac:dyDescent="0.2">
      <c r="A769" s="209"/>
      <c r="B769" s="209"/>
      <c r="C769" s="221"/>
      <c r="D769" s="221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</row>
    <row r="770" spans="1:17" ht="19.5" customHeight="1" x14ac:dyDescent="0.2">
      <c r="A770" s="209"/>
      <c r="B770" s="209"/>
      <c r="C770" s="221"/>
      <c r="D770" s="221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</row>
    <row r="771" spans="1:17" ht="19.5" customHeight="1" x14ac:dyDescent="0.2">
      <c r="A771" s="209"/>
      <c r="B771" s="209"/>
      <c r="C771" s="221"/>
      <c r="D771" s="221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</row>
    <row r="772" spans="1:17" ht="19.5" customHeight="1" x14ac:dyDescent="0.2">
      <c r="A772" s="209"/>
      <c r="B772" s="209"/>
      <c r="C772" s="221"/>
      <c r="D772" s="221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</row>
    <row r="773" spans="1:17" ht="19.5" customHeight="1" x14ac:dyDescent="0.2">
      <c r="A773" s="209"/>
      <c r="B773" s="209"/>
      <c r="C773" s="221"/>
      <c r="D773" s="221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</row>
    <row r="774" spans="1:17" ht="19.5" customHeight="1" x14ac:dyDescent="0.2">
      <c r="A774" s="209"/>
      <c r="B774" s="209"/>
      <c r="C774" s="221"/>
      <c r="D774" s="221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</row>
    <row r="775" spans="1:17" ht="19.5" customHeight="1" x14ac:dyDescent="0.2">
      <c r="A775" s="209"/>
      <c r="B775" s="209"/>
      <c r="C775" s="221"/>
      <c r="D775" s="221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</row>
    <row r="776" spans="1:17" ht="19.5" customHeight="1" x14ac:dyDescent="0.2">
      <c r="A776" s="209"/>
      <c r="B776" s="209"/>
      <c r="C776" s="221"/>
      <c r="D776" s="221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</row>
    <row r="777" spans="1:17" ht="19.5" customHeight="1" x14ac:dyDescent="0.2">
      <c r="A777" s="209"/>
      <c r="B777" s="209"/>
      <c r="C777" s="221"/>
      <c r="D777" s="221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</row>
    <row r="778" spans="1:17" ht="19.5" customHeight="1" x14ac:dyDescent="0.2">
      <c r="A778" s="209"/>
      <c r="B778" s="209"/>
      <c r="C778" s="221"/>
      <c r="D778" s="221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</row>
    <row r="779" spans="1:17" ht="19.5" customHeight="1" x14ac:dyDescent="0.2">
      <c r="A779" s="209"/>
      <c r="B779" s="209"/>
      <c r="C779" s="221"/>
      <c r="D779" s="221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</row>
    <row r="780" spans="1:17" ht="19.5" customHeight="1" x14ac:dyDescent="0.2">
      <c r="A780" s="209"/>
      <c r="B780" s="209"/>
      <c r="C780" s="221"/>
      <c r="D780" s="221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</row>
    <row r="781" spans="1:17" ht="19.5" customHeight="1" x14ac:dyDescent="0.2">
      <c r="A781" s="209"/>
      <c r="B781" s="209"/>
      <c r="C781" s="221"/>
      <c r="D781" s="221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</row>
    <row r="782" spans="1:17" ht="19.5" customHeight="1" x14ac:dyDescent="0.2">
      <c r="A782" s="209"/>
      <c r="B782" s="209"/>
      <c r="C782" s="221"/>
      <c r="D782" s="221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</row>
    <row r="783" spans="1:17" ht="19.5" customHeight="1" x14ac:dyDescent="0.2">
      <c r="A783" s="209"/>
      <c r="B783" s="209"/>
      <c r="C783" s="221"/>
      <c r="D783" s="221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</row>
    <row r="784" spans="1:17" ht="19.5" customHeight="1" x14ac:dyDescent="0.2">
      <c r="A784" s="209"/>
      <c r="B784" s="209"/>
      <c r="C784" s="221"/>
      <c r="D784" s="221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</row>
    <row r="785" spans="1:17" ht="19.5" customHeight="1" x14ac:dyDescent="0.2">
      <c r="A785" s="209"/>
      <c r="B785" s="209"/>
      <c r="C785" s="221"/>
      <c r="D785" s="221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</row>
    <row r="786" spans="1:17" ht="19.5" customHeight="1" x14ac:dyDescent="0.2">
      <c r="A786" s="209"/>
      <c r="B786" s="209"/>
      <c r="C786" s="221"/>
      <c r="D786" s="221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</row>
    <row r="787" spans="1:17" ht="19.5" customHeight="1" x14ac:dyDescent="0.2">
      <c r="A787" s="209"/>
      <c r="B787" s="209"/>
      <c r="C787" s="221"/>
      <c r="D787" s="221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</row>
    <row r="788" spans="1:17" ht="19.5" customHeight="1" x14ac:dyDescent="0.2">
      <c r="A788" s="209"/>
      <c r="B788" s="209"/>
      <c r="C788" s="221"/>
      <c r="D788" s="221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</row>
    <row r="789" spans="1:17" ht="19.5" customHeight="1" x14ac:dyDescent="0.2">
      <c r="A789" s="209"/>
      <c r="B789" s="209"/>
      <c r="C789" s="221"/>
      <c r="D789" s="221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</row>
    <row r="790" spans="1:17" ht="19.5" customHeight="1" x14ac:dyDescent="0.2">
      <c r="A790" s="209"/>
      <c r="B790" s="209"/>
      <c r="C790" s="221"/>
      <c r="D790" s="221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</row>
    <row r="791" spans="1:17" ht="19.5" customHeight="1" x14ac:dyDescent="0.2">
      <c r="A791" s="209"/>
      <c r="B791" s="209"/>
      <c r="C791" s="221"/>
      <c r="D791" s="221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</row>
    <row r="792" spans="1:17" ht="19.5" customHeight="1" x14ac:dyDescent="0.2">
      <c r="A792" s="209"/>
      <c r="B792" s="209"/>
      <c r="C792" s="221"/>
      <c r="D792" s="221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</row>
    <row r="793" spans="1:17" ht="19.5" customHeight="1" x14ac:dyDescent="0.2">
      <c r="A793" s="209"/>
      <c r="B793" s="209"/>
      <c r="C793" s="221"/>
      <c r="D793" s="221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</row>
    <row r="794" spans="1:17" ht="19.5" customHeight="1" x14ac:dyDescent="0.2">
      <c r="A794" s="209"/>
      <c r="B794" s="209"/>
      <c r="C794" s="221"/>
      <c r="D794" s="221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</row>
    <row r="795" spans="1:17" ht="19.5" customHeight="1" x14ac:dyDescent="0.2">
      <c r="A795" s="209"/>
      <c r="B795" s="209"/>
      <c r="C795" s="221"/>
      <c r="D795" s="221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</row>
    <row r="796" spans="1:17" ht="19.5" customHeight="1" x14ac:dyDescent="0.2">
      <c r="A796" s="209"/>
      <c r="B796" s="209"/>
      <c r="C796" s="221"/>
      <c r="D796" s="221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</row>
    <row r="797" spans="1:17" ht="19.5" customHeight="1" x14ac:dyDescent="0.2">
      <c r="A797" s="209"/>
      <c r="B797" s="209"/>
      <c r="C797" s="221"/>
      <c r="D797" s="221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</row>
    <row r="798" spans="1:17" ht="19.5" customHeight="1" x14ac:dyDescent="0.2">
      <c r="A798" s="209"/>
      <c r="B798" s="209"/>
      <c r="C798" s="221"/>
      <c r="D798" s="221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</row>
    <row r="799" spans="1:17" ht="19.5" customHeight="1" x14ac:dyDescent="0.2">
      <c r="A799" s="209"/>
      <c r="B799" s="209"/>
      <c r="C799" s="221"/>
      <c r="D799" s="221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</row>
    <row r="800" spans="1:17" ht="19.5" customHeight="1" x14ac:dyDescent="0.2">
      <c r="A800" s="209"/>
      <c r="B800" s="209"/>
      <c r="C800" s="221"/>
      <c r="D800" s="221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</row>
    <row r="801" spans="1:17" ht="19.5" customHeight="1" x14ac:dyDescent="0.2">
      <c r="A801" s="209"/>
      <c r="B801" s="209"/>
      <c r="C801" s="221"/>
      <c r="D801" s="221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</row>
    <row r="802" spans="1:17" ht="19.5" customHeight="1" x14ac:dyDescent="0.2">
      <c r="A802" s="209"/>
      <c r="B802" s="209"/>
      <c r="C802" s="221"/>
      <c r="D802" s="221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</row>
    <row r="803" spans="1:17" ht="19.5" customHeight="1" x14ac:dyDescent="0.2">
      <c r="A803" s="209"/>
      <c r="B803" s="209"/>
      <c r="C803" s="221"/>
      <c r="D803" s="221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</row>
    <row r="804" spans="1:17" ht="19.5" customHeight="1" x14ac:dyDescent="0.2">
      <c r="A804" s="209"/>
      <c r="B804" s="209"/>
      <c r="C804" s="221"/>
      <c r="D804" s="221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</row>
    <row r="805" spans="1:17" ht="19.5" customHeight="1" x14ac:dyDescent="0.2">
      <c r="A805" s="209"/>
      <c r="B805" s="209"/>
      <c r="C805" s="221"/>
      <c r="D805" s="221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</row>
    <row r="806" spans="1:17" ht="19.5" customHeight="1" x14ac:dyDescent="0.2">
      <c r="A806" s="209"/>
      <c r="B806" s="209"/>
      <c r="C806" s="221"/>
      <c r="D806" s="221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</row>
    <row r="807" spans="1:17" ht="19.5" customHeight="1" x14ac:dyDescent="0.2">
      <c r="A807" s="209"/>
      <c r="B807" s="209"/>
      <c r="C807" s="221"/>
      <c r="D807" s="221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</row>
    <row r="808" spans="1:17" ht="19.5" customHeight="1" x14ac:dyDescent="0.2">
      <c r="A808" s="209"/>
      <c r="B808" s="209"/>
      <c r="C808" s="221"/>
      <c r="D808" s="221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</row>
    <row r="809" spans="1:17" ht="19.5" customHeight="1" x14ac:dyDescent="0.2">
      <c r="A809" s="209"/>
      <c r="B809" s="209"/>
      <c r="C809" s="221"/>
      <c r="D809" s="221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</row>
    <row r="810" spans="1:17" ht="19.5" customHeight="1" x14ac:dyDescent="0.2">
      <c r="A810" s="209"/>
      <c r="B810" s="209"/>
      <c r="C810" s="221"/>
      <c r="D810" s="221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</row>
    <row r="811" spans="1:17" ht="19.5" customHeight="1" x14ac:dyDescent="0.2">
      <c r="A811" s="209"/>
      <c r="B811" s="209"/>
      <c r="C811" s="221"/>
      <c r="D811" s="221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</row>
    <row r="812" spans="1:17" ht="19.5" customHeight="1" x14ac:dyDescent="0.2">
      <c r="A812" s="209"/>
      <c r="B812" s="209"/>
      <c r="C812" s="221"/>
      <c r="D812" s="221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</row>
    <row r="813" spans="1:17" ht="19.5" customHeight="1" x14ac:dyDescent="0.2">
      <c r="A813" s="209"/>
      <c r="B813" s="209"/>
      <c r="C813" s="221"/>
      <c r="D813" s="221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</row>
    <row r="814" spans="1:17" ht="19.5" customHeight="1" x14ac:dyDescent="0.2">
      <c r="A814" s="209"/>
      <c r="B814" s="209"/>
      <c r="C814" s="221"/>
      <c r="D814" s="221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</row>
    <row r="815" spans="1:17" ht="19.5" customHeight="1" x14ac:dyDescent="0.2">
      <c r="A815" s="209"/>
      <c r="B815" s="209"/>
      <c r="C815" s="221"/>
      <c r="D815" s="221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</row>
    <row r="816" spans="1:17" ht="19.5" customHeight="1" x14ac:dyDescent="0.2">
      <c r="A816" s="209"/>
      <c r="B816" s="209"/>
      <c r="C816" s="221"/>
      <c r="D816" s="221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</row>
    <row r="817" spans="1:17" ht="19.5" customHeight="1" x14ac:dyDescent="0.2">
      <c r="A817" s="209"/>
      <c r="B817" s="209"/>
      <c r="C817" s="221"/>
      <c r="D817" s="221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</row>
    <row r="818" spans="1:17" ht="19.5" customHeight="1" x14ac:dyDescent="0.2">
      <c r="A818" s="209"/>
      <c r="B818" s="209"/>
      <c r="C818" s="221"/>
      <c r="D818" s="221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</row>
    <row r="819" spans="1:17" ht="19.5" customHeight="1" x14ac:dyDescent="0.2">
      <c r="A819" s="209"/>
      <c r="B819" s="209"/>
      <c r="C819" s="221"/>
      <c r="D819" s="221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</row>
    <row r="820" spans="1:17" ht="19.5" customHeight="1" x14ac:dyDescent="0.2">
      <c r="A820" s="209"/>
      <c r="B820" s="209"/>
      <c r="C820" s="221"/>
      <c r="D820" s="221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</row>
    <row r="821" spans="1:17" ht="19.5" customHeight="1" x14ac:dyDescent="0.2">
      <c r="A821" s="209"/>
      <c r="B821" s="209"/>
      <c r="C821" s="221"/>
      <c r="D821" s="221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</row>
    <row r="822" spans="1:17" ht="19.5" customHeight="1" x14ac:dyDescent="0.2">
      <c r="A822" s="209"/>
      <c r="B822" s="209"/>
      <c r="C822" s="221"/>
      <c r="D822" s="221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</row>
    <row r="823" spans="1:17" ht="19.5" customHeight="1" x14ac:dyDescent="0.2">
      <c r="A823" s="209"/>
      <c r="B823" s="209"/>
      <c r="C823" s="221"/>
      <c r="D823" s="221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</row>
    <row r="824" spans="1:17" ht="19.5" customHeight="1" x14ac:dyDescent="0.2">
      <c r="A824" s="209"/>
      <c r="B824" s="209"/>
      <c r="C824" s="221"/>
      <c r="D824" s="221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</row>
    <row r="825" spans="1:17" ht="19.5" customHeight="1" x14ac:dyDescent="0.2">
      <c r="A825" s="209"/>
      <c r="B825" s="209"/>
      <c r="C825" s="221"/>
      <c r="D825" s="221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</row>
    <row r="826" spans="1:17" ht="19.5" customHeight="1" x14ac:dyDescent="0.2">
      <c r="A826" s="209"/>
      <c r="B826" s="209"/>
      <c r="C826" s="221"/>
      <c r="D826" s="221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</row>
    <row r="827" spans="1:17" ht="19.5" customHeight="1" x14ac:dyDescent="0.2">
      <c r="A827" s="209"/>
      <c r="B827" s="209"/>
      <c r="C827" s="221"/>
      <c r="D827" s="221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</row>
    <row r="828" spans="1:17" ht="19.5" customHeight="1" x14ac:dyDescent="0.2">
      <c r="A828" s="209"/>
      <c r="B828" s="209"/>
      <c r="C828" s="221"/>
      <c r="D828" s="221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</row>
    <row r="829" spans="1:17" ht="19.5" customHeight="1" x14ac:dyDescent="0.2">
      <c r="A829" s="209"/>
      <c r="B829" s="209"/>
      <c r="C829" s="221"/>
      <c r="D829" s="221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</row>
    <row r="830" spans="1:17" ht="19.5" customHeight="1" x14ac:dyDescent="0.2">
      <c r="A830" s="209"/>
      <c r="B830" s="209"/>
      <c r="C830" s="221"/>
      <c r="D830" s="221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</row>
    <row r="831" spans="1:17" ht="19.5" customHeight="1" x14ac:dyDescent="0.2">
      <c r="A831" s="209"/>
      <c r="B831" s="209"/>
      <c r="C831" s="221"/>
      <c r="D831" s="221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</row>
    <row r="832" spans="1:17" ht="19.5" customHeight="1" x14ac:dyDescent="0.2">
      <c r="A832" s="209"/>
      <c r="B832" s="209"/>
      <c r="C832" s="221"/>
      <c r="D832" s="221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</row>
    <row r="833" spans="1:17" ht="19.5" customHeight="1" x14ac:dyDescent="0.2">
      <c r="A833" s="209"/>
      <c r="B833" s="209"/>
      <c r="C833" s="221"/>
      <c r="D833" s="221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</row>
    <row r="834" spans="1:17" ht="19.5" customHeight="1" x14ac:dyDescent="0.2">
      <c r="A834" s="209"/>
      <c r="B834" s="209"/>
      <c r="C834" s="221"/>
      <c r="D834" s="221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</row>
    <row r="835" spans="1:17" ht="19.5" customHeight="1" x14ac:dyDescent="0.2">
      <c r="A835" s="209"/>
      <c r="B835" s="209"/>
      <c r="C835" s="221"/>
      <c r="D835" s="221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</row>
    <row r="836" spans="1:17" ht="19.5" customHeight="1" x14ac:dyDescent="0.2">
      <c r="A836" s="209"/>
      <c r="B836" s="209"/>
      <c r="C836" s="221"/>
      <c r="D836" s="221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</row>
    <row r="837" spans="1:17" ht="19.5" customHeight="1" x14ac:dyDescent="0.2">
      <c r="A837" s="209"/>
      <c r="B837" s="209"/>
      <c r="C837" s="221"/>
      <c r="D837" s="221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</row>
    <row r="838" spans="1:17" ht="19.5" customHeight="1" x14ac:dyDescent="0.2">
      <c r="A838" s="209"/>
      <c r="B838" s="209"/>
      <c r="C838" s="221"/>
      <c r="D838" s="221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</row>
    <row r="839" spans="1:17" ht="19.5" customHeight="1" x14ac:dyDescent="0.2">
      <c r="A839" s="209"/>
      <c r="B839" s="209"/>
      <c r="C839" s="221"/>
      <c r="D839" s="221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</row>
    <row r="840" spans="1:17" ht="19.5" customHeight="1" x14ac:dyDescent="0.2">
      <c r="A840" s="209"/>
      <c r="B840" s="209"/>
      <c r="C840" s="221"/>
      <c r="D840" s="221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</row>
    <row r="841" spans="1:17" ht="19.5" customHeight="1" x14ac:dyDescent="0.2">
      <c r="A841" s="209"/>
      <c r="B841" s="209"/>
      <c r="C841" s="221"/>
      <c r="D841" s="221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</row>
    <row r="842" spans="1:17" ht="19.5" customHeight="1" x14ac:dyDescent="0.2">
      <c r="A842" s="209"/>
      <c r="B842" s="209"/>
      <c r="C842" s="221"/>
      <c r="D842" s="221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</row>
    <row r="843" spans="1:17" ht="19.5" customHeight="1" x14ac:dyDescent="0.2">
      <c r="A843" s="209"/>
      <c r="B843" s="209"/>
      <c r="C843" s="221"/>
      <c r="D843" s="221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</row>
    <row r="844" spans="1:17" ht="19.5" customHeight="1" x14ac:dyDescent="0.2">
      <c r="A844" s="209"/>
      <c r="B844" s="209"/>
      <c r="C844" s="221"/>
      <c r="D844" s="221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</row>
    <row r="845" spans="1:17" ht="19.5" customHeight="1" x14ac:dyDescent="0.2">
      <c r="A845" s="209"/>
      <c r="B845" s="209"/>
      <c r="C845" s="221"/>
      <c r="D845" s="221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</row>
    <row r="846" spans="1:17" ht="19.5" customHeight="1" x14ac:dyDescent="0.2">
      <c r="A846" s="209"/>
      <c r="B846" s="209"/>
      <c r="C846" s="221"/>
      <c r="D846" s="221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</row>
    <row r="847" spans="1:17" ht="19.5" customHeight="1" x14ac:dyDescent="0.2">
      <c r="A847" s="209"/>
      <c r="B847" s="209"/>
      <c r="C847" s="221"/>
      <c r="D847" s="221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</row>
    <row r="848" spans="1:17" ht="19.5" customHeight="1" x14ac:dyDescent="0.2">
      <c r="A848" s="209"/>
      <c r="B848" s="209"/>
      <c r="C848" s="221"/>
      <c r="D848" s="221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</row>
    <row r="849" spans="1:17" ht="19.5" customHeight="1" x14ac:dyDescent="0.2">
      <c r="A849" s="209"/>
      <c r="B849" s="209"/>
      <c r="C849" s="221"/>
      <c r="D849" s="221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</row>
    <row r="850" spans="1:17" ht="19.5" customHeight="1" x14ac:dyDescent="0.2">
      <c r="A850" s="209"/>
      <c r="B850" s="209"/>
      <c r="C850" s="221"/>
      <c r="D850" s="221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</row>
    <row r="851" spans="1:17" ht="19.5" customHeight="1" x14ac:dyDescent="0.2">
      <c r="A851" s="209"/>
      <c r="B851" s="209"/>
      <c r="C851" s="221"/>
      <c r="D851" s="221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</row>
    <row r="852" spans="1:17" ht="19.5" customHeight="1" x14ac:dyDescent="0.2">
      <c r="A852" s="209"/>
      <c r="B852" s="209"/>
      <c r="C852" s="221"/>
      <c r="D852" s="221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</row>
    <row r="853" spans="1:17" ht="19.5" customHeight="1" x14ac:dyDescent="0.2">
      <c r="A853" s="209"/>
      <c r="B853" s="209"/>
      <c r="C853" s="221"/>
      <c r="D853" s="221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</row>
    <row r="854" spans="1:17" ht="19.5" customHeight="1" x14ac:dyDescent="0.2">
      <c r="A854" s="209"/>
      <c r="B854" s="209"/>
      <c r="C854" s="221"/>
      <c r="D854" s="221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</row>
    <row r="855" spans="1:17" ht="19.5" customHeight="1" x14ac:dyDescent="0.2">
      <c r="A855" s="209"/>
      <c r="B855" s="209"/>
      <c r="C855" s="221"/>
      <c r="D855" s="221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</row>
    <row r="856" spans="1:17" ht="19.5" customHeight="1" x14ac:dyDescent="0.2">
      <c r="A856" s="209"/>
      <c r="B856" s="209"/>
      <c r="C856" s="221"/>
      <c r="D856" s="221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</row>
    <row r="857" spans="1:17" ht="19.5" customHeight="1" x14ac:dyDescent="0.2">
      <c r="A857" s="209"/>
      <c r="B857" s="209"/>
      <c r="C857" s="221"/>
      <c r="D857" s="221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</row>
    <row r="858" spans="1:17" ht="19.5" customHeight="1" x14ac:dyDescent="0.2">
      <c r="A858" s="209"/>
      <c r="B858" s="209"/>
      <c r="C858" s="221"/>
      <c r="D858" s="221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</row>
    <row r="859" spans="1:17" ht="19.5" customHeight="1" x14ac:dyDescent="0.2">
      <c r="A859" s="209"/>
      <c r="B859" s="209"/>
      <c r="C859" s="221"/>
      <c r="D859" s="221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</row>
    <row r="860" spans="1:17" ht="19.5" customHeight="1" x14ac:dyDescent="0.2">
      <c r="A860" s="209"/>
      <c r="B860" s="209"/>
      <c r="C860" s="221"/>
      <c r="D860" s="221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</row>
    <row r="861" spans="1:17" ht="19.5" customHeight="1" x14ac:dyDescent="0.2">
      <c r="A861" s="209"/>
      <c r="B861" s="209"/>
      <c r="C861" s="221"/>
      <c r="D861" s="221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</row>
    <row r="862" spans="1:17" ht="19.5" customHeight="1" x14ac:dyDescent="0.2">
      <c r="A862" s="209"/>
      <c r="B862" s="209"/>
      <c r="C862" s="221"/>
      <c r="D862" s="221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</row>
    <row r="863" spans="1:17" ht="19.5" customHeight="1" x14ac:dyDescent="0.2">
      <c r="A863" s="209"/>
      <c r="B863" s="209"/>
      <c r="C863" s="221"/>
      <c r="D863" s="221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</row>
    <row r="864" spans="1:17" ht="19.5" customHeight="1" x14ac:dyDescent="0.2">
      <c r="A864" s="209"/>
      <c r="B864" s="209"/>
      <c r="C864" s="221"/>
      <c r="D864" s="221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</row>
    <row r="865" spans="1:17" ht="19.5" customHeight="1" x14ac:dyDescent="0.2">
      <c r="A865" s="209"/>
      <c r="B865" s="209"/>
      <c r="C865" s="221"/>
      <c r="D865" s="221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</row>
    <row r="866" spans="1:17" ht="19.5" customHeight="1" x14ac:dyDescent="0.2">
      <c r="A866" s="209"/>
      <c r="B866" s="209"/>
      <c r="C866" s="221"/>
      <c r="D866" s="221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</row>
    <row r="867" spans="1:17" ht="19.5" customHeight="1" x14ac:dyDescent="0.2">
      <c r="A867" s="209"/>
      <c r="B867" s="209"/>
      <c r="C867" s="221"/>
      <c r="D867" s="221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</row>
    <row r="868" spans="1:17" ht="19.5" customHeight="1" x14ac:dyDescent="0.2">
      <c r="A868" s="209"/>
      <c r="B868" s="209"/>
      <c r="C868" s="221"/>
      <c r="D868" s="221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</row>
    <row r="869" spans="1:17" ht="19.5" customHeight="1" x14ac:dyDescent="0.2">
      <c r="A869" s="209"/>
      <c r="B869" s="209"/>
      <c r="C869" s="221"/>
      <c r="D869" s="221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</row>
    <row r="870" spans="1:17" ht="19.5" customHeight="1" x14ac:dyDescent="0.2">
      <c r="A870" s="209"/>
      <c r="B870" s="209"/>
      <c r="C870" s="221"/>
      <c r="D870" s="221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</row>
    <row r="871" spans="1:17" ht="19.5" customHeight="1" x14ac:dyDescent="0.2">
      <c r="A871" s="209"/>
      <c r="B871" s="209"/>
      <c r="C871" s="221"/>
      <c r="D871" s="221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</row>
    <row r="872" spans="1:17" ht="19.5" customHeight="1" x14ac:dyDescent="0.2">
      <c r="A872" s="209"/>
      <c r="B872" s="209"/>
      <c r="C872" s="221"/>
      <c r="D872" s="221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</row>
    <row r="873" spans="1:17" ht="19.5" customHeight="1" x14ac:dyDescent="0.2">
      <c r="A873" s="209"/>
      <c r="B873" s="209"/>
      <c r="C873" s="221"/>
      <c r="D873" s="221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</row>
    <row r="874" spans="1:17" ht="19.5" customHeight="1" x14ac:dyDescent="0.2">
      <c r="A874" s="209"/>
      <c r="B874" s="209"/>
      <c r="C874" s="221"/>
      <c r="D874" s="221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</row>
    <row r="875" spans="1:17" ht="19.5" customHeight="1" x14ac:dyDescent="0.2">
      <c r="A875" s="209"/>
      <c r="B875" s="209"/>
      <c r="C875" s="221"/>
      <c r="D875" s="221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</row>
    <row r="876" spans="1:17" ht="19.5" customHeight="1" x14ac:dyDescent="0.2">
      <c r="A876" s="209"/>
      <c r="B876" s="209"/>
      <c r="C876" s="221"/>
      <c r="D876" s="221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</row>
    <row r="877" spans="1:17" ht="19.5" customHeight="1" x14ac:dyDescent="0.2">
      <c r="A877" s="209"/>
      <c r="B877" s="209"/>
      <c r="C877" s="221"/>
      <c r="D877" s="221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</row>
    <row r="878" spans="1:17" ht="19.5" customHeight="1" x14ac:dyDescent="0.2">
      <c r="A878" s="209"/>
      <c r="B878" s="209"/>
      <c r="C878" s="221"/>
      <c r="D878" s="221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</row>
    <row r="879" spans="1:17" ht="19.5" customHeight="1" x14ac:dyDescent="0.2">
      <c r="A879" s="209"/>
      <c r="B879" s="209"/>
      <c r="C879" s="221"/>
      <c r="D879" s="221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</row>
    <row r="880" spans="1:17" ht="19.5" customHeight="1" x14ac:dyDescent="0.2">
      <c r="A880" s="209"/>
      <c r="B880" s="209"/>
      <c r="C880" s="221"/>
      <c r="D880" s="221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</row>
    <row r="881" spans="1:17" ht="19.5" customHeight="1" x14ac:dyDescent="0.2">
      <c r="A881" s="209"/>
      <c r="B881" s="209"/>
      <c r="C881" s="221"/>
      <c r="D881" s="221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</row>
    <row r="882" spans="1:17" ht="19.5" customHeight="1" x14ac:dyDescent="0.2">
      <c r="A882" s="209"/>
      <c r="B882" s="209"/>
      <c r="C882" s="221"/>
      <c r="D882" s="221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</row>
    <row r="883" spans="1:17" ht="19.5" customHeight="1" x14ac:dyDescent="0.2">
      <c r="A883" s="209"/>
      <c r="B883" s="209"/>
      <c r="C883" s="221"/>
      <c r="D883" s="221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</row>
    <row r="884" spans="1:17" ht="19.5" customHeight="1" x14ac:dyDescent="0.2">
      <c r="A884" s="209"/>
      <c r="B884" s="209"/>
      <c r="C884" s="221"/>
      <c r="D884" s="221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</row>
    <row r="885" spans="1:17" ht="19.5" customHeight="1" x14ac:dyDescent="0.2">
      <c r="A885" s="209"/>
      <c r="B885" s="209"/>
      <c r="C885" s="221"/>
      <c r="D885" s="221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</row>
    <row r="886" spans="1:17" ht="19.5" customHeight="1" x14ac:dyDescent="0.2">
      <c r="A886" s="209"/>
      <c r="B886" s="209"/>
      <c r="C886" s="221"/>
      <c r="D886" s="221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</row>
    <row r="887" spans="1:17" ht="19.5" customHeight="1" x14ac:dyDescent="0.2">
      <c r="A887" s="209"/>
      <c r="B887" s="209"/>
      <c r="C887" s="221"/>
      <c r="D887" s="221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</row>
    <row r="888" spans="1:17" ht="19.5" customHeight="1" x14ac:dyDescent="0.2">
      <c r="A888" s="209"/>
      <c r="B888" s="209"/>
      <c r="C888" s="221"/>
      <c r="D888" s="221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</row>
    <row r="889" spans="1:17" ht="19.5" customHeight="1" x14ac:dyDescent="0.2">
      <c r="A889" s="209"/>
      <c r="B889" s="209"/>
      <c r="C889" s="221"/>
      <c r="D889" s="221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</row>
    <row r="890" spans="1:17" ht="19.5" customHeight="1" x14ac:dyDescent="0.2">
      <c r="A890" s="209"/>
      <c r="B890" s="209"/>
      <c r="C890" s="221"/>
      <c r="D890" s="221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</row>
    <row r="891" spans="1:17" ht="19.5" customHeight="1" x14ac:dyDescent="0.2">
      <c r="A891" s="209"/>
      <c r="B891" s="209"/>
      <c r="C891" s="221"/>
      <c r="D891" s="221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</row>
    <row r="892" spans="1:17" ht="19.5" customHeight="1" x14ac:dyDescent="0.2">
      <c r="A892" s="209"/>
      <c r="B892" s="209"/>
      <c r="C892" s="221"/>
      <c r="D892" s="221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</row>
    <row r="893" spans="1:17" ht="19.5" customHeight="1" x14ac:dyDescent="0.2">
      <c r="A893" s="209"/>
      <c r="B893" s="209"/>
      <c r="C893" s="221"/>
      <c r="D893" s="221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</row>
    <row r="894" spans="1:17" ht="19.5" customHeight="1" x14ac:dyDescent="0.2">
      <c r="A894" s="209"/>
      <c r="B894" s="209"/>
      <c r="C894" s="221"/>
      <c r="D894" s="221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</row>
    <row r="895" spans="1:17" ht="19.5" customHeight="1" x14ac:dyDescent="0.2">
      <c r="A895" s="209"/>
      <c r="B895" s="209"/>
      <c r="C895" s="221"/>
      <c r="D895" s="221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</row>
    <row r="896" spans="1:17" ht="19.5" customHeight="1" x14ac:dyDescent="0.2">
      <c r="A896" s="209"/>
      <c r="B896" s="209"/>
      <c r="C896" s="221"/>
      <c r="D896" s="221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</row>
    <row r="897" spans="1:17" ht="19.5" customHeight="1" x14ac:dyDescent="0.2">
      <c r="A897" s="209"/>
      <c r="B897" s="209"/>
      <c r="C897" s="221"/>
      <c r="D897" s="221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</row>
    <row r="898" spans="1:17" ht="19.5" customHeight="1" x14ac:dyDescent="0.2">
      <c r="A898" s="209"/>
      <c r="B898" s="209"/>
      <c r="C898" s="221"/>
      <c r="D898" s="221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</row>
    <row r="899" spans="1:17" ht="19.5" customHeight="1" x14ac:dyDescent="0.2">
      <c r="A899" s="209"/>
      <c r="B899" s="209"/>
      <c r="C899" s="221"/>
      <c r="D899" s="221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</row>
    <row r="900" spans="1:17" ht="19.5" customHeight="1" x14ac:dyDescent="0.2">
      <c r="A900" s="209"/>
      <c r="B900" s="209"/>
      <c r="C900" s="221"/>
      <c r="D900" s="221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</row>
    <row r="901" spans="1:17" ht="19.5" customHeight="1" x14ac:dyDescent="0.2">
      <c r="A901" s="209"/>
      <c r="B901" s="209"/>
      <c r="C901" s="221"/>
      <c r="D901" s="221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</row>
    <row r="902" spans="1:17" ht="19.5" customHeight="1" x14ac:dyDescent="0.2">
      <c r="A902" s="209"/>
      <c r="B902" s="209"/>
      <c r="C902" s="221"/>
      <c r="D902" s="221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</row>
    <row r="903" spans="1:17" ht="19.5" customHeight="1" x14ac:dyDescent="0.2">
      <c r="A903" s="209"/>
      <c r="B903" s="209"/>
      <c r="C903" s="221"/>
      <c r="D903" s="221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</row>
    <row r="904" spans="1:17" ht="19.5" customHeight="1" x14ac:dyDescent="0.2">
      <c r="A904" s="209"/>
      <c r="B904" s="209"/>
      <c r="C904" s="221"/>
      <c r="D904" s="221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</row>
    <row r="905" spans="1:17" ht="19.5" customHeight="1" x14ac:dyDescent="0.2">
      <c r="A905" s="209"/>
      <c r="B905" s="209"/>
      <c r="C905" s="221"/>
      <c r="D905" s="221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</row>
    <row r="906" spans="1:17" ht="19.5" customHeight="1" x14ac:dyDescent="0.2">
      <c r="A906" s="209"/>
      <c r="B906" s="209"/>
      <c r="C906" s="221"/>
      <c r="D906" s="221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</row>
    <row r="907" spans="1:17" ht="19.5" customHeight="1" x14ac:dyDescent="0.2">
      <c r="A907" s="209"/>
      <c r="B907" s="209"/>
      <c r="C907" s="221"/>
      <c r="D907" s="221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</row>
    <row r="908" spans="1:17" ht="19.5" customHeight="1" x14ac:dyDescent="0.2">
      <c r="A908" s="209"/>
      <c r="B908" s="209"/>
      <c r="C908" s="221"/>
      <c r="D908" s="221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</row>
    <row r="909" spans="1:17" ht="19.5" customHeight="1" x14ac:dyDescent="0.2">
      <c r="A909" s="209"/>
      <c r="B909" s="209"/>
      <c r="C909" s="221"/>
      <c r="D909" s="221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</row>
    <row r="910" spans="1:17" ht="19.5" customHeight="1" x14ac:dyDescent="0.2">
      <c r="A910" s="209"/>
      <c r="B910" s="209"/>
      <c r="C910" s="221"/>
      <c r="D910" s="221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</row>
    <row r="911" spans="1:17" ht="19.5" customHeight="1" x14ac:dyDescent="0.2">
      <c r="A911" s="209"/>
      <c r="B911" s="209"/>
      <c r="C911" s="221"/>
      <c r="D911" s="221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</row>
    <row r="912" spans="1:17" ht="19.5" customHeight="1" x14ac:dyDescent="0.2">
      <c r="A912" s="209"/>
      <c r="B912" s="209"/>
      <c r="C912" s="221"/>
      <c r="D912" s="221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</row>
    <row r="913" spans="1:17" ht="19.5" customHeight="1" x14ac:dyDescent="0.2">
      <c r="A913" s="209"/>
      <c r="B913" s="209"/>
      <c r="C913" s="221"/>
      <c r="D913" s="221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</row>
    <row r="914" spans="1:17" ht="19.5" customHeight="1" x14ac:dyDescent="0.2">
      <c r="A914" s="209"/>
      <c r="B914" s="209"/>
      <c r="C914" s="221"/>
      <c r="D914" s="221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</row>
    <row r="915" spans="1:17" ht="19.5" customHeight="1" x14ac:dyDescent="0.2">
      <c r="A915" s="209"/>
      <c r="B915" s="209"/>
      <c r="C915" s="221"/>
      <c r="D915" s="221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</row>
    <row r="916" spans="1:17" ht="19.5" customHeight="1" x14ac:dyDescent="0.2">
      <c r="A916" s="209"/>
      <c r="B916" s="209"/>
      <c r="C916" s="221"/>
      <c r="D916" s="221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</row>
    <row r="917" spans="1:17" ht="19.5" customHeight="1" x14ac:dyDescent="0.2">
      <c r="A917" s="209"/>
      <c r="B917" s="209"/>
      <c r="C917" s="221"/>
      <c r="D917" s="221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</row>
    <row r="918" spans="1:17" ht="19.5" customHeight="1" x14ac:dyDescent="0.2">
      <c r="A918" s="209"/>
      <c r="B918" s="209"/>
      <c r="C918" s="221"/>
      <c r="D918" s="221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</row>
    <row r="919" spans="1:17" ht="19.5" customHeight="1" x14ac:dyDescent="0.2">
      <c r="A919" s="209"/>
      <c r="B919" s="209"/>
      <c r="C919" s="221"/>
      <c r="D919" s="221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</row>
    <row r="920" spans="1:17" ht="19.5" customHeight="1" x14ac:dyDescent="0.2">
      <c r="A920" s="209"/>
      <c r="B920" s="209"/>
      <c r="C920" s="221"/>
      <c r="D920" s="221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</row>
    <row r="921" spans="1:17" ht="19.5" customHeight="1" x14ac:dyDescent="0.2">
      <c r="A921" s="209"/>
      <c r="B921" s="209"/>
      <c r="C921" s="221"/>
      <c r="D921" s="221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</row>
    <row r="922" spans="1:17" ht="19.5" customHeight="1" x14ac:dyDescent="0.2">
      <c r="A922" s="209"/>
      <c r="B922" s="209"/>
      <c r="C922" s="221"/>
      <c r="D922" s="221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</row>
    <row r="923" spans="1:17" ht="19.5" customHeight="1" x14ac:dyDescent="0.2">
      <c r="A923" s="209"/>
      <c r="B923" s="209"/>
      <c r="C923" s="221"/>
      <c r="D923" s="221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</row>
    <row r="924" spans="1:17" ht="19.5" customHeight="1" x14ac:dyDescent="0.2">
      <c r="A924" s="209"/>
      <c r="B924" s="209"/>
      <c r="C924" s="221"/>
      <c r="D924" s="221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</row>
    <row r="925" spans="1:17" ht="19.5" customHeight="1" x14ac:dyDescent="0.2">
      <c r="A925" s="209"/>
      <c r="B925" s="209"/>
      <c r="C925" s="221"/>
      <c r="D925" s="221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</row>
    <row r="926" spans="1:17" ht="19.5" customHeight="1" x14ac:dyDescent="0.2">
      <c r="A926" s="209"/>
      <c r="B926" s="209"/>
      <c r="C926" s="221"/>
      <c r="D926" s="221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</row>
    <row r="927" spans="1:17" ht="19.5" customHeight="1" x14ac:dyDescent="0.2">
      <c r="A927" s="209"/>
      <c r="B927" s="209"/>
      <c r="C927" s="221"/>
      <c r="D927" s="221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</row>
    <row r="928" spans="1:17" ht="19.5" customHeight="1" x14ac:dyDescent="0.2">
      <c r="A928" s="209"/>
      <c r="B928" s="209"/>
      <c r="C928" s="221"/>
      <c r="D928" s="221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</row>
    <row r="929" spans="1:17" ht="19.5" customHeight="1" x14ac:dyDescent="0.2">
      <c r="A929" s="209"/>
      <c r="B929" s="209"/>
      <c r="C929" s="221"/>
      <c r="D929" s="221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</row>
    <row r="930" spans="1:17" ht="19.5" customHeight="1" x14ac:dyDescent="0.2">
      <c r="A930" s="209"/>
      <c r="B930" s="209"/>
      <c r="C930" s="221"/>
      <c r="D930" s="221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</row>
    <row r="931" spans="1:17" ht="19.5" customHeight="1" x14ac:dyDescent="0.2">
      <c r="A931" s="209"/>
      <c r="B931" s="209"/>
      <c r="C931" s="221"/>
      <c r="D931" s="221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</row>
    <row r="932" spans="1:17" ht="19.5" customHeight="1" x14ac:dyDescent="0.2">
      <c r="A932" s="209"/>
      <c r="B932" s="209"/>
      <c r="C932" s="221"/>
      <c r="D932" s="221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</row>
    <row r="933" spans="1:17" ht="19.5" customHeight="1" x14ac:dyDescent="0.2">
      <c r="A933" s="209"/>
      <c r="B933" s="209"/>
      <c r="C933" s="221"/>
      <c r="D933" s="221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</row>
    <row r="934" spans="1:17" ht="19.5" customHeight="1" x14ac:dyDescent="0.2">
      <c r="A934" s="209"/>
      <c r="B934" s="209"/>
      <c r="C934" s="221"/>
      <c r="D934" s="221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</row>
    <row r="935" spans="1:17" ht="19.5" customHeight="1" x14ac:dyDescent="0.2">
      <c r="A935" s="209"/>
      <c r="B935" s="209"/>
      <c r="C935" s="221"/>
      <c r="D935" s="221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</row>
    <row r="936" spans="1:17" ht="19.5" customHeight="1" x14ac:dyDescent="0.2">
      <c r="A936" s="209"/>
      <c r="B936" s="209"/>
      <c r="C936" s="221"/>
      <c r="D936" s="221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</row>
    <row r="937" spans="1:17" ht="19.5" customHeight="1" x14ac:dyDescent="0.2">
      <c r="A937" s="209"/>
      <c r="B937" s="209"/>
      <c r="C937" s="221"/>
      <c r="D937" s="221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</row>
    <row r="938" spans="1:17" ht="19.5" customHeight="1" x14ac:dyDescent="0.2">
      <c r="A938" s="209"/>
      <c r="B938" s="209"/>
      <c r="C938" s="221"/>
      <c r="D938" s="221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</row>
    <row r="939" spans="1:17" ht="19.5" customHeight="1" x14ac:dyDescent="0.2">
      <c r="A939" s="209"/>
      <c r="B939" s="209"/>
      <c r="C939" s="221"/>
      <c r="D939" s="221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</row>
    <row r="940" spans="1:17" ht="19.5" customHeight="1" x14ac:dyDescent="0.2">
      <c r="A940" s="209"/>
      <c r="B940" s="209"/>
      <c r="C940" s="221"/>
      <c r="D940" s="221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</row>
    <row r="941" spans="1:17" ht="19.5" customHeight="1" x14ac:dyDescent="0.2">
      <c r="A941" s="209"/>
      <c r="B941" s="209"/>
      <c r="C941" s="221"/>
      <c r="D941" s="221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</row>
    <row r="942" spans="1:17" ht="19.5" customHeight="1" x14ac:dyDescent="0.2">
      <c r="A942" s="209"/>
      <c r="B942" s="209"/>
      <c r="C942" s="221"/>
      <c r="D942" s="221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</row>
    <row r="943" spans="1:17" ht="19.5" customHeight="1" x14ac:dyDescent="0.2">
      <c r="A943" s="209"/>
      <c r="B943" s="209"/>
      <c r="C943" s="221"/>
      <c r="D943" s="221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</row>
    <row r="944" spans="1:17" ht="19.5" customHeight="1" x14ac:dyDescent="0.2">
      <c r="A944" s="209"/>
      <c r="B944" s="209"/>
      <c r="C944" s="221"/>
      <c r="D944" s="221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</row>
    <row r="945" spans="1:17" ht="19.5" customHeight="1" x14ac:dyDescent="0.2">
      <c r="A945" s="209"/>
      <c r="B945" s="209"/>
      <c r="C945" s="221"/>
      <c r="D945" s="221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</row>
    <row r="946" spans="1:17" ht="19.5" customHeight="1" x14ac:dyDescent="0.2">
      <c r="A946" s="209"/>
      <c r="B946" s="209"/>
      <c r="C946" s="221"/>
      <c r="D946" s="221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</row>
    <row r="947" spans="1:17" ht="19.5" customHeight="1" x14ac:dyDescent="0.2">
      <c r="A947" s="209"/>
      <c r="B947" s="209"/>
      <c r="C947" s="221"/>
      <c r="D947" s="221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</row>
    <row r="948" spans="1:17" ht="19.5" customHeight="1" x14ac:dyDescent="0.2">
      <c r="A948" s="209"/>
      <c r="B948" s="209"/>
      <c r="C948" s="221"/>
      <c r="D948" s="221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</row>
    <row r="949" spans="1:17" ht="19.5" customHeight="1" x14ac:dyDescent="0.2">
      <c r="A949" s="209"/>
      <c r="B949" s="209"/>
      <c r="C949" s="221"/>
      <c r="D949" s="221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</row>
    <row r="950" spans="1:17" ht="19.5" customHeight="1" x14ac:dyDescent="0.2">
      <c r="A950" s="209"/>
      <c r="B950" s="209"/>
      <c r="C950" s="221"/>
      <c r="D950" s="221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</row>
    <row r="951" spans="1:17" ht="19.5" customHeight="1" x14ac:dyDescent="0.2">
      <c r="A951" s="209"/>
      <c r="B951" s="209"/>
      <c r="C951" s="221"/>
      <c r="D951" s="221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</row>
    <row r="952" spans="1:17" ht="19.5" customHeight="1" x14ac:dyDescent="0.2">
      <c r="A952" s="209"/>
      <c r="B952" s="209"/>
      <c r="C952" s="221"/>
      <c r="D952" s="221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</row>
    <row r="953" spans="1:17" ht="19.5" customHeight="1" x14ac:dyDescent="0.2">
      <c r="A953" s="209"/>
      <c r="B953" s="209"/>
      <c r="C953" s="221"/>
      <c r="D953" s="221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</row>
    <row r="954" spans="1:17" ht="19.5" customHeight="1" x14ac:dyDescent="0.2">
      <c r="A954" s="209"/>
      <c r="B954" s="209"/>
      <c r="C954" s="221"/>
      <c r="D954" s="221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</row>
    <row r="955" spans="1:17" ht="19.5" customHeight="1" x14ac:dyDescent="0.2">
      <c r="A955" s="209"/>
      <c r="B955" s="209"/>
      <c r="C955" s="221"/>
      <c r="D955" s="221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</row>
    <row r="956" spans="1:17" ht="19.5" customHeight="1" x14ac:dyDescent="0.2">
      <c r="A956" s="209"/>
      <c r="B956" s="209"/>
      <c r="C956" s="221"/>
      <c r="D956" s="221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</row>
    <row r="957" spans="1:17" ht="19.5" customHeight="1" x14ac:dyDescent="0.2">
      <c r="A957" s="209"/>
      <c r="B957" s="209"/>
      <c r="C957" s="221"/>
      <c r="D957" s="221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</row>
    <row r="958" spans="1:17" ht="19.5" customHeight="1" x14ac:dyDescent="0.2">
      <c r="A958" s="209"/>
      <c r="B958" s="209"/>
      <c r="C958" s="221"/>
      <c r="D958" s="221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</row>
    <row r="959" spans="1:17" ht="19.5" customHeight="1" x14ac:dyDescent="0.2">
      <c r="A959" s="209"/>
      <c r="B959" s="209"/>
      <c r="C959" s="221"/>
      <c r="D959" s="221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</row>
    <row r="960" spans="1:17" ht="19.5" customHeight="1" x14ac:dyDescent="0.2">
      <c r="A960" s="209"/>
      <c r="B960" s="209"/>
      <c r="C960" s="221"/>
      <c r="D960" s="221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</row>
    <row r="961" spans="1:17" ht="19.5" customHeight="1" x14ac:dyDescent="0.2">
      <c r="A961" s="209"/>
      <c r="B961" s="209"/>
      <c r="C961" s="221"/>
      <c r="D961" s="221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</row>
    <row r="962" spans="1:17" ht="19.5" customHeight="1" x14ac:dyDescent="0.2">
      <c r="A962" s="209"/>
      <c r="B962" s="209"/>
      <c r="C962" s="221"/>
      <c r="D962" s="221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</row>
    <row r="963" spans="1:17" ht="19.5" customHeight="1" x14ac:dyDescent="0.2">
      <c r="A963" s="209"/>
      <c r="B963" s="209"/>
      <c r="C963" s="221"/>
      <c r="D963" s="221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</row>
    <row r="964" spans="1:17" ht="19.5" customHeight="1" x14ac:dyDescent="0.2">
      <c r="A964" s="209"/>
      <c r="B964" s="209"/>
      <c r="C964" s="221"/>
      <c r="D964" s="221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</row>
    <row r="965" spans="1:17" ht="19.5" customHeight="1" x14ac:dyDescent="0.2">
      <c r="A965" s="209"/>
      <c r="B965" s="209"/>
      <c r="C965" s="221"/>
      <c r="D965" s="221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</row>
    <row r="966" spans="1:17" ht="19.5" customHeight="1" x14ac:dyDescent="0.2">
      <c r="A966" s="209"/>
      <c r="B966" s="209"/>
      <c r="C966" s="221"/>
      <c r="D966" s="221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</row>
    <row r="967" spans="1:17" ht="19.5" customHeight="1" x14ac:dyDescent="0.2">
      <c r="A967" s="209"/>
      <c r="B967" s="209"/>
      <c r="C967" s="221"/>
      <c r="D967" s="221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</row>
    <row r="968" spans="1:17" ht="19.5" customHeight="1" x14ac:dyDescent="0.2">
      <c r="A968" s="209"/>
      <c r="B968" s="209"/>
      <c r="C968" s="221"/>
      <c r="D968" s="221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</row>
    <row r="969" spans="1:17" ht="19.5" customHeight="1" x14ac:dyDescent="0.2">
      <c r="A969" s="209"/>
      <c r="B969" s="209"/>
      <c r="C969" s="221"/>
      <c r="D969" s="221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</row>
    <row r="970" spans="1:17" ht="19.5" customHeight="1" x14ac:dyDescent="0.2">
      <c r="A970" s="209"/>
      <c r="B970" s="209"/>
      <c r="C970" s="221"/>
      <c r="D970" s="221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</row>
    <row r="971" spans="1:17" ht="19.5" customHeight="1" x14ac:dyDescent="0.2">
      <c r="A971" s="209"/>
      <c r="B971" s="209"/>
      <c r="C971" s="221"/>
      <c r="D971" s="221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</row>
    <row r="972" spans="1:17" ht="19.5" customHeight="1" x14ac:dyDescent="0.2">
      <c r="A972" s="209"/>
      <c r="B972" s="209"/>
      <c r="C972" s="221"/>
      <c r="D972" s="221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</row>
    <row r="973" spans="1:17" ht="19.5" customHeight="1" x14ac:dyDescent="0.2">
      <c r="A973" s="209"/>
      <c r="B973" s="209"/>
      <c r="C973" s="221"/>
      <c r="D973" s="221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</row>
    <row r="974" spans="1:17" ht="19.5" customHeight="1" x14ac:dyDescent="0.2">
      <c r="A974" s="209"/>
      <c r="B974" s="209"/>
      <c r="C974" s="221"/>
      <c r="D974" s="221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</row>
    <row r="975" spans="1:17" ht="19.5" customHeight="1" x14ac:dyDescent="0.2">
      <c r="A975" s="209"/>
      <c r="B975" s="209"/>
      <c r="C975" s="221"/>
      <c r="D975" s="221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</row>
    <row r="976" spans="1:17" ht="19.5" customHeight="1" x14ac:dyDescent="0.2">
      <c r="A976" s="209"/>
      <c r="B976" s="209"/>
      <c r="C976" s="221"/>
      <c r="D976" s="221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</row>
    <row r="977" spans="1:17" ht="19.5" customHeight="1" x14ac:dyDescent="0.2">
      <c r="A977" s="209"/>
      <c r="B977" s="209"/>
      <c r="C977" s="221"/>
      <c r="D977" s="221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</row>
    <row r="978" spans="1:17" ht="19.5" customHeight="1" x14ac:dyDescent="0.2">
      <c r="A978" s="209"/>
      <c r="B978" s="209"/>
      <c r="C978" s="221"/>
      <c r="D978" s="221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</row>
    <row r="979" spans="1:17" ht="19.5" customHeight="1" x14ac:dyDescent="0.2">
      <c r="A979" s="209"/>
      <c r="B979" s="209"/>
      <c r="C979" s="221"/>
      <c r="D979" s="221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</row>
    <row r="980" spans="1:17" ht="19.5" customHeight="1" x14ac:dyDescent="0.2">
      <c r="A980" s="209"/>
      <c r="B980" s="209"/>
      <c r="C980" s="221"/>
      <c r="D980" s="221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</row>
    <row r="981" spans="1:17" ht="19.5" customHeight="1" x14ac:dyDescent="0.2">
      <c r="A981" s="209"/>
      <c r="B981" s="209"/>
      <c r="C981" s="221"/>
      <c r="D981" s="221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</row>
    <row r="982" spans="1:17" ht="19.5" customHeight="1" x14ac:dyDescent="0.2">
      <c r="A982" s="209"/>
      <c r="B982" s="209"/>
      <c r="C982" s="221"/>
      <c r="D982" s="221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</row>
    <row r="983" spans="1:17" ht="19.5" customHeight="1" x14ac:dyDescent="0.2">
      <c r="A983" s="209"/>
      <c r="B983" s="209"/>
      <c r="C983" s="221"/>
      <c r="D983" s="221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</row>
    <row r="984" spans="1:17" ht="19.5" customHeight="1" x14ac:dyDescent="0.2">
      <c r="A984" s="209"/>
      <c r="B984" s="209"/>
      <c r="C984" s="221"/>
      <c r="D984" s="221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</row>
    <row r="985" spans="1:17" ht="19.5" customHeight="1" x14ac:dyDescent="0.2">
      <c r="A985" s="209"/>
      <c r="B985" s="209"/>
      <c r="C985" s="221"/>
      <c r="D985" s="221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</row>
    <row r="986" spans="1:17" ht="19.5" customHeight="1" x14ac:dyDescent="0.2">
      <c r="A986" s="209"/>
      <c r="B986" s="209"/>
      <c r="C986" s="221"/>
      <c r="D986" s="221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</row>
    <row r="987" spans="1:17" ht="19.5" customHeight="1" x14ac:dyDescent="0.2">
      <c r="A987" s="209"/>
      <c r="B987" s="209"/>
      <c r="C987" s="221"/>
      <c r="D987" s="221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</row>
    <row r="988" spans="1:17" ht="19.5" customHeight="1" x14ac:dyDescent="0.2">
      <c r="A988" s="209"/>
      <c r="B988" s="209"/>
      <c r="C988" s="221"/>
      <c r="D988" s="221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</row>
    <row r="989" spans="1:17" ht="19.5" customHeight="1" x14ac:dyDescent="0.2">
      <c r="A989" s="209"/>
      <c r="B989" s="209"/>
      <c r="C989" s="221"/>
      <c r="D989" s="221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</row>
    <row r="990" spans="1:17" ht="19.5" customHeight="1" x14ac:dyDescent="0.2">
      <c r="A990" s="209"/>
      <c r="B990" s="209"/>
      <c r="C990" s="221"/>
      <c r="D990" s="221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</row>
    <row r="991" spans="1:17" ht="19.5" customHeight="1" x14ac:dyDescent="0.2">
      <c r="A991" s="209"/>
      <c r="B991" s="209"/>
      <c r="C991" s="221"/>
      <c r="D991" s="221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</row>
    <row r="992" spans="1:17" ht="19.5" customHeight="1" x14ac:dyDescent="0.2">
      <c r="A992" s="209"/>
      <c r="B992" s="209"/>
      <c r="C992" s="221"/>
      <c r="D992" s="221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</row>
    <row r="993" spans="1:17" ht="19.5" customHeight="1" x14ac:dyDescent="0.2">
      <c r="A993" s="209"/>
      <c r="B993" s="209"/>
      <c r="C993" s="221"/>
      <c r="D993" s="221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</row>
    <row r="994" spans="1:17" ht="19.5" customHeight="1" x14ac:dyDescent="0.2">
      <c r="A994" s="209"/>
      <c r="B994" s="209"/>
      <c r="C994" s="221"/>
      <c r="D994" s="221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</row>
    <row r="995" spans="1:17" ht="19.5" customHeight="1" x14ac:dyDescent="0.2">
      <c r="A995" s="209"/>
      <c r="B995" s="209"/>
      <c r="C995" s="221"/>
      <c r="D995" s="221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</row>
    <row r="996" spans="1:17" ht="19.5" customHeight="1" x14ac:dyDescent="0.2">
      <c r="A996" s="209"/>
      <c r="B996" s="209"/>
      <c r="C996" s="221"/>
      <c r="D996" s="221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</row>
    <row r="997" spans="1:17" ht="19.5" customHeight="1" x14ac:dyDescent="0.2">
      <c r="A997" s="209"/>
      <c r="B997" s="209"/>
      <c r="C997" s="221"/>
      <c r="D997" s="221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</row>
    <row r="998" spans="1:17" ht="19.5" customHeight="1" x14ac:dyDescent="0.2">
      <c r="A998" s="209"/>
      <c r="B998" s="209"/>
      <c r="C998" s="221"/>
      <c r="D998" s="221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</row>
    <row r="999" spans="1:17" ht="19.5" customHeight="1" x14ac:dyDescent="0.2"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</row>
  </sheetData>
  <mergeCells count="4">
    <mergeCell ref="G2:H2"/>
    <mergeCell ref="F13:G13"/>
    <mergeCell ref="F21:F22"/>
    <mergeCell ref="G21:G2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8383-E2E0-4AAE-852C-C0DC54F6500F}">
  <dimension ref="A1:X1001"/>
  <sheetViews>
    <sheetView workbookViewId="0">
      <selection activeCell="D75" sqref="D75"/>
    </sheetView>
  </sheetViews>
  <sheetFormatPr defaultColWidth="14.42578125" defaultRowHeight="12.75" x14ac:dyDescent="0.2"/>
  <cols>
    <col min="1" max="1" width="66.28515625" customWidth="1"/>
    <col min="2" max="2" width="22.28515625" customWidth="1"/>
    <col min="3" max="3" width="10.85546875" customWidth="1"/>
    <col min="4" max="4" width="16.140625" customWidth="1"/>
    <col min="5" max="5" width="24.140625" style="298" customWidth="1"/>
    <col min="6" max="6" width="10.85546875" customWidth="1"/>
    <col min="7" max="7" width="9.140625" customWidth="1"/>
    <col min="8" max="8" width="13.28515625" bestFit="1" customWidth="1"/>
    <col min="9" max="11" width="9.140625" customWidth="1"/>
    <col min="12" max="12" width="10.85546875" customWidth="1"/>
    <col min="13" max="24" width="9.140625" customWidth="1"/>
  </cols>
  <sheetData>
    <row r="1" spans="1:24" ht="16.5" customHeight="1" x14ac:dyDescent="0.6">
      <c r="A1" s="352" t="s">
        <v>657</v>
      </c>
      <c r="B1" s="354" t="s">
        <v>668</v>
      </c>
      <c r="C1" s="354"/>
      <c r="D1" s="355"/>
      <c r="E1" s="261" t="s">
        <v>669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19.5" customHeight="1" x14ac:dyDescent="0.6">
      <c r="A2" s="353"/>
      <c r="B2" s="247" t="s">
        <v>670</v>
      </c>
      <c r="C2" s="247" t="s">
        <v>659</v>
      </c>
      <c r="D2" s="208" t="s">
        <v>660</v>
      </c>
      <c r="E2" s="262" t="s">
        <v>660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19.5" customHeight="1" x14ac:dyDescent="0.6">
      <c r="A3" s="263" t="str">
        <f>[7]ORÇAMENTO_PARAMÉTRICO!A3</f>
        <v>MOVIMENTAÇÃO DE TERRA</v>
      </c>
      <c r="B3" s="264">
        <v>334397.12</v>
      </c>
      <c r="C3" s="265">
        <v>5.539685904873924E-3</v>
      </c>
      <c r="D3" s="266">
        <v>23.035847780231713</v>
      </c>
      <c r="E3" s="267" t="s">
        <v>687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9.5" customHeight="1" x14ac:dyDescent="0.6">
      <c r="A4" s="268" t="str">
        <f>[7]ORÇAMENTO_PARAMÉTRICO!A4</f>
        <v>INFRAESTRUTURA</v>
      </c>
      <c r="B4" s="269">
        <v>2808959.16</v>
      </c>
      <c r="C4" s="270">
        <v>4.6533748454587465E-2</v>
      </c>
      <c r="D4" s="271">
        <v>193.50273001946769</v>
      </c>
      <c r="E4" s="272" t="s">
        <v>688</v>
      </c>
      <c r="F4" s="24"/>
      <c r="G4" s="273"/>
      <c r="H4" s="274"/>
      <c r="I4" s="275"/>
      <c r="J4" s="273"/>
      <c r="K4" s="274"/>
      <c r="L4" s="274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</row>
    <row r="5" spans="1:24" ht="19.5" customHeight="1" x14ac:dyDescent="0.6">
      <c r="A5" s="276" t="str">
        <f>[7]ORÇAMENTO_PARAMÉTRICO!A5</f>
        <v>SUPRAESTRUTURA</v>
      </c>
      <c r="B5" s="277">
        <v>14216001.396666666</v>
      </c>
      <c r="C5" s="278">
        <v>0.23550496655229075</v>
      </c>
      <c r="D5" s="279">
        <v>979.3076095188103</v>
      </c>
      <c r="E5" s="280" t="s">
        <v>689</v>
      </c>
      <c r="F5" s="281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</row>
    <row r="6" spans="1:24" ht="19.5" customHeight="1" x14ac:dyDescent="0.6">
      <c r="A6" s="268" t="str">
        <f>[7]ORÇAMENTO_PARAMÉTRICO!A6</f>
        <v>ALVENARIA</v>
      </c>
      <c r="B6" s="269">
        <v>3060534.3637843644</v>
      </c>
      <c r="C6" s="270">
        <v>5.0701390838648754E-2</v>
      </c>
      <c r="D6" s="271">
        <v>210.83316665617494</v>
      </c>
      <c r="E6" s="272" t="s">
        <v>690</v>
      </c>
      <c r="F6" s="282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</row>
    <row r="7" spans="1:24" ht="19.5" customHeight="1" x14ac:dyDescent="0.6">
      <c r="A7" s="276" t="str">
        <f>[7]ORÇAMENTO_PARAMÉTRICO!A7</f>
        <v>INSTALAÇÕES ELÉTRICAS, HIDRÁULICAS, GLP E PREVENTIVAS</v>
      </c>
      <c r="B7" s="277">
        <v>5636274.8625999996</v>
      </c>
      <c r="C7" s="278">
        <v>9.3371594864036012E-2</v>
      </c>
      <c r="D7" s="279">
        <v>388.27</v>
      </c>
      <c r="E7" s="280" t="s">
        <v>691</v>
      </c>
      <c r="F7" s="24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</row>
    <row r="8" spans="1:24" ht="19.5" customHeight="1" x14ac:dyDescent="0.6">
      <c r="A8" s="268" t="str">
        <f>[7]ORÇAMENTO_PARAMÉTRICO!A8</f>
        <v>EQUIPAMENTOS E SISTEMAS ESPECIAIS</v>
      </c>
      <c r="B8" s="283">
        <v>4015448.32</v>
      </c>
      <c r="C8" s="284">
        <v>6.6520675955742917E-2</v>
      </c>
      <c r="D8" s="271">
        <v>276.6149907897148</v>
      </c>
      <c r="E8" s="272" t="s">
        <v>692</v>
      </c>
      <c r="F8" s="282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</row>
    <row r="9" spans="1:24" ht="19.5" customHeight="1" x14ac:dyDescent="0.6">
      <c r="A9" s="276" t="str">
        <f>[7]ORÇAMENTO_PARAMÉTRICO!A9</f>
        <v>IMPERMEABILIZAÇÃO</v>
      </c>
      <c r="B9" s="277">
        <v>1142037.169</v>
      </c>
      <c r="C9" s="278">
        <v>1.8919203634144396E-2</v>
      </c>
      <c r="D9" s="279">
        <v>78.672311485370329</v>
      </c>
      <c r="E9" s="280" t="s">
        <v>693</v>
      </c>
      <c r="F9" s="285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</row>
    <row r="10" spans="1:24" ht="19.5" customHeight="1" x14ac:dyDescent="0.6">
      <c r="A10" s="268" t="str">
        <f>[7]ORÇAMENTO_PARAMÉTRICO!A10</f>
        <v>REVESTIMENTOS INTERNOS EM PISO E PAREDE</v>
      </c>
      <c r="B10" s="269">
        <v>1922134.1421500002</v>
      </c>
      <c r="C10" s="270">
        <v>3.1842437562097689E-2</v>
      </c>
      <c r="D10" s="271">
        <v>132.41139610219631</v>
      </c>
      <c r="E10" s="272" t="s">
        <v>694</v>
      </c>
      <c r="F10" s="285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</row>
    <row r="11" spans="1:24" ht="19.5" customHeight="1" x14ac:dyDescent="0.6">
      <c r="A11" s="276" t="str">
        <f>[7]ORÇAMENTO_PARAMÉTRICO!A11</f>
        <v>REVESTIMENTOS E ACABAMENTOS INTERNOS EM TETO</v>
      </c>
      <c r="B11" s="277">
        <v>1271472.6699999997</v>
      </c>
      <c r="C11" s="278">
        <v>2.1063456612399691E-2</v>
      </c>
      <c r="D11" s="279">
        <v>87.5888251754225</v>
      </c>
      <c r="E11" s="280" t="s">
        <v>695</v>
      </c>
      <c r="F11" s="285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</row>
    <row r="12" spans="1:24" ht="19.5" customHeight="1" x14ac:dyDescent="0.6">
      <c r="A12" s="268" t="str">
        <f>[7]ORÇAMENTO_PARAMÉTRICO!A12</f>
        <v>ACABAMENTOS EM PISO E PAREDE</v>
      </c>
      <c r="B12" s="269">
        <v>2915218.52</v>
      </c>
      <c r="C12" s="270">
        <v>4.8294061099782862E-2</v>
      </c>
      <c r="D12" s="271">
        <v>200.8226927098905</v>
      </c>
      <c r="E12" s="272" t="s">
        <v>696</v>
      </c>
      <c r="F12" s="285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</row>
    <row r="13" spans="1:24" ht="19.5" customHeight="1" x14ac:dyDescent="0.6">
      <c r="A13" s="276" t="str">
        <f>[7]ORÇAMENTO_PARAMÉTRICO!A13</f>
        <v>PINTURA INTERNA</v>
      </c>
      <c r="B13" s="277">
        <v>1912985.6899999997</v>
      </c>
      <c r="C13" s="278">
        <v>3.1690882574343097E-2</v>
      </c>
      <c r="D13" s="279">
        <v>131.78118029426068</v>
      </c>
      <c r="E13" s="280" t="s">
        <v>697</v>
      </c>
      <c r="F13" s="285"/>
      <c r="G13" s="273"/>
      <c r="H13" s="286"/>
      <c r="I13" s="287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</row>
    <row r="14" spans="1:24" ht="19.5" customHeight="1" x14ac:dyDescent="0.6">
      <c r="A14" s="268" t="str">
        <f>[7]ORÇAMENTO_PARAMÉTRICO!A14</f>
        <v>ESQUADRIAS, VIDROS E FERRAGENS</v>
      </c>
      <c r="B14" s="269">
        <v>5559680.5</v>
      </c>
      <c r="C14" s="270">
        <v>9.2102718173686454E-2</v>
      </c>
      <c r="D14" s="271">
        <v>382.99359068858769</v>
      </c>
      <c r="E14" s="272" t="s">
        <v>698</v>
      </c>
      <c r="F14" s="24"/>
      <c r="G14" s="273"/>
      <c r="H14" s="286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</row>
    <row r="15" spans="1:24" ht="19.5" customHeight="1" x14ac:dyDescent="0.6">
      <c r="A15" s="276" t="str">
        <f>[7]ORÇAMENTO_PARAMÉTRICO!A15</f>
        <v>REVESTIMENTOS E ACABAMENTOS DE FACHADA</v>
      </c>
      <c r="B15" s="277">
        <v>2672331.2999999998</v>
      </c>
      <c r="C15" s="278">
        <v>4.4270345497483377E-2</v>
      </c>
      <c r="D15" s="279">
        <v>184.09075127545572</v>
      </c>
      <c r="E15" s="280" t="s">
        <v>699</v>
      </c>
      <c r="F15" s="24"/>
      <c r="G15" s="273"/>
      <c r="H15" s="286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</row>
    <row r="16" spans="1:24" ht="19.5" customHeight="1" x14ac:dyDescent="0.6">
      <c r="A16" s="268" t="str">
        <f>[7]ORÇAMENTO_PARAMÉTRICO!A16</f>
        <v>SERVIÇOS COMPLEMENTARES</v>
      </c>
      <c r="B16" s="269">
        <v>4713356.95</v>
      </c>
      <c r="C16" s="270">
        <v>7.8082362254060539E-2</v>
      </c>
      <c r="D16" s="271">
        <v>324.69230965295759</v>
      </c>
      <c r="E16" s="272" t="s">
        <v>700</v>
      </c>
      <c r="F16" s="281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</row>
    <row r="17" spans="1:24" ht="19.5" customHeight="1" thickBot="1" x14ac:dyDescent="0.25">
      <c r="A17" s="288" t="s">
        <v>646</v>
      </c>
      <c r="B17" s="289">
        <f>SUM(B3:B16)</f>
        <v>52180832.164201029</v>
      </c>
      <c r="C17" s="290"/>
      <c r="D17" s="291">
        <f>SUM(D3:D16)</f>
        <v>3594.6174021485404</v>
      </c>
      <c r="E17" s="292" t="str">
        <f>FIXED([7]CÁLCULO_MÉDIAS!N24,2,FALSE)&amp;" "&amp;"-"&amp;FIXED([7]CÁLCULO_MÉDIAS!O24,2,FALSE)</f>
        <v>2.845,00 -3.927,00</v>
      </c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</row>
    <row r="18" spans="1:24" ht="19.5" customHeight="1" x14ac:dyDescent="0.6">
      <c r="A18" s="24"/>
      <c r="B18" s="293"/>
      <c r="C18" s="293"/>
      <c r="D18" s="24"/>
      <c r="E18" s="294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</row>
    <row r="19" spans="1:24" ht="21.75" customHeight="1" x14ac:dyDescent="0.6">
      <c r="A19" s="24"/>
      <c r="B19" s="293"/>
      <c r="C19" s="293"/>
      <c r="D19" s="24"/>
      <c r="E19" s="29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21.75" customHeight="1" x14ac:dyDescent="0.6">
      <c r="A20" s="24"/>
      <c r="B20" s="293"/>
      <c r="C20" s="293"/>
      <c r="D20" s="24"/>
      <c r="E20" s="29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21.75" customHeight="1" x14ac:dyDescent="0.6">
      <c r="A21" s="24"/>
      <c r="B21" s="293"/>
      <c r="C21" s="293"/>
      <c r="D21" s="24"/>
      <c r="E21" s="29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21.75" hidden="1" customHeight="1" x14ac:dyDescent="0.6">
      <c r="A22" s="24"/>
      <c r="B22" s="293">
        <v>2461.35</v>
      </c>
      <c r="C22" s="293"/>
      <c r="D22" s="24"/>
      <c r="E22" s="29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21.75" hidden="1" customHeight="1" x14ac:dyDescent="0.6">
      <c r="A23" s="24"/>
      <c r="B23" s="293" t="e">
        <f>B22/B21</f>
        <v>#DIV/0!</v>
      </c>
      <c r="C23" s="293"/>
      <c r="D23" s="24"/>
      <c r="E23" s="29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21.75" hidden="1" customHeight="1" x14ac:dyDescent="0.6">
      <c r="A24" s="24"/>
      <c r="B24" s="293"/>
      <c r="C24" s="293"/>
      <c r="D24" s="24"/>
      <c r="E24" s="29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21.75" hidden="1" customHeight="1" x14ac:dyDescent="0.6">
      <c r="A25" s="24"/>
      <c r="B25" s="293"/>
      <c r="C25" s="293"/>
      <c r="D25" s="24"/>
      <c r="E25" s="29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21.75" hidden="1" customHeight="1" x14ac:dyDescent="0.6">
      <c r="A26" s="24"/>
      <c r="B26" s="293"/>
      <c r="C26" s="293"/>
      <c r="D26" s="24">
        <v>1.1023000000000001</v>
      </c>
      <c r="E26" s="29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21.75" hidden="1" customHeight="1" x14ac:dyDescent="0.6">
      <c r="A27" s="24"/>
      <c r="B27" s="293"/>
      <c r="C27" s="293"/>
      <c r="D27" s="24"/>
      <c r="E27" s="29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21.75" hidden="1" customHeight="1" x14ac:dyDescent="0.6">
      <c r="A28" s="295" t="s">
        <v>671</v>
      </c>
      <c r="B28" s="293">
        <v>900</v>
      </c>
      <c r="C28" s="293"/>
      <c r="D28" s="293"/>
      <c r="E28" s="296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21.75" hidden="1" customHeight="1" x14ac:dyDescent="0.6">
      <c r="A29" s="297" t="s">
        <v>672</v>
      </c>
      <c r="B29" s="293">
        <v>25</v>
      </c>
      <c r="C29" s="293"/>
      <c r="D29" s="293"/>
      <c r="E29" s="296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21.75" hidden="1" customHeight="1" x14ac:dyDescent="0.6">
      <c r="A30" s="295" t="s">
        <v>673</v>
      </c>
      <c r="B30" s="293">
        <v>15</v>
      </c>
      <c r="C30" s="293"/>
      <c r="D30" s="293"/>
      <c r="E30" s="296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21.75" hidden="1" customHeight="1" x14ac:dyDescent="0.6">
      <c r="A31" s="297" t="s">
        <v>674</v>
      </c>
      <c r="B31" s="293">
        <v>150</v>
      </c>
      <c r="C31" s="293"/>
      <c r="D31" s="293"/>
      <c r="E31" s="296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21.75" hidden="1" customHeight="1" x14ac:dyDescent="0.6">
      <c r="A32" s="295" t="s">
        <v>675</v>
      </c>
      <c r="B32" s="293">
        <v>440</v>
      </c>
      <c r="C32" s="293"/>
      <c r="D32" s="293"/>
      <c r="E32" s="296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21.75" hidden="1" customHeight="1" x14ac:dyDescent="0.6">
      <c r="A33" s="297" t="s">
        <v>69</v>
      </c>
      <c r="B33" s="293"/>
      <c r="C33" s="293"/>
      <c r="D33" s="293"/>
      <c r="E33" s="296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21.75" hidden="1" customHeight="1" x14ac:dyDescent="0.6">
      <c r="A34" s="295" t="s">
        <v>676</v>
      </c>
      <c r="B34" s="293">
        <v>55</v>
      </c>
      <c r="C34" s="293"/>
      <c r="D34" s="293"/>
      <c r="E34" s="296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21.75" hidden="1" customHeight="1" x14ac:dyDescent="0.6">
      <c r="A35" s="297" t="s">
        <v>677</v>
      </c>
      <c r="B35" s="293">
        <v>170</v>
      </c>
      <c r="C35" s="293"/>
      <c r="D35" s="293"/>
      <c r="E35" s="296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21.75" hidden="1" customHeight="1" x14ac:dyDescent="0.6">
      <c r="A36" s="295" t="s">
        <v>678</v>
      </c>
      <c r="B36" s="293">
        <v>165</v>
      </c>
      <c r="C36" s="293"/>
      <c r="D36" s="293"/>
      <c r="E36" s="296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21.75" hidden="1" customHeight="1" x14ac:dyDescent="0.6">
      <c r="A37" s="297" t="s">
        <v>679</v>
      </c>
      <c r="B37" s="293">
        <v>40</v>
      </c>
      <c r="C37" s="293"/>
      <c r="D37" s="293"/>
      <c r="E37" s="296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21.75" hidden="1" customHeight="1" x14ac:dyDescent="0.6">
      <c r="A38" s="295" t="s">
        <v>680</v>
      </c>
      <c r="B38" s="293">
        <v>55</v>
      </c>
      <c r="C38" s="293"/>
      <c r="D38" s="293"/>
      <c r="E38" s="296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21.75" hidden="1" customHeight="1" x14ac:dyDescent="0.6">
      <c r="A39" s="297" t="s">
        <v>681</v>
      </c>
      <c r="B39" s="293">
        <v>35</v>
      </c>
      <c r="C39" s="293"/>
      <c r="D39" s="293"/>
      <c r="E39" s="296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21.75" hidden="1" customHeight="1" x14ac:dyDescent="0.6">
      <c r="A40" s="295" t="s">
        <v>682</v>
      </c>
      <c r="B40" s="293">
        <v>130</v>
      </c>
      <c r="C40" s="293"/>
      <c r="D40" s="293"/>
      <c r="E40" s="296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21.75" hidden="1" customHeight="1" x14ac:dyDescent="0.6">
      <c r="A41" s="297" t="s">
        <v>683</v>
      </c>
      <c r="B41" s="293">
        <v>35</v>
      </c>
      <c r="C41" s="293"/>
      <c r="D41" s="293"/>
      <c r="E41" s="296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21.75" hidden="1" customHeight="1" x14ac:dyDescent="0.6">
      <c r="A42" s="295" t="s">
        <v>684</v>
      </c>
      <c r="B42" s="293">
        <v>35</v>
      </c>
      <c r="C42" s="293"/>
      <c r="D42" s="293"/>
      <c r="E42" s="296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21.75" hidden="1" customHeight="1" x14ac:dyDescent="0.6">
      <c r="A43" s="297" t="s">
        <v>685</v>
      </c>
      <c r="B43" s="293">
        <v>430</v>
      </c>
      <c r="C43" s="293"/>
      <c r="D43" s="293"/>
      <c r="E43" s="296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21.75" hidden="1" customHeight="1" x14ac:dyDescent="0.6">
      <c r="A44" s="295" t="s">
        <v>681</v>
      </c>
      <c r="B44" s="293">
        <v>35</v>
      </c>
      <c r="C44" s="293"/>
      <c r="D44" s="293"/>
      <c r="E44" s="296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21.75" hidden="1" customHeight="1" x14ac:dyDescent="0.6">
      <c r="A45" s="297" t="s">
        <v>686</v>
      </c>
      <c r="B45" s="293">
        <v>150</v>
      </c>
      <c r="C45" s="293"/>
      <c r="D45" s="293"/>
      <c r="E45" s="296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21.75" hidden="1" customHeight="1" x14ac:dyDescent="0.6">
      <c r="A46" s="24"/>
      <c r="B46" s="293"/>
      <c r="C46" s="293"/>
      <c r="D46" s="24"/>
      <c r="E46" s="29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21.75" hidden="1" customHeight="1" x14ac:dyDescent="0.6">
      <c r="A47" s="24"/>
      <c r="B47" s="293"/>
      <c r="C47" s="293"/>
      <c r="D47" s="24"/>
      <c r="E47" s="29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21.75" hidden="1" customHeight="1" x14ac:dyDescent="0.6">
      <c r="A48" s="24"/>
      <c r="B48" s="293"/>
      <c r="C48" s="293"/>
      <c r="D48" s="24"/>
      <c r="E48" s="29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4" ht="21.75" hidden="1" customHeight="1" x14ac:dyDescent="0.6">
      <c r="A49" s="24"/>
      <c r="B49" s="293"/>
      <c r="C49" s="293"/>
      <c r="D49" s="24"/>
      <c r="E49" s="29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ht="21.75" hidden="1" customHeight="1" x14ac:dyDescent="0.6">
      <c r="A50" s="24"/>
      <c r="B50" s="293"/>
      <c r="C50" s="293"/>
      <c r="D50" s="24"/>
      <c r="E50" s="29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21.75" hidden="1" customHeight="1" x14ac:dyDescent="0.6">
      <c r="A51" s="24"/>
      <c r="B51" s="293"/>
      <c r="C51" s="293"/>
      <c r="D51" s="24"/>
      <c r="E51" s="29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21.75" hidden="1" customHeight="1" x14ac:dyDescent="0.6">
      <c r="A52" s="24"/>
      <c r="B52" s="293"/>
      <c r="C52" s="293"/>
      <c r="D52" s="24"/>
      <c r="E52" s="29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24" ht="21.75" hidden="1" customHeight="1" x14ac:dyDescent="0.6">
      <c r="A53" s="24"/>
      <c r="B53" s="293"/>
      <c r="C53" s="293"/>
      <c r="D53" s="24"/>
      <c r="E53" s="29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21.75" hidden="1" customHeight="1" x14ac:dyDescent="0.6">
      <c r="A54" s="24"/>
      <c r="B54" s="293"/>
      <c r="C54" s="293"/>
      <c r="D54" s="24"/>
      <c r="E54" s="29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1:24" ht="21.75" hidden="1" customHeight="1" x14ac:dyDescent="0.6">
      <c r="A55" s="24"/>
      <c r="B55" s="293"/>
      <c r="C55" s="293"/>
      <c r="D55" s="24"/>
      <c r="E55" s="29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1:24" ht="21.75" hidden="1" customHeight="1" x14ac:dyDescent="0.6">
      <c r="A56" s="24"/>
      <c r="B56" s="293"/>
      <c r="C56" s="293"/>
      <c r="D56" s="24"/>
      <c r="E56" s="29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21.75" hidden="1" customHeight="1" x14ac:dyDescent="0.6">
      <c r="A57" s="24"/>
      <c r="B57" s="293"/>
      <c r="C57" s="293"/>
      <c r="D57" s="24"/>
      <c r="E57" s="29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1:24" ht="21.75" hidden="1" customHeight="1" x14ac:dyDescent="0.6">
      <c r="A58" s="24"/>
      <c r="B58" s="293"/>
      <c r="C58" s="293"/>
      <c r="D58" s="24"/>
      <c r="E58" s="29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1:24" ht="21.75" hidden="1" customHeight="1" x14ac:dyDescent="0.6">
      <c r="A59" s="24"/>
      <c r="B59" s="293"/>
      <c r="C59" s="293"/>
      <c r="D59" s="24"/>
      <c r="E59" s="29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1:24" ht="21.75" hidden="1" customHeight="1" x14ac:dyDescent="0.6">
      <c r="A60" s="24"/>
      <c r="B60" s="293"/>
      <c r="C60" s="293"/>
      <c r="D60" s="24"/>
      <c r="E60" s="29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1:24" ht="21.75" hidden="1" customHeight="1" x14ac:dyDescent="0.6">
      <c r="A61" s="24"/>
      <c r="B61" s="293"/>
      <c r="C61" s="293"/>
      <c r="D61" s="24"/>
      <c r="E61" s="29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1:24" ht="21.75" hidden="1" customHeight="1" x14ac:dyDescent="0.6">
      <c r="A62" s="24"/>
      <c r="B62" s="293"/>
      <c r="C62" s="293"/>
      <c r="D62" s="24"/>
      <c r="E62" s="29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21.75" hidden="1" customHeight="1" x14ac:dyDescent="0.6">
      <c r="A63" s="24"/>
      <c r="B63" s="293"/>
      <c r="C63" s="293"/>
      <c r="D63" s="24"/>
      <c r="E63" s="29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21.75" hidden="1" customHeight="1" x14ac:dyDescent="0.6">
      <c r="A64" s="24"/>
      <c r="B64" s="293"/>
      <c r="C64" s="293"/>
      <c r="D64" s="24"/>
      <c r="E64" s="29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1:24" ht="21.75" hidden="1" customHeight="1" x14ac:dyDescent="0.6">
      <c r="A65" s="24"/>
      <c r="B65" s="293"/>
      <c r="C65" s="293"/>
      <c r="D65" s="24"/>
      <c r="E65" s="29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spans="1:24" ht="21.75" hidden="1" customHeight="1" x14ac:dyDescent="0.6">
      <c r="A66" s="24"/>
      <c r="B66" s="293"/>
      <c r="C66" s="293"/>
      <c r="D66" s="24"/>
      <c r="E66" s="29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21.75" hidden="1" customHeight="1" x14ac:dyDescent="0.6">
      <c r="A67" s="24"/>
      <c r="B67" s="293"/>
      <c r="C67" s="293"/>
      <c r="D67" s="24"/>
      <c r="E67" s="29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21.75" hidden="1" customHeight="1" x14ac:dyDescent="0.6">
      <c r="A68" s="24"/>
      <c r="B68" s="293"/>
      <c r="C68" s="293"/>
      <c r="D68" s="24"/>
      <c r="E68" s="29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1:24" ht="21.75" hidden="1" customHeight="1" x14ac:dyDescent="0.6">
      <c r="A69" s="24"/>
      <c r="B69" s="293"/>
      <c r="C69" s="293"/>
      <c r="D69" s="24"/>
      <c r="E69" s="29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spans="1:24" ht="21.75" hidden="1" customHeight="1" x14ac:dyDescent="0.6">
      <c r="A70" s="24"/>
      <c r="B70" s="293"/>
      <c r="C70" s="293"/>
      <c r="D70" s="24"/>
      <c r="E70" s="29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1:24" ht="21.75" hidden="1" customHeight="1" x14ac:dyDescent="0.6">
      <c r="A71" s="24"/>
      <c r="B71" s="293"/>
      <c r="C71" s="293"/>
      <c r="D71" s="24"/>
      <c r="E71" s="29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21.75" hidden="1" customHeight="1" x14ac:dyDescent="0.6">
      <c r="A72" s="24"/>
      <c r="B72" s="293"/>
      <c r="C72" s="293"/>
      <c r="D72" s="24"/>
      <c r="E72" s="29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1:24" ht="21.75" hidden="1" customHeight="1" x14ac:dyDescent="0.6">
      <c r="A73" s="24"/>
      <c r="B73" s="293"/>
      <c r="C73" s="293"/>
      <c r="D73" s="24"/>
      <c r="E73" s="29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4" ht="21.75" hidden="1" customHeight="1" x14ac:dyDescent="0.6">
      <c r="A74" s="24"/>
      <c r="B74" s="293"/>
      <c r="C74" s="293"/>
      <c r="D74" s="24"/>
      <c r="E74" s="29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spans="1:24" ht="21.75" customHeight="1" x14ac:dyDescent="0.6">
      <c r="A75" s="24"/>
      <c r="B75" s="293"/>
      <c r="C75" s="293"/>
      <c r="D75" s="24"/>
      <c r="E75" s="29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spans="1:24" ht="21.75" customHeight="1" x14ac:dyDescent="0.6">
      <c r="A76" s="24"/>
      <c r="B76" s="293"/>
      <c r="C76" s="293"/>
      <c r="D76" s="24"/>
      <c r="E76" s="29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21.75" customHeight="1" x14ac:dyDescent="0.6">
      <c r="A77" s="24"/>
      <c r="B77" s="293"/>
      <c r="C77" s="293"/>
      <c r="D77" s="24"/>
      <c r="E77" s="29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1:24" ht="21.75" customHeight="1" x14ac:dyDescent="0.6">
      <c r="A78" s="24"/>
      <c r="B78" s="293"/>
      <c r="C78" s="293"/>
      <c r="D78" s="24"/>
      <c r="E78" s="29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1:24" ht="21.75" customHeight="1" x14ac:dyDescent="0.6">
      <c r="A79" s="24"/>
      <c r="B79" s="293"/>
      <c r="C79" s="293"/>
      <c r="D79" s="24"/>
      <c r="E79" s="29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1:24" ht="21.75" customHeight="1" x14ac:dyDescent="0.6">
      <c r="A80" s="24"/>
      <c r="B80" s="293"/>
      <c r="C80" s="293"/>
      <c r="D80" s="24"/>
      <c r="E80" s="29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21.75" customHeight="1" x14ac:dyDescent="0.6">
      <c r="A81" s="24"/>
      <c r="B81" s="293"/>
      <c r="C81" s="293"/>
      <c r="D81" s="24"/>
      <c r="E81" s="29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1:24" ht="21.75" customHeight="1" x14ac:dyDescent="0.6">
      <c r="A82" s="24"/>
      <c r="B82" s="293"/>
      <c r="C82" s="293"/>
      <c r="D82" s="24"/>
      <c r="E82" s="29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spans="1:24" ht="21.75" customHeight="1" x14ac:dyDescent="0.6">
      <c r="A83" s="24"/>
      <c r="B83" s="293"/>
      <c r="C83" s="293"/>
      <c r="D83" s="24"/>
      <c r="E83" s="29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1:24" ht="21.75" customHeight="1" x14ac:dyDescent="0.6">
      <c r="A84" s="24"/>
      <c r="B84" s="293"/>
      <c r="C84" s="293"/>
      <c r="D84" s="24"/>
      <c r="E84" s="29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21.75" customHeight="1" x14ac:dyDescent="0.6">
      <c r="A85" s="24"/>
      <c r="B85" s="293"/>
      <c r="C85" s="293"/>
      <c r="D85" s="24"/>
      <c r="E85" s="29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21.75" customHeight="1" x14ac:dyDescent="0.6">
      <c r="A86" s="24"/>
      <c r="B86" s="293"/>
      <c r="C86" s="293"/>
      <c r="D86" s="24"/>
      <c r="E86" s="29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21.75" customHeight="1" x14ac:dyDescent="0.6">
      <c r="A87" s="24"/>
      <c r="B87" s="293"/>
      <c r="C87" s="293"/>
      <c r="D87" s="24"/>
      <c r="E87" s="29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21.75" customHeight="1" x14ac:dyDescent="0.6">
      <c r="A88" s="24"/>
      <c r="B88" s="293"/>
      <c r="C88" s="293"/>
      <c r="D88" s="24"/>
      <c r="E88" s="29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21.75" customHeight="1" x14ac:dyDescent="0.6">
      <c r="A89" s="24"/>
      <c r="B89" s="293"/>
      <c r="C89" s="293"/>
      <c r="D89" s="24"/>
      <c r="E89" s="29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21.75" customHeight="1" x14ac:dyDescent="0.6">
      <c r="A90" s="24"/>
      <c r="B90" s="293"/>
      <c r="C90" s="293"/>
      <c r="D90" s="24"/>
      <c r="E90" s="29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1:24" ht="21.75" customHeight="1" x14ac:dyDescent="0.6">
      <c r="A91" s="24"/>
      <c r="B91" s="293"/>
      <c r="C91" s="293"/>
      <c r="D91" s="24"/>
      <c r="E91" s="29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21.75" customHeight="1" x14ac:dyDescent="0.6">
      <c r="A92" s="24"/>
      <c r="B92" s="293"/>
      <c r="C92" s="293"/>
      <c r="D92" s="24"/>
      <c r="E92" s="29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1:24" ht="21.75" customHeight="1" x14ac:dyDescent="0.6">
      <c r="A93" s="24"/>
      <c r="B93" s="293"/>
      <c r="C93" s="293"/>
      <c r="D93" s="24"/>
      <c r="E93" s="29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1:24" ht="21.75" customHeight="1" x14ac:dyDescent="0.6">
      <c r="A94" s="24"/>
      <c r="B94" s="293"/>
      <c r="C94" s="293"/>
      <c r="D94" s="24"/>
      <c r="E94" s="29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4" ht="21.75" customHeight="1" x14ac:dyDescent="0.6">
      <c r="A95" s="24"/>
      <c r="B95" s="293"/>
      <c r="C95" s="293"/>
      <c r="D95" s="24"/>
      <c r="E95" s="29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ht="21.75" customHeight="1" x14ac:dyDescent="0.6">
      <c r="A96" s="24"/>
      <c r="B96" s="293"/>
      <c r="C96" s="293"/>
      <c r="D96" s="24"/>
      <c r="E96" s="29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4" ht="21.75" customHeight="1" x14ac:dyDescent="0.6">
      <c r="A97" s="24"/>
      <c r="B97" s="293"/>
      <c r="C97" s="293"/>
      <c r="D97" s="24"/>
      <c r="E97" s="29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spans="1:24" ht="21.75" customHeight="1" x14ac:dyDescent="0.6">
      <c r="A98" s="24"/>
      <c r="B98" s="293"/>
      <c r="C98" s="293"/>
      <c r="D98" s="24"/>
      <c r="E98" s="29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21.75" customHeight="1" x14ac:dyDescent="0.6">
      <c r="A99" s="24"/>
      <c r="B99" s="293"/>
      <c r="C99" s="293"/>
      <c r="D99" s="24"/>
      <c r="E99" s="29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ht="21.75" customHeight="1" x14ac:dyDescent="0.6">
      <c r="A100" s="24"/>
      <c r="B100" s="293"/>
      <c r="C100" s="293"/>
      <c r="D100" s="24"/>
      <c r="E100" s="29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ht="21.75" customHeight="1" x14ac:dyDescent="0.6">
      <c r="A101" s="24"/>
      <c r="B101" s="293"/>
      <c r="C101" s="293"/>
      <c r="D101" s="24"/>
      <c r="E101" s="29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ht="21.75" customHeight="1" x14ac:dyDescent="0.6">
      <c r="A102" s="24"/>
      <c r="B102" s="293"/>
      <c r="C102" s="293"/>
      <c r="D102" s="24"/>
      <c r="E102" s="29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ht="21.75" customHeight="1" x14ac:dyDescent="0.6">
      <c r="A103" s="24"/>
      <c r="B103" s="293"/>
      <c r="C103" s="293"/>
      <c r="D103" s="24"/>
      <c r="E103" s="29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ht="21.75" customHeight="1" x14ac:dyDescent="0.6">
      <c r="A104" s="24"/>
      <c r="B104" s="293"/>
      <c r="C104" s="293"/>
      <c r="D104" s="24"/>
      <c r="E104" s="29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ht="21.75" customHeight="1" x14ac:dyDescent="0.6">
      <c r="A105" s="24"/>
      <c r="B105" s="293"/>
      <c r="C105" s="293"/>
      <c r="D105" s="24"/>
      <c r="E105" s="29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ht="21.75" customHeight="1" x14ac:dyDescent="0.6">
      <c r="A106" s="24"/>
      <c r="B106" s="293"/>
      <c r="C106" s="293"/>
      <c r="D106" s="24"/>
      <c r="E106" s="29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ht="21.75" customHeight="1" x14ac:dyDescent="0.6">
      <c r="A107" s="24"/>
      <c r="B107" s="293"/>
      <c r="C107" s="293"/>
      <c r="D107" s="24"/>
      <c r="E107" s="29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ht="21.75" customHeight="1" x14ac:dyDescent="0.6">
      <c r="A108" s="24"/>
      <c r="B108" s="293"/>
      <c r="C108" s="293"/>
      <c r="D108" s="24"/>
      <c r="E108" s="29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ht="21.75" customHeight="1" x14ac:dyDescent="0.6">
      <c r="A109" s="24"/>
      <c r="B109" s="293"/>
      <c r="C109" s="293"/>
      <c r="D109" s="24"/>
      <c r="E109" s="29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ht="21.75" customHeight="1" x14ac:dyDescent="0.6">
      <c r="A110" s="24"/>
      <c r="B110" s="293"/>
      <c r="C110" s="293"/>
      <c r="D110" s="24"/>
      <c r="E110" s="29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ht="21.75" customHeight="1" x14ac:dyDescent="0.6">
      <c r="A111" s="24"/>
      <c r="B111" s="293"/>
      <c r="C111" s="293"/>
      <c r="D111" s="24"/>
      <c r="E111" s="29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ht="21.75" customHeight="1" x14ac:dyDescent="0.6">
      <c r="A112" s="24"/>
      <c r="B112" s="293"/>
      <c r="C112" s="293"/>
      <c r="D112" s="24"/>
      <c r="E112" s="29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ht="21.75" customHeight="1" x14ac:dyDescent="0.6">
      <c r="A113" s="24"/>
      <c r="B113" s="293"/>
      <c r="C113" s="293"/>
      <c r="D113" s="24"/>
      <c r="E113" s="29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ht="21.75" customHeight="1" x14ac:dyDescent="0.6">
      <c r="A114" s="24"/>
      <c r="B114" s="293"/>
      <c r="C114" s="293"/>
      <c r="D114" s="24"/>
      <c r="E114" s="29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ht="21.75" customHeight="1" x14ac:dyDescent="0.6">
      <c r="A115" s="24"/>
      <c r="B115" s="293"/>
      <c r="C115" s="293"/>
      <c r="D115" s="24"/>
      <c r="E115" s="29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ht="21.75" customHeight="1" x14ac:dyDescent="0.6">
      <c r="A116" s="24"/>
      <c r="B116" s="293"/>
      <c r="C116" s="293"/>
      <c r="D116" s="24"/>
      <c r="E116" s="29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ht="21.75" customHeight="1" x14ac:dyDescent="0.6">
      <c r="A117" s="24"/>
      <c r="B117" s="293"/>
      <c r="C117" s="293"/>
      <c r="D117" s="24"/>
      <c r="E117" s="29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ht="21.75" customHeight="1" x14ac:dyDescent="0.6">
      <c r="A118" s="24"/>
      <c r="B118" s="293"/>
      <c r="C118" s="293"/>
      <c r="D118" s="24"/>
      <c r="E118" s="29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21.75" customHeight="1" x14ac:dyDescent="0.6">
      <c r="A119" s="24"/>
      <c r="B119" s="293"/>
      <c r="C119" s="293"/>
      <c r="D119" s="24"/>
      <c r="E119" s="29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ht="21.75" customHeight="1" x14ac:dyDescent="0.6">
      <c r="A120" s="24"/>
      <c r="B120" s="293"/>
      <c r="C120" s="293"/>
      <c r="D120" s="24"/>
      <c r="E120" s="29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ht="21.75" customHeight="1" x14ac:dyDescent="0.6">
      <c r="A121" s="24"/>
      <c r="B121" s="293"/>
      <c r="C121" s="293"/>
      <c r="D121" s="24"/>
      <c r="E121" s="29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ht="21.75" customHeight="1" x14ac:dyDescent="0.6">
      <c r="A122" s="24"/>
      <c r="B122" s="293"/>
      <c r="C122" s="293"/>
      <c r="D122" s="24"/>
      <c r="E122" s="29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ht="21.75" customHeight="1" x14ac:dyDescent="0.6">
      <c r="A123" s="24"/>
      <c r="B123" s="293"/>
      <c r="C123" s="293"/>
      <c r="D123" s="24"/>
      <c r="E123" s="29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ht="21.75" customHeight="1" x14ac:dyDescent="0.6">
      <c r="A124" s="24"/>
      <c r="B124" s="293"/>
      <c r="C124" s="293"/>
      <c r="D124" s="24"/>
      <c r="E124" s="29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ht="21.75" customHeight="1" x14ac:dyDescent="0.6">
      <c r="A125" s="24"/>
      <c r="B125" s="293"/>
      <c r="C125" s="293"/>
      <c r="D125" s="24"/>
      <c r="E125" s="29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ht="21.75" customHeight="1" x14ac:dyDescent="0.6">
      <c r="A126" s="24"/>
      <c r="B126" s="293"/>
      <c r="C126" s="293"/>
      <c r="D126" s="24"/>
      <c r="E126" s="29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ht="21.75" customHeight="1" x14ac:dyDescent="0.6">
      <c r="A127" s="24"/>
      <c r="B127" s="293"/>
      <c r="C127" s="293"/>
      <c r="D127" s="24"/>
      <c r="E127" s="29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ht="21.75" customHeight="1" x14ac:dyDescent="0.6">
      <c r="A128" s="24"/>
      <c r="B128" s="293"/>
      <c r="C128" s="293"/>
      <c r="D128" s="24"/>
      <c r="E128" s="29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ht="21.75" customHeight="1" x14ac:dyDescent="0.6">
      <c r="A129" s="24"/>
      <c r="B129" s="293"/>
      <c r="C129" s="293"/>
      <c r="D129" s="24"/>
      <c r="E129" s="29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ht="21.75" customHeight="1" x14ac:dyDescent="0.6">
      <c r="A130" s="24"/>
      <c r="B130" s="293"/>
      <c r="C130" s="293"/>
      <c r="D130" s="24"/>
      <c r="E130" s="29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ht="21.75" customHeight="1" x14ac:dyDescent="0.6">
      <c r="A131" s="24"/>
      <c r="B131" s="293"/>
      <c r="C131" s="293"/>
      <c r="D131" s="24"/>
      <c r="E131" s="29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ht="21.75" customHeight="1" x14ac:dyDescent="0.6">
      <c r="A132" s="24"/>
      <c r="B132" s="293"/>
      <c r="C132" s="293"/>
      <c r="D132" s="24"/>
      <c r="E132" s="29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ht="21.75" customHeight="1" x14ac:dyDescent="0.6">
      <c r="A133" s="24"/>
      <c r="B133" s="293"/>
      <c r="C133" s="293"/>
      <c r="D133" s="24"/>
      <c r="E133" s="29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ht="21.75" customHeight="1" x14ac:dyDescent="0.6">
      <c r="A134" s="24"/>
      <c r="B134" s="293"/>
      <c r="C134" s="293"/>
      <c r="D134" s="24"/>
      <c r="E134" s="29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ht="21.75" customHeight="1" x14ac:dyDescent="0.6">
      <c r="A135" s="24"/>
      <c r="B135" s="293"/>
      <c r="C135" s="293"/>
      <c r="D135" s="24"/>
      <c r="E135" s="29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21.75" customHeight="1" x14ac:dyDescent="0.6">
      <c r="A136" s="24"/>
      <c r="B136" s="293"/>
      <c r="C136" s="293"/>
      <c r="D136" s="24"/>
      <c r="E136" s="29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ht="21.75" customHeight="1" x14ac:dyDescent="0.6">
      <c r="A137" s="24"/>
      <c r="B137" s="293"/>
      <c r="C137" s="293"/>
      <c r="D137" s="24"/>
      <c r="E137" s="29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ht="21.75" customHeight="1" x14ac:dyDescent="0.6">
      <c r="A138" s="24"/>
      <c r="B138" s="293"/>
      <c r="C138" s="293"/>
      <c r="D138" s="24"/>
      <c r="E138" s="29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ht="21.75" customHeight="1" x14ac:dyDescent="0.6">
      <c r="A139" s="24"/>
      <c r="B139" s="293"/>
      <c r="C139" s="293"/>
      <c r="D139" s="24"/>
      <c r="E139" s="29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ht="21.75" customHeight="1" x14ac:dyDescent="0.6">
      <c r="A140" s="24"/>
      <c r="B140" s="293"/>
      <c r="C140" s="293"/>
      <c r="D140" s="24"/>
      <c r="E140" s="29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ht="21.75" customHeight="1" x14ac:dyDescent="0.6">
      <c r="A141" s="24"/>
      <c r="B141" s="293"/>
      <c r="C141" s="293"/>
      <c r="D141" s="24"/>
      <c r="E141" s="29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ht="21.75" customHeight="1" x14ac:dyDescent="0.6">
      <c r="A142" s="24"/>
      <c r="B142" s="293"/>
      <c r="C142" s="293"/>
      <c r="D142" s="24"/>
      <c r="E142" s="29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ht="21.75" customHeight="1" x14ac:dyDescent="0.6">
      <c r="A143" s="24"/>
      <c r="B143" s="293"/>
      <c r="C143" s="293"/>
      <c r="D143" s="24"/>
      <c r="E143" s="29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ht="21.75" customHeight="1" x14ac:dyDescent="0.6">
      <c r="A144" s="24"/>
      <c r="B144" s="293"/>
      <c r="C144" s="293"/>
      <c r="D144" s="24"/>
      <c r="E144" s="29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ht="21.75" customHeight="1" x14ac:dyDescent="0.6">
      <c r="A145" s="24"/>
      <c r="B145" s="293"/>
      <c r="C145" s="293"/>
      <c r="D145" s="24"/>
      <c r="E145" s="29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ht="21.75" customHeight="1" x14ac:dyDescent="0.6">
      <c r="A146" s="24"/>
      <c r="B146" s="293"/>
      <c r="C146" s="293"/>
      <c r="D146" s="24"/>
      <c r="E146" s="29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ht="21.75" customHeight="1" x14ac:dyDescent="0.6">
      <c r="A147" s="24"/>
      <c r="B147" s="293"/>
      <c r="C147" s="293"/>
      <c r="D147" s="24"/>
      <c r="E147" s="29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ht="21.75" customHeight="1" x14ac:dyDescent="0.6">
      <c r="A148" s="24"/>
      <c r="B148" s="293"/>
      <c r="C148" s="293"/>
      <c r="D148" s="24"/>
      <c r="E148" s="29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ht="21.75" customHeight="1" x14ac:dyDescent="0.6">
      <c r="A149" s="24"/>
      <c r="B149" s="293"/>
      <c r="C149" s="293"/>
      <c r="D149" s="24"/>
      <c r="E149" s="29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ht="21.75" customHeight="1" x14ac:dyDescent="0.6">
      <c r="A150" s="24"/>
      <c r="B150" s="293"/>
      <c r="C150" s="293"/>
      <c r="D150" s="24"/>
      <c r="E150" s="29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ht="21.75" customHeight="1" x14ac:dyDescent="0.6">
      <c r="A151" s="24"/>
      <c r="B151" s="293"/>
      <c r="C151" s="293"/>
      <c r="D151" s="24"/>
      <c r="E151" s="29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ht="21.75" customHeight="1" x14ac:dyDescent="0.6">
      <c r="A152" s="24"/>
      <c r="B152" s="293"/>
      <c r="C152" s="293"/>
      <c r="D152" s="24"/>
      <c r="E152" s="29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ht="21.75" customHeight="1" x14ac:dyDescent="0.6">
      <c r="A153" s="24"/>
      <c r="B153" s="293"/>
      <c r="C153" s="293"/>
      <c r="D153" s="24"/>
      <c r="E153" s="29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ht="21.75" customHeight="1" x14ac:dyDescent="0.6">
      <c r="A154" s="24"/>
      <c r="B154" s="293"/>
      <c r="C154" s="293"/>
      <c r="D154" s="24"/>
      <c r="E154" s="29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ht="21.75" customHeight="1" x14ac:dyDescent="0.6">
      <c r="A155" s="24"/>
      <c r="B155" s="293"/>
      <c r="C155" s="293"/>
      <c r="D155" s="24"/>
      <c r="E155" s="29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ht="21.75" customHeight="1" x14ac:dyDescent="0.6">
      <c r="A156" s="24"/>
      <c r="B156" s="293"/>
      <c r="C156" s="293"/>
      <c r="D156" s="24"/>
      <c r="E156" s="29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ht="21.75" customHeight="1" x14ac:dyDescent="0.6">
      <c r="A157" s="24"/>
      <c r="B157" s="293"/>
      <c r="C157" s="293"/>
      <c r="D157" s="24"/>
      <c r="E157" s="29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ht="21.75" customHeight="1" x14ac:dyDescent="0.6">
      <c r="A158" s="24"/>
      <c r="B158" s="293"/>
      <c r="C158" s="293"/>
      <c r="D158" s="24"/>
      <c r="E158" s="29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ht="21.75" customHeight="1" x14ac:dyDescent="0.6">
      <c r="A159" s="24"/>
      <c r="B159" s="293"/>
      <c r="C159" s="293"/>
      <c r="D159" s="24"/>
      <c r="E159" s="29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ht="21.75" customHeight="1" x14ac:dyDescent="0.6">
      <c r="A160" s="24"/>
      <c r="B160" s="293"/>
      <c r="C160" s="293"/>
      <c r="D160" s="24"/>
      <c r="E160" s="29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ht="21.75" customHeight="1" x14ac:dyDescent="0.6">
      <c r="A161" s="24"/>
      <c r="B161" s="293"/>
      <c r="C161" s="293"/>
      <c r="D161" s="24"/>
      <c r="E161" s="29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ht="21.75" customHeight="1" x14ac:dyDescent="0.6">
      <c r="A162" s="24"/>
      <c r="B162" s="293"/>
      <c r="C162" s="293"/>
      <c r="D162" s="24"/>
      <c r="E162" s="29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ht="21.75" customHeight="1" x14ac:dyDescent="0.6">
      <c r="A163" s="24"/>
      <c r="B163" s="293"/>
      <c r="C163" s="293"/>
      <c r="D163" s="24"/>
      <c r="E163" s="29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ht="21.75" customHeight="1" x14ac:dyDescent="0.6">
      <c r="A164" s="24"/>
      <c r="B164" s="293"/>
      <c r="C164" s="293"/>
      <c r="D164" s="24"/>
      <c r="E164" s="29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ht="21.75" customHeight="1" x14ac:dyDescent="0.6">
      <c r="A165" s="24"/>
      <c r="B165" s="293"/>
      <c r="C165" s="293"/>
      <c r="D165" s="24"/>
      <c r="E165" s="29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ht="21.75" customHeight="1" x14ac:dyDescent="0.6">
      <c r="A166" s="24"/>
      <c r="B166" s="293"/>
      <c r="C166" s="293"/>
      <c r="D166" s="24"/>
      <c r="E166" s="29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ht="21.75" customHeight="1" x14ac:dyDescent="0.6">
      <c r="A167" s="24"/>
      <c r="B167" s="293"/>
      <c r="C167" s="293"/>
      <c r="D167" s="24"/>
      <c r="E167" s="29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ht="21.75" customHeight="1" x14ac:dyDescent="0.6">
      <c r="A168" s="24"/>
      <c r="B168" s="293"/>
      <c r="C168" s="293"/>
      <c r="D168" s="24"/>
      <c r="E168" s="29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ht="21.75" customHeight="1" x14ac:dyDescent="0.6">
      <c r="A169" s="24"/>
      <c r="B169" s="293"/>
      <c r="C169" s="293"/>
      <c r="D169" s="24"/>
      <c r="E169" s="29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ht="21.75" customHeight="1" x14ac:dyDescent="0.6">
      <c r="A170" s="24"/>
      <c r="B170" s="293"/>
      <c r="C170" s="293"/>
      <c r="D170" s="24"/>
      <c r="E170" s="29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ht="21.75" customHeight="1" x14ac:dyDescent="0.6">
      <c r="A171" s="24"/>
      <c r="B171" s="293"/>
      <c r="C171" s="293"/>
      <c r="D171" s="24"/>
      <c r="E171" s="29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ht="21.75" customHeight="1" x14ac:dyDescent="0.6">
      <c r="A172" s="24"/>
      <c r="B172" s="293"/>
      <c r="C172" s="293"/>
      <c r="D172" s="24"/>
      <c r="E172" s="29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ht="21.75" customHeight="1" x14ac:dyDescent="0.6">
      <c r="A173" s="24"/>
      <c r="B173" s="293"/>
      <c r="C173" s="293"/>
      <c r="D173" s="24"/>
      <c r="E173" s="29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ht="21.75" customHeight="1" x14ac:dyDescent="0.6">
      <c r="A174" s="24"/>
      <c r="B174" s="293"/>
      <c r="C174" s="293"/>
      <c r="D174" s="24"/>
      <c r="E174" s="29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ht="21.75" customHeight="1" x14ac:dyDescent="0.6">
      <c r="A175" s="24"/>
      <c r="B175" s="293"/>
      <c r="C175" s="293"/>
      <c r="D175" s="24"/>
      <c r="E175" s="29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ht="21.75" customHeight="1" x14ac:dyDescent="0.6">
      <c r="A176" s="24"/>
      <c r="B176" s="293"/>
      <c r="C176" s="293"/>
      <c r="D176" s="24"/>
      <c r="E176" s="29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ht="21.75" customHeight="1" x14ac:dyDescent="0.6">
      <c r="A177" s="24"/>
      <c r="B177" s="293"/>
      <c r="C177" s="293"/>
      <c r="D177" s="24"/>
      <c r="E177" s="29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ht="21.75" customHeight="1" x14ac:dyDescent="0.6">
      <c r="A178" s="24"/>
      <c r="B178" s="293"/>
      <c r="C178" s="293"/>
      <c r="D178" s="24"/>
      <c r="E178" s="29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ht="21.75" customHeight="1" x14ac:dyDescent="0.6">
      <c r="A179" s="24"/>
      <c r="B179" s="293"/>
      <c r="C179" s="293"/>
      <c r="D179" s="24"/>
      <c r="E179" s="29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ht="21.75" customHeight="1" x14ac:dyDescent="0.6">
      <c r="A180" s="24"/>
      <c r="B180" s="293"/>
      <c r="C180" s="293"/>
      <c r="D180" s="24"/>
      <c r="E180" s="29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ht="21.75" customHeight="1" x14ac:dyDescent="0.6">
      <c r="A181" s="24"/>
      <c r="B181" s="293"/>
      <c r="C181" s="293"/>
      <c r="D181" s="24"/>
      <c r="E181" s="29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ht="21.75" customHeight="1" x14ac:dyDescent="0.6">
      <c r="A182" s="24"/>
      <c r="B182" s="293"/>
      <c r="C182" s="293"/>
      <c r="D182" s="24"/>
      <c r="E182" s="29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ht="21.75" customHeight="1" x14ac:dyDescent="0.6">
      <c r="A183" s="24"/>
      <c r="B183" s="293"/>
      <c r="C183" s="293"/>
      <c r="D183" s="24"/>
      <c r="E183" s="29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ht="21.75" customHeight="1" x14ac:dyDescent="0.6">
      <c r="A184" s="24"/>
      <c r="B184" s="293"/>
      <c r="C184" s="293"/>
      <c r="D184" s="24"/>
      <c r="E184" s="29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ht="21.75" customHeight="1" x14ac:dyDescent="0.6">
      <c r="A185" s="24"/>
      <c r="B185" s="293"/>
      <c r="C185" s="293"/>
      <c r="D185" s="24"/>
      <c r="E185" s="29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ht="21.75" customHeight="1" x14ac:dyDescent="0.6">
      <c r="A186" s="24"/>
      <c r="B186" s="293"/>
      <c r="C186" s="293"/>
      <c r="D186" s="24"/>
      <c r="E186" s="29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ht="21.75" customHeight="1" x14ac:dyDescent="0.6">
      <c r="A187" s="24"/>
      <c r="B187" s="293"/>
      <c r="C187" s="293"/>
      <c r="D187" s="24"/>
      <c r="E187" s="29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ht="21.75" customHeight="1" x14ac:dyDescent="0.6">
      <c r="A188" s="24"/>
      <c r="B188" s="293"/>
      <c r="C188" s="293"/>
      <c r="D188" s="24"/>
      <c r="E188" s="29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ht="21.75" customHeight="1" x14ac:dyDescent="0.6">
      <c r="A189" s="24"/>
      <c r="B189" s="293"/>
      <c r="C189" s="293"/>
      <c r="D189" s="24"/>
      <c r="E189" s="29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ht="21.75" customHeight="1" x14ac:dyDescent="0.6">
      <c r="A190" s="24"/>
      <c r="B190" s="293"/>
      <c r="C190" s="293"/>
      <c r="D190" s="24"/>
      <c r="E190" s="29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ht="21.75" customHeight="1" x14ac:dyDescent="0.6">
      <c r="A191" s="24"/>
      <c r="B191" s="293"/>
      <c r="C191" s="293"/>
      <c r="D191" s="24"/>
      <c r="E191" s="29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ht="21.75" customHeight="1" x14ac:dyDescent="0.6">
      <c r="A192" s="24"/>
      <c r="B192" s="293"/>
      <c r="C192" s="293"/>
      <c r="D192" s="24"/>
      <c r="E192" s="29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ht="21.75" customHeight="1" x14ac:dyDescent="0.6">
      <c r="A193" s="24"/>
      <c r="B193" s="293"/>
      <c r="C193" s="293"/>
      <c r="D193" s="24"/>
      <c r="E193" s="29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ht="21.75" customHeight="1" x14ac:dyDescent="0.6">
      <c r="A194" s="24"/>
      <c r="B194" s="293"/>
      <c r="C194" s="293"/>
      <c r="D194" s="24"/>
      <c r="E194" s="29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ht="21.75" customHeight="1" x14ac:dyDescent="0.6">
      <c r="A195" s="24"/>
      <c r="B195" s="293"/>
      <c r="C195" s="293"/>
      <c r="D195" s="24"/>
      <c r="E195" s="29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ht="21.75" customHeight="1" x14ac:dyDescent="0.6">
      <c r="A196" s="24"/>
      <c r="B196" s="293"/>
      <c r="C196" s="293"/>
      <c r="D196" s="24"/>
      <c r="E196" s="29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ht="21.75" customHeight="1" x14ac:dyDescent="0.6">
      <c r="A197" s="24"/>
      <c r="B197" s="293"/>
      <c r="C197" s="293"/>
      <c r="D197" s="24"/>
      <c r="E197" s="29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ht="21.75" customHeight="1" x14ac:dyDescent="0.6">
      <c r="A198" s="24"/>
      <c r="B198" s="293"/>
      <c r="C198" s="293"/>
      <c r="D198" s="24"/>
      <c r="E198" s="29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ht="21.75" customHeight="1" x14ac:dyDescent="0.6">
      <c r="A199" s="24"/>
      <c r="B199" s="293"/>
      <c r="C199" s="293"/>
      <c r="D199" s="24"/>
      <c r="E199" s="29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ht="21.75" customHeight="1" x14ac:dyDescent="0.6">
      <c r="A200" s="24"/>
      <c r="B200" s="293"/>
      <c r="C200" s="293"/>
      <c r="D200" s="24"/>
      <c r="E200" s="29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ht="21.75" customHeight="1" x14ac:dyDescent="0.6">
      <c r="A201" s="24"/>
      <c r="B201" s="293"/>
      <c r="C201" s="293"/>
      <c r="D201" s="24"/>
      <c r="E201" s="29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ht="21.75" customHeight="1" x14ac:dyDescent="0.6">
      <c r="A202" s="24"/>
      <c r="B202" s="293"/>
      <c r="C202" s="293"/>
      <c r="D202" s="24"/>
      <c r="E202" s="29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ht="21.75" customHeight="1" x14ac:dyDescent="0.6">
      <c r="A203" s="24"/>
      <c r="B203" s="293"/>
      <c r="C203" s="293"/>
      <c r="D203" s="24"/>
      <c r="E203" s="29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ht="21.75" customHeight="1" x14ac:dyDescent="0.6">
      <c r="A204" s="24"/>
      <c r="B204" s="293"/>
      <c r="C204" s="293"/>
      <c r="D204" s="24"/>
      <c r="E204" s="29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ht="21.75" customHeight="1" x14ac:dyDescent="0.6">
      <c r="A205" s="24"/>
      <c r="B205" s="293"/>
      <c r="C205" s="293"/>
      <c r="D205" s="24"/>
      <c r="E205" s="29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ht="21.75" customHeight="1" x14ac:dyDescent="0.6">
      <c r="A206" s="24"/>
      <c r="B206" s="293"/>
      <c r="C206" s="293"/>
      <c r="D206" s="24"/>
      <c r="E206" s="29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ht="21.75" customHeight="1" x14ac:dyDescent="0.6">
      <c r="A207" s="24"/>
      <c r="B207" s="293"/>
      <c r="C207" s="293"/>
      <c r="D207" s="24"/>
      <c r="E207" s="29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ht="21.75" customHeight="1" x14ac:dyDescent="0.6">
      <c r="A208" s="24"/>
      <c r="B208" s="293"/>
      <c r="C208" s="293"/>
      <c r="D208" s="24"/>
      <c r="E208" s="29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ht="21.75" customHeight="1" x14ac:dyDescent="0.6">
      <c r="A209" s="24"/>
      <c r="B209" s="293"/>
      <c r="C209" s="293"/>
      <c r="D209" s="24"/>
      <c r="E209" s="29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ht="21.75" customHeight="1" x14ac:dyDescent="0.6">
      <c r="A210" s="24"/>
      <c r="B210" s="293"/>
      <c r="C210" s="293"/>
      <c r="D210" s="24"/>
      <c r="E210" s="29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ht="21.75" customHeight="1" x14ac:dyDescent="0.6">
      <c r="A211" s="24"/>
      <c r="B211" s="293"/>
      <c r="C211" s="293"/>
      <c r="D211" s="24"/>
      <c r="E211" s="29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ht="21.75" customHeight="1" x14ac:dyDescent="0.6">
      <c r="A212" s="24"/>
      <c r="B212" s="293"/>
      <c r="C212" s="293"/>
      <c r="D212" s="24"/>
      <c r="E212" s="29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ht="21.75" customHeight="1" x14ac:dyDescent="0.6">
      <c r="A213" s="24"/>
      <c r="B213" s="293"/>
      <c r="C213" s="293"/>
      <c r="D213" s="24"/>
      <c r="E213" s="29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ht="21.75" customHeight="1" x14ac:dyDescent="0.6">
      <c r="A214" s="24"/>
      <c r="B214" s="293"/>
      <c r="C214" s="293"/>
      <c r="D214" s="24"/>
      <c r="E214" s="29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ht="21.75" customHeight="1" x14ac:dyDescent="0.6">
      <c r="A215" s="24"/>
      <c r="B215" s="293"/>
      <c r="C215" s="293"/>
      <c r="D215" s="24"/>
      <c r="E215" s="29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ht="21.75" customHeight="1" x14ac:dyDescent="0.6">
      <c r="A216" s="24"/>
      <c r="B216" s="293"/>
      <c r="C216" s="293"/>
      <c r="D216" s="24"/>
      <c r="E216" s="29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ht="21.75" customHeight="1" x14ac:dyDescent="0.6">
      <c r="A217" s="24"/>
      <c r="B217" s="293"/>
      <c r="C217" s="293"/>
      <c r="D217" s="24"/>
      <c r="E217" s="29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ht="21.75" customHeight="1" x14ac:dyDescent="0.6">
      <c r="A218" s="24"/>
      <c r="B218" s="293"/>
      <c r="C218" s="293"/>
      <c r="D218" s="24"/>
      <c r="E218" s="29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ht="21.75" customHeight="1" x14ac:dyDescent="0.6">
      <c r="A219" s="24"/>
      <c r="B219" s="293"/>
      <c r="C219" s="293"/>
      <c r="D219" s="24"/>
      <c r="E219" s="29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ht="21.75" customHeight="1" x14ac:dyDescent="0.6">
      <c r="A220" s="24"/>
      <c r="B220" s="293"/>
      <c r="C220" s="293"/>
      <c r="D220" s="24"/>
      <c r="E220" s="29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ht="21.75" customHeight="1" x14ac:dyDescent="0.6">
      <c r="A221" s="24"/>
      <c r="B221" s="293"/>
      <c r="C221" s="293"/>
      <c r="D221" s="24"/>
      <c r="E221" s="29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ht="21.75" customHeight="1" x14ac:dyDescent="0.6">
      <c r="A222" s="24"/>
      <c r="B222" s="293"/>
      <c r="C222" s="293"/>
      <c r="D222" s="24"/>
      <c r="E222" s="29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ht="21.75" customHeight="1" x14ac:dyDescent="0.6">
      <c r="A223" s="24"/>
      <c r="B223" s="293"/>
      <c r="C223" s="293"/>
      <c r="D223" s="24"/>
      <c r="E223" s="29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ht="21.75" customHeight="1" x14ac:dyDescent="0.6">
      <c r="A224" s="24"/>
      <c r="B224" s="293"/>
      <c r="C224" s="293"/>
      <c r="D224" s="24"/>
      <c r="E224" s="29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21.75" customHeight="1" x14ac:dyDescent="0.6">
      <c r="A225" s="24"/>
      <c r="B225" s="293"/>
      <c r="C225" s="293"/>
      <c r="D225" s="24"/>
      <c r="E225" s="29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21.75" customHeight="1" x14ac:dyDescent="0.6">
      <c r="A226" s="24"/>
      <c r="B226" s="293"/>
      <c r="C226" s="293"/>
      <c r="D226" s="24"/>
      <c r="E226" s="29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ht="21.75" customHeight="1" x14ac:dyDescent="0.6">
      <c r="A227" s="24"/>
      <c r="B227" s="293"/>
      <c r="C227" s="293"/>
      <c r="D227" s="24"/>
      <c r="E227" s="29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ht="21.75" customHeight="1" x14ac:dyDescent="0.6">
      <c r="A228" s="24"/>
      <c r="B228" s="293"/>
      <c r="C228" s="293"/>
      <c r="D228" s="24"/>
      <c r="E228" s="29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ht="21.75" customHeight="1" x14ac:dyDescent="0.6">
      <c r="A229" s="24"/>
      <c r="B229" s="293"/>
      <c r="C229" s="293"/>
      <c r="D229" s="24"/>
      <c r="E229" s="29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ht="21.75" customHeight="1" x14ac:dyDescent="0.6">
      <c r="A230" s="24"/>
      <c r="B230" s="293"/>
      <c r="C230" s="293"/>
      <c r="D230" s="24"/>
      <c r="E230" s="29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ht="21.75" customHeight="1" x14ac:dyDescent="0.6">
      <c r="A231" s="24"/>
      <c r="B231" s="293"/>
      <c r="C231" s="293"/>
      <c r="D231" s="24"/>
      <c r="E231" s="29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ht="21.75" customHeight="1" x14ac:dyDescent="0.6">
      <c r="A232" s="24"/>
      <c r="B232" s="293"/>
      <c r="C232" s="293"/>
      <c r="D232" s="24"/>
      <c r="E232" s="29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ht="21.75" customHeight="1" x14ac:dyDescent="0.6">
      <c r="A233" s="24"/>
      <c r="B233" s="293"/>
      <c r="C233" s="293"/>
      <c r="D233" s="24"/>
      <c r="E233" s="29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ht="21.75" customHeight="1" x14ac:dyDescent="0.6">
      <c r="A234" s="24"/>
      <c r="B234" s="293"/>
      <c r="C234" s="293"/>
      <c r="D234" s="24"/>
      <c r="E234" s="29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spans="1:24" ht="21.75" customHeight="1" x14ac:dyDescent="0.6">
      <c r="A235" s="24"/>
      <c r="B235" s="293"/>
      <c r="C235" s="293"/>
      <c r="D235" s="24"/>
      <c r="E235" s="29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spans="1:24" ht="21.75" customHeight="1" x14ac:dyDescent="0.6">
      <c r="A236" s="24"/>
      <c r="B236" s="293"/>
      <c r="C236" s="293"/>
      <c r="D236" s="24"/>
      <c r="E236" s="29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spans="1:24" ht="21.75" customHeight="1" x14ac:dyDescent="0.6">
      <c r="A237" s="24"/>
      <c r="B237" s="293"/>
      <c r="C237" s="293"/>
      <c r="D237" s="24"/>
      <c r="E237" s="29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spans="1:24" ht="21.75" customHeight="1" x14ac:dyDescent="0.6">
      <c r="A238" s="24"/>
      <c r="B238" s="293"/>
      <c r="C238" s="293"/>
      <c r="D238" s="24"/>
      <c r="E238" s="29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spans="1:24" ht="21.75" customHeight="1" x14ac:dyDescent="0.6">
      <c r="A239" s="24"/>
      <c r="B239" s="293"/>
      <c r="C239" s="293"/>
      <c r="D239" s="24"/>
      <c r="E239" s="29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spans="1:24" ht="21.75" customHeight="1" x14ac:dyDescent="0.6">
      <c r="A240" s="24"/>
      <c r="B240" s="293"/>
      <c r="C240" s="293"/>
      <c r="D240" s="24"/>
      <c r="E240" s="29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spans="1:24" ht="21.75" customHeight="1" x14ac:dyDescent="0.6">
      <c r="A241" s="24"/>
      <c r="B241" s="293"/>
      <c r="C241" s="293"/>
      <c r="D241" s="24"/>
      <c r="E241" s="29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spans="1:24" ht="21.75" customHeight="1" x14ac:dyDescent="0.6">
      <c r="A242" s="24"/>
      <c r="B242" s="293"/>
      <c r="C242" s="293"/>
      <c r="D242" s="24"/>
      <c r="E242" s="29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spans="1:24" ht="21.75" customHeight="1" x14ac:dyDescent="0.6">
      <c r="A243" s="24"/>
      <c r="B243" s="293"/>
      <c r="C243" s="293"/>
      <c r="D243" s="24"/>
      <c r="E243" s="29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spans="1:24" ht="21.75" customHeight="1" x14ac:dyDescent="0.6">
      <c r="A244" s="24"/>
      <c r="B244" s="293"/>
      <c r="C244" s="293"/>
      <c r="D244" s="24"/>
      <c r="E244" s="29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spans="1:24" ht="21.75" customHeight="1" x14ac:dyDescent="0.6">
      <c r="A245" s="24"/>
      <c r="B245" s="293"/>
      <c r="C245" s="293"/>
      <c r="D245" s="24"/>
      <c r="E245" s="29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spans="1:24" ht="21.75" customHeight="1" x14ac:dyDescent="0.6">
      <c r="A246" s="24"/>
      <c r="B246" s="293"/>
      <c r="C246" s="293"/>
      <c r="D246" s="24"/>
      <c r="E246" s="29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spans="1:24" ht="21.75" customHeight="1" x14ac:dyDescent="0.6">
      <c r="A247" s="24"/>
      <c r="B247" s="293"/>
      <c r="C247" s="293"/>
      <c r="D247" s="24"/>
      <c r="E247" s="29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spans="1:24" ht="21.75" customHeight="1" x14ac:dyDescent="0.6">
      <c r="A248" s="24"/>
      <c r="B248" s="293"/>
      <c r="C248" s="293"/>
      <c r="D248" s="24"/>
      <c r="E248" s="29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spans="1:24" ht="21.75" customHeight="1" x14ac:dyDescent="0.6">
      <c r="A249" s="24"/>
      <c r="B249" s="293"/>
      <c r="C249" s="293"/>
      <c r="D249" s="24"/>
      <c r="E249" s="29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spans="1:24" ht="21.75" customHeight="1" x14ac:dyDescent="0.6">
      <c r="A250" s="24"/>
      <c r="B250" s="293"/>
      <c r="C250" s="293"/>
      <c r="D250" s="24"/>
      <c r="E250" s="29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spans="1:24" ht="21.75" customHeight="1" x14ac:dyDescent="0.6">
      <c r="A251" s="24"/>
      <c r="B251" s="293"/>
      <c r="C251" s="293"/>
      <c r="D251" s="24"/>
      <c r="E251" s="29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spans="1:24" ht="21.75" customHeight="1" x14ac:dyDescent="0.6">
      <c r="A252" s="24"/>
      <c r="B252" s="293"/>
      <c r="C252" s="293"/>
      <c r="D252" s="24"/>
      <c r="E252" s="29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spans="1:24" ht="21.75" customHeight="1" x14ac:dyDescent="0.6">
      <c r="A253" s="24"/>
      <c r="B253" s="293"/>
      <c r="C253" s="293"/>
      <c r="D253" s="24"/>
      <c r="E253" s="29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spans="1:24" ht="21.75" customHeight="1" x14ac:dyDescent="0.6">
      <c r="A254" s="24"/>
      <c r="B254" s="293"/>
      <c r="C254" s="293"/>
      <c r="D254" s="24"/>
      <c r="E254" s="29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spans="1:24" ht="21.75" customHeight="1" x14ac:dyDescent="0.6">
      <c r="A255" s="24"/>
      <c r="B255" s="293"/>
      <c r="C255" s="293"/>
      <c r="D255" s="24"/>
      <c r="E255" s="29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spans="1:24" ht="21.75" customHeight="1" x14ac:dyDescent="0.6">
      <c r="A256" s="24"/>
      <c r="B256" s="293"/>
      <c r="C256" s="293"/>
      <c r="D256" s="24"/>
      <c r="E256" s="29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spans="1:24" ht="21.75" customHeight="1" x14ac:dyDescent="0.6">
      <c r="A257" s="24"/>
      <c r="B257" s="293"/>
      <c r="C257" s="293"/>
      <c r="D257" s="24"/>
      <c r="E257" s="29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spans="1:24" ht="21.75" customHeight="1" x14ac:dyDescent="0.6">
      <c r="A258" s="24"/>
      <c r="B258" s="293"/>
      <c r="C258" s="293"/>
      <c r="D258" s="24"/>
      <c r="E258" s="29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spans="1:24" ht="21.75" customHeight="1" x14ac:dyDescent="0.6">
      <c r="A259" s="24"/>
      <c r="B259" s="293"/>
      <c r="C259" s="293"/>
      <c r="D259" s="24"/>
      <c r="E259" s="29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spans="1:24" ht="21.75" customHeight="1" x14ac:dyDescent="0.6">
      <c r="A260" s="24"/>
      <c r="B260" s="293"/>
      <c r="C260" s="293"/>
      <c r="D260" s="24"/>
      <c r="E260" s="29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spans="1:24" ht="21.75" customHeight="1" x14ac:dyDescent="0.6">
      <c r="A261" s="24"/>
      <c r="B261" s="293"/>
      <c r="C261" s="293"/>
      <c r="D261" s="24"/>
      <c r="E261" s="29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spans="1:24" ht="21.75" customHeight="1" x14ac:dyDescent="0.6">
      <c r="A262" s="24"/>
      <c r="B262" s="293"/>
      <c r="C262" s="293"/>
      <c r="D262" s="24"/>
      <c r="E262" s="29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spans="1:24" ht="21.75" customHeight="1" x14ac:dyDescent="0.6">
      <c r="A263" s="24"/>
      <c r="B263" s="293"/>
      <c r="C263" s="293"/>
      <c r="D263" s="24"/>
      <c r="E263" s="29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spans="1:24" ht="21.75" customHeight="1" x14ac:dyDescent="0.6">
      <c r="A264" s="24"/>
      <c r="B264" s="293"/>
      <c r="C264" s="293"/>
      <c r="D264" s="24"/>
      <c r="E264" s="29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spans="1:24" ht="21.75" customHeight="1" x14ac:dyDescent="0.6">
      <c r="A265" s="24"/>
      <c r="B265" s="293"/>
      <c r="C265" s="293"/>
      <c r="D265" s="24"/>
      <c r="E265" s="29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spans="1:24" ht="21.75" customHeight="1" x14ac:dyDescent="0.6">
      <c r="A266" s="24"/>
      <c r="B266" s="293"/>
      <c r="C266" s="293"/>
      <c r="D266" s="24"/>
      <c r="E266" s="29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spans="1:24" ht="21.75" customHeight="1" x14ac:dyDescent="0.6">
      <c r="A267" s="24"/>
      <c r="B267" s="293"/>
      <c r="C267" s="293"/>
      <c r="D267" s="24"/>
      <c r="E267" s="29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spans="1:24" ht="21.75" customHeight="1" x14ac:dyDescent="0.6">
      <c r="A268" s="24"/>
      <c r="B268" s="293"/>
      <c r="C268" s="293"/>
      <c r="D268" s="24"/>
      <c r="E268" s="29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spans="1:24" ht="21.75" customHeight="1" x14ac:dyDescent="0.6">
      <c r="A269" s="24"/>
      <c r="B269" s="293"/>
      <c r="C269" s="293"/>
      <c r="D269" s="24"/>
      <c r="E269" s="29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spans="1:24" ht="21.75" customHeight="1" x14ac:dyDescent="0.6">
      <c r="A270" s="24"/>
      <c r="B270" s="293"/>
      <c r="C270" s="293"/>
      <c r="D270" s="24"/>
      <c r="E270" s="29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spans="1:24" ht="21.75" customHeight="1" x14ac:dyDescent="0.6">
      <c r="A271" s="24"/>
      <c r="B271" s="293"/>
      <c r="C271" s="293"/>
      <c r="D271" s="24"/>
      <c r="E271" s="29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spans="1:24" ht="21.75" customHeight="1" x14ac:dyDescent="0.6">
      <c r="A272" s="24"/>
      <c r="B272" s="293"/>
      <c r="C272" s="293"/>
      <c r="D272" s="24"/>
      <c r="E272" s="29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spans="1:24" ht="21.75" customHeight="1" x14ac:dyDescent="0.6">
      <c r="A273" s="24"/>
      <c r="B273" s="293"/>
      <c r="C273" s="293"/>
      <c r="D273" s="24"/>
      <c r="E273" s="29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spans="1:24" ht="21.75" customHeight="1" x14ac:dyDescent="0.6">
      <c r="A274" s="24"/>
      <c r="B274" s="293"/>
      <c r="C274" s="293"/>
      <c r="D274" s="24"/>
      <c r="E274" s="29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spans="1:24" ht="21.75" customHeight="1" x14ac:dyDescent="0.6">
      <c r="A275" s="24"/>
      <c r="B275" s="293"/>
      <c r="C275" s="293"/>
      <c r="D275" s="24"/>
      <c r="E275" s="29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spans="1:24" ht="21.75" customHeight="1" x14ac:dyDescent="0.6">
      <c r="A276" s="24"/>
      <c r="B276" s="293"/>
      <c r="C276" s="293"/>
      <c r="D276" s="24"/>
      <c r="E276" s="29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spans="1:24" ht="21.75" customHeight="1" x14ac:dyDescent="0.6">
      <c r="A277" s="24"/>
      <c r="B277" s="293"/>
      <c r="C277" s="293"/>
      <c r="D277" s="24"/>
      <c r="E277" s="29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spans="1:24" ht="21.75" customHeight="1" x14ac:dyDescent="0.6">
      <c r="A278" s="24"/>
      <c r="B278" s="293"/>
      <c r="C278" s="293"/>
      <c r="D278" s="24"/>
      <c r="E278" s="29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spans="1:24" ht="21.75" customHeight="1" x14ac:dyDescent="0.6">
      <c r="A279" s="24"/>
      <c r="B279" s="293"/>
      <c r="C279" s="293"/>
      <c r="D279" s="24"/>
      <c r="E279" s="29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spans="1:24" ht="21.75" customHeight="1" x14ac:dyDescent="0.6">
      <c r="A280" s="24"/>
      <c r="B280" s="293"/>
      <c r="C280" s="293"/>
      <c r="D280" s="24"/>
      <c r="E280" s="29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spans="1:24" ht="21.75" customHeight="1" x14ac:dyDescent="0.6">
      <c r="A281" s="24"/>
      <c r="B281" s="293"/>
      <c r="C281" s="293"/>
      <c r="D281" s="24"/>
      <c r="E281" s="29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spans="1:24" ht="21.75" customHeight="1" x14ac:dyDescent="0.6">
      <c r="A282" s="24"/>
      <c r="B282" s="293"/>
      <c r="C282" s="293"/>
      <c r="D282" s="24"/>
      <c r="E282" s="29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spans="1:24" ht="21.75" customHeight="1" x14ac:dyDescent="0.6">
      <c r="A283" s="24"/>
      <c r="B283" s="293"/>
      <c r="C283" s="293"/>
      <c r="D283" s="24"/>
      <c r="E283" s="29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spans="1:24" ht="21.75" customHeight="1" x14ac:dyDescent="0.6">
      <c r="A284" s="24"/>
      <c r="B284" s="293"/>
      <c r="C284" s="293"/>
      <c r="D284" s="24"/>
      <c r="E284" s="29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spans="1:24" ht="21.75" customHeight="1" x14ac:dyDescent="0.6">
      <c r="A285" s="24"/>
      <c r="B285" s="293"/>
      <c r="C285" s="293"/>
      <c r="D285" s="24"/>
      <c r="E285" s="29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spans="1:24" ht="21.75" customHeight="1" x14ac:dyDescent="0.6">
      <c r="A286" s="24"/>
      <c r="B286" s="293"/>
      <c r="C286" s="293"/>
      <c r="D286" s="24"/>
      <c r="E286" s="29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spans="1:24" ht="21.75" customHeight="1" x14ac:dyDescent="0.6">
      <c r="A287" s="24"/>
      <c r="B287" s="293"/>
      <c r="C287" s="293"/>
      <c r="D287" s="24"/>
      <c r="E287" s="29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spans="1:24" ht="21.75" customHeight="1" x14ac:dyDescent="0.6">
      <c r="A288" s="24"/>
      <c r="B288" s="293"/>
      <c r="C288" s="293"/>
      <c r="D288" s="24"/>
      <c r="E288" s="29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spans="1:24" ht="21.75" customHeight="1" x14ac:dyDescent="0.6">
      <c r="A289" s="24"/>
      <c r="B289" s="293"/>
      <c r="C289" s="293"/>
      <c r="D289" s="24"/>
      <c r="E289" s="29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spans="1:24" ht="21.75" customHeight="1" x14ac:dyDescent="0.6">
      <c r="A290" s="24"/>
      <c r="B290" s="293"/>
      <c r="C290" s="293"/>
      <c r="D290" s="24"/>
      <c r="E290" s="29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spans="1:24" ht="21.75" customHeight="1" x14ac:dyDescent="0.6">
      <c r="A291" s="24"/>
      <c r="B291" s="293"/>
      <c r="C291" s="293"/>
      <c r="D291" s="24"/>
      <c r="E291" s="29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spans="1:24" ht="21.75" customHeight="1" x14ac:dyDescent="0.6">
      <c r="A292" s="24"/>
      <c r="B292" s="293"/>
      <c r="C292" s="293"/>
      <c r="D292" s="24"/>
      <c r="E292" s="29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spans="1:24" ht="21.75" customHeight="1" x14ac:dyDescent="0.6">
      <c r="A293" s="24"/>
      <c r="B293" s="293"/>
      <c r="C293" s="293"/>
      <c r="D293" s="24"/>
      <c r="E293" s="29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spans="1:24" ht="21.75" customHeight="1" x14ac:dyDescent="0.6">
      <c r="A294" s="24"/>
      <c r="B294" s="293"/>
      <c r="C294" s="293"/>
      <c r="D294" s="24"/>
      <c r="E294" s="29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spans="1:24" ht="21.75" customHeight="1" x14ac:dyDescent="0.6">
      <c r="A295" s="24"/>
      <c r="B295" s="293"/>
      <c r="C295" s="293"/>
      <c r="D295" s="24"/>
      <c r="E295" s="29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spans="1:24" ht="21.75" customHeight="1" x14ac:dyDescent="0.6">
      <c r="A296" s="24"/>
      <c r="B296" s="293"/>
      <c r="C296" s="293"/>
      <c r="D296" s="24"/>
      <c r="E296" s="29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spans="1:24" ht="21.75" customHeight="1" x14ac:dyDescent="0.6">
      <c r="A297" s="24"/>
      <c r="B297" s="293"/>
      <c r="C297" s="293"/>
      <c r="D297" s="24"/>
      <c r="E297" s="29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spans="1:24" ht="21.75" customHeight="1" x14ac:dyDescent="0.6">
      <c r="A298" s="24"/>
      <c r="B298" s="293"/>
      <c r="C298" s="293"/>
      <c r="D298" s="24"/>
      <c r="E298" s="29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spans="1:24" ht="21.75" customHeight="1" x14ac:dyDescent="0.6">
      <c r="A299" s="24"/>
      <c r="B299" s="293"/>
      <c r="C299" s="293"/>
      <c r="D299" s="24"/>
      <c r="E299" s="29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spans="1:24" ht="21.75" customHeight="1" x14ac:dyDescent="0.6">
      <c r="A300" s="24"/>
      <c r="B300" s="293"/>
      <c r="C300" s="293"/>
      <c r="D300" s="24"/>
      <c r="E300" s="29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spans="1:24" ht="21.75" customHeight="1" x14ac:dyDescent="0.6">
      <c r="A301" s="24"/>
      <c r="B301" s="293"/>
      <c r="C301" s="293"/>
      <c r="D301" s="24"/>
      <c r="E301" s="29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spans="1:24" ht="21.75" customHeight="1" x14ac:dyDescent="0.6">
      <c r="A302" s="24"/>
      <c r="B302" s="293"/>
      <c r="C302" s="293"/>
      <c r="D302" s="24"/>
      <c r="E302" s="29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spans="1:24" ht="21.75" customHeight="1" x14ac:dyDescent="0.6">
      <c r="A303" s="24"/>
      <c r="B303" s="293"/>
      <c r="C303" s="293"/>
      <c r="D303" s="24"/>
      <c r="E303" s="29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spans="1:24" ht="21.75" customHeight="1" x14ac:dyDescent="0.6">
      <c r="A304" s="24"/>
      <c r="B304" s="293"/>
      <c r="C304" s="293"/>
      <c r="D304" s="24"/>
      <c r="E304" s="29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spans="1:24" ht="21.75" customHeight="1" x14ac:dyDescent="0.6">
      <c r="A305" s="24"/>
      <c r="B305" s="293"/>
      <c r="C305" s="293"/>
      <c r="D305" s="24"/>
      <c r="E305" s="29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spans="1:24" ht="21.75" customHeight="1" x14ac:dyDescent="0.6">
      <c r="A306" s="24"/>
      <c r="B306" s="293"/>
      <c r="C306" s="293"/>
      <c r="D306" s="24"/>
      <c r="E306" s="29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spans="1:24" ht="21.75" customHeight="1" x14ac:dyDescent="0.6">
      <c r="A307" s="24"/>
      <c r="B307" s="293"/>
      <c r="C307" s="293"/>
      <c r="D307" s="24"/>
      <c r="E307" s="29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spans="1:24" ht="21.75" customHeight="1" x14ac:dyDescent="0.6">
      <c r="A308" s="24"/>
      <c r="B308" s="293"/>
      <c r="C308" s="293"/>
      <c r="D308" s="24"/>
      <c r="E308" s="29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spans="1:24" ht="21.75" customHeight="1" x14ac:dyDescent="0.6">
      <c r="A309" s="24"/>
      <c r="B309" s="293"/>
      <c r="C309" s="293"/>
      <c r="D309" s="24"/>
      <c r="E309" s="29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spans="1:24" ht="21.75" customHeight="1" x14ac:dyDescent="0.6">
      <c r="A310" s="24"/>
      <c r="B310" s="293"/>
      <c r="C310" s="293"/>
      <c r="D310" s="24"/>
      <c r="E310" s="29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spans="1:24" ht="21.75" customHeight="1" x14ac:dyDescent="0.6">
      <c r="A311" s="24"/>
      <c r="B311" s="293"/>
      <c r="C311" s="293"/>
      <c r="D311" s="24"/>
      <c r="E311" s="29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spans="1:24" ht="21.75" customHeight="1" x14ac:dyDescent="0.6">
      <c r="A312" s="24"/>
      <c r="B312" s="293"/>
      <c r="C312" s="293"/>
      <c r="D312" s="24"/>
      <c r="E312" s="29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spans="1:24" ht="21.75" customHeight="1" x14ac:dyDescent="0.6">
      <c r="A313" s="24"/>
      <c r="B313" s="293"/>
      <c r="C313" s="293"/>
      <c r="D313" s="24"/>
      <c r="E313" s="29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spans="1:24" ht="21.75" customHeight="1" x14ac:dyDescent="0.6">
      <c r="A314" s="24"/>
      <c r="B314" s="293"/>
      <c r="C314" s="293"/>
      <c r="D314" s="24"/>
      <c r="E314" s="29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spans="1:24" ht="21.75" customHeight="1" x14ac:dyDescent="0.6">
      <c r="A315" s="24"/>
      <c r="B315" s="293"/>
      <c r="C315" s="293"/>
      <c r="D315" s="24"/>
      <c r="E315" s="29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spans="1:24" ht="21.75" customHeight="1" x14ac:dyDescent="0.6">
      <c r="A316" s="24"/>
      <c r="B316" s="293"/>
      <c r="C316" s="293"/>
      <c r="D316" s="24"/>
      <c r="E316" s="29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spans="1:24" ht="21.75" customHeight="1" x14ac:dyDescent="0.6">
      <c r="A317" s="24"/>
      <c r="B317" s="293"/>
      <c r="C317" s="293"/>
      <c r="D317" s="24"/>
      <c r="E317" s="29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spans="1:24" ht="21.75" customHeight="1" x14ac:dyDescent="0.6">
      <c r="A318" s="24"/>
      <c r="B318" s="293"/>
      <c r="C318" s="293"/>
      <c r="D318" s="24"/>
      <c r="E318" s="29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spans="1:24" ht="21.75" customHeight="1" x14ac:dyDescent="0.6">
      <c r="A319" s="24"/>
      <c r="B319" s="293"/>
      <c r="C319" s="293"/>
      <c r="D319" s="24"/>
      <c r="E319" s="29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spans="1:24" ht="21.75" customHeight="1" x14ac:dyDescent="0.6">
      <c r="A320" s="24"/>
      <c r="B320" s="293"/>
      <c r="C320" s="293"/>
      <c r="D320" s="24"/>
      <c r="E320" s="29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spans="1:24" ht="21.75" customHeight="1" x14ac:dyDescent="0.6">
      <c r="A321" s="24"/>
      <c r="B321" s="293"/>
      <c r="C321" s="293"/>
      <c r="D321" s="24"/>
      <c r="E321" s="29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spans="1:24" ht="21.75" customHeight="1" x14ac:dyDescent="0.6">
      <c r="A322" s="24"/>
      <c r="B322" s="293"/>
      <c r="C322" s="293"/>
      <c r="D322" s="24"/>
      <c r="E322" s="29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spans="1:24" ht="21.75" customHeight="1" x14ac:dyDescent="0.6">
      <c r="A323" s="24"/>
      <c r="B323" s="293"/>
      <c r="C323" s="293"/>
      <c r="D323" s="24"/>
      <c r="E323" s="29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spans="1:24" ht="21.75" customHeight="1" x14ac:dyDescent="0.6">
      <c r="A324" s="24"/>
      <c r="B324" s="293"/>
      <c r="C324" s="293"/>
      <c r="D324" s="24"/>
      <c r="E324" s="29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spans="1:24" ht="21.75" customHeight="1" x14ac:dyDescent="0.6">
      <c r="A325" s="24"/>
      <c r="B325" s="293"/>
      <c r="C325" s="293"/>
      <c r="D325" s="24"/>
      <c r="E325" s="29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spans="1:24" ht="21.75" customHeight="1" x14ac:dyDescent="0.6">
      <c r="A326" s="24"/>
      <c r="B326" s="293"/>
      <c r="C326" s="293"/>
      <c r="D326" s="24"/>
      <c r="E326" s="29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spans="1:24" ht="21.75" customHeight="1" x14ac:dyDescent="0.6">
      <c r="A327" s="24"/>
      <c r="B327" s="293"/>
      <c r="C327" s="293"/>
      <c r="D327" s="24"/>
      <c r="E327" s="29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spans="1:24" ht="21.75" customHeight="1" x14ac:dyDescent="0.6">
      <c r="A328" s="24"/>
      <c r="B328" s="293"/>
      <c r="C328" s="293"/>
      <c r="D328" s="24"/>
      <c r="E328" s="29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spans="1:24" ht="21.75" customHeight="1" x14ac:dyDescent="0.6">
      <c r="A329" s="24"/>
      <c r="B329" s="293"/>
      <c r="C329" s="293"/>
      <c r="D329" s="24"/>
      <c r="E329" s="29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spans="1:24" ht="21.75" customHeight="1" x14ac:dyDescent="0.6">
      <c r="A330" s="24"/>
      <c r="B330" s="293"/>
      <c r="C330" s="293"/>
      <c r="D330" s="24"/>
      <c r="E330" s="29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spans="1:24" ht="21.75" customHeight="1" x14ac:dyDescent="0.6">
      <c r="A331" s="24"/>
      <c r="B331" s="293"/>
      <c r="C331" s="293"/>
      <c r="D331" s="24"/>
      <c r="E331" s="29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spans="1:24" ht="21.75" customHeight="1" x14ac:dyDescent="0.6">
      <c r="A332" s="24"/>
      <c r="B332" s="293"/>
      <c r="C332" s="293"/>
      <c r="D332" s="24"/>
      <c r="E332" s="29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spans="1:24" ht="21.75" customHeight="1" x14ac:dyDescent="0.6">
      <c r="A333" s="24"/>
      <c r="B333" s="293"/>
      <c r="C333" s="293"/>
      <c r="D333" s="24"/>
      <c r="E333" s="29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spans="1:24" ht="21.75" customHeight="1" x14ac:dyDescent="0.6">
      <c r="A334" s="24"/>
      <c r="B334" s="293"/>
      <c r="C334" s="293"/>
      <c r="D334" s="24"/>
      <c r="E334" s="29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spans="1:24" ht="21.75" customHeight="1" x14ac:dyDescent="0.6">
      <c r="A335" s="24"/>
      <c r="B335" s="293"/>
      <c r="C335" s="293"/>
      <c r="D335" s="24"/>
      <c r="E335" s="29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spans="1:24" ht="21.75" customHeight="1" x14ac:dyDescent="0.6">
      <c r="A336" s="24"/>
      <c r="B336" s="293"/>
      <c r="C336" s="293"/>
      <c r="D336" s="24"/>
      <c r="E336" s="29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spans="1:24" ht="21.75" customHeight="1" x14ac:dyDescent="0.6">
      <c r="A337" s="24"/>
      <c r="B337" s="293"/>
      <c r="C337" s="293"/>
      <c r="D337" s="24"/>
      <c r="E337" s="29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spans="1:24" ht="21.75" customHeight="1" x14ac:dyDescent="0.6">
      <c r="A338" s="24"/>
      <c r="B338" s="293"/>
      <c r="C338" s="293"/>
      <c r="D338" s="24"/>
      <c r="E338" s="29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spans="1:24" ht="21.75" customHeight="1" x14ac:dyDescent="0.6">
      <c r="A339" s="24"/>
      <c r="B339" s="293"/>
      <c r="C339" s="293"/>
      <c r="D339" s="24"/>
      <c r="E339" s="29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spans="1:24" ht="21.75" customHeight="1" x14ac:dyDescent="0.6">
      <c r="A340" s="24"/>
      <c r="B340" s="293"/>
      <c r="C340" s="293"/>
      <c r="D340" s="24"/>
      <c r="E340" s="29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spans="1:24" ht="21.75" customHeight="1" x14ac:dyDescent="0.6">
      <c r="A341" s="24"/>
      <c r="B341" s="293"/>
      <c r="C341" s="293"/>
      <c r="D341" s="24"/>
      <c r="E341" s="29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spans="1:24" ht="21.75" customHeight="1" x14ac:dyDescent="0.6">
      <c r="A342" s="24"/>
      <c r="B342" s="293"/>
      <c r="C342" s="293"/>
      <c r="D342" s="24"/>
      <c r="E342" s="29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spans="1:24" ht="21.75" customHeight="1" x14ac:dyDescent="0.6">
      <c r="A343" s="24"/>
      <c r="B343" s="293"/>
      <c r="C343" s="293"/>
      <c r="D343" s="24"/>
      <c r="E343" s="29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spans="1:24" ht="21.75" customHeight="1" x14ac:dyDescent="0.6">
      <c r="A344" s="24"/>
      <c r="B344" s="293"/>
      <c r="C344" s="293"/>
      <c r="D344" s="24"/>
      <c r="E344" s="29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spans="1:24" ht="21.75" customHeight="1" x14ac:dyDescent="0.6">
      <c r="A345" s="24"/>
      <c r="B345" s="293"/>
      <c r="C345" s="293"/>
      <c r="D345" s="24"/>
      <c r="E345" s="29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spans="1:24" ht="21.75" customHeight="1" x14ac:dyDescent="0.6">
      <c r="A346" s="24"/>
      <c r="B346" s="293"/>
      <c r="C346" s="293"/>
      <c r="D346" s="24"/>
      <c r="E346" s="29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spans="1:24" ht="21.75" customHeight="1" x14ac:dyDescent="0.6">
      <c r="A347" s="24"/>
      <c r="B347" s="293"/>
      <c r="C347" s="293"/>
      <c r="D347" s="24"/>
      <c r="E347" s="29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spans="1:24" ht="21.75" customHeight="1" x14ac:dyDescent="0.6">
      <c r="A348" s="24"/>
      <c r="B348" s="293"/>
      <c r="C348" s="293"/>
      <c r="D348" s="24"/>
      <c r="E348" s="29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spans="1:24" ht="21.75" customHeight="1" x14ac:dyDescent="0.6">
      <c r="A349" s="24"/>
      <c r="B349" s="293"/>
      <c r="C349" s="293"/>
      <c r="D349" s="24"/>
      <c r="E349" s="29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spans="1:24" ht="21.75" customHeight="1" x14ac:dyDescent="0.6">
      <c r="A350" s="24"/>
      <c r="B350" s="293"/>
      <c r="C350" s="293"/>
      <c r="D350" s="24"/>
      <c r="E350" s="29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spans="1:24" ht="21.75" customHeight="1" x14ac:dyDescent="0.6">
      <c r="A351" s="24"/>
      <c r="B351" s="293"/>
      <c r="C351" s="293"/>
      <c r="D351" s="24"/>
      <c r="E351" s="29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spans="1:24" ht="21.75" customHeight="1" x14ac:dyDescent="0.6">
      <c r="A352" s="24"/>
      <c r="B352" s="293"/>
      <c r="C352" s="293"/>
      <c r="D352" s="24"/>
      <c r="E352" s="29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spans="1:24" ht="21.75" customHeight="1" x14ac:dyDescent="0.6">
      <c r="A353" s="24"/>
      <c r="B353" s="293"/>
      <c r="C353" s="293"/>
      <c r="D353" s="24"/>
      <c r="E353" s="29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spans="1:24" ht="21.75" customHeight="1" x14ac:dyDescent="0.6">
      <c r="A354" s="24"/>
      <c r="B354" s="293"/>
      <c r="C354" s="293"/>
      <c r="D354" s="24"/>
      <c r="E354" s="29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spans="1:24" ht="21.75" customHeight="1" x14ac:dyDescent="0.6">
      <c r="A355" s="24"/>
      <c r="B355" s="293"/>
      <c r="C355" s="293"/>
      <c r="D355" s="24"/>
      <c r="E355" s="29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spans="1:24" ht="21.75" customHeight="1" x14ac:dyDescent="0.6">
      <c r="A356" s="24"/>
      <c r="B356" s="293"/>
      <c r="C356" s="293"/>
      <c r="D356" s="24"/>
      <c r="E356" s="29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spans="1:24" ht="21.75" customHeight="1" x14ac:dyDescent="0.6">
      <c r="A357" s="24"/>
      <c r="B357" s="293"/>
      <c r="C357" s="293"/>
      <c r="D357" s="24"/>
      <c r="E357" s="29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spans="1:24" ht="21.75" customHeight="1" x14ac:dyDescent="0.6">
      <c r="A358" s="24"/>
      <c r="B358" s="293"/>
      <c r="C358" s="293"/>
      <c r="D358" s="24"/>
      <c r="E358" s="29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spans="1:24" ht="21.75" customHeight="1" x14ac:dyDescent="0.6">
      <c r="A359" s="24"/>
      <c r="B359" s="293"/>
      <c r="C359" s="293"/>
      <c r="D359" s="24"/>
      <c r="E359" s="29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spans="1:24" ht="21.75" customHeight="1" x14ac:dyDescent="0.6">
      <c r="A360" s="24"/>
      <c r="B360" s="293"/>
      <c r="C360" s="293"/>
      <c r="D360" s="24"/>
      <c r="E360" s="29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spans="1:24" ht="21.75" customHeight="1" x14ac:dyDescent="0.6">
      <c r="A361" s="24"/>
      <c r="B361" s="293"/>
      <c r="C361" s="293"/>
      <c r="D361" s="24"/>
      <c r="E361" s="29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spans="1:24" ht="21.75" customHeight="1" x14ac:dyDescent="0.6">
      <c r="A362" s="24"/>
      <c r="B362" s="293"/>
      <c r="C362" s="293"/>
      <c r="D362" s="24"/>
      <c r="E362" s="29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spans="1:24" ht="21.75" customHeight="1" x14ac:dyDescent="0.6">
      <c r="A363" s="24"/>
      <c r="B363" s="293"/>
      <c r="C363" s="293"/>
      <c r="D363" s="24"/>
      <c r="E363" s="29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spans="1:24" ht="21.75" customHeight="1" x14ac:dyDescent="0.6">
      <c r="A364" s="24"/>
      <c r="B364" s="293"/>
      <c r="C364" s="293"/>
      <c r="D364" s="24"/>
      <c r="E364" s="29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spans="1:24" ht="21.75" customHeight="1" x14ac:dyDescent="0.6">
      <c r="A365" s="24"/>
      <c r="B365" s="293"/>
      <c r="C365" s="293"/>
      <c r="D365" s="24"/>
      <c r="E365" s="29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spans="1:24" ht="21.75" customHeight="1" x14ac:dyDescent="0.6">
      <c r="A366" s="24"/>
      <c r="B366" s="293"/>
      <c r="C366" s="293"/>
      <c r="D366" s="24"/>
      <c r="E366" s="29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spans="1:24" ht="21.75" customHeight="1" x14ac:dyDescent="0.6">
      <c r="A367" s="24"/>
      <c r="B367" s="293"/>
      <c r="C367" s="293"/>
      <c r="D367" s="24"/>
      <c r="E367" s="29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spans="1:24" ht="21.75" customHeight="1" x14ac:dyDescent="0.6">
      <c r="A368" s="24"/>
      <c r="B368" s="293"/>
      <c r="C368" s="293"/>
      <c r="D368" s="24"/>
      <c r="E368" s="29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spans="1:24" ht="21.75" customHeight="1" x14ac:dyDescent="0.6">
      <c r="A369" s="24"/>
      <c r="B369" s="293"/>
      <c r="C369" s="293"/>
      <c r="D369" s="24"/>
      <c r="E369" s="29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spans="1:24" ht="21.75" customHeight="1" x14ac:dyDescent="0.6">
      <c r="A370" s="24"/>
      <c r="B370" s="293"/>
      <c r="C370" s="293"/>
      <c r="D370" s="24"/>
      <c r="E370" s="29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spans="1:24" ht="21.75" customHeight="1" x14ac:dyDescent="0.6">
      <c r="A371" s="24"/>
      <c r="B371" s="293"/>
      <c r="C371" s="293"/>
      <c r="D371" s="24"/>
      <c r="E371" s="29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spans="1:24" ht="21.75" customHeight="1" x14ac:dyDescent="0.6">
      <c r="A372" s="24"/>
      <c r="B372" s="293"/>
      <c r="C372" s="293"/>
      <c r="D372" s="24"/>
      <c r="E372" s="29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spans="1:24" ht="21.75" customHeight="1" x14ac:dyDescent="0.6">
      <c r="A373" s="24"/>
      <c r="B373" s="293"/>
      <c r="C373" s="293"/>
      <c r="D373" s="24"/>
      <c r="E373" s="29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spans="1:24" ht="21.75" customHeight="1" x14ac:dyDescent="0.6">
      <c r="A374" s="24"/>
      <c r="B374" s="293"/>
      <c r="C374" s="293"/>
      <c r="D374" s="24"/>
      <c r="E374" s="29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spans="1:24" ht="21.75" customHeight="1" x14ac:dyDescent="0.6">
      <c r="A375" s="24"/>
      <c r="B375" s="293"/>
      <c r="C375" s="293"/>
      <c r="D375" s="24"/>
      <c r="E375" s="29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spans="1:24" ht="21.75" customHeight="1" x14ac:dyDescent="0.6">
      <c r="A376" s="24"/>
      <c r="B376" s="293"/>
      <c r="C376" s="293"/>
      <c r="D376" s="24"/>
      <c r="E376" s="29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spans="1:24" ht="21.75" customHeight="1" x14ac:dyDescent="0.6">
      <c r="A377" s="24"/>
      <c r="B377" s="293"/>
      <c r="C377" s="293"/>
      <c r="D377" s="24"/>
      <c r="E377" s="29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spans="1:24" ht="21.75" customHeight="1" x14ac:dyDescent="0.6">
      <c r="A378" s="24"/>
      <c r="B378" s="293"/>
      <c r="C378" s="293"/>
      <c r="D378" s="24"/>
      <c r="E378" s="29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spans="1:24" ht="21.75" customHeight="1" x14ac:dyDescent="0.6">
      <c r="A379" s="24"/>
      <c r="B379" s="293"/>
      <c r="C379" s="293"/>
      <c r="D379" s="24"/>
      <c r="E379" s="29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spans="1:24" ht="21.75" customHeight="1" x14ac:dyDescent="0.6">
      <c r="A380" s="24"/>
      <c r="B380" s="293"/>
      <c r="C380" s="293"/>
      <c r="D380" s="24"/>
      <c r="E380" s="29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spans="1:24" ht="21.75" customHeight="1" x14ac:dyDescent="0.6">
      <c r="A381" s="24"/>
      <c r="B381" s="293"/>
      <c r="C381" s="293"/>
      <c r="D381" s="24"/>
      <c r="E381" s="29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spans="1:24" ht="21.75" customHeight="1" x14ac:dyDescent="0.6">
      <c r="A382" s="24"/>
      <c r="B382" s="293"/>
      <c r="C382" s="293"/>
      <c r="D382" s="24"/>
      <c r="E382" s="29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spans="1:24" ht="21.75" customHeight="1" x14ac:dyDescent="0.6">
      <c r="A383" s="24"/>
      <c r="B383" s="293"/>
      <c r="C383" s="293"/>
      <c r="D383" s="24"/>
      <c r="E383" s="29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spans="1:24" ht="21.75" customHeight="1" x14ac:dyDescent="0.6">
      <c r="A384" s="24"/>
      <c r="B384" s="293"/>
      <c r="C384" s="293"/>
      <c r="D384" s="24"/>
      <c r="E384" s="29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spans="1:24" ht="21.75" customHeight="1" x14ac:dyDescent="0.6">
      <c r="A385" s="24"/>
      <c r="B385" s="293"/>
      <c r="C385" s="293"/>
      <c r="D385" s="24"/>
      <c r="E385" s="29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spans="1:24" ht="21.75" customHeight="1" x14ac:dyDescent="0.6">
      <c r="A386" s="24"/>
      <c r="B386" s="293"/>
      <c r="C386" s="293"/>
      <c r="D386" s="24"/>
      <c r="E386" s="29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spans="1:24" ht="21.75" customHeight="1" x14ac:dyDescent="0.6">
      <c r="A387" s="24"/>
      <c r="B387" s="293"/>
      <c r="C387" s="293"/>
      <c r="D387" s="24"/>
      <c r="E387" s="29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spans="1:24" ht="21.75" customHeight="1" x14ac:dyDescent="0.6">
      <c r="A388" s="24"/>
      <c r="B388" s="293"/>
      <c r="C388" s="293"/>
      <c r="D388" s="24"/>
      <c r="E388" s="29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spans="1:24" ht="21.75" customHeight="1" x14ac:dyDescent="0.6">
      <c r="A389" s="24"/>
      <c r="B389" s="293"/>
      <c r="C389" s="293"/>
      <c r="D389" s="24"/>
      <c r="E389" s="29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spans="1:24" ht="21.75" customHeight="1" x14ac:dyDescent="0.6">
      <c r="A390" s="24"/>
      <c r="B390" s="293"/>
      <c r="C390" s="293"/>
      <c r="D390" s="24"/>
      <c r="E390" s="29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spans="1:24" ht="21.75" customHeight="1" x14ac:dyDescent="0.6">
      <c r="A391" s="24"/>
      <c r="B391" s="293"/>
      <c r="C391" s="293"/>
      <c r="D391" s="24"/>
      <c r="E391" s="29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spans="1:24" ht="21.75" customHeight="1" x14ac:dyDescent="0.6">
      <c r="A392" s="24"/>
      <c r="B392" s="293"/>
      <c r="C392" s="293"/>
      <c r="D392" s="24"/>
      <c r="E392" s="29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spans="1:24" ht="21.75" customHeight="1" x14ac:dyDescent="0.6">
      <c r="A393" s="24"/>
      <c r="B393" s="293"/>
      <c r="C393" s="293"/>
      <c r="D393" s="24"/>
      <c r="E393" s="29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spans="1:24" ht="21.75" customHeight="1" x14ac:dyDescent="0.6">
      <c r="A394" s="24"/>
      <c r="B394" s="293"/>
      <c r="C394" s="293"/>
      <c r="D394" s="24"/>
      <c r="E394" s="29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spans="1:24" ht="21.75" customHeight="1" x14ac:dyDescent="0.6">
      <c r="A395" s="24"/>
      <c r="B395" s="293"/>
      <c r="C395" s="293"/>
      <c r="D395" s="24"/>
      <c r="E395" s="29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spans="1:24" ht="21.75" customHeight="1" x14ac:dyDescent="0.6">
      <c r="A396" s="24"/>
      <c r="B396" s="293"/>
      <c r="C396" s="293"/>
      <c r="D396" s="24"/>
      <c r="E396" s="29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spans="1:24" ht="21.75" customHeight="1" x14ac:dyDescent="0.6">
      <c r="A397" s="24"/>
      <c r="B397" s="293"/>
      <c r="C397" s="293"/>
      <c r="D397" s="24"/>
      <c r="E397" s="29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spans="1:24" ht="21.75" customHeight="1" x14ac:dyDescent="0.6">
      <c r="A398" s="24"/>
      <c r="B398" s="293"/>
      <c r="C398" s="293"/>
      <c r="D398" s="24"/>
      <c r="E398" s="29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spans="1:24" ht="21.75" customHeight="1" x14ac:dyDescent="0.6">
      <c r="A399" s="24"/>
      <c r="B399" s="293"/>
      <c r="C399" s="293"/>
      <c r="D399" s="24"/>
      <c r="E399" s="29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spans="1:24" ht="21.75" customHeight="1" x14ac:dyDescent="0.6">
      <c r="A400" s="24"/>
      <c r="B400" s="293"/>
      <c r="C400" s="293"/>
      <c r="D400" s="24"/>
      <c r="E400" s="29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spans="1:24" ht="21.75" customHeight="1" x14ac:dyDescent="0.6">
      <c r="A401" s="24"/>
      <c r="B401" s="293"/>
      <c r="C401" s="293"/>
      <c r="D401" s="24"/>
      <c r="E401" s="29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spans="1:24" ht="21.75" customHeight="1" x14ac:dyDescent="0.6">
      <c r="A402" s="24"/>
      <c r="B402" s="293"/>
      <c r="C402" s="293"/>
      <c r="D402" s="24"/>
      <c r="E402" s="29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spans="1:24" ht="21.75" customHeight="1" x14ac:dyDescent="0.6">
      <c r="A403" s="24"/>
      <c r="B403" s="293"/>
      <c r="C403" s="293"/>
      <c r="D403" s="24"/>
      <c r="E403" s="29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spans="1:24" ht="21.75" customHeight="1" x14ac:dyDescent="0.6">
      <c r="A404" s="24"/>
      <c r="B404" s="293"/>
      <c r="C404" s="293"/>
      <c r="D404" s="24"/>
      <c r="E404" s="29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spans="1:24" ht="21.75" customHeight="1" x14ac:dyDescent="0.6">
      <c r="A405" s="24"/>
      <c r="B405" s="293"/>
      <c r="C405" s="293"/>
      <c r="D405" s="24"/>
      <c r="E405" s="29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spans="1:24" ht="21.75" customHeight="1" x14ac:dyDescent="0.6">
      <c r="A406" s="24"/>
      <c r="B406" s="293"/>
      <c r="C406" s="293"/>
      <c r="D406" s="24"/>
      <c r="E406" s="29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spans="1:24" ht="21.75" customHeight="1" x14ac:dyDescent="0.6">
      <c r="A407" s="24"/>
      <c r="B407" s="293"/>
      <c r="C407" s="293"/>
      <c r="D407" s="24"/>
      <c r="E407" s="29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spans="1:24" ht="21.75" customHeight="1" x14ac:dyDescent="0.6">
      <c r="A408" s="24"/>
      <c r="B408" s="293"/>
      <c r="C408" s="293"/>
      <c r="D408" s="24"/>
      <c r="E408" s="29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spans="1:24" ht="21.75" customHeight="1" x14ac:dyDescent="0.6">
      <c r="A409" s="24"/>
      <c r="B409" s="293"/>
      <c r="C409" s="293"/>
      <c r="D409" s="24"/>
      <c r="E409" s="29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spans="1:24" ht="21.75" customHeight="1" x14ac:dyDescent="0.6">
      <c r="A410" s="24"/>
      <c r="B410" s="293"/>
      <c r="C410" s="293"/>
      <c r="D410" s="24"/>
      <c r="E410" s="29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spans="1:24" ht="21.75" customHeight="1" x14ac:dyDescent="0.6">
      <c r="A411" s="24"/>
      <c r="B411" s="293"/>
      <c r="C411" s="293"/>
      <c r="D411" s="24"/>
      <c r="E411" s="29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spans="1:24" ht="21.75" customHeight="1" x14ac:dyDescent="0.6">
      <c r="A412" s="24"/>
      <c r="B412" s="293"/>
      <c r="C412" s="293"/>
      <c r="D412" s="24"/>
      <c r="E412" s="29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spans="1:24" ht="21.75" customHeight="1" x14ac:dyDescent="0.6">
      <c r="A413" s="24"/>
      <c r="B413" s="293"/>
      <c r="C413" s="293"/>
      <c r="D413" s="24"/>
      <c r="E413" s="29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spans="1:24" ht="21.75" customHeight="1" x14ac:dyDescent="0.6">
      <c r="A414" s="24"/>
      <c r="B414" s="293"/>
      <c r="C414" s="293"/>
      <c r="D414" s="24"/>
      <c r="E414" s="29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spans="1:24" ht="21.75" customHeight="1" x14ac:dyDescent="0.6">
      <c r="A415" s="24"/>
      <c r="B415" s="293"/>
      <c r="C415" s="293"/>
      <c r="D415" s="24"/>
      <c r="E415" s="29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spans="1:24" ht="21.75" customHeight="1" x14ac:dyDescent="0.6">
      <c r="A416" s="24"/>
      <c r="B416" s="293"/>
      <c r="C416" s="293"/>
      <c r="D416" s="24"/>
      <c r="E416" s="29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spans="1:24" ht="21.75" customHeight="1" x14ac:dyDescent="0.6">
      <c r="A417" s="24"/>
      <c r="B417" s="293"/>
      <c r="C417" s="293"/>
      <c r="D417" s="24"/>
      <c r="E417" s="29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spans="1:24" ht="21.75" customHeight="1" x14ac:dyDescent="0.6">
      <c r="A418" s="24"/>
      <c r="B418" s="293"/>
      <c r="C418" s="293"/>
      <c r="D418" s="24"/>
      <c r="E418" s="29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spans="1:24" ht="21.75" customHeight="1" x14ac:dyDescent="0.6">
      <c r="A419" s="24"/>
      <c r="B419" s="293"/>
      <c r="C419" s="293"/>
      <c r="D419" s="24"/>
      <c r="E419" s="29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spans="1:24" ht="21.75" customHeight="1" x14ac:dyDescent="0.6">
      <c r="A420" s="24"/>
      <c r="B420" s="293"/>
      <c r="C420" s="293"/>
      <c r="D420" s="24"/>
      <c r="E420" s="29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spans="1:24" ht="21.75" customHeight="1" x14ac:dyDescent="0.6">
      <c r="A421" s="24"/>
      <c r="B421" s="293"/>
      <c r="C421" s="293"/>
      <c r="D421" s="24"/>
      <c r="E421" s="29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spans="1:24" ht="21.75" customHeight="1" x14ac:dyDescent="0.6">
      <c r="A422" s="24"/>
      <c r="B422" s="293"/>
      <c r="C422" s="293"/>
      <c r="D422" s="24"/>
      <c r="E422" s="29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spans="1:24" ht="21.75" customHeight="1" x14ac:dyDescent="0.6">
      <c r="A423" s="24"/>
      <c r="B423" s="293"/>
      <c r="C423" s="293"/>
      <c r="D423" s="24"/>
      <c r="E423" s="29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spans="1:24" ht="21.75" customHeight="1" x14ac:dyDescent="0.6">
      <c r="A424" s="24"/>
      <c r="B424" s="293"/>
      <c r="C424" s="293"/>
      <c r="D424" s="24"/>
      <c r="E424" s="29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spans="1:24" ht="21.75" customHeight="1" x14ac:dyDescent="0.6">
      <c r="A425" s="24"/>
      <c r="B425" s="293"/>
      <c r="C425" s="293"/>
      <c r="D425" s="24"/>
      <c r="E425" s="29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spans="1:24" ht="21.75" customHeight="1" x14ac:dyDescent="0.6">
      <c r="A426" s="24"/>
      <c r="B426" s="293"/>
      <c r="C426" s="293"/>
      <c r="D426" s="24"/>
      <c r="E426" s="29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spans="1:24" ht="21.75" customHeight="1" x14ac:dyDescent="0.6">
      <c r="A427" s="24"/>
      <c r="B427" s="293"/>
      <c r="C427" s="293"/>
      <c r="D427" s="24"/>
      <c r="E427" s="29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spans="1:24" ht="21.75" customHeight="1" x14ac:dyDescent="0.6">
      <c r="A428" s="24"/>
      <c r="B428" s="293"/>
      <c r="C428" s="293"/>
      <c r="D428" s="24"/>
      <c r="E428" s="29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spans="1:24" ht="21.75" customHeight="1" x14ac:dyDescent="0.6">
      <c r="A429" s="24"/>
      <c r="B429" s="293"/>
      <c r="C429" s="293"/>
      <c r="D429" s="24"/>
      <c r="E429" s="29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spans="1:24" ht="21.75" customHeight="1" x14ac:dyDescent="0.6">
      <c r="A430" s="24"/>
      <c r="B430" s="293"/>
      <c r="C430" s="293"/>
      <c r="D430" s="24"/>
      <c r="E430" s="29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spans="1:24" ht="21.75" customHeight="1" x14ac:dyDescent="0.6">
      <c r="A431" s="24"/>
      <c r="B431" s="293"/>
      <c r="C431" s="293"/>
      <c r="D431" s="24"/>
      <c r="E431" s="29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spans="1:24" ht="21.75" customHeight="1" x14ac:dyDescent="0.6">
      <c r="A432" s="24"/>
      <c r="B432" s="293"/>
      <c r="C432" s="293"/>
      <c r="D432" s="24"/>
      <c r="E432" s="29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spans="1:24" ht="21.75" customHeight="1" x14ac:dyDescent="0.6">
      <c r="A433" s="24"/>
      <c r="B433" s="293"/>
      <c r="C433" s="293"/>
      <c r="D433" s="24"/>
      <c r="E433" s="29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spans="1:24" ht="21.75" customHeight="1" x14ac:dyDescent="0.6">
      <c r="A434" s="24"/>
      <c r="B434" s="293"/>
      <c r="C434" s="293"/>
      <c r="D434" s="24"/>
      <c r="E434" s="29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spans="1:24" ht="21.75" customHeight="1" x14ac:dyDescent="0.6">
      <c r="A435" s="24"/>
      <c r="B435" s="293"/>
      <c r="C435" s="293"/>
      <c r="D435" s="24"/>
      <c r="E435" s="29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spans="1:24" ht="21.75" customHeight="1" x14ac:dyDescent="0.6">
      <c r="A436" s="24"/>
      <c r="B436" s="293"/>
      <c r="C436" s="293"/>
      <c r="D436" s="24"/>
      <c r="E436" s="29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spans="1:24" ht="21.75" customHeight="1" x14ac:dyDescent="0.6">
      <c r="A437" s="24"/>
      <c r="B437" s="293"/>
      <c r="C437" s="293"/>
      <c r="D437" s="24"/>
      <c r="E437" s="29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spans="1:24" ht="21.75" customHeight="1" x14ac:dyDescent="0.6">
      <c r="A438" s="24"/>
      <c r="B438" s="293"/>
      <c r="C438" s="293"/>
      <c r="D438" s="24"/>
      <c r="E438" s="29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spans="1:24" ht="21.75" customHeight="1" x14ac:dyDescent="0.6">
      <c r="A439" s="24"/>
      <c r="B439" s="293"/>
      <c r="C439" s="293"/>
      <c r="D439" s="24"/>
      <c r="E439" s="29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spans="1:24" ht="21.75" customHeight="1" x14ac:dyDescent="0.6">
      <c r="A440" s="24"/>
      <c r="B440" s="293"/>
      <c r="C440" s="293"/>
      <c r="D440" s="24"/>
      <c r="E440" s="29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spans="1:24" ht="21.75" customHeight="1" x14ac:dyDescent="0.6">
      <c r="A441" s="24"/>
      <c r="B441" s="293"/>
      <c r="C441" s="293"/>
      <c r="D441" s="24"/>
      <c r="E441" s="29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spans="1:24" ht="21.75" customHeight="1" x14ac:dyDescent="0.6">
      <c r="A442" s="24"/>
      <c r="B442" s="293"/>
      <c r="C442" s="293"/>
      <c r="D442" s="24"/>
      <c r="E442" s="29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spans="1:24" ht="21.75" customHeight="1" x14ac:dyDescent="0.6">
      <c r="A443" s="24"/>
      <c r="B443" s="293"/>
      <c r="C443" s="293"/>
      <c r="D443" s="24"/>
      <c r="E443" s="29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spans="1:24" ht="21.75" customHeight="1" x14ac:dyDescent="0.6">
      <c r="A444" s="24"/>
      <c r="B444" s="293"/>
      <c r="C444" s="293"/>
      <c r="D444" s="24"/>
      <c r="E444" s="29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spans="1:24" ht="21.75" customHeight="1" x14ac:dyDescent="0.6">
      <c r="A445" s="24"/>
      <c r="B445" s="293"/>
      <c r="C445" s="293"/>
      <c r="D445" s="24"/>
      <c r="E445" s="29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spans="1:24" ht="21.75" customHeight="1" x14ac:dyDescent="0.6">
      <c r="A446" s="24"/>
      <c r="B446" s="293"/>
      <c r="C446" s="293"/>
      <c r="D446" s="24"/>
      <c r="E446" s="29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spans="1:24" ht="21.75" customHeight="1" x14ac:dyDescent="0.6">
      <c r="A447" s="24"/>
      <c r="B447" s="293"/>
      <c r="C447" s="293"/>
      <c r="D447" s="24"/>
      <c r="E447" s="29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spans="1:24" ht="21.75" customHeight="1" x14ac:dyDescent="0.6">
      <c r="A448" s="24"/>
      <c r="B448" s="293"/>
      <c r="C448" s="293"/>
      <c r="D448" s="24"/>
      <c r="E448" s="29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spans="1:24" ht="21.75" customHeight="1" x14ac:dyDescent="0.6">
      <c r="A449" s="24"/>
      <c r="B449" s="293"/>
      <c r="C449" s="293"/>
      <c r="D449" s="24"/>
      <c r="E449" s="29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spans="1:24" ht="21.75" customHeight="1" x14ac:dyDescent="0.6">
      <c r="A450" s="24"/>
      <c r="B450" s="293"/>
      <c r="C450" s="293"/>
      <c r="D450" s="24"/>
      <c r="E450" s="29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spans="1:24" ht="21.75" customHeight="1" x14ac:dyDescent="0.6">
      <c r="A451" s="24"/>
      <c r="B451" s="293"/>
      <c r="C451" s="293"/>
      <c r="D451" s="24"/>
      <c r="E451" s="29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spans="1:24" ht="21.75" customHeight="1" x14ac:dyDescent="0.6">
      <c r="A452" s="24"/>
      <c r="B452" s="293"/>
      <c r="C452" s="293"/>
      <c r="D452" s="24"/>
      <c r="E452" s="29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spans="1:24" ht="21.75" customHeight="1" x14ac:dyDescent="0.6">
      <c r="A453" s="24"/>
      <c r="B453" s="293"/>
      <c r="C453" s="293"/>
      <c r="D453" s="24"/>
      <c r="E453" s="29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spans="1:24" ht="21.75" customHeight="1" x14ac:dyDescent="0.6">
      <c r="A454" s="24"/>
      <c r="B454" s="293"/>
      <c r="C454" s="293"/>
      <c r="D454" s="24"/>
      <c r="E454" s="29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spans="1:24" ht="21.75" customHeight="1" x14ac:dyDescent="0.6">
      <c r="A455" s="24"/>
      <c r="B455" s="293"/>
      <c r="C455" s="293"/>
      <c r="D455" s="24"/>
      <c r="E455" s="29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spans="1:24" ht="21.75" customHeight="1" x14ac:dyDescent="0.6">
      <c r="A456" s="24"/>
      <c r="B456" s="293"/>
      <c r="C456" s="293"/>
      <c r="D456" s="24"/>
      <c r="E456" s="29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spans="1:24" ht="21.75" customHeight="1" x14ac:dyDescent="0.6">
      <c r="A457" s="24"/>
      <c r="B457" s="293"/>
      <c r="C457" s="293"/>
      <c r="D457" s="24"/>
      <c r="E457" s="29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spans="1:24" ht="21.75" customHeight="1" x14ac:dyDescent="0.6">
      <c r="A458" s="24"/>
      <c r="B458" s="293"/>
      <c r="C458" s="293"/>
      <c r="D458" s="24"/>
      <c r="E458" s="29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spans="1:24" ht="21.75" customHeight="1" x14ac:dyDescent="0.6">
      <c r="A459" s="24"/>
      <c r="B459" s="293"/>
      <c r="C459" s="293"/>
      <c r="D459" s="24"/>
      <c r="E459" s="29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spans="1:24" ht="21.75" customHeight="1" x14ac:dyDescent="0.6">
      <c r="A460" s="24"/>
      <c r="B460" s="293"/>
      <c r="C460" s="293"/>
      <c r="D460" s="24"/>
      <c r="E460" s="29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spans="1:24" ht="21.75" customHeight="1" x14ac:dyDescent="0.6">
      <c r="A461" s="24"/>
      <c r="B461" s="293"/>
      <c r="C461" s="293"/>
      <c r="D461" s="24"/>
      <c r="E461" s="29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spans="1:24" ht="21.75" customHeight="1" x14ac:dyDescent="0.6">
      <c r="A462" s="24"/>
      <c r="B462" s="293"/>
      <c r="C462" s="293"/>
      <c r="D462" s="24"/>
      <c r="E462" s="29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spans="1:24" ht="21.75" customHeight="1" x14ac:dyDescent="0.6">
      <c r="A463" s="24"/>
      <c r="B463" s="293"/>
      <c r="C463" s="293"/>
      <c r="D463" s="24"/>
      <c r="E463" s="29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spans="1:24" ht="21.75" customHeight="1" x14ac:dyDescent="0.6">
      <c r="A464" s="24"/>
      <c r="B464" s="293"/>
      <c r="C464" s="293"/>
      <c r="D464" s="24"/>
      <c r="E464" s="29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spans="1:24" ht="21.75" customHeight="1" x14ac:dyDescent="0.6">
      <c r="A465" s="24"/>
      <c r="B465" s="293"/>
      <c r="C465" s="293"/>
      <c r="D465" s="24"/>
      <c r="E465" s="29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spans="1:24" ht="21.75" customHeight="1" x14ac:dyDescent="0.6">
      <c r="A466" s="24"/>
      <c r="B466" s="293"/>
      <c r="C466" s="293"/>
      <c r="D466" s="24"/>
      <c r="E466" s="29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spans="1:24" ht="21.75" customHeight="1" x14ac:dyDescent="0.6">
      <c r="A467" s="24"/>
      <c r="B467" s="293"/>
      <c r="C467" s="293"/>
      <c r="D467" s="24"/>
      <c r="E467" s="29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spans="1:24" ht="21.75" customHeight="1" x14ac:dyDescent="0.6">
      <c r="A468" s="24"/>
      <c r="B468" s="293"/>
      <c r="C468" s="293"/>
      <c r="D468" s="24"/>
      <c r="E468" s="29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spans="1:24" ht="21.75" customHeight="1" x14ac:dyDescent="0.6">
      <c r="A469" s="24"/>
      <c r="B469" s="293"/>
      <c r="C469" s="293"/>
      <c r="D469" s="24"/>
      <c r="E469" s="29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spans="1:24" ht="21.75" customHeight="1" x14ac:dyDescent="0.6">
      <c r="A470" s="24"/>
      <c r="B470" s="293"/>
      <c r="C470" s="293"/>
      <c r="D470" s="24"/>
      <c r="E470" s="29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spans="1:24" ht="21.75" customHeight="1" x14ac:dyDescent="0.6">
      <c r="A471" s="24"/>
      <c r="B471" s="293"/>
      <c r="C471" s="293"/>
      <c r="D471" s="24"/>
      <c r="E471" s="29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spans="1:24" ht="21.75" customHeight="1" x14ac:dyDescent="0.6">
      <c r="A472" s="24"/>
      <c r="B472" s="293"/>
      <c r="C472" s="293"/>
      <c r="D472" s="24"/>
      <c r="E472" s="29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spans="1:24" ht="21.75" customHeight="1" x14ac:dyDescent="0.6">
      <c r="A473" s="24"/>
      <c r="B473" s="293"/>
      <c r="C473" s="293"/>
      <c r="D473" s="24"/>
      <c r="E473" s="29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spans="1:24" ht="21.75" customHeight="1" x14ac:dyDescent="0.6">
      <c r="A474" s="24"/>
      <c r="B474" s="293"/>
      <c r="C474" s="293"/>
      <c r="D474" s="24"/>
      <c r="E474" s="29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spans="1:24" ht="21.75" customHeight="1" x14ac:dyDescent="0.6">
      <c r="A475" s="24"/>
      <c r="B475" s="293"/>
      <c r="C475" s="293"/>
      <c r="D475" s="24"/>
      <c r="E475" s="29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spans="1:24" ht="21.75" customHeight="1" x14ac:dyDescent="0.6">
      <c r="A476" s="24"/>
      <c r="B476" s="293"/>
      <c r="C476" s="293"/>
      <c r="D476" s="24"/>
      <c r="E476" s="29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spans="1:24" ht="21.75" customHeight="1" x14ac:dyDescent="0.6">
      <c r="A477" s="24"/>
      <c r="B477" s="293"/>
      <c r="C477" s="293"/>
      <c r="D477" s="24"/>
      <c r="E477" s="29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spans="1:24" ht="21.75" customHeight="1" x14ac:dyDescent="0.6">
      <c r="A478" s="24"/>
      <c r="B478" s="293"/>
      <c r="C478" s="293"/>
      <c r="D478" s="24"/>
      <c r="E478" s="29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spans="1:24" ht="21.75" customHeight="1" x14ac:dyDescent="0.6">
      <c r="A479" s="24"/>
      <c r="B479" s="293"/>
      <c r="C479" s="293"/>
      <c r="D479" s="24"/>
      <c r="E479" s="29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spans="1:24" ht="21.75" customHeight="1" x14ac:dyDescent="0.6">
      <c r="A480" s="24"/>
      <c r="B480" s="293"/>
      <c r="C480" s="293"/>
      <c r="D480" s="24"/>
      <c r="E480" s="29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spans="1:24" ht="21.75" customHeight="1" x14ac:dyDescent="0.6">
      <c r="A481" s="24"/>
      <c r="B481" s="293"/>
      <c r="C481" s="293"/>
      <c r="D481" s="24"/>
      <c r="E481" s="29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spans="1:24" ht="21.75" customHeight="1" x14ac:dyDescent="0.6">
      <c r="A482" s="24"/>
      <c r="B482" s="293"/>
      <c r="C482" s="293"/>
      <c r="D482" s="24"/>
      <c r="E482" s="29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spans="1:24" ht="21.75" customHeight="1" x14ac:dyDescent="0.6">
      <c r="A483" s="24"/>
      <c r="B483" s="293"/>
      <c r="C483" s="293"/>
      <c r="D483" s="24"/>
      <c r="E483" s="29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spans="1:24" ht="21.75" customHeight="1" x14ac:dyDescent="0.6">
      <c r="A484" s="24"/>
      <c r="B484" s="293"/>
      <c r="C484" s="293"/>
      <c r="D484" s="24"/>
      <c r="E484" s="29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spans="1:24" ht="21.75" customHeight="1" x14ac:dyDescent="0.6">
      <c r="A485" s="24"/>
      <c r="B485" s="293"/>
      <c r="C485" s="293"/>
      <c r="D485" s="24"/>
      <c r="E485" s="29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spans="1:24" ht="21.75" customHeight="1" x14ac:dyDescent="0.6">
      <c r="A486" s="24"/>
      <c r="B486" s="293"/>
      <c r="C486" s="293"/>
      <c r="D486" s="24"/>
      <c r="E486" s="29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spans="1:24" ht="21.75" customHeight="1" x14ac:dyDescent="0.6">
      <c r="A487" s="24"/>
      <c r="B487" s="293"/>
      <c r="C487" s="293"/>
      <c r="D487" s="24"/>
      <c r="E487" s="29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spans="1:24" ht="21.75" customHeight="1" x14ac:dyDescent="0.6">
      <c r="A488" s="24"/>
      <c r="B488" s="293"/>
      <c r="C488" s="293"/>
      <c r="D488" s="24"/>
      <c r="E488" s="29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spans="1:24" ht="21.75" customHeight="1" x14ac:dyDescent="0.6">
      <c r="A489" s="24"/>
      <c r="B489" s="293"/>
      <c r="C489" s="293"/>
      <c r="D489" s="24"/>
      <c r="E489" s="29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spans="1:24" ht="21.75" customHeight="1" x14ac:dyDescent="0.6">
      <c r="A490" s="24"/>
      <c r="B490" s="293"/>
      <c r="C490" s="293"/>
      <c r="D490" s="24"/>
      <c r="E490" s="29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spans="1:24" ht="21.75" customHeight="1" x14ac:dyDescent="0.6">
      <c r="A491" s="24"/>
      <c r="B491" s="293"/>
      <c r="C491" s="293"/>
      <c r="D491" s="24"/>
      <c r="E491" s="29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spans="1:24" ht="21.75" customHeight="1" x14ac:dyDescent="0.6">
      <c r="A492" s="24"/>
      <c r="B492" s="293"/>
      <c r="C492" s="293"/>
      <c r="D492" s="24"/>
      <c r="E492" s="29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spans="1:24" ht="21.75" customHeight="1" x14ac:dyDescent="0.6">
      <c r="A493" s="24"/>
      <c r="B493" s="293"/>
      <c r="C493" s="293"/>
      <c r="D493" s="24"/>
      <c r="E493" s="29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spans="1:24" ht="21.75" customHeight="1" x14ac:dyDescent="0.6">
      <c r="A494" s="24"/>
      <c r="B494" s="293"/>
      <c r="C494" s="293"/>
      <c r="D494" s="24"/>
      <c r="E494" s="29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spans="1:24" ht="21.75" customHeight="1" x14ac:dyDescent="0.6">
      <c r="A495" s="24"/>
      <c r="B495" s="293"/>
      <c r="C495" s="293"/>
      <c r="D495" s="24"/>
      <c r="E495" s="29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spans="1:24" ht="21.75" customHeight="1" x14ac:dyDescent="0.6">
      <c r="A496" s="24"/>
      <c r="B496" s="293"/>
      <c r="C496" s="293"/>
      <c r="D496" s="24"/>
      <c r="E496" s="29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spans="1:24" ht="21.75" customHeight="1" x14ac:dyDescent="0.6">
      <c r="A497" s="24"/>
      <c r="B497" s="293"/>
      <c r="C497" s="293"/>
      <c r="D497" s="24"/>
      <c r="E497" s="29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spans="1:24" ht="21.75" customHeight="1" x14ac:dyDescent="0.6">
      <c r="A498" s="24"/>
      <c r="B498" s="293"/>
      <c r="C498" s="293"/>
      <c r="D498" s="24"/>
      <c r="E498" s="29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spans="1:24" ht="21.75" customHeight="1" x14ac:dyDescent="0.6">
      <c r="A499" s="24"/>
      <c r="B499" s="293"/>
      <c r="C499" s="293"/>
      <c r="D499" s="24"/>
      <c r="E499" s="29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spans="1:24" ht="21.75" customHeight="1" x14ac:dyDescent="0.6">
      <c r="A500" s="24"/>
      <c r="B500" s="293"/>
      <c r="C500" s="293"/>
      <c r="D500" s="24"/>
      <c r="E500" s="29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spans="1:24" ht="21.75" customHeight="1" x14ac:dyDescent="0.6">
      <c r="A501" s="24"/>
      <c r="B501" s="293"/>
      <c r="C501" s="293"/>
      <c r="D501" s="24"/>
      <c r="E501" s="29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spans="1:24" ht="21.75" customHeight="1" x14ac:dyDescent="0.6">
      <c r="A502" s="24"/>
      <c r="B502" s="293"/>
      <c r="C502" s="293"/>
      <c r="D502" s="24"/>
      <c r="E502" s="29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spans="1:24" ht="21.75" customHeight="1" x14ac:dyDescent="0.6">
      <c r="A503" s="24"/>
      <c r="B503" s="293"/>
      <c r="C503" s="293"/>
      <c r="D503" s="24"/>
      <c r="E503" s="29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spans="1:24" ht="21.75" customHeight="1" x14ac:dyDescent="0.6">
      <c r="A504" s="24"/>
      <c r="B504" s="293"/>
      <c r="C504" s="293"/>
      <c r="D504" s="24"/>
      <c r="E504" s="29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spans="1:24" ht="21.75" customHeight="1" x14ac:dyDescent="0.6">
      <c r="A505" s="24"/>
      <c r="B505" s="293"/>
      <c r="C505" s="293"/>
      <c r="D505" s="24"/>
      <c r="E505" s="29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spans="1:24" ht="21.75" customHeight="1" x14ac:dyDescent="0.6">
      <c r="A506" s="24"/>
      <c r="B506" s="293"/>
      <c r="C506" s="293"/>
      <c r="D506" s="24"/>
      <c r="E506" s="29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spans="1:24" ht="21.75" customHeight="1" x14ac:dyDescent="0.6">
      <c r="A507" s="24"/>
      <c r="B507" s="293"/>
      <c r="C507" s="293"/>
      <c r="D507" s="24"/>
      <c r="E507" s="29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spans="1:24" ht="21.75" customHeight="1" x14ac:dyDescent="0.6">
      <c r="A508" s="24"/>
      <c r="B508" s="293"/>
      <c r="C508" s="293"/>
      <c r="D508" s="24"/>
      <c r="E508" s="29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spans="1:24" ht="21.75" customHeight="1" x14ac:dyDescent="0.6">
      <c r="A509" s="24"/>
      <c r="B509" s="293"/>
      <c r="C509" s="293"/>
      <c r="D509" s="24"/>
      <c r="E509" s="29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spans="1:24" ht="21.75" customHeight="1" x14ac:dyDescent="0.6">
      <c r="A510" s="24"/>
      <c r="B510" s="293"/>
      <c r="C510" s="293"/>
      <c r="D510" s="24"/>
      <c r="E510" s="29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spans="1:24" ht="21.75" customHeight="1" x14ac:dyDescent="0.6">
      <c r="A511" s="24"/>
      <c r="B511" s="293"/>
      <c r="C511" s="293"/>
      <c r="D511" s="24"/>
      <c r="E511" s="29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spans="1:24" ht="21.75" customHeight="1" x14ac:dyDescent="0.6">
      <c r="A512" s="24"/>
      <c r="B512" s="293"/>
      <c r="C512" s="293"/>
      <c r="D512" s="24"/>
      <c r="E512" s="29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spans="1:24" ht="21.75" customHeight="1" x14ac:dyDescent="0.6">
      <c r="A513" s="24"/>
      <c r="B513" s="293"/>
      <c r="C513" s="293"/>
      <c r="D513" s="24"/>
      <c r="E513" s="29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spans="1:24" ht="21.75" customHeight="1" x14ac:dyDescent="0.6">
      <c r="A514" s="24"/>
      <c r="B514" s="293"/>
      <c r="C514" s="293"/>
      <c r="D514" s="24"/>
      <c r="E514" s="29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spans="1:24" ht="21.75" customHeight="1" x14ac:dyDescent="0.6">
      <c r="A515" s="24"/>
      <c r="B515" s="293"/>
      <c r="C515" s="293"/>
      <c r="D515" s="24"/>
      <c r="E515" s="29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spans="1:24" ht="21.75" customHeight="1" x14ac:dyDescent="0.6">
      <c r="A516" s="24"/>
      <c r="B516" s="293"/>
      <c r="C516" s="293"/>
      <c r="D516" s="24"/>
      <c r="E516" s="29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spans="1:24" ht="21.75" customHeight="1" x14ac:dyDescent="0.6">
      <c r="A517" s="24"/>
      <c r="B517" s="293"/>
      <c r="C517" s="293"/>
      <c r="D517" s="24"/>
      <c r="E517" s="29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spans="1:24" ht="21.75" customHeight="1" x14ac:dyDescent="0.6">
      <c r="A518" s="24"/>
      <c r="B518" s="293"/>
      <c r="C518" s="293"/>
      <c r="D518" s="24"/>
      <c r="E518" s="29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spans="1:24" ht="21.75" customHeight="1" x14ac:dyDescent="0.6">
      <c r="A519" s="24"/>
      <c r="B519" s="293"/>
      <c r="C519" s="293"/>
      <c r="D519" s="24"/>
      <c r="E519" s="29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spans="1:24" ht="21.75" customHeight="1" x14ac:dyDescent="0.6">
      <c r="A520" s="24"/>
      <c r="B520" s="293"/>
      <c r="C520" s="293"/>
      <c r="D520" s="24"/>
      <c r="E520" s="29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spans="1:24" ht="21.75" customHeight="1" x14ac:dyDescent="0.6">
      <c r="A521" s="24"/>
      <c r="B521" s="293"/>
      <c r="C521" s="293"/>
      <c r="D521" s="24"/>
      <c r="E521" s="29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spans="1:24" ht="21.75" customHeight="1" x14ac:dyDescent="0.6">
      <c r="A522" s="24"/>
      <c r="B522" s="293"/>
      <c r="C522" s="293"/>
      <c r="D522" s="24"/>
      <c r="E522" s="29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spans="1:24" ht="21.75" customHeight="1" x14ac:dyDescent="0.6">
      <c r="A523" s="24"/>
      <c r="B523" s="293"/>
      <c r="C523" s="293"/>
      <c r="D523" s="24"/>
      <c r="E523" s="29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spans="1:24" ht="21.75" customHeight="1" x14ac:dyDescent="0.6">
      <c r="A524" s="24"/>
      <c r="B524" s="293"/>
      <c r="C524" s="293"/>
      <c r="D524" s="24"/>
      <c r="E524" s="29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spans="1:24" ht="21.75" customHeight="1" x14ac:dyDescent="0.6">
      <c r="A525" s="24"/>
      <c r="B525" s="293"/>
      <c r="C525" s="293"/>
      <c r="D525" s="24"/>
      <c r="E525" s="29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spans="1:24" ht="21.75" customHeight="1" x14ac:dyDescent="0.6">
      <c r="A526" s="24"/>
      <c r="B526" s="293"/>
      <c r="C526" s="293"/>
      <c r="D526" s="24"/>
      <c r="E526" s="29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spans="1:24" ht="21.75" customHeight="1" x14ac:dyDescent="0.6">
      <c r="A527" s="24"/>
      <c r="B527" s="293"/>
      <c r="C527" s="293"/>
      <c r="D527" s="24"/>
      <c r="E527" s="29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spans="1:24" ht="21.75" customHeight="1" x14ac:dyDescent="0.6">
      <c r="A528" s="24"/>
      <c r="B528" s="293"/>
      <c r="C528" s="293"/>
      <c r="D528" s="24"/>
      <c r="E528" s="29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spans="1:24" ht="21.75" customHeight="1" x14ac:dyDescent="0.6">
      <c r="A529" s="24"/>
      <c r="B529" s="293"/>
      <c r="C529" s="293"/>
      <c r="D529" s="24"/>
      <c r="E529" s="29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spans="1:24" ht="21.75" customHeight="1" x14ac:dyDescent="0.6">
      <c r="A530" s="24"/>
      <c r="B530" s="293"/>
      <c r="C530" s="293"/>
      <c r="D530" s="24"/>
      <c r="E530" s="29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spans="1:24" ht="21.75" customHeight="1" x14ac:dyDescent="0.6">
      <c r="A531" s="24"/>
      <c r="B531" s="293"/>
      <c r="C531" s="293"/>
      <c r="D531" s="24"/>
      <c r="E531" s="29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spans="1:24" ht="21.75" customHeight="1" x14ac:dyDescent="0.6">
      <c r="A532" s="24"/>
      <c r="B532" s="293"/>
      <c r="C532" s="293"/>
      <c r="D532" s="24"/>
      <c r="E532" s="29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spans="1:24" ht="21.75" customHeight="1" x14ac:dyDescent="0.6">
      <c r="A533" s="24"/>
      <c r="B533" s="293"/>
      <c r="C533" s="293"/>
      <c r="D533" s="24"/>
      <c r="E533" s="29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spans="1:24" ht="21.75" customHeight="1" x14ac:dyDescent="0.6">
      <c r="A534" s="24"/>
      <c r="B534" s="293"/>
      <c r="C534" s="293"/>
      <c r="D534" s="24"/>
      <c r="E534" s="29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spans="1:24" ht="21.75" customHeight="1" x14ac:dyDescent="0.6">
      <c r="A535" s="24"/>
      <c r="B535" s="293"/>
      <c r="C535" s="293"/>
      <c r="D535" s="24"/>
      <c r="E535" s="29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spans="1:24" ht="21.75" customHeight="1" x14ac:dyDescent="0.6">
      <c r="A536" s="24"/>
      <c r="B536" s="293"/>
      <c r="C536" s="293"/>
      <c r="D536" s="24"/>
      <c r="E536" s="29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spans="1:24" ht="21.75" customHeight="1" x14ac:dyDescent="0.6">
      <c r="A537" s="24"/>
      <c r="B537" s="293"/>
      <c r="C537" s="293"/>
      <c r="D537" s="24"/>
      <c r="E537" s="29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spans="1:24" ht="21.75" customHeight="1" x14ac:dyDescent="0.6">
      <c r="A538" s="24"/>
      <c r="B538" s="293"/>
      <c r="C538" s="293"/>
      <c r="D538" s="24"/>
      <c r="E538" s="29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spans="1:24" ht="21.75" customHeight="1" x14ac:dyDescent="0.6">
      <c r="A539" s="24"/>
      <c r="B539" s="293"/>
      <c r="C539" s="293"/>
      <c r="D539" s="24"/>
      <c r="E539" s="29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spans="1:24" ht="21.75" customHeight="1" x14ac:dyDescent="0.6">
      <c r="A540" s="24"/>
      <c r="B540" s="293"/>
      <c r="C540" s="293"/>
      <c r="D540" s="24"/>
      <c r="E540" s="29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spans="1:24" ht="21.75" customHeight="1" x14ac:dyDescent="0.6">
      <c r="A541" s="24"/>
      <c r="B541" s="293"/>
      <c r="C541" s="293"/>
      <c r="D541" s="24"/>
      <c r="E541" s="29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spans="1:24" ht="21.75" customHeight="1" x14ac:dyDescent="0.6">
      <c r="A542" s="24"/>
      <c r="B542" s="293"/>
      <c r="C542" s="293"/>
      <c r="D542" s="24"/>
      <c r="E542" s="29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spans="1:24" ht="21.75" customHeight="1" x14ac:dyDescent="0.6">
      <c r="A543" s="24"/>
      <c r="B543" s="293"/>
      <c r="C543" s="293"/>
      <c r="D543" s="24"/>
      <c r="E543" s="29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spans="1:24" ht="21.75" customHeight="1" x14ac:dyDescent="0.6">
      <c r="A544" s="24"/>
      <c r="B544" s="293"/>
      <c r="C544" s="293"/>
      <c r="D544" s="24"/>
      <c r="E544" s="29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spans="1:24" ht="21.75" customHeight="1" x14ac:dyDescent="0.6">
      <c r="A545" s="24"/>
      <c r="B545" s="293"/>
      <c r="C545" s="293"/>
      <c r="D545" s="24"/>
      <c r="E545" s="29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spans="1:24" ht="21.75" customHeight="1" x14ac:dyDescent="0.6">
      <c r="A546" s="24"/>
      <c r="B546" s="293"/>
      <c r="C546" s="293"/>
      <c r="D546" s="24"/>
      <c r="E546" s="29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spans="1:24" ht="21.75" customHeight="1" x14ac:dyDescent="0.6">
      <c r="A547" s="24"/>
      <c r="B547" s="293"/>
      <c r="C547" s="293"/>
      <c r="D547" s="24"/>
      <c r="E547" s="29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spans="1:24" ht="21.75" customHeight="1" x14ac:dyDescent="0.6">
      <c r="A548" s="24"/>
      <c r="B548" s="293"/>
      <c r="C548" s="293"/>
      <c r="D548" s="24"/>
      <c r="E548" s="29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spans="1:24" ht="21.75" customHeight="1" x14ac:dyDescent="0.6">
      <c r="A549" s="24"/>
      <c r="B549" s="293"/>
      <c r="C549" s="293"/>
      <c r="D549" s="24"/>
      <c r="E549" s="29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spans="1:24" ht="21.75" customHeight="1" x14ac:dyDescent="0.6">
      <c r="A550" s="24"/>
      <c r="B550" s="293"/>
      <c r="C550" s="293"/>
      <c r="D550" s="24"/>
      <c r="E550" s="29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spans="1:24" ht="21.75" customHeight="1" x14ac:dyDescent="0.6">
      <c r="A551" s="24"/>
      <c r="B551" s="293"/>
      <c r="C551" s="293"/>
      <c r="D551" s="24"/>
      <c r="E551" s="29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spans="1:24" ht="21.75" customHeight="1" x14ac:dyDescent="0.6">
      <c r="A552" s="24"/>
      <c r="B552" s="293"/>
      <c r="C552" s="293"/>
      <c r="D552" s="24"/>
      <c r="E552" s="29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spans="1:24" ht="21.75" customHeight="1" x14ac:dyDescent="0.6">
      <c r="A553" s="24"/>
      <c r="B553" s="293"/>
      <c r="C553" s="293"/>
      <c r="D553" s="24"/>
      <c r="E553" s="29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spans="1:24" ht="21.75" customHeight="1" x14ac:dyDescent="0.6">
      <c r="A554" s="24"/>
      <c r="B554" s="293"/>
      <c r="C554" s="293"/>
      <c r="D554" s="24"/>
      <c r="E554" s="29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spans="1:24" ht="21.75" customHeight="1" x14ac:dyDescent="0.6">
      <c r="A555" s="24"/>
      <c r="B555" s="293"/>
      <c r="C555" s="293"/>
      <c r="D555" s="24"/>
      <c r="E555" s="29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spans="1:24" ht="21.75" customHeight="1" x14ac:dyDescent="0.6">
      <c r="A556" s="24"/>
      <c r="B556" s="293"/>
      <c r="C556" s="293"/>
      <c r="D556" s="24"/>
      <c r="E556" s="29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spans="1:24" ht="21.75" customHeight="1" x14ac:dyDescent="0.6">
      <c r="A557" s="24"/>
      <c r="B557" s="293"/>
      <c r="C557" s="293"/>
      <c r="D557" s="24"/>
      <c r="E557" s="29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spans="1:24" ht="21.75" customHeight="1" x14ac:dyDescent="0.6">
      <c r="A558" s="24"/>
      <c r="B558" s="293"/>
      <c r="C558" s="293"/>
      <c r="D558" s="24"/>
      <c r="E558" s="29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spans="1:24" ht="21.75" customHeight="1" x14ac:dyDescent="0.6">
      <c r="A559" s="24"/>
      <c r="B559" s="293"/>
      <c r="C559" s="293"/>
      <c r="D559" s="24"/>
      <c r="E559" s="29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spans="1:24" ht="21.75" customHeight="1" x14ac:dyDescent="0.6">
      <c r="A560" s="24"/>
      <c r="B560" s="293"/>
      <c r="C560" s="293"/>
      <c r="D560" s="24"/>
      <c r="E560" s="29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spans="1:24" ht="21.75" customHeight="1" x14ac:dyDescent="0.6">
      <c r="A561" s="24"/>
      <c r="B561" s="293"/>
      <c r="C561" s="293"/>
      <c r="D561" s="24"/>
      <c r="E561" s="29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spans="1:24" ht="21.75" customHeight="1" x14ac:dyDescent="0.6">
      <c r="A562" s="24"/>
      <c r="B562" s="293"/>
      <c r="C562" s="293"/>
      <c r="D562" s="24"/>
      <c r="E562" s="29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spans="1:24" ht="21.75" customHeight="1" x14ac:dyDescent="0.6">
      <c r="A563" s="24"/>
      <c r="B563" s="293"/>
      <c r="C563" s="293"/>
      <c r="D563" s="24"/>
      <c r="E563" s="29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spans="1:24" ht="21.75" customHeight="1" x14ac:dyDescent="0.6">
      <c r="A564" s="24"/>
      <c r="B564" s="293"/>
      <c r="C564" s="293"/>
      <c r="D564" s="24"/>
      <c r="E564" s="29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spans="1:24" ht="21.75" customHeight="1" x14ac:dyDescent="0.6">
      <c r="A565" s="24"/>
      <c r="B565" s="293"/>
      <c r="C565" s="293"/>
      <c r="D565" s="24"/>
      <c r="E565" s="29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spans="1:24" ht="21.75" customHeight="1" x14ac:dyDescent="0.6">
      <c r="A566" s="24"/>
      <c r="B566" s="293"/>
      <c r="C566" s="293"/>
      <c r="D566" s="24"/>
      <c r="E566" s="29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spans="1:24" ht="21.75" customHeight="1" x14ac:dyDescent="0.6">
      <c r="A567" s="24"/>
      <c r="B567" s="293"/>
      <c r="C567" s="293"/>
      <c r="D567" s="24"/>
      <c r="E567" s="29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spans="1:24" ht="21.75" customHeight="1" x14ac:dyDescent="0.6">
      <c r="A568" s="24"/>
      <c r="B568" s="293"/>
      <c r="C568" s="293"/>
      <c r="D568" s="24"/>
      <c r="E568" s="29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spans="1:24" ht="21.75" customHeight="1" x14ac:dyDescent="0.6">
      <c r="A569" s="24"/>
      <c r="B569" s="293"/>
      <c r="C569" s="293"/>
      <c r="D569" s="24"/>
      <c r="E569" s="29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spans="1:24" ht="21.75" customHeight="1" x14ac:dyDescent="0.6">
      <c r="A570" s="24"/>
      <c r="B570" s="293"/>
      <c r="C570" s="293"/>
      <c r="D570" s="24"/>
      <c r="E570" s="29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spans="1:24" ht="21.75" customHeight="1" x14ac:dyDescent="0.6">
      <c r="A571" s="24"/>
      <c r="B571" s="293"/>
      <c r="C571" s="293"/>
      <c r="D571" s="24"/>
      <c r="E571" s="29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spans="1:24" ht="21.75" customHeight="1" x14ac:dyDescent="0.6">
      <c r="A572" s="24"/>
      <c r="B572" s="293"/>
      <c r="C572" s="293"/>
      <c r="D572" s="24"/>
      <c r="E572" s="29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spans="1:24" ht="21.75" customHeight="1" x14ac:dyDescent="0.6">
      <c r="A573" s="24"/>
      <c r="B573" s="293"/>
      <c r="C573" s="293"/>
      <c r="D573" s="24"/>
      <c r="E573" s="29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spans="1:24" ht="21.75" customHeight="1" x14ac:dyDescent="0.6">
      <c r="A574" s="24"/>
      <c r="B574" s="293"/>
      <c r="C574" s="293"/>
      <c r="D574" s="24"/>
      <c r="E574" s="29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spans="1:24" ht="21.75" customHeight="1" x14ac:dyDescent="0.6">
      <c r="A575" s="24"/>
      <c r="B575" s="293"/>
      <c r="C575" s="293"/>
      <c r="D575" s="24"/>
      <c r="E575" s="29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spans="1:24" ht="21.75" customHeight="1" x14ac:dyDescent="0.6">
      <c r="A576" s="24"/>
      <c r="B576" s="293"/>
      <c r="C576" s="293"/>
      <c r="D576" s="24"/>
      <c r="E576" s="29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spans="1:24" ht="21.75" customHeight="1" x14ac:dyDescent="0.6">
      <c r="A577" s="24"/>
      <c r="B577" s="293"/>
      <c r="C577" s="293"/>
      <c r="D577" s="24"/>
      <c r="E577" s="29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spans="1:24" ht="21.75" customHeight="1" x14ac:dyDescent="0.6">
      <c r="A578" s="24"/>
      <c r="B578" s="293"/>
      <c r="C578" s="293"/>
      <c r="D578" s="24"/>
      <c r="E578" s="29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spans="1:24" ht="21.75" customHeight="1" x14ac:dyDescent="0.6">
      <c r="A579" s="24"/>
      <c r="B579" s="293"/>
      <c r="C579" s="293"/>
      <c r="D579" s="24"/>
      <c r="E579" s="29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spans="1:24" ht="21.75" customHeight="1" x14ac:dyDescent="0.6">
      <c r="A580" s="24"/>
      <c r="B580" s="293"/>
      <c r="C580" s="293"/>
      <c r="D580" s="24"/>
      <c r="E580" s="29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spans="1:24" ht="21.75" customHeight="1" x14ac:dyDescent="0.6">
      <c r="A581" s="24"/>
      <c r="B581" s="293"/>
      <c r="C581" s="293"/>
      <c r="D581" s="24"/>
      <c r="E581" s="29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spans="1:24" ht="21.75" customHeight="1" x14ac:dyDescent="0.6">
      <c r="A582" s="24"/>
      <c r="B582" s="293"/>
      <c r="C582" s="293"/>
      <c r="D582" s="24"/>
      <c r="E582" s="29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spans="1:24" ht="21.75" customHeight="1" x14ac:dyDescent="0.6">
      <c r="A583" s="24"/>
      <c r="B583" s="293"/>
      <c r="C583" s="293"/>
      <c r="D583" s="24"/>
      <c r="E583" s="29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spans="1:24" ht="21.75" customHeight="1" x14ac:dyDescent="0.6">
      <c r="A584" s="24"/>
      <c r="B584" s="293"/>
      <c r="C584" s="293"/>
      <c r="D584" s="24"/>
      <c r="E584" s="29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spans="1:24" ht="21.75" customHeight="1" x14ac:dyDescent="0.6">
      <c r="A585" s="24"/>
      <c r="B585" s="293"/>
      <c r="C585" s="293"/>
      <c r="D585" s="24"/>
      <c r="E585" s="29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spans="1:24" ht="21.75" customHeight="1" x14ac:dyDescent="0.6">
      <c r="A586" s="24"/>
      <c r="B586" s="293"/>
      <c r="C586" s="293"/>
      <c r="D586" s="24"/>
      <c r="E586" s="29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spans="1:24" ht="21.75" customHeight="1" x14ac:dyDescent="0.6">
      <c r="A587" s="24"/>
      <c r="B587" s="293"/>
      <c r="C587" s="293"/>
      <c r="D587" s="24"/>
      <c r="E587" s="29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spans="1:24" ht="21.75" customHeight="1" x14ac:dyDescent="0.6">
      <c r="A588" s="24"/>
      <c r="B588" s="293"/>
      <c r="C588" s="293"/>
      <c r="D588" s="24"/>
      <c r="E588" s="29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spans="1:24" ht="21.75" customHeight="1" x14ac:dyDescent="0.6">
      <c r="A589" s="24"/>
      <c r="B589" s="293"/>
      <c r="C589" s="293"/>
      <c r="D589" s="24"/>
      <c r="E589" s="29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spans="1:24" ht="21.75" customHeight="1" x14ac:dyDescent="0.6">
      <c r="A590" s="24"/>
      <c r="B590" s="293"/>
      <c r="C590" s="293"/>
      <c r="D590" s="24"/>
      <c r="E590" s="29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spans="1:24" ht="21.75" customHeight="1" x14ac:dyDescent="0.6">
      <c r="A591" s="24"/>
      <c r="B591" s="293"/>
      <c r="C591" s="293"/>
      <c r="D591" s="24"/>
      <c r="E591" s="29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spans="1:24" ht="21.75" customHeight="1" x14ac:dyDescent="0.6">
      <c r="A592" s="24"/>
      <c r="B592" s="293"/>
      <c r="C592" s="293"/>
      <c r="D592" s="24"/>
      <c r="E592" s="29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spans="1:24" ht="21.75" customHeight="1" x14ac:dyDescent="0.6">
      <c r="A593" s="24"/>
      <c r="B593" s="293"/>
      <c r="C593" s="293"/>
      <c r="D593" s="24"/>
      <c r="E593" s="29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spans="1:24" ht="21.75" customHeight="1" x14ac:dyDescent="0.6">
      <c r="A594" s="24"/>
      <c r="B594" s="293"/>
      <c r="C594" s="293"/>
      <c r="D594" s="24"/>
      <c r="E594" s="29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spans="1:24" ht="21.75" customHeight="1" x14ac:dyDescent="0.6">
      <c r="A595" s="24"/>
      <c r="B595" s="293"/>
      <c r="C595" s="293"/>
      <c r="D595" s="24"/>
      <c r="E595" s="29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spans="1:24" ht="21.75" customHeight="1" x14ac:dyDescent="0.6">
      <c r="A596" s="24"/>
      <c r="B596" s="293"/>
      <c r="C596" s="293"/>
      <c r="D596" s="24"/>
      <c r="E596" s="29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spans="1:24" ht="21.75" customHeight="1" x14ac:dyDescent="0.6">
      <c r="A597" s="24"/>
      <c r="B597" s="293"/>
      <c r="C597" s="293"/>
      <c r="D597" s="24"/>
      <c r="E597" s="29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spans="1:24" ht="21.75" customHeight="1" x14ac:dyDescent="0.6">
      <c r="A598" s="24"/>
      <c r="B598" s="293"/>
      <c r="C598" s="293"/>
      <c r="D598" s="24"/>
      <c r="E598" s="29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 spans="1:24" ht="21.75" customHeight="1" x14ac:dyDescent="0.6">
      <c r="A599" s="24"/>
      <c r="B599" s="293"/>
      <c r="C599" s="293"/>
      <c r="D599" s="24"/>
      <c r="E599" s="29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spans="1:24" ht="21.75" customHeight="1" x14ac:dyDescent="0.6">
      <c r="A600" s="24"/>
      <c r="B600" s="293"/>
      <c r="C600" s="293"/>
      <c r="D600" s="24"/>
      <c r="E600" s="29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spans="1:24" ht="21.75" customHeight="1" x14ac:dyDescent="0.6">
      <c r="A601" s="24"/>
      <c r="B601" s="293"/>
      <c r="C601" s="293"/>
      <c r="D601" s="24"/>
      <c r="E601" s="29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spans="1:24" ht="21.75" customHeight="1" x14ac:dyDescent="0.6">
      <c r="A602" s="24"/>
      <c r="B602" s="293"/>
      <c r="C602" s="293"/>
      <c r="D602" s="24"/>
      <c r="E602" s="29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spans="1:24" ht="21.75" customHeight="1" x14ac:dyDescent="0.6">
      <c r="A603" s="24"/>
      <c r="B603" s="293"/>
      <c r="C603" s="293"/>
      <c r="D603" s="24"/>
      <c r="E603" s="29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spans="1:24" ht="21.75" customHeight="1" x14ac:dyDescent="0.6">
      <c r="A604" s="24"/>
      <c r="B604" s="293"/>
      <c r="C604" s="293"/>
      <c r="D604" s="24"/>
      <c r="E604" s="29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spans="1:24" ht="21.75" customHeight="1" x14ac:dyDescent="0.6">
      <c r="A605" s="24"/>
      <c r="B605" s="293"/>
      <c r="C605" s="293"/>
      <c r="D605" s="24"/>
      <c r="E605" s="29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spans="1:24" ht="21.75" customHeight="1" x14ac:dyDescent="0.6">
      <c r="A606" s="24"/>
      <c r="B606" s="293"/>
      <c r="C606" s="293"/>
      <c r="D606" s="24"/>
      <c r="E606" s="29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spans="1:24" ht="21.75" customHeight="1" x14ac:dyDescent="0.6">
      <c r="A607" s="24"/>
      <c r="B607" s="293"/>
      <c r="C607" s="293"/>
      <c r="D607" s="24"/>
      <c r="E607" s="29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spans="1:24" ht="21.75" customHeight="1" x14ac:dyDescent="0.6">
      <c r="A608" s="24"/>
      <c r="B608" s="293"/>
      <c r="C608" s="293"/>
      <c r="D608" s="24"/>
      <c r="E608" s="29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spans="1:24" ht="21.75" customHeight="1" x14ac:dyDescent="0.6">
      <c r="A609" s="24"/>
      <c r="B609" s="293"/>
      <c r="C609" s="293"/>
      <c r="D609" s="24"/>
      <c r="E609" s="29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spans="1:24" ht="21.75" customHeight="1" x14ac:dyDescent="0.6">
      <c r="A610" s="24"/>
      <c r="B610" s="293"/>
      <c r="C610" s="293"/>
      <c r="D610" s="24"/>
      <c r="E610" s="29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spans="1:24" ht="21.75" customHeight="1" x14ac:dyDescent="0.6">
      <c r="A611" s="24"/>
      <c r="B611" s="293"/>
      <c r="C611" s="293"/>
      <c r="D611" s="24"/>
      <c r="E611" s="29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spans="1:24" ht="21.75" customHeight="1" x14ac:dyDescent="0.6">
      <c r="A612" s="24"/>
      <c r="B612" s="293"/>
      <c r="C612" s="293"/>
      <c r="D612" s="24"/>
      <c r="E612" s="29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spans="1:24" ht="21.75" customHeight="1" x14ac:dyDescent="0.6">
      <c r="A613" s="24"/>
      <c r="B613" s="293"/>
      <c r="C613" s="293"/>
      <c r="D613" s="24"/>
      <c r="E613" s="29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spans="1:24" ht="21.75" customHeight="1" x14ac:dyDescent="0.6">
      <c r="A614" s="24"/>
      <c r="B614" s="293"/>
      <c r="C614" s="293"/>
      <c r="D614" s="24"/>
      <c r="E614" s="29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spans="1:24" ht="21.75" customHeight="1" x14ac:dyDescent="0.6">
      <c r="A615" s="24"/>
      <c r="B615" s="293"/>
      <c r="C615" s="293"/>
      <c r="D615" s="24"/>
      <c r="E615" s="29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spans="1:24" ht="21.75" customHeight="1" x14ac:dyDescent="0.6">
      <c r="A616" s="24"/>
      <c r="B616" s="293"/>
      <c r="C616" s="293"/>
      <c r="D616" s="24"/>
      <c r="E616" s="29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spans="1:24" ht="21.75" customHeight="1" x14ac:dyDescent="0.6">
      <c r="A617" s="24"/>
      <c r="B617" s="293"/>
      <c r="C617" s="293"/>
      <c r="D617" s="24"/>
      <c r="E617" s="29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spans="1:24" ht="21.75" customHeight="1" x14ac:dyDescent="0.6">
      <c r="A618" s="24"/>
      <c r="B618" s="293"/>
      <c r="C618" s="293"/>
      <c r="D618" s="24"/>
      <c r="E618" s="29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spans="1:24" ht="21.75" customHeight="1" x14ac:dyDescent="0.6">
      <c r="A619" s="24"/>
      <c r="B619" s="293"/>
      <c r="C619" s="293"/>
      <c r="D619" s="24"/>
      <c r="E619" s="29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spans="1:24" ht="21.75" customHeight="1" x14ac:dyDescent="0.6">
      <c r="A620" s="24"/>
      <c r="B620" s="293"/>
      <c r="C620" s="293"/>
      <c r="D620" s="24"/>
      <c r="E620" s="29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spans="1:24" ht="21.75" customHeight="1" x14ac:dyDescent="0.6">
      <c r="A621" s="24"/>
      <c r="B621" s="293"/>
      <c r="C621" s="293"/>
      <c r="D621" s="24"/>
      <c r="E621" s="29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spans="1:24" ht="21.75" customHeight="1" x14ac:dyDescent="0.6">
      <c r="A622" s="24"/>
      <c r="B622" s="293"/>
      <c r="C622" s="293"/>
      <c r="D622" s="24"/>
      <c r="E622" s="29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spans="1:24" ht="21.75" customHeight="1" x14ac:dyDescent="0.6">
      <c r="A623" s="24"/>
      <c r="B623" s="293"/>
      <c r="C623" s="293"/>
      <c r="D623" s="24"/>
      <c r="E623" s="29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spans="1:24" ht="21.75" customHeight="1" x14ac:dyDescent="0.6">
      <c r="A624" s="24"/>
      <c r="B624" s="293"/>
      <c r="C624" s="293"/>
      <c r="D624" s="24"/>
      <c r="E624" s="29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spans="1:24" ht="21.75" customHeight="1" x14ac:dyDescent="0.6">
      <c r="A625" s="24"/>
      <c r="B625" s="293"/>
      <c r="C625" s="293"/>
      <c r="D625" s="24"/>
      <c r="E625" s="29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spans="1:24" ht="21.75" customHeight="1" x14ac:dyDescent="0.6">
      <c r="A626" s="24"/>
      <c r="B626" s="293"/>
      <c r="C626" s="293"/>
      <c r="D626" s="24"/>
      <c r="E626" s="29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spans="1:24" ht="21.75" customHeight="1" x14ac:dyDescent="0.6">
      <c r="A627" s="24"/>
      <c r="B627" s="293"/>
      <c r="C627" s="293"/>
      <c r="D627" s="24"/>
      <c r="E627" s="29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spans="1:24" ht="21.75" customHeight="1" x14ac:dyDescent="0.6">
      <c r="A628" s="24"/>
      <c r="B628" s="293"/>
      <c r="C628" s="293"/>
      <c r="D628" s="24"/>
      <c r="E628" s="29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spans="1:24" ht="21.75" customHeight="1" x14ac:dyDescent="0.6">
      <c r="A629" s="24"/>
      <c r="B629" s="293"/>
      <c r="C629" s="293"/>
      <c r="D629" s="24"/>
      <c r="E629" s="29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spans="1:24" ht="21.75" customHeight="1" x14ac:dyDescent="0.6">
      <c r="A630" s="24"/>
      <c r="B630" s="293"/>
      <c r="C630" s="293"/>
      <c r="D630" s="24"/>
      <c r="E630" s="29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spans="1:24" ht="21.75" customHeight="1" x14ac:dyDescent="0.6">
      <c r="A631" s="24"/>
      <c r="B631" s="293"/>
      <c r="C631" s="293"/>
      <c r="D631" s="24"/>
      <c r="E631" s="29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spans="1:24" ht="21.75" customHeight="1" x14ac:dyDescent="0.6">
      <c r="A632" s="24"/>
      <c r="B632" s="293"/>
      <c r="C632" s="293"/>
      <c r="D632" s="24"/>
      <c r="E632" s="29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spans="1:24" ht="21.75" customHeight="1" x14ac:dyDescent="0.6">
      <c r="A633" s="24"/>
      <c r="B633" s="293"/>
      <c r="C633" s="293"/>
      <c r="D633" s="24"/>
      <c r="E633" s="29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spans="1:24" ht="21.75" customHeight="1" x14ac:dyDescent="0.6">
      <c r="A634" s="24"/>
      <c r="B634" s="293"/>
      <c r="C634" s="293"/>
      <c r="D634" s="24"/>
      <c r="E634" s="29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spans="1:24" ht="21.75" customHeight="1" x14ac:dyDescent="0.6">
      <c r="A635" s="24"/>
      <c r="B635" s="293"/>
      <c r="C635" s="293"/>
      <c r="D635" s="24"/>
      <c r="E635" s="29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spans="1:24" ht="21.75" customHeight="1" x14ac:dyDescent="0.6">
      <c r="A636" s="24"/>
      <c r="B636" s="293"/>
      <c r="C636" s="293"/>
      <c r="D636" s="24"/>
      <c r="E636" s="29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spans="1:24" ht="21.75" customHeight="1" x14ac:dyDescent="0.6">
      <c r="A637" s="24"/>
      <c r="B637" s="293"/>
      <c r="C637" s="293"/>
      <c r="D637" s="24"/>
      <c r="E637" s="29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spans="1:24" ht="21.75" customHeight="1" x14ac:dyDescent="0.6">
      <c r="A638" s="24"/>
      <c r="B638" s="293"/>
      <c r="C638" s="293"/>
      <c r="D638" s="24"/>
      <c r="E638" s="29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spans="1:24" ht="21.75" customHeight="1" x14ac:dyDescent="0.6">
      <c r="A639" s="24"/>
      <c r="B639" s="293"/>
      <c r="C639" s="293"/>
      <c r="D639" s="24"/>
      <c r="E639" s="29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spans="1:24" ht="21.75" customHeight="1" x14ac:dyDescent="0.6">
      <c r="A640" s="24"/>
      <c r="B640" s="293"/>
      <c r="C640" s="293"/>
      <c r="D640" s="24"/>
      <c r="E640" s="29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spans="1:24" ht="21.75" customHeight="1" x14ac:dyDescent="0.6">
      <c r="A641" s="24"/>
      <c r="B641" s="293"/>
      <c r="C641" s="293"/>
      <c r="D641" s="24"/>
      <c r="E641" s="29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spans="1:24" ht="21.75" customHeight="1" x14ac:dyDescent="0.6">
      <c r="A642" s="24"/>
      <c r="B642" s="293"/>
      <c r="C642" s="293"/>
      <c r="D642" s="24"/>
      <c r="E642" s="29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spans="1:24" ht="21.75" customHeight="1" x14ac:dyDescent="0.6">
      <c r="A643" s="24"/>
      <c r="B643" s="293"/>
      <c r="C643" s="293"/>
      <c r="D643" s="24"/>
      <c r="E643" s="29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spans="1:24" ht="21.75" customHeight="1" x14ac:dyDescent="0.6">
      <c r="A644" s="24"/>
      <c r="B644" s="293"/>
      <c r="C644" s="293"/>
      <c r="D644" s="24"/>
      <c r="E644" s="29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spans="1:24" ht="21.75" customHeight="1" x14ac:dyDescent="0.6">
      <c r="A645" s="24"/>
      <c r="B645" s="293"/>
      <c r="C645" s="293"/>
      <c r="D645" s="24"/>
      <c r="E645" s="29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spans="1:24" ht="21.75" customHeight="1" x14ac:dyDescent="0.6">
      <c r="A646" s="24"/>
      <c r="B646" s="293"/>
      <c r="C646" s="293"/>
      <c r="D646" s="24"/>
      <c r="E646" s="29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spans="1:24" ht="21.75" customHeight="1" x14ac:dyDescent="0.6">
      <c r="A647" s="24"/>
      <c r="B647" s="293"/>
      <c r="C647" s="293"/>
      <c r="D647" s="24"/>
      <c r="E647" s="29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spans="1:24" ht="21.75" customHeight="1" x14ac:dyDescent="0.6">
      <c r="A648" s="24"/>
      <c r="B648" s="293"/>
      <c r="C648" s="293"/>
      <c r="D648" s="24"/>
      <c r="E648" s="29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spans="1:24" ht="21.75" customHeight="1" x14ac:dyDescent="0.6">
      <c r="A649" s="24"/>
      <c r="B649" s="293"/>
      <c r="C649" s="293"/>
      <c r="D649" s="24"/>
      <c r="E649" s="29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spans="1:24" ht="21.75" customHeight="1" x14ac:dyDescent="0.6">
      <c r="A650" s="24"/>
      <c r="B650" s="293"/>
      <c r="C650" s="293"/>
      <c r="D650" s="24"/>
      <c r="E650" s="29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spans="1:24" ht="21.75" customHeight="1" x14ac:dyDescent="0.6">
      <c r="A651" s="24"/>
      <c r="B651" s="293"/>
      <c r="C651" s="293"/>
      <c r="D651" s="24"/>
      <c r="E651" s="29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spans="1:24" ht="21.75" customHeight="1" x14ac:dyDescent="0.6">
      <c r="A652" s="24"/>
      <c r="B652" s="293"/>
      <c r="C652" s="293"/>
      <c r="D652" s="24"/>
      <c r="E652" s="29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spans="1:24" ht="21.75" customHeight="1" x14ac:dyDescent="0.6">
      <c r="A653" s="24"/>
      <c r="B653" s="293"/>
      <c r="C653" s="293"/>
      <c r="D653" s="24"/>
      <c r="E653" s="29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spans="1:24" ht="21.75" customHeight="1" x14ac:dyDescent="0.6">
      <c r="A654" s="24"/>
      <c r="B654" s="293"/>
      <c r="C654" s="293"/>
      <c r="D654" s="24"/>
      <c r="E654" s="29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spans="1:24" ht="21.75" customHeight="1" x14ac:dyDescent="0.6">
      <c r="A655" s="24"/>
      <c r="B655" s="293"/>
      <c r="C655" s="293"/>
      <c r="D655" s="24"/>
      <c r="E655" s="29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spans="1:24" ht="21.75" customHeight="1" x14ac:dyDescent="0.6">
      <c r="A656" s="24"/>
      <c r="B656" s="293"/>
      <c r="C656" s="293"/>
      <c r="D656" s="24"/>
      <c r="E656" s="29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spans="1:24" ht="21.75" customHeight="1" x14ac:dyDescent="0.6">
      <c r="A657" s="24"/>
      <c r="B657" s="293"/>
      <c r="C657" s="293"/>
      <c r="D657" s="24"/>
      <c r="E657" s="29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spans="1:24" ht="21.75" customHeight="1" x14ac:dyDescent="0.6">
      <c r="A658" s="24"/>
      <c r="B658" s="293"/>
      <c r="C658" s="293"/>
      <c r="D658" s="24"/>
      <c r="E658" s="29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spans="1:24" ht="21.75" customHeight="1" x14ac:dyDescent="0.6">
      <c r="A659" s="24"/>
      <c r="B659" s="293"/>
      <c r="C659" s="293"/>
      <c r="D659" s="24"/>
      <c r="E659" s="29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spans="1:24" ht="21.75" customHeight="1" x14ac:dyDescent="0.6">
      <c r="A660" s="24"/>
      <c r="B660" s="293"/>
      <c r="C660" s="293"/>
      <c r="D660" s="24"/>
      <c r="E660" s="29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spans="1:24" ht="21.75" customHeight="1" x14ac:dyDescent="0.6">
      <c r="A661" s="24"/>
      <c r="B661" s="293"/>
      <c r="C661" s="293"/>
      <c r="D661" s="24"/>
      <c r="E661" s="29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spans="1:24" ht="21.75" customHeight="1" x14ac:dyDescent="0.6">
      <c r="A662" s="24"/>
      <c r="B662" s="293"/>
      <c r="C662" s="293"/>
      <c r="D662" s="24"/>
      <c r="E662" s="29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spans="1:24" ht="21.75" customHeight="1" x14ac:dyDescent="0.6">
      <c r="A663" s="24"/>
      <c r="B663" s="293"/>
      <c r="C663" s="293"/>
      <c r="D663" s="24"/>
      <c r="E663" s="29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spans="1:24" ht="21.75" customHeight="1" x14ac:dyDescent="0.6">
      <c r="A664" s="24"/>
      <c r="B664" s="293"/>
      <c r="C664" s="293"/>
      <c r="D664" s="24"/>
      <c r="E664" s="29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spans="1:24" ht="21.75" customHeight="1" x14ac:dyDescent="0.6">
      <c r="A665" s="24"/>
      <c r="B665" s="293"/>
      <c r="C665" s="293"/>
      <c r="D665" s="24"/>
      <c r="E665" s="29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spans="1:24" ht="21.75" customHeight="1" x14ac:dyDescent="0.6">
      <c r="A666" s="24"/>
      <c r="B666" s="293"/>
      <c r="C666" s="293"/>
      <c r="D666" s="24"/>
      <c r="E666" s="29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spans="1:24" ht="21.75" customHeight="1" x14ac:dyDescent="0.6">
      <c r="A667" s="24"/>
      <c r="B667" s="293"/>
      <c r="C667" s="293"/>
      <c r="D667" s="24"/>
      <c r="E667" s="29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spans="1:24" ht="21.75" customHeight="1" x14ac:dyDescent="0.6">
      <c r="A668" s="24"/>
      <c r="B668" s="293"/>
      <c r="C668" s="293"/>
      <c r="D668" s="24"/>
      <c r="E668" s="29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spans="1:24" ht="21.75" customHeight="1" x14ac:dyDescent="0.6">
      <c r="A669" s="24"/>
      <c r="B669" s="293"/>
      <c r="C669" s="293"/>
      <c r="D669" s="24"/>
      <c r="E669" s="29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spans="1:24" ht="21.75" customHeight="1" x14ac:dyDescent="0.6">
      <c r="A670" s="24"/>
      <c r="B670" s="293"/>
      <c r="C670" s="293"/>
      <c r="D670" s="24"/>
      <c r="E670" s="29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spans="1:24" ht="21.75" customHeight="1" x14ac:dyDescent="0.6">
      <c r="A671" s="24"/>
      <c r="B671" s="293"/>
      <c r="C671" s="293"/>
      <c r="D671" s="24"/>
      <c r="E671" s="29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spans="1:24" ht="21.75" customHeight="1" x14ac:dyDescent="0.6">
      <c r="A672" s="24"/>
      <c r="B672" s="293"/>
      <c r="C672" s="293"/>
      <c r="D672" s="24"/>
      <c r="E672" s="29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spans="1:24" ht="21.75" customHeight="1" x14ac:dyDescent="0.6">
      <c r="A673" s="24"/>
      <c r="B673" s="293"/>
      <c r="C673" s="293"/>
      <c r="D673" s="24"/>
      <c r="E673" s="29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spans="1:24" ht="21.75" customHeight="1" x14ac:dyDescent="0.6">
      <c r="A674" s="24"/>
      <c r="B674" s="293"/>
      <c r="C674" s="293"/>
      <c r="D674" s="24"/>
      <c r="E674" s="29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spans="1:24" ht="21.75" customHeight="1" x14ac:dyDescent="0.6">
      <c r="A675" s="24"/>
      <c r="B675" s="293"/>
      <c r="C675" s="293"/>
      <c r="D675" s="24"/>
      <c r="E675" s="29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spans="1:24" ht="21.75" customHeight="1" x14ac:dyDescent="0.6">
      <c r="A676" s="24"/>
      <c r="B676" s="293"/>
      <c r="C676" s="293"/>
      <c r="D676" s="24"/>
      <c r="E676" s="29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spans="1:24" ht="21.75" customHeight="1" x14ac:dyDescent="0.6">
      <c r="A677" s="24"/>
      <c r="B677" s="293"/>
      <c r="C677" s="293"/>
      <c r="D677" s="24"/>
      <c r="E677" s="29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spans="1:24" ht="21.75" customHeight="1" x14ac:dyDescent="0.6">
      <c r="A678" s="24"/>
      <c r="B678" s="293"/>
      <c r="C678" s="293"/>
      <c r="D678" s="24"/>
      <c r="E678" s="29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spans="1:24" ht="21.75" customHeight="1" x14ac:dyDescent="0.6">
      <c r="A679" s="24"/>
      <c r="B679" s="293"/>
      <c r="C679" s="293"/>
      <c r="D679" s="24"/>
      <c r="E679" s="29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spans="1:24" ht="21.75" customHeight="1" x14ac:dyDescent="0.6">
      <c r="A680" s="24"/>
      <c r="B680" s="293"/>
      <c r="C680" s="293"/>
      <c r="D680" s="24"/>
      <c r="E680" s="29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spans="1:24" ht="21.75" customHeight="1" x14ac:dyDescent="0.6">
      <c r="A681" s="24"/>
      <c r="B681" s="293"/>
      <c r="C681" s="293"/>
      <c r="D681" s="24"/>
      <c r="E681" s="29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spans="1:24" ht="21.75" customHeight="1" x14ac:dyDescent="0.6">
      <c r="A682" s="24"/>
      <c r="B682" s="293"/>
      <c r="C682" s="293"/>
      <c r="D682" s="24"/>
      <c r="E682" s="29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spans="1:24" ht="21.75" customHeight="1" x14ac:dyDescent="0.6">
      <c r="A683" s="24"/>
      <c r="B683" s="293"/>
      <c r="C683" s="293"/>
      <c r="D683" s="24"/>
      <c r="E683" s="29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spans="1:24" ht="21.75" customHeight="1" x14ac:dyDescent="0.6">
      <c r="A684" s="24"/>
      <c r="B684" s="293"/>
      <c r="C684" s="293"/>
      <c r="D684" s="24"/>
      <c r="E684" s="29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spans="1:24" ht="21.75" customHeight="1" x14ac:dyDescent="0.6">
      <c r="A685" s="24"/>
      <c r="B685" s="293"/>
      <c r="C685" s="293"/>
      <c r="D685" s="24"/>
      <c r="E685" s="29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spans="1:24" ht="21.75" customHeight="1" x14ac:dyDescent="0.6">
      <c r="A686" s="24"/>
      <c r="B686" s="293"/>
      <c r="C686" s="293"/>
      <c r="D686" s="24"/>
      <c r="E686" s="29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spans="1:24" ht="21.75" customHeight="1" x14ac:dyDescent="0.6">
      <c r="A687" s="24"/>
      <c r="B687" s="293"/>
      <c r="C687" s="293"/>
      <c r="D687" s="24"/>
      <c r="E687" s="29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spans="1:24" ht="21.75" customHeight="1" x14ac:dyDescent="0.6">
      <c r="A688" s="24"/>
      <c r="B688" s="293"/>
      <c r="C688" s="293"/>
      <c r="D688" s="24"/>
      <c r="E688" s="29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spans="1:24" ht="21.75" customHeight="1" x14ac:dyDescent="0.6">
      <c r="A689" s="24"/>
      <c r="B689" s="293"/>
      <c r="C689" s="293"/>
      <c r="D689" s="24"/>
      <c r="E689" s="29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spans="1:24" ht="21.75" customHeight="1" x14ac:dyDescent="0.6">
      <c r="A690" s="24"/>
      <c r="B690" s="293"/>
      <c r="C690" s="293"/>
      <c r="D690" s="24"/>
      <c r="E690" s="29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spans="1:24" ht="21.75" customHeight="1" x14ac:dyDescent="0.6">
      <c r="A691" s="24"/>
      <c r="B691" s="293"/>
      <c r="C691" s="293"/>
      <c r="D691" s="24"/>
      <c r="E691" s="29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spans="1:24" ht="21.75" customHeight="1" x14ac:dyDescent="0.6">
      <c r="A692" s="24"/>
      <c r="B692" s="293"/>
      <c r="C692" s="293"/>
      <c r="D692" s="24"/>
      <c r="E692" s="29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spans="1:24" ht="21.75" customHeight="1" x14ac:dyDescent="0.6">
      <c r="A693" s="24"/>
      <c r="B693" s="293"/>
      <c r="C693" s="293"/>
      <c r="D693" s="24"/>
      <c r="E693" s="29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spans="1:24" ht="21.75" customHeight="1" x14ac:dyDescent="0.6">
      <c r="A694" s="24"/>
      <c r="B694" s="293"/>
      <c r="C694" s="293"/>
      <c r="D694" s="24"/>
      <c r="E694" s="29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spans="1:24" ht="21.75" customHeight="1" x14ac:dyDescent="0.6">
      <c r="A695" s="24"/>
      <c r="B695" s="293"/>
      <c r="C695" s="293"/>
      <c r="D695" s="24"/>
      <c r="E695" s="29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spans="1:24" ht="21.75" customHeight="1" x14ac:dyDescent="0.6">
      <c r="A696" s="24"/>
      <c r="B696" s="293"/>
      <c r="C696" s="293"/>
      <c r="D696" s="24"/>
      <c r="E696" s="29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spans="1:24" ht="21.75" customHeight="1" x14ac:dyDescent="0.6">
      <c r="A697" s="24"/>
      <c r="B697" s="293"/>
      <c r="C697" s="293"/>
      <c r="D697" s="24"/>
      <c r="E697" s="29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spans="1:24" ht="21.75" customHeight="1" x14ac:dyDescent="0.6">
      <c r="A698" s="24"/>
      <c r="B698" s="293"/>
      <c r="C698" s="293"/>
      <c r="D698" s="24"/>
      <c r="E698" s="29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spans="1:24" ht="21.75" customHeight="1" x14ac:dyDescent="0.6">
      <c r="A699" s="24"/>
      <c r="B699" s="293"/>
      <c r="C699" s="293"/>
      <c r="D699" s="24"/>
      <c r="E699" s="29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spans="1:24" ht="21.75" customHeight="1" x14ac:dyDescent="0.6">
      <c r="A700" s="24"/>
      <c r="B700" s="293"/>
      <c r="C700" s="293"/>
      <c r="D700" s="24"/>
      <c r="E700" s="29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spans="1:24" ht="21.75" customHeight="1" x14ac:dyDescent="0.6">
      <c r="A701" s="24"/>
      <c r="B701" s="293"/>
      <c r="C701" s="293"/>
      <c r="D701" s="24"/>
      <c r="E701" s="29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spans="1:24" ht="21.75" customHeight="1" x14ac:dyDescent="0.6">
      <c r="A702" s="24"/>
      <c r="B702" s="293"/>
      <c r="C702" s="293"/>
      <c r="D702" s="24"/>
      <c r="E702" s="29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spans="1:24" ht="21.75" customHeight="1" x14ac:dyDescent="0.6">
      <c r="A703" s="24"/>
      <c r="B703" s="293"/>
      <c r="C703" s="293"/>
      <c r="D703" s="24"/>
      <c r="E703" s="29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spans="1:24" ht="21.75" customHeight="1" x14ac:dyDescent="0.6">
      <c r="A704" s="24"/>
      <c r="B704" s="293"/>
      <c r="C704" s="293"/>
      <c r="D704" s="24"/>
      <c r="E704" s="29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spans="1:24" ht="21.75" customHeight="1" x14ac:dyDescent="0.6">
      <c r="A705" s="24"/>
      <c r="B705" s="293"/>
      <c r="C705" s="293"/>
      <c r="D705" s="24"/>
      <c r="E705" s="29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spans="1:24" ht="21.75" customHeight="1" x14ac:dyDescent="0.6">
      <c r="A706" s="24"/>
      <c r="B706" s="293"/>
      <c r="C706" s="293"/>
      <c r="D706" s="24"/>
      <c r="E706" s="29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spans="1:24" ht="21.75" customHeight="1" x14ac:dyDescent="0.6">
      <c r="A707" s="24"/>
      <c r="B707" s="293"/>
      <c r="C707" s="293"/>
      <c r="D707" s="24"/>
      <c r="E707" s="29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spans="1:24" ht="21.75" customHeight="1" x14ac:dyDescent="0.6">
      <c r="A708" s="24"/>
      <c r="B708" s="293"/>
      <c r="C708" s="293"/>
      <c r="D708" s="24"/>
      <c r="E708" s="29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spans="1:24" ht="21.75" customHeight="1" x14ac:dyDescent="0.6">
      <c r="A709" s="24"/>
      <c r="B709" s="293"/>
      <c r="C709" s="293"/>
      <c r="D709" s="24"/>
      <c r="E709" s="29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spans="1:24" ht="21.75" customHeight="1" x14ac:dyDescent="0.6">
      <c r="A710" s="24"/>
      <c r="B710" s="293"/>
      <c r="C710" s="293"/>
      <c r="D710" s="24"/>
      <c r="E710" s="29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spans="1:24" ht="21.75" customHeight="1" x14ac:dyDescent="0.6">
      <c r="A711" s="24"/>
      <c r="B711" s="293"/>
      <c r="C711" s="293"/>
      <c r="D711" s="24"/>
      <c r="E711" s="29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spans="1:24" ht="21.75" customHeight="1" x14ac:dyDescent="0.6">
      <c r="A712" s="24"/>
      <c r="B712" s="293"/>
      <c r="C712" s="293"/>
      <c r="D712" s="24"/>
      <c r="E712" s="29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spans="1:24" ht="21.75" customHeight="1" x14ac:dyDescent="0.6">
      <c r="A713" s="24"/>
      <c r="B713" s="293"/>
      <c r="C713" s="293"/>
      <c r="D713" s="24"/>
      <c r="E713" s="29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spans="1:24" ht="21.75" customHeight="1" x14ac:dyDescent="0.6">
      <c r="A714" s="24"/>
      <c r="B714" s="293"/>
      <c r="C714" s="293"/>
      <c r="D714" s="24"/>
      <c r="E714" s="29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spans="1:24" ht="21.75" customHeight="1" x14ac:dyDescent="0.6">
      <c r="A715" s="24"/>
      <c r="B715" s="293"/>
      <c r="C715" s="293"/>
      <c r="D715" s="24"/>
      <c r="E715" s="29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spans="1:24" ht="21.75" customHeight="1" x14ac:dyDescent="0.6">
      <c r="A716" s="24"/>
      <c r="B716" s="293"/>
      <c r="C716" s="293"/>
      <c r="D716" s="24"/>
      <c r="E716" s="29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spans="1:24" ht="21.75" customHeight="1" x14ac:dyDescent="0.6">
      <c r="A717" s="24"/>
      <c r="B717" s="293"/>
      <c r="C717" s="293"/>
      <c r="D717" s="24"/>
      <c r="E717" s="29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spans="1:24" ht="21.75" customHeight="1" x14ac:dyDescent="0.6">
      <c r="A718" s="24"/>
      <c r="B718" s="293"/>
      <c r="C718" s="293"/>
      <c r="D718" s="24"/>
      <c r="E718" s="29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spans="1:24" ht="21.75" customHeight="1" x14ac:dyDescent="0.6">
      <c r="A719" s="24"/>
      <c r="B719" s="293"/>
      <c r="C719" s="293"/>
      <c r="D719" s="24"/>
      <c r="E719" s="29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spans="1:24" ht="21.75" customHeight="1" x14ac:dyDescent="0.6">
      <c r="A720" s="24"/>
      <c r="B720" s="293"/>
      <c r="C720" s="293"/>
      <c r="D720" s="24"/>
      <c r="E720" s="29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spans="1:24" ht="21.75" customHeight="1" x14ac:dyDescent="0.6">
      <c r="A721" s="24"/>
      <c r="B721" s="293"/>
      <c r="C721" s="293"/>
      <c r="D721" s="24"/>
      <c r="E721" s="29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spans="1:24" ht="21.75" customHeight="1" x14ac:dyDescent="0.6">
      <c r="A722" s="24"/>
      <c r="B722" s="293"/>
      <c r="C722" s="293"/>
      <c r="D722" s="24"/>
      <c r="E722" s="29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spans="1:24" ht="21.75" customHeight="1" x14ac:dyDescent="0.6">
      <c r="A723" s="24"/>
      <c r="B723" s="293"/>
      <c r="C723" s="293"/>
      <c r="D723" s="24"/>
      <c r="E723" s="29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spans="1:24" ht="21.75" customHeight="1" x14ac:dyDescent="0.6">
      <c r="A724" s="24"/>
      <c r="B724" s="293"/>
      <c r="C724" s="293"/>
      <c r="D724" s="24"/>
      <c r="E724" s="29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spans="1:24" ht="21.75" customHeight="1" x14ac:dyDescent="0.6">
      <c r="A725" s="24"/>
      <c r="B725" s="293"/>
      <c r="C725" s="293"/>
      <c r="D725" s="24"/>
      <c r="E725" s="29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spans="1:24" ht="21.75" customHeight="1" x14ac:dyDescent="0.6">
      <c r="A726" s="24"/>
      <c r="B726" s="293"/>
      <c r="C726" s="293"/>
      <c r="D726" s="24"/>
      <c r="E726" s="29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spans="1:24" ht="21.75" customHeight="1" x14ac:dyDescent="0.6">
      <c r="A727" s="24"/>
      <c r="B727" s="293"/>
      <c r="C727" s="293"/>
      <c r="D727" s="24"/>
      <c r="E727" s="29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spans="1:24" ht="21.75" customHeight="1" x14ac:dyDescent="0.6">
      <c r="A728" s="24"/>
      <c r="B728" s="293"/>
      <c r="C728" s="293"/>
      <c r="D728" s="24"/>
      <c r="E728" s="29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spans="1:24" ht="21.75" customHeight="1" x14ac:dyDescent="0.6">
      <c r="A729" s="24"/>
      <c r="B729" s="293"/>
      <c r="C729" s="293"/>
      <c r="D729" s="24"/>
      <c r="E729" s="29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spans="1:24" ht="21.75" customHeight="1" x14ac:dyDescent="0.6">
      <c r="A730" s="24"/>
      <c r="B730" s="293"/>
      <c r="C730" s="293"/>
      <c r="D730" s="24"/>
      <c r="E730" s="29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spans="1:24" ht="21.75" customHeight="1" x14ac:dyDescent="0.6">
      <c r="A731" s="24"/>
      <c r="B731" s="293"/>
      <c r="C731" s="293"/>
      <c r="D731" s="24"/>
      <c r="E731" s="29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spans="1:24" ht="21.75" customHeight="1" x14ac:dyDescent="0.6">
      <c r="A732" s="24"/>
      <c r="B732" s="293"/>
      <c r="C732" s="293"/>
      <c r="D732" s="24"/>
      <c r="E732" s="29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spans="1:24" ht="21.75" customHeight="1" x14ac:dyDescent="0.6">
      <c r="A733" s="24"/>
      <c r="B733" s="293"/>
      <c r="C733" s="293"/>
      <c r="D733" s="24"/>
      <c r="E733" s="29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spans="1:24" ht="21.75" customHeight="1" x14ac:dyDescent="0.6">
      <c r="A734" s="24"/>
      <c r="B734" s="293"/>
      <c r="C734" s="293"/>
      <c r="D734" s="24"/>
      <c r="E734" s="29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spans="1:24" ht="21.75" customHeight="1" x14ac:dyDescent="0.6">
      <c r="A735" s="24"/>
      <c r="B735" s="293"/>
      <c r="C735" s="293"/>
      <c r="D735" s="24"/>
      <c r="E735" s="29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spans="1:24" ht="21.75" customHeight="1" x14ac:dyDescent="0.6">
      <c r="A736" s="24"/>
      <c r="B736" s="293"/>
      <c r="C736" s="293"/>
      <c r="D736" s="24"/>
      <c r="E736" s="29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spans="1:24" ht="21.75" customHeight="1" x14ac:dyDescent="0.6">
      <c r="A737" s="24"/>
      <c r="B737" s="293"/>
      <c r="C737" s="293"/>
      <c r="D737" s="24"/>
      <c r="E737" s="29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spans="1:24" ht="21.75" customHeight="1" x14ac:dyDescent="0.6">
      <c r="A738" s="24"/>
      <c r="B738" s="293"/>
      <c r="C738" s="293"/>
      <c r="D738" s="24"/>
      <c r="E738" s="29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spans="1:24" ht="21.75" customHeight="1" x14ac:dyDescent="0.6">
      <c r="A739" s="24"/>
      <c r="B739" s="293"/>
      <c r="C739" s="293"/>
      <c r="D739" s="24"/>
      <c r="E739" s="29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spans="1:24" ht="21.75" customHeight="1" x14ac:dyDescent="0.6">
      <c r="A740" s="24"/>
      <c r="B740" s="293"/>
      <c r="C740" s="293"/>
      <c r="D740" s="24"/>
      <c r="E740" s="29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spans="1:24" ht="21.75" customHeight="1" x14ac:dyDescent="0.6">
      <c r="A741" s="24"/>
      <c r="B741" s="293"/>
      <c r="C741" s="293"/>
      <c r="D741" s="24"/>
      <c r="E741" s="29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spans="1:24" ht="21.75" customHeight="1" x14ac:dyDescent="0.6">
      <c r="A742" s="24"/>
      <c r="B742" s="293"/>
      <c r="C742" s="293"/>
      <c r="D742" s="24"/>
      <c r="E742" s="29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spans="1:24" ht="21.75" customHeight="1" x14ac:dyDescent="0.6">
      <c r="A743" s="24"/>
      <c r="B743" s="293"/>
      <c r="C743" s="293"/>
      <c r="D743" s="24"/>
      <c r="E743" s="29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spans="1:24" ht="21.75" customHeight="1" x14ac:dyDescent="0.6">
      <c r="A744" s="24"/>
      <c r="B744" s="293"/>
      <c r="C744" s="293"/>
      <c r="D744" s="24"/>
      <c r="E744" s="29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spans="1:24" ht="21.75" customHeight="1" x14ac:dyDescent="0.6">
      <c r="A745" s="24"/>
      <c r="B745" s="293"/>
      <c r="C745" s="293"/>
      <c r="D745" s="24"/>
      <c r="E745" s="29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spans="1:24" ht="21.75" customHeight="1" x14ac:dyDescent="0.6">
      <c r="A746" s="24"/>
      <c r="B746" s="293"/>
      <c r="C746" s="293"/>
      <c r="D746" s="24"/>
      <c r="E746" s="29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spans="1:24" ht="21.75" customHeight="1" x14ac:dyDescent="0.6">
      <c r="A747" s="24"/>
      <c r="B747" s="293"/>
      <c r="C747" s="293"/>
      <c r="D747" s="24"/>
      <c r="E747" s="29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spans="1:24" ht="21.75" customHeight="1" x14ac:dyDescent="0.6">
      <c r="A748" s="24"/>
      <c r="B748" s="293"/>
      <c r="C748" s="293"/>
      <c r="D748" s="24"/>
      <c r="E748" s="29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spans="1:24" ht="21.75" customHeight="1" x14ac:dyDescent="0.6">
      <c r="A749" s="24"/>
      <c r="B749" s="293"/>
      <c r="C749" s="293"/>
      <c r="D749" s="24"/>
      <c r="E749" s="29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spans="1:24" ht="21.75" customHeight="1" x14ac:dyDescent="0.6">
      <c r="A750" s="24"/>
      <c r="B750" s="293"/>
      <c r="C750" s="293"/>
      <c r="D750" s="24"/>
      <c r="E750" s="29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spans="1:24" ht="21.75" customHeight="1" x14ac:dyDescent="0.6">
      <c r="A751" s="24"/>
      <c r="B751" s="293"/>
      <c r="C751" s="293"/>
      <c r="D751" s="24"/>
      <c r="E751" s="29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spans="1:24" ht="21.75" customHeight="1" x14ac:dyDescent="0.6">
      <c r="A752" s="24"/>
      <c r="B752" s="293"/>
      <c r="C752" s="293"/>
      <c r="D752" s="24"/>
      <c r="E752" s="29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spans="1:24" ht="21.75" customHeight="1" x14ac:dyDescent="0.6">
      <c r="A753" s="24"/>
      <c r="B753" s="293"/>
      <c r="C753" s="293"/>
      <c r="D753" s="24"/>
      <c r="E753" s="29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spans="1:24" ht="21.75" customHeight="1" x14ac:dyDescent="0.6">
      <c r="A754" s="24"/>
      <c r="B754" s="293"/>
      <c r="C754" s="293"/>
      <c r="D754" s="24"/>
      <c r="E754" s="29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spans="1:24" ht="21.75" customHeight="1" x14ac:dyDescent="0.6">
      <c r="A755" s="24"/>
      <c r="B755" s="293"/>
      <c r="C755" s="293"/>
      <c r="D755" s="24"/>
      <c r="E755" s="29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spans="1:24" ht="21.75" customHeight="1" x14ac:dyDescent="0.6">
      <c r="A756" s="24"/>
      <c r="B756" s="293"/>
      <c r="C756" s="293"/>
      <c r="D756" s="24"/>
      <c r="E756" s="29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spans="1:24" ht="21.75" customHeight="1" x14ac:dyDescent="0.6">
      <c r="A757" s="24"/>
      <c r="B757" s="293"/>
      <c r="C757" s="293"/>
      <c r="D757" s="24"/>
      <c r="E757" s="29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spans="1:24" ht="21.75" customHeight="1" x14ac:dyDescent="0.6">
      <c r="A758" s="24"/>
      <c r="B758" s="293"/>
      <c r="C758" s="293"/>
      <c r="D758" s="24"/>
      <c r="E758" s="29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spans="1:24" ht="21.75" customHeight="1" x14ac:dyDescent="0.6">
      <c r="A759" s="24"/>
      <c r="B759" s="293"/>
      <c r="C759" s="293"/>
      <c r="D759" s="24"/>
      <c r="E759" s="29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spans="1:24" ht="21.75" customHeight="1" x14ac:dyDescent="0.6">
      <c r="A760" s="24"/>
      <c r="B760" s="293"/>
      <c r="C760" s="293"/>
      <c r="D760" s="24"/>
      <c r="E760" s="29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spans="1:24" ht="21.75" customHeight="1" x14ac:dyDescent="0.6">
      <c r="A761" s="24"/>
      <c r="B761" s="293"/>
      <c r="C761" s="293"/>
      <c r="D761" s="24"/>
      <c r="E761" s="29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spans="1:24" ht="21.75" customHeight="1" x14ac:dyDescent="0.6">
      <c r="A762" s="24"/>
      <c r="B762" s="293"/>
      <c r="C762" s="293"/>
      <c r="D762" s="24"/>
      <c r="E762" s="29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spans="1:24" ht="21.75" customHeight="1" x14ac:dyDescent="0.6">
      <c r="A763" s="24"/>
      <c r="B763" s="293"/>
      <c r="C763" s="293"/>
      <c r="D763" s="24"/>
      <c r="E763" s="29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spans="1:24" ht="21.75" customHeight="1" x14ac:dyDescent="0.6">
      <c r="A764" s="24"/>
      <c r="B764" s="293"/>
      <c r="C764" s="293"/>
      <c r="D764" s="24"/>
      <c r="E764" s="29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spans="1:24" ht="21.75" customHeight="1" x14ac:dyDescent="0.6">
      <c r="A765" s="24"/>
      <c r="B765" s="293"/>
      <c r="C765" s="293"/>
      <c r="D765" s="24"/>
      <c r="E765" s="29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spans="1:24" ht="21.75" customHeight="1" x14ac:dyDescent="0.6">
      <c r="A766" s="24"/>
      <c r="B766" s="293"/>
      <c r="C766" s="293"/>
      <c r="D766" s="24"/>
      <c r="E766" s="29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spans="1:24" ht="21.75" customHeight="1" x14ac:dyDescent="0.6">
      <c r="A767" s="24"/>
      <c r="B767" s="293"/>
      <c r="C767" s="293"/>
      <c r="D767" s="24"/>
      <c r="E767" s="29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spans="1:24" ht="21.75" customHeight="1" x14ac:dyDescent="0.6">
      <c r="A768" s="24"/>
      <c r="B768" s="293"/>
      <c r="C768" s="293"/>
      <c r="D768" s="24"/>
      <c r="E768" s="29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spans="1:24" ht="21.75" customHeight="1" x14ac:dyDescent="0.6">
      <c r="A769" s="24"/>
      <c r="B769" s="293"/>
      <c r="C769" s="293"/>
      <c r="D769" s="24"/>
      <c r="E769" s="29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spans="1:24" ht="21.75" customHeight="1" x14ac:dyDescent="0.6">
      <c r="A770" s="24"/>
      <c r="B770" s="293"/>
      <c r="C770" s="293"/>
      <c r="D770" s="24"/>
      <c r="E770" s="29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spans="1:24" ht="21.75" customHeight="1" x14ac:dyDescent="0.6">
      <c r="A771" s="24"/>
      <c r="B771" s="293"/>
      <c r="C771" s="293"/>
      <c r="D771" s="24"/>
      <c r="E771" s="29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spans="1:24" ht="21.75" customHeight="1" x14ac:dyDescent="0.6">
      <c r="A772" s="24"/>
      <c r="B772" s="293"/>
      <c r="C772" s="293"/>
      <c r="D772" s="24"/>
      <c r="E772" s="29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spans="1:24" ht="21.75" customHeight="1" x14ac:dyDescent="0.6">
      <c r="A773" s="24"/>
      <c r="B773" s="293"/>
      <c r="C773" s="293"/>
      <c r="D773" s="24"/>
      <c r="E773" s="29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spans="1:24" ht="21.75" customHeight="1" x14ac:dyDescent="0.6">
      <c r="A774" s="24"/>
      <c r="B774" s="293"/>
      <c r="C774" s="293"/>
      <c r="D774" s="24"/>
      <c r="E774" s="29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spans="1:24" ht="21.75" customHeight="1" x14ac:dyDescent="0.6">
      <c r="A775" s="24"/>
      <c r="B775" s="293"/>
      <c r="C775" s="293"/>
      <c r="D775" s="24"/>
      <c r="E775" s="29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spans="1:24" ht="21.75" customHeight="1" x14ac:dyDescent="0.6">
      <c r="A776" s="24"/>
      <c r="B776" s="293"/>
      <c r="C776" s="293"/>
      <c r="D776" s="24"/>
      <c r="E776" s="29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spans="1:24" ht="21.75" customHeight="1" x14ac:dyDescent="0.6">
      <c r="A777" s="24"/>
      <c r="B777" s="293"/>
      <c r="C777" s="293"/>
      <c r="D777" s="24"/>
      <c r="E777" s="29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spans="1:24" ht="21.75" customHeight="1" x14ac:dyDescent="0.6">
      <c r="A778" s="24"/>
      <c r="B778" s="293"/>
      <c r="C778" s="293"/>
      <c r="D778" s="24"/>
      <c r="E778" s="29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spans="1:24" ht="21.75" customHeight="1" x14ac:dyDescent="0.6">
      <c r="A779" s="24"/>
      <c r="B779" s="293"/>
      <c r="C779" s="293"/>
      <c r="D779" s="24"/>
      <c r="E779" s="29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spans="1:24" ht="21.75" customHeight="1" x14ac:dyDescent="0.6">
      <c r="A780" s="24"/>
      <c r="B780" s="293"/>
      <c r="C780" s="293"/>
      <c r="D780" s="24"/>
      <c r="E780" s="29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spans="1:24" ht="21.75" customHeight="1" x14ac:dyDescent="0.6">
      <c r="A781" s="24"/>
      <c r="B781" s="293"/>
      <c r="C781" s="293"/>
      <c r="D781" s="24"/>
      <c r="E781" s="29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spans="1:24" ht="21.75" customHeight="1" x14ac:dyDescent="0.6">
      <c r="A782" s="24"/>
      <c r="B782" s="293"/>
      <c r="C782" s="293"/>
      <c r="D782" s="24"/>
      <c r="E782" s="29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spans="1:24" ht="21.75" customHeight="1" x14ac:dyDescent="0.6">
      <c r="A783" s="24"/>
      <c r="B783" s="293"/>
      <c r="C783" s="293"/>
      <c r="D783" s="24"/>
      <c r="E783" s="29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spans="1:24" ht="21.75" customHeight="1" x14ac:dyDescent="0.6">
      <c r="A784" s="24"/>
      <c r="B784" s="293"/>
      <c r="C784" s="293"/>
      <c r="D784" s="24"/>
      <c r="E784" s="29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spans="1:24" ht="21.75" customHeight="1" x14ac:dyDescent="0.6">
      <c r="A785" s="24"/>
      <c r="B785" s="293"/>
      <c r="C785" s="293"/>
      <c r="D785" s="24"/>
      <c r="E785" s="29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spans="1:24" ht="21.75" customHeight="1" x14ac:dyDescent="0.6">
      <c r="A786" s="24"/>
      <c r="B786" s="293"/>
      <c r="C786" s="293"/>
      <c r="D786" s="24"/>
      <c r="E786" s="29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spans="1:24" ht="21.75" customHeight="1" x14ac:dyDescent="0.6">
      <c r="A787" s="24"/>
      <c r="B787" s="293"/>
      <c r="C787" s="293"/>
      <c r="D787" s="24"/>
      <c r="E787" s="29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spans="1:24" ht="21.75" customHeight="1" x14ac:dyDescent="0.6">
      <c r="A788" s="24"/>
      <c r="B788" s="293"/>
      <c r="C788" s="293"/>
      <c r="D788" s="24"/>
      <c r="E788" s="29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spans="1:24" ht="21.75" customHeight="1" x14ac:dyDescent="0.6">
      <c r="A789" s="24"/>
      <c r="B789" s="293"/>
      <c r="C789" s="293"/>
      <c r="D789" s="24"/>
      <c r="E789" s="29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spans="1:24" ht="21.75" customHeight="1" x14ac:dyDescent="0.6">
      <c r="A790" s="24"/>
      <c r="B790" s="293"/>
      <c r="C790" s="293"/>
      <c r="D790" s="24"/>
      <c r="E790" s="29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spans="1:24" ht="21.75" customHeight="1" x14ac:dyDescent="0.6">
      <c r="A791" s="24"/>
      <c r="B791" s="293"/>
      <c r="C791" s="293"/>
      <c r="D791" s="24"/>
      <c r="E791" s="29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spans="1:24" ht="21.75" customHeight="1" x14ac:dyDescent="0.6">
      <c r="A792" s="24"/>
      <c r="B792" s="293"/>
      <c r="C792" s="293"/>
      <c r="D792" s="24"/>
      <c r="E792" s="29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spans="1:24" ht="21.75" customHeight="1" x14ac:dyDescent="0.6">
      <c r="A793" s="24"/>
      <c r="B793" s="293"/>
      <c r="C793" s="293"/>
      <c r="D793" s="24"/>
      <c r="E793" s="29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spans="1:24" ht="21.75" customHeight="1" x14ac:dyDescent="0.6">
      <c r="A794" s="24"/>
      <c r="B794" s="293"/>
      <c r="C794" s="293"/>
      <c r="D794" s="24"/>
      <c r="E794" s="29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spans="1:24" ht="21.75" customHeight="1" x14ac:dyDescent="0.6">
      <c r="A795" s="24"/>
      <c r="B795" s="293"/>
      <c r="C795" s="293"/>
      <c r="D795" s="24"/>
      <c r="E795" s="29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spans="1:24" ht="21.75" customHeight="1" x14ac:dyDescent="0.6">
      <c r="A796" s="24"/>
      <c r="B796" s="293"/>
      <c r="C796" s="293"/>
      <c r="D796" s="24"/>
      <c r="E796" s="29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spans="1:24" ht="21.75" customHeight="1" x14ac:dyDescent="0.6">
      <c r="A797" s="24"/>
      <c r="B797" s="293"/>
      <c r="C797" s="293"/>
      <c r="D797" s="24"/>
      <c r="E797" s="29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spans="1:24" ht="21.75" customHeight="1" x14ac:dyDescent="0.6">
      <c r="A798" s="24"/>
      <c r="B798" s="293"/>
      <c r="C798" s="293"/>
      <c r="D798" s="24"/>
      <c r="E798" s="29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spans="1:24" ht="21.75" customHeight="1" x14ac:dyDescent="0.6">
      <c r="A799" s="24"/>
      <c r="B799" s="293"/>
      <c r="C799" s="293"/>
      <c r="D799" s="24"/>
      <c r="E799" s="29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spans="1:24" ht="21.75" customHeight="1" x14ac:dyDescent="0.6">
      <c r="A800" s="24"/>
      <c r="B800" s="293"/>
      <c r="C800" s="293"/>
      <c r="D800" s="24"/>
      <c r="E800" s="29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spans="1:24" ht="21.75" customHeight="1" x14ac:dyDescent="0.6">
      <c r="A801" s="24"/>
      <c r="B801" s="293"/>
      <c r="C801" s="293"/>
      <c r="D801" s="24"/>
      <c r="E801" s="29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spans="1:24" ht="21.75" customHeight="1" x14ac:dyDescent="0.6">
      <c r="A802" s="24"/>
      <c r="B802" s="293"/>
      <c r="C802" s="293"/>
      <c r="D802" s="24"/>
      <c r="E802" s="29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spans="1:24" ht="21.75" customHeight="1" x14ac:dyDescent="0.6">
      <c r="A803" s="24"/>
      <c r="B803" s="293"/>
      <c r="C803" s="293"/>
      <c r="D803" s="24"/>
      <c r="E803" s="29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spans="1:24" ht="21.75" customHeight="1" x14ac:dyDescent="0.6">
      <c r="A804" s="24"/>
      <c r="B804" s="293"/>
      <c r="C804" s="293"/>
      <c r="D804" s="24"/>
      <c r="E804" s="29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spans="1:24" ht="21.75" customHeight="1" x14ac:dyDescent="0.6">
      <c r="A805" s="24"/>
      <c r="B805" s="293"/>
      <c r="C805" s="293"/>
      <c r="D805" s="24"/>
      <c r="E805" s="29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spans="1:24" ht="21.75" customHeight="1" x14ac:dyDescent="0.6">
      <c r="A806" s="24"/>
      <c r="B806" s="293"/>
      <c r="C806" s="293"/>
      <c r="D806" s="24"/>
      <c r="E806" s="29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spans="1:24" ht="21.75" customHeight="1" x14ac:dyDescent="0.6">
      <c r="A807" s="24"/>
      <c r="B807" s="293"/>
      <c r="C807" s="293"/>
      <c r="D807" s="24"/>
      <c r="E807" s="29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spans="1:24" ht="21.75" customHeight="1" x14ac:dyDescent="0.6">
      <c r="A808" s="24"/>
      <c r="B808" s="293"/>
      <c r="C808" s="293"/>
      <c r="D808" s="24"/>
      <c r="E808" s="29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spans="1:24" ht="21.75" customHeight="1" x14ac:dyDescent="0.6">
      <c r="A809" s="24"/>
      <c r="B809" s="293"/>
      <c r="C809" s="293"/>
      <c r="D809" s="24"/>
      <c r="E809" s="29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spans="1:24" ht="21.75" customHeight="1" x14ac:dyDescent="0.6">
      <c r="A810" s="24"/>
      <c r="B810" s="293"/>
      <c r="C810" s="293"/>
      <c r="D810" s="24"/>
      <c r="E810" s="29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spans="1:24" ht="21.75" customHeight="1" x14ac:dyDescent="0.6">
      <c r="A811" s="24"/>
      <c r="B811" s="293"/>
      <c r="C811" s="293"/>
      <c r="D811" s="24"/>
      <c r="E811" s="29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spans="1:24" ht="21.75" customHeight="1" x14ac:dyDescent="0.6">
      <c r="A812" s="24"/>
      <c r="B812" s="293"/>
      <c r="C812" s="293"/>
      <c r="D812" s="24"/>
      <c r="E812" s="29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spans="1:24" ht="21.75" customHeight="1" x14ac:dyDescent="0.6">
      <c r="A813" s="24"/>
      <c r="B813" s="293"/>
      <c r="C813" s="293"/>
      <c r="D813" s="24"/>
      <c r="E813" s="29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spans="1:24" ht="21.75" customHeight="1" x14ac:dyDescent="0.6">
      <c r="A814" s="24"/>
      <c r="B814" s="293"/>
      <c r="C814" s="293"/>
      <c r="D814" s="24"/>
      <c r="E814" s="29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spans="1:24" ht="21.75" customHeight="1" x14ac:dyDescent="0.6">
      <c r="A815" s="24"/>
      <c r="B815" s="293"/>
      <c r="C815" s="293"/>
      <c r="D815" s="24"/>
      <c r="E815" s="29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spans="1:24" ht="21.75" customHeight="1" x14ac:dyDescent="0.6">
      <c r="A816" s="24"/>
      <c r="B816" s="293"/>
      <c r="C816" s="293"/>
      <c r="D816" s="24"/>
      <c r="E816" s="29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spans="1:24" ht="21.75" customHeight="1" x14ac:dyDescent="0.6">
      <c r="A817" s="24"/>
      <c r="B817" s="293"/>
      <c r="C817" s="293"/>
      <c r="D817" s="24"/>
      <c r="E817" s="29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spans="1:24" ht="21.75" customHeight="1" x14ac:dyDescent="0.6">
      <c r="A818" s="24"/>
      <c r="B818" s="293"/>
      <c r="C818" s="293"/>
      <c r="D818" s="24"/>
      <c r="E818" s="29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spans="1:24" ht="21.75" customHeight="1" x14ac:dyDescent="0.6">
      <c r="A819" s="24"/>
      <c r="B819" s="293"/>
      <c r="C819" s="293"/>
      <c r="D819" s="24"/>
      <c r="E819" s="29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spans="1:24" ht="21.75" customHeight="1" x14ac:dyDescent="0.6">
      <c r="A820" s="24"/>
      <c r="B820" s="293"/>
      <c r="C820" s="293"/>
      <c r="D820" s="24"/>
      <c r="E820" s="29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spans="1:24" ht="21.75" customHeight="1" x14ac:dyDescent="0.6">
      <c r="A821" s="24"/>
      <c r="B821" s="293"/>
      <c r="C821" s="293"/>
      <c r="D821" s="24"/>
      <c r="E821" s="29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spans="1:24" ht="21.75" customHeight="1" x14ac:dyDescent="0.6">
      <c r="A822" s="24"/>
      <c r="B822" s="293"/>
      <c r="C822" s="293"/>
      <c r="D822" s="24"/>
      <c r="E822" s="29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spans="1:24" ht="21.75" customHeight="1" x14ac:dyDescent="0.6">
      <c r="A823" s="24"/>
      <c r="B823" s="293"/>
      <c r="C823" s="293"/>
      <c r="D823" s="24"/>
      <c r="E823" s="29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spans="1:24" ht="21.75" customHeight="1" x14ac:dyDescent="0.6">
      <c r="A824" s="24"/>
      <c r="B824" s="293"/>
      <c r="C824" s="293"/>
      <c r="D824" s="24"/>
      <c r="E824" s="29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spans="1:24" ht="21.75" customHeight="1" x14ac:dyDescent="0.6">
      <c r="A825" s="24"/>
      <c r="B825" s="293"/>
      <c r="C825" s="293"/>
      <c r="D825" s="24"/>
      <c r="E825" s="29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spans="1:24" ht="21.75" customHeight="1" x14ac:dyDescent="0.6">
      <c r="A826" s="24"/>
      <c r="B826" s="293"/>
      <c r="C826" s="293"/>
      <c r="D826" s="24"/>
      <c r="E826" s="29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spans="1:24" ht="21.75" customHeight="1" x14ac:dyDescent="0.6">
      <c r="A827" s="24"/>
      <c r="B827" s="293"/>
      <c r="C827" s="293"/>
      <c r="D827" s="24"/>
      <c r="E827" s="29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spans="1:24" ht="21.75" customHeight="1" x14ac:dyDescent="0.6">
      <c r="A828" s="24"/>
      <c r="B828" s="293"/>
      <c r="C828" s="293"/>
      <c r="D828" s="24"/>
      <c r="E828" s="29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spans="1:24" ht="21.75" customHeight="1" x14ac:dyDescent="0.6">
      <c r="A829" s="24"/>
      <c r="B829" s="293"/>
      <c r="C829" s="293"/>
      <c r="D829" s="24"/>
      <c r="E829" s="29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spans="1:24" ht="21.75" customHeight="1" x14ac:dyDescent="0.6">
      <c r="A830" s="24"/>
      <c r="B830" s="293"/>
      <c r="C830" s="293"/>
      <c r="D830" s="24"/>
      <c r="E830" s="29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spans="1:24" ht="21.75" customHeight="1" x14ac:dyDescent="0.6">
      <c r="A831" s="24"/>
      <c r="B831" s="293"/>
      <c r="C831" s="293"/>
      <c r="D831" s="24"/>
      <c r="E831" s="29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spans="1:24" ht="21.75" customHeight="1" x14ac:dyDescent="0.6">
      <c r="A832" s="24"/>
      <c r="B832" s="293"/>
      <c r="C832" s="293"/>
      <c r="D832" s="24"/>
      <c r="E832" s="29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spans="1:24" ht="21.75" customHeight="1" x14ac:dyDescent="0.6">
      <c r="A833" s="24"/>
      <c r="B833" s="293"/>
      <c r="C833" s="293"/>
      <c r="D833" s="24"/>
      <c r="E833" s="29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spans="1:24" ht="21.75" customHeight="1" x14ac:dyDescent="0.6">
      <c r="A834" s="24"/>
      <c r="B834" s="293"/>
      <c r="C834" s="293"/>
      <c r="D834" s="24"/>
      <c r="E834" s="29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spans="1:24" ht="21.75" customHeight="1" x14ac:dyDescent="0.6">
      <c r="A835" s="24"/>
      <c r="B835" s="293"/>
      <c r="C835" s="293"/>
      <c r="D835" s="24"/>
      <c r="E835" s="29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spans="1:24" ht="21.75" customHeight="1" x14ac:dyDescent="0.6">
      <c r="A836" s="24"/>
      <c r="B836" s="293"/>
      <c r="C836" s="293"/>
      <c r="D836" s="24"/>
      <c r="E836" s="29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spans="1:24" ht="21.75" customHeight="1" x14ac:dyDescent="0.6">
      <c r="A837" s="24"/>
      <c r="B837" s="293"/>
      <c r="C837" s="293"/>
      <c r="D837" s="24"/>
      <c r="E837" s="29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spans="1:24" ht="21.75" customHeight="1" x14ac:dyDescent="0.6">
      <c r="A838" s="24"/>
      <c r="B838" s="293"/>
      <c r="C838" s="293"/>
      <c r="D838" s="24"/>
      <c r="E838" s="29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spans="1:24" ht="21.75" customHeight="1" x14ac:dyDescent="0.6">
      <c r="A839" s="24"/>
      <c r="B839" s="293"/>
      <c r="C839" s="293"/>
      <c r="D839" s="24"/>
      <c r="E839" s="29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spans="1:24" ht="21.75" customHeight="1" x14ac:dyDescent="0.6">
      <c r="A840" s="24"/>
      <c r="B840" s="293"/>
      <c r="C840" s="293"/>
      <c r="D840" s="24"/>
      <c r="E840" s="29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spans="1:24" ht="21.75" customHeight="1" x14ac:dyDescent="0.6">
      <c r="A841" s="24"/>
      <c r="B841" s="293"/>
      <c r="C841" s="293"/>
      <c r="D841" s="24"/>
      <c r="E841" s="29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spans="1:24" ht="21.75" customHeight="1" x14ac:dyDescent="0.6">
      <c r="A842" s="24"/>
      <c r="B842" s="293"/>
      <c r="C842" s="293"/>
      <c r="D842" s="24"/>
      <c r="E842" s="29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spans="1:24" ht="21.75" customHeight="1" x14ac:dyDescent="0.6">
      <c r="A843" s="24"/>
      <c r="B843" s="293"/>
      <c r="C843" s="293"/>
      <c r="D843" s="24"/>
      <c r="E843" s="29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spans="1:24" ht="21.75" customHeight="1" x14ac:dyDescent="0.6">
      <c r="A844" s="24"/>
      <c r="B844" s="293"/>
      <c r="C844" s="293"/>
      <c r="D844" s="24"/>
      <c r="E844" s="29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spans="1:24" ht="21.75" customHeight="1" x14ac:dyDescent="0.6">
      <c r="A845" s="24"/>
      <c r="B845" s="293"/>
      <c r="C845" s="293"/>
      <c r="D845" s="24"/>
      <c r="E845" s="29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spans="1:24" ht="21.75" customHeight="1" x14ac:dyDescent="0.6">
      <c r="A846" s="24"/>
      <c r="B846" s="293"/>
      <c r="C846" s="293"/>
      <c r="D846" s="24"/>
      <c r="E846" s="29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spans="1:24" ht="21.75" customHeight="1" x14ac:dyDescent="0.6">
      <c r="A847" s="24"/>
      <c r="B847" s="293"/>
      <c r="C847" s="293"/>
      <c r="D847" s="24"/>
      <c r="E847" s="29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spans="1:24" ht="21.75" customHeight="1" x14ac:dyDescent="0.6">
      <c r="A848" s="24"/>
      <c r="B848" s="293"/>
      <c r="C848" s="293"/>
      <c r="D848" s="24"/>
      <c r="E848" s="29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spans="1:24" ht="21.75" customHeight="1" x14ac:dyDescent="0.6">
      <c r="A849" s="24"/>
      <c r="B849" s="293"/>
      <c r="C849" s="293"/>
      <c r="D849" s="24"/>
      <c r="E849" s="29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spans="1:24" ht="21.75" customHeight="1" x14ac:dyDescent="0.6">
      <c r="A850" s="24"/>
      <c r="B850" s="293"/>
      <c r="C850" s="293"/>
      <c r="D850" s="24"/>
      <c r="E850" s="29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spans="1:24" ht="21.75" customHeight="1" x14ac:dyDescent="0.6">
      <c r="A851" s="24"/>
      <c r="B851" s="293"/>
      <c r="C851" s="293"/>
      <c r="D851" s="24"/>
      <c r="E851" s="29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spans="1:24" ht="21.75" customHeight="1" x14ac:dyDescent="0.6">
      <c r="A852" s="24"/>
      <c r="B852" s="293"/>
      <c r="C852" s="293"/>
      <c r="D852" s="24"/>
      <c r="E852" s="29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spans="1:24" ht="21.75" customHeight="1" x14ac:dyDescent="0.6">
      <c r="A853" s="24"/>
      <c r="B853" s="293"/>
      <c r="C853" s="293"/>
      <c r="D853" s="24"/>
      <c r="E853" s="29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spans="1:24" ht="21.75" customHeight="1" x14ac:dyDescent="0.6">
      <c r="A854" s="24"/>
      <c r="B854" s="293"/>
      <c r="C854" s="293"/>
      <c r="D854" s="24"/>
      <c r="E854" s="29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spans="1:24" ht="21.75" customHeight="1" x14ac:dyDescent="0.6">
      <c r="A855" s="24"/>
      <c r="B855" s="293"/>
      <c r="C855" s="293"/>
      <c r="D855" s="24"/>
      <c r="E855" s="29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spans="1:24" ht="21.75" customHeight="1" x14ac:dyDescent="0.6">
      <c r="A856" s="24"/>
      <c r="B856" s="293"/>
      <c r="C856" s="293"/>
      <c r="D856" s="24"/>
      <c r="E856" s="29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spans="1:24" ht="21.75" customHeight="1" x14ac:dyDescent="0.6">
      <c r="A857" s="24"/>
      <c r="B857" s="293"/>
      <c r="C857" s="293"/>
      <c r="D857" s="24"/>
      <c r="E857" s="29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spans="1:24" ht="21.75" customHeight="1" x14ac:dyDescent="0.6">
      <c r="A858" s="24"/>
      <c r="B858" s="293"/>
      <c r="C858" s="293"/>
      <c r="D858" s="24"/>
      <c r="E858" s="29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spans="1:24" ht="21.75" customHeight="1" x14ac:dyDescent="0.6">
      <c r="A859" s="24"/>
      <c r="B859" s="293"/>
      <c r="C859" s="293"/>
      <c r="D859" s="24"/>
      <c r="E859" s="29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spans="1:24" ht="21.75" customHeight="1" x14ac:dyDescent="0.6">
      <c r="A860" s="24"/>
      <c r="B860" s="293"/>
      <c r="C860" s="293"/>
      <c r="D860" s="24"/>
      <c r="E860" s="29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spans="1:24" ht="21.75" customHeight="1" x14ac:dyDescent="0.6">
      <c r="A861" s="24"/>
      <c r="B861" s="293"/>
      <c r="C861" s="293"/>
      <c r="D861" s="24"/>
      <c r="E861" s="29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spans="1:24" ht="21.75" customHeight="1" x14ac:dyDescent="0.6">
      <c r="A862" s="24"/>
      <c r="B862" s="293"/>
      <c r="C862" s="293"/>
      <c r="D862" s="24"/>
      <c r="E862" s="29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spans="1:24" ht="21.75" customHeight="1" x14ac:dyDescent="0.6">
      <c r="A863" s="24"/>
      <c r="B863" s="293"/>
      <c r="C863" s="293"/>
      <c r="D863" s="24"/>
      <c r="E863" s="29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spans="1:24" ht="21.75" customHeight="1" x14ac:dyDescent="0.6">
      <c r="A864" s="24"/>
      <c r="B864" s="293"/>
      <c r="C864" s="293"/>
      <c r="D864" s="24"/>
      <c r="E864" s="29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spans="1:24" ht="21.75" customHeight="1" x14ac:dyDescent="0.6">
      <c r="A865" s="24"/>
      <c r="B865" s="293"/>
      <c r="C865" s="293"/>
      <c r="D865" s="24"/>
      <c r="E865" s="29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spans="1:24" ht="21.75" customHeight="1" x14ac:dyDescent="0.6">
      <c r="A866" s="24"/>
      <c r="B866" s="293"/>
      <c r="C866" s="293"/>
      <c r="D866" s="24"/>
      <c r="E866" s="29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spans="1:24" ht="21.75" customHeight="1" x14ac:dyDescent="0.6">
      <c r="A867" s="24"/>
      <c r="B867" s="293"/>
      <c r="C867" s="293"/>
      <c r="D867" s="24"/>
      <c r="E867" s="29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spans="1:24" ht="21.75" customHeight="1" x14ac:dyDescent="0.6">
      <c r="A868" s="24"/>
      <c r="B868" s="293"/>
      <c r="C868" s="293"/>
      <c r="D868" s="24"/>
      <c r="E868" s="29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spans="1:24" ht="21.75" customHeight="1" x14ac:dyDescent="0.6">
      <c r="A869" s="24"/>
      <c r="B869" s="293"/>
      <c r="C869" s="293"/>
      <c r="D869" s="24"/>
      <c r="E869" s="29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spans="1:24" ht="21.75" customHeight="1" x14ac:dyDescent="0.6">
      <c r="A870" s="24"/>
      <c r="B870" s="293"/>
      <c r="C870" s="293"/>
      <c r="D870" s="24"/>
      <c r="E870" s="29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spans="1:24" ht="21.75" customHeight="1" x14ac:dyDescent="0.6">
      <c r="A871" s="24"/>
      <c r="B871" s="293"/>
      <c r="C871" s="293"/>
      <c r="D871" s="24"/>
      <c r="E871" s="29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spans="1:24" ht="21.75" customHeight="1" x14ac:dyDescent="0.6">
      <c r="A872" s="24"/>
      <c r="B872" s="293"/>
      <c r="C872" s="293"/>
      <c r="D872" s="24"/>
      <c r="E872" s="29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spans="1:24" ht="21.75" customHeight="1" x14ac:dyDescent="0.6">
      <c r="A873" s="24"/>
      <c r="B873" s="293"/>
      <c r="C873" s="293"/>
      <c r="D873" s="24"/>
      <c r="E873" s="29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spans="1:24" ht="21.75" customHeight="1" x14ac:dyDescent="0.6">
      <c r="A874" s="24"/>
      <c r="B874" s="293"/>
      <c r="C874" s="293"/>
      <c r="D874" s="24"/>
      <c r="E874" s="29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spans="1:24" ht="21.75" customHeight="1" x14ac:dyDescent="0.6">
      <c r="A875" s="24"/>
      <c r="B875" s="293"/>
      <c r="C875" s="293"/>
      <c r="D875" s="24"/>
      <c r="E875" s="29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spans="1:24" ht="21.75" customHeight="1" x14ac:dyDescent="0.6">
      <c r="A876" s="24"/>
      <c r="B876" s="293"/>
      <c r="C876" s="293"/>
      <c r="D876" s="24"/>
      <c r="E876" s="29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spans="1:24" ht="21.75" customHeight="1" x14ac:dyDescent="0.6">
      <c r="A877" s="24"/>
      <c r="B877" s="293"/>
      <c r="C877" s="293"/>
      <c r="D877" s="24"/>
      <c r="E877" s="29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spans="1:24" ht="21.75" customHeight="1" x14ac:dyDescent="0.6">
      <c r="A878" s="24"/>
      <c r="B878" s="293"/>
      <c r="C878" s="293"/>
      <c r="D878" s="24"/>
      <c r="E878" s="29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spans="1:24" ht="21.75" customHeight="1" x14ac:dyDescent="0.6">
      <c r="A879" s="24"/>
      <c r="B879" s="293"/>
      <c r="C879" s="293"/>
      <c r="D879" s="24"/>
      <c r="E879" s="29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spans="1:24" ht="21.75" customHeight="1" x14ac:dyDescent="0.6">
      <c r="A880" s="24"/>
      <c r="B880" s="293"/>
      <c r="C880" s="293"/>
      <c r="D880" s="24"/>
      <c r="E880" s="29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spans="1:24" ht="21.75" customHeight="1" x14ac:dyDescent="0.6">
      <c r="A881" s="24"/>
      <c r="B881" s="293"/>
      <c r="C881" s="293"/>
      <c r="D881" s="24"/>
      <c r="E881" s="29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spans="1:24" ht="21.75" customHeight="1" x14ac:dyDescent="0.6">
      <c r="A882" s="24"/>
      <c r="B882" s="293"/>
      <c r="C882" s="293"/>
      <c r="D882" s="24"/>
      <c r="E882" s="29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spans="1:24" ht="21.75" customHeight="1" x14ac:dyDescent="0.6">
      <c r="A883" s="24"/>
      <c r="B883" s="293"/>
      <c r="C883" s="293"/>
      <c r="D883" s="24"/>
      <c r="E883" s="29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spans="1:24" ht="21.75" customHeight="1" x14ac:dyDescent="0.6">
      <c r="A884" s="24"/>
      <c r="B884" s="293"/>
      <c r="C884" s="293"/>
      <c r="D884" s="24"/>
      <c r="E884" s="29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spans="1:24" ht="21.75" customHeight="1" x14ac:dyDescent="0.6">
      <c r="A885" s="24"/>
      <c r="B885" s="293"/>
      <c r="C885" s="293"/>
      <c r="D885" s="24"/>
      <c r="E885" s="29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spans="1:24" ht="21.75" customHeight="1" x14ac:dyDescent="0.6">
      <c r="A886" s="24"/>
      <c r="B886" s="293"/>
      <c r="C886" s="293"/>
      <c r="D886" s="24"/>
      <c r="E886" s="29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spans="1:24" ht="21.75" customHeight="1" x14ac:dyDescent="0.6">
      <c r="A887" s="24"/>
      <c r="B887" s="293"/>
      <c r="C887" s="293"/>
      <c r="D887" s="24"/>
      <c r="E887" s="29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spans="1:24" ht="21.75" customHeight="1" x14ac:dyDescent="0.6">
      <c r="A888" s="24"/>
      <c r="B888" s="293"/>
      <c r="C888" s="293"/>
      <c r="D888" s="24"/>
      <c r="E888" s="29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spans="1:24" ht="21.75" customHeight="1" x14ac:dyDescent="0.6">
      <c r="A889" s="24"/>
      <c r="B889" s="293"/>
      <c r="C889" s="293"/>
      <c r="D889" s="24"/>
      <c r="E889" s="29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spans="1:24" ht="21.75" customHeight="1" x14ac:dyDescent="0.6">
      <c r="A890" s="24"/>
      <c r="B890" s="293"/>
      <c r="C890" s="293"/>
      <c r="D890" s="24"/>
      <c r="E890" s="29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spans="1:24" ht="21.75" customHeight="1" x14ac:dyDescent="0.6">
      <c r="A891" s="24"/>
      <c r="B891" s="293"/>
      <c r="C891" s="293"/>
      <c r="D891" s="24"/>
      <c r="E891" s="29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spans="1:24" ht="21.75" customHeight="1" x14ac:dyDescent="0.6">
      <c r="A892" s="24"/>
      <c r="B892" s="293"/>
      <c r="C892" s="293"/>
      <c r="D892" s="24"/>
      <c r="E892" s="29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spans="1:24" ht="21.75" customHeight="1" x14ac:dyDescent="0.6">
      <c r="A893" s="24"/>
      <c r="B893" s="293"/>
      <c r="C893" s="293"/>
      <c r="D893" s="24"/>
      <c r="E893" s="29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spans="1:24" ht="21.75" customHeight="1" x14ac:dyDescent="0.6">
      <c r="A894" s="24"/>
      <c r="B894" s="293"/>
      <c r="C894" s="293"/>
      <c r="D894" s="24"/>
      <c r="E894" s="29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spans="1:24" ht="21.75" customHeight="1" x14ac:dyDescent="0.6">
      <c r="A895" s="24"/>
      <c r="B895" s="293"/>
      <c r="C895" s="293"/>
      <c r="D895" s="24"/>
      <c r="E895" s="29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spans="1:24" ht="21.75" customHeight="1" x14ac:dyDescent="0.6">
      <c r="A896" s="24"/>
      <c r="B896" s="293"/>
      <c r="C896" s="293"/>
      <c r="D896" s="24"/>
      <c r="E896" s="29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spans="1:24" ht="21.75" customHeight="1" x14ac:dyDescent="0.6">
      <c r="A897" s="24"/>
      <c r="B897" s="293"/>
      <c r="C897" s="293"/>
      <c r="D897" s="24"/>
      <c r="E897" s="29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spans="1:24" ht="21.75" customHeight="1" x14ac:dyDescent="0.6">
      <c r="A898" s="24"/>
      <c r="B898" s="293"/>
      <c r="C898" s="293"/>
      <c r="D898" s="24"/>
      <c r="E898" s="29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spans="1:24" ht="21.75" customHeight="1" x14ac:dyDescent="0.6">
      <c r="A899" s="24"/>
      <c r="B899" s="293"/>
      <c r="C899" s="293"/>
      <c r="D899" s="24"/>
      <c r="E899" s="29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spans="1:24" ht="21.75" customHeight="1" x14ac:dyDescent="0.6">
      <c r="A900" s="24"/>
      <c r="B900" s="293"/>
      <c r="C900" s="293"/>
      <c r="D900" s="24"/>
      <c r="E900" s="29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spans="1:24" ht="21.75" customHeight="1" x14ac:dyDescent="0.6">
      <c r="A901" s="24"/>
      <c r="B901" s="293"/>
      <c r="C901" s="293"/>
      <c r="D901" s="24"/>
      <c r="E901" s="29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spans="1:24" ht="21.75" customHeight="1" x14ac:dyDescent="0.6">
      <c r="A902" s="24"/>
      <c r="B902" s="293"/>
      <c r="C902" s="293"/>
      <c r="D902" s="24"/>
      <c r="E902" s="29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spans="1:24" ht="21.75" customHeight="1" x14ac:dyDescent="0.6">
      <c r="A903" s="24"/>
      <c r="B903" s="293"/>
      <c r="C903" s="293"/>
      <c r="D903" s="24"/>
      <c r="E903" s="29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spans="1:24" ht="21.75" customHeight="1" x14ac:dyDescent="0.6">
      <c r="A904" s="24"/>
      <c r="B904" s="293"/>
      <c r="C904" s="293"/>
      <c r="D904" s="24"/>
      <c r="E904" s="29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spans="1:24" ht="21.75" customHeight="1" x14ac:dyDescent="0.6">
      <c r="A905" s="24"/>
      <c r="B905" s="293"/>
      <c r="C905" s="293"/>
      <c r="D905" s="24"/>
      <c r="E905" s="29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spans="1:24" ht="21.75" customHeight="1" x14ac:dyDescent="0.6">
      <c r="A906" s="24"/>
      <c r="B906" s="293"/>
      <c r="C906" s="293"/>
      <c r="D906" s="24"/>
      <c r="E906" s="29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spans="1:24" ht="21.75" customHeight="1" x14ac:dyDescent="0.6">
      <c r="A907" s="24"/>
      <c r="B907" s="293"/>
      <c r="C907" s="293"/>
      <c r="D907" s="24"/>
      <c r="E907" s="29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spans="1:24" ht="21.75" customHeight="1" x14ac:dyDescent="0.6">
      <c r="A908" s="24"/>
      <c r="B908" s="293"/>
      <c r="C908" s="293"/>
      <c r="D908" s="24"/>
      <c r="E908" s="29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spans="1:24" ht="21.75" customHeight="1" x14ac:dyDescent="0.6">
      <c r="A909" s="24"/>
      <c r="B909" s="293"/>
      <c r="C909" s="293"/>
      <c r="D909" s="24"/>
      <c r="E909" s="29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spans="1:24" ht="21.75" customHeight="1" x14ac:dyDescent="0.6">
      <c r="A910" s="24"/>
      <c r="B910" s="293"/>
      <c r="C910" s="293"/>
      <c r="D910" s="24"/>
      <c r="E910" s="29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spans="1:24" ht="21.75" customHeight="1" x14ac:dyDescent="0.6">
      <c r="A911" s="24"/>
      <c r="B911" s="293"/>
      <c r="C911" s="293"/>
      <c r="D911" s="24"/>
      <c r="E911" s="29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spans="1:24" ht="21.75" customHeight="1" x14ac:dyDescent="0.6">
      <c r="A912" s="24"/>
      <c r="B912" s="293"/>
      <c r="C912" s="293"/>
      <c r="D912" s="24"/>
      <c r="E912" s="29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spans="1:24" ht="21.75" customHeight="1" x14ac:dyDescent="0.6">
      <c r="A913" s="24"/>
      <c r="B913" s="293"/>
      <c r="C913" s="293"/>
      <c r="D913" s="24"/>
      <c r="E913" s="29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spans="1:24" ht="21.75" customHeight="1" x14ac:dyDescent="0.6">
      <c r="A914" s="24"/>
      <c r="B914" s="293"/>
      <c r="C914" s="293"/>
      <c r="D914" s="24"/>
      <c r="E914" s="29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spans="1:24" ht="21.75" customHeight="1" x14ac:dyDescent="0.6">
      <c r="A915" s="24"/>
      <c r="B915" s="293"/>
      <c r="C915" s="293"/>
      <c r="D915" s="24"/>
      <c r="E915" s="29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spans="1:24" ht="21.75" customHeight="1" x14ac:dyDescent="0.6">
      <c r="A916" s="24"/>
      <c r="B916" s="293"/>
      <c r="C916" s="293"/>
      <c r="D916" s="24"/>
      <c r="E916" s="29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spans="1:24" ht="21.75" customHeight="1" x14ac:dyDescent="0.6">
      <c r="A917" s="24"/>
      <c r="B917" s="293"/>
      <c r="C917" s="293"/>
      <c r="D917" s="24"/>
      <c r="E917" s="29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spans="1:24" ht="21.75" customHeight="1" x14ac:dyDescent="0.6">
      <c r="A918" s="24"/>
      <c r="B918" s="293"/>
      <c r="C918" s="293"/>
      <c r="D918" s="24"/>
      <c r="E918" s="29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spans="1:24" ht="21.75" customHeight="1" x14ac:dyDescent="0.6">
      <c r="A919" s="24"/>
      <c r="B919" s="293"/>
      <c r="C919" s="293"/>
      <c r="D919" s="24"/>
      <c r="E919" s="29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spans="1:24" ht="21.75" customHeight="1" x14ac:dyDescent="0.6">
      <c r="A920" s="24"/>
      <c r="B920" s="293"/>
      <c r="C920" s="293"/>
      <c r="D920" s="24"/>
      <c r="E920" s="29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spans="1:24" ht="21.75" customHeight="1" x14ac:dyDescent="0.6">
      <c r="A921" s="24"/>
      <c r="B921" s="293"/>
      <c r="C921" s="293"/>
      <c r="D921" s="24"/>
      <c r="E921" s="29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spans="1:24" ht="21.75" customHeight="1" x14ac:dyDescent="0.6">
      <c r="A922" s="24"/>
      <c r="B922" s="293"/>
      <c r="C922" s="293"/>
      <c r="D922" s="24"/>
      <c r="E922" s="29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spans="1:24" ht="21.75" customHeight="1" x14ac:dyDescent="0.6">
      <c r="A923" s="24"/>
      <c r="B923" s="293"/>
      <c r="C923" s="293"/>
      <c r="D923" s="24"/>
      <c r="E923" s="29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spans="1:24" ht="21.75" customHeight="1" x14ac:dyDescent="0.6">
      <c r="A924" s="24"/>
      <c r="B924" s="293"/>
      <c r="C924" s="293"/>
      <c r="D924" s="24"/>
      <c r="E924" s="29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spans="1:24" ht="21.75" customHeight="1" x14ac:dyDescent="0.6">
      <c r="A925" s="24"/>
      <c r="B925" s="293"/>
      <c r="C925" s="293"/>
      <c r="D925" s="24"/>
      <c r="E925" s="29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spans="1:24" ht="21.75" customHeight="1" x14ac:dyDescent="0.6">
      <c r="A926" s="24"/>
      <c r="B926" s="293"/>
      <c r="C926" s="293"/>
      <c r="D926" s="24"/>
      <c r="E926" s="29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spans="1:24" ht="21.75" customHeight="1" x14ac:dyDescent="0.6">
      <c r="A927" s="24"/>
      <c r="B927" s="293"/>
      <c r="C927" s="293"/>
      <c r="D927" s="24"/>
      <c r="E927" s="29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spans="1:24" ht="21.75" customHeight="1" x14ac:dyDescent="0.6">
      <c r="A928" s="24"/>
      <c r="B928" s="293"/>
      <c r="C928" s="293"/>
      <c r="D928" s="24"/>
      <c r="E928" s="29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spans="1:24" ht="21.75" customHeight="1" x14ac:dyDescent="0.6">
      <c r="A929" s="24"/>
      <c r="B929" s="293"/>
      <c r="C929" s="293"/>
      <c r="D929" s="24"/>
      <c r="E929" s="29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spans="1:24" ht="21.75" customHeight="1" x14ac:dyDescent="0.6">
      <c r="A930" s="24"/>
      <c r="B930" s="293"/>
      <c r="C930" s="293"/>
      <c r="D930" s="24"/>
      <c r="E930" s="29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spans="1:24" ht="21.75" customHeight="1" x14ac:dyDescent="0.6">
      <c r="A931" s="24"/>
      <c r="B931" s="293"/>
      <c r="C931" s="293"/>
      <c r="D931" s="24"/>
      <c r="E931" s="29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spans="1:24" ht="21.75" customHeight="1" x14ac:dyDescent="0.6">
      <c r="A932" s="24"/>
      <c r="B932" s="293"/>
      <c r="C932" s="293"/>
      <c r="D932" s="24"/>
      <c r="E932" s="29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spans="1:24" ht="21.75" customHeight="1" x14ac:dyDescent="0.6">
      <c r="A933" s="24"/>
      <c r="B933" s="293"/>
      <c r="C933" s="293"/>
      <c r="D933" s="24"/>
      <c r="E933" s="29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spans="1:24" ht="21.75" customHeight="1" x14ac:dyDescent="0.6">
      <c r="A934" s="24"/>
      <c r="B934" s="293"/>
      <c r="C934" s="293"/>
      <c r="D934" s="24"/>
      <c r="E934" s="29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spans="1:24" ht="21.75" customHeight="1" x14ac:dyDescent="0.6">
      <c r="A935" s="24"/>
      <c r="B935" s="293"/>
      <c r="C935" s="293"/>
      <c r="D935" s="24"/>
      <c r="E935" s="29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spans="1:24" ht="21.75" customHeight="1" x14ac:dyDescent="0.6">
      <c r="A936" s="24"/>
      <c r="B936" s="293"/>
      <c r="C936" s="293"/>
      <c r="D936" s="24"/>
      <c r="E936" s="29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spans="1:24" ht="21.75" customHeight="1" x14ac:dyDescent="0.6">
      <c r="A937" s="24"/>
      <c r="B937" s="293"/>
      <c r="C937" s="293"/>
      <c r="D937" s="24"/>
      <c r="E937" s="29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spans="1:24" ht="21.75" customHeight="1" x14ac:dyDescent="0.6">
      <c r="A938" s="24"/>
      <c r="B938" s="293"/>
      <c r="C938" s="293"/>
      <c r="D938" s="24"/>
      <c r="E938" s="29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spans="1:24" ht="21.75" customHeight="1" x14ac:dyDescent="0.6">
      <c r="A939" s="24"/>
      <c r="B939" s="293"/>
      <c r="C939" s="293"/>
      <c r="D939" s="24"/>
      <c r="E939" s="29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spans="1:24" ht="21.75" customHeight="1" x14ac:dyDescent="0.6">
      <c r="A940" s="24"/>
      <c r="B940" s="293"/>
      <c r="C940" s="293"/>
      <c r="D940" s="24"/>
      <c r="E940" s="29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spans="1:24" ht="21.75" customHeight="1" x14ac:dyDescent="0.6">
      <c r="A941" s="24"/>
      <c r="B941" s="293"/>
      <c r="C941" s="293"/>
      <c r="D941" s="24"/>
      <c r="E941" s="29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spans="1:24" ht="21.75" customHeight="1" x14ac:dyDescent="0.6">
      <c r="A942" s="24"/>
      <c r="B942" s="293"/>
      <c r="C942" s="293"/>
      <c r="D942" s="24"/>
      <c r="E942" s="29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spans="1:24" ht="21.75" customHeight="1" x14ac:dyDescent="0.6">
      <c r="A943" s="24"/>
      <c r="B943" s="293"/>
      <c r="C943" s="293"/>
      <c r="D943" s="24"/>
      <c r="E943" s="29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spans="1:24" ht="21.75" customHeight="1" x14ac:dyDescent="0.6">
      <c r="A944" s="24"/>
      <c r="B944" s="293"/>
      <c r="C944" s="293"/>
      <c r="D944" s="24"/>
      <c r="E944" s="29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spans="1:24" ht="21.75" customHeight="1" x14ac:dyDescent="0.6">
      <c r="A945" s="24"/>
      <c r="B945" s="293"/>
      <c r="C945" s="293"/>
      <c r="D945" s="24"/>
      <c r="E945" s="29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spans="1:24" ht="21.75" customHeight="1" x14ac:dyDescent="0.6">
      <c r="A946" s="24"/>
      <c r="B946" s="293"/>
      <c r="C946" s="293"/>
      <c r="D946" s="24"/>
      <c r="E946" s="29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spans="1:24" ht="21.75" customHeight="1" x14ac:dyDescent="0.6">
      <c r="A947" s="24"/>
      <c r="B947" s="293"/>
      <c r="C947" s="293"/>
      <c r="D947" s="24"/>
      <c r="E947" s="29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spans="1:24" ht="21.75" customHeight="1" x14ac:dyDescent="0.6">
      <c r="A948" s="24"/>
      <c r="B948" s="293"/>
      <c r="C948" s="293"/>
      <c r="D948" s="24"/>
      <c r="E948" s="29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spans="1:24" ht="21.75" customHeight="1" x14ac:dyDescent="0.6">
      <c r="A949" s="24"/>
      <c r="B949" s="293"/>
      <c r="C949" s="293"/>
      <c r="D949" s="24"/>
      <c r="E949" s="29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spans="1:24" ht="21.75" customHeight="1" x14ac:dyDescent="0.6">
      <c r="A950" s="24"/>
      <c r="B950" s="293"/>
      <c r="C950" s="293"/>
      <c r="D950" s="24"/>
      <c r="E950" s="29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spans="1:24" ht="21.75" customHeight="1" x14ac:dyDescent="0.6">
      <c r="A951" s="24"/>
      <c r="B951" s="293"/>
      <c r="C951" s="293"/>
      <c r="D951" s="24"/>
      <c r="E951" s="29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spans="1:24" ht="21.75" customHeight="1" x14ac:dyDescent="0.6">
      <c r="A952" s="24"/>
      <c r="B952" s="293"/>
      <c r="C952" s="293"/>
      <c r="D952" s="24"/>
      <c r="E952" s="29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spans="1:24" ht="21.75" customHeight="1" x14ac:dyDescent="0.6">
      <c r="A953" s="24"/>
      <c r="B953" s="293"/>
      <c r="C953" s="293"/>
      <c r="D953" s="24"/>
      <c r="E953" s="29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spans="1:24" ht="21.75" customHeight="1" x14ac:dyDescent="0.6">
      <c r="A954" s="24"/>
      <c r="B954" s="293"/>
      <c r="C954" s="293"/>
      <c r="D954" s="24"/>
      <c r="E954" s="29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spans="1:24" ht="21.75" customHeight="1" x14ac:dyDescent="0.6">
      <c r="A955" s="24"/>
      <c r="B955" s="293"/>
      <c r="C955" s="293"/>
      <c r="D955" s="24"/>
      <c r="E955" s="29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spans="1:24" ht="21.75" customHeight="1" x14ac:dyDescent="0.6">
      <c r="A956" s="24"/>
      <c r="B956" s="293"/>
      <c r="C956" s="293"/>
      <c r="D956" s="24"/>
      <c r="E956" s="29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spans="1:24" ht="21.75" customHeight="1" x14ac:dyDescent="0.6">
      <c r="A957" s="24"/>
      <c r="B957" s="293"/>
      <c r="C957" s="293"/>
      <c r="D957" s="24"/>
      <c r="E957" s="29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spans="1:24" ht="21.75" customHeight="1" x14ac:dyDescent="0.6">
      <c r="A958" s="24"/>
      <c r="B958" s="293"/>
      <c r="C958" s="293"/>
      <c r="D958" s="24"/>
      <c r="E958" s="29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spans="1:24" ht="21.75" customHeight="1" x14ac:dyDescent="0.6">
      <c r="A959" s="24"/>
      <c r="B959" s="293"/>
      <c r="C959" s="293"/>
      <c r="D959" s="24"/>
      <c r="E959" s="29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spans="1:24" ht="21.75" customHeight="1" x14ac:dyDescent="0.6">
      <c r="A960" s="24"/>
      <c r="B960" s="293"/>
      <c r="C960" s="293"/>
      <c r="D960" s="24"/>
      <c r="E960" s="29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spans="1:24" ht="21.75" customHeight="1" x14ac:dyDescent="0.6">
      <c r="A961" s="24"/>
      <c r="B961" s="293"/>
      <c r="C961" s="293"/>
      <c r="D961" s="24"/>
      <c r="E961" s="29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spans="1:24" ht="21.75" customHeight="1" x14ac:dyDescent="0.6">
      <c r="A962" s="24"/>
      <c r="B962" s="293"/>
      <c r="C962" s="293"/>
      <c r="D962" s="24"/>
      <c r="E962" s="29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spans="1:24" ht="21.75" customHeight="1" x14ac:dyDescent="0.6">
      <c r="A963" s="24"/>
      <c r="B963" s="293"/>
      <c r="C963" s="293"/>
      <c r="D963" s="24"/>
      <c r="E963" s="29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spans="1:24" ht="21.75" customHeight="1" x14ac:dyDescent="0.6">
      <c r="A964" s="24"/>
      <c r="B964" s="293"/>
      <c r="C964" s="293"/>
      <c r="D964" s="24"/>
      <c r="E964" s="29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spans="1:24" ht="21.75" customHeight="1" x14ac:dyDescent="0.6">
      <c r="A965" s="24"/>
      <c r="B965" s="293"/>
      <c r="C965" s="293"/>
      <c r="D965" s="24"/>
      <c r="E965" s="29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spans="1:24" ht="21.75" customHeight="1" x14ac:dyDescent="0.6">
      <c r="A966" s="24"/>
      <c r="B966" s="293"/>
      <c r="C966" s="293"/>
      <c r="D966" s="24"/>
      <c r="E966" s="29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spans="1:24" ht="21.75" customHeight="1" x14ac:dyDescent="0.6">
      <c r="A967" s="24"/>
      <c r="B967" s="293"/>
      <c r="C967" s="293"/>
      <c r="D967" s="24"/>
      <c r="E967" s="29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spans="1:24" ht="21.75" customHeight="1" x14ac:dyDescent="0.6">
      <c r="A968" s="24"/>
      <c r="B968" s="293"/>
      <c r="C968" s="293"/>
      <c r="D968" s="24"/>
      <c r="E968" s="29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spans="1:24" ht="21.75" customHeight="1" x14ac:dyDescent="0.6">
      <c r="A969" s="24"/>
      <c r="B969" s="293"/>
      <c r="C969" s="293"/>
      <c r="D969" s="24"/>
      <c r="E969" s="29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spans="1:24" ht="21.75" customHeight="1" x14ac:dyDescent="0.6">
      <c r="A970" s="24"/>
      <c r="B970" s="293"/>
      <c r="C970" s="293"/>
      <c r="D970" s="24"/>
      <c r="E970" s="29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spans="1:24" ht="21.75" customHeight="1" x14ac:dyDescent="0.6">
      <c r="A971" s="24"/>
      <c r="B971" s="293"/>
      <c r="C971" s="293"/>
      <c r="D971" s="24"/>
      <c r="E971" s="29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spans="1:24" ht="21.75" customHeight="1" x14ac:dyDescent="0.6">
      <c r="A972" s="24"/>
      <c r="B972" s="293"/>
      <c r="C972" s="293"/>
      <c r="D972" s="24"/>
      <c r="E972" s="29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spans="1:24" ht="21.75" customHeight="1" x14ac:dyDescent="0.6">
      <c r="A973" s="24"/>
      <c r="B973" s="293"/>
      <c r="C973" s="293"/>
      <c r="D973" s="24"/>
      <c r="E973" s="29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spans="1:24" ht="21.75" customHeight="1" x14ac:dyDescent="0.6">
      <c r="A974" s="24"/>
      <c r="B974" s="293"/>
      <c r="C974" s="293"/>
      <c r="D974" s="24"/>
      <c r="E974" s="29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 spans="1:24" ht="21.75" customHeight="1" x14ac:dyDescent="0.6">
      <c r="A975" s="24"/>
      <c r="B975" s="293"/>
      <c r="C975" s="293"/>
      <c r="D975" s="24"/>
      <c r="E975" s="29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 spans="1:24" ht="21.75" customHeight="1" x14ac:dyDescent="0.6">
      <c r="A976" s="24"/>
      <c r="B976" s="293"/>
      <c r="C976" s="293"/>
      <c r="D976" s="24"/>
      <c r="E976" s="29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 spans="1:24" ht="21.75" customHeight="1" x14ac:dyDescent="0.6">
      <c r="A977" s="24"/>
      <c r="B977" s="293"/>
      <c r="C977" s="293"/>
      <c r="D977" s="24"/>
      <c r="E977" s="29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 spans="1:24" ht="21.75" customHeight="1" x14ac:dyDescent="0.6">
      <c r="A978" s="24"/>
      <c r="B978" s="293"/>
      <c r="C978" s="293"/>
      <c r="D978" s="24"/>
      <c r="E978" s="29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 spans="1:24" ht="21.75" customHeight="1" x14ac:dyDescent="0.6">
      <c r="A979" s="24"/>
      <c r="B979" s="293"/>
      <c r="C979" s="293"/>
      <c r="D979" s="24"/>
      <c r="E979" s="29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 spans="1:24" ht="21.75" customHeight="1" x14ac:dyDescent="0.6">
      <c r="A980" s="24"/>
      <c r="B980" s="293"/>
      <c r="C980" s="293"/>
      <c r="D980" s="24"/>
      <c r="E980" s="29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 spans="1:24" ht="21.75" customHeight="1" x14ac:dyDescent="0.6">
      <c r="A981" s="24"/>
      <c r="B981" s="293"/>
      <c r="C981" s="293"/>
      <c r="D981" s="24"/>
      <c r="E981" s="29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 spans="1:24" ht="21.75" customHeight="1" x14ac:dyDescent="0.6">
      <c r="A982" s="24"/>
      <c r="B982" s="293"/>
      <c r="C982" s="293"/>
      <c r="D982" s="24"/>
      <c r="E982" s="29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 spans="1:24" ht="21.75" customHeight="1" x14ac:dyDescent="0.6">
      <c r="A983" s="24"/>
      <c r="B983" s="293"/>
      <c r="C983" s="293"/>
      <c r="D983" s="24"/>
      <c r="E983" s="29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 spans="1:24" ht="21.75" customHeight="1" x14ac:dyDescent="0.6">
      <c r="A984" s="24"/>
      <c r="B984" s="293"/>
      <c r="C984" s="293"/>
      <c r="D984" s="24"/>
      <c r="E984" s="29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 spans="1:24" ht="21.75" customHeight="1" x14ac:dyDescent="0.6">
      <c r="A985" s="24"/>
      <c r="B985" s="293"/>
      <c r="C985" s="293"/>
      <c r="D985" s="24"/>
      <c r="E985" s="29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 spans="1:24" ht="21.75" customHeight="1" x14ac:dyDescent="0.6">
      <c r="A986" s="24"/>
      <c r="B986" s="293"/>
      <c r="C986" s="293"/>
      <c r="D986" s="24"/>
      <c r="E986" s="29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 spans="1:24" ht="21.75" customHeight="1" x14ac:dyDescent="0.6">
      <c r="A987" s="24"/>
      <c r="B987" s="293"/>
      <c r="C987" s="293"/>
      <c r="D987" s="24"/>
      <c r="E987" s="29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 spans="1:24" ht="21.75" customHeight="1" x14ac:dyDescent="0.6">
      <c r="A988" s="24"/>
      <c r="B988" s="293"/>
      <c r="C988" s="293"/>
      <c r="D988" s="24"/>
      <c r="E988" s="29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 spans="1:24" ht="21.75" customHeight="1" x14ac:dyDescent="0.6">
      <c r="A989" s="24"/>
      <c r="B989" s="293"/>
      <c r="C989" s="293"/>
      <c r="D989" s="24"/>
      <c r="E989" s="29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 spans="1:24" ht="21.75" customHeight="1" x14ac:dyDescent="0.6">
      <c r="A990" s="24"/>
      <c r="B990" s="293"/>
      <c r="C990" s="293"/>
      <c r="D990" s="24"/>
      <c r="E990" s="29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 spans="1:24" ht="21.75" customHeight="1" x14ac:dyDescent="0.6">
      <c r="A991" s="24"/>
      <c r="B991" s="293"/>
      <c r="C991" s="293"/>
      <c r="D991" s="24"/>
      <c r="E991" s="29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 spans="1:24" ht="21.75" customHeight="1" x14ac:dyDescent="0.6">
      <c r="A992" s="24"/>
      <c r="B992" s="293"/>
      <c r="C992" s="293"/>
      <c r="D992" s="24"/>
      <c r="E992" s="29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 spans="1:24" ht="21.75" customHeight="1" x14ac:dyDescent="0.6">
      <c r="A993" s="24"/>
      <c r="B993" s="293"/>
      <c r="C993" s="293"/>
      <c r="D993" s="24"/>
      <c r="E993" s="29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 spans="1:24" ht="21.75" customHeight="1" x14ac:dyDescent="0.6">
      <c r="A994" s="24"/>
      <c r="B994" s="293"/>
      <c r="C994" s="293"/>
      <c r="D994" s="24"/>
      <c r="E994" s="29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 spans="1:24" ht="21.75" customHeight="1" x14ac:dyDescent="0.6">
      <c r="A995" s="24"/>
      <c r="B995" s="293"/>
      <c r="C995" s="293"/>
      <c r="D995" s="24"/>
      <c r="E995" s="29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 spans="1:24" ht="21.75" customHeight="1" x14ac:dyDescent="0.6">
      <c r="A996" s="24"/>
      <c r="B996" s="293"/>
      <c r="C996" s="293"/>
      <c r="D996" s="24"/>
      <c r="E996" s="29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 spans="1:24" ht="21.75" customHeight="1" x14ac:dyDescent="0.6">
      <c r="A997" s="24"/>
      <c r="B997" s="293"/>
      <c r="C997" s="293"/>
      <c r="D997" s="24"/>
      <c r="E997" s="29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 spans="1:24" ht="21.75" customHeight="1" x14ac:dyDescent="0.6">
      <c r="A998" s="24"/>
      <c r="B998" s="293"/>
      <c r="C998" s="293"/>
      <c r="D998" s="24"/>
      <c r="E998" s="29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 spans="1:24" ht="21.75" customHeight="1" x14ac:dyDescent="0.6">
      <c r="A999" s="24"/>
      <c r="B999" s="293"/>
      <c r="C999" s="293"/>
      <c r="D999" s="24"/>
      <c r="E999" s="29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 spans="1:24" ht="21.75" customHeight="1" x14ac:dyDescent="0.6">
      <c r="A1000" s="24"/>
      <c r="B1000" s="293"/>
      <c r="C1000" s="293"/>
      <c r="D1000" s="24"/>
      <c r="E1000" s="29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 spans="1:24" ht="21.75" customHeight="1" x14ac:dyDescent="0.6"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</sheetData>
  <mergeCells count="2">
    <mergeCell ref="A1:A2"/>
    <mergeCell ref="B1:D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95C1-DA29-4622-A424-BFD486F84401}">
  <dimension ref="A1:E21"/>
  <sheetViews>
    <sheetView workbookViewId="0">
      <selection activeCell="D22" sqref="D22"/>
    </sheetView>
  </sheetViews>
  <sheetFormatPr defaultRowHeight="12.75" x14ac:dyDescent="0.2"/>
  <cols>
    <col min="1" max="1" width="61.42578125" bestFit="1" customWidth="1"/>
    <col min="2" max="2" width="20" bestFit="1" customWidth="1"/>
    <col min="3" max="3" width="21.140625" bestFit="1" customWidth="1"/>
    <col min="4" max="4" width="20.28515625" bestFit="1" customWidth="1"/>
    <col min="5" max="5" width="88.42578125" bestFit="1" customWidth="1"/>
  </cols>
  <sheetData>
    <row r="1" spans="1:5" ht="21.75" x14ac:dyDescent="0.2">
      <c r="A1" s="207" t="s">
        <v>657</v>
      </c>
      <c r="B1" s="208" t="s">
        <v>701</v>
      </c>
      <c r="C1" s="208" t="s">
        <v>702</v>
      </c>
      <c r="D1" s="208" t="s">
        <v>703</v>
      </c>
      <c r="E1" s="208" t="s">
        <v>704</v>
      </c>
    </row>
    <row r="2" spans="1:5" ht="21.75" x14ac:dyDescent="0.2">
      <c r="A2" s="312" t="s">
        <v>259</v>
      </c>
      <c r="B2" s="299">
        <v>7621912.7778503355</v>
      </c>
      <c r="C2" s="300">
        <v>7291003.6578503363</v>
      </c>
      <c r="D2" s="300">
        <f>C2-B2</f>
        <v>-330909.11999999918</v>
      </c>
      <c r="E2" s="311" t="s">
        <v>705</v>
      </c>
    </row>
    <row r="3" spans="1:5" ht="21.75" x14ac:dyDescent="0.2">
      <c r="A3" s="313" t="s">
        <v>263</v>
      </c>
      <c r="B3" s="301">
        <v>334397.12</v>
      </c>
      <c r="C3" s="302">
        <v>334397.12</v>
      </c>
      <c r="D3" s="302">
        <f t="shared" ref="D3:D15" si="0">C3-B3</f>
        <v>0</v>
      </c>
      <c r="E3" s="310"/>
    </row>
    <row r="4" spans="1:5" ht="21.75" x14ac:dyDescent="0.2">
      <c r="A4" s="314" t="s">
        <v>279</v>
      </c>
      <c r="B4" s="303">
        <v>2808959.16</v>
      </c>
      <c r="C4" s="211">
        <v>2808959.16</v>
      </c>
      <c r="D4" s="211">
        <f t="shared" si="0"/>
        <v>0</v>
      </c>
      <c r="E4" s="311"/>
    </row>
    <row r="5" spans="1:5" ht="43.5" x14ac:dyDescent="0.2">
      <c r="A5" s="315" t="s">
        <v>310</v>
      </c>
      <c r="B5" s="304">
        <v>18837580.861000001</v>
      </c>
      <c r="C5" s="305">
        <v>14216001.396666666</v>
      </c>
      <c r="D5" s="305">
        <f t="shared" si="0"/>
        <v>-4621579.4643333349</v>
      </c>
      <c r="E5" s="318" t="s">
        <v>706</v>
      </c>
    </row>
    <row r="6" spans="1:5" ht="21.75" x14ac:dyDescent="0.2">
      <c r="A6" s="314" t="s">
        <v>345</v>
      </c>
      <c r="B6" s="303">
        <v>3060534.3637843644</v>
      </c>
      <c r="C6" s="211">
        <v>3060534.3637843644</v>
      </c>
      <c r="D6" s="211">
        <f t="shared" si="0"/>
        <v>0</v>
      </c>
      <c r="E6" s="311"/>
    </row>
    <row r="7" spans="1:5" ht="21.75" x14ac:dyDescent="0.2">
      <c r="A7" s="313" t="s">
        <v>661</v>
      </c>
      <c r="B7" s="301">
        <v>5636274.8625999996</v>
      </c>
      <c r="C7" s="302">
        <v>5636274.8625999996</v>
      </c>
      <c r="D7" s="302">
        <f t="shared" si="0"/>
        <v>0</v>
      </c>
      <c r="E7" s="310"/>
    </row>
    <row r="8" spans="1:5" ht="21.75" x14ac:dyDescent="0.2">
      <c r="A8" s="314" t="s">
        <v>662</v>
      </c>
      <c r="B8" s="303">
        <v>4015448.32</v>
      </c>
      <c r="C8" s="211">
        <v>4015448.32</v>
      </c>
      <c r="D8" s="211">
        <f t="shared" si="0"/>
        <v>0</v>
      </c>
      <c r="E8" s="311"/>
    </row>
    <row r="9" spans="1:5" ht="21.75" x14ac:dyDescent="0.2">
      <c r="A9" s="313" t="s">
        <v>476</v>
      </c>
      <c r="B9" s="301">
        <v>1142037.169</v>
      </c>
      <c r="C9" s="302">
        <v>1142037.169</v>
      </c>
      <c r="D9" s="302">
        <f t="shared" si="0"/>
        <v>0</v>
      </c>
      <c r="E9" s="310"/>
    </row>
    <row r="10" spans="1:5" ht="21.75" x14ac:dyDescent="0.2">
      <c r="A10" s="314" t="s">
        <v>494</v>
      </c>
      <c r="B10" s="303">
        <v>1922134.1421500002</v>
      </c>
      <c r="C10" s="211">
        <v>1922134.1421500002</v>
      </c>
      <c r="D10" s="211">
        <f t="shared" si="0"/>
        <v>0</v>
      </c>
      <c r="E10" s="311"/>
    </row>
    <row r="11" spans="1:5" ht="21.75" x14ac:dyDescent="0.2">
      <c r="A11" s="313" t="s">
        <v>547</v>
      </c>
      <c r="B11" s="301">
        <v>1271472.6699999997</v>
      </c>
      <c r="C11" s="302">
        <v>1271472.6699999997</v>
      </c>
      <c r="D11" s="302">
        <f t="shared" si="0"/>
        <v>0</v>
      </c>
      <c r="E11" s="310"/>
    </row>
    <row r="12" spans="1:5" ht="21.75" x14ac:dyDescent="0.2">
      <c r="A12" s="314" t="s">
        <v>515</v>
      </c>
      <c r="B12" s="303">
        <v>2915218.52</v>
      </c>
      <c r="C12" s="211">
        <v>2915218.52</v>
      </c>
      <c r="D12" s="211">
        <f t="shared" si="0"/>
        <v>0</v>
      </c>
      <c r="E12" s="311"/>
    </row>
    <row r="13" spans="1:5" ht="21.75" x14ac:dyDescent="0.2">
      <c r="A13" s="313" t="s">
        <v>561</v>
      </c>
      <c r="B13" s="301">
        <v>1912985.6899999997</v>
      </c>
      <c r="C13" s="302">
        <v>1912985.6899999997</v>
      </c>
      <c r="D13" s="302">
        <f t="shared" si="0"/>
        <v>0</v>
      </c>
      <c r="E13" s="310"/>
    </row>
    <row r="14" spans="1:5" ht="21.75" x14ac:dyDescent="0.2">
      <c r="A14" s="314" t="s">
        <v>664</v>
      </c>
      <c r="B14" s="303">
        <v>5559680.5</v>
      </c>
      <c r="C14" s="211">
        <v>5559680.5</v>
      </c>
      <c r="D14" s="211">
        <f t="shared" si="0"/>
        <v>0</v>
      </c>
      <c r="E14" s="311"/>
    </row>
    <row r="15" spans="1:5" ht="21.75" x14ac:dyDescent="0.2">
      <c r="A15" s="316" t="s">
        <v>605</v>
      </c>
      <c r="B15" s="306">
        <v>2672331.2999999998</v>
      </c>
      <c r="C15" s="216">
        <v>2672331.2999999998</v>
      </c>
      <c r="D15" s="216">
        <f t="shared" si="0"/>
        <v>0</v>
      </c>
      <c r="E15" s="310"/>
    </row>
    <row r="16" spans="1:5" ht="21.75" x14ac:dyDescent="0.2">
      <c r="A16" s="317" t="s">
        <v>628</v>
      </c>
      <c r="B16" s="307">
        <v>4713356.95</v>
      </c>
      <c r="C16" s="211">
        <v>4713356.95</v>
      </c>
      <c r="D16" s="211">
        <f>C16-B16</f>
        <v>0</v>
      </c>
      <c r="E16" s="311"/>
    </row>
    <row r="17" spans="1:5" ht="21.75" x14ac:dyDescent="0.2">
      <c r="A17" s="315" t="s">
        <v>642</v>
      </c>
      <c r="B17" s="304">
        <v>875185.68181221536</v>
      </c>
      <c r="C17" s="305">
        <v>892077.53733077052</v>
      </c>
      <c r="D17" s="305">
        <f>C17-B17</f>
        <v>16891.855518555152</v>
      </c>
      <c r="E17" s="310" t="s">
        <v>707</v>
      </c>
    </row>
    <row r="18" spans="1:5" ht="21.75" x14ac:dyDescent="0.2">
      <c r="A18" s="207" t="s">
        <v>646</v>
      </c>
      <c r="B18" s="308">
        <f>SUM(B2:B17)</f>
        <v>65299510.088196918</v>
      </c>
      <c r="C18" s="240">
        <f>SUM(C2:C17)</f>
        <v>60363913.359382138</v>
      </c>
      <c r="D18" s="242">
        <f>SUM(D2:D17)</f>
        <v>-4935596.7288147788</v>
      </c>
      <c r="E18" s="247"/>
    </row>
    <row r="19" spans="1:5" ht="21.75" x14ac:dyDescent="0.2">
      <c r="A19" s="207" t="s">
        <v>665</v>
      </c>
      <c r="B19" s="260">
        <v>1.33</v>
      </c>
      <c r="C19" s="247">
        <f>[7]ORÇAMENTO_PARAMÉTRICO!D19</f>
        <v>1.61</v>
      </c>
      <c r="D19" s="247"/>
      <c r="E19" s="247"/>
    </row>
    <row r="21" spans="1:5" x14ac:dyDescent="0.2">
      <c r="B21" s="30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8E9B-664A-43C9-B2A8-2486176B952A}">
  <dimension ref="A1:I60"/>
  <sheetViews>
    <sheetView topLeftCell="A13" workbookViewId="0">
      <selection activeCell="I16" sqref="I16:I17"/>
    </sheetView>
  </sheetViews>
  <sheetFormatPr defaultRowHeight="12.75" x14ac:dyDescent="0.2"/>
  <cols>
    <col min="1" max="1" width="27.7109375" bestFit="1" customWidth="1"/>
    <col min="2" max="2" width="13.28515625" bestFit="1" customWidth="1"/>
    <col min="3" max="3" width="18.140625" customWidth="1"/>
    <col min="5" max="5" width="15.42578125" bestFit="1" customWidth="1"/>
    <col min="6" max="6" width="17.5703125" customWidth="1"/>
    <col min="8" max="8" width="15.42578125" bestFit="1" customWidth="1"/>
    <col min="9" max="9" width="17.5703125" bestFit="1" customWidth="1"/>
    <col min="10" max="10" width="13.7109375" bestFit="1" customWidth="1"/>
  </cols>
  <sheetData>
    <row r="1" spans="1:9" ht="12.95" customHeight="1" x14ac:dyDescent="0.2">
      <c r="A1" s="329" t="s">
        <v>9</v>
      </c>
      <c r="B1" s="329"/>
      <c r="C1" s="329"/>
      <c r="D1" s="329"/>
      <c r="E1" s="329"/>
      <c r="F1" s="329"/>
      <c r="G1" s="329"/>
      <c r="H1" s="329"/>
      <c r="I1" s="329"/>
    </row>
    <row r="2" spans="1:9" ht="12.95" customHeight="1" x14ac:dyDescent="0.2">
      <c r="A2" s="329"/>
      <c r="B2" s="329"/>
      <c r="C2" s="329"/>
      <c r="D2" s="329"/>
      <c r="E2" s="329"/>
      <c r="F2" s="329"/>
      <c r="G2" s="329"/>
      <c r="H2" s="329"/>
      <c r="I2" s="329"/>
    </row>
    <row r="3" spans="1:9" ht="12.95" customHeight="1" x14ac:dyDescent="0.2">
      <c r="A3" s="329"/>
      <c r="B3" s="329"/>
      <c r="C3" s="329"/>
      <c r="D3" s="329"/>
      <c r="E3" s="329"/>
      <c r="F3" s="329"/>
      <c r="G3" s="329"/>
      <c r="H3" s="329"/>
      <c r="I3" s="329"/>
    </row>
    <row r="4" spans="1:9" ht="12.95" customHeight="1" x14ac:dyDescent="0.2">
      <c r="A4" s="329"/>
      <c r="B4" s="329"/>
      <c r="C4" s="329"/>
      <c r="D4" s="329"/>
      <c r="E4" s="329"/>
      <c r="F4" s="329"/>
      <c r="G4" s="329"/>
      <c r="H4" s="329"/>
      <c r="I4" s="329"/>
    </row>
    <row r="5" spans="1:9" ht="12.95" customHeight="1" x14ac:dyDescent="0.2">
      <c r="A5" s="329"/>
      <c r="B5" s="329"/>
      <c r="C5" s="329"/>
      <c r="D5" s="329"/>
      <c r="E5" s="329"/>
      <c r="F5" s="329"/>
      <c r="G5" s="329"/>
      <c r="H5" s="329"/>
      <c r="I5" s="329"/>
    </row>
    <row r="6" spans="1:9" ht="20.25" thickBot="1" x14ac:dyDescent="0.25">
      <c r="A6" s="80"/>
      <c r="B6" s="81"/>
      <c r="C6" s="81"/>
      <c r="D6" s="82"/>
      <c r="E6" s="82"/>
      <c r="F6" s="83"/>
      <c r="G6" s="198"/>
      <c r="H6" s="198"/>
      <c r="I6" s="198"/>
    </row>
    <row r="7" spans="1:9" ht="19.5" x14ac:dyDescent="0.2">
      <c r="A7" s="84" t="s">
        <v>116</v>
      </c>
      <c r="B7" s="334" t="str">
        <f>[3]OBRA!B2</f>
        <v>Neuhaus</v>
      </c>
      <c r="C7" s="334"/>
      <c r="D7" s="334"/>
      <c r="E7" s="334"/>
      <c r="F7" s="334"/>
      <c r="G7" s="334"/>
      <c r="H7" s="334"/>
      <c r="I7" s="334"/>
    </row>
    <row r="8" spans="1:9" ht="19.5" x14ac:dyDescent="0.2">
      <c r="A8" s="85" t="s">
        <v>0</v>
      </c>
      <c r="B8" s="334" t="str">
        <f>[3]OBRA!B1</f>
        <v>Origem 3300</v>
      </c>
      <c r="C8" s="334"/>
      <c r="D8" s="334"/>
      <c r="E8" s="334"/>
      <c r="F8" s="334"/>
      <c r="G8" s="334"/>
      <c r="H8" s="334"/>
      <c r="I8" s="334"/>
    </row>
    <row r="9" spans="1:9" ht="19.5" x14ac:dyDescent="0.2">
      <c r="A9" s="85" t="s">
        <v>10</v>
      </c>
      <c r="B9" s="337">
        <v>45509</v>
      </c>
      <c r="C9" s="337"/>
      <c r="D9" s="337"/>
      <c r="E9" s="337"/>
      <c r="F9" s="337"/>
      <c r="G9" s="337"/>
      <c r="H9" s="337"/>
      <c r="I9" s="337"/>
    </row>
    <row r="10" spans="1:9" ht="20.25" thickBot="1" x14ac:dyDescent="0.25">
      <c r="A10" s="86" t="s">
        <v>117</v>
      </c>
      <c r="B10" s="334" t="s">
        <v>55</v>
      </c>
      <c r="C10" s="334"/>
      <c r="D10" s="334"/>
      <c r="E10" s="334"/>
      <c r="F10" s="334"/>
      <c r="G10" s="334"/>
      <c r="H10" s="334"/>
      <c r="I10" s="334"/>
    </row>
    <row r="11" spans="1:9" ht="19.5" x14ac:dyDescent="0.2">
      <c r="A11" s="199"/>
      <c r="B11" s="199"/>
      <c r="C11" s="199"/>
      <c r="D11" s="200"/>
      <c r="E11" s="200"/>
      <c r="F11" s="200"/>
      <c r="G11" s="198"/>
      <c r="H11" s="198"/>
      <c r="I11" s="198"/>
    </row>
    <row r="12" spans="1:9" x14ac:dyDescent="0.2">
      <c r="A12" s="198"/>
      <c r="B12" s="198"/>
      <c r="C12" s="198"/>
      <c r="D12" s="198"/>
      <c r="E12" s="198"/>
      <c r="F12" s="198"/>
      <c r="G12" s="198"/>
      <c r="H12" s="198"/>
      <c r="I12" s="198"/>
    </row>
    <row r="13" spans="1:9" ht="12.95" customHeight="1" x14ac:dyDescent="0.2">
      <c r="A13" s="356" t="s">
        <v>653</v>
      </c>
      <c r="B13" s="357"/>
      <c r="C13" s="357"/>
      <c r="D13" s="357"/>
      <c r="E13" s="357"/>
      <c r="F13" s="357"/>
      <c r="G13" s="357"/>
      <c r="H13" s="357"/>
      <c r="I13" s="358"/>
    </row>
    <row r="14" spans="1:9" ht="12.95" customHeight="1" x14ac:dyDescent="0.2">
      <c r="A14" s="359"/>
      <c r="B14" s="360"/>
      <c r="C14" s="360"/>
      <c r="D14" s="360"/>
      <c r="E14" s="360"/>
      <c r="F14" s="360"/>
      <c r="G14" s="360"/>
      <c r="H14" s="360"/>
      <c r="I14" s="361"/>
    </row>
    <row r="15" spans="1:9" x14ac:dyDescent="0.2">
      <c r="A15" s="198"/>
      <c r="B15" s="198"/>
      <c r="C15" s="198"/>
      <c r="D15" s="198"/>
      <c r="E15" s="198"/>
      <c r="F15" s="198"/>
      <c r="G15" s="198"/>
      <c r="H15" s="198"/>
      <c r="I15" s="198"/>
    </row>
    <row r="16" spans="1:9" ht="23.85" customHeight="1" x14ac:dyDescent="0.2">
      <c r="A16" s="364" t="s">
        <v>35</v>
      </c>
      <c r="B16" s="366" t="s">
        <v>36</v>
      </c>
      <c r="C16" s="362" t="s">
        <v>114</v>
      </c>
      <c r="D16" s="362" t="s">
        <v>56</v>
      </c>
      <c r="E16" s="362" t="s">
        <v>58</v>
      </c>
      <c r="F16" s="362" t="s">
        <v>115</v>
      </c>
      <c r="G16" s="362" t="s">
        <v>56</v>
      </c>
      <c r="H16" s="362" t="s">
        <v>58</v>
      </c>
      <c r="I16" s="362" t="s">
        <v>59</v>
      </c>
    </row>
    <row r="17" spans="1:9" ht="23.85" customHeight="1" x14ac:dyDescent="0.2">
      <c r="A17" s="365"/>
      <c r="B17" s="367"/>
      <c r="C17" s="363"/>
      <c r="D17" s="363"/>
      <c r="E17" s="363"/>
      <c r="F17" s="363"/>
      <c r="G17" s="363"/>
      <c r="H17" s="363"/>
      <c r="I17" s="363"/>
    </row>
    <row r="18" spans="1:9" ht="49.7" customHeight="1" x14ac:dyDescent="0.6">
      <c r="A18" s="56" t="s">
        <v>37</v>
      </c>
      <c r="B18" s="57">
        <v>271.18</v>
      </c>
      <c r="C18" s="202">
        <f>Tempo!L4/30</f>
        <v>0.76666666666666672</v>
      </c>
      <c r="D18" s="56" t="s">
        <v>57</v>
      </c>
      <c r="E18" s="59">
        <v>48</v>
      </c>
      <c r="F18" s="202">
        <f>Tempo!P4/30</f>
        <v>1.0666666666666667</v>
      </c>
      <c r="G18" s="56" t="s">
        <v>57</v>
      </c>
      <c r="H18" s="59">
        <f t="shared" ref="H18:H51" si="0">E18*0.5</f>
        <v>24</v>
      </c>
      <c r="I18" s="78">
        <f t="shared" ref="I18:I51" si="1">(H18*F18+E18*C18)*B18</f>
        <v>16921.632000000001</v>
      </c>
    </row>
    <row r="19" spans="1:9" ht="21.75" x14ac:dyDescent="0.6">
      <c r="A19" s="56" t="s">
        <v>38</v>
      </c>
      <c r="B19" s="57">
        <v>980.62</v>
      </c>
      <c r="C19" s="202">
        <f>Tempo!L5/30</f>
        <v>1.4666666666666666</v>
      </c>
      <c r="D19" s="56" t="s">
        <v>57</v>
      </c>
      <c r="E19" s="59">
        <v>48</v>
      </c>
      <c r="F19" s="202">
        <f>Tempo!P5/30</f>
        <v>1.5666666666666667</v>
      </c>
      <c r="G19" s="56" t="s">
        <v>57</v>
      </c>
      <c r="H19" s="59">
        <f t="shared" si="0"/>
        <v>24</v>
      </c>
      <c r="I19" s="78">
        <f t="shared" si="1"/>
        <v>105906.96</v>
      </c>
    </row>
    <row r="20" spans="1:9" ht="21.75" x14ac:dyDescent="0.6">
      <c r="A20" s="56" t="s">
        <v>39</v>
      </c>
      <c r="B20" s="57">
        <v>980.62</v>
      </c>
      <c r="C20" s="202">
        <f>Tempo!L6/30</f>
        <v>1.3</v>
      </c>
      <c r="D20" s="56" t="s">
        <v>57</v>
      </c>
      <c r="E20" s="59">
        <v>48</v>
      </c>
      <c r="F20" s="202">
        <f>Tempo!P6/30</f>
        <v>1.2666666666666666</v>
      </c>
      <c r="G20" s="56" t="s">
        <v>57</v>
      </c>
      <c r="H20" s="59">
        <f t="shared" si="0"/>
        <v>24</v>
      </c>
      <c r="I20" s="78">
        <f t="shared" si="1"/>
        <v>91001.536000000007</v>
      </c>
    </row>
    <row r="21" spans="1:9" ht="21.75" x14ac:dyDescent="0.6">
      <c r="A21" s="56" t="s">
        <v>40</v>
      </c>
      <c r="B21" s="57">
        <v>980.62</v>
      </c>
      <c r="C21" s="202">
        <f>Tempo!L7/30</f>
        <v>1.5</v>
      </c>
      <c r="D21" s="56" t="s">
        <v>57</v>
      </c>
      <c r="E21" s="59">
        <v>48</v>
      </c>
      <c r="F21" s="202">
        <f>Tempo!P7/30</f>
        <v>1.1666666666666667</v>
      </c>
      <c r="G21" s="56" t="s">
        <v>57</v>
      </c>
      <c r="H21" s="59">
        <f t="shared" si="0"/>
        <v>24</v>
      </c>
      <c r="I21" s="78">
        <f t="shared" si="1"/>
        <v>98062</v>
      </c>
    </row>
    <row r="22" spans="1:9" ht="21.75" x14ac:dyDescent="0.6">
      <c r="A22" s="56" t="s">
        <v>41</v>
      </c>
      <c r="B22" s="57">
        <v>980.62</v>
      </c>
      <c r="C22" s="202">
        <f>Tempo!L8/30</f>
        <v>1.5333333333333334</v>
      </c>
      <c r="D22" s="56" t="s">
        <v>57</v>
      </c>
      <c r="E22" s="59">
        <v>48</v>
      </c>
      <c r="F22" s="202">
        <f>Tempo!P8/30</f>
        <v>1.1000000000000001</v>
      </c>
      <c r="G22" s="56" t="s">
        <v>57</v>
      </c>
      <c r="H22" s="59">
        <f t="shared" si="0"/>
        <v>24</v>
      </c>
      <c r="I22" s="78">
        <f t="shared" si="1"/>
        <v>98062.000000000015</v>
      </c>
    </row>
    <row r="23" spans="1:9" ht="21.75" x14ac:dyDescent="0.6">
      <c r="A23" s="56" t="s">
        <v>42</v>
      </c>
      <c r="B23" s="57">
        <v>979.79</v>
      </c>
      <c r="C23" s="202">
        <f>Tempo!L9/30</f>
        <v>2.0666666666666669</v>
      </c>
      <c r="D23" s="56" t="s">
        <v>57</v>
      </c>
      <c r="E23" s="59">
        <v>20</v>
      </c>
      <c r="F23" s="202">
        <f>Tempo!P9/30</f>
        <v>1.0666666666666667</v>
      </c>
      <c r="G23" s="56" t="s">
        <v>57</v>
      </c>
      <c r="H23" s="59">
        <v>10.82</v>
      </c>
      <c r="I23" s="78">
        <f t="shared" si="1"/>
        <v>51806.069653333332</v>
      </c>
    </row>
    <row r="24" spans="1:9" ht="21.75" x14ac:dyDescent="0.6">
      <c r="A24" s="56" t="s">
        <v>43</v>
      </c>
      <c r="B24" s="57">
        <v>304.20999999999998</v>
      </c>
      <c r="C24" s="202">
        <f>Tempo!L10/30</f>
        <v>0.7</v>
      </c>
      <c r="D24" s="56" t="s">
        <v>57</v>
      </c>
      <c r="E24" s="59">
        <v>20</v>
      </c>
      <c r="F24" s="202">
        <f>Tempo!P10/30</f>
        <v>1.0333333333333334</v>
      </c>
      <c r="G24" s="56" t="s">
        <v>57</v>
      </c>
      <c r="H24" s="59">
        <f t="shared" si="0"/>
        <v>10</v>
      </c>
      <c r="I24" s="78">
        <f t="shared" si="1"/>
        <v>7402.4433333333336</v>
      </c>
    </row>
    <row r="25" spans="1:9" ht="21.75" x14ac:dyDescent="0.6">
      <c r="A25" s="56" t="s">
        <v>44</v>
      </c>
      <c r="B25" s="57">
        <v>394.74</v>
      </c>
      <c r="C25" s="202">
        <f>Tempo!L11/30</f>
        <v>0.7</v>
      </c>
      <c r="D25" s="56" t="s">
        <v>57</v>
      </c>
      <c r="E25" s="59">
        <v>20</v>
      </c>
      <c r="F25" s="202">
        <f>Tempo!P11/30</f>
        <v>1.0333333333333334</v>
      </c>
      <c r="G25" s="56" t="s">
        <v>57</v>
      </c>
      <c r="H25" s="59">
        <f t="shared" si="0"/>
        <v>10</v>
      </c>
      <c r="I25" s="78">
        <f t="shared" si="1"/>
        <v>9605.340000000002</v>
      </c>
    </row>
    <row r="26" spans="1:9" ht="21.75" x14ac:dyDescent="0.6">
      <c r="A26" s="56" t="s">
        <v>107</v>
      </c>
      <c r="B26" s="57">
        <v>322.07</v>
      </c>
      <c r="C26" s="202">
        <f>Tempo!L12/30</f>
        <v>0.7</v>
      </c>
      <c r="D26" s="56" t="s">
        <v>57</v>
      </c>
      <c r="E26" s="59">
        <v>20</v>
      </c>
      <c r="F26" s="202">
        <f>Tempo!P12/30</f>
        <v>1.0333333333333334</v>
      </c>
      <c r="G26" s="56" t="s">
        <v>57</v>
      </c>
      <c r="H26" s="59">
        <f t="shared" si="0"/>
        <v>10</v>
      </c>
      <c r="I26" s="78">
        <f t="shared" si="1"/>
        <v>7837.0366666666669</v>
      </c>
    </row>
    <row r="27" spans="1:9" ht="21.75" x14ac:dyDescent="0.6">
      <c r="A27" s="56" t="s">
        <v>107</v>
      </c>
      <c r="B27" s="57">
        <v>322.07</v>
      </c>
      <c r="C27" s="202">
        <f>Tempo!L13/30</f>
        <v>0.7</v>
      </c>
      <c r="D27" s="56" t="s">
        <v>57</v>
      </c>
      <c r="E27" s="59">
        <v>20</v>
      </c>
      <c r="F27" s="202">
        <f>Tempo!P13/30</f>
        <v>1.0333333333333334</v>
      </c>
      <c r="G27" s="56" t="s">
        <v>57</v>
      </c>
      <c r="H27" s="59">
        <f t="shared" si="0"/>
        <v>10</v>
      </c>
      <c r="I27" s="78">
        <f t="shared" si="1"/>
        <v>7837.0366666666669</v>
      </c>
    </row>
    <row r="28" spans="1:9" ht="21.75" x14ac:dyDescent="0.6">
      <c r="A28" s="56" t="s">
        <v>107</v>
      </c>
      <c r="B28" s="57">
        <v>322.07</v>
      </c>
      <c r="C28" s="202">
        <f>Tempo!L14/30</f>
        <v>0.56666666666666665</v>
      </c>
      <c r="D28" s="56" t="s">
        <v>57</v>
      </c>
      <c r="E28" s="59">
        <v>20</v>
      </c>
      <c r="F28" s="202">
        <f>Tempo!P14/30</f>
        <v>0.96666666666666667</v>
      </c>
      <c r="G28" s="56" t="s">
        <v>57</v>
      </c>
      <c r="H28" s="59">
        <f t="shared" si="0"/>
        <v>10</v>
      </c>
      <c r="I28" s="78">
        <f t="shared" si="1"/>
        <v>6763.47</v>
      </c>
    </row>
    <row r="29" spans="1:9" ht="21.75" x14ac:dyDescent="0.6">
      <c r="A29" s="56" t="s">
        <v>107</v>
      </c>
      <c r="B29" s="57">
        <v>322.07</v>
      </c>
      <c r="C29" s="202">
        <f>Tempo!L15/30</f>
        <v>0.56666666666666665</v>
      </c>
      <c r="D29" s="56" t="s">
        <v>57</v>
      </c>
      <c r="E29" s="59">
        <v>20</v>
      </c>
      <c r="F29" s="202">
        <f>Tempo!P15/30</f>
        <v>1.0333333333333334</v>
      </c>
      <c r="G29" s="56" t="s">
        <v>57</v>
      </c>
      <c r="H29" s="59">
        <f t="shared" si="0"/>
        <v>10</v>
      </c>
      <c r="I29" s="78">
        <f t="shared" si="1"/>
        <v>6978.1833333333325</v>
      </c>
    </row>
    <row r="30" spans="1:9" ht="21.75" x14ac:dyDescent="0.6">
      <c r="A30" s="56" t="s">
        <v>107</v>
      </c>
      <c r="B30" s="57">
        <v>322.07</v>
      </c>
      <c r="C30" s="202">
        <f>Tempo!L16/30</f>
        <v>0.56666666666666665</v>
      </c>
      <c r="D30" s="56" t="s">
        <v>57</v>
      </c>
      <c r="E30" s="59">
        <v>20</v>
      </c>
      <c r="F30" s="202">
        <f>Tempo!P16/30</f>
        <v>1.5333333333333334</v>
      </c>
      <c r="G30" s="56" t="s">
        <v>57</v>
      </c>
      <c r="H30" s="59">
        <f t="shared" si="0"/>
        <v>10</v>
      </c>
      <c r="I30" s="78">
        <f t="shared" si="1"/>
        <v>8588.5333333333328</v>
      </c>
    </row>
    <row r="31" spans="1:9" ht="21.75" x14ac:dyDescent="0.6">
      <c r="A31" s="56" t="s">
        <v>107</v>
      </c>
      <c r="B31" s="57">
        <v>322.07</v>
      </c>
      <c r="C31" s="202">
        <f>Tempo!L17/30</f>
        <v>0.56666666666666665</v>
      </c>
      <c r="D31" s="56" t="s">
        <v>57</v>
      </c>
      <c r="E31" s="59">
        <v>20</v>
      </c>
      <c r="F31" s="202">
        <f>Tempo!P17/30</f>
        <v>1.5333333333333334</v>
      </c>
      <c r="G31" s="56" t="s">
        <v>57</v>
      </c>
      <c r="H31" s="59">
        <f t="shared" si="0"/>
        <v>10</v>
      </c>
      <c r="I31" s="78">
        <f t="shared" si="1"/>
        <v>8588.5333333333328</v>
      </c>
    </row>
    <row r="32" spans="1:9" ht="21.75" x14ac:dyDescent="0.6">
      <c r="A32" s="56" t="s">
        <v>107</v>
      </c>
      <c r="B32" s="57">
        <v>322.07</v>
      </c>
      <c r="C32" s="202">
        <f>Tempo!L18/30</f>
        <v>1.1333333333333333</v>
      </c>
      <c r="D32" s="56" t="s">
        <v>57</v>
      </c>
      <c r="E32" s="59">
        <v>20</v>
      </c>
      <c r="F32" s="202">
        <f>Tempo!P18/30</f>
        <v>0.96666666666666667</v>
      </c>
      <c r="G32" s="56" t="s">
        <v>57</v>
      </c>
      <c r="H32" s="59">
        <f t="shared" si="0"/>
        <v>10</v>
      </c>
      <c r="I32" s="78">
        <f t="shared" si="1"/>
        <v>10413.596666666665</v>
      </c>
    </row>
    <row r="33" spans="1:9" ht="21.75" x14ac:dyDescent="0.6">
      <c r="A33" s="56" t="s">
        <v>107</v>
      </c>
      <c r="B33" s="57">
        <v>322.07</v>
      </c>
      <c r="C33" s="202">
        <f>Tempo!L19/30</f>
        <v>0.56666666666666665</v>
      </c>
      <c r="D33" s="56" t="s">
        <v>57</v>
      </c>
      <c r="E33" s="59">
        <v>20</v>
      </c>
      <c r="F33" s="202">
        <f>Tempo!P19/30</f>
        <v>1.1000000000000001</v>
      </c>
      <c r="G33" s="56" t="s">
        <v>57</v>
      </c>
      <c r="H33" s="59">
        <f t="shared" si="0"/>
        <v>10</v>
      </c>
      <c r="I33" s="78">
        <f t="shared" si="1"/>
        <v>7192.8966666666665</v>
      </c>
    </row>
    <row r="34" spans="1:9" ht="21.75" x14ac:dyDescent="0.6">
      <c r="A34" s="56" t="s">
        <v>107</v>
      </c>
      <c r="B34" s="57">
        <v>322.07</v>
      </c>
      <c r="C34" s="202">
        <f>Tempo!L20/30</f>
        <v>0.56666666666666665</v>
      </c>
      <c r="D34" s="56" t="s">
        <v>57</v>
      </c>
      <c r="E34" s="59">
        <v>20</v>
      </c>
      <c r="F34" s="202">
        <f>Tempo!P20/30</f>
        <v>1.1000000000000001</v>
      </c>
      <c r="G34" s="56" t="s">
        <v>57</v>
      </c>
      <c r="H34" s="59">
        <f t="shared" si="0"/>
        <v>10</v>
      </c>
      <c r="I34" s="78">
        <f t="shared" si="1"/>
        <v>7192.8966666666665</v>
      </c>
    </row>
    <row r="35" spans="1:9" ht="21.75" x14ac:dyDescent="0.6">
      <c r="A35" s="56" t="s">
        <v>107</v>
      </c>
      <c r="B35" s="57">
        <v>322.07</v>
      </c>
      <c r="C35" s="202">
        <f>Tempo!L21/30</f>
        <v>0.7</v>
      </c>
      <c r="D35" s="56" t="s">
        <v>57</v>
      </c>
      <c r="E35" s="59">
        <v>20</v>
      </c>
      <c r="F35" s="202">
        <f>Tempo!P21/30</f>
        <v>1.0666666666666667</v>
      </c>
      <c r="G35" s="56" t="s">
        <v>57</v>
      </c>
      <c r="H35" s="59">
        <f t="shared" si="0"/>
        <v>10</v>
      </c>
      <c r="I35" s="78">
        <f t="shared" si="1"/>
        <v>7944.3933333333325</v>
      </c>
    </row>
    <row r="36" spans="1:9" ht="21.75" x14ac:dyDescent="0.6">
      <c r="A36" s="56" t="s">
        <v>107</v>
      </c>
      <c r="B36" s="57">
        <v>322.07</v>
      </c>
      <c r="C36" s="202">
        <f>Tempo!L22/30</f>
        <v>0.56666666666666665</v>
      </c>
      <c r="D36" s="56" t="s">
        <v>57</v>
      </c>
      <c r="E36" s="59">
        <v>20</v>
      </c>
      <c r="F36" s="202">
        <f>Tempo!P22/30</f>
        <v>1.1000000000000001</v>
      </c>
      <c r="G36" s="56" t="s">
        <v>57</v>
      </c>
      <c r="H36" s="59">
        <f t="shared" si="0"/>
        <v>10</v>
      </c>
      <c r="I36" s="78">
        <f t="shared" si="1"/>
        <v>7192.8966666666665</v>
      </c>
    </row>
    <row r="37" spans="1:9" ht="21.75" x14ac:dyDescent="0.6">
      <c r="A37" s="56" t="s">
        <v>107</v>
      </c>
      <c r="B37" s="57">
        <v>322.07</v>
      </c>
      <c r="C37" s="202">
        <f>Tempo!L23/30</f>
        <v>0.56666666666666665</v>
      </c>
      <c r="D37" s="56" t="s">
        <v>57</v>
      </c>
      <c r="E37" s="59">
        <v>20</v>
      </c>
      <c r="F37" s="202">
        <f>Tempo!P23/30</f>
        <v>1.1333333333333333</v>
      </c>
      <c r="G37" s="56" t="s">
        <v>57</v>
      </c>
      <c r="H37" s="59">
        <f t="shared" si="0"/>
        <v>10</v>
      </c>
      <c r="I37" s="78">
        <f t="shared" si="1"/>
        <v>7300.2533333333322</v>
      </c>
    </row>
    <row r="38" spans="1:9" ht="21.75" x14ac:dyDescent="0.6">
      <c r="A38" s="56" t="s">
        <v>107</v>
      </c>
      <c r="B38" s="57">
        <v>322.07</v>
      </c>
      <c r="C38" s="202">
        <f>Tempo!L24/30</f>
        <v>0.6</v>
      </c>
      <c r="D38" s="56" t="s">
        <v>57</v>
      </c>
      <c r="E38" s="59">
        <v>20</v>
      </c>
      <c r="F38" s="202">
        <f>Tempo!P24/30</f>
        <v>1.1666666666666667</v>
      </c>
      <c r="G38" s="56" t="s">
        <v>57</v>
      </c>
      <c r="H38" s="59">
        <f t="shared" si="0"/>
        <v>10</v>
      </c>
      <c r="I38" s="78">
        <f t="shared" si="1"/>
        <v>7622.3233333333337</v>
      </c>
    </row>
    <row r="39" spans="1:9" ht="21.75" x14ac:dyDescent="0.6">
      <c r="A39" s="56" t="s">
        <v>107</v>
      </c>
      <c r="B39" s="57">
        <v>322.07</v>
      </c>
      <c r="C39" s="202">
        <f>Tempo!L25/30</f>
        <v>0.6333333333333333</v>
      </c>
      <c r="D39" s="56" t="s">
        <v>57</v>
      </c>
      <c r="E39" s="59">
        <v>20</v>
      </c>
      <c r="F39" s="202">
        <f>Tempo!P25/30</f>
        <v>1.0666666666666667</v>
      </c>
      <c r="G39" s="56" t="s">
        <v>57</v>
      </c>
      <c r="H39" s="59">
        <f t="shared" si="0"/>
        <v>10</v>
      </c>
      <c r="I39" s="78">
        <f t="shared" si="1"/>
        <v>7514.9666666666662</v>
      </c>
    </row>
    <row r="40" spans="1:9" ht="21.75" x14ac:dyDescent="0.6">
      <c r="A40" s="56" t="s">
        <v>107</v>
      </c>
      <c r="B40" s="57">
        <v>322.07</v>
      </c>
      <c r="C40" s="202">
        <f>Tempo!L26/30</f>
        <v>0.56666666666666665</v>
      </c>
      <c r="D40" s="56" t="s">
        <v>57</v>
      </c>
      <c r="E40" s="59">
        <v>20</v>
      </c>
      <c r="F40" s="202">
        <f>Tempo!P26/30</f>
        <v>1.0666666666666667</v>
      </c>
      <c r="G40" s="56" t="s">
        <v>57</v>
      </c>
      <c r="H40" s="59">
        <f t="shared" si="0"/>
        <v>10</v>
      </c>
      <c r="I40" s="78">
        <f t="shared" si="1"/>
        <v>7085.54</v>
      </c>
    </row>
    <row r="41" spans="1:9" ht="21.75" x14ac:dyDescent="0.6">
      <c r="A41" s="56" t="s">
        <v>107</v>
      </c>
      <c r="B41" s="57">
        <v>322.07</v>
      </c>
      <c r="C41" s="202">
        <f>Tempo!L27/30</f>
        <v>0.66666666666666663</v>
      </c>
      <c r="D41" s="56" t="s">
        <v>57</v>
      </c>
      <c r="E41" s="59">
        <v>20</v>
      </c>
      <c r="F41" s="202">
        <f>Tempo!P27/30</f>
        <v>0.96666666666666667</v>
      </c>
      <c r="G41" s="56" t="s">
        <v>57</v>
      </c>
      <c r="H41" s="59">
        <f t="shared" si="0"/>
        <v>10</v>
      </c>
      <c r="I41" s="78">
        <f t="shared" si="1"/>
        <v>7407.61</v>
      </c>
    </row>
    <row r="42" spans="1:9" ht="21.75" x14ac:dyDescent="0.6">
      <c r="A42" s="56" t="s">
        <v>107</v>
      </c>
      <c r="B42" s="57">
        <v>322.07</v>
      </c>
      <c r="C42" s="202">
        <f>Tempo!L28/30</f>
        <v>0.56666666666666665</v>
      </c>
      <c r="D42" s="56" t="s">
        <v>57</v>
      </c>
      <c r="E42" s="59">
        <v>20</v>
      </c>
      <c r="F42" s="202">
        <f>Tempo!P28/30</f>
        <v>1.0666666666666667</v>
      </c>
      <c r="G42" s="56" t="s">
        <v>57</v>
      </c>
      <c r="H42" s="59">
        <f t="shared" si="0"/>
        <v>10</v>
      </c>
      <c r="I42" s="78">
        <f t="shared" si="1"/>
        <v>7085.54</v>
      </c>
    </row>
    <row r="43" spans="1:9" ht="21.75" x14ac:dyDescent="0.6">
      <c r="A43" s="56" t="s">
        <v>107</v>
      </c>
      <c r="B43" s="57">
        <v>322.91000000000003</v>
      </c>
      <c r="C43" s="202">
        <f>Tempo!L29/30</f>
        <v>0.56666666666666665</v>
      </c>
      <c r="D43" s="56" t="s">
        <v>57</v>
      </c>
      <c r="E43" s="59">
        <v>20</v>
      </c>
      <c r="F43" s="202">
        <f>Tempo!P29/30</f>
        <v>1.0666666666666667</v>
      </c>
      <c r="G43" s="56" t="s">
        <v>57</v>
      </c>
      <c r="H43" s="59">
        <f t="shared" si="0"/>
        <v>10</v>
      </c>
      <c r="I43" s="78">
        <f t="shared" si="1"/>
        <v>7104.02</v>
      </c>
    </row>
    <row r="44" spans="1:9" ht="21.75" x14ac:dyDescent="0.6">
      <c r="A44" s="56" t="s">
        <v>46</v>
      </c>
      <c r="B44" s="57">
        <v>322.63</v>
      </c>
      <c r="C44" s="202">
        <f>Tempo!L30/30</f>
        <v>0.7</v>
      </c>
      <c r="D44" s="56" t="s">
        <v>57</v>
      </c>
      <c r="E44" s="59">
        <v>20</v>
      </c>
      <c r="F44" s="202">
        <f>Tempo!P30/30</f>
        <v>0.96666666666666667</v>
      </c>
      <c r="G44" s="56" t="s">
        <v>57</v>
      </c>
      <c r="H44" s="59">
        <f t="shared" si="0"/>
        <v>10</v>
      </c>
      <c r="I44" s="78">
        <f t="shared" si="1"/>
        <v>7635.5766666666659</v>
      </c>
    </row>
    <row r="45" spans="1:9" ht="21.75" x14ac:dyDescent="0.6">
      <c r="A45" s="56" t="s">
        <v>48</v>
      </c>
      <c r="B45" s="57">
        <v>262.10000000000002</v>
      </c>
      <c r="C45" s="202">
        <f>Tempo!L31/30</f>
        <v>0.6</v>
      </c>
      <c r="D45" s="56" t="s">
        <v>57</v>
      </c>
      <c r="E45" s="59">
        <v>20</v>
      </c>
      <c r="F45" s="202">
        <f>Tempo!P31/30</f>
        <v>1.0666666666666667</v>
      </c>
      <c r="G45" s="56" t="s">
        <v>57</v>
      </c>
      <c r="H45" s="59">
        <f t="shared" si="0"/>
        <v>10</v>
      </c>
      <c r="I45" s="78">
        <f t="shared" si="1"/>
        <v>5940.9333333333334</v>
      </c>
    </row>
    <row r="46" spans="1:9" ht="21.75" x14ac:dyDescent="0.6">
      <c r="A46" s="56" t="s">
        <v>47</v>
      </c>
      <c r="B46" s="57">
        <v>322.67</v>
      </c>
      <c r="C46" s="202">
        <f>Tempo!L32/30</f>
        <v>0.6</v>
      </c>
      <c r="D46" s="56" t="s">
        <v>57</v>
      </c>
      <c r="E46" s="59">
        <v>20</v>
      </c>
      <c r="F46" s="202">
        <f>Tempo!P32/30</f>
        <v>1.0666666666666667</v>
      </c>
      <c r="G46" s="56" t="s">
        <v>57</v>
      </c>
      <c r="H46" s="59">
        <f t="shared" si="0"/>
        <v>10</v>
      </c>
      <c r="I46" s="78">
        <f t="shared" si="1"/>
        <v>7313.8533333333326</v>
      </c>
    </row>
    <row r="47" spans="1:9" ht="21.75" x14ac:dyDescent="0.6">
      <c r="A47" s="56" t="s">
        <v>49</v>
      </c>
      <c r="B47" s="57">
        <v>262.10000000000002</v>
      </c>
      <c r="C47" s="202">
        <f>Tempo!L33/30</f>
        <v>0.6333333333333333</v>
      </c>
      <c r="D47" s="56" t="s">
        <v>57</v>
      </c>
      <c r="E47" s="59">
        <v>20</v>
      </c>
      <c r="F47" s="202">
        <f>Tempo!P33/30</f>
        <v>1.0666666666666667</v>
      </c>
      <c r="G47" s="56" t="s">
        <v>57</v>
      </c>
      <c r="H47" s="59">
        <f t="shared" si="0"/>
        <v>10</v>
      </c>
      <c r="I47" s="78">
        <f t="shared" si="1"/>
        <v>6115.666666666667</v>
      </c>
    </row>
    <row r="48" spans="1:9" ht="21.75" x14ac:dyDescent="0.6">
      <c r="A48" s="56" t="s">
        <v>50</v>
      </c>
      <c r="B48" s="57">
        <v>320.88</v>
      </c>
      <c r="C48" s="202">
        <f>Tempo!L34/30</f>
        <v>0.76666666666666672</v>
      </c>
      <c r="D48" s="56" t="s">
        <v>57</v>
      </c>
      <c r="E48" s="59">
        <v>20</v>
      </c>
      <c r="F48" s="202">
        <f>Tempo!P34/30</f>
        <v>1.1000000000000001</v>
      </c>
      <c r="G48" s="56" t="s">
        <v>57</v>
      </c>
      <c r="H48" s="59">
        <f t="shared" si="0"/>
        <v>10</v>
      </c>
      <c r="I48" s="78">
        <f t="shared" si="1"/>
        <v>8449.84</v>
      </c>
    </row>
    <row r="49" spans="1:9" ht="21.75" x14ac:dyDescent="0.6">
      <c r="A49" s="56" t="s">
        <v>51</v>
      </c>
      <c r="B49" s="57">
        <v>276.67</v>
      </c>
      <c r="C49" s="202">
        <f>Tempo!L35/30</f>
        <v>0.8</v>
      </c>
      <c r="D49" s="56" t="s">
        <v>57</v>
      </c>
      <c r="E49" s="59">
        <v>20</v>
      </c>
      <c r="F49" s="202">
        <f>Tempo!P35/30</f>
        <v>1.0666666666666667</v>
      </c>
      <c r="G49" s="56" t="s">
        <v>57</v>
      </c>
      <c r="H49" s="59">
        <f t="shared" si="0"/>
        <v>10</v>
      </c>
      <c r="I49" s="78">
        <f t="shared" si="1"/>
        <v>7377.8666666666668</v>
      </c>
    </row>
    <row r="50" spans="1:9" ht="21.75" x14ac:dyDescent="0.6">
      <c r="A50" s="56" t="s">
        <v>45</v>
      </c>
      <c r="B50" s="57">
        <v>36.76</v>
      </c>
      <c r="C50" s="202">
        <f>Tempo!L36/30</f>
        <v>0.8</v>
      </c>
      <c r="D50" s="56" t="s">
        <v>57</v>
      </c>
      <c r="E50" s="59">
        <v>20</v>
      </c>
      <c r="F50" s="202">
        <f>Tempo!P36/30</f>
        <v>1.5333333333333334</v>
      </c>
      <c r="G50" s="56" t="s">
        <v>57</v>
      </c>
      <c r="H50" s="59">
        <f t="shared" si="0"/>
        <v>10</v>
      </c>
      <c r="I50" s="78">
        <f t="shared" si="1"/>
        <v>1151.8133333333333</v>
      </c>
    </row>
    <row r="51" spans="1:9" ht="21.75" x14ac:dyDescent="0.6">
      <c r="A51" s="56" t="s">
        <v>52</v>
      </c>
      <c r="B51" s="57">
        <v>47.53</v>
      </c>
      <c r="C51" s="202">
        <f>Tempo!L37/30</f>
        <v>0.6</v>
      </c>
      <c r="D51" s="56" t="s">
        <v>57</v>
      </c>
      <c r="E51" s="59">
        <v>20</v>
      </c>
      <c r="F51" s="202">
        <f>Tempo!P37/30</f>
        <v>1.5333333333333334</v>
      </c>
      <c r="G51" s="56" t="s">
        <v>57</v>
      </c>
      <c r="H51" s="59">
        <f t="shared" si="0"/>
        <v>10</v>
      </c>
      <c r="I51" s="78">
        <f t="shared" si="1"/>
        <v>1299.1533333333334</v>
      </c>
    </row>
    <row r="52" spans="1:9" ht="21.75" x14ac:dyDescent="0.6">
      <c r="A52" s="193" t="s">
        <v>652</v>
      </c>
      <c r="B52" s="194">
        <f>SUM(B18:B51)</f>
        <v>13521.839999999995</v>
      </c>
      <c r="C52" s="194">
        <f>SUM(C18:C51)</f>
        <v>26.9</v>
      </c>
      <c r="D52" s="195"/>
      <c r="E52" s="195"/>
      <c r="F52" s="194">
        <f>SUM(F18:F51)</f>
        <v>38.700000000000003</v>
      </c>
      <c r="G52" s="195"/>
      <c r="H52" s="195"/>
      <c r="I52" s="196">
        <f>SUM(I18:I51)</f>
        <v>661702.41098666668</v>
      </c>
    </row>
    <row r="53" spans="1:9" ht="21.75" x14ac:dyDescent="0.6">
      <c r="B53" s="55"/>
    </row>
    <row r="54" spans="1:9" x14ac:dyDescent="0.2">
      <c r="B54" s="76"/>
      <c r="H54" s="77"/>
    </row>
    <row r="60" spans="1:9" x14ac:dyDescent="0.2">
      <c r="F60" s="77"/>
    </row>
  </sheetData>
  <mergeCells count="15">
    <mergeCell ref="A1:I5"/>
    <mergeCell ref="G16:G17"/>
    <mergeCell ref="H16:H17"/>
    <mergeCell ref="I16:I17"/>
    <mergeCell ref="C16:C17"/>
    <mergeCell ref="D16:D17"/>
    <mergeCell ref="E16:E17"/>
    <mergeCell ref="F16:F17"/>
    <mergeCell ref="A16:A17"/>
    <mergeCell ref="B16:B17"/>
    <mergeCell ref="A13:I14"/>
    <mergeCell ref="B7:I7"/>
    <mergeCell ref="B8:I8"/>
    <mergeCell ref="B9:I9"/>
    <mergeCell ref="B10:I10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9190-5AA0-4FEA-B66E-8E94D7D65548}">
  <dimension ref="A1:Q79"/>
  <sheetViews>
    <sheetView workbookViewId="0">
      <selection activeCell="K77" sqref="K77"/>
    </sheetView>
  </sheetViews>
  <sheetFormatPr defaultRowHeight="14.25" x14ac:dyDescent="0.2"/>
  <cols>
    <col min="2" max="2" width="25.42578125" bestFit="1" customWidth="1"/>
    <col min="3" max="3" width="10.85546875" bestFit="1" customWidth="1"/>
    <col min="4" max="4" width="29.42578125" bestFit="1" customWidth="1"/>
    <col min="5" max="5" width="18.5703125" bestFit="1" customWidth="1"/>
    <col min="6" max="6" width="22.5703125" bestFit="1" customWidth="1"/>
    <col min="9" max="9" width="31.42578125" style="66" bestFit="1" customWidth="1"/>
    <col min="10" max="10" width="13.7109375" style="66" bestFit="1" customWidth="1"/>
    <col min="11" max="11" width="17.5703125" style="66" bestFit="1" customWidth="1"/>
    <col min="12" max="12" width="20.5703125" style="66" bestFit="1" customWidth="1"/>
    <col min="13" max="13" width="20.5703125" style="66" customWidth="1"/>
    <col min="14" max="14" width="31.42578125" style="66" bestFit="1" customWidth="1"/>
    <col min="15" max="15" width="18.140625" style="66" bestFit="1" customWidth="1"/>
    <col min="16" max="16" width="22.42578125" style="66" bestFit="1" customWidth="1"/>
    <col min="17" max="17" width="22.42578125" style="66" customWidth="1"/>
  </cols>
  <sheetData>
    <row r="1" spans="1:17" ht="23.25" x14ac:dyDescent="0.35">
      <c r="A1" s="61" t="s">
        <v>60</v>
      </c>
      <c r="B1" s="61" t="s">
        <v>61</v>
      </c>
      <c r="C1" s="61" t="s">
        <v>61</v>
      </c>
      <c r="D1" s="61" t="s">
        <v>61</v>
      </c>
      <c r="E1" s="61" t="s">
        <v>61</v>
      </c>
      <c r="F1" s="61" t="s">
        <v>61</v>
      </c>
    </row>
    <row r="2" spans="1:17" ht="15.75" x14ac:dyDescent="0.25">
      <c r="A2" s="60" t="s">
        <v>62</v>
      </c>
      <c r="B2" s="60" t="s">
        <v>61</v>
      </c>
      <c r="C2" s="60" t="s">
        <v>61</v>
      </c>
      <c r="D2" s="60" t="s">
        <v>61</v>
      </c>
      <c r="E2" s="60" t="s">
        <v>61</v>
      </c>
      <c r="F2" s="60" t="s">
        <v>61</v>
      </c>
    </row>
    <row r="3" spans="1:17" s="70" customFormat="1" ht="31.5" thickBot="1" x14ac:dyDescent="0.35">
      <c r="A3" s="69" t="s">
        <v>61</v>
      </c>
      <c r="B3" s="69" t="s">
        <v>61</v>
      </c>
      <c r="C3" s="69" t="s">
        <v>61</v>
      </c>
      <c r="D3" s="69" t="s">
        <v>61</v>
      </c>
      <c r="E3" s="69" t="s">
        <v>61</v>
      </c>
      <c r="F3" s="69" t="s">
        <v>61</v>
      </c>
      <c r="I3" s="71" t="s">
        <v>65</v>
      </c>
      <c r="J3" s="71" t="s">
        <v>108</v>
      </c>
      <c r="K3" s="71" t="s">
        <v>111</v>
      </c>
      <c r="L3" s="71" t="s">
        <v>112</v>
      </c>
      <c r="M3" s="71" t="s">
        <v>113</v>
      </c>
      <c r="N3" s="71" t="s">
        <v>65</v>
      </c>
      <c r="O3" s="71" t="s">
        <v>109</v>
      </c>
      <c r="P3" s="71" t="s">
        <v>110</v>
      </c>
      <c r="Q3" s="71" t="s">
        <v>113</v>
      </c>
    </row>
    <row r="4" spans="1:17" ht="21" thickTop="1" thickBot="1" x14ac:dyDescent="0.35">
      <c r="A4" s="62" t="s">
        <v>61</v>
      </c>
      <c r="B4" s="62" t="s">
        <v>63</v>
      </c>
      <c r="C4" s="62" t="s">
        <v>64</v>
      </c>
      <c r="D4" s="62" t="s">
        <v>65</v>
      </c>
      <c r="E4" s="62" t="s">
        <v>66</v>
      </c>
      <c r="F4" s="62" t="s">
        <v>67</v>
      </c>
      <c r="I4" s="67" t="s">
        <v>70</v>
      </c>
      <c r="J4" s="66">
        <f t="shared" ref="J4:J37" si="0">SUMIF($D$5:$D$77,I4,$G$5:$G$77)</f>
        <v>22</v>
      </c>
      <c r="K4" s="66">
        <f>SUMIFS($G$5:$G$77,$D$5:$D$77,I4,$B$5:$B$77,"EST - Desforma")</f>
        <v>2</v>
      </c>
      <c r="L4" s="72">
        <f>J4-K4+3</f>
        <v>23</v>
      </c>
      <c r="M4" s="74">
        <f>L4/30*22</f>
        <v>16.866666666666667</v>
      </c>
      <c r="N4" s="67" t="s">
        <v>70</v>
      </c>
      <c r="O4" s="66">
        <f>F8-E5</f>
        <v>55</v>
      </c>
      <c r="P4" s="73">
        <f>O4-L4</f>
        <v>32</v>
      </c>
      <c r="Q4" s="75">
        <f>P4/30*22</f>
        <v>23.466666666666665</v>
      </c>
    </row>
    <row r="5" spans="1:17" ht="15.75" thickTop="1" x14ac:dyDescent="0.25">
      <c r="A5" s="65" t="s">
        <v>61</v>
      </c>
      <c r="B5" s="63" t="s">
        <v>68</v>
      </c>
      <c r="C5" s="63" t="s">
        <v>69</v>
      </c>
      <c r="D5" s="63" t="s">
        <v>70</v>
      </c>
      <c r="E5" s="64">
        <v>45582</v>
      </c>
      <c r="F5" s="64">
        <v>45602</v>
      </c>
      <c r="G5">
        <f>F5-E5</f>
        <v>20</v>
      </c>
      <c r="I5" s="68" t="s">
        <v>72</v>
      </c>
      <c r="J5" s="66">
        <f t="shared" si="0"/>
        <v>43</v>
      </c>
      <c r="K5" s="66">
        <f t="shared" ref="K5:K37" si="1">SUMIFS($G$5:$G$77,$D$5:$D$77,I5,$B$5:$B$77,"EST - Desforma")</f>
        <v>2</v>
      </c>
      <c r="L5" s="72">
        <f t="shared" ref="L5:L37" si="2">J5-K5+3</f>
        <v>44</v>
      </c>
      <c r="M5" s="74">
        <f t="shared" ref="M5:M37" si="3">L5/30*22</f>
        <v>32.266666666666666</v>
      </c>
      <c r="N5" s="68" t="s">
        <v>72</v>
      </c>
      <c r="O5" s="66">
        <f>F11-E6</f>
        <v>91</v>
      </c>
      <c r="P5" s="73">
        <f t="shared" ref="P5:P37" si="4">O5-L5</f>
        <v>47</v>
      </c>
      <c r="Q5" s="75">
        <f t="shared" ref="Q5:Q37" si="5">P5/30*22</f>
        <v>34.466666666666669</v>
      </c>
    </row>
    <row r="6" spans="1:17" ht="15" x14ac:dyDescent="0.25">
      <c r="A6" s="65" t="s">
        <v>61</v>
      </c>
      <c r="B6" s="63" t="s">
        <v>71</v>
      </c>
      <c r="C6" s="63" t="s">
        <v>69</v>
      </c>
      <c r="D6" s="63" t="s">
        <v>72</v>
      </c>
      <c r="E6" s="64">
        <v>45603</v>
      </c>
      <c r="F6" s="64">
        <v>45624</v>
      </c>
      <c r="G6">
        <f t="shared" ref="G6:G69" si="6">F6-E6</f>
        <v>21</v>
      </c>
      <c r="I6" s="68" t="s">
        <v>75</v>
      </c>
      <c r="J6" s="66">
        <f t="shared" si="0"/>
        <v>40</v>
      </c>
      <c r="K6" s="66">
        <f t="shared" si="1"/>
        <v>4</v>
      </c>
      <c r="L6" s="72">
        <f t="shared" si="2"/>
        <v>39</v>
      </c>
      <c r="M6" s="74">
        <f t="shared" si="3"/>
        <v>28.6</v>
      </c>
      <c r="N6" s="68" t="s">
        <v>75</v>
      </c>
      <c r="O6" s="66">
        <f>F14-E9</f>
        <v>77</v>
      </c>
      <c r="P6" s="73">
        <f t="shared" si="4"/>
        <v>38</v>
      </c>
      <c r="Q6" s="75">
        <f t="shared" si="5"/>
        <v>27.866666666666667</v>
      </c>
    </row>
    <row r="7" spans="1:17" ht="15" x14ac:dyDescent="0.25">
      <c r="A7" s="65" t="s">
        <v>61</v>
      </c>
      <c r="B7" s="63" t="s">
        <v>73</v>
      </c>
      <c r="C7" s="63" t="s">
        <v>69</v>
      </c>
      <c r="D7" s="63" t="s">
        <v>72</v>
      </c>
      <c r="E7" s="64">
        <v>45625</v>
      </c>
      <c r="F7" s="64">
        <v>45645</v>
      </c>
      <c r="G7">
        <f t="shared" si="6"/>
        <v>20</v>
      </c>
      <c r="I7" s="68" t="s">
        <v>76</v>
      </c>
      <c r="J7" s="66">
        <f t="shared" si="0"/>
        <v>44</v>
      </c>
      <c r="K7" s="66">
        <f t="shared" si="1"/>
        <v>2</v>
      </c>
      <c r="L7" s="72">
        <f t="shared" si="2"/>
        <v>45</v>
      </c>
      <c r="M7" s="74">
        <f t="shared" si="3"/>
        <v>33</v>
      </c>
      <c r="N7" s="68" t="s">
        <v>76</v>
      </c>
      <c r="O7" s="66">
        <f>F17-E12</f>
        <v>80</v>
      </c>
      <c r="P7" s="73">
        <f t="shared" si="4"/>
        <v>35</v>
      </c>
      <c r="Q7" s="75">
        <f t="shared" si="5"/>
        <v>25.666666666666668</v>
      </c>
    </row>
    <row r="8" spans="1:17" ht="15" x14ac:dyDescent="0.25">
      <c r="A8" s="65" t="s">
        <v>61</v>
      </c>
      <c r="B8" s="63" t="s">
        <v>74</v>
      </c>
      <c r="C8" s="63" t="s">
        <v>69</v>
      </c>
      <c r="D8" s="63" t="s">
        <v>70</v>
      </c>
      <c r="E8" s="64">
        <v>45635</v>
      </c>
      <c r="F8" s="64">
        <v>45637</v>
      </c>
      <c r="G8">
        <f t="shared" si="6"/>
        <v>2</v>
      </c>
      <c r="I8" s="68" t="s">
        <v>77</v>
      </c>
      <c r="J8" s="66">
        <f t="shared" si="0"/>
        <v>46</v>
      </c>
      <c r="K8" s="66">
        <f t="shared" si="1"/>
        <v>3</v>
      </c>
      <c r="L8" s="72">
        <f t="shared" si="2"/>
        <v>46</v>
      </c>
      <c r="M8" s="74">
        <f t="shared" si="3"/>
        <v>33.733333333333334</v>
      </c>
      <c r="N8" s="68" t="s">
        <v>77</v>
      </c>
      <c r="O8" s="66">
        <f>F19-E15</f>
        <v>79</v>
      </c>
      <c r="P8" s="73">
        <f t="shared" si="4"/>
        <v>33</v>
      </c>
      <c r="Q8" s="75">
        <f t="shared" si="5"/>
        <v>24.200000000000003</v>
      </c>
    </row>
    <row r="9" spans="1:17" ht="15" x14ac:dyDescent="0.25">
      <c r="A9" s="65" t="s">
        <v>61</v>
      </c>
      <c r="B9" s="63" t="s">
        <v>71</v>
      </c>
      <c r="C9" s="63" t="s">
        <v>69</v>
      </c>
      <c r="D9" s="63" t="s">
        <v>75</v>
      </c>
      <c r="E9" s="64">
        <v>45663</v>
      </c>
      <c r="F9" s="64">
        <v>45681</v>
      </c>
      <c r="G9">
        <f t="shared" si="6"/>
        <v>18</v>
      </c>
      <c r="I9" s="68" t="s">
        <v>78</v>
      </c>
      <c r="J9" s="66">
        <f t="shared" si="0"/>
        <v>61</v>
      </c>
      <c r="K9" s="66">
        <f t="shared" si="1"/>
        <v>2</v>
      </c>
      <c r="L9" s="72">
        <f t="shared" si="2"/>
        <v>62</v>
      </c>
      <c r="M9" s="74">
        <f t="shared" si="3"/>
        <v>45.466666666666669</v>
      </c>
      <c r="N9" s="68" t="s">
        <v>78</v>
      </c>
      <c r="O9" s="66">
        <f>F23-E18</f>
        <v>94</v>
      </c>
      <c r="P9" s="73">
        <f t="shared" si="4"/>
        <v>32</v>
      </c>
      <c r="Q9" s="75">
        <f t="shared" si="5"/>
        <v>23.466666666666665</v>
      </c>
    </row>
    <row r="10" spans="1:17" ht="15" x14ac:dyDescent="0.25">
      <c r="A10" s="65" t="s">
        <v>61</v>
      </c>
      <c r="B10" s="63" t="s">
        <v>73</v>
      </c>
      <c r="C10" s="63" t="s">
        <v>69</v>
      </c>
      <c r="D10" s="63" t="s">
        <v>75</v>
      </c>
      <c r="E10" s="64">
        <v>45684</v>
      </c>
      <c r="F10" s="64">
        <v>45702</v>
      </c>
      <c r="G10">
        <f t="shared" si="6"/>
        <v>18</v>
      </c>
      <c r="I10" s="68" t="s">
        <v>79</v>
      </c>
      <c r="J10" s="66">
        <f t="shared" si="0"/>
        <v>20</v>
      </c>
      <c r="K10" s="66">
        <f t="shared" si="1"/>
        <v>2</v>
      </c>
      <c r="L10" s="72">
        <f t="shared" si="2"/>
        <v>21</v>
      </c>
      <c r="M10" s="74">
        <f t="shared" si="3"/>
        <v>15.399999999999999</v>
      </c>
      <c r="N10" s="68" t="s">
        <v>79</v>
      </c>
      <c r="O10" s="66">
        <f>F25-E21</f>
        <v>52</v>
      </c>
      <c r="P10" s="73">
        <f t="shared" si="4"/>
        <v>31</v>
      </c>
      <c r="Q10" s="75">
        <f t="shared" si="5"/>
        <v>22.733333333333334</v>
      </c>
    </row>
    <row r="11" spans="1:17" ht="15" x14ac:dyDescent="0.25">
      <c r="A11" s="65" t="s">
        <v>61</v>
      </c>
      <c r="B11" s="63" t="s">
        <v>74</v>
      </c>
      <c r="C11" s="63" t="s">
        <v>69</v>
      </c>
      <c r="D11" s="63" t="s">
        <v>72</v>
      </c>
      <c r="E11" s="64">
        <v>45692</v>
      </c>
      <c r="F11" s="64">
        <v>45694</v>
      </c>
      <c r="G11">
        <f t="shared" si="6"/>
        <v>2</v>
      </c>
      <c r="I11" s="68" t="s">
        <v>80</v>
      </c>
      <c r="J11" s="66">
        <f t="shared" si="0"/>
        <v>20</v>
      </c>
      <c r="K11" s="66">
        <f t="shared" si="1"/>
        <v>2</v>
      </c>
      <c r="L11" s="72">
        <f t="shared" si="2"/>
        <v>21</v>
      </c>
      <c r="M11" s="74">
        <f t="shared" si="3"/>
        <v>15.399999999999999</v>
      </c>
      <c r="N11" s="68" t="s">
        <v>80</v>
      </c>
      <c r="O11" s="66">
        <f>F27-E22</f>
        <v>52</v>
      </c>
      <c r="P11" s="73">
        <f t="shared" si="4"/>
        <v>31</v>
      </c>
      <c r="Q11" s="75">
        <f t="shared" si="5"/>
        <v>22.733333333333334</v>
      </c>
    </row>
    <row r="12" spans="1:17" ht="15" x14ac:dyDescent="0.25">
      <c r="A12" s="65" t="s">
        <v>61</v>
      </c>
      <c r="B12" s="63" t="s">
        <v>71</v>
      </c>
      <c r="C12" s="63" t="s">
        <v>69</v>
      </c>
      <c r="D12" s="63" t="s">
        <v>76</v>
      </c>
      <c r="E12" s="64">
        <v>45705</v>
      </c>
      <c r="F12" s="64">
        <v>45727</v>
      </c>
      <c r="G12">
        <f t="shared" si="6"/>
        <v>22</v>
      </c>
      <c r="I12" s="68" t="s">
        <v>81</v>
      </c>
      <c r="J12" s="66">
        <f t="shared" si="0"/>
        <v>20</v>
      </c>
      <c r="K12" s="66">
        <f t="shared" si="1"/>
        <v>2</v>
      </c>
      <c r="L12" s="72">
        <f t="shared" si="2"/>
        <v>21</v>
      </c>
      <c r="M12" s="74">
        <f t="shared" si="3"/>
        <v>15.399999999999999</v>
      </c>
      <c r="N12" s="68" t="s">
        <v>81</v>
      </c>
      <c r="O12" s="66">
        <f>F29-E24</f>
        <v>52</v>
      </c>
      <c r="P12" s="73">
        <f t="shared" si="4"/>
        <v>31</v>
      </c>
      <c r="Q12" s="75">
        <f t="shared" si="5"/>
        <v>22.733333333333334</v>
      </c>
    </row>
    <row r="13" spans="1:17" ht="15" x14ac:dyDescent="0.25">
      <c r="A13" s="65" t="s">
        <v>61</v>
      </c>
      <c r="B13" s="63" t="s">
        <v>73</v>
      </c>
      <c r="C13" s="63" t="s">
        <v>69</v>
      </c>
      <c r="D13" s="63" t="s">
        <v>76</v>
      </c>
      <c r="E13" s="64">
        <v>45728</v>
      </c>
      <c r="F13" s="64">
        <v>45748</v>
      </c>
      <c r="G13">
        <f t="shared" si="6"/>
        <v>20</v>
      </c>
      <c r="I13" s="68" t="s">
        <v>82</v>
      </c>
      <c r="J13" s="66">
        <f t="shared" si="0"/>
        <v>20</v>
      </c>
      <c r="K13" s="66">
        <f t="shared" si="1"/>
        <v>2</v>
      </c>
      <c r="L13" s="72">
        <f t="shared" si="2"/>
        <v>21</v>
      </c>
      <c r="M13" s="74">
        <f t="shared" si="3"/>
        <v>15.399999999999999</v>
      </c>
      <c r="N13" s="68" t="s">
        <v>82</v>
      </c>
      <c r="O13" s="66">
        <f>F31-E26</f>
        <v>52</v>
      </c>
      <c r="P13" s="73">
        <f t="shared" si="4"/>
        <v>31</v>
      </c>
      <c r="Q13" s="75">
        <f t="shared" si="5"/>
        <v>22.733333333333334</v>
      </c>
    </row>
    <row r="14" spans="1:17" ht="15" x14ac:dyDescent="0.25">
      <c r="A14" s="65" t="s">
        <v>61</v>
      </c>
      <c r="B14" s="63" t="s">
        <v>74</v>
      </c>
      <c r="C14" s="63" t="s">
        <v>69</v>
      </c>
      <c r="D14" s="63" t="s">
        <v>75</v>
      </c>
      <c r="E14" s="64">
        <v>45736</v>
      </c>
      <c r="F14" s="64">
        <v>45740</v>
      </c>
      <c r="G14">
        <f t="shared" si="6"/>
        <v>4</v>
      </c>
      <c r="I14" s="68" t="s">
        <v>83</v>
      </c>
      <c r="J14" s="66">
        <f t="shared" si="0"/>
        <v>16</v>
      </c>
      <c r="K14" s="66">
        <f t="shared" si="1"/>
        <v>2</v>
      </c>
      <c r="L14" s="72">
        <f t="shared" si="2"/>
        <v>17</v>
      </c>
      <c r="M14" s="74">
        <f t="shared" si="3"/>
        <v>12.466666666666667</v>
      </c>
      <c r="N14" s="68" t="s">
        <v>83</v>
      </c>
      <c r="O14" s="66">
        <f>F33-E28</f>
        <v>46</v>
      </c>
      <c r="P14" s="73">
        <f t="shared" si="4"/>
        <v>29</v>
      </c>
      <c r="Q14" s="75">
        <f t="shared" si="5"/>
        <v>21.266666666666666</v>
      </c>
    </row>
    <row r="15" spans="1:17" ht="15" x14ac:dyDescent="0.25">
      <c r="A15" s="65" t="s">
        <v>61</v>
      </c>
      <c r="B15" s="63" t="s">
        <v>71</v>
      </c>
      <c r="C15" s="63" t="s">
        <v>69</v>
      </c>
      <c r="D15" s="63" t="s">
        <v>77</v>
      </c>
      <c r="E15" s="64">
        <v>45749</v>
      </c>
      <c r="F15" s="64">
        <v>45771</v>
      </c>
      <c r="G15">
        <f t="shared" si="6"/>
        <v>22</v>
      </c>
      <c r="I15" s="68" t="s">
        <v>84</v>
      </c>
      <c r="J15" s="66">
        <f t="shared" si="0"/>
        <v>18</v>
      </c>
      <c r="K15" s="66">
        <f t="shared" si="1"/>
        <v>4</v>
      </c>
      <c r="L15" s="72">
        <f t="shared" si="2"/>
        <v>17</v>
      </c>
      <c r="M15" s="74">
        <f t="shared" si="3"/>
        <v>12.466666666666667</v>
      </c>
      <c r="N15" s="68" t="s">
        <v>84</v>
      </c>
      <c r="O15" s="66">
        <f>F35-E30</f>
        <v>48</v>
      </c>
      <c r="P15" s="73">
        <f t="shared" si="4"/>
        <v>31</v>
      </c>
      <c r="Q15" s="75">
        <f t="shared" si="5"/>
        <v>22.733333333333334</v>
      </c>
    </row>
    <row r="16" spans="1:17" ht="15" x14ac:dyDescent="0.25">
      <c r="A16" s="65" t="s">
        <v>61</v>
      </c>
      <c r="B16" s="63" t="s">
        <v>73</v>
      </c>
      <c r="C16" s="63" t="s">
        <v>69</v>
      </c>
      <c r="D16" s="63" t="s">
        <v>77</v>
      </c>
      <c r="E16" s="64">
        <v>45772</v>
      </c>
      <c r="F16" s="64">
        <v>45793</v>
      </c>
      <c r="G16">
        <f t="shared" si="6"/>
        <v>21</v>
      </c>
      <c r="I16" s="68" t="s">
        <v>85</v>
      </c>
      <c r="J16" s="66">
        <f t="shared" si="0"/>
        <v>16</v>
      </c>
      <c r="K16" s="66">
        <f t="shared" si="1"/>
        <v>2</v>
      </c>
      <c r="L16" s="72">
        <f t="shared" si="2"/>
        <v>17</v>
      </c>
      <c r="M16" s="74">
        <f t="shared" si="3"/>
        <v>12.466666666666667</v>
      </c>
      <c r="N16" s="68" t="s">
        <v>85</v>
      </c>
      <c r="O16" s="66">
        <f>F37-E32</f>
        <v>63</v>
      </c>
      <c r="P16" s="73">
        <f t="shared" si="4"/>
        <v>46</v>
      </c>
      <c r="Q16" s="75">
        <f t="shared" si="5"/>
        <v>33.733333333333334</v>
      </c>
    </row>
    <row r="17" spans="1:17" ht="15" x14ac:dyDescent="0.25">
      <c r="A17" s="65" t="s">
        <v>61</v>
      </c>
      <c r="B17" s="63" t="s">
        <v>74</v>
      </c>
      <c r="C17" s="63" t="s">
        <v>69</v>
      </c>
      <c r="D17" s="63" t="s">
        <v>76</v>
      </c>
      <c r="E17" s="64">
        <v>45783</v>
      </c>
      <c r="F17" s="64">
        <v>45785</v>
      </c>
      <c r="G17">
        <f t="shared" si="6"/>
        <v>2</v>
      </c>
      <c r="I17" s="68" t="s">
        <v>86</v>
      </c>
      <c r="J17" s="66">
        <f t="shared" si="0"/>
        <v>16</v>
      </c>
      <c r="K17" s="66">
        <f t="shared" si="1"/>
        <v>2</v>
      </c>
      <c r="L17" s="72">
        <f t="shared" si="2"/>
        <v>17</v>
      </c>
      <c r="M17" s="74">
        <f t="shared" si="3"/>
        <v>12.466666666666667</v>
      </c>
      <c r="N17" s="68" t="s">
        <v>86</v>
      </c>
      <c r="O17" s="66">
        <f>F39-E34</f>
        <v>63</v>
      </c>
      <c r="P17" s="73">
        <f t="shared" si="4"/>
        <v>46</v>
      </c>
      <c r="Q17" s="75">
        <f t="shared" si="5"/>
        <v>33.733333333333334</v>
      </c>
    </row>
    <row r="18" spans="1:17" ht="15" x14ac:dyDescent="0.25">
      <c r="A18" s="65" t="s">
        <v>61</v>
      </c>
      <c r="B18" s="63" t="s">
        <v>71</v>
      </c>
      <c r="C18" s="63" t="s">
        <v>69</v>
      </c>
      <c r="D18" s="63" t="s">
        <v>78</v>
      </c>
      <c r="E18" s="64">
        <v>45796</v>
      </c>
      <c r="F18" s="64">
        <v>45825</v>
      </c>
      <c r="G18">
        <f t="shared" si="6"/>
        <v>29</v>
      </c>
      <c r="I18" s="68" t="s">
        <v>87</v>
      </c>
      <c r="J18" s="66">
        <f t="shared" si="0"/>
        <v>33</v>
      </c>
      <c r="K18" s="66">
        <f t="shared" si="1"/>
        <v>2</v>
      </c>
      <c r="L18" s="72">
        <f t="shared" si="2"/>
        <v>34</v>
      </c>
      <c r="M18" s="74">
        <f t="shared" si="3"/>
        <v>24.933333333333334</v>
      </c>
      <c r="N18" s="68" t="s">
        <v>87</v>
      </c>
      <c r="O18" s="66">
        <f>F41-E36</f>
        <v>63</v>
      </c>
      <c r="P18" s="73">
        <f t="shared" si="4"/>
        <v>29</v>
      </c>
      <c r="Q18" s="75">
        <f t="shared" si="5"/>
        <v>21.266666666666666</v>
      </c>
    </row>
    <row r="19" spans="1:17" ht="15" x14ac:dyDescent="0.25">
      <c r="A19" s="65" t="s">
        <v>61</v>
      </c>
      <c r="B19" s="63" t="s">
        <v>74</v>
      </c>
      <c r="C19" s="63" t="s">
        <v>69</v>
      </c>
      <c r="D19" s="63" t="s">
        <v>77</v>
      </c>
      <c r="E19" s="64">
        <v>45825</v>
      </c>
      <c r="F19" s="64">
        <v>45828</v>
      </c>
      <c r="G19">
        <f t="shared" si="6"/>
        <v>3</v>
      </c>
      <c r="I19" s="68" t="s">
        <v>88</v>
      </c>
      <c r="J19" s="66">
        <f t="shared" si="0"/>
        <v>16</v>
      </c>
      <c r="K19" s="66">
        <f t="shared" si="1"/>
        <v>2</v>
      </c>
      <c r="L19" s="72">
        <f t="shared" si="2"/>
        <v>17</v>
      </c>
      <c r="M19" s="74">
        <f t="shared" si="3"/>
        <v>12.466666666666667</v>
      </c>
      <c r="N19" s="68" t="s">
        <v>88</v>
      </c>
      <c r="O19" s="66">
        <f>F43-E38</f>
        <v>50</v>
      </c>
      <c r="P19" s="73">
        <f t="shared" si="4"/>
        <v>33</v>
      </c>
      <c r="Q19" s="75">
        <f t="shared" si="5"/>
        <v>24.200000000000003</v>
      </c>
    </row>
    <row r="20" spans="1:17" ht="15" x14ac:dyDescent="0.25">
      <c r="A20" s="65" t="s">
        <v>61</v>
      </c>
      <c r="B20" s="63" t="s">
        <v>73</v>
      </c>
      <c r="C20" s="63" t="s">
        <v>69</v>
      </c>
      <c r="D20" s="63" t="s">
        <v>78</v>
      </c>
      <c r="E20" s="64">
        <v>45826</v>
      </c>
      <c r="F20" s="64">
        <v>45856</v>
      </c>
      <c r="G20">
        <f t="shared" si="6"/>
        <v>30</v>
      </c>
      <c r="I20" s="68" t="s">
        <v>89</v>
      </c>
      <c r="J20" s="66">
        <f t="shared" si="0"/>
        <v>16</v>
      </c>
      <c r="K20" s="66">
        <f t="shared" si="1"/>
        <v>2</v>
      </c>
      <c r="L20" s="72">
        <f t="shared" si="2"/>
        <v>17</v>
      </c>
      <c r="M20" s="74">
        <f t="shared" si="3"/>
        <v>12.466666666666667</v>
      </c>
      <c r="N20" s="68" t="s">
        <v>89</v>
      </c>
      <c r="O20" s="66">
        <f>F45-E40</f>
        <v>50</v>
      </c>
      <c r="P20" s="73">
        <f t="shared" si="4"/>
        <v>33</v>
      </c>
      <c r="Q20" s="75">
        <f t="shared" si="5"/>
        <v>24.200000000000003</v>
      </c>
    </row>
    <row r="21" spans="1:17" ht="15" x14ac:dyDescent="0.25">
      <c r="A21" s="65" t="s">
        <v>61</v>
      </c>
      <c r="B21" s="63" t="s">
        <v>68</v>
      </c>
      <c r="C21" s="63" t="s">
        <v>69</v>
      </c>
      <c r="D21" s="63" t="s">
        <v>79</v>
      </c>
      <c r="E21" s="64">
        <v>45859</v>
      </c>
      <c r="F21" s="64">
        <v>45877</v>
      </c>
      <c r="G21">
        <f t="shared" si="6"/>
        <v>18</v>
      </c>
      <c r="I21" s="68" t="s">
        <v>90</v>
      </c>
      <c r="J21" s="66">
        <f t="shared" si="0"/>
        <v>23</v>
      </c>
      <c r="K21" s="66">
        <f t="shared" si="1"/>
        <v>5</v>
      </c>
      <c r="L21" s="72">
        <f t="shared" si="2"/>
        <v>21</v>
      </c>
      <c r="M21" s="74">
        <f t="shared" si="3"/>
        <v>15.399999999999999</v>
      </c>
      <c r="N21" s="68" t="s">
        <v>90</v>
      </c>
      <c r="O21" s="66">
        <f>F47-E42</f>
        <v>53</v>
      </c>
      <c r="P21" s="73">
        <f t="shared" si="4"/>
        <v>32</v>
      </c>
      <c r="Q21" s="75">
        <f t="shared" si="5"/>
        <v>23.466666666666665</v>
      </c>
    </row>
    <row r="22" spans="1:17" ht="15" x14ac:dyDescent="0.25">
      <c r="A22" s="65" t="s">
        <v>61</v>
      </c>
      <c r="B22" s="63" t="s">
        <v>68</v>
      </c>
      <c r="C22" s="63" t="s">
        <v>69</v>
      </c>
      <c r="D22" s="63" t="s">
        <v>80</v>
      </c>
      <c r="E22" s="64">
        <v>45880</v>
      </c>
      <c r="F22" s="64">
        <v>45898</v>
      </c>
      <c r="G22">
        <f t="shared" si="6"/>
        <v>18</v>
      </c>
      <c r="I22" s="68" t="s">
        <v>91</v>
      </c>
      <c r="J22" s="66">
        <f t="shared" si="0"/>
        <v>19</v>
      </c>
      <c r="K22" s="66">
        <f t="shared" si="1"/>
        <v>5</v>
      </c>
      <c r="L22" s="72">
        <f t="shared" si="2"/>
        <v>17</v>
      </c>
      <c r="M22" s="74">
        <f t="shared" si="3"/>
        <v>12.466666666666667</v>
      </c>
      <c r="N22" s="68" t="s">
        <v>91</v>
      </c>
      <c r="O22" s="66">
        <f>F49-E44</f>
        <v>50</v>
      </c>
      <c r="P22" s="73">
        <f t="shared" si="4"/>
        <v>33</v>
      </c>
      <c r="Q22" s="75">
        <f t="shared" si="5"/>
        <v>24.200000000000003</v>
      </c>
    </row>
    <row r="23" spans="1:17" ht="15" x14ac:dyDescent="0.25">
      <c r="A23" s="65" t="s">
        <v>61</v>
      </c>
      <c r="B23" s="63" t="s">
        <v>74</v>
      </c>
      <c r="C23" s="63" t="s">
        <v>69</v>
      </c>
      <c r="D23" s="63" t="s">
        <v>78</v>
      </c>
      <c r="E23" s="64">
        <v>45888</v>
      </c>
      <c r="F23" s="64">
        <v>45890</v>
      </c>
      <c r="G23">
        <f t="shared" si="6"/>
        <v>2</v>
      </c>
      <c r="I23" s="68" t="s">
        <v>92</v>
      </c>
      <c r="J23" s="66">
        <f t="shared" si="0"/>
        <v>16</v>
      </c>
      <c r="K23" s="66">
        <f t="shared" si="1"/>
        <v>2</v>
      </c>
      <c r="L23" s="72">
        <f t="shared" si="2"/>
        <v>17</v>
      </c>
      <c r="M23" s="74">
        <f t="shared" si="3"/>
        <v>12.466666666666667</v>
      </c>
      <c r="N23" s="68" t="s">
        <v>92</v>
      </c>
      <c r="O23" s="66">
        <f>F51-E46</f>
        <v>51</v>
      </c>
      <c r="P23" s="73">
        <f t="shared" si="4"/>
        <v>34</v>
      </c>
      <c r="Q23" s="75">
        <f t="shared" si="5"/>
        <v>24.933333333333334</v>
      </c>
    </row>
    <row r="24" spans="1:17" ht="15" x14ac:dyDescent="0.25">
      <c r="A24" s="65" t="s">
        <v>61</v>
      </c>
      <c r="B24" s="63" t="s">
        <v>68</v>
      </c>
      <c r="C24" s="63" t="s">
        <v>69</v>
      </c>
      <c r="D24" s="63" t="s">
        <v>81</v>
      </c>
      <c r="E24" s="64">
        <v>45901</v>
      </c>
      <c r="F24" s="64">
        <v>45919</v>
      </c>
      <c r="G24">
        <f t="shared" si="6"/>
        <v>18</v>
      </c>
      <c r="I24" s="68" t="s">
        <v>93</v>
      </c>
      <c r="J24" s="66">
        <f t="shared" si="0"/>
        <v>19</v>
      </c>
      <c r="K24" s="66">
        <f t="shared" si="1"/>
        <v>4</v>
      </c>
      <c r="L24" s="72">
        <f t="shared" si="2"/>
        <v>18</v>
      </c>
      <c r="M24" s="74">
        <f t="shared" si="3"/>
        <v>13.2</v>
      </c>
      <c r="N24" s="68" t="s">
        <v>93</v>
      </c>
      <c r="O24" s="66">
        <f>F53-E48</f>
        <v>53</v>
      </c>
      <c r="P24" s="73">
        <f t="shared" si="4"/>
        <v>35</v>
      </c>
      <c r="Q24" s="75">
        <f t="shared" si="5"/>
        <v>25.666666666666668</v>
      </c>
    </row>
    <row r="25" spans="1:17" ht="15" x14ac:dyDescent="0.25">
      <c r="A25" s="65" t="s">
        <v>61</v>
      </c>
      <c r="B25" s="63" t="s">
        <v>74</v>
      </c>
      <c r="C25" s="63" t="s">
        <v>69</v>
      </c>
      <c r="D25" s="63" t="s">
        <v>79</v>
      </c>
      <c r="E25" s="64">
        <v>45909</v>
      </c>
      <c r="F25" s="64">
        <v>45911</v>
      </c>
      <c r="G25">
        <f t="shared" si="6"/>
        <v>2</v>
      </c>
      <c r="I25" s="68" t="s">
        <v>94</v>
      </c>
      <c r="J25" s="66">
        <f t="shared" si="0"/>
        <v>18</v>
      </c>
      <c r="K25" s="66">
        <f t="shared" si="1"/>
        <v>2</v>
      </c>
      <c r="L25" s="72">
        <f t="shared" si="2"/>
        <v>19</v>
      </c>
      <c r="M25" s="74">
        <f t="shared" si="3"/>
        <v>13.933333333333334</v>
      </c>
      <c r="N25" s="68" t="s">
        <v>94</v>
      </c>
      <c r="O25" s="66">
        <f>F55-E50</f>
        <v>51</v>
      </c>
      <c r="P25" s="73">
        <f t="shared" si="4"/>
        <v>32</v>
      </c>
      <c r="Q25" s="75">
        <f t="shared" si="5"/>
        <v>23.466666666666665</v>
      </c>
    </row>
    <row r="26" spans="1:17" ht="15" x14ac:dyDescent="0.25">
      <c r="A26" s="65" t="s">
        <v>61</v>
      </c>
      <c r="B26" s="63" t="s">
        <v>68</v>
      </c>
      <c r="C26" s="63" t="s">
        <v>69</v>
      </c>
      <c r="D26" s="63" t="s">
        <v>82</v>
      </c>
      <c r="E26" s="64">
        <v>45922</v>
      </c>
      <c r="F26" s="64">
        <v>45940</v>
      </c>
      <c r="G26">
        <f t="shared" si="6"/>
        <v>18</v>
      </c>
      <c r="I26" s="68" t="s">
        <v>95</v>
      </c>
      <c r="J26" s="66">
        <f t="shared" si="0"/>
        <v>16</v>
      </c>
      <c r="K26" s="66">
        <f t="shared" si="1"/>
        <v>2</v>
      </c>
      <c r="L26" s="72">
        <f t="shared" si="2"/>
        <v>17</v>
      </c>
      <c r="M26" s="74">
        <f t="shared" si="3"/>
        <v>12.466666666666667</v>
      </c>
      <c r="N26" s="68" t="s">
        <v>95</v>
      </c>
      <c r="O26" s="66">
        <f>F57-E52</f>
        <v>49</v>
      </c>
      <c r="P26" s="73">
        <f t="shared" si="4"/>
        <v>32</v>
      </c>
      <c r="Q26" s="75">
        <f t="shared" si="5"/>
        <v>23.466666666666665</v>
      </c>
    </row>
    <row r="27" spans="1:17" ht="15" x14ac:dyDescent="0.25">
      <c r="A27" s="65" t="s">
        <v>61</v>
      </c>
      <c r="B27" s="63" t="s">
        <v>74</v>
      </c>
      <c r="C27" s="63" t="s">
        <v>69</v>
      </c>
      <c r="D27" s="63" t="s">
        <v>80</v>
      </c>
      <c r="E27" s="64">
        <v>45930</v>
      </c>
      <c r="F27" s="64">
        <v>45932</v>
      </c>
      <c r="G27">
        <f t="shared" si="6"/>
        <v>2</v>
      </c>
      <c r="I27" s="68" t="s">
        <v>96</v>
      </c>
      <c r="J27" s="66">
        <f t="shared" si="0"/>
        <v>19</v>
      </c>
      <c r="K27" s="66">
        <f t="shared" si="1"/>
        <v>2</v>
      </c>
      <c r="L27" s="72">
        <f t="shared" si="2"/>
        <v>20</v>
      </c>
      <c r="M27" s="74">
        <f t="shared" si="3"/>
        <v>14.666666666666666</v>
      </c>
      <c r="N27" s="68" t="s">
        <v>96</v>
      </c>
      <c r="O27" s="66">
        <f>F59-E54</f>
        <v>49</v>
      </c>
      <c r="P27" s="73">
        <f t="shared" si="4"/>
        <v>29</v>
      </c>
      <c r="Q27" s="75">
        <f t="shared" si="5"/>
        <v>21.266666666666666</v>
      </c>
    </row>
    <row r="28" spans="1:17" ht="15" x14ac:dyDescent="0.25">
      <c r="A28" s="65" t="s">
        <v>61</v>
      </c>
      <c r="B28" s="63" t="s">
        <v>68</v>
      </c>
      <c r="C28" s="63" t="s">
        <v>69</v>
      </c>
      <c r="D28" s="63" t="s">
        <v>83</v>
      </c>
      <c r="E28" s="64">
        <v>45943</v>
      </c>
      <c r="F28" s="64">
        <v>45957</v>
      </c>
      <c r="G28">
        <f t="shared" si="6"/>
        <v>14</v>
      </c>
      <c r="I28" s="68" t="s">
        <v>97</v>
      </c>
      <c r="J28" s="66">
        <f t="shared" si="0"/>
        <v>18</v>
      </c>
      <c r="K28" s="66">
        <f t="shared" si="1"/>
        <v>4</v>
      </c>
      <c r="L28" s="72">
        <f t="shared" si="2"/>
        <v>17</v>
      </c>
      <c r="M28" s="74">
        <f t="shared" si="3"/>
        <v>12.466666666666667</v>
      </c>
      <c r="N28" s="68" t="s">
        <v>97</v>
      </c>
      <c r="O28" s="66">
        <f>F61-E56</f>
        <v>49</v>
      </c>
      <c r="P28" s="73">
        <f t="shared" si="4"/>
        <v>32</v>
      </c>
      <c r="Q28" s="75">
        <f t="shared" si="5"/>
        <v>23.466666666666665</v>
      </c>
    </row>
    <row r="29" spans="1:17" ht="15" x14ac:dyDescent="0.25">
      <c r="A29" s="65" t="s">
        <v>61</v>
      </c>
      <c r="B29" s="63" t="s">
        <v>74</v>
      </c>
      <c r="C29" s="63" t="s">
        <v>69</v>
      </c>
      <c r="D29" s="63" t="s">
        <v>81</v>
      </c>
      <c r="E29" s="64">
        <v>45951</v>
      </c>
      <c r="F29" s="64">
        <v>45953</v>
      </c>
      <c r="G29">
        <f t="shared" si="6"/>
        <v>2</v>
      </c>
      <c r="I29" s="68" t="s">
        <v>98</v>
      </c>
      <c r="J29" s="66">
        <f t="shared" si="0"/>
        <v>16</v>
      </c>
      <c r="K29" s="66">
        <f t="shared" si="1"/>
        <v>2</v>
      </c>
      <c r="L29" s="72">
        <f t="shared" si="2"/>
        <v>17</v>
      </c>
      <c r="M29" s="74">
        <f t="shared" si="3"/>
        <v>12.466666666666667</v>
      </c>
      <c r="N29" s="68" t="s">
        <v>98</v>
      </c>
      <c r="O29" s="66">
        <f>F63-E58</f>
        <v>49</v>
      </c>
      <c r="P29" s="73">
        <f t="shared" si="4"/>
        <v>32</v>
      </c>
      <c r="Q29" s="75">
        <f t="shared" si="5"/>
        <v>23.466666666666665</v>
      </c>
    </row>
    <row r="30" spans="1:17" ht="15" x14ac:dyDescent="0.25">
      <c r="A30" s="65" t="s">
        <v>61</v>
      </c>
      <c r="B30" s="63" t="s">
        <v>68</v>
      </c>
      <c r="C30" s="63" t="s">
        <v>69</v>
      </c>
      <c r="D30" s="63" t="s">
        <v>84</v>
      </c>
      <c r="E30" s="64">
        <v>45958</v>
      </c>
      <c r="F30" s="64">
        <v>45972</v>
      </c>
      <c r="G30">
        <f t="shared" si="6"/>
        <v>14</v>
      </c>
      <c r="I30" s="68" t="s">
        <v>99</v>
      </c>
      <c r="J30" s="66">
        <f t="shared" si="0"/>
        <v>20</v>
      </c>
      <c r="K30" s="66">
        <f t="shared" si="1"/>
        <v>2</v>
      </c>
      <c r="L30" s="72">
        <f t="shared" si="2"/>
        <v>21</v>
      </c>
      <c r="M30" s="74">
        <f t="shared" si="3"/>
        <v>15.399999999999999</v>
      </c>
      <c r="N30" s="68" t="s">
        <v>99</v>
      </c>
      <c r="O30" s="66">
        <f>F65-E60</f>
        <v>50</v>
      </c>
      <c r="P30" s="73">
        <f t="shared" si="4"/>
        <v>29</v>
      </c>
      <c r="Q30" s="75">
        <f t="shared" si="5"/>
        <v>21.266666666666666</v>
      </c>
    </row>
    <row r="31" spans="1:17" ht="15" x14ac:dyDescent="0.25">
      <c r="A31" s="65" t="s">
        <v>61</v>
      </c>
      <c r="B31" s="63" t="s">
        <v>74</v>
      </c>
      <c r="C31" s="63" t="s">
        <v>69</v>
      </c>
      <c r="D31" s="63" t="s">
        <v>82</v>
      </c>
      <c r="E31" s="64">
        <v>45972</v>
      </c>
      <c r="F31" s="64">
        <v>45974</v>
      </c>
      <c r="G31">
        <f t="shared" si="6"/>
        <v>2</v>
      </c>
      <c r="I31" s="68" t="s">
        <v>100</v>
      </c>
      <c r="J31" s="66">
        <f t="shared" si="0"/>
        <v>17</v>
      </c>
      <c r="K31" s="66">
        <f t="shared" si="1"/>
        <v>2</v>
      </c>
      <c r="L31" s="72">
        <f t="shared" si="2"/>
        <v>18</v>
      </c>
      <c r="M31" s="74">
        <f t="shared" si="3"/>
        <v>13.2</v>
      </c>
      <c r="N31" s="68" t="s">
        <v>100</v>
      </c>
      <c r="O31" s="66">
        <f>F67-E62</f>
        <v>50</v>
      </c>
      <c r="P31" s="73">
        <f t="shared" si="4"/>
        <v>32</v>
      </c>
      <c r="Q31" s="75">
        <f t="shared" si="5"/>
        <v>23.466666666666665</v>
      </c>
    </row>
    <row r="32" spans="1:17" ht="15" x14ac:dyDescent="0.25">
      <c r="A32" s="65" t="s">
        <v>61</v>
      </c>
      <c r="B32" s="63" t="s">
        <v>68</v>
      </c>
      <c r="C32" s="63" t="s">
        <v>69</v>
      </c>
      <c r="D32" s="63" t="s">
        <v>85</v>
      </c>
      <c r="E32" s="64">
        <v>45973</v>
      </c>
      <c r="F32" s="64">
        <v>45987</v>
      </c>
      <c r="G32">
        <f t="shared" si="6"/>
        <v>14</v>
      </c>
      <c r="I32" s="68" t="s">
        <v>101</v>
      </c>
      <c r="J32" s="66">
        <f t="shared" si="0"/>
        <v>17</v>
      </c>
      <c r="K32" s="66">
        <f t="shared" si="1"/>
        <v>2</v>
      </c>
      <c r="L32" s="72">
        <f t="shared" si="2"/>
        <v>18</v>
      </c>
      <c r="M32" s="74">
        <f t="shared" si="3"/>
        <v>13.2</v>
      </c>
      <c r="N32" s="68" t="s">
        <v>101</v>
      </c>
      <c r="O32" s="66">
        <f>F69-E64</f>
        <v>50</v>
      </c>
      <c r="P32" s="73">
        <f t="shared" si="4"/>
        <v>32</v>
      </c>
      <c r="Q32" s="75">
        <f t="shared" si="5"/>
        <v>23.466666666666665</v>
      </c>
    </row>
    <row r="33" spans="1:17" ht="15" x14ac:dyDescent="0.25">
      <c r="A33" s="65" t="s">
        <v>61</v>
      </c>
      <c r="B33" s="63" t="s">
        <v>74</v>
      </c>
      <c r="C33" s="63" t="s">
        <v>69</v>
      </c>
      <c r="D33" s="63" t="s">
        <v>83</v>
      </c>
      <c r="E33" s="64">
        <v>45987</v>
      </c>
      <c r="F33" s="64">
        <v>45989</v>
      </c>
      <c r="G33">
        <f t="shared" si="6"/>
        <v>2</v>
      </c>
      <c r="I33" s="68" t="s">
        <v>102</v>
      </c>
      <c r="J33" s="66">
        <f t="shared" si="0"/>
        <v>18</v>
      </c>
      <c r="K33" s="66">
        <f t="shared" si="1"/>
        <v>2</v>
      </c>
      <c r="L33" s="72">
        <f t="shared" si="2"/>
        <v>19</v>
      </c>
      <c r="M33" s="74">
        <f t="shared" si="3"/>
        <v>13.933333333333334</v>
      </c>
      <c r="N33" s="68" t="s">
        <v>102</v>
      </c>
      <c r="O33" s="66">
        <f>F71-E66</f>
        <v>51</v>
      </c>
      <c r="P33" s="73">
        <f t="shared" si="4"/>
        <v>32</v>
      </c>
      <c r="Q33" s="75">
        <f t="shared" si="5"/>
        <v>23.466666666666665</v>
      </c>
    </row>
    <row r="34" spans="1:17" ht="15" x14ac:dyDescent="0.25">
      <c r="A34" s="65" t="s">
        <v>61</v>
      </c>
      <c r="B34" s="63" t="s">
        <v>68</v>
      </c>
      <c r="C34" s="63" t="s">
        <v>69</v>
      </c>
      <c r="D34" s="63" t="s">
        <v>86</v>
      </c>
      <c r="E34" s="64">
        <v>45988</v>
      </c>
      <c r="F34" s="64">
        <v>46002</v>
      </c>
      <c r="G34">
        <f t="shared" si="6"/>
        <v>14</v>
      </c>
      <c r="I34" s="68" t="s">
        <v>103</v>
      </c>
      <c r="J34" s="66">
        <f t="shared" si="0"/>
        <v>22</v>
      </c>
      <c r="K34" s="66">
        <f t="shared" si="1"/>
        <v>2</v>
      </c>
      <c r="L34" s="72">
        <f t="shared" si="2"/>
        <v>23</v>
      </c>
      <c r="M34" s="74">
        <f t="shared" si="3"/>
        <v>16.866666666666667</v>
      </c>
      <c r="N34" s="68" t="s">
        <v>103</v>
      </c>
      <c r="O34" s="66">
        <f>F73-E68</f>
        <v>56</v>
      </c>
      <c r="P34" s="73">
        <f t="shared" si="4"/>
        <v>33</v>
      </c>
      <c r="Q34" s="75">
        <f t="shared" si="5"/>
        <v>24.200000000000003</v>
      </c>
    </row>
    <row r="35" spans="1:17" ht="15" x14ac:dyDescent="0.25">
      <c r="A35" s="65" t="s">
        <v>61</v>
      </c>
      <c r="B35" s="63" t="s">
        <v>74</v>
      </c>
      <c r="C35" s="63" t="s">
        <v>69</v>
      </c>
      <c r="D35" s="63" t="s">
        <v>84</v>
      </c>
      <c r="E35" s="64">
        <v>46002</v>
      </c>
      <c r="F35" s="64">
        <v>46006</v>
      </c>
      <c r="G35">
        <f t="shared" si="6"/>
        <v>4</v>
      </c>
      <c r="I35" s="68" t="s">
        <v>104</v>
      </c>
      <c r="J35" s="66">
        <f t="shared" si="0"/>
        <v>23</v>
      </c>
      <c r="K35" s="66">
        <f t="shared" si="1"/>
        <v>2</v>
      </c>
      <c r="L35" s="72">
        <f t="shared" si="2"/>
        <v>24</v>
      </c>
      <c r="M35" s="74">
        <f t="shared" si="3"/>
        <v>17.600000000000001</v>
      </c>
      <c r="N35" s="68" t="s">
        <v>104</v>
      </c>
      <c r="O35" s="66">
        <f>F75-E70</f>
        <v>56</v>
      </c>
      <c r="P35" s="73">
        <f t="shared" si="4"/>
        <v>32</v>
      </c>
      <c r="Q35" s="75">
        <f t="shared" si="5"/>
        <v>23.466666666666665</v>
      </c>
    </row>
    <row r="36" spans="1:17" ht="15" x14ac:dyDescent="0.25">
      <c r="A36" s="65" t="s">
        <v>61</v>
      </c>
      <c r="B36" s="63" t="s">
        <v>68</v>
      </c>
      <c r="C36" s="63" t="s">
        <v>69</v>
      </c>
      <c r="D36" s="63" t="s">
        <v>87</v>
      </c>
      <c r="E36" s="64">
        <v>46003</v>
      </c>
      <c r="F36" s="64">
        <v>46034</v>
      </c>
      <c r="G36">
        <f t="shared" si="6"/>
        <v>31</v>
      </c>
      <c r="I36" s="68" t="s">
        <v>105</v>
      </c>
      <c r="J36" s="66">
        <f t="shared" si="0"/>
        <v>23</v>
      </c>
      <c r="K36" s="66">
        <f t="shared" si="1"/>
        <v>2</v>
      </c>
      <c r="L36" s="72">
        <f t="shared" si="2"/>
        <v>24</v>
      </c>
      <c r="M36" s="74">
        <f t="shared" si="3"/>
        <v>17.600000000000001</v>
      </c>
      <c r="N36" s="68" t="s">
        <v>105</v>
      </c>
      <c r="O36" s="66">
        <f>F76-E72</f>
        <v>70</v>
      </c>
      <c r="P36" s="73">
        <f t="shared" si="4"/>
        <v>46</v>
      </c>
      <c r="Q36" s="75">
        <f t="shared" si="5"/>
        <v>33.733333333333334</v>
      </c>
    </row>
    <row r="37" spans="1:17" ht="15" x14ac:dyDescent="0.25">
      <c r="A37" s="65" t="s">
        <v>61</v>
      </c>
      <c r="B37" s="63" t="s">
        <v>74</v>
      </c>
      <c r="C37" s="63" t="s">
        <v>69</v>
      </c>
      <c r="D37" s="63" t="s">
        <v>85</v>
      </c>
      <c r="E37" s="64">
        <v>46034</v>
      </c>
      <c r="F37" s="64">
        <v>46036</v>
      </c>
      <c r="G37">
        <f t="shared" si="6"/>
        <v>2</v>
      </c>
      <c r="I37" s="68" t="s">
        <v>106</v>
      </c>
      <c r="J37" s="66">
        <f t="shared" si="0"/>
        <v>19</v>
      </c>
      <c r="K37" s="66">
        <f t="shared" si="1"/>
        <v>4</v>
      </c>
      <c r="L37" s="72">
        <f t="shared" si="2"/>
        <v>18</v>
      </c>
      <c r="M37" s="74">
        <f t="shared" si="3"/>
        <v>13.2</v>
      </c>
      <c r="N37" s="68" t="s">
        <v>106</v>
      </c>
      <c r="O37" s="66">
        <f>F77-E74</f>
        <v>64</v>
      </c>
      <c r="P37" s="73">
        <f t="shared" si="4"/>
        <v>46</v>
      </c>
      <c r="Q37" s="75">
        <f t="shared" si="5"/>
        <v>33.733333333333334</v>
      </c>
    </row>
    <row r="38" spans="1:17" ht="15" x14ac:dyDescent="0.25">
      <c r="A38" s="65" t="s">
        <v>61</v>
      </c>
      <c r="B38" s="63" t="s">
        <v>68</v>
      </c>
      <c r="C38" s="63" t="s">
        <v>69</v>
      </c>
      <c r="D38" s="63" t="s">
        <v>88</v>
      </c>
      <c r="E38" s="64">
        <v>46035</v>
      </c>
      <c r="F38" s="64">
        <v>46049</v>
      </c>
      <c r="G38">
        <f t="shared" si="6"/>
        <v>14</v>
      </c>
      <c r="J38" s="66">
        <f>SUM(J4:J37)</f>
        <v>790</v>
      </c>
      <c r="O38" s="66">
        <f>SUM(O4:O37)</f>
        <v>1968</v>
      </c>
    </row>
    <row r="39" spans="1:17" ht="15" x14ac:dyDescent="0.25">
      <c r="A39" s="65" t="s">
        <v>61</v>
      </c>
      <c r="B39" s="63" t="s">
        <v>74</v>
      </c>
      <c r="C39" s="63" t="s">
        <v>69</v>
      </c>
      <c r="D39" s="63" t="s">
        <v>86</v>
      </c>
      <c r="E39" s="64">
        <v>46049</v>
      </c>
      <c r="F39" s="64">
        <v>46051</v>
      </c>
      <c r="G39">
        <f t="shared" si="6"/>
        <v>2</v>
      </c>
      <c r="J39" s="66">
        <f>J38/30</f>
        <v>26.333333333333332</v>
      </c>
      <c r="O39" s="66">
        <f>O38/30</f>
        <v>65.599999999999994</v>
      </c>
    </row>
    <row r="40" spans="1:17" ht="15" x14ac:dyDescent="0.25">
      <c r="A40" s="65" t="s">
        <v>61</v>
      </c>
      <c r="B40" s="63" t="s">
        <v>68</v>
      </c>
      <c r="C40" s="63" t="s">
        <v>69</v>
      </c>
      <c r="D40" s="63" t="s">
        <v>89</v>
      </c>
      <c r="E40" s="64">
        <v>46050</v>
      </c>
      <c r="F40" s="64">
        <v>46064</v>
      </c>
      <c r="G40">
        <f t="shared" si="6"/>
        <v>14</v>
      </c>
    </row>
    <row r="41" spans="1:17" ht="15" x14ac:dyDescent="0.25">
      <c r="A41" s="65" t="s">
        <v>61</v>
      </c>
      <c r="B41" s="63" t="s">
        <v>74</v>
      </c>
      <c r="C41" s="63" t="s">
        <v>69</v>
      </c>
      <c r="D41" s="63" t="s">
        <v>87</v>
      </c>
      <c r="E41" s="64">
        <v>46064</v>
      </c>
      <c r="F41" s="64">
        <v>46066</v>
      </c>
      <c r="G41">
        <f t="shared" si="6"/>
        <v>2</v>
      </c>
    </row>
    <row r="42" spans="1:17" ht="15" x14ac:dyDescent="0.25">
      <c r="A42" s="65" t="s">
        <v>61</v>
      </c>
      <c r="B42" s="63" t="s">
        <v>68</v>
      </c>
      <c r="C42" s="63" t="s">
        <v>69</v>
      </c>
      <c r="D42" s="63" t="s">
        <v>90</v>
      </c>
      <c r="E42" s="64">
        <v>46065</v>
      </c>
      <c r="F42" s="64">
        <v>46083</v>
      </c>
      <c r="G42">
        <f t="shared" si="6"/>
        <v>18</v>
      </c>
    </row>
    <row r="43" spans="1:17" ht="15" x14ac:dyDescent="0.25">
      <c r="A43" s="65" t="s">
        <v>61</v>
      </c>
      <c r="B43" s="63" t="s">
        <v>74</v>
      </c>
      <c r="C43" s="63" t="s">
        <v>69</v>
      </c>
      <c r="D43" s="63" t="s">
        <v>88</v>
      </c>
      <c r="E43" s="64">
        <v>46083</v>
      </c>
      <c r="F43" s="64">
        <v>46085</v>
      </c>
      <c r="G43">
        <f t="shared" si="6"/>
        <v>2</v>
      </c>
    </row>
    <row r="44" spans="1:17" ht="15" x14ac:dyDescent="0.25">
      <c r="A44" s="65" t="s">
        <v>61</v>
      </c>
      <c r="B44" s="63" t="s">
        <v>68</v>
      </c>
      <c r="C44" s="63" t="s">
        <v>69</v>
      </c>
      <c r="D44" s="63" t="s">
        <v>91</v>
      </c>
      <c r="E44" s="64">
        <v>46084</v>
      </c>
      <c r="F44" s="64">
        <v>46098</v>
      </c>
      <c r="G44">
        <f t="shared" si="6"/>
        <v>14</v>
      </c>
    </row>
    <row r="45" spans="1:17" ht="15" x14ac:dyDescent="0.25">
      <c r="A45" s="65" t="s">
        <v>61</v>
      </c>
      <c r="B45" s="63" t="s">
        <v>74</v>
      </c>
      <c r="C45" s="63" t="s">
        <v>69</v>
      </c>
      <c r="D45" s="63" t="s">
        <v>89</v>
      </c>
      <c r="E45" s="64">
        <v>46098</v>
      </c>
      <c r="F45" s="64">
        <v>46100</v>
      </c>
      <c r="G45">
        <f t="shared" si="6"/>
        <v>2</v>
      </c>
    </row>
    <row r="46" spans="1:17" ht="15" x14ac:dyDescent="0.25">
      <c r="A46" s="65" t="s">
        <v>61</v>
      </c>
      <c r="B46" s="63" t="s">
        <v>68</v>
      </c>
      <c r="C46" s="63" t="s">
        <v>69</v>
      </c>
      <c r="D46" s="63" t="s">
        <v>92</v>
      </c>
      <c r="E46" s="64">
        <v>46099</v>
      </c>
      <c r="F46" s="64">
        <v>46113</v>
      </c>
      <c r="G46">
        <f t="shared" si="6"/>
        <v>14</v>
      </c>
    </row>
    <row r="47" spans="1:17" ht="15" x14ac:dyDescent="0.25">
      <c r="A47" s="65" t="s">
        <v>61</v>
      </c>
      <c r="B47" s="63" t="s">
        <v>74</v>
      </c>
      <c r="C47" s="63" t="s">
        <v>69</v>
      </c>
      <c r="D47" s="63" t="s">
        <v>90</v>
      </c>
      <c r="E47" s="64">
        <v>46113</v>
      </c>
      <c r="F47" s="64">
        <v>46118</v>
      </c>
      <c r="G47">
        <f t="shared" si="6"/>
        <v>5</v>
      </c>
    </row>
    <row r="48" spans="1:17" ht="15" x14ac:dyDescent="0.25">
      <c r="A48" s="65" t="s">
        <v>61</v>
      </c>
      <c r="B48" s="63" t="s">
        <v>68</v>
      </c>
      <c r="C48" s="63" t="s">
        <v>69</v>
      </c>
      <c r="D48" s="63" t="s">
        <v>93</v>
      </c>
      <c r="E48" s="64">
        <v>46114</v>
      </c>
      <c r="F48" s="64">
        <v>46129</v>
      </c>
      <c r="G48">
        <f t="shared" si="6"/>
        <v>15</v>
      </c>
    </row>
    <row r="49" spans="1:7" ht="15" x14ac:dyDescent="0.25">
      <c r="A49" s="65" t="s">
        <v>61</v>
      </c>
      <c r="B49" s="63" t="s">
        <v>74</v>
      </c>
      <c r="C49" s="63" t="s">
        <v>69</v>
      </c>
      <c r="D49" s="63" t="s">
        <v>91</v>
      </c>
      <c r="E49" s="64">
        <v>46129</v>
      </c>
      <c r="F49" s="64">
        <v>46134</v>
      </c>
      <c r="G49">
        <f t="shared" si="6"/>
        <v>5</v>
      </c>
    </row>
    <row r="50" spans="1:7" ht="15" x14ac:dyDescent="0.25">
      <c r="A50" s="65" t="s">
        <v>61</v>
      </c>
      <c r="B50" s="63" t="s">
        <v>68</v>
      </c>
      <c r="C50" s="63" t="s">
        <v>69</v>
      </c>
      <c r="D50" s="63" t="s">
        <v>94</v>
      </c>
      <c r="E50" s="64">
        <v>46132</v>
      </c>
      <c r="F50" s="64">
        <v>46148</v>
      </c>
      <c r="G50">
        <f t="shared" si="6"/>
        <v>16</v>
      </c>
    </row>
    <row r="51" spans="1:7" ht="15" x14ac:dyDescent="0.25">
      <c r="A51" s="65" t="s">
        <v>61</v>
      </c>
      <c r="B51" s="63" t="s">
        <v>74</v>
      </c>
      <c r="C51" s="63" t="s">
        <v>69</v>
      </c>
      <c r="D51" s="63" t="s">
        <v>92</v>
      </c>
      <c r="E51" s="64">
        <v>46148</v>
      </c>
      <c r="F51" s="64">
        <v>46150</v>
      </c>
      <c r="G51">
        <f t="shared" si="6"/>
        <v>2</v>
      </c>
    </row>
    <row r="52" spans="1:7" ht="15" x14ac:dyDescent="0.25">
      <c r="A52" s="65" t="s">
        <v>61</v>
      </c>
      <c r="B52" s="63" t="s">
        <v>68</v>
      </c>
      <c r="C52" s="63" t="s">
        <v>69</v>
      </c>
      <c r="D52" s="63" t="s">
        <v>95</v>
      </c>
      <c r="E52" s="64">
        <v>46149</v>
      </c>
      <c r="F52" s="64">
        <v>46163</v>
      </c>
      <c r="G52">
        <f t="shared" si="6"/>
        <v>14</v>
      </c>
    </row>
    <row r="53" spans="1:7" ht="15" x14ac:dyDescent="0.25">
      <c r="A53" s="65" t="s">
        <v>61</v>
      </c>
      <c r="B53" s="63" t="s">
        <v>74</v>
      </c>
      <c r="C53" s="63" t="s">
        <v>69</v>
      </c>
      <c r="D53" s="63" t="s">
        <v>93</v>
      </c>
      <c r="E53" s="64">
        <v>46163</v>
      </c>
      <c r="F53" s="64">
        <v>46167</v>
      </c>
      <c r="G53">
        <f t="shared" si="6"/>
        <v>4</v>
      </c>
    </row>
    <row r="54" spans="1:7" ht="15" x14ac:dyDescent="0.25">
      <c r="A54" s="65" t="s">
        <v>61</v>
      </c>
      <c r="B54" s="63" t="s">
        <v>68</v>
      </c>
      <c r="C54" s="63" t="s">
        <v>69</v>
      </c>
      <c r="D54" s="63" t="s">
        <v>96</v>
      </c>
      <c r="E54" s="64">
        <v>46164</v>
      </c>
      <c r="F54" s="64">
        <v>46181</v>
      </c>
      <c r="G54">
        <f t="shared" si="6"/>
        <v>17</v>
      </c>
    </row>
    <row r="55" spans="1:7" ht="15" x14ac:dyDescent="0.25">
      <c r="A55" s="65" t="s">
        <v>61</v>
      </c>
      <c r="B55" s="63" t="s">
        <v>74</v>
      </c>
      <c r="C55" s="63" t="s">
        <v>69</v>
      </c>
      <c r="D55" s="63" t="s">
        <v>94</v>
      </c>
      <c r="E55" s="64">
        <v>46181</v>
      </c>
      <c r="F55" s="64">
        <v>46183</v>
      </c>
      <c r="G55">
        <f t="shared" si="6"/>
        <v>2</v>
      </c>
    </row>
    <row r="56" spans="1:7" ht="15" x14ac:dyDescent="0.25">
      <c r="A56" s="65" t="s">
        <v>61</v>
      </c>
      <c r="B56" s="63" t="s">
        <v>68</v>
      </c>
      <c r="C56" s="63" t="s">
        <v>69</v>
      </c>
      <c r="D56" s="63" t="s">
        <v>97</v>
      </c>
      <c r="E56" s="64">
        <v>46182</v>
      </c>
      <c r="F56" s="64">
        <v>46196</v>
      </c>
      <c r="G56">
        <f t="shared" si="6"/>
        <v>14</v>
      </c>
    </row>
    <row r="57" spans="1:7" ht="15" x14ac:dyDescent="0.25">
      <c r="A57" s="65" t="s">
        <v>61</v>
      </c>
      <c r="B57" s="63" t="s">
        <v>74</v>
      </c>
      <c r="C57" s="63" t="s">
        <v>69</v>
      </c>
      <c r="D57" s="63" t="s">
        <v>95</v>
      </c>
      <c r="E57" s="64">
        <v>46196</v>
      </c>
      <c r="F57" s="64">
        <v>46198</v>
      </c>
      <c r="G57">
        <f t="shared" si="6"/>
        <v>2</v>
      </c>
    </row>
    <row r="58" spans="1:7" ht="15" x14ac:dyDescent="0.25">
      <c r="A58" s="65" t="s">
        <v>61</v>
      </c>
      <c r="B58" s="63" t="s">
        <v>68</v>
      </c>
      <c r="C58" s="63" t="s">
        <v>69</v>
      </c>
      <c r="D58" s="63" t="s">
        <v>98</v>
      </c>
      <c r="E58" s="64">
        <v>46197</v>
      </c>
      <c r="F58" s="64">
        <v>46211</v>
      </c>
      <c r="G58">
        <f t="shared" si="6"/>
        <v>14</v>
      </c>
    </row>
    <row r="59" spans="1:7" ht="15" x14ac:dyDescent="0.25">
      <c r="A59" s="65" t="s">
        <v>61</v>
      </c>
      <c r="B59" s="63" t="s">
        <v>74</v>
      </c>
      <c r="C59" s="63" t="s">
        <v>69</v>
      </c>
      <c r="D59" s="63" t="s">
        <v>96</v>
      </c>
      <c r="E59" s="64">
        <v>46211</v>
      </c>
      <c r="F59" s="64">
        <v>46213</v>
      </c>
      <c r="G59">
        <f t="shared" si="6"/>
        <v>2</v>
      </c>
    </row>
    <row r="60" spans="1:7" ht="15" x14ac:dyDescent="0.25">
      <c r="A60" s="65" t="s">
        <v>61</v>
      </c>
      <c r="B60" s="63" t="s">
        <v>68</v>
      </c>
      <c r="C60" s="63" t="s">
        <v>69</v>
      </c>
      <c r="D60" s="63" t="s">
        <v>99</v>
      </c>
      <c r="E60" s="64">
        <v>46212</v>
      </c>
      <c r="F60" s="64">
        <v>46230</v>
      </c>
      <c r="G60">
        <f t="shared" si="6"/>
        <v>18</v>
      </c>
    </row>
    <row r="61" spans="1:7" ht="15" x14ac:dyDescent="0.25">
      <c r="A61" s="65" t="s">
        <v>61</v>
      </c>
      <c r="B61" s="63" t="s">
        <v>74</v>
      </c>
      <c r="C61" s="63" t="s">
        <v>69</v>
      </c>
      <c r="D61" s="63" t="s">
        <v>97</v>
      </c>
      <c r="E61" s="64">
        <v>46227</v>
      </c>
      <c r="F61" s="64">
        <v>46231</v>
      </c>
      <c r="G61">
        <f t="shared" si="6"/>
        <v>4</v>
      </c>
    </row>
    <row r="62" spans="1:7" ht="15" x14ac:dyDescent="0.25">
      <c r="A62" s="65" t="s">
        <v>61</v>
      </c>
      <c r="B62" s="63" t="s">
        <v>68</v>
      </c>
      <c r="C62" s="63" t="s">
        <v>69</v>
      </c>
      <c r="D62" s="63" t="s">
        <v>100</v>
      </c>
      <c r="E62" s="64">
        <v>46231</v>
      </c>
      <c r="F62" s="64">
        <v>46246</v>
      </c>
      <c r="G62">
        <f t="shared" si="6"/>
        <v>15</v>
      </c>
    </row>
    <row r="63" spans="1:7" ht="15" x14ac:dyDescent="0.25">
      <c r="A63" s="65" t="s">
        <v>61</v>
      </c>
      <c r="B63" s="63" t="s">
        <v>74</v>
      </c>
      <c r="C63" s="63" t="s">
        <v>69</v>
      </c>
      <c r="D63" s="63" t="s">
        <v>98</v>
      </c>
      <c r="E63" s="64">
        <v>46244</v>
      </c>
      <c r="F63" s="64">
        <v>46246</v>
      </c>
      <c r="G63">
        <f t="shared" si="6"/>
        <v>2</v>
      </c>
    </row>
    <row r="64" spans="1:7" ht="15" x14ac:dyDescent="0.25">
      <c r="A64" s="65" t="s">
        <v>61</v>
      </c>
      <c r="B64" s="63" t="s">
        <v>68</v>
      </c>
      <c r="C64" s="63" t="s">
        <v>69</v>
      </c>
      <c r="D64" s="63" t="s">
        <v>101</v>
      </c>
      <c r="E64" s="64">
        <v>46247</v>
      </c>
      <c r="F64" s="64">
        <v>46262</v>
      </c>
      <c r="G64">
        <f t="shared" si="6"/>
        <v>15</v>
      </c>
    </row>
    <row r="65" spans="1:7" ht="15" x14ac:dyDescent="0.25">
      <c r="A65" s="65" t="s">
        <v>61</v>
      </c>
      <c r="B65" s="63" t="s">
        <v>74</v>
      </c>
      <c r="C65" s="63" t="s">
        <v>69</v>
      </c>
      <c r="D65" s="63" t="s">
        <v>99</v>
      </c>
      <c r="E65" s="64">
        <v>46260</v>
      </c>
      <c r="F65" s="64">
        <v>46262</v>
      </c>
      <c r="G65">
        <f t="shared" si="6"/>
        <v>2</v>
      </c>
    </row>
    <row r="66" spans="1:7" ht="15" x14ac:dyDescent="0.25">
      <c r="A66" s="65" t="s">
        <v>61</v>
      </c>
      <c r="B66" s="63" t="s">
        <v>68</v>
      </c>
      <c r="C66" s="63" t="s">
        <v>69</v>
      </c>
      <c r="D66" s="63" t="s">
        <v>102</v>
      </c>
      <c r="E66" s="64">
        <v>46265</v>
      </c>
      <c r="F66" s="64">
        <v>46281</v>
      </c>
      <c r="G66">
        <f t="shared" si="6"/>
        <v>16</v>
      </c>
    </row>
    <row r="67" spans="1:7" ht="15" x14ac:dyDescent="0.25">
      <c r="A67" s="65" t="s">
        <v>61</v>
      </c>
      <c r="B67" s="63" t="s">
        <v>74</v>
      </c>
      <c r="C67" s="63" t="s">
        <v>69</v>
      </c>
      <c r="D67" s="63" t="s">
        <v>100</v>
      </c>
      <c r="E67" s="64">
        <v>46279</v>
      </c>
      <c r="F67" s="64">
        <v>46281</v>
      </c>
      <c r="G67">
        <f t="shared" si="6"/>
        <v>2</v>
      </c>
    </row>
    <row r="68" spans="1:7" ht="15" x14ac:dyDescent="0.25">
      <c r="A68" s="65" t="s">
        <v>61</v>
      </c>
      <c r="B68" s="63" t="s">
        <v>68</v>
      </c>
      <c r="C68" s="63" t="s">
        <v>69</v>
      </c>
      <c r="D68" s="63" t="s">
        <v>103</v>
      </c>
      <c r="E68" s="64">
        <v>46282</v>
      </c>
      <c r="F68" s="64">
        <v>46302</v>
      </c>
      <c r="G68">
        <f t="shared" si="6"/>
        <v>20</v>
      </c>
    </row>
    <row r="69" spans="1:7" ht="15" x14ac:dyDescent="0.25">
      <c r="A69" s="65" t="s">
        <v>61</v>
      </c>
      <c r="B69" s="63" t="s">
        <v>74</v>
      </c>
      <c r="C69" s="63" t="s">
        <v>69</v>
      </c>
      <c r="D69" s="63" t="s">
        <v>101</v>
      </c>
      <c r="E69" s="64">
        <v>46295</v>
      </c>
      <c r="F69" s="64">
        <v>46297</v>
      </c>
      <c r="G69">
        <f t="shared" si="6"/>
        <v>2</v>
      </c>
    </row>
    <row r="70" spans="1:7" ht="15" x14ac:dyDescent="0.25">
      <c r="A70" s="65" t="s">
        <v>61</v>
      </c>
      <c r="B70" s="63" t="s">
        <v>68</v>
      </c>
      <c r="C70" s="63" t="s">
        <v>69</v>
      </c>
      <c r="D70" s="63" t="s">
        <v>104</v>
      </c>
      <c r="E70" s="64">
        <v>46303</v>
      </c>
      <c r="F70" s="64">
        <v>46324</v>
      </c>
      <c r="G70">
        <f t="shared" ref="G70:G77" si="7">F70-E70</f>
        <v>21</v>
      </c>
    </row>
    <row r="71" spans="1:7" ht="15" x14ac:dyDescent="0.25">
      <c r="A71" s="65" t="s">
        <v>61</v>
      </c>
      <c r="B71" s="63" t="s">
        <v>74</v>
      </c>
      <c r="C71" s="63" t="s">
        <v>69</v>
      </c>
      <c r="D71" s="63" t="s">
        <v>102</v>
      </c>
      <c r="E71" s="64">
        <v>46314</v>
      </c>
      <c r="F71" s="64">
        <v>46316</v>
      </c>
      <c r="G71">
        <f t="shared" si="7"/>
        <v>2</v>
      </c>
    </row>
    <row r="72" spans="1:7" ht="15" x14ac:dyDescent="0.25">
      <c r="A72" s="65" t="s">
        <v>61</v>
      </c>
      <c r="B72" s="63" t="s">
        <v>68</v>
      </c>
      <c r="C72" s="63" t="s">
        <v>69</v>
      </c>
      <c r="D72" s="63" t="s">
        <v>105</v>
      </c>
      <c r="E72" s="64">
        <v>46325</v>
      </c>
      <c r="F72" s="64">
        <v>46346</v>
      </c>
      <c r="G72">
        <f t="shared" si="7"/>
        <v>21</v>
      </c>
    </row>
    <row r="73" spans="1:7" ht="15" x14ac:dyDescent="0.25">
      <c r="A73" s="65" t="s">
        <v>61</v>
      </c>
      <c r="B73" s="63" t="s">
        <v>74</v>
      </c>
      <c r="C73" s="63" t="s">
        <v>69</v>
      </c>
      <c r="D73" s="63" t="s">
        <v>103</v>
      </c>
      <c r="E73" s="64">
        <v>46336</v>
      </c>
      <c r="F73" s="64">
        <v>46338</v>
      </c>
      <c r="G73">
        <f t="shared" si="7"/>
        <v>2</v>
      </c>
    </row>
    <row r="74" spans="1:7" ht="15" x14ac:dyDescent="0.25">
      <c r="A74" s="65" t="s">
        <v>61</v>
      </c>
      <c r="B74" s="63" t="s">
        <v>68</v>
      </c>
      <c r="C74" s="63" t="s">
        <v>69</v>
      </c>
      <c r="D74" s="63" t="s">
        <v>106</v>
      </c>
      <c r="E74" s="64">
        <v>46349</v>
      </c>
      <c r="F74" s="64">
        <v>46364</v>
      </c>
      <c r="G74">
        <f t="shared" si="7"/>
        <v>15</v>
      </c>
    </row>
    <row r="75" spans="1:7" ht="15" x14ac:dyDescent="0.25">
      <c r="A75" s="65" t="s">
        <v>61</v>
      </c>
      <c r="B75" s="63" t="s">
        <v>74</v>
      </c>
      <c r="C75" s="63" t="s">
        <v>69</v>
      </c>
      <c r="D75" s="63" t="s">
        <v>104</v>
      </c>
      <c r="E75" s="64">
        <v>46357</v>
      </c>
      <c r="F75" s="64">
        <v>46359</v>
      </c>
      <c r="G75">
        <f t="shared" si="7"/>
        <v>2</v>
      </c>
    </row>
    <row r="76" spans="1:7" ht="15" x14ac:dyDescent="0.25">
      <c r="A76" s="65" t="s">
        <v>61</v>
      </c>
      <c r="B76" s="63" t="s">
        <v>74</v>
      </c>
      <c r="C76" s="63" t="s">
        <v>69</v>
      </c>
      <c r="D76" s="63" t="s">
        <v>105</v>
      </c>
      <c r="E76" s="64">
        <v>46393</v>
      </c>
      <c r="F76" s="64">
        <v>46395</v>
      </c>
      <c r="G76">
        <f t="shared" si="7"/>
        <v>2</v>
      </c>
    </row>
    <row r="77" spans="1:7" ht="15" x14ac:dyDescent="0.25">
      <c r="A77" s="65" t="s">
        <v>61</v>
      </c>
      <c r="B77" s="63" t="s">
        <v>74</v>
      </c>
      <c r="C77" s="63" t="s">
        <v>69</v>
      </c>
      <c r="D77" s="63" t="s">
        <v>106</v>
      </c>
      <c r="E77" s="64">
        <v>46409</v>
      </c>
      <c r="F77" s="64">
        <v>46413</v>
      </c>
      <c r="G77">
        <f t="shared" si="7"/>
        <v>4</v>
      </c>
    </row>
    <row r="79" spans="1:7" x14ac:dyDescent="0.2">
      <c r="F79">
        <f>F77-E5</f>
        <v>831</v>
      </c>
      <c r="G79">
        <f>F79/30</f>
        <v>27.7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D2FB-33FB-4653-82F6-482325286F6D}">
  <dimension ref="A1:D47"/>
  <sheetViews>
    <sheetView zoomScaleNormal="100" workbookViewId="0">
      <selection activeCell="D37" sqref="D37"/>
    </sheetView>
  </sheetViews>
  <sheetFormatPr defaultRowHeight="12.75" x14ac:dyDescent="0.2"/>
  <cols>
    <col min="1" max="1" width="27" bestFit="1" customWidth="1"/>
    <col min="2" max="2" width="31.140625" bestFit="1" customWidth="1"/>
    <col min="3" max="3" width="14" customWidth="1"/>
    <col min="4" max="4" width="33.85546875" customWidth="1"/>
    <col min="6" max="6" width="13.28515625" bestFit="1" customWidth="1"/>
  </cols>
  <sheetData>
    <row r="1" spans="1:4" ht="19.5" x14ac:dyDescent="0.2">
      <c r="A1" s="1" t="s">
        <v>0</v>
      </c>
      <c r="B1" s="375" t="s">
        <v>647</v>
      </c>
      <c r="C1" s="376"/>
      <c r="D1" s="377"/>
    </row>
    <row r="2" spans="1:4" ht="21.2" customHeight="1" x14ac:dyDescent="0.2">
      <c r="A2" s="6" t="s">
        <v>1</v>
      </c>
      <c r="B2" s="378" t="s">
        <v>648</v>
      </c>
      <c r="C2" s="379"/>
      <c r="D2" s="380"/>
    </row>
    <row r="3" spans="1:4" ht="21.2" customHeight="1" x14ac:dyDescent="0.2">
      <c r="A3" s="6" t="s">
        <v>2</v>
      </c>
      <c r="B3" s="378" t="s">
        <v>55</v>
      </c>
      <c r="C3" s="379"/>
      <c r="D3" s="380"/>
    </row>
    <row r="4" spans="1:4" ht="20.25" customHeight="1" x14ac:dyDescent="0.2">
      <c r="A4" s="319" t="s">
        <v>8</v>
      </c>
      <c r="B4" s="368"/>
      <c r="C4" s="368"/>
      <c r="D4" s="369"/>
    </row>
    <row r="5" spans="1:4" ht="10.5" customHeight="1" x14ac:dyDescent="0.6">
      <c r="A5" s="10"/>
      <c r="B5" s="11"/>
      <c r="C5" s="54"/>
      <c r="D5" s="13"/>
    </row>
    <row r="6" spans="1:4" ht="18" customHeight="1" x14ac:dyDescent="0.2">
      <c r="A6" s="370" t="s">
        <v>649</v>
      </c>
      <c r="B6" s="371"/>
      <c r="C6" s="371"/>
      <c r="D6" s="372"/>
    </row>
    <row r="7" spans="1:4" ht="18" customHeight="1" x14ac:dyDescent="0.2">
      <c r="A7" s="183"/>
      <c r="B7" s="182"/>
      <c r="C7" s="182"/>
      <c r="D7" s="184"/>
    </row>
    <row r="8" spans="1:4" ht="12.95" customHeight="1" x14ac:dyDescent="0.2">
      <c r="A8" s="185"/>
      <c r="B8" s="373" t="s">
        <v>35</v>
      </c>
      <c r="C8" s="381" t="s">
        <v>36</v>
      </c>
      <c r="D8" s="186"/>
    </row>
    <row r="9" spans="1:4" ht="12.95" customHeight="1" x14ac:dyDescent="0.2">
      <c r="A9" s="185"/>
      <c r="B9" s="374"/>
      <c r="C9" s="382"/>
      <c r="D9" s="186"/>
    </row>
    <row r="10" spans="1:4" ht="23.25" x14ac:dyDescent="0.65">
      <c r="A10" s="185"/>
      <c r="B10" s="191" t="s">
        <v>37</v>
      </c>
      <c r="C10" s="192">
        <v>271.18</v>
      </c>
      <c r="D10" s="186"/>
    </row>
    <row r="11" spans="1:4" ht="23.25" x14ac:dyDescent="0.65">
      <c r="A11" s="185"/>
      <c r="B11" s="191" t="s">
        <v>38</v>
      </c>
      <c r="C11" s="192">
        <v>980.62</v>
      </c>
      <c r="D11" s="186"/>
    </row>
    <row r="12" spans="1:4" ht="23.25" x14ac:dyDescent="0.65">
      <c r="A12" s="185"/>
      <c r="B12" s="191" t="s">
        <v>39</v>
      </c>
      <c r="C12" s="192">
        <v>980.62</v>
      </c>
      <c r="D12" s="186"/>
    </row>
    <row r="13" spans="1:4" ht="23.25" x14ac:dyDescent="0.65">
      <c r="A13" s="185"/>
      <c r="B13" s="191" t="s">
        <v>40</v>
      </c>
      <c r="C13" s="192">
        <v>980.62</v>
      </c>
      <c r="D13" s="186"/>
    </row>
    <row r="14" spans="1:4" ht="23.25" x14ac:dyDescent="0.65">
      <c r="A14" s="185"/>
      <c r="B14" s="191" t="s">
        <v>41</v>
      </c>
      <c r="C14" s="192">
        <v>980.62</v>
      </c>
      <c r="D14" s="186"/>
    </row>
    <row r="15" spans="1:4" ht="23.25" x14ac:dyDescent="0.65">
      <c r="A15" s="185"/>
      <c r="B15" s="191" t="s">
        <v>42</v>
      </c>
      <c r="C15" s="192">
        <v>979.79</v>
      </c>
      <c r="D15" s="186"/>
    </row>
    <row r="16" spans="1:4" ht="23.25" x14ac:dyDescent="0.65">
      <c r="A16" s="185"/>
      <c r="B16" s="191" t="s">
        <v>43</v>
      </c>
      <c r="C16" s="192">
        <v>304.20999999999998</v>
      </c>
      <c r="D16" s="186"/>
    </row>
    <row r="17" spans="1:4" ht="23.25" x14ac:dyDescent="0.65">
      <c r="A17" s="185"/>
      <c r="B17" s="191" t="s">
        <v>44</v>
      </c>
      <c r="C17" s="192">
        <v>394.74</v>
      </c>
      <c r="D17" s="186"/>
    </row>
    <row r="18" spans="1:4" ht="23.25" x14ac:dyDescent="0.65">
      <c r="A18" s="185"/>
      <c r="B18" s="191" t="s">
        <v>107</v>
      </c>
      <c r="C18" s="192">
        <v>322.07</v>
      </c>
      <c r="D18" s="186"/>
    </row>
    <row r="19" spans="1:4" ht="23.25" x14ac:dyDescent="0.65">
      <c r="A19" s="185"/>
      <c r="B19" s="191" t="s">
        <v>107</v>
      </c>
      <c r="C19" s="192">
        <v>322.07</v>
      </c>
      <c r="D19" s="186"/>
    </row>
    <row r="20" spans="1:4" ht="23.25" x14ac:dyDescent="0.65">
      <c r="A20" s="185"/>
      <c r="B20" s="191" t="s">
        <v>107</v>
      </c>
      <c r="C20" s="192">
        <v>322.07</v>
      </c>
      <c r="D20" s="186"/>
    </row>
    <row r="21" spans="1:4" ht="23.25" x14ac:dyDescent="0.65">
      <c r="A21" s="185"/>
      <c r="B21" s="191" t="s">
        <v>107</v>
      </c>
      <c r="C21" s="192">
        <v>322.07</v>
      </c>
      <c r="D21" s="186"/>
    </row>
    <row r="22" spans="1:4" ht="23.25" x14ac:dyDescent="0.65">
      <c r="A22" s="185"/>
      <c r="B22" s="191" t="s">
        <v>107</v>
      </c>
      <c r="C22" s="192">
        <v>322.07</v>
      </c>
      <c r="D22" s="186"/>
    </row>
    <row r="23" spans="1:4" ht="23.25" x14ac:dyDescent="0.65">
      <c r="A23" s="185"/>
      <c r="B23" s="191" t="s">
        <v>107</v>
      </c>
      <c r="C23" s="192">
        <v>322.07</v>
      </c>
      <c r="D23" s="186"/>
    </row>
    <row r="24" spans="1:4" ht="23.25" x14ac:dyDescent="0.65">
      <c r="A24" s="185"/>
      <c r="B24" s="191" t="s">
        <v>107</v>
      </c>
      <c r="C24" s="192">
        <v>322.07</v>
      </c>
      <c r="D24" s="186"/>
    </row>
    <row r="25" spans="1:4" ht="23.25" x14ac:dyDescent="0.65">
      <c r="A25" s="185"/>
      <c r="B25" s="191" t="s">
        <v>107</v>
      </c>
      <c r="C25" s="192">
        <v>322.07</v>
      </c>
      <c r="D25" s="186"/>
    </row>
    <row r="26" spans="1:4" ht="23.25" x14ac:dyDescent="0.65">
      <c r="A26" s="185"/>
      <c r="B26" s="191" t="s">
        <v>107</v>
      </c>
      <c r="C26" s="192">
        <v>322.07</v>
      </c>
      <c r="D26" s="186"/>
    </row>
    <row r="27" spans="1:4" ht="23.25" x14ac:dyDescent="0.65">
      <c r="A27" s="185"/>
      <c r="B27" s="191" t="s">
        <v>107</v>
      </c>
      <c r="C27" s="192">
        <v>322.07</v>
      </c>
      <c r="D27" s="186"/>
    </row>
    <row r="28" spans="1:4" ht="23.25" x14ac:dyDescent="0.65">
      <c r="A28" s="185"/>
      <c r="B28" s="191" t="s">
        <v>107</v>
      </c>
      <c r="C28" s="192">
        <v>322.07</v>
      </c>
      <c r="D28" s="186"/>
    </row>
    <row r="29" spans="1:4" ht="23.25" x14ac:dyDescent="0.65">
      <c r="A29" s="185"/>
      <c r="B29" s="191" t="s">
        <v>107</v>
      </c>
      <c r="C29" s="192">
        <v>322.07</v>
      </c>
      <c r="D29" s="186"/>
    </row>
    <row r="30" spans="1:4" ht="23.25" x14ac:dyDescent="0.65">
      <c r="A30" s="185"/>
      <c r="B30" s="191" t="s">
        <v>107</v>
      </c>
      <c r="C30" s="192">
        <v>322.07</v>
      </c>
      <c r="D30" s="186"/>
    </row>
    <row r="31" spans="1:4" ht="23.25" x14ac:dyDescent="0.65">
      <c r="A31" s="185"/>
      <c r="B31" s="191" t="s">
        <v>107</v>
      </c>
      <c r="C31" s="192">
        <v>322.07</v>
      </c>
      <c r="D31" s="186"/>
    </row>
    <row r="32" spans="1:4" ht="23.25" x14ac:dyDescent="0.65">
      <c r="A32" s="185"/>
      <c r="B32" s="191" t="s">
        <v>107</v>
      </c>
      <c r="C32" s="192">
        <v>322.07</v>
      </c>
      <c r="D32" s="186"/>
    </row>
    <row r="33" spans="1:4" ht="23.25" x14ac:dyDescent="0.65">
      <c r="A33" s="185"/>
      <c r="B33" s="191" t="s">
        <v>107</v>
      </c>
      <c r="C33" s="192">
        <v>322.07</v>
      </c>
      <c r="D33" s="186"/>
    </row>
    <row r="34" spans="1:4" ht="23.25" x14ac:dyDescent="0.65">
      <c r="A34" s="185"/>
      <c r="B34" s="191" t="s">
        <v>107</v>
      </c>
      <c r="C34" s="192">
        <v>322.07</v>
      </c>
      <c r="D34" s="186"/>
    </row>
    <row r="35" spans="1:4" ht="23.25" x14ac:dyDescent="0.65">
      <c r="A35" s="185"/>
      <c r="B35" s="191" t="s">
        <v>107</v>
      </c>
      <c r="C35" s="192">
        <v>322.91000000000003</v>
      </c>
      <c r="D35" s="186"/>
    </row>
    <row r="36" spans="1:4" ht="23.25" x14ac:dyDescent="0.65">
      <c r="A36" s="185"/>
      <c r="B36" s="191" t="s">
        <v>46</v>
      </c>
      <c r="C36" s="192">
        <v>322.63</v>
      </c>
      <c r="D36" s="186"/>
    </row>
    <row r="37" spans="1:4" ht="23.25" x14ac:dyDescent="0.65">
      <c r="A37" s="185"/>
      <c r="B37" s="191" t="s">
        <v>48</v>
      </c>
      <c r="C37" s="192">
        <v>262.10000000000002</v>
      </c>
      <c r="D37" s="186"/>
    </row>
    <row r="38" spans="1:4" ht="23.25" x14ac:dyDescent="0.65">
      <c r="A38" s="185"/>
      <c r="B38" s="191" t="s">
        <v>47</v>
      </c>
      <c r="C38" s="192">
        <v>322.67</v>
      </c>
      <c r="D38" s="186"/>
    </row>
    <row r="39" spans="1:4" ht="23.25" x14ac:dyDescent="0.65">
      <c r="A39" s="185"/>
      <c r="B39" s="191" t="s">
        <v>49</v>
      </c>
      <c r="C39" s="192">
        <v>262.10000000000002</v>
      </c>
      <c r="D39" s="186"/>
    </row>
    <row r="40" spans="1:4" ht="23.25" x14ac:dyDescent="0.65">
      <c r="A40" s="185"/>
      <c r="B40" s="191" t="s">
        <v>50</v>
      </c>
      <c r="C40" s="192">
        <v>320.88</v>
      </c>
      <c r="D40" s="186"/>
    </row>
    <row r="41" spans="1:4" ht="23.25" x14ac:dyDescent="0.65">
      <c r="A41" s="185"/>
      <c r="B41" s="191" t="s">
        <v>51</v>
      </c>
      <c r="C41" s="192">
        <v>276.67</v>
      </c>
      <c r="D41" s="186"/>
    </row>
    <row r="42" spans="1:4" ht="23.25" x14ac:dyDescent="0.65">
      <c r="A42" s="185"/>
      <c r="B42" s="191" t="s">
        <v>45</v>
      </c>
      <c r="C42" s="192">
        <v>36.76</v>
      </c>
      <c r="D42" s="186"/>
    </row>
    <row r="43" spans="1:4" ht="23.25" x14ac:dyDescent="0.65">
      <c r="A43" s="185"/>
      <c r="B43" s="191" t="s">
        <v>52</v>
      </c>
      <c r="C43" s="192">
        <v>47.53</v>
      </c>
      <c r="D43" s="186"/>
    </row>
    <row r="44" spans="1:4" ht="23.25" x14ac:dyDescent="0.65">
      <c r="A44" s="185"/>
      <c r="B44" s="197" t="s">
        <v>654</v>
      </c>
      <c r="C44" s="201">
        <f>SUM(C10:C43)</f>
        <v>13521.839999999995</v>
      </c>
      <c r="D44" s="186"/>
    </row>
    <row r="45" spans="1:4" x14ac:dyDescent="0.2">
      <c r="A45" s="185"/>
      <c r="B45" s="187"/>
      <c r="C45" s="187"/>
      <c r="D45" s="186"/>
    </row>
    <row r="46" spans="1:4" x14ac:dyDescent="0.2">
      <c r="A46" s="185"/>
      <c r="B46" s="187"/>
      <c r="C46" s="187"/>
      <c r="D46" s="186"/>
    </row>
    <row r="47" spans="1:4" x14ac:dyDescent="0.2">
      <c r="A47" s="188"/>
      <c r="B47" s="189"/>
      <c r="C47" s="189"/>
      <c r="D47" s="190"/>
    </row>
  </sheetData>
  <mergeCells count="7">
    <mergeCell ref="A4:D4"/>
    <mergeCell ref="A6:D6"/>
    <mergeCell ref="B8:B9"/>
    <mergeCell ref="B1:D1"/>
    <mergeCell ref="B2:D2"/>
    <mergeCell ref="B3:D3"/>
    <mergeCell ref="C8:C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CAPA</vt:lpstr>
      <vt:lpstr>Custos_Indiretos</vt:lpstr>
      <vt:lpstr>Orçamento_Executivo</vt:lpstr>
      <vt:lpstr>SUPRA</vt:lpstr>
      <vt:lpstr>Orçamento_Paramétrico</vt:lpstr>
      <vt:lpstr>Custo_Médias</vt:lpstr>
      <vt:lpstr>Custo_Diferença</vt:lpstr>
      <vt:lpstr>R$_Escoramento</vt:lpstr>
      <vt:lpstr>Tempo</vt:lpstr>
      <vt:lpstr>Áreas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dcterms:created xsi:type="dcterms:W3CDTF">2020-06-25T16:50:19Z</dcterms:created>
  <dcterms:modified xsi:type="dcterms:W3CDTF">2024-08-27T17:24:40Z</dcterms:modified>
</cp:coreProperties>
</file>