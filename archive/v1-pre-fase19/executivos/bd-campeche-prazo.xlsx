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D Empreendimentos\2025 - Jardim Campeche\04. Custo\04.1 Custo - Paramétrico\03 - Indiretos\"/>
    </mc:Choice>
  </mc:AlternateContent>
  <xr:revisionPtr revIDLastSave="0" documentId="13_ncr:1_{BD0417D2-BA36-445C-87D4-2E762EC7BDE3}" xr6:coauthVersionLast="47" xr6:coauthVersionMax="47" xr10:uidLastSave="{00000000-0000-0000-0000-000000000000}"/>
  <bookViews>
    <workbookView xWindow="-23148" yWindow="-48" windowWidth="23256" windowHeight="12456" xr2:uid="{7D576F2E-51A1-4758-9615-AD65E0C3CC56}"/>
  </bookViews>
  <sheets>
    <sheet name="PRAZO" sheetId="15" r:id="rId1"/>
    <sheet name="DISTRIBUIÇÃO CUSTO" sheetId="16" r:id="rId2"/>
    <sheet name="Planilha1" sheetId="17" state="hidden" r:id="rId3"/>
    <sheet name="CURVA PARAMÉTRICA" sheetId="13" r:id="rId4"/>
  </sheets>
  <definedNames>
    <definedName name="_xlnm._FilterDatabase" localSheetId="1" hidden="1">'DISTRIBUIÇÃO CUSTO'!$B$29:$E$31</definedName>
    <definedName name="_xlnm._FilterDatabase" localSheetId="2" hidden="1">Planilha1!$A$1:$N$27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6" l="1"/>
  <c r="BZ11" i="16" l="1"/>
  <c r="BX12" i="16"/>
  <c r="BX13" i="16"/>
  <c r="BX14" i="16"/>
  <c r="BX15" i="16"/>
  <c r="BX16" i="16"/>
  <c r="BX17" i="16"/>
  <c r="BX18" i="16"/>
  <c r="BX19" i="16"/>
  <c r="BX20" i="16"/>
  <c r="BX21" i="16"/>
  <c r="BX22" i="16"/>
  <c r="BX11" i="16"/>
  <c r="BX10" i="16"/>
  <c r="BV25" i="16"/>
  <c r="BV24" i="16"/>
  <c r="BV12" i="16"/>
  <c r="BV13" i="16"/>
  <c r="BV14" i="16"/>
  <c r="BV15" i="16"/>
  <c r="BV16" i="16"/>
  <c r="BV17" i="16"/>
  <c r="BV18" i="16"/>
  <c r="BV19" i="16"/>
  <c r="BV20" i="16"/>
  <c r="BV21" i="16"/>
  <c r="BV22" i="16"/>
  <c r="BV11" i="16"/>
  <c r="BV10" i="16"/>
  <c r="AM21" i="15"/>
  <c r="BX23" i="16" s="1"/>
  <c r="BV23" i="16" l="1"/>
  <c r="BZ25" i="16" l="1"/>
  <c r="BZ24" i="16"/>
  <c r="BX25" i="16"/>
  <c r="BX24" i="16"/>
  <c r="BT25" i="16"/>
  <c r="BT24" i="16"/>
  <c r="BR25" i="16"/>
  <c r="BR24" i="16"/>
  <c r="BP25" i="16"/>
  <c r="BP24" i="16"/>
  <c r="BN25" i="16"/>
  <c r="BN24" i="16"/>
  <c r="BL25" i="16"/>
  <c r="BL24" i="16"/>
  <c r="BJ25" i="16"/>
  <c r="BJ24" i="16"/>
  <c r="BH25" i="16"/>
  <c r="BH24" i="16"/>
  <c r="BF25" i="16"/>
  <c r="BF24" i="16"/>
  <c r="BD25" i="16"/>
  <c r="BD24" i="16"/>
  <c r="BB25" i="16"/>
  <c r="BB24" i="16"/>
  <c r="AZ25" i="16"/>
  <c r="AZ24" i="16"/>
  <c r="AX25" i="16"/>
  <c r="AX24" i="16"/>
  <c r="AV25" i="16"/>
  <c r="AV24" i="16"/>
  <c r="AT25" i="16"/>
  <c r="AT24" i="16"/>
  <c r="AR25" i="16"/>
  <c r="AR24" i="16"/>
  <c r="AP25" i="16"/>
  <c r="AP24" i="16"/>
  <c r="AN25" i="16"/>
  <c r="AN24" i="16"/>
  <c r="AL25" i="16"/>
  <c r="AL24" i="16"/>
  <c r="AJ25" i="16"/>
  <c r="AJ24" i="16"/>
  <c r="AH25" i="16"/>
  <c r="AH24" i="16"/>
  <c r="AF25" i="16"/>
  <c r="AF24" i="16"/>
  <c r="AD25" i="16"/>
  <c r="AD24" i="16"/>
  <c r="AB25" i="16"/>
  <c r="AB24" i="16"/>
  <c r="Z25" i="16"/>
  <c r="Z24" i="16"/>
  <c r="X25" i="16"/>
  <c r="X24" i="16"/>
  <c r="V25" i="16"/>
  <c r="V24" i="16"/>
  <c r="T25" i="16"/>
  <c r="T24" i="16"/>
  <c r="R25" i="16"/>
  <c r="R24" i="16"/>
  <c r="P25" i="16"/>
  <c r="P24" i="16"/>
  <c r="N25" i="16"/>
  <c r="N24" i="16"/>
  <c r="L25" i="16"/>
  <c r="L24" i="16"/>
  <c r="J25" i="16"/>
  <c r="J24" i="16"/>
  <c r="H25" i="16"/>
  <c r="H24" i="16"/>
  <c r="BZ9" i="16"/>
  <c r="BX9" i="16"/>
  <c r="BV9" i="16"/>
  <c r="BT9" i="16"/>
  <c r="BR9" i="16"/>
  <c r="BP9" i="16"/>
  <c r="BN9" i="16"/>
  <c r="BL9" i="16"/>
  <c r="BJ9" i="16"/>
  <c r="BH9" i="16"/>
  <c r="BF9" i="16"/>
  <c r="BD9" i="16"/>
  <c r="BB9" i="16"/>
  <c r="AZ9" i="16"/>
  <c r="AX9" i="16"/>
  <c r="AV9" i="16"/>
  <c r="AT9" i="16"/>
  <c r="AR9" i="16"/>
  <c r="AP9" i="16"/>
  <c r="AN9" i="16"/>
  <c r="AL9" i="16"/>
  <c r="AJ9" i="16"/>
  <c r="AH9" i="16"/>
  <c r="AF9" i="16"/>
  <c r="AD9" i="16"/>
  <c r="AB9" i="16"/>
  <c r="Z9" i="16"/>
  <c r="X9" i="16"/>
  <c r="V9" i="16"/>
  <c r="T9" i="16"/>
  <c r="BY9" i="16" l="1"/>
  <c r="BW9" i="16"/>
  <c r="BY15" i="16" l="1"/>
  <c r="BY16" i="16" l="1"/>
  <c r="BW16" i="16"/>
  <c r="BY20" i="16"/>
  <c r="BY23" i="16"/>
  <c r="BW23" i="16"/>
  <c r="BW17" i="16"/>
  <c r="BY17" i="16"/>
  <c r="BW14" i="16"/>
  <c r="BY14" i="16"/>
  <c r="BW19" i="16"/>
  <c r="BY19" i="16"/>
  <c r="BW25" i="16"/>
  <c r="BY25" i="16"/>
  <c r="BY12" i="16"/>
  <c r="BW12" i="16"/>
  <c r="BW18" i="16"/>
  <c r="BY18" i="16"/>
  <c r="BY13" i="16"/>
  <c r="BW13" i="16"/>
  <c r="BY10" i="16"/>
  <c r="BW10" i="16"/>
  <c r="BW11" i="16" l="1"/>
  <c r="BY11" i="16"/>
  <c r="BW22" i="16" l="1"/>
  <c r="BY22" i="16"/>
  <c r="BY24" i="16" l="1"/>
  <c r="BW24" i="16"/>
  <c r="F9" i="16" l="1"/>
  <c r="CA25" i="16"/>
  <c r="BU25" i="16"/>
  <c r="BS25" i="16"/>
  <c r="BQ25" i="16"/>
  <c r="BO25" i="16"/>
  <c r="BM25" i="16"/>
  <c r="BK25" i="16"/>
  <c r="BI25" i="16"/>
  <c r="BG25" i="16"/>
  <c r="BE25" i="16"/>
  <c r="BC25" i="16"/>
  <c r="BA25" i="16"/>
  <c r="AY25" i="16"/>
  <c r="AW25" i="16"/>
  <c r="AU25" i="16"/>
  <c r="AS25" i="16"/>
  <c r="AQ25" i="16"/>
  <c r="AO25" i="16"/>
  <c r="AM25" i="16"/>
  <c r="AK25" i="16"/>
  <c r="AI25" i="16"/>
  <c r="AG25" i="16"/>
  <c r="AE25" i="16"/>
  <c r="AC25" i="16"/>
  <c r="AA25" i="16"/>
  <c r="Y25" i="16"/>
  <c r="W25" i="16"/>
  <c r="U25" i="16"/>
  <c r="S25" i="16"/>
  <c r="Q25" i="16"/>
  <c r="O25" i="16"/>
  <c r="M25" i="16"/>
  <c r="K25" i="16"/>
  <c r="I25" i="16"/>
  <c r="E25" i="16"/>
  <c r="F25" i="16" l="1"/>
  <c r="F24" i="16" l="1"/>
  <c r="F26" i="16" l="1" a="1"/>
  <c r="F26" i="16" s="1"/>
  <c r="CA9" i="16" l="1"/>
  <c r="BU9" i="16"/>
  <c r="BS9" i="16"/>
  <c r="BQ9" i="16"/>
  <c r="BO9" i="16"/>
  <c r="BM9" i="16"/>
  <c r="BK9" i="16"/>
  <c r="BI9" i="16"/>
  <c r="BG9" i="16"/>
  <c r="BE9" i="16"/>
  <c r="BC9" i="16"/>
  <c r="BA9" i="16"/>
  <c r="AY9" i="16"/>
  <c r="AW9" i="16"/>
  <c r="AU9" i="16"/>
  <c r="AS9" i="16"/>
  <c r="AQ9" i="16"/>
  <c r="AO9" i="16"/>
  <c r="AM9" i="16"/>
  <c r="AK9" i="16"/>
  <c r="AI9" i="16"/>
  <c r="AG9" i="16"/>
  <c r="AE9" i="16"/>
  <c r="AC9" i="16"/>
  <c r="AA9" i="16"/>
  <c r="Y9" i="16"/>
  <c r="W9" i="16"/>
  <c r="U9" i="16"/>
  <c r="S9" i="16"/>
  <c r="Q9" i="16"/>
  <c r="O9" i="16"/>
  <c r="M9" i="16"/>
  <c r="K9" i="16"/>
  <c r="I9" i="16"/>
  <c r="BJ23" i="16" l="1"/>
  <c r="BK23" i="16" s="1"/>
  <c r="BH23" i="16"/>
  <c r="BI23" i="16" s="1"/>
  <c r="BF23" i="16"/>
  <c r="BG23" i="16" s="1"/>
  <c r="BD23" i="16"/>
  <c r="BE23" i="16" s="1"/>
  <c r="BB23" i="16"/>
  <c r="BC23" i="16" s="1"/>
  <c r="AZ23" i="16"/>
  <c r="BA23" i="16" s="1"/>
  <c r="AX23" i="16"/>
  <c r="AY23" i="16" s="1"/>
  <c r="AV23" i="16"/>
  <c r="AW23" i="16" s="1"/>
  <c r="AT23" i="16"/>
  <c r="AU23" i="16" s="1"/>
  <c r="AR23" i="16"/>
  <c r="AS23" i="16" s="1"/>
  <c r="AP23" i="16"/>
  <c r="AQ23" i="16" s="1"/>
  <c r="AN23" i="16"/>
  <c r="AO23" i="16" s="1"/>
  <c r="AL23" i="16"/>
  <c r="AM23" i="16" s="1"/>
  <c r="AJ23" i="16"/>
  <c r="AK23" i="16" s="1"/>
  <c r="AH23" i="16"/>
  <c r="AI23" i="16" s="1"/>
  <c r="AF23" i="16"/>
  <c r="AG23" i="16" s="1"/>
  <c r="AD23" i="16"/>
  <c r="AE23" i="16" s="1"/>
  <c r="AB23" i="16"/>
  <c r="AC23" i="16" s="1"/>
  <c r="Z23" i="16"/>
  <c r="AA23" i="16" s="1"/>
  <c r="X23" i="16"/>
  <c r="Y23" i="16" s="1"/>
  <c r="V23" i="16"/>
  <c r="W23" i="16" s="1"/>
  <c r="T23" i="16"/>
  <c r="U23" i="16" s="1"/>
  <c r="R23" i="16"/>
  <c r="S23" i="16" s="1"/>
  <c r="P23" i="16"/>
  <c r="Q23" i="16" s="1"/>
  <c r="N23" i="16"/>
  <c r="O23" i="16" s="1"/>
  <c r="L23" i="16"/>
  <c r="M23" i="16" s="1"/>
  <c r="J23" i="16"/>
  <c r="K23" i="16" s="1"/>
  <c r="H23" i="16"/>
  <c r="AP22" i="16"/>
  <c r="AQ22" i="16" s="1"/>
  <c r="AN22" i="16"/>
  <c r="AO22" i="16" s="1"/>
  <c r="AL22" i="16"/>
  <c r="AM22" i="16" s="1"/>
  <c r="AJ22" i="16"/>
  <c r="AK22" i="16" s="1"/>
  <c r="AH22" i="16"/>
  <c r="AI22" i="16" s="1"/>
  <c r="AF22" i="16"/>
  <c r="AG22" i="16" s="1"/>
  <c r="AD22" i="16"/>
  <c r="AE22" i="16" s="1"/>
  <c r="AB22" i="16"/>
  <c r="AC22" i="16" s="1"/>
  <c r="Z22" i="16"/>
  <c r="AA22" i="16" s="1"/>
  <c r="X22" i="16"/>
  <c r="Y22" i="16" s="1"/>
  <c r="V22" i="16"/>
  <c r="W22" i="16" s="1"/>
  <c r="T22" i="16"/>
  <c r="U22" i="16" s="1"/>
  <c r="R22" i="16"/>
  <c r="S22" i="16" s="1"/>
  <c r="P22" i="16"/>
  <c r="Q22" i="16" s="1"/>
  <c r="N22" i="16"/>
  <c r="O22" i="16" s="1"/>
  <c r="L22" i="16"/>
  <c r="M22" i="16" s="1"/>
  <c r="J22" i="16"/>
  <c r="K22" i="16" s="1"/>
  <c r="H22" i="16"/>
  <c r="AZ21" i="16"/>
  <c r="BA21" i="16" s="1"/>
  <c r="AX21" i="16"/>
  <c r="AY21" i="16" s="1"/>
  <c r="AV21" i="16"/>
  <c r="AW21" i="16" s="1"/>
  <c r="AT21" i="16"/>
  <c r="AU21" i="16" s="1"/>
  <c r="AR21" i="16"/>
  <c r="AS21" i="16" s="1"/>
  <c r="AP21" i="16"/>
  <c r="AQ21" i="16" s="1"/>
  <c r="AN21" i="16"/>
  <c r="AO21" i="16" s="1"/>
  <c r="AL21" i="16"/>
  <c r="AM21" i="16" s="1"/>
  <c r="AJ21" i="16"/>
  <c r="AK21" i="16" s="1"/>
  <c r="AH21" i="16"/>
  <c r="AI21" i="16" s="1"/>
  <c r="AF21" i="16"/>
  <c r="AG21" i="16" s="1"/>
  <c r="AD21" i="16"/>
  <c r="AE21" i="16" s="1"/>
  <c r="AB21" i="16"/>
  <c r="AC21" i="16" s="1"/>
  <c r="Z21" i="16"/>
  <c r="AA21" i="16" s="1"/>
  <c r="X21" i="16"/>
  <c r="Y21" i="16" s="1"/>
  <c r="V21" i="16"/>
  <c r="W21" i="16" s="1"/>
  <c r="T21" i="16"/>
  <c r="U21" i="16" s="1"/>
  <c r="R21" i="16"/>
  <c r="S21" i="16" s="1"/>
  <c r="P21" i="16"/>
  <c r="Q21" i="16" s="1"/>
  <c r="N21" i="16"/>
  <c r="O21" i="16" s="1"/>
  <c r="L21" i="16"/>
  <c r="M21" i="16" s="1"/>
  <c r="J21" i="16"/>
  <c r="K21" i="16" s="1"/>
  <c r="H21" i="16"/>
  <c r="BZ20" i="16"/>
  <c r="CA20" i="16" s="1"/>
  <c r="AJ20" i="16"/>
  <c r="AK20" i="16" s="1"/>
  <c r="AH20" i="16"/>
  <c r="AI20" i="16" s="1"/>
  <c r="AF20" i="16"/>
  <c r="AG20" i="16" s="1"/>
  <c r="AD20" i="16"/>
  <c r="AE20" i="16" s="1"/>
  <c r="AB20" i="16"/>
  <c r="AC20" i="16" s="1"/>
  <c r="Z20" i="16"/>
  <c r="AA20" i="16" s="1"/>
  <c r="X20" i="16"/>
  <c r="Y20" i="16" s="1"/>
  <c r="V20" i="16"/>
  <c r="W20" i="16" s="1"/>
  <c r="T20" i="16"/>
  <c r="U20" i="16" s="1"/>
  <c r="R20" i="16"/>
  <c r="S20" i="16" s="1"/>
  <c r="P20" i="16"/>
  <c r="Q20" i="16" s="1"/>
  <c r="N20" i="16"/>
  <c r="O20" i="16" s="1"/>
  <c r="L20" i="16"/>
  <c r="M20" i="16" s="1"/>
  <c r="J20" i="16"/>
  <c r="K20" i="16" s="1"/>
  <c r="H20" i="16"/>
  <c r="BT19" i="16"/>
  <c r="BU19" i="16" s="1"/>
  <c r="BR19" i="16"/>
  <c r="BS19" i="16" s="1"/>
  <c r="BP19" i="16"/>
  <c r="BQ19" i="16" s="1"/>
  <c r="AH19" i="16"/>
  <c r="AI19" i="16" s="1"/>
  <c r="AF19" i="16"/>
  <c r="AG19" i="16" s="1"/>
  <c r="AD19" i="16"/>
  <c r="AE19" i="16" s="1"/>
  <c r="AB19" i="16"/>
  <c r="AC19" i="16" s="1"/>
  <c r="Z19" i="16"/>
  <c r="AA19" i="16" s="1"/>
  <c r="X19" i="16"/>
  <c r="Y19" i="16" s="1"/>
  <c r="V19" i="16"/>
  <c r="W19" i="16" s="1"/>
  <c r="T19" i="16"/>
  <c r="U19" i="16" s="1"/>
  <c r="R19" i="16"/>
  <c r="S19" i="16" s="1"/>
  <c r="P19" i="16"/>
  <c r="Q19" i="16" s="1"/>
  <c r="N19" i="16"/>
  <c r="O19" i="16" s="1"/>
  <c r="L19" i="16"/>
  <c r="M19" i="16" s="1"/>
  <c r="J19" i="16"/>
  <c r="K19" i="16" s="1"/>
  <c r="H19" i="16"/>
  <c r="AH18" i="16"/>
  <c r="AI18" i="16" s="1"/>
  <c r="AF18" i="16"/>
  <c r="AG18" i="16" s="1"/>
  <c r="AD18" i="16"/>
  <c r="AE18" i="16" s="1"/>
  <c r="AB18" i="16"/>
  <c r="AC18" i="16" s="1"/>
  <c r="Z18" i="16"/>
  <c r="AA18" i="16" s="1"/>
  <c r="X18" i="16"/>
  <c r="Y18" i="16" s="1"/>
  <c r="V18" i="16"/>
  <c r="W18" i="16" s="1"/>
  <c r="T18" i="16"/>
  <c r="U18" i="16" s="1"/>
  <c r="R18" i="16"/>
  <c r="S18" i="16" s="1"/>
  <c r="P18" i="16"/>
  <c r="Q18" i="16" s="1"/>
  <c r="N18" i="16"/>
  <c r="O18" i="16" s="1"/>
  <c r="L18" i="16"/>
  <c r="M18" i="16" s="1"/>
  <c r="J18" i="16"/>
  <c r="K18" i="16" s="1"/>
  <c r="H18" i="16"/>
  <c r="AB17" i="16"/>
  <c r="AC17" i="16" s="1"/>
  <c r="Z17" i="16"/>
  <c r="AA17" i="16" s="1"/>
  <c r="X17" i="16"/>
  <c r="Y17" i="16" s="1"/>
  <c r="V17" i="16"/>
  <c r="W17" i="16" s="1"/>
  <c r="T17" i="16"/>
  <c r="U17" i="16" s="1"/>
  <c r="R17" i="16"/>
  <c r="S17" i="16" s="1"/>
  <c r="P17" i="16"/>
  <c r="Q17" i="16" s="1"/>
  <c r="N17" i="16"/>
  <c r="O17" i="16" s="1"/>
  <c r="L17" i="16"/>
  <c r="M17" i="16" s="1"/>
  <c r="J17" i="16"/>
  <c r="K17" i="16" s="1"/>
  <c r="H17" i="16"/>
  <c r="AF16" i="16"/>
  <c r="AD16" i="16"/>
  <c r="AB16" i="16"/>
  <c r="Z16" i="16"/>
  <c r="X16" i="16"/>
  <c r="V16" i="16"/>
  <c r="T16" i="16"/>
  <c r="R16" i="16"/>
  <c r="P16" i="16"/>
  <c r="N16" i="16"/>
  <c r="L16" i="16"/>
  <c r="J16" i="16"/>
  <c r="H16" i="16"/>
  <c r="AN15" i="16"/>
  <c r="AO15" i="16" s="1"/>
  <c r="AL15" i="16"/>
  <c r="AM15" i="16" s="1"/>
  <c r="AJ15" i="16"/>
  <c r="AK15" i="16" s="1"/>
  <c r="AH15" i="16"/>
  <c r="AI15" i="16" s="1"/>
  <c r="AF15" i="16"/>
  <c r="AG15" i="16" s="1"/>
  <c r="AD15" i="16"/>
  <c r="AE15" i="16" s="1"/>
  <c r="AB15" i="16"/>
  <c r="AC15" i="16" s="1"/>
  <c r="Z15" i="16"/>
  <c r="AA15" i="16" s="1"/>
  <c r="X15" i="16"/>
  <c r="Y15" i="16" s="1"/>
  <c r="V15" i="16"/>
  <c r="W15" i="16" s="1"/>
  <c r="T15" i="16"/>
  <c r="U15" i="16" s="1"/>
  <c r="R15" i="16"/>
  <c r="S15" i="16" s="1"/>
  <c r="P15" i="16"/>
  <c r="Q15" i="16" s="1"/>
  <c r="N15" i="16"/>
  <c r="O15" i="16" s="1"/>
  <c r="L15" i="16"/>
  <c r="M15" i="16" s="1"/>
  <c r="J15" i="16"/>
  <c r="K15" i="16" s="1"/>
  <c r="H15" i="16"/>
  <c r="Z14" i="16"/>
  <c r="AA14" i="16" s="1"/>
  <c r="X14" i="16"/>
  <c r="Y14" i="16" s="1"/>
  <c r="V14" i="16"/>
  <c r="W14" i="16" s="1"/>
  <c r="T14" i="16"/>
  <c r="U14" i="16" s="1"/>
  <c r="R14" i="16"/>
  <c r="S14" i="16" s="1"/>
  <c r="P14" i="16"/>
  <c r="Q14" i="16" s="1"/>
  <c r="N14" i="16"/>
  <c r="O14" i="16" s="1"/>
  <c r="L14" i="16"/>
  <c r="M14" i="16" s="1"/>
  <c r="J14" i="16"/>
  <c r="K14" i="16" s="1"/>
  <c r="H14" i="16"/>
  <c r="BZ13" i="16"/>
  <c r="CA13" i="16" s="1"/>
  <c r="BR13" i="16"/>
  <c r="BS13" i="16" s="1"/>
  <c r="BD13" i="16"/>
  <c r="BE13" i="16" s="1"/>
  <c r="X13" i="16"/>
  <c r="Y13" i="16" s="1"/>
  <c r="V13" i="16"/>
  <c r="W13" i="16" s="1"/>
  <c r="T13" i="16"/>
  <c r="U13" i="16" s="1"/>
  <c r="R13" i="16"/>
  <c r="S13" i="16" s="1"/>
  <c r="P13" i="16"/>
  <c r="Q13" i="16" s="1"/>
  <c r="N13" i="16"/>
  <c r="O13" i="16" s="1"/>
  <c r="L13" i="16"/>
  <c r="M13" i="16" s="1"/>
  <c r="J13" i="16"/>
  <c r="K13" i="16" s="1"/>
  <c r="H13" i="16"/>
  <c r="BZ12" i="16"/>
  <c r="CA12" i="16" s="1"/>
  <c r="BT12" i="16"/>
  <c r="BU12" i="16" s="1"/>
  <c r="BR12" i="16"/>
  <c r="BS12" i="16" s="1"/>
  <c r="BP12" i="16"/>
  <c r="BQ12" i="16" s="1"/>
  <c r="BH12" i="16"/>
  <c r="BI12" i="16" s="1"/>
  <c r="BF12" i="16"/>
  <c r="BG12" i="16" s="1"/>
  <c r="AT12" i="16"/>
  <c r="AU12" i="16" s="1"/>
  <c r="AR12" i="16"/>
  <c r="AS12" i="16" s="1"/>
  <c r="R12" i="16"/>
  <c r="S12" i="16" s="1"/>
  <c r="P12" i="16"/>
  <c r="Q12" i="16" s="1"/>
  <c r="N12" i="16"/>
  <c r="O12" i="16" s="1"/>
  <c r="L12" i="16"/>
  <c r="M12" i="16" s="1"/>
  <c r="J12" i="16"/>
  <c r="K12" i="16" s="1"/>
  <c r="H12" i="16"/>
  <c r="CA11" i="16"/>
  <c r="BT11" i="16"/>
  <c r="BU11" i="16" s="1"/>
  <c r="BR11" i="16"/>
  <c r="BS11" i="16" s="1"/>
  <c r="BP11" i="16"/>
  <c r="BQ11" i="16" s="1"/>
  <c r="BN11" i="16"/>
  <c r="BO11" i="16" s="1"/>
  <c r="BL11" i="16"/>
  <c r="BM11" i="16" s="1"/>
  <c r="BJ11" i="16"/>
  <c r="BK11" i="16" s="1"/>
  <c r="BH11" i="16"/>
  <c r="BI11" i="16" s="1"/>
  <c r="BF11" i="16"/>
  <c r="BG11" i="16" s="1"/>
  <c r="BD11" i="16"/>
  <c r="BE11" i="16" s="1"/>
  <c r="BB11" i="16"/>
  <c r="BC11" i="16" s="1"/>
  <c r="AZ11" i="16"/>
  <c r="BA11" i="16" s="1"/>
  <c r="AX11" i="16"/>
  <c r="AY11" i="16" s="1"/>
  <c r="AV11" i="16"/>
  <c r="AW11" i="16" s="1"/>
  <c r="AT11" i="16"/>
  <c r="AU11" i="16" s="1"/>
  <c r="AR11" i="16"/>
  <c r="AS11" i="16" s="1"/>
  <c r="AP11" i="16"/>
  <c r="AQ11" i="16" s="1"/>
  <c r="AN11" i="16"/>
  <c r="AO11" i="16" s="1"/>
  <c r="AL11" i="16"/>
  <c r="AM11" i="16" s="1"/>
  <c r="AJ11" i="16"/>
  <c r="AK11" i="16" s="1"/>
  <c r="AH11" i="16"/>
  <c r="AI11" i="16" s="1"/>
  <c r="AF11" i="16"/>
  <c r="AG11" i="16" s="1"/>
  <c r="AD11" i="16"/>
  <c r="AE11" i="16" s="1"/>
  <c r="AB11" i="16"/>
  <c r="AC11" i="16" s="1"/>
  <c r="Z11" i="16"/>
  <c r="AA11" i="16" s="1"/>
  <c r="X11" i="16"/>
  <c r="Y11" i="16" s="1"/>
  <c r="V11" i="16"/>
  <c r="W11" i="16" s="1"/>
  <c r="AM9" i="15"/>
  <c r="H11" i="16" s="1"/>
  <c r="AM10" i="15"/>
  <c r="AJ12" i="16" s="1"/>
  <c r="AK12" i="16" s="1"/>
  <c r="AM11" i="15"/>
  <c r="AD13" i="16" s="1"/>
  <c r="AE13" i="16" s="1"/>
  <c r="AM12" i="15"/>
  <c r="BP14" i="16" s="1"/>
  <c r="BQ14" i="16" s="1"/>
  <c r="AM13" i="15"/>
  <c r="AM14" i="15"/>
  <c r="BJ16" i="16" s="1"/>
  <c r="AM15" i="15"/>
  <c r="AD17" i="16" s="1"/>
  <c r="AE17" i="16" s="1"/>
  <c r="AM16" i="15"/>
  <c r="BT18" i="16" s="1"/>
  <c r="BU18" i="16" s="1"/>
  <c r="AM17" i="15"/>
  <c r="BD19" i="16" s="1"/>
  <c r="BE19" i="16" s="1"/>
  <c r="AM18" i="15"/>
  <c r="BW20" i="16" s="1"/>
  <c r="AM19" i="15"/>
  <c r="AM20" i="15"/>
  <c r="AT22" i="16" s="1"/>
  <c r="AU22" i="16" s="1"/>
  <c r="BZ23" i="16"/>
  <c r="CA23" i="16" s="1"/>
  <c r="AM8" i="15"/>
  <c r="BW21" i="16" l="1"/>
  <c r="BY21" i="16"/>
  <c r="BY26" i="16" s="1"/>
  <c r="AL20" i="16"/>
  <c r="AM20" i="16" s="1"/>
  <c r="AR22" i="16"/>
  <c r="AS22" i="16" s="1"/>
  <c r="AB14" i="16"/>
  <c r="AC14" i="16" s="1"/>
  <c r="Z13" i="16"/>
  <c r="AA13" i="16" s="1"/>
  <c r="T12" i="16"/>
  <c r="U12" i="16" s="1"/>
  <c r="BT15" i="16"/>
  <c r="BU15" i="16" s="1"/>
  <c r="BW15" i="16"/>
  <c r="BW26" i="16" s="1"/>
  <c r="AJ18" i="16"/>
  <c r="AK18" i="16" s="1"/>
  <c r="BF18" i="16"/>
  <c r="BG18" i="16" s="1"/>
  <c r="AP15" i="16"/>
  <c r="AQ15" i="16" s="1"/>
  <c r="I14" i="16"/>
  <c r="I13" i="16"/>
  <c r="BJ22" i="16"/>
  <c r="BK22" i="16" s="1"/>
  <c r="AB13" i="16"/>
  <c r="AC13" i="16" s="1"/>
  <c r="AZ18" i="16"/>
  <c r="BA18" i="16" s="1"/>
  <c r="AV22" i="16"/>
  <c r="AW22" i="16" s="1"/>
  <c r="BB22" i="16"/>
  <c r="BC22" i="16" s="1"/>
  <c r="AF14" i="16"/>
  <c r="AG14" i="16" s="1"/>
  <c r="BD22" i="16"/>
  <c r="BE22" i="16" s="1"/>
  <c r="BF22" i="16"/>
  <c r="BG22" i="16" s="1"/>
  <c r="BH22" i="16"/>
  <c r="BI22" i="16" s="1"/>
  <c r="BL23" i="16"/>
  <c r="BM23" i="16" s="1"/>
  <c r="BP23" i="16"/>
  <c r="BQ23" i="16" s="1"/>
  <c r="AX22" i="16"/>
  <c r="AY22" i="16" s="1"/>
  <c r="BR23" i="16"/>
  <c r="BS23" i="16" s="1"/>
  <c r="BN23" i="16"/>
  <c r="BO23" i="16" s="1"/>
  <c r="AZ22" i="16"/>
  <c r="BA22" i="16" s="1"/>
  <c r="BT23" i="16"/>
  <c r="BU23" i="16" s="1"/>
  <c r="AP18" i="16"/>
  <c r="AQ18" i="16" s="1"/>
  <c r="BD18" i="16"/>
  <c r="BE18" i="16" s="1"/>
  <c r="AR20" i="16"/>
  <c r="AS20" i="16" s="1"/>
  <c r="AF13" i="16"/>
  <c r="AG13" i="16" s="1"/>
  <c r="AV20" i="16"/>
  <c r="AW20" i="16" s="1"/>
  <c r="AN13" i="16"/>
  <c r="AO13" i="16" s="1"/>
  <c r="AX20" i="16"/>
  <c r="AY20" i="16" s="1"/>
  <c r="AR15" i="16"/>
  <c r="AS15" i="16" s="1"/>
  <c r="AX16" i="16"/>
  <c r="BH20" i="16"/>
  <c r="BI20" i="16" s="1"/>
  <c r="BL20" i="16"/>
  <c r="BM20" i="16" s="1"/>
  <c r="AN18" i="16"/>
  <c r="AO18" i="16" s="1"/>
  <c r="AH13" i="16"/>
  <c r="AI13" i="16" s="1"/>
  <c r="BB13" i="16"/>
  <c r="BC13" i="16" s="1"/>
  <c r="BP13" i="16"/>
  <c r="BQ13" i="16" s="1"/>
  <c r="BZ19" i="16"/>
  <c r="CA19" i="16" s="1"/>
  <c r="AV12" i="16"/>
  <c r="AW12" i="16" s="1"/>
  <c r="BJ12" i="16"/>
  <c r="BK12" i="16" s="1"/>
  <c r="AP13" i="16"/>
  <c r="AQ13" i="16" s="1"/>
  <c r="BF13" i="16"/>
  <c r="BG13" i="16" s="1"/>
  <c r="BT13" i="16"/>
  <c r="BU13" i="16" s="1"/>
  <c r="X12" i="16"/>
  <c r="Y12" i="16" s="1"/>
  <c r="AX12" i="16"/>
  <c r="AY12" i="16" s="1"/>
  <c r="BL12" i="16"/>
  <c r="BM12" i="16" s="1"/>
  <c r="AR13" i="16"/>
  <c r="AS13" i="16" s="1"/>
  <c r="BH13" i="16"/>
  <c r="BI13" i="16" s="1"/>
  <c r="Z12" i="16"/>
  <c r="AA12" i="16" s="1"/>
  <c r="AZ12" i="16"/>
  <c r="BA12" i="16" s="1"/>
  <c r="BN12" i="16"/>
  <c r="BO12" i="16" s="1"/>
  <c r="AT13" i="16"/>
  <c r="AU13" i="16" s="1"/>
  <c r="BJ13" i="16"/>
  <c r="BK13" i="16" s="1"/>
  <c r="AL12" i="16"/>
  <c r="AM12" i="16" s="1"/>
  <c r="BB12" i="16"/>
  <c r="BC12" i="16" s="1"/>
  <c r="AV13" i="16"/>
  <c r="AW13" i="16" s="1"/>
  <c r="BL13" i="16"/>
  <c r="BM13" i="16" s="1"/>
  <c r="J11" i="16"/>
  <c r="K11" i="16" s="1"/>
  <c r="AN12" i="16"/>
  <c r="AO12" i="16" s="1"/>
  <c r="BD12" i="16"/>
  <c r="BE12" i="16" s="1"/>
  <c r="AX13" i="16"/>
  <c r="AY13" i="16" s="1"/>
  <c r="AZ13" i="16"/>
  <c r="BA13" i="16" s="1"/>
  <c r="BN13" i="16"/>
  <c r="BO13" i="16" s="1"/>
  <c r="BZ22" i="16"/>
  <c r="CA22" i="16" s="1"/>
  <c r="I11" i="16"/>
  <c r="AR19" i="16"/>
  <c r="AS19" i="16" s="1"/>
  <c r="AH17" i="16"/>
  <c r="AI17" i="16" s="1"/>
  <c r="AR18" i="16"/>
  <c r="AS18" i="16" s="1"/>
  <c r="AT19" i="16"/>
  <c r="AU19" i="16" s="1"/>
  <c r="AZ20" i="16"/>
  <c r="BA20" i="16" s="1"/>
  <c r="BN20" i="16"/>
  <c r="BO20" i="16" s="1"/>
  <c r="BL22" i="16"/>
  <c r="BM22" i="16" s="1"/>
  <c r="L11" i="16"/>
  <c r="M11" i="16" s="1"/>
  <c r="BF19" i="16"/>
  <c r="BG19" i="16" s="1"/>
  <c r="AP12" i="16"/>
  <c r="AQ12" i="16" s="1"/>
  <c r="P11" i="16"/>
  <c r="Q11" i="16" s="1"/>
  <c r="AD12" i="16"/>
  <c r="AE12" i="16" s="1"/>
  <c r="AJ13" i="16"/>
  <c r="AK13" i="16" s="1"/>
  <c r="AJ17" i="16"/>
  <c r="AK17" i="16" s="1"/>
  <c r="AT18" i="16"/>
  <c r="AU18" i="16" s="1"/>
  <c r="AV19" i="16"/>
  <c r="AW19" i="16" s="1"/>
  <c r="BH19" i="16"/>
  <c r="BI19" i="16" s="1"/>
  <c r="BB20" i="16"/>
  <c r="BC20" i="16" s="1"/>
  <c r="BP20" i="16"/>
  <c r="BQ20" i="16" s="1"/>
  <c r="BN22" i="16"/>
  <c r="BO22" i="16" s="1"/>
  <c r="N11" i="16"/>
  <c r="O11" i="16" s="1"/>
  <c r="AB12" i="16"/>
  <c r="AC12" i="16" s="1"/>
  <c r="R11" i="16"/>
  <c r="S11" i="16" s="1"/>
  <c r="AF12" i="16"/>
  <c r="AG12" i="16" s="1"/>
  <c r="AL13" i="16"/>
  <c r="AM13" i="16" s="1"/>
  <c r="AD14" i="16"/>
  <c r="AE14" i="16" s="1"/>
  <c r="AH16" i="16"/>
  <c r="AL17" i="16"/>
  <c r="AM17" i="16" s="1"/>
  <c r="AV18" i="16"/>
  <c r="AW18" i="16" s="1"/>
  <c r="AX19" i="16"/>
  <c r="AY19" i="16" s="1"/>
  <c r="BJ19" i="16"/>
  <c r="BK19" i="16" s="1"/>
  <c r="AN20" i="16"/>
  <c r="AO20" i="16" s="1"/>
  <c r="BD20" i="16"/>
  <c r="BE20" i="16" s="1"/>
  <c r="BR20" i="16"/>
  <c r="BS20" i="16" s="1"/>
  <c r="I22" i="16"/>
  <c r="AP19" i="16"/>
  <c r="AQ19" i="16" s="1"/>
  <c r="AF17" i="16"/>
  <c r="AG17" i="16" s="1"/>
  <c r="T11" i="16"/>
  <c r="U11" i="16" s="1"/>
  <c r="AH12" i="16"/>
  <c r="AI12" i="16" s="1"/>
  <c r="AJ16" i="16"/>
  <c r="AX18" i="16"/>
  <c r="AY18" i="16" s="1"/>
  <c r="I19" i="16"/>
  <c r="AJ19" i="16"/>
  <c r="AK19" i="16" s="1"/>
  <c r="BL19" i="16"/>
  <c r="BM19" i="16" s="1"/>
  <c r="AP20" i="16"/>
  <c r="AQ20" i="16" s="1"/>
  <c r="BF20" i="16"/>
  <c r="BG20" i="16" s="1"/>
  <c r="BP22" i="16"/>
  <c r="BQ22" i="16" s="1"/>
  <c r="AZ19" i="16"/>
  <c r="BA19" i="16" s="1"/>
  <c r="AL16" i="16"/>
  <c r="AL19" i="16"/>
  <c r="AM19" i="16" s="1"/>
  <c r="BN19" i="16"/>
  <c r="BO19" i="16" s="1"/>
  <c r="BR22" i="16"/>
  <c r="BS22" i="16" s="1"/>
  <c r="I12" i="16"/>
  <c r="V12" i="16"/>
  <c r="W12" i="16" s="1"/>
  <c r="AT15" i="16"/>
  <c r="AU15" i="16" s="1"/>
  <c r="AV16" i="16"/>
  <c r="AL18" i="16"/>
  <c r="AM18" i="16" s="1"/>
  <c r="BB18" i="16"/>
  <c r="BC18" i="16" s="1"/>
  <c r="AN19" i="16"/>
  <c r="AO19" i="16" s="1"/>
  <c r="BB19" i="16"/>
  <c r="BC19" i="16" s="1"/>
  <c r="AT20" i="16"/>
  <c r="AU20" i="16" s="1"/>
  <c r="BJ20" i="16"/>
  <c r="BK20" i="16" s="1"/>
  <c r="BT22" i="16"/>
  <c r="BU22" i="16" s="1"/>
  <c r="BB21" i="16"/>
  <c r="BC21" i="16" s="1"/>
  <c r="BR21" i="16"/>
  <c r="BS21" i="16" s="1"/>
  <c r="BD21" i="16"/>
  <c r="BE21" i="16" s="1"/>
  <c r="BF21" i="16"/>
  <c r="BG21" i="16" s="1"/>
  <c r="BH21" i="16"/>
  <c r="BI21" i="16" s="1"/>
  <c r="BJ21" i="16"/>
  <c r="BK21" i="16" s="1"/>
  <c r="BL21" i="16"/>
  <c r="BM21" i="16" s="1"/>
  <c r="BN21" i="16"/>
  <c r="BO21" i="16" s="1"/>
  <c r="BP21" i="16"/>
  <c r="BQ21" i="16" s="1"/>
  <c r="I20" i="16"/>
  <c r="BT20" i="16"/>
  <c r="BU20" i="16" s="1"/>
  <c r="BT21" i="16"/>
  <c r="BU21" i="16" s="1"/>
  <c r="BZ21" i="16"/>
  <c r="CA21" i="16" s="1"/>
  <c r="I21" i="16"/>
  <c r="AV15" i="16"/>
  <c r="AW15" i="16" s="1"/>
  <c r="AX15" i="16"/>
  <c r="AY15" i="16" s="1"/>
  <c r="AZ15" i="16"/>
  <c r="BA15" i="16" s="1"/>
  <c r="BB15" i="16"/>
  <c r="BC15" i="16" s="1"/>
  <c r="BZ16" i="16"/>
  <c r="BL16" i="16"/>
  <c r="BT16" i="16"/>
  <c r="BN16" i="16"/>
  <c r="BR16" i="16"/>
  <c r="AN17" i="16"/>
  <c r="AO17" i="16" s="1"/>
  <c r="BD17" i="16"/>
  <c r="BE17" i="16" s="1"/>
  <c r="BZ18" i="16"/>
  <c r="CA18" i="16" s="1"/>
  <c r="AP17" i="16"/>
  <c r="AQ17" i="16" s="1"/>
  <c r="BF17" i="16"/>
  <c r="BG17" i="16" s="1"/>
  <c r="BJ18" i="16"/>
  <c r="BK18" i="16" s="1"/>
  <c r="AR17" i="16"/>
  <c r="AS17" i="16" s="1"/>
  <c r="BL18" i="16"/>
  <c r="BM18" i="16" s="1"/>
  <c r="AT17" i="16"/>
  <c r="AU17" i="16" s="1"/>
  <c r="BN18" i="16"/>
  <c r="BO18" i="16" s="1"/>
  <c r="AV17" i="16"/>
  <c r="AW17" i="16" s="1"/>
  <c r="I18" i="16"/>
  <c r="BP18" i="16"/>
  <c r="BQ18" i="16" s="1"/>
  <c r="AX17" i="16"/>
  <c r="AY17" i="16" s="1"/>
  <c r="AZ17" i="16"/>
  <c r="BA17" i="16" s="1"/>
  <c r="BR18" i="16"/>
  <c r="BS18" i="16" s="1"/>
  <c r="BB17" i="16"/>
  <c r="BC17" i="16" s="1"/>
  <c r="BH18" i="16"/>
  <c r="BI18" i="16" s="1"/>
  <c r="BH17" i="16"/>
  <c r="BI17" i="16" s="1"/>
  <c r="BJ17" i="16"/>
  <c r="BK17" i="16" s="1"/>
  <c r="BL17" i="16"/>
  <c r="BM17" i="16" s="1"/>
  <c r="BN17" i="16"/>
  <c r="BO17" i="16" s="1"/>
  <c r="BP17" i="16"/>
  <c r="BQ17" i="16" s="1"/>
  <c r="BR17" i="16"/>
  <c r="BS17" i="16" s="1"/>
  <c r="BT17" i="16"/>
  <c r="BU17" i="16" s="1"/>
  <c r="BZ17" i="16"/>
  <c r="CA17" i="16" s="1"/>
  <c r="AZ16" i="16"/>
  <c r="BP16" i="16"/>
  <c r="BB16" i="16"/>
  <c r="AN16" i="16"/>
  <c r="BD16" i="16"/>
  <c r="AP16" i="16"/>
  <c r="BF16" i="16"/>
  <c r="AR16" i="16"/>
  <c r="BH16" i="16"/>
  <c r="AT16" i="16"/>
  <c r="BH15" i="16"/>
  <c r="BI15" i="16" s="1"/>
  <c r="BF15" i="16"/>
  <c r="BG15" i="16" s="1"/>
  <c r="BZ15" i="16"/>
  <c r="CA15" i="16" s="1"/>
  <c r="BJ15" i="16"/>
  <c r="BK15" i="16" s="1"/>
  <c r="BL15" i="16"/>
  <c r="BM15" i="16" s="1"/>
  <c r="BN15" i="16"/>
  <c r="BO15" i="16" s="1"/>
  <c r="BP15" i="16"/>
  <c r="BQ15" i="16" s="1"/>
  <c r="I15" i="16"/>
  <c r="BR15" i="16"/>
  <c r="BS15" i="16" s="1"/>
  <c r="BD15" i="16"/>
  <c r="BE15" i="16" s="1"/>
  <c r="AP14" i="16"/>
  <c r="AQ14" i="16" s="1"/>
  <c r="BB14" i="16"/>
  <c r="BC14" i="16" s="1"/>
  <c r="BD14" i="16"/>
  <c r="BE14" i="16" s="1"/>
  <c r="BR14" i="16"/>
  <c r="BS14" i="16" s="1"/>
  <c r="BZ14" i="16"/>
  <c r="CA14" i="16" s="1"/>
  <c r="AN14" i="16"/>
  <c r="AO14" i="16" s="1"/>
  <c r="AR14" i="16"/>
  <c r="AS14" i="16" s="1"/>
  <c r="BF14" i="16"/>
  <c r="BG14" i="16" s="1"/>
  <c r="BT14" i="16"/>
  <c r="BU14" i="16" s="1"/>
  <c r="AT14" i="16"/>
  <c r="AU14" i="16" s="1"/>
  <c r="BH14" i="16"/>
  <c r="BI14" i="16" s="1"/>
  <c r="AH14" i="16"/>
  <c r="AI14" i="16" s="1"/>
  <c r="AV14" i="16"/>
  <c r="AW14" i="16" s="1"/>
  <c r="BJ14" i="16"/>
  <c r="BK14" i="16" s="1"/>
  <c r="BL14" i="16"/>
  <c r="BM14" i="16" s="1"/>
  <c r="AL14" i="16"/>
  <c r="AM14" i="16" s="1"/>
  <c r="AX14" i="16"/>
  <c r="AY14" i="16" s="1"/>
  <c r="BN14" i="16"/>
  <c r="BO14" i="16" s="1"/>
  <c r="AJ14" i="16"/>
  <c r="AK14" i="16" s="1"/>
  <c r="AZ14" i="16"/>
  <c r="BA14" i="16" s="1"/>
  <c r="I23" i="16"/>
  <c r="L10" i="16"/>
  <c r="M10" i="16" s="1"/>
  <c r="AB10" i="16"/>
  <c r="AC10" i="16" s="1"/>
  <c r="AR10" i="16"/>
  <c r="AS10" i="16" s="1"/>
  <c r="BH10" i="16"/>
  <c r="BI10" i="16" s="1"/>
  <c r="N10" i="16"/>
  <c r="O10" i="16" s="1"/>
  <c r="AD10" i="16"/>
  <c r="AE10" i="16" s="1"/>
  <c r="AT10" i="16"/>
  <c r="AU10" i="16" s="1"/>
  <c r="BJ10" i="16"/>
  <c r="BK10" i="16" s="1"/>
  <c r="P10" i="16"/>
  <c r="Q10" i="16" s="1"/>
  <c r="AF10" i="16"/>
  <c r="AG10" i="16" s="1"/>
  <c r="AV10" i="16"/>
  <c r="AW10" i="16" s="1"/>
  <c r="BL10" i="16"/>
  <c r="BM10" i="16" s="1"/>
  <c r="R10" i="16"/>
  <c r="S10" i="16" s="1"/>
  <c r="AH10" i="16"/>
  <c r="AI10" i="16" s="1"/>
  <c r="AX10" i="16"/>
  <c r="AY10" i="16" s="1"/>
  <c r="BN10" i="16"/>
  <c r="BO10" i="16" s="1"/>
  <c r="T10" i="16"/>
  <c r="U10" i="16" s="1"/>
  <c r="AJ10" i="16"/>
  <c r="AK10" i="16" s="1"/>
  <c r="AZ10" i="16"/>
  <c r="BA10" i="16" s="1"/>
  <c r="BP10" i="16"/>
  <c r="BQ10" i="16" s="1"/>
  <c r="V10" i="16"/>
  <c r="W10" i="16" s="1"/>
  <c r="AL10" i="16"/>
  <c r="AM10" i="16" s="1"/>
  <c r="BB10" i="16"/>
  <c r="BC10" i="16" s="1"/>
  <c r="BR10" i="16"/>
  <c r="BS10" i="16" s="1"/>
  <c r="H10" i="16"/>
  <c r="X10" i="16"/>
  <c r="Y10" i="16" s="1"/>
  <c r="AN10" i="16"/>
  <c r="AO10" i="16" s="1"/>
  <c r="BD10" i="16"/>
  <c r="BE10" i="16" s="1"/>
  <c r="BT10" i="16"/>
  <c r="BU10" i="16" s="1"/>
  <c r="J10" i="16"/>
  <c r="K10" i="16" s="1"/>
  <c r="Z10" i="16"/>
  <c r="AA10" i="16" s="1"/>
  <c r="AP10" i="16"/>
  <c r="AQ10" i="16" s="1"/>
  <c r="BF10" i="16"/>
  <c r="BG10" i="16" s="1"/>
  <c r="BZ10" i="16"/>
  <c r="CA10" i="16" s="1"/>
  <c r="I17" i="16"/>
  <c r="F18" i="16" l="1"/>
  <c r="F21" i="16"/>
  <c r="F16" i="16"/>
  <c r="F14" i="16"/>
  <c r="F12" i="16"/>
  <c r="F10" i="16"/>
  <c r="F22" i="16"/>
  <c r="F23" i="16"/>
  <c r="F20" i="16"/>
  <c r="F15" i="16"/>
  <c r="F11" i="16"/>
  <c r="F13" i="16"/>
  <c r="F19" i="16"/>
  <c r="F17" i="16"/>
  <c r="I10" i="16"/>
  <c r="P27" i="17" l="1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O4" i="17"/>
  <c r="O6" i="17" s="1"/>
  <c r="O8" i="17" s="1"/>
  <c r="O10" i="17" s="1"/>
  <c r="O12" i="17" s="1"/>
  <c r="O14" i="17" s="1"/>
  <c r="O16" i="17" s="1"/>
  <c r="O18" i="17" s="1"/>
  <c r="O20" i="17" s="1"/>
  <c r="O22" i="17" s="1"/>
  <c r="O24" i="17" s="1"/>
  <c r="O26" i="17" s="1"/>
  <c r="N27" i="17"/>
  <c r="L27" i="17"/>
  <c r="J27" i="17"/>
  <c r="H27" i="17"/>
  <c r="F27" i="17"/>
  <c r="D27" i="17"/>
  <c r="N26" i="17"/>
  <c r="L26" i="17"/>
  <c r="J26" i="17"/>
  <c r="H26" i="17"/>
  <c r="F26" i="17"/>
  <c r="D26" i="17"/>
  <c r="N25" i="17"/>
  <c r="L25" i="17"/>
  <c r="J25" i="17"/>
  <c r="H25" i="17"/>
  <c r="F25" i="17"/>
  <c r="D25" i="17"/>
  <c r="N24" i="17"/>
  <c r="L24" i="17"/>
  <c r="J24" i="17"/>
  <c r="H24" i="17"/>
  <c r="F24" i="17"/>
  <c r="D24" i="17"/>
  <c r="N23" i="17"/>
  <c r="L23" i="17"/>
  <c r="J23" i="17"/>
  <c r="H23" i="17"/>
  <c r="F23" i="17"/>
  <c r="D23" i="17"/>
  <c r="N22" i="17"/>
  <c r="L22" i="17"/>
  <c r="J22" i="17"/>
  <c r="H22" i="17"/>
  <c r="F22" i="17"/>
  <c r="D22" i="17"/>
  <c r="N21" i="17"/>
  <c r="L21" i="17"/>
  <c r="J21" i="17"/>
  <c r="H21" i="17"/>
  <c r="F21" i="17"/>
  <c r="D21" i="17"/>
  <c r="N20" i="17"/>
  <c r="L20" i="17"/>
  <c r="J20" i="17"/>
  <c r="H20" i="17"/>
  <c r="F20" i="17"/>
  <c r="D20" i="17"/>
  <c r="N19" i="17"/>
  <c r="L19" i="17"/>
  <c r="J19" i="17"/>
  <c r="H19" i="17"/>
  <c r="F19" i="17"/>
  <c r="D19" i="17"/>
  <c r="N18" i="17"/>
  <c r="L18" i="17"/>
  <c r="J18" i="17"/>
  <c r="H18" i="17"/>
  <c r="F18" i="17"/>
  <c r="D18" i="17"/>
  <c r="N17" i="17"/>
  <c r="L17" i="17"/>
  <c r="J17" i="17"/>
  <c r="H17" i="17"/>
  <c r="F17" i="17"/>
  <c r="D17" i="17"/>
  <c r="N16" i="17"/>
  <c r="L16" i="17"/>
  <c r="J16" i="17"/>
  <c r="H16" i="17"/>
  <c r="F16" i="17"/>
  <c r="D16" i="17"/>
  <c r="N15" i="17"/>
  <c r="L15" i="17"/>
  <c r="J15" i="17"/>
  <c r="H15" i="17"/>
  <c r="F15" i="17"/>
  <c r="D15" i="17"/>
  <c r="N14" i="17"/>
  <c r="L14" i="17"/>
  <c r="J14" i="17"/>
  <c r="H14" i="17"/>
  <c r="F14" i="17"/>
  <c r="D14" i="17"/>
  <c r="N13" i="17"/>
  <c r="L13" i="17"/>
  <c r="J13" i="17"/>
  <c r="H13" i="17"/>
  <c r="F13" i="17"/>
  <c r="D13" i="17"/>
  <c r="N12" i="17"/>
  <c r="L12" i="17"/>
  <c r="J12" i="17"/>
  <c r="H12" i="17"/>
  <c r="F12" i="17"/>
  <c r="D12" i="17"/>
  <c r="A12" i="17"/>
  <c r="A14" i="17" s="1"/>
  <c r="A16" i="17" s="1"/>
  <c r="A18" i="17" s="1"/>
  <c r="A20" i="17" s="1"/>
  <c r="A22" i="17" s="1"/>
  <c r="A24" i="17" s="1"/>
  <c r="A26" i="17" s="1"/>
  <c r="N11" i="17"/>
  <c r="L11" i="17"/>
  <c r="J11" i="17"/>
  <c r="H11" i="17"/>
  <c r="F11" i="17"/>
  <c r="D11" i="17"/>
  <c r="N10" i="17"/>
  <c r="L10" i="17"/>
  <c r="J10" i="17"/>
  <c r="H10" i="17"/>
  <c r="F10" i="17"/>
  <c r="D10" i="17"/>
  <c r="N9" i="17"/>
  <c r="L9" i="17"/>
  <c r="J9" i="17"/>
  <c r="H9" i="17"/>
  <c r="F9" i="17"/>
  <c r="D9" i="17"/>
  <c r="N8" i="17"/>
  <c r="L8" i="17"/>
  <c r="J8" i="17"/>
  <c r="H8" i="17"/>
  <c r="F8" i="17"/>
  <c r="D8" i="17"/>
  <c r="N7" i="17"/>
  <c r="L7" i="17"/>
  <c r="J7" i="17"/>
  <c r="H7" i="17"/>
  <c r="F7" i="17"/>
  <c r="D7" i="17"/>
  <c r="N6" i="17"/>
  <c r="L6" i="17"/>
  <c r="J6" i="17"/>
  <c r="H6" i="17"/>
  <c r="F6" i="17"/>
  <c r="D6" i="17"/>
  <c r="N5" i="17"/>
  <c r="L5" i="17"/>
  <c r="J5" i="17"/>
  <c r="H5" i="17"/>
  <c r="F5" i="17"/>
  <c r="D5" i="17"/>
  <c r="N4" i="17"/>
  <c r="M4" i="17"/>
  <c r="M6" i="17" s="1"/>
  <c r="M8" i="17" s="1"/>
  <c r="M10" i="17" s="1"/>
  <c r="M12" i="17" s="1"/>
  <c r="M14" i="17" s="1"/>
  <c r="M16" i="17" s="1"/>
  <c r="M18" i="17" s="1"/>
  <c r="M20" i="17" s="1"/>
  <c r="M22" i="17" s="1"/>
  <c r="M24" i="17" s="1"/>
  <c r="M26" i="17" s="1"/>
  <c r="L4" i="17"/>
  <c r="K4" i="17"/>
  <c r="K6" i="17" s="1"/>
  <c r="K8" i="17" s="1"/>
  <c r="K10" i="17" s="1"/>
  <c r="K12" i="17" s="1"/>
  <c r="K14" i="17" s="1"/>
  <c r="K16" i="17" s="1"/>
  <c r="K18" i="17" s="1"/>
  <c r="K20" i="17" s="1"/>
  <c r="K22" i="17" s="1"/>
  <c r="K24" i="17" s="1"/>
  <c r="K26" i="17" s="1"/>
  <c r="J4" i="17"/>
  <c r="I4" i="17"/>
  <c r="I6" i="17" s="1"/>
  <c r="I8" i="17" s="1"/>
  <c r="I10" i="17" s="1"/>
  <c r="I12" i="17" s="1"/>
  <c r="I14" i="17" s="1"/>
  <c r="I16" i="17" s="1"/>
  <c r="I18" i="17" s="1"/>
  <c r="I20" i="17" s="1"/>
  <c r="I22" i="17" s="1"/>
  <c r="I24" i="17" s="1"/>
  <c r="I26" i="17" s="1"/>
  <c r="H4" i="17"/>
  <c r="G4" i="17"/>
  <c r="G6" i="17" s="1"/>
  <c r="G8" i="17" s="1"/>
  <c r="G10" i="17" s="1"/>
  <c r="G12" i="17" s="1"/>
  <c r="G14" i="17" s="1"/>
  <c r="G16" i="17" s="1"/>
  <c r="G18" i="17" s="1"/>
  <c r="G20" i="17" s="1"/>
  <c r="G22" i="17" s="1"/>
  <c r="G24" i="17" s="1"/>
  <c r="G26" i="17" s="1"/>
  <c r="F4" i="17"/>
  <c r="E4" i="17"/>
  <c r="E6" i="17" s="1"/>
  <c r="E8" i="17" s="1"/>
  <c r="E10" i="17" s="1"/>
  <c r="E12" i="17" s="1"/>
  <c r="E14" i="17" s="1"/>
  <c r="E16" i="17" s="1"/>
  <c r="E18" i="17" s="1"/>
  <c r="E20" i="17" s="1"/>
  <c r="E22" i="17" s="1"/>
  <c r="E24" i="17" s="1"/>
  <c r="E26" i="17" s="1"/>
  <c r="D4" i="17"/>
  <c r="C4" i="17"/>
  <c r="C6" i="17" s="1"/>
  <c r="C8" i="17" s="1"/>
  <c r="C10" i="17" s="1"/>
  <c r="C12" i="17" s="1"/>
  <c r="C14" i="17" s="1"/>
  <c r="C16" i="17" s="1"/>
  <c r="C18" i="17" s="1"/>
  <c r="C20" i="17" s="1"/>
  <c r="C22" i="17" s="1"/>
  <c r="C24" i="17" s="1"/>
  <c r="C26" i="17" s="1"/>
  <c r="N3" i="17"/>
  <c r="L3" i="17"/>
  <c r="J3" i="17"/>
  <c r="H3" i="17"/>
  <c r="F3" i="17"/>
  <c r="D3" i="17"/>
  <c r="N2" i="17"/>
  <c r="L2" i="17"/>
  <c r="J2" i="17"/>
  <c r="H2" i="17"/>
  <c r="F2" i="17"/>
  <c r="D2" i="17"/>
  <c r="E23" i="16" l="1"/>
  <c r="E22" i="16"/>
  <c r="E21" i="16"/>
  <c r="E20" i="16"/>
  <c r="E19" i="16"/>
  <c r="E18" i="16"/>
  <c r="E17" i="16"/>
  <c r="E15" i="16"/>
  <c r="E14" i="16"/>
  <c r="E13" i="16"/>
  <c r="E12" i="16"/>
  <c r="E11" i="16"/>
  <c r="E10" i="16"/>
  <c r="E9" i="16"/>
  <c r="E16" i="16" l="1"/>
  <c r="I16" i="16"/>
  <c r="K16" i="16"/>
  <c r="M16" i="16"/>
  <c r="O16" i="16"/>
  <c r="Q16" i="16"/>
  <c r="S16" i="16"/>
  <c r="U16" i="16"/>
  <c r="W16" i="16"/>
  <c r="Y16" i="16"/>
  <c r="AA16" i="16"/>
  <c r="AC16" i="16"/>
  <c r="AE16" i="16"/>
  <c r="AG16" i="16"/>
  <c r="AI16" i="16"/>
  <c r="AK16" i="16"/>
  <c r="AM16" i="16"/>
  <c r="AO16" i="16"/>
  <c r="AQ16" i="16"/>
  <c r="AS16" i="16"/>
  <c r="AU16" i="16"/>
  <c r="AW16" i="16"/>
  <c r="AY16" i="16"/>
  <c r="BA16" i="16"/>
  <c r="BC16" i="16"/>
  <c r="BE16" i="16"/>
  <c r="BG16" i="16"/>
  <c r="BI16" i="16"/>
  <c r="BK16" i="16"/>
  <c r="BM16" i="16"/>
  <c r="BO16" i="16"/>
  <c r="BQ16" i="16"/>
  <c r="BS16" i="16"/>
  <c r="BU16" i="16"/>
  <c r="CA16" i="16"/>
  <c r="E24" i="16"/>
  <c r="I24" i="16"/>
  <c r="K24" i="16"/>
  <c r="M24" i="16"/>
  <c r="O24" i="16"/>
  <c r="Q24" i="16"/>
  <c r="Q26" i="16" s="1"/>
  <c r="Q27" i="16" s="1"/>
  <c r="D36" i="16" s="1"/>
  <c r="C13" i="13" s="1"/>
  <c r="S24" i="16"/>
  <c r="U24" i="16"/>
  <c r="U26" i="16" s="1"/>
  <c r="U27" i="16" s="1"/>
  <c r="D38" i="16" s="1"/>
  <c r="C15" i="13" s="1"/>
  <c r="W24" i="16"/>
  <c r="Y24" i="16"/>
  <c r="AA24" i="16"/>
  <c r="AC24" i="16"/>
  <c r="AE24" i="16"/>
  <c r="AG24" i="16"/>
  <c r="AI24" i="16"/>
  <c r="AK24" i="16"/>
  <c r="AM24" i="16"/>
  <c r="AO24" i="16"/>
  <c r="AQ24" i="16"/>
  <c r="AS24" i="16"/>
  <c r="AU24" i="16"/>
  <c r="AW24" i="16"/>
  <c r="AY24" i="16"/>
  <c r="BA24" i="16"/>
  <c r="BC24" i="16"/>
  <c r="BE24" i="16"/>
  <c r="BG24" i="16"/>
  <c r="BI24" i="16"/>
  <c r="BK24" i="16"/>
  <c r="BM24" i="16"/>
  <c r="BO24" i="16"/>
  <c r="BQ24" i="16"/>
  <c r="BS24" i="16"/>
  <c r="BU24" i="16"/>
  <c r="CA24" i="16"/>
  <c r="D16" i="16" l="1"/>
  <c r="BW27" i="16"/>
  <c r="D65" i="16" s="1"/>
  <c r="C42" i="13" s="1"/>
  <c r="BY27" i="16"/>
  <c r="D66" i="16" s="1"/>
  <c r="C43" i="13" s="1"/>
  <c r="AA26" i="16"/>
  <c r="AA27" i="16" s="1"/>
  <c r="D41" i="16" s="1"/>
  <c r="C18" i="13" s="1"/>
  <c r="BE26" i="16"/>
  <c r="BE27" i="16" s="1"/>
  <c r="D56" i="16" s="1"/>
  <c r="C33" i="13" s="1"/>
  <c r="Y26" i="16"/>
  <c r="Y27" i="16" s="1"/>
  <c r="D40" i="16" s="1"/>
  <c r="C17" i="13" s="1"/>
  <c r="BC26" i="16"/>
  <c r="BC27" i="16" s="1"/>
  <c r="D55" i="16" s="1"/>
  <c r="C32" i="13" s="1"/>
  <c r="W26" i="16"/>
  <c r="W27" i="16" s="1"/>
  <c r="D39" i="16" s="1"/>
  <c r="C16" i="13" s="1"/>
  <c r="D25" i="16"/>
  <c r="BA26" i="16"/>
  <c r="BA27" i="16" s="1"/>
  <c r="D54" i="16" s="1"/>
  <c r="C31" i="13" s="1"/>
  <c r="AW26" i="16"/>
  <c r="AW27" i="16" s="1"/>
  <c r="D52" i="16" s="1"/>
  <c r="C29" i="13" s="1"/>
  <c r="D15" i="16"/>
  <c r="BO26" i="16"/>
  <c r="BO27" i="16" s="1"/>
  <c r="D61" i="16" s="1"/>
  <c r="C38" i="13" s="1"/>
  <c r="AI26" i="16"/>
  <c r="AI27" i="16" s="1"/>
  <c r="D45" i="16" s="1"/>
  <c r="C22" i="13" s="1"/>
  <c r="D14" i="16"/>
  <c r="D13" i="16"/>
  <c r="D24" i="16"/>
  <c r="D12" i="16"/>
  <c r="D11" i="16"/>
  <c r="I26" i="16"/>
  <c r="BM26" i="16"/>
  <c r="BM27" i="16" s="1"/>
  <c r="D60" i="16" s="1"/>
  <c r="C37" i="13" s="1"/>
  <c r="AG26" i="16"/>
  <c r="AG27" i="16" s="1"/>
  <c r="D44" i="16" s="1"/>
  <c r="C21" i="13" s="1"/>
  <c r="AO26" i="16"/>
  <c r="AO27" i="16" s="1"/>
  <c r="D48" i="16" s="1"/>
  <c r="C25" i="13" s="1"/>
  <c r="AY26" i="16"/>
  <c r="AY27" i="16" s="1"/>
  <c r="D53" i="16" s="1"/>
  <c r="C30" i="13" s="1"/>
  <c r="S26" i="16"/>
  <c r="S27" i="16" s="1"/>
  <c r="D37" i="16" s="1"/>
  <c r="C14" i="13" s="1"/>
  <c r="D21" i="16"/>
  <c r="F45" i="13"/>
  <c r="D23" i="16"/>
  <c r="D10" i="16"/>
  <c r="D22" i="16"/>
  <c r="D9" i="16"/>
  <c r="D20" i="16"/>
  <c r="AU26" i="16"/>
  <c r="AU27" i="16" s="1"/>
  <c r="D51" i="16" s="1"/>
  <c r="C28" i="13" s="1"/>
  <c r="O26" i="16"/>
  <c r="O27" i="16" s="1"/>
  <c r="D35" i="16" s="1"/>
  <c r="C12" i="13" s="1"/>
  <c r="D19" i="16"/>
  <c r="AS26" i="16"/>
  <c r="AS27" i="16" s="1"/>
  <c r="D50" i="16" s="1"/>
  <c r="C27" i="13" s="1"/>
  <c r="M26" i="16"/>
  <c r="M27" i="16" s="1"/>
  <c r="D34" i="16" s="1"/>
  <c r="C11" i="13" s="1"/>
  <c r="D18" i="16"/>
  <c r="CA26" i="16"/>
  <c r="CA27" i="16" s="1"/>
  <c r="D67" i="16" s="1"/>
  <c r="C44" i="13" s="1"/>
  <c r="AQ26" i="16"/>
  <c r="AQ27" i="16" s="1"/>
  <c r="D49" i="16" s="1"/>
  <c r="C26" i="13" s="1"/>
  <c r="K26" i="16"/>
  <c r="K27" i="16" s="1"/>
  <c r="D33" i="16" s="1"/>
  <c r="C10" i="13" s="1"/>
  <c r="D17" i="16"/>
  <c r="CB29" i="16"/>
  <c r="BK26" i="16"/>
  <c r="BK27" i="16" s="1"/>
  <c r="D59" i="16" s="1"/>
  <c r="C36" i="13" s="1"/>
  <c r="AE26" i="16"/>
  <c r="AE27" i="16" s="1"/>
  <c r="D43" i="16" s="1"/>
  <c r="C20" i="13" s="1"/>
  <c r="BI26" i="16"/>
  <c r="BI27" i="16" s="1"/>
  <c r="D58" i="16" s="1"/>
  <c r="C35" i="13" s="1"/>
  <c r="AC26" i="16"/>
  <c r="AC27" i="16" s="1"/>
  <c r="D42" i="16" s="1"/>
  <c r="C19" i="13" s="1"/>
  <c r="BS26" i="16"/>
  <c r="BS27" i="16" s="1"/>
  <c r="D63" i="16" s="1"/>
  <c r="C40" i="13" s="1"/>
  <c r="AM26" i="16"/>
  <c r="AM27" i="16" s="1"/>
  <c r="D47" i="16" s="1"/>
  <c r="C24" i="13" s="1"/>
  <c r="E26" i="16"/>
  <c r="E27" i="16" s="1"/>
  <c r="BG26" i="16"/>
  <c r="BG27" i="16" s="1"/>
  <c r="D57" i="16" s="1"/>
  <c r="C34" i="13" s="1"/>
  <c r="BQ26" i="16"/>
  <c r="BQ27" i="16" s="1"/>
  <c r="D62" i="16" s="1"/>
  <c r="C39" i="13" s="1"/>
  <c r="AK26" i="16"/>
  <c r="AK27" i="16" s="1"/>
  <c r="D46" i="16" s="1"/>
  <c r="C23" i="13" s="1"/>
  <c r="E22" i="13" l="1"/>
  <c r="E38" i="13"/>
  <c r="E42" i="13"/>
  <c r="E18" i="13"/>
  <c r="E16" i="13"/>
  <c r="E33" i="13"/>
  <c r="E14" i="13"/>
  <c r="E20" i="13"/>
  <c r="E35" i="13"/>
  <c r="E34" i="13"/>
  <c r="E40" i="13"/>
  <c r="E30" i="13"/>
  <c r="E19" i="13"/>
  <c r="E27" i="13"/>
  <c r="E25" i="13"/>
  <c r="E36" i="13"/>
  <c r="E10" i="13"/>
  <c r="E26" i="13"/>
  <c r="E21" i="13"/>
  <c r="E37" i="13"/>
  <c r="E24" i="13"/>
  <c r="D26" i="16"/>
  <c r="E39" i="13"/>
  <c r="E29" i="13"/>
  <c r="E11" i="13"/>
  <c r="E17" i="13"/>
  <c r="E28" i="13"/>
  <c r="BU26" i="16"/>
  <c r="BU27" i="16" s="1"/>
  <c r="D64" i="16" s="1"/>
  <c r="C41" i="13" s="1"/>
  <c r="E41" i="13" s="1"/>
  <c r="E13" i="13"/>
  <c r="E23" i="13"/>
  <c r="I27" i="16"/>
  <c r="D32" i="16" s="1"/>
  <c r="C9" i="13" s="1"/>
  <c r="E12" i="13"/>
  <c r="E32" i="13"/>
  <c r="E44" i="13"/>
  <c r="E15" i="13"/>
  <c r="E31" i="13"/>
  <c r="CB27" i="16" l="1"/>
  <c r="E43" i="13"/>
  <c r="D9" i="13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E9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l="1"/>
  <c r="F44" i="13" s="1"/>
  <c r="D4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<sst xmlns="http://schemas.openxmlformats.org/spreadsheetml/2006/main" count="292" uniqueCount="131">
  <si>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</si>
  <si>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</si>
  <si>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</si>
  <si>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</si>
  <si>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</si>
  <si>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</si>
  <si>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</si>
  <si>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</si>
  <si>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</si>
  <si>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</si>
  <si>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</si>
  <si>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</si>
  <si>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</si>
  <si>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</si>
  <si>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</si>
  <si>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</si>
  <si>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</si>
  <si>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</si>
  <si>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</si>
  <si>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</si>
  <si>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</si>
  <si>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</si>
  <si>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</si>
  <si>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</si>
  <si>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</si>
  <si>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</si>
  <si>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</si>
  <si>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</si>
  <si>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</si>
  <si>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</si>
  <si>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</si>
  <si>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</si>
  <si>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</si>
  <si>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</si>
  <si>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</si>
  <si>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</si>
  <si>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</si>
  <si>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</si>
  <si>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</si>
  <si>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</si>
  <si>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</si>
  <si>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</si>
  <si>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</si>
  <si>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</si>
  <si>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</si>
  <si>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</si>
  <si>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</si>
  <si>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</si>
  <si>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</si>
  <si>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</si>
  <si>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</si>
  <si>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</si>
  <si>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</si>
  <si>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</si>
  <si>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</si>
  <si>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</si>
  <si>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</si>
  <si>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</si>
  <si>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</si>
  <si>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</si>
  <si>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</si>
  <si>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</si>
  <si>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</si>
  <si>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</si>
  <si>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</si>
  <si>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</si>
  <si>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</si>
  <si>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</si>
  <si>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</si>
  <si>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</si>
  <si>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</si>
  <si>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</si>
  <si>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</si>
  <si>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</si>
  <si>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</si>
  <si>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</si>
  <si>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</si>
  <si>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</si>
  <si>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</si>
  <si>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</si>
  <si>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</si>
  <si>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</si>
  <si>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</si>
  <si>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</si>
  <si>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</si>
  <si>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</si>
  <si>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</si>
  <si>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</si>
  <si>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</si>
  <si>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</si>
  <si>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</si>
  <si>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</si>
  <si>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</si>
  <si>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</si>
  <si>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</si>
  <si>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</si>
  <si>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</si>
  <si>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</si>
  <si>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</si>
  <si>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</si>
  <si>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</si>
  <si>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CURVA S | % PARAMÉTRICO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</si>
  <si>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</si>
  <si>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</si>
  <si>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</si>
  <si>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</si>
  <si>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</si>
  <si>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</si>
  <si>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</si>
  <si>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</si>
  <si>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</si>
  <si>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</si>
  <si>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</si>
  <si>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</si>
  <si>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</si>
  <si>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</si>
  <si>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</si>
  <si>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</si>
  <si>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</si>
  <si>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</si>
  <si>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</si>
  <si>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</si>
  <si>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</si>
  <si>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</si>
  <si>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</si>
  <si>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</si>
  <si>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</si>
  <si>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</si>
  <si>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ENXOVAL</t>
  </si>
  <si>
    <t>BD EMPREENDIMENTOS - JARDIM CAMPECHE</t>
  </si>
  <si>
    <t>INFRAESTRUTURA + CONTENÇÃO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</si>
</sst>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000000"/>
      <name val="Calibri Light"/>
      <family val="2"/>
      <scheme val="major"/>
    </font>
    <font>
      <sz val="20"/>
      <color rgb="FF000000"/>
      <name val="Calibri Light"/>
      <family val="2"/>
      <scheme val="major"/>
    </font>
    <font>
      <sz val="28"/>
      <color rgb="FF00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9" fontId="11" fillId="5" borderId="36" xfId="2" applyFont="1" applyFill="1" applyBorder="1" applyAlignment="1">
      <alignment horizontal="center" vertical="center"/>
    </xf>
    <xf numFmtId="9" fontId="11" fillId="0" borderId="36" xfId="2" applyFont="1" applyBorder="1" applyAlignment="1">
      <alignment horizontal="center" vertical="center"/>
    </xf>
    <xf numFmtId="0" fontId="0" fillId="7" borderId="0" xfId="0" applyFill="1"/>
    <xf numFmtId="44" fontId="11" fillId="0" borderId="10" xfId="0" applyNumberFormat="1" applyFont="1" applyBorder="1" applyAlignment="1">
      <alignment horizontal="center" vertical="center"/>
    </xf>
    <xf numFmtId="10" fontId="0" fillId="0" borderId="0" xfId="0" applyNumberFormat="1"/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17" fillId="2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2" fillId="5" borderId="12" xfId="0" applyFont="1" applyFill="1" applyBorder="1" applyAlignment="1">
      <alignment horizontal="left" vertical="center"/>
    </xf>
    <xf numFmtId="44" fontId="22" fillId="5" borderId="10" xfId="1" applyFont="1" applyFill="1" applyBorder="1" applyAlignment="1">
      <alignment horizontal="center" vertical="center"/>
    </xf>
    <xf numFmtId="10" fontId="22" fillId="5" borderId="10" xfId="0" applyNumberFormat="1" applyFont="1" applyFill="1" applyBorder="1" applyAlignment="1">
      <alignment horizontal="center" vertical="center"/>
    </xf>
    <xf numFmtId="44" fontId="22" fillId="5" borderId="13" xfId="1" applyFont="1" applyFill="1" applyBorder="1" applyAlignment="1">
      <alignment horizontal="center" vertical="center"/>
    </xf>
    <xf numFmtId="9" fontId="22" fillId="5" borderId="36" xfId="2" applyFont="1" applyFill="1" applyBorder="1" applyAlignment="1">
      <alignment horizontal="center" vertical="center"/>
    </xf>
    <xf numFmtId="0" fontId="24" fillId="0" borderId="0" xfId="0" applyFont="1"/>
    <xf numFmtId="10" fontId="22" fillId="5" borderId="12" xfId="2" applyNumberFormat="1" applyFont="1" applyFill="1" applyBorder="1" applyAlignment="1">
      <alignment horizontal="center" vertical="center"/>
    </xf>
    <xf numFmtId="44" fontId="22" fillId="5" borderId="10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000000"/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PARAMÉTRICA'!$D$9:$D$44</c:f>
              <c:numCache>
                <c:formatCode>0.00%</c:formatCode>
                <c:ptCount val="36"/>
                <c:pt idx="0">
                  <c:v>2.5032495721464619E-2</c:v>
                </c:pt>
                <c:pt idx="1">
                  <c:v>6.6177949867602032E-2</c:v>
                </c:pt>
                <c:pt idx="2">
                  <c:v>0.10732340401373945</c:v>
                </c:pt>
                <c:pt idx="3">
                  <c:v>0.14485304368267704</c:v>
                </c:pt>
                <c:pt idx="4">
                  <c:v>0.17864647598190952</c:v>
                </c:pt>
                <c:pt idx="5">
                  <c:v>0.21243990828114201</c:v>
                </c:pt>
                <c:pt idx="6">
                  <c:v>0.23290742749761451</c:v>
                </c:pt>
                <c:pt idx="7">
                  <c:v>0.253374946714087</c:v>
                </c:pt>
                <c:pt idx="8">
                  <c:v>0.2738424659305595</c:v>
                </c:pt>
                <c:pt idx="9">
                  <c:v>0.29663104695131548</c:v>
                </c:pt>
                <c:pt idx="10">
                  <c:v>0.32451007611392657</c:v>
                </c:pt>
                <c:pt idx="11">
                  <c:v>0.35593131269967904</c:v>
                </c:pt>
                <c:pt idx="12">
                  <c:v>0.3873525492854315</c:v>
                </c:pt>
                <c:pt idx="13">
                  <c:v>0.42255299625636528</c:v>
                </c:pt>
                <c:pt idx="14">
                  <c:v>0.4590672490142208</c:v>
                </c:pt>
                <c:pt idx="15">
                  <c:v>0.49739918868105915</c:v>
                </c:pt>
                <c:pt idx="16">
                  <c:v>0.53573112834789749</c:v>
                </c:pt>
                <c:pt idx="17">
                  <c:v>0.56134770124325095</c:v>
                </c:pt>
                <c:pt idx="18">
                  <c:v>0.58696427413860441</c:v>
                </c:pt>
                <c:pt idx="19">
                  <c:v>0.61258084703395788</c:v>
                </c:pt>
                <c:pt idx="20">
                  <c:v>0.63909540049857361</c:v>
                </c:pt>
                <c:pt idx="21">
                  <c:v>0.66934817657245038</c:v>
                </c:pt>
                <c:pt idx="22">
                  <c:v>0.69605874522318578</c:v>
                </c:pt>
                <c:pt idx="23">
                  <c:v>0.71767886573206607</c:v>
                </c:pt>
                <c:pt idx="24">
                  <c:v>0.73929898624094637</c:v>
                </c:pt>
                <c:pt idx="25">
                  <c:v>0.76793460766810817</c:v>
                </c:pt>
                <c:pt idx="26">
                  <c:v>0.79657022909526998</c:v>
                </c:pt>
                <c:pt idx="27">
                  <c:v>0.82520585052243178</c:v>
                </c:pt>
                <c:pt idx="28">
                  <c:v>0.85384147194959359</c:v>
                </c:pt>
                <c:pt idx="29">
                  <c:v>0.88247709337675539</c:v>
                </c:pt>
                <c:pt idx="30">
                  <c:v>0.90930852091304826</c:v>
                </c:pt>
                <c:pt idx="31">
                  <c:v>0.93613994844934112</c:v>
                </c:pt>
                <c:pt idx="32">
                  <c:v>0.95346822651874297</c:v>
                </c:pt>
                <c:pt idx="33">
                  <c:v>0.96897881767916194</c:v>
                </c:pt>
                <c:pt idx="34">
                  <c:v>0.98448940883958092</c:v>
                </c:pt>
                <c:pt idx="3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PARAMÉTRICA'!$C$9:$C$44</c:f>
              <c:numCache>
                <c:formatCode>0.00%</c:formatCode>
                <c:ptCount val="36"/>
                <c:pt idx="0">
                  <c:v>2.5032495721464619E-2</c:v>
                </c:pt>
                <c:pt idx="1">
                  <c:v>4.114545414613742E-2</c:v>
                </c:pt>
                <c:pt idx="2">
                  <c:v>4.114545414613742E-2</c:v>
                </c:pt>
                <c:pt idx="3">
                  <c:v>3.7529639668937576E-2</c:v>
                </c:pt>
                <c:pt idx="4">
                  <c:v>3.3793432299232491E-2</c:v>
                </c:pt>
                <c:pt idx="5">
                  <c:v>3.3793432299232491E-2</c:v>
                </c:pt>
                <c:pt idx="6">
                  <c:v>2.0467519216472482E-2</c:v>
                </c:pt>
                <c:pt idx="7">
                  <c:v>2.0467519216472482E-2</c:v>
                </c:pt>
                <c:pt idx="8">
                  <c:v>2.0467519216472482E-2</c:v>
                </c:pt>
                <c:pt idx="9">
                  <c:v>2.2788581020756007E-2</c:v>
                </c:pt>
                <c:pt idx="10">
                  <c:v>2.7879029162611101E-2</c:v>
                </c:pt>
                <c:pt idx="11">
                  <c:v>3.1421236585752459E-2</c:v>
                </c:pt>
                <c:pt idx="12">
                  <c:v>3.1421236585752459E-2</c:v>
                </c:pt>
                <c:pt idx="13">
                  <c:v>3.5200446970933795E-2</c:v>
                </c:pt>
                <c:pt idx="14">
                  <c:v>3.6514252757855498E-2</c:v>
                </c:pt>
                <c:pt idx="15">
                  <c:v>3.8331939666838365E-2</c:v>
                </c:pt>
                <c:pt idx="16">
                  <c:v>3.8331939666838365E-2</c:v>
                </c:pt>
                <c:pt idx="17">
                  <c:v>2.5616572895353483E-2</c:v>
                </c:pt>
                <c:pt idx="18">
                  <c:v>2.5616572895353483E-2</c:v>
                </c:pt>
                <c:pt idx="19">
                  <c:v>2.5616572895353483E-2</c:v>
                </c:pt>
                <c:pt idx="20">
                  <c:v>2.6514553464615752E-2</c:v>
                </c:pt>
                <c:pt idx="21">
                  <c:v>3.0252776073876723E-2</c:v>
                </c:pt>
                <c:pt idx="22">
                  <c:v>2.6710568650735362E-2</c:v>
                </c:pt>
                <c:pt idx="23">
                  <c:v>2.1620120508880271E-2</c:v>
                </c:pt>
                <c:pt idx="24">
                  <c:v>2.1620120508880271E-2</c:v>
                </c:pt>
                <c:pt idx="25">
                  <c:v>2.8635621427161792E-2</c:v>
                </c:pt>
                <c:pt idx="26">
                  <c:v>2.8635621427161792E-2</c:v>
                </c:pt>
                <c:pt idx="27">
                  <c:v>2.8635621427161792E-2</c:v>
                </c:pt>
                <c:pt idx="28">
                  <c:v>2.8635621427161792E-2</c:v>
                </c:pt>
                <c:pt idx="29">
                  <c:v>2.8635621427161792E-2</c:v>
                </c:pt>
                <c:pt idx="30">
                  <c:v>2.6831427536292918E-2</c:v>
                </c:pt>
                <c:pt idx="31">
                  <c:v>2.6831427536292918E-2</c:v>
                </c:pt>
                <c:pt idx="32">
                  <c:v>1.7328278069401879E-2</c:v>
                </c:pt>
                <c:pt idx="33">
                  <c:v>1.5510591160419009E-2</c:v>
                </c:pt>
                <c:pt idx="34">
                  <c:v>1.5510591160419009E-2</c:v>
                </c:pt>
                <c:pt idx="35">
                  <c:v>1.5510591160419009E-2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PARAMÉTRICA'!$E$9:$E$44</c:f>
              <c:numCache>
                <c:formatCode>_("R$"* #,##0.00_);_("R$"* \(#,##0.00\);_("R$"* "-"??_);_(@_)</c:formatCode>
                <c:ptCount val="36"/>
                <c:pt idx="0">
                  <c:v>519234.21817996725</c:v>
                </c:pt>
                <c:pt idx="1">
                  <c:v>853455.76217996725</c:v>
                </c:pt>
                <c:pt idx="2">
                  <c:v>853455.76217996725</c:v>
                </c:pt>
                <c:pt idx="3">
                  <c:v>778455.06612300931</c:v>
                </c:pt>
                <c:pt idx="4">
                  <c:v>700957.13167200738</c:v>
                </c:pt>
                <c:pt idx="5">
                  <c:v>700957.13167200738</c:v>
                </c:pt>
                <c:pt idx="6">
                  <c:v>424545.61689331819</c:v>
                </c:pt>
                <c:pt idx="7">
                  <c:v>424545.61689331819</c:v>
                </c:pt>
                <c:pt idx="8">
                  <c:v>424545.61689331819</c:v>
                </c:pt>
                <c:pt idx="9">
                  <c:v>472690.02585295454</c:v>
                </c:pt>
                <c:pt idx="10">
                  <c:v>578278.17377603147</c:v>
                </c:pt>
                <c:pt idx="11">
                  <c:v>651752.08234875882</c:v>
                </c:pt>
                <c:pt idx="12">
                  <c:v>651752.08234875882</c:v>
                </c:pt>
                <c:pt idx="13">
                  <c:v>730142.00285535189</c:v>
                </c:pt>
                <c:pt idx="14">
                  <c:v>757393.4974008064</c:v>
                </c:pt>
                <c:pt idx="15">
                  <c:v>795096.6993341397</c:v>
                </c:pt>
                <c:pt idx="16">
                  <c:v>795096.6993341397</c:v>
                </c:pt>
                <c:pt idx="17">
                  <c:v>531349.38472650142</c:v>
                </c:pt>
                <c:pt idx="18">
                  <c:v>531349.38472650142</c:v>
                </c:pt>
                <c:pt idx="19">
                  <c:v>531349.38472650142</c:v>
                </c:pt>
                <c:pt idx="20">
                  <c:v>549975.66330494499</c:v>
                </c:pt>
                <c:pt idx="21">
                  <c:v>627515.39867531543</c:v>
                </c:pt>
                <c:pt idx="22">
                  <c:v>554041.49010258808</c:v>
                </c:pt>
                <c:pt idx="23">
                  <c:v>448453.34217951121</c:v>
                </c:pt>
                <c:pt idx="24">
                  <c:v>448453.34217951121</c:v>
                </c:pt>
                <c:pt idx="25">
                  <c:v>593971.71857221145</c:v>
                </c:pt>
                <c:pt idx="26">
                  <c:v>593971.71857221145</c:v>
                </c:pt>
                <c:pt idx="27">
                  <c:v>593971.71857221145</c:v>
                </c:pt>
                <c:pt idx="28">
                  <c:v>593971.71857221145</c:v>
                </c:pt>
                <c:pt idx="29">
                  <c:v>593971.71857221145</c:v>
                </c:pt>
                <c:pt idx="30">
                  <c:v>556548.39431425126</c:v>
                </c:pt>
                <c:pt idx="31">
                  <c:v>556548.39431425126</c:v>
                </c:pt>
                <c:pt idx="32">
                  <c:v>359430.19888567983</c:v>
                </c:pt>
                <c:pt idx="33">
                  <c:v>321726.99695234653</c:v>
                </c:pt>
                <c:pt idx="34">
                  <c:v>321726.99695234653</c:v>
                </c:pt>
                <c:pt idx="35">
                  <c:v>321726.99695234653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PARAMÉTRICA'!$F$9:$F$44</c:f>
              <c:numCache>
                <c:formatCode>_("R$"* #,##0.00_);_("R$"* \(#,##0.00\);_("R$"* "-"??_);_(@_)</c:formatCode>
                <c:ptCount val="36"/>
                <c:pt idx="0">
                  <c:v>519234.21817996725</c:v>
                </c:pt>
                <c:pt idx="1">
                  <c:v>1372689.9803599345</c:v>
                </c:pt>
                <c:pt idx="2">
                  <c:v>2226145.7425399018</c:v>
                </c:pt>
                <c:pt idx="3">
                  <c:v>3004600.8086629109</c:v>
                </c:pt>
                <c:pt idx="4">
                  <c:v>3705557.9403349184</c:v>
                </c:pt>
                <c:pt idx="5">
                  <c:v>4406515.0720069259</c:v>
                </c:pt>
                <c:pt idx="6">
                  <c:v>4831060.6889002444</c:v>
                </c:pt>
                <c:pt idx="7">
                  <c:v>5255606.3057935629</c:v>
                </c:pt>
                <c:pt idx="8">
                  <c:v>5680151.9226868814</c:v>
                </c:pt>
                <c:pt idx="9">
                  <c:v>6152841.9485398363</c:v>
                </c:pt>
                <c:pt idx="10">
                  <c:v>6731120.1223158678</c:v>
                </c:pt>
                <c:pt idx="11">
                  <c:v>7382872.2046646271</c:v>
                </c:pt>
                <c:pt idx="12">
                  <c:v>8034624.2870133854</c:v>
                </c:pt>
                <c:pt idx="13">
                  <c:v>8764766.2898687366</c:v>
                </c:pt>
                <c:pt idx="14">
                  <c:v>9522159.7872695439</c:v>
                </c:pt>
                <c:pt idx="15">
                  <c:v>10317256.486603683</c:v>
                </c:pt>
                <c:pt idx="16">
                  <c:v>11112353.185937822</c:v>
                </c:pt>
                <c:pt idx="17">
                  <c:v>11643702.570664324</c:v>
                </c:pt>
                <c:pt idx="18">
                  <c:v>12175051.955390826</c:v>
                </c:pt>
                <c:pt idx="19">
                  <c:v>12706401.340117328</c:v>
                </c:pt>
                <c:pt idx="20">
                  <c:v>13256377.003422273</c:v>
                </c:pt>
                <c:pt idx="21">
                  <c:v>13883892.402097588</c:v>
                </c:pt>
                <c:pt idx="22">
                  <c:v>14437933.892200176</c:v>
                </c:pt>
                <c:pt idx="23">
                  <c:v>14886387.234379686</c:v>
                </c:pt>
                <c:pt idx="24">
                  <c:v>15334840.576559197</c:v>
                </c:pt>
                <c:pt idx="25">
                  <c:v>15928812.295131408</c:v>
                </c:pt>
                <c:pt idx="26">
                  <c:v>16522784.013703618</c:v>
                </c:pt>
                <c:pt idx="27">
                  <c:v>17116755.732275829</c:v>
                </c:pt>
                <c:pt idx="28">
                  <c:v>17710727.450848039</c:v>
                </c:pt>
                <c:pt idx="29">
                  <c:v>18304699.16942025</c:v>
                </c:pt>
                <c:pt idx="30">
                  <c:v>18861247.563734502</c:v>
                </c:pt>
                <c:pt idx="31">
                  <c:v>19417795.958048753</c:v>
                </c:pt>
                <c:pt idx="32">
                  <c:v>19777226.156934433</c:v>
                </c:pt>
                <c:pt idx="33">
                  <c:v>20098953.15388678</c:v>
                </c:pt>
                <c:pt idx="34">
                  <c:v>20420680.150839128</c:v>
                </c:pt>
                <c:pt idx="35">
                  <c:v>20742407.147791475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24</xdr:row>
      <xdr:rowOff>228600</xdr:rowOff>
    </xdr:from>
    <xdr:to>
      <xdr:col>45</xdr:col>
      <xdr:colOff>38117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4</xdr:col>
      <xdr:colOff>1568667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685800</xdr:colOff>
      <xdr:row>7</xdr:row>
      <xdr:rowOff>48490</xdr:rowOff>
    </xdr:from>
    <xdr:to>
      <xdr:col>45</xdr:col>
      <xdr:colOff>38100</xdr:colOff>
      <xdr:row>24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533400</xdr:colOff>
      <xdr:row>7</xdr:row>
      <xdr:rowOff>46431</xdr:rowOff>
    </xdr:from>
    <xdr:to>
      <xdr:col>85</xdr:col>
      <xdr:colOff>0</xdr:colOff>
      <xdr:row>23</xdr:row>
      <xdr:rowOff>304800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304800</xdr:colOff>
      <xdr:row>24</xdr:row>
      <xdr:rowOff>114299</xdr:rowOff>
    </xdr:from>
    <xdr:to>
      <xdr:col>85</xdr:col>
      <xdr:colOff>0</xdr:colOff>
      <xdr:row>43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Q1004"/>
  <sheetViews>
    <sheetView showGridLines="0" tabSelected="1" topLeftCell="B1" zoomScale="70" zoomScaleNormal="70" workbookViewId="0">
      <selection activeCell="AM10" sqref="AM10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38" width="6.28515625" customWidth="1"/>
    <col min="39" max="43" width="4.85546875" customWidth="1"/>
    <col min="44" max="44" width="6.5703125" bestFit="1" customWidth="1"/>
  </cols>
  <sheetData>
    <row r="1" spans="1:43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3" ht="9.75" customHeight="1" x14ac:dyDescent="0.6">
      <c r="A2" s="19"/>
      <c r="B2" s="97" t="s">
        <v>72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9"/>
      <c r="AM2" s="61"/>
      <c r="AN2" s="61"/>
      <c r="AO2" s="61"/>
      <c r="AP2" s="61"/>
      <c r="AQ2" s="61"/>
    </row>
    <row r="3" spans="1:43" ht="19.5" customHeight="1" x14ac:dyDescent="0.6">
      <c r="A3" s="19"/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2"/>
      <c r="AM3" s="61"/>
      <c r="AN3" s="61"/>
      <c r="AO3" s="61"/>
      <c r="AP3" s="61"/>
      <c r="AQ3" s="61"/>
    </row>
    <row r="4" spans="1:43" ht="19.5" customHeight="1" x14ac:dyDescent="0.6">
      <c r="A4" s="19"/>
      <c r="B4" s="103" t="s">
        <v>129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5"/>
      <c r="AM4" s="61"/>
      <c r="AN4" s="61"/>
      <c r="AO4" s="61"/>
      <c r="AP4" s="61"/>
      <c r="AQ4" s="61"/>
    </row>
    <row r="5" spans="1:43" ht="9.75" customHeight="1" x14ac:dyDescent="0.6">
      <c r="A5" s="19"/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62"/>
      <c r="AK5" s="62"/>
      <c r="AL5" s="62"/>
      <c r="AM5" s="61"/>
      <c r="AN5" s="61"/>
      <c r="AO5" s="61"/>
      <c r="AP5" s="61"/>
      <c r="AQ5" s="61"/>
    </row>
    <row r="6" spans="1:43" ht="21.75" customHeight="1" thickBot="1" x14ac:dyDescent="0.65">
      <c r="A6" s="19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</row>
    <row r="7" spans="1:43" ht="21.75" customHeight="1" x14ac:dyDescent="0.6">
      <c r="A7" s="19"/>
      <c r="B7" s="63" t="s">
        <v>97</v>
      </c>
      <c r="C7" s="64" t="s">
        <v>1</v>
      </c>
      <c r="D7" s="64" t="s">
        <v>2</v>
      </c>
      <c r="E7" s="64" t="s">
        <v>3</v>
      </c>
      <c r="F7" s="64" t="s">
        <v>4</v>
      </c>
      <c r="G7" s="64" t="s">
        <v>5</v>
      </c>
      <c r="H7" s="64" t="s">
        <v>6</v>
      </c>
      <c r="I7" s="64" t="s">
        <v>7</v>
      </c>
      <c r="J7" s="64" t="s">
        <v>8</v>
      </c>
      <c r="K7" s="64" t="s">
        <v>9</v>
      </c>
      <c r="L7" s="64" t="s">
        <v>10</v>
      </c>
      <c r="M7" s="64" t="s">
        <v>11</v>
      </c>
      <c r="N7" s="64" t="s">
        <v>12</v>
      </c>
      <c r="O7" s="64" t="s">
        <v>13</v>
      </c>
      <c r="P7" s="64" t="s">
        <v>14</v>
      </c>
      <c r="Q7" s="64" t="s">
        <v>15</v>
      </c>
      <c r="R7" s="64" t="s">
        <v>16</v>
      </c>
      <c r="S7" s="64" t="s">
        <v>17</v>
      </c>
      <c r="T7" s="64" t="s">
        <v>18</v>
      </c>
      <c r="U7" s="64" t="s">
        <v>19</v>
      </c>
      <c r="V7" s="64" t="s">
        <v>20</v>
      </c>
      <c r="W7" s="64" t="s">
        <v>21</v>
      </c>
      <c r="X7" s="64" t="s">
        <v>22</v>
      </c>
      <c r="Y7" s="64" t="s">
        <v>23</v>
      </c>
      <c r="Z7" s="64" t="s">
        <v>24</v>
      </c>
      <c r="AA7" s="64" t="s">
        <v>25</v>
      </c>
      <c r="AB7" s="64" t="s">
        <v>26</v>
      </c>
      <c r="AC7" s="64" t="s">
        <v>27</v>
      </c>
      <c r="AD7" s="64" t="s">
        <v>28</v>
      </c>
      <c r="AE7" s="64" t="s">
        <v>29</v>
      </c>
      <c r="AF7" s="64" t="s">
        <v>30</v>
      </c>
      <c r="AG7" s="64" t="s">
        <v>31</v>
      </c>
      <c r="AH7" s="64" t="s">
        <v>32</v>
      </c>
      <c r="AI7" s="64" t="s">
        <v>33</v>
      </c>
      <c r="AJ7" s="64" t="s">
        <v>34</v>
      </c>
      <c r="AK7" s="64" t="s">
        <v>35</v>
      </c>
      <c r="AL7" s="64" t="s">
        <v>36</v>
      </c>
    </row>
    <row r="8" spans="1:43" ht="21.75" customHeight="1" x14ac:dyDescent="0.6">
      <c r="A8" s="19"/>
      <c r="B8" s="65" t="s">
        <v>53</v>
      </c>
      <c r="C8" s="81">
        <v>1</v>
      </c>
      <c r="D8" s="81">
        <v>2</v>
      </c>
      <c r="E8" s="81">
        <v>3</v>
      </c>
      <c r="F8" s="81">
        <v>4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3"/>
      <c r="AM8">
        <f t="shared" ref="AM8:AM21" si="0">COUNTA(C8:AL8)</f>
        <v>4</v>
      </c>
    </row>
    <row r="9" spans="1:43" ht="21.75" customHeight="1" x14ac:dyDescent="0.6">
      <c r="A9" s="19"/>
      <c r="B9" s="66" t="s">
        <v>130</v>
      </c>
      <c r="C9" s="82"/>
      <c r="D9" s="81">
        <v>2</v>
      </c>
      <c r="E9" s="81">
        <v>3</v>
      </c>
      <c r="F9" s="81">
        <v>4</v>
      </c>
      <c r="G9" s="81">
        <v>5</v>
      </c>
      <c r="H9" s="81">
        <v>6</v>
      </c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3"/>
      <c r="AM9">
        <f t="shared" si="0"/>
        <v>5</v>
      </c>
    </row>
    <row r="10" spans="1:43" ht="21.75" customHeight="1" x14ac:dyDescent="0.6">
      <c r="A10" s="19"/>
      <c r="B10" s="65" t="s">
        <v>54</v>
      </c>
      <c r="C10" s="82"/>
      <c r="D10" s="82"/>
      <c r="E10" s="82"/>
      <c r="F10" s="82"/>
      <c r="G10" s="82"/>
      <c r="H10" s="82"/>
      <c r="I10" s="81">
        <v>1</v>
      </c>
      <c r="J10" s="81">
        <v>2</v>
      </c>
      <c r="K10" s="81">
        <v>3</v>
      </c>
      <c r="L10" s="81">
        <v>3</v>
      </c>
      <c r="M10" s="81">
        <v>4</v>
      </c>
      <c r="N10" s="81">
        <v>5</v>
      </c>
      <c r="O10" s="81">
        <v>6</v>
      </c>
      <c r="P10" s="81">
        <v>7</v>
      </c>
      <c r="Q10" s="81">
        <v>8</v>
      </c>
      <c r="R10" s="81">
        <v>8.5833333333333304</v>
      </c>
      <c r="S10" s="81">
        <v>9.43333333333333</v>
      </c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3"/>
      <c r="AM10">
        <f t="shared" si="0"/>
        <v>11</v>
      </c>
    </row>
    <row r="11" spans="1:43" ht="21.75" customHeight="1" x14ac:dyDescent="0.6">
      <c r="A11" s="19"/>
      <c r="B11" s="66" t="s">
        <v>55</v>
      </c>
      <c r="C11" s="82"/>
      <c r="D11" s="82"/>
      <c r="E11" s="82"/>
      <c r="F11" s="82"/>
      <c r="G11" s="82"/>
      <c r="H11" s="82"/>
      <c r="I11" s="82"/>
      <c r="J11" s="82"/>
      <c r="K11" s="82"/>
      <c r="L11" s="81">
        <v>1</v>
      </c>
      <c r="M11" s="81">
        <v>2</v>
      </c>
      <c r="N11" s="81">
        <v>3</v>
      </c>
      <c r="O11" s="81">
        <v>4</v>
      </c>
      <c r="P11" s="81">
        <v>5</v>
      </c>
      <c r="Q11" s="81">
        <v>6</v>
      </c>
      <c r="R11" s="81">
        <v>7</v>
      </c>
      <c r="S11" s="81">
        <v>8</v>
      </c>
      <c r="T11" s="81">
        <v>8</v>
      </c>
      <c r="U11" s="81">
        <v>9.5555555555555607</v>
      </c>
      <c r="V11" s="81">
        <v>10.4888888888889</v>
      </c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3"/>
      <c r="AM11">
        <f t="shared" si="0"/>
        <v>11</v>
      </c>
    </row>
    <row r="12" spans="1:43" ht="21.75" customHeight="1" x14ac:dyDescent="0.6">
      <c r="A12" s="19"/>
      <c r="B12" s="65" t="s">
        <v>56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1">
        <v>1</v>
      </c>
      <c r="N12" s="81">
        <v>2</v>
      </c>
      <c r="O12" s="81">
        <v>3</v>
      </c>
      <c r="P12" s="81">
        <v>4</v>
      </c>
      <c r="Q12" s="81">
        <v>5</v>
      </c>
      <c r="R12" s="81">
        <v>6</v>
      </c>
      <c r="S12" s="81">
        <v>7</v>
      </c>
      <c r="T12" s="81">
        <v>8</v>
      </c>
      <c r="U12" s="81">
        <v>9</v>
      </c>
      <c r="V12" s="81">
        <v>10</v>
      </c>
      <c r="W12" s="81">
        <v>1</v>
      </c>
      <c r="X12" s="81">
        <v>10</v>
      </c>
      <c r="Y12" s="81">
        <v>1</v>
      </c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3"/>
      <c r="AM12">
        <f t="shared" si="0"/>
        <v>13</v>
      </c>
    </row>
    <row r="13" spans="1:43" ht="21.75" customHeight="1" x14ac:dyDescent="0.6">
      <c r="A13" s="19"/>
      <c r="B13" s="66" t="s">
        <v>57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1">
        <v>1</v>
      </c>
      <c r="Y13" s="81">
        <v>2</v>
      </c>
      <c r="Z13" s="81">
        <v>3</v>
      </c>
      <c r="AA13" s="81">
        <v>4</v>
      </c>
      <c r="AB13" s="81">
        <v>5</v>
      </c>
      <c r="AC13" s="81">
        <v>6</v>
      </c>
      <c r="AD13" s="81">
        <v>7</v>
      </c>
      <c r="AE13" s="81">
        <v>8</v>
      </c>
      <c r="AF13" s="81">
        <v>9</v>
      </c>
      <c r="AG13" s="82"/>
      <c r="AH13" s="82"/>
      <c r="AI13" s="82"/>
      <c r="AJ13" s="82"/>
      <c r="AK13" s="82"/>
      <c r="AL13" s="83"/>
      <c r="AM13">
        <f t="shared" si="0"/>
        <v>9</v>
      </c>
    </row>
    <row r="14" spans="1:43" ht="21.75" customHeight="1" x14ac:dyDescent="0.6">
      <c r="A14" s="19"/>
      <c r="B14" s="65" t="s">
        <v>58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1">
        <v>1</v>
      </c>
      <c r="Q14" s="81">
        <v>2</v>
      </c>
      <c r="R14" s="81">
        <v>3</v>
      </c>
      <c r="S14" s="81">
        <v>4</v>
      </c>
      <c r="T14" s="81">
        <v>5</v>
      </c>
      <c r="U14" s="81">
        <v>6</v>
      </c>
      <c r="V14" s="81">
        <v>7</v>
      </c>
      <c r="W14" s="81">
        <v>8</v>
      </c>
      <c r="X14" s="81">
        <v>9</v>
      </c>
      <c r="Y14" s="81">
        <v>10</v>
      </c>
      <c r="Z14" s="81">
        <v>10</v>
      </c>
      <c r="AA14" s="81">
        <v>10</v>
      </c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3"/>
      <c r="AM14">
        <f t="shared" si="0"/>
        <v>12</v>
      </c>
    </row>
    <row r="15" spans="1:43" ht="23.25" customHeight="1" x14ac:dyDescent="0.6">
      <c r="A15" s="19"/>
      <c r="B15" s="66" t="s">
        <v>59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1">
        <v>1</v>
      </c>
      <c r="O15" s="81">
        <v>2</v>
      </c>
      <c r="P15" s="81">
        <v>3</v>
      </c>
      <c r="Q15" s="81">
        <v>4</v>
      </c>
      <c r="R15" s="81">
        <v>5</v>
      </c>
      <c r="S15" s="81">
        <v>6</v>
      </c>
      <c r="T15" s="81">
        <v>7</v>
      </c>
      <c r="U15" s="81">
        <v>8</v>
      </c>
      <c r="V15" s="81">
        <v>9</v>
      </c>
      <c r="W15" s="81">
        <v>10</v>
      </c>
      <c r="X15" s="81">
        <v>9</v>
      </c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3"/>
      <c r="AM15">
        <f t="shared" si="0"/>
        <v>11</v>
      </c>
    </row>
    <row r="16" spans="1:43" ht="23.25" customHeight="1" x14ac:dyDescent="0.6">
      <c r="A16" s="19"/>
      <c r="B16" s="65" t="s">
        <v>60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1">
        <v>1</v>
      </c>
      <c r="R16" s="81">
        <v>2</v>
      </c>
      <c r="S16" s="81">
        <v>3</v>
      </c>
      <c r="T16" s="81">
        <v>4</v>
      </c>
      <c r="U16" s="81">
        <v>5</v>
      </c>
      <c r="V16" s="81">
        <v>6</v>
      </c>
      <c r="W16" s="81">
        <v>7</v>
      </c>
      <c r="X16" s="81">
        <v>8</v>
      </c>
      <c r="Y16" s="81">
        <v>9</v>
      </c>
      <c r="Z16" s="81">
        <v>10</v>
      </c>
      <c r="AA16" s="81">
        <v>10</v>
      </c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3"/>
      <c r="AM16">
        <f t="shared" si="0"/>
        <v>11</v>
      </c>
    </row>
    <row r="17" spans="1:39" ht="23.25" customHeight="1" x14ac:dyDescent="0.6">
      <c r="A17" s="19"/>
      <c r="B17" s="66" t="s">
        <v>61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1">
        <v>1</v>
      </c>
      <c r="Q17" s="81">
        <v>2</v>
      </c>
      <c r="R17" s="81">
        <v>3</v>
      </c>
      <c r="S17" s="81">
        <v>4</v>
      </c>
      <c r="T17" s="81">
        <v>5</v>
      </c>
      <c r="U17" s="81">
        <v>6</v>
      </c>
      <c r="V17" s="81">
        <v>7</v>
      </c>
      <c r="W17" s="81">
        <v>8</v>
      </c>
      <c r="X17" s="81">
        <v>9</v>
      </c>
      <c r="Y17" s="81">
        <v>10</v>
      </c>
      <c r="Z17" s="81">
        <v>1</v>
      </c>
      <c r="AA17" s="81">
        <v>2</v>
      </c>
      <c r="AB17" s="81">
        <v>3</v>
      </c>
      <c r="AC17" s="81">
        <v>4</v>
      </c>
      <c r="AD17" s="81">
        <v>5</v>
      </c>
      <c r="AE17" s="81">
        <v>6</v>
      </c>
      <c r="AF17" s="81">
        <v>6</v>
      </c>
      <c r="AG17" s="82"/>
      <c r="AH17" s="82"/>
      <c r="AI17" s="82"/>
      <c r="AJ17" s="82"/>
      <c r="AK17" s="82"/>
      <c r="AL17" s="83"/>
      <c r="AM17">
        <f t="shared" si="0"/>
        <v>17</v>
      </c>
    </row>
    <row r="18" spans="1:39" ht="23.25" customHeight="1" x14ac:dyDescent="0.6">
      <c r="A18" s="19"/>
      <c r="B18" s="65" t="s">
        <v>62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1">
        <v>1</v>
      </c>
      <c r="S18" s="81">
        <v>2</v>
      </c>
      <c r="T18" s="81">
        <v>3</v>
      </c>
      <c r="U18" s="81">
        <v>4</v>
      </c>
      <c r="V18" s="81">
        <v>5</v>
      </c>
      <c r="W18" s="81">
        <v>6</v>
      </c>
      <c r="X18" s="81">
        <v>7</v>
      </c>
      <c r="Y18" s="81">
        <v>8</v>
      </c>
      <c r="Z18" s="81">
        <v>9</v>
      </c>
      <c r="AA18" s="81">
        <v>10</v>
      </c>
      <c r="AB18" s="81">
        <v>1</v>
      </c>
      <c r="AC18" s="81">
        <v>2</v>
      </c>
      <c r="AD18" s="81">
        <v>3</v>
      </c>
      <c r="AE18" s="81">
        <v>4</v>
      </c>
      <c r="AF18" s="81">
        <v>5</v>
      </c>
      <c r="AG18" s="81">
        <v>4</v>
      </c>
      <c r="AH18" s="81">
        <v>4</v>
      </c>
      <c r="AI18" s="81">
        <v>4</v>
      </c>
      <c r="AJ18" s="82"/>
      <c r="AK18" s="82"/>
      <c r="AL18" s="83"/>
      <c r="AM18">
        <f t="shared" si="0"/>
        <v>18</v>
      </c>
    </row>
    <row r="19" spans="1:39" ht="23.25" customHeight="1" x14ac:dyDescent="0.6">
      <c r="A19" s="19"/>
      <c r="B19" s="66" t="s">
        <v>63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1">
        <v>3</v>
      </c>
      <c r="AC19" s="81">
        <v>4</v>
      </c>
      <c r="AD19" s="81">
        <v>5</v>
      </c>
      <c r="AE19" s="81">
        <v>6</v>
      </c>
      <c r="AF19" s="81">
        <v>6</v>
      </c>
      <c r="AG19" s="81">
        <v>6</v>
      </c>
      <c r="AH19" s="81">
        <v>6</v>
      </c>
      <c r="AI19" s="82"/>
      <c r="AJ19" s="82"/>
      <c r="AK19" s="82"/>
      <c r="AL19" s="83"/>
      <c r="AM19">
        <f t="shared" si="0"/>
        <v>7</v>
      </c>
    </row>
    <row r="20" spans="1:39" ht="23.25" customHeight="1" x14ac:dyDescent="0.6">
      <c r="A20" s="19"/>
      <c r="B20" s="65" t="s">
        <v>64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1">
        <v>1</v>
      </c>
      <c r="X20" s="81">
        <v>2</v>
      </c>
      <c r="Y20" s="81">
        <v>3</v>
      </c>
      <c r="Z20" s="81">
        <v>4</v>
      </c>
      <c r="AA20" s="81">
        <v>5</v>
      </c>
      <c r="AB20" s="81">
        <v>6</v>
      </c>
      <c r="AC20" s="81">
        <v>7</v>
      </c>
      <c r="AD20" s="81">
        <v>8</v>
      </c>
      <c r="AE20" s="81">
        <v>7</v>
      </c>
      <c r="AF20" s="81">
        <v>8</v>
      </c>
      <c r="AG20" s="82"/>
      <c r="AH20" s="82"/>
      <c r="AI20" s="82"/>
      <c r="AJ20" s="82"/>
      <c r="AK20" s="82"/>
      <c r="AL20" s="83"/>
      <c r="AM20">
        <f t="shared" si="0"/>
        <v>10</v>
      </c>
    </row>
    <row r="21" spans="1:39" ht="23.25" customHeight="1" thickBot="1" x14ac:dyDescent="0.65">
      <c r="A21" s="19"/>
      <c r="B21" s="86" t="s">
        <v>65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5">
        <v>1</v>
      </c>
      <c r="AH21" s="85">
        <v>1</v>
      </c>
      <c r="AI21" s="85">
        <v>2</v>
      </c>
      <c r="AJ21" s="85">
        <v>3</v>
      </c>
      <c r="AK21" s="85">
        <v>4</v>
      </c>
      <c r="AL21" s="85">
        <v>5</v>
      </c>
      <c r="AM21">
        <f t="shared" si="0"/>
        <v>6</v>
      </c>
    </row>
    <row r="22" spans="1:39" ht="21.75" customHeight="1" x14ac:dyDescent="0.6">
      <c r="A22" s="19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</row>
    <row r="23" spans="1:39" ht="21.75" customHeight="1" x14ac:dyDescent="0.6">
      <c r="A23" s="19"/>
    </row>
    <row r="24" spans="1:39" ht="21.75" customHeight="1" x14ac:dyDescent="0.6">
      <c r="A24" s="19"/>
    </row>
    <row r="25" spans="1:39" ht="21.75" customHeight="1" x14ac:dyDescent="0.6">
      <c r="A25" s="19"/>
    </row>
    <row r="26" spans="1:39" ht="21.75" customHeight="1" x14ac:dyDescent="0.6">
      <c r="A26" s="19"/>
    </row>
    <row r="27" spans="1:39" ht="21.75" customHeight="1" x14ac:dyDescent="0.6">
      <c r="A27" s="19"/>
    </row>
    <row r="28" spans="1:39" ht="21.75" customHeight="1" x14ac:dyDescent="0.6">
      <c r="A28" s="19"/>
    </row>
    <row r="29" spans="1:39" ht="21.75" customHeight="1" x14ac:dyDescent="0.6">
      <c r="A29" s="19"/>
    </row>
    <row r="30" spans="1:39" ht="21.75" customHeight="1" x14ac:dyDescent="0.6">
      <c r="A30" s="19"/>
    </row>
    <row r="31" spans="1:39" ht="21.75" customHeight="1" x14ac:dyDescent="0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21"/>
      <c r="N31" s="21"/>
    </row>
    <row r="32" spans="1:39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/>
      <c r="R113" s="21"/>
      <c r="S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15.75" customHeight="1" x14ac:dyDescent="0.6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25"/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</sheetData>
  <mergeCells count="2">
    <mergeCell ref="B2:AL3"/>
    <mergeCell ref="B4:AL4"/>
  </mergeCells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B858"/>
  <sheetViews>
    <sheetView showGridLines="0" zoomScale="73" zoomScaleNormal="73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C25" sqref="C25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5.2851562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3.28515625" bestFit="1" customWidth="1"/>
    <col min="12" max="12" width="9.140625" bestFit="1" customWidth="1"/>
    <col min="13" max="13" width="22.28515625" bestFit="1" customWidth="1"/>
    <col min="14" max="14" width="8" bestFit="1" customWidth="1"/>
    <col min="15" max="15" width="23.140625" bestFit="1" customWidth="1"/>
    <col min="16" max="16" width="11.140625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2.28515625" bestFit="1" customWidth="1"/>
    <col min="80" max="80" width="21.85546875" customWidth="1"/>
    <col min="81" max="81" width="18" bestFit="1" customWidth="1"/>
  </cols>
  <sheetData>
    <row r="2" spans="2:79" ht="15" customHeight="1" x14ac:dyDescent="0.25">
      <c r="B2" s="109" t="s">
        <v>73</v>
      </c>
      <c r="C2" s="110"/>
      <c r="D2" s="110"/>
      <c r="E2" s="110"/>
      <c r="F2" s="110"/>
      <c r="G2" s="110"/>
      <c r="H2" s="111"/>
    </row>
    <row r="3" spans="2:79" ht="22.5" customHeight="1" x14ac:dyDescent="0.25">
      <c r="B3" s="112"/>
      <c r="C3" s="113"/>
      <c r="D3" s="113"/>
      <c r="E3" s="113"/>
      <c r="F3" s="113"/>
      <c r="G3" s="113"/>
      <c r="H3" s="114"/>
      <c r="K3" s="77"/>
      <c r="L3" s="77"/>
    </row>
    <row r="4" spans="2:79" ht="26.25" customHeight="1" x14ac:dyDescent="0.4">
      <c r="B4" s="115" t="s">
        <v>129</v>
      </c>
      <c r="C4" s="116"/>
      <c r="D4" s="116"/>
      <c r="E4" s="116"/>
      <c r="F4" s="116"/>
      <c r="G4" s="116"/>
      <c r="H4" s="117"/>
      <c r="O4" s="77"/>
    </row>
    <row r="5" spans="2:79" ht="13.5" customHeight="1" x14ac:dyDescent="0.25">
      <c r="B5" s="50"/>
      <c r="C5" s="51"/>
      <c r="D5" s="51"/>
      <c r="E5" s="51"/>
      <c r="F5" s="51"/>
      <c r="G5" s="53"/>
      <c r="H5" s="54"/>
    </row>
    <row r="6" spans="2:79" ht="15" customHeight="1" thickBot="1" x14ac:dyDescent="0.3">
      <c r="H6" s="77"/>
      <c r="J6" s="77"/>
      <c r="L6" s="77"/>
      <c r="N6" s="77"/>
      <c r="P6" s="77"/>
      <c r="R6" s="77"/>
      <c r="T6" s="77"/>
      <c r="V6" s="77"/>
      <c r="X6" s="77"/>
      <c r="Z6" s="77"/>
      <c r="AB6" s="77"/>
      <c r="AD6" s="77"/>
      <c r="AF6" s="77"/>
      <c r="AH6" s="77"/>
      <c r="AJ6" s="77"/>
      <c r="AL6" s="77"/>
      <c r="AN6" s="77"/>
      <c r="AP6" s="77"/>
      <c r="AR6" s="77"/>
      <c r="AT6" s="77"/>
      <c r="AV6" s="77"/>
      <c r="AX6" s="77"/>
      <c r="AZ6" s="77"/>
      <c r="BB6" s="77"/>
      <c r="BD6" s="77"/>
      <c r="BF6" s="77"/>
      <c r="BH6" s="77"/>
      <c r="BJ6" s="77"/>
      <c r="BL6" s="77"/>
      <c r="BN6" s="77"/>
      <c r="BP6" s="77"/>
      <c r="BR6" s="77"/>
      <c r="BT6" s="77"/>
      <c r="BV6" s="77"/>
      <c r="BX6" s="77"/>
      <c r="BZ6" s="77"/>
    </row>
    <row r="7" spans="2:79" ht="19.5" customHeight="1" x14ac:dyDescent="0.25">
      <c r="B7" s="118" t="s">
        <v>46</v>
      </c>
      <c r="C7" s="120" t="s">
        <v>47</v>
      </c>
      <c r="D7" s="120" t="s">
        <v>48</v>
      </c>
      <c r="E7" s="122" t="s">
        <v>49</v>
      </c>
      <c r="F7" s="125" t="s">
        <v>100</v>
      </c>
      <c r="H7" s="124" t="s">
        <v>1</v>
      </c>
      <c r="I7" s="108"/>
      <c r="J7" s="108" t="s">
        <v>2</v>
      </c>
      <c r="K7" s="108"/>
      <c r="L7" s="108" t="s">
        <v>3</v>
      </c>
      <c r="M7" s="108"/>
      <c r="N7" s="108" t="s">
        <v>4</v>
      </c>
      <c r="O7" s="108"/>
      <c r="P7" s="108" t="s">
        <v>5</v>
      </c>
      <c r="Q7" s="108"/>
      <c r="R7" s="108" t="s">
        <v>6</v>
      </c>
      <c r="S7" s="108"/>
      <c r="T7" s="108" t="s">
        <v>7</v>
      </c>
      <c r="U7" s="108"/>
      <c r="V7" s="108" t="s">
        <v>8</v>
      </c>
      <c r="W7" s="108"/>
      <c r="X7" s="108" t="s">
        <v>9</v>
      </c>
      <c r="Y7" s="108"/>
      <c r="Z7" s="108" t="s">
        <v>10</v>
      </c>
      <c r="AA7" s="108"/>
      <c r="AB7" s="108" t="s">
        <v>11</v>
      </c>
      <c r="AC7" s="108"/>
      <c r="AD7" s="108" t="s">
        <v>12</v>
      </c>
      <c r="AE7" s="108"/>
      <c r="AF7" s="108" t="s">
        <v>13</v>
      </c>
      <c r="AG7" s="108"/>
      <c r="AH7" s="108" t="s">
        <v>14</v>
      </c>
      <c r="AI7" s="108"/>
      <c r="AJ7" s="108" t="s">
        <v>15</v>
      </c>
      <c r="AK7" s="108"/>
      <c r="AL7" s="108" t="s">
        <v>16</v>
      </c>
      <c r="AM7" s="108"/>
      <c r="AN7" s="108" t="s">
        <v>17</v>
      </c>
      <c r="AO7" s="108"/>
      <c r="AP7" s="108" t="s">
        <v>18</v>
      </c>
      <c r="AQ7" s="108"/>
      <c r="AR7" s="108" t="s">
        <v>19</v>
      </c>
      <c r="AS7" s="108"/>
      <c r="AT7" s="108" t="s">
        <v>20</v>
      </c>
      <c r="AU7" s="108"/>
      <c r="AV7" s="108" t="s">
        <v>21</v>
      </c>
      <c r="AW7" s="108"/>
      <c r="AX7" s="108" t="s">
        <v>22</v>
      </c>
      <c r="AY7" s="108"/>
      <c r="AZ7" s="108" t="s">
        <v>23</v>
      </c>
      <c r="BA7" s="108"/>
      <c r="BB7" s="108" t="s">
        <v>24</v>
      </c>
      <c r="BC7" s="108"/>
      <c r="BD7" s="108" t="s">
        <v>25</v>
      </c>
      <c r="BE7" s="108"/>
      <c r="BF7" s="108" t="s">
        <v>26</v>
      </c>
      <c r="BG7" s="108"/>
      <c r="BH7" s="108" t="s">
        <v>27</v>
      </c>
      <c r="BI7" s="108"/>
      <c r="BJ7" s="108" t="s">
        <v>28</v>
      </c>
      <c r="BK7" s="108"/>
      <c r="BL7" s="108" t="s">
        <v>29</v>
      </c>
      <c r="BM7" s="108"/>
      <c r="BN7" s="108" t="s">
        <v>30</v>
      </c>
      <c r="BO7" s="108"/>
      <c r="BP7" s="108" t="s">
        <v>31</v>
      </c>
      <c r="BQ7" s="108"/>
      <c r="BR7" s="108" t="s">
        <v>32</v>
      </c>
      <c r="BS7" s="108"/>
      <c r="BT7" s="108" t="s">
        <v>33</v>
      </c>
      <c r="BU7" s="108"/>
      <c r="BV7" s="108" t="s">
        <v>34</v>
      </c>
      <c r="BW7" s="108"/>
      <c r="BX7" s="108" t="s">
        <v>35</v>
      </c>
      <c r="BY7" s="108"/>
      <c r="BZ7" s="108" t="s">
        <v>36</v>
      </c>
      <c r="CA7" s="108"/>
    </row>
    <row r="8" spans="2:79" ht="19.5" customHeight="1" x14ac:dyDescent="0.25">
      <c r="B8" s="119"/>
      <c r="C8" s="121"/>
      <c r="D8" s="121"/>
      <c r="E8" s="123"/>
      <c r="F8" s="126"/>
      <c r="H8" s="27" t="s">
        <v>48</v>
      </c>
      <c r="I8" s="34" t="s">
        <v>69</v>
      </c>
      <c r="J8" s="34" t="s">
        <v>48</v>
      </c>
      <c r="K8" s="34" t="s">
        <v>69</v>
      </c>
      <c r="L8" s="34" t="s">
        <v>48</v>
      </c>
      <c r="M8" s="34" t="s">
        <v>69</v>
      </c>
      <c r="N8" s="34" t="s">
        <v>48</v>
      </c>
      <c r="O8" s="34" t="s">
        <v>69</v>
      </c>
      <c r="P8" s="34" t="s">
        <v>48</v>
      </c>
      <c r="Q8" s="34" t="s">
        <v>69</v>
      </c>
      <c r="R8" s="34" t="s">
        <v>48</v>
      </c>
      <c r="S8" s="34" t="s">
        <v>69</v>
      </c>
      <c r="T8" s="34" t="s">
        <v>48</v>
      </c>
      <c r="U8" s="34" t="s">
        <v>69</v>
      </c>
      <c r="V8" s="34" t="s">
        <v>48</v>
      </c>
      <c r="W8" s="34" t="s">
        <v>69</v>
      </c>
      <c r="X8" s="34" t="s">
        <v>48</v>
      </c>
      <c r="Y8" s="34" t="s">
        <v>69</v>
      </c>
      <c r="Z8" s="34" t="s">
        <v>48</v>
      </c>
      <c r="AA8" s="34" t="s">
        <v>69</v>
      </c>
      <c r="AB8" s="34" t="s">
        <v>48</v>
      </c>
      <c r="AC8" s="34" t="s">
        <v>69</v>
      </c>
      <c r="AD8" s="34" t="s">
        <v>48</v>
      </c>
      <c r="AE8" s="34" t="s">
        <v>69</v>
      </c>
      <c r="AF8" s="34" t="s">
        <v>48</v>
      </c>
      <c r="AG8" s="34" t="s">
        <v>69</v>
      </c>
      <c r="AH8" s="34" t="s">
        <v>48</v>
      </c>
      <c r="AI8" s="34" t="s">
        <v>69</v>
      </c>
      <c r="AJ8" s="34" t="s">
        <v>48</v>
      </c>
      <c r="AK8" s="34" t="s">
        <v>69</v>
      </c>
      <c r="AL8" s="34" t="s">
        <v>48</v>
      </c>
      <c r="AM8" s="34" t="s">
        <v>69</v>
      </c>
      <c r="AN8" s="34" t="s">
        <v>48</v>
      </c>
      <c r="AO8" s="34" t="s">
        <v>69</v>
      </c>
      <c r="AP8" s="34" t="s">
        <v>48</v>
      </c>
      <c r="AQ8" s="34" t="s">
        <v>69</v>
      </c>
      <c r="AR8" s="34" t="s">
        <v>48</v>
      </c>
      <c r="AS8" s="34" t="s">
        <v>69</v>
      </c>
      <c r="AT8" s="34" t="s">
        <v>48</v>
      </c>
      <c r="AU8" s="34" t="s">
        <v>69</v>
      </c>
      <c r="AV8" s="34" t="s">
        <v>48</v>
      </c>
      <c r="AW8" s="34" t="s">
        <v>69</v>
      </c>
      <c r="AX8" s="34" t="s">
        <v>48</v>
      </c>
      <c r="AY8" s="34" t="s">
        <v>69</v>
      </c>
      <c r="AZ8" s="34" t="s">
        <v>48</v>
      </c>
      <c r="BA8" s="34" t="s">
        <v>69</v>
      </c>
      <c r="BB8" s="34" t="s">
        <v>48</v>
      </c>
      <c r="BC8" s="34" t="s">
        <v>69</v>
      </c>
      <c r="BD8" s="34" t="s">
        <v>48</v>
      </c>
      <c r="BE8" s="34" t="s">
        <v>69</v>
      </c>
      <c r="BF8" s="34" t="s">
        <v>48</v>
      </c>
      <c r="BG8" s="34" t="s">
        <v>69</v>
      </c>
      <c r="BH8" s="34" t="s">
        <v>48</v>
      </c>
      <c r="BI8" s="34" t="s">
        <v>69</v>
      </c>
      <c r="BJ8" s="34" t="s">
        <v>48</v>
      </c>
      <c r="BK8" s="34" t="s">
        <v>69</v>
      </c>
      <c r="BL8" s="34" t="s">
        <v>48</v>
      </c>
      <c r="BM8" s="34" t="s">
        <v>69</v>
      </c>
      <c r="BN8" s="34" t="s">
        <v>48</v>
      </c>
      <c r="BO8" s="34" t="s">
        <v>69</v>
      </c>
      <c r="BP8" s="34" t="s">
        <v>48</v>
      </c>
      <c r="BQ8" s="34" t="s">
        <v>69</v>
      </c>
      <c r="BR8" s="34" t="s">
        <v>48</v>
      </c>
      <c r="BS8" s="34" t="s">
        <v>69</v>
      </c>
      <c r="BT8" s="34" t="s">
        <v>48</v>
      </c>
      <c r="BU8" s="34" t="s">
        <v>69</v>
      </c>
      <c r="BV8" s="34" t="s">
        <v>48</v>
      </c>
      <c r="BW8" s="34" t="s">
        <v>69</v>
      </c>
      <c r="BX8" s="34" t="s">
        <v>48</v>
      </c>
      <c r="BY8" s="34" t="s">
        <v>69</v>
      </c>
      <c r="BZ8" s="34" t="s">
        <v>48</v>
      </c>
      <c r="CA8" s="34" t="s">
        <v>69</v>
      </c>
    </row>
    <row r="9" spans="2:79" ht="19.5" customHeight="1" x14ac:dyDescent="0.25">
      <c r="B9" s="45" t="s">
        <v>50</v>
      </c>
      <c r="C9" s="57">
        <v>2551044.0835699993</v>
      </c>
      <c r="D9" s="46">
        <f t="shared" ref="D9:D25" si="0">C9/$C$26</f>
        <v>0.1229868869795866</v>
      </c>
      <c r="E9" s="59">
        <f>C9/'DISTRIBUIÇÃO CUSTO'!C$30</f>
        <v>702.22916982861591</v>
      </c>
      <c r="F9" s="73">
        <f t="shared" ref="F9:F25" si="1">SUMIFS($H9:$CA9,$H$8:$CA$8,"%")</f>
        <v>0.99999999999999878</v>
      </c>
      <c r="H9" s="47">
        <v>0.122</v>
      </c>
      <c r="I9" s="48">
        <f t="shared" ref="I9" si="2">$C9*H9</f>
        <v>311227.37819553993</v>
      </c>
      <c r="J9" s="49">
        <v>0.122</v>
      </c>
      <c r="K9" s="48">
        <f t="shared" ref="K9" si="3">$C9*J9</f>
        <v>311227.37819553993</v>
      </c>
      <c r="L9" s="49">
        <v>0.122</v>
      </c>
      <c r="M9" s="48">
        <f t="shared" ref="M9" si="4">$C9*L9</f>
        <v>311227.37819553993</v>
      </c>
      <c r="N9" s="49">
        <v>9.2600000000000002E-2</v>
      </c>
      <c r="O9" s="48">
        <f t="shared" ref="O9" si="5">$C9*N9</f>
        <v>236226.68213858193</v>
      </c>
      <c r="P9" s="49">
        <v>9.2600000000000002E-2</v>
      </c>
      <c r="Q9" s="48">
        <f t="shared" ref="Q9" si="6">$C9*P9</f>
        <v>236226.68213858193</v>
      </c>
      <c r="R9" s="49">
        <v>9.2600000000000002E-2</v>
      </c>
      <c r="S9" s="48">
        <f t="shared" ref="S9" si="7">$C9*R9</f>
        <v>236226.68213858193</v>
      </c>
      <c r="T9" s="49">
        <f>(1-($H$9+$J$9+$L$9+$N$9+$P$9+$R$9))/30</f>
        <v>1.1873333333333331E-2</v>
      </c>
      <c r="U9" s="48">
        <f t="shared" ref="U9" si="8">$C9*T9</f>
        <v>30289.396752254452</v>
      </c>
      <c r="V9" s="49">
        <f>(1-($H$9+$J$9+$L$9+$N$9+$P$9+$R$9))/30</f>
        <v>1.1873333333333331E-2</v>
      </c>
      <c r="W9" s="48">
        <f t="shared" ref="W9" si="9">$C9*V9</f>
        <v>30289.396752254452</v>
      </c>
      <c r="X9" s="49">
        <f>(1-($H$9+$J$9+$L$9+$N$9+$P$9+$R$9))/30</f>
        <v>1.1873333333333331E-2</v>
      </c>
      <c r="Y9" s="48">
        <f t="shared" ref="Y9" si="10">$C9*X9</f>
        <v>30289.396752254452</v>
      </c>
      <c r="Z9" s="49">
        <f>(1-($H$9+$J$9+$L$9+$N$9+$P$9+$R$9))/30</f>
        <v>1.1873333333333331E-2</v>
      </c>
      <c r="AA9" s="48">
        <f t="shared" ref="AA9" si="11">$C9*Z9</f>
        <v>30289.396752254452</v>
      </c>
      <c r="AB9" s="49">
        <f>(1-($H$9+$J$9+$L$9+$N$9+$P$9+$R$9))/30</f>
        <v>1.1873333333333331E-2</v>
      </c>
      <c r="AC9" s="48">
        <f t="shared" ref="AC9" si="12">$C9*AB9</f>
        <v>30289.396752254452</v>
      </c>
      <c r="AD9" s="49">
        <f>(1-($H$9+$J$9+$L$9+$N$9+$P$9+$R$9))/30</f>
        <v>1.1873333333333331E-2</v>
      </c>
      <c r="AE9" s="48">
        <f t="shared" ref="AE9" si="13">$C9*AD9</f>
        <v>30289.396752254452</v>
      </c>
      <c r="AF9" s="49">
        <f>(1-($H$9+$J$9+$L$9+$N$9+$P$9+$R$9))/30</f>
        <v>1.1873333333333331E-2</v>
      </c>
      <c r="AG9" s="48">
        <f t="shared" ref="AG9" si="14">$C9*AF9</f>
        <v>30289.396752254452</v>
      </c>
      <c r="AH9" s="49">
        <f>(1-($H$9+$J$9+$L$9+$N$9+$P$9+$R$9))/30</f>
        <v>1.1873333333333331E-2</v>
      </c>
      <c r="AI9" s="48">
        <f t="shared" ref="AI9" si="15">$C9*AH9</f>
        <v>30289.396752254452</v>
      </c>
      <c r="AJ9" s="49">
        <f>(1-($H$9+$J$9+$L$9+$N$9+$P$9+$R$9))/30</f>
        <v>1.1873333333333331E-2</v>
      </c>
      <c r="AK9" s="48">
        <f t="shared" ref="AK9" si="16">$C9*AJ9</f>
        <v>30289.396752254452</v>
      </c>
      <c r="AL9" s="49">
        <f>(1-($H$9+$J$9+$L$9+$N$9+$P$9+$R$9))/30</f>
        <v>1.1873333333333331E-2</v>
      </c>
      <c r="AM9" s="48">
        <f t="shared" ref="AM9" si="17">$C9*AL9</f>
        <v>30289.396752254452</v>
      </c>
      <c r="AN9" s="49">
        <f>(1-($H$9+$J$9+$L$9+$N$9+$P$9+$R$9))/30</f>
        <v>1.1873333333333331E-2</v>
      </c>
      <c r="AO9" s="48">
        <f t="shared" ref="AO9" si="18">$C9*AN9</f>
        <v>30289.396752254452</v>
      </c>
      <c r="AP9" s="49">
        <f>(1-($H$9+$J$9+$L$9+$N$9+$P$9+$R$9))/30</f>
        <v>1.1873333333333331E-2</v>
      </c>
      <c r="AQ9" s="48">
        <f t="shared" ref="AQ9" si="19">$C9*AP9</f>
        <v>30289.396752254452</v>
      </c>
      <c r="AR9" s="49">
        <f>(1-($H$9+$J$9+$L$9+$N$9+$P$9+$R$9))/30</f>
        <v>1.1873333333333331E-2</v>
      </c>
      <c r="AS9" s="48">
        <f t="shared" ref="AS9" si="20">$C9*AR9</f>
        <v>30289.396752254452</v>
      </c>
      <c r="AT9" s="49">
        <f>(1-($H$9+$J$9+$L$9+$N$9+$P$9+$R$9))/30</f>
        <v>1.1873333333333331E-2</v>
      </c>
      <c r="AU9" s="48">
        <f t="shared" ref="AU9" si="21">$C9*AT9</f>
        <v>30289.396752254452</v>
      </c>
      <c r="AV9" s="49">
        <f>(1-($H$9+$J$9+$L$9+$N$9+$P$9+$R$9))/30</f>
        <v>1.1873333333333331E-2</v>
      </c>
      <c r="AW9" s="48">
        <f t="shared" ref="AW9" si="22">$C9*AV9</f>
        <v>30289.396752254452</v>
      </c>
      <c r="AX9" s="49">
        <f>(1-($H$9+$J$9+$L$9+$N$9+$P$9+$R$9))/30</f>
        <v>1.1873333333333331E-2</v>
      </c>
      <c r="AY9" s="48">
        <f t="shared" ref="AY9" si="23">$C9*AX9</f>
        <v>30289.396752254452</v>
      </c>
      <c r="AZ9" s="49">
        <f>(1-($H$9+$J$9+$L$9+$N$9+$P$9+$R$9))/30</f>
        <v>1.1873333333333331E-2</v>
      </c>
      <c r="BA9" s="48">
        <f t="shared" ref="BA9" si="24">$C9*AZ9</f>
        <v>30289.396752254452</v>
      </c>
      <c r="BB9" s="49">
        <f>(1-($H$9+$J$9+$L$9+$N$9+$P$9+$R$9))/30</f>
        <v>1.1873333333333331E-2</v>
      </c>
      <c r="BC9" s="48">
        <f t="shared" ref="BC9" si="25">$C9*BB9</f>
        <v>30289.396752254452</v>
      </c>
      <c r="BD9" s="49">
        <f>(1-($H$9+$J$9+$L$9+$N$9+$P$9+$R$9))/30</f>
        <v>1.1873333333333331E-2</v>
      </c>
      <c r="BE9" s="48">
        <f t="shared" ref="BE9" si="26">$C9*BD9</f>
        <v>30289.396752254452</v>
      </c>
      <c r="BF9" s="49">
        <f>(1-($H$9+$J$9+$L$9+$N$9+$P$9+$R$9))/30</f>
        <v>1.1873333333333331E-2</v>
      </c>
      <c r="BG9" s="48">
        <f t="shared" ref="BG9" si="27">$C9*BF9</f>
        <v>30289.396752254452</v>
      </c>
      <c r="BH9" s="49">
        <f>(1-($H$9+$J$9+$L$9+$N$9+$P$9+$R$9))/30</f>
        <v>1.1873333333333331E-2</v>
      </c>
      <c r="BI9" s="48">
        <f t="shared" ref="BI9" si="28">$C9*BH9</f>
        <v>30289.396752254452</v>
      </c>
      <c r="BJ9" s="49">
        <f>(1-($H$9+$J$9+$L$9+$N$9+$P$9+$R$9))/30</f>
        <v>1.1873333333333331E-2</v>
      </c>
      <c r="BK9" s="48">
        <f t="shared" ref="BK9" si="29">$C9*BJ9</f>
        <v>30289.396752254452</v>
      </c>
      <c r="BL9" s="49">
        <f>(1-($H$9+$J$9+$L$9+$N$9+$P$9+$R$9))/30</f>
        <v>1.1873333333333331E-2</v>
      </c>
      <c r="BM9" s="48">
        <f t="shared" ref="BM9" si="30">$C9*BL9</f>
        <v>30289.396752254452</v>
      </c>
      <c r="BN9" s="49">
        <f>(1-($H$9+$J$9+$L$9+$N$9+$P$9+$R$9))/30</f>
        <v>1.1873333333333331E-2</v>
      </c>
      <c r="BO9" s="48">
        <f t="shared" ref="BO9" si="31">$C9*BN9</f>
        <v>30289.396752254452</v>
      </c>
      <c r="BP9" s="49">
        <f>(1-($H$9+$J$9+$L$9+$N$9+$P$9+$R$9))/30</f>
        <v>1.1873333333333331E-2</v>
      </c>
      <c r="BQ9" s="48">
        <f t="shared" ref="BQ9" si="32">$C9*BP9</f>
        <v>30289.396752254452</v>
      </c>
      <c r="BR9" s="49">
        <f>(1-($H$9+$J$9+$L$9+$N$9+$P$9+$R$9))/30</f>
        <v>1.1873333333333331E-2</v>
      </c>
      <c r="BS9" s="48">
        <f t="shared" ref="BS9" si="33">$C9*BR9</f>
        <v>30289.396752254452</v>
      </c>
      <c r="BT9" s="49">
        <f>(1-($H$9+$J$9+$L$9+$N$9+$P$9+$R$9))/30</f>
        <v>1.1873333333333331E-2</v>
      </c>
      <c r="BU9" s="48">
        <f t="shared" ref="BU9" si="34">$C9*BT9</f>
        <v>30289.396752254452</v>
      </c>
      <c r="BV9" s="49">
        <f>(1-($H$9+$J$9+$L$9+$N$9+$P$9+$R$9))/30</f>
        <v>1.1873333333333331E-2</v>
      </c>
      <c r="BW9" s="48">
        <f t="shared" ref="BW9:BW25" si="35">$C9*BV9</f>
        <v>30289.396752254452</v>
      </c>
      <c r="BX9" s="49">
        <f>(1-($H$9+$J$9+$L$9+$N$9+$P$9+$R$9))/30</f>
        <v>1.1873333333333331E-2</v>
      </c>
      <c r="BY9" s="48">
        <f t="shared" ref="BY9:BY25" si="36">$C9*BX9</f>
        <v>30289.396752254452</v>
      </c>
      <c r="BZ9" s="49">
        <f>(1-($H$9+$J$9+$L$9+$N$9+$P$9+$R$9))/30</f>
        <v>1.1873333333333331E-2</v>
      </c>
      <c r="CA9" s="48">
        <f t="shared" ref="CA9" si="37">$C9*BZ9</f>
        <v>30289.396752254452</v>
      </c>
    </row>
    <row r="10" spans="2:79" ht="19.5" customHeight="1" x14ac:dyDescent="0.25">
      <c r="B10" s="41" t="s">
        <v>53</v>
      </c>
      <c r="C10" s="58">
        <v>309991.73780400783</v>
      </c>
      <c r="D10" s="29">
        <f t="shared" si="0"/>
        <v>1.4944829478820343E-2</v>
      </c>
      <c r="E10" s="60">
        <f>C10/'DISTRIBUIÇÃO CUSTO'!C$30</f>
        <v>85.331822407084346</v>
      </c>
      <c r="F10" s="74">
        <f t="shared" si="1"/>
        <v>1</v>
      </c>
      <c r="H10" s="28">
        <f>IF(PRAZO!C8&gt;0,1/PRAZO!$AM8,0)</f>
        <v>0.25</v>
      </c>
      <c r="I10" s="76">
        <f t="shared" ref="I10" si="38">$C10*H10</f>
        <v>77497.934451001958</v>
      </c>
      <c r="J10" s="28">
        <f>IF(PRAZO!D8&gt;0,1/PRAZO!$AM8,0)</f>
        <v>0.25</v>
      </c>
      <c r="K10" s="76">
        <f t="shared" ref="K10" si="39">$C10*J10</f>
        <v>77497.934451001958</v>
      </c>
      <c r="L10" s="28">
        <f>IF(PRAZO!E8&gt;0,1/PRAZO!$AM8,0)</f>
        <v>0.25</v>
      </c>
      <c r="M10" s="76">
        <f t="shared" ref="M10" si="40">$C10*L10</f>
        <v>77497.934451001958</v>
      </c>
      <c r="N10" s="28">
        <f>IF(PRAZO!F8&gt;0,1/PRAZO!$AM8,0)</f>
        <v>0.25</v>
      </c>
      <c r="O10" s="76">
        <f t="shared" ref="O10" si="41">$C10*N10</f>
        <v>77497.934451001958</v>
      </c>
      <c r="P10" s="28">
        <f>IF(PRAZO!G8&gt;0,1/PRAZO!$AM8,0)</f>
        <v>0</v>
      </c>
      <c r="Q10" s="76">
        <f t="shared" ref="Q10" si="42">$C10*P10</f>
        <v>0</v>
      </c>
      <c r="R10" s="28">
        <f>IF(PRAZO!H8&gt;0,1/PRAZO!$AM8,0)</f>
        <v>0</v>
      </c>
      <c r="S10" s="76">
        <f t="shared" ref="S10" si="43">$C10*R10</f>
        <v>0</v>
      </c>
      <c r="T10" s="28">
        <f>IF(PRAZO!I8&gt;0,1/PRAZO!$AM8,0)</f>
        <v>0</v>
      </c>
      <c r="U10" s="76">
        <f t="shared" ref="U10" si="44">$C10*T10</f>
        <v>0</v>
      </c>
      <c r="V10" s="28">
        <f>IF(PRAZO!J8&gt;0,1/PRAZO!$AM8,0)</f>
        <v>0</v>
      </c>
      <c r="W10" s="76">
        <f t="shared" ref="W10" si="45">$C10*V10</f>
        <v>0</v>
      </c>
      <c r="X10" s="28">
        <f>IF(PRAZO!K8&gt;0,1/PRAZO!$AM8,0)</f>
        <v>0</v>
      </c>
      <c r="Y10" s="76">
        <f t="shared" ref="Y10" si="46">$C10*X10</f>
        <v>0</v>
      </c>
      <c r="Z10" s="28">
        <f>IF(PRAZO!L8&gt;0,1/PRAZO!$AM8,0)</f>
        <v>0</v>
      </c>
      <c r="AA10" s="76">
        <f t="shared" ref="AA10" si="47">$C10*Z10</f>
        <v>0</v>
      </c>
      <c r="AB10" s="28">
        <f>IF(PRAZO!M8&gt;0,1/PRAZO!$AM8,0)</f>
        <v>0</v>
      </c>
      <c r="AC10" s="76">
        <f t="shared" ref="AC10" si="48">$C10*AB10</f>
        <v>0</v>
      </c>
      <c r="AD10" s="28">
        <f>IF(PRAZO!N8&gt;0,1/PRAZO!$AM8,0)</f>
        <v>0</v>
      </c>
      <c r="AE10" s="76">
        <f t="shared" ref="AE10" si="49">$C10*AD10</f>
        <v>0</v>
      </c>
      <c r="AF10" s="28">
        <f>IF(PRAZO!O8&gt;0,1/PRAZO!$AM8,0)</f>
        <v>0</v>
      </c>
      <c r="AG10" s="76">
        <f t="shared" ref="AG10" si="50">$C10*AF10</f>
        <v>0</v>
      </c>
      <c r="AH10" s="28">
        <f>IF(PRAZO!P8&gt;0,1/PRAZO!$AM8,0)</f>
        <v>0</v>
      </c>
      <c r="AI10" s="76">
        <f t="shared" ref="AI10" si="51">$C10*AH10</f>
        <v>0</v>
      </c>
      <c r="AJ10" s="28">
        <f>IF(PRAZO!Q8&gt;0,1/PRAZO!$AM8,0)</f>
        <v>0</v>
      </c>
      <c r="AK10" s="76">
        <f t="shared" ref="AK10" si="52">$C10*AJ10</f>
        <v>0</v>
      </c>
      <c r="AL10" s="28">
        <f>IF(PRAZO!R8&gt;0,1/PRAZO!$AM8,0)</f>
        <v>0</v>
      </c>
      <c r="AM10" s="76">
        <f t="shared" ref="AM10" si="53">$C10*AL10</f>
        <v>0</v>
      </c>
      <c r="AN10" s="28">
        <f>IF(PRAZO!S8&gt;0,1/PRAZO!$AM8,0)</f>
        <v>0</v>
      </c>
      <c r="AO10" s="76">
        <f t="shared" ref="AO10" si="54">$C10*AN10</f>
        <v>0</v>
      </c>
      <c r="AP10" s="28">
        <f>IF(PRAZO!T8&gt;0,1/PRAZO!$AM8,0)</f>
        <v>0</v>
      </c>
      <c r="AQ10" s="76">
        <f t="shared" ref="AQ10" si="55">$C10*AP10</f>
        <v>0</v>
      </c>
      <c r="AR10" s="28">
        <f>IF(PRAZO!U8&gt;0,1/PRAZO!$AM8,0)</f>
        <v>0</v>
      </c>
      <c r="AS10" s="76">
        <f t="shared" ref="AS10" si="56">$C10*AR10</f>
        <v>0</v>
      </c>
      <c r="AT10" s="28">
        <f>IF(PRAZO!V8&gt;0,1/PRAZO!$AM8,0)</f>
        <v>0</v>
      </c>
      <c r="AU10" s="76">
        <f t="shared" ref="AU10" si="57">$C10*AT10</f>
        <v>0</v>
      </c>
      <c r="AV10" s="28">
        <f>IF(PRAZO!W8&gt;0,1/PRAZO!$AM8,0)</f>
        <v>0</v>
      </c>
      <c r="AW10" s="76">
        <f t="shared" ref="AW10" si="58">$C10*AV10</f>
        <v>0</v>
      </c>
      <c r="AX10" s="28">
        <f>IF(PRAZO!X8&gt;0,1/PRAZO!$AM8,0)</f>
        <v>0</v>
      </c>
      <c r="AY10" s="76">
        <f t="shared" ref="AY10" si="59">$C10*AX10</f>
        <v>0</v>
      </c>
      <c r="AZ10" s="28">
        <f>IF(PRAZO!Y8&gt;0,1/PRAZO!$AM8,0)</f>
        <v>0</v>
      </c>
      <c r="BA10" s="76">
        <f t="shared" ref="BA10" si="60">$C10*AZ10</f>
        <v>0</v>
      </c>
      <c r="BB10" s="28">
        <f>IF(PRAZO!Z8&gt;0,1/PRAZO!$AM8,0)</f>
        <v>0</v>
      </c>
      <c r="BC10" s="76">
        <f t="shared" ref="BC10" si="61">$C10*BB10</f>
        <v>0</v>
      </c>
      <c r="BD10" s="28">
        <f>IF(PRAZO!AA8&gt;0,1/PRAZO!$AM8,0)</f>
        <v>0</v>
      </c>
      <c r="BE10" s="76">
        <f t="shared" ref="BE10" si="62">$C10*BD10</f>
        <v>0</v>
      </c>
      <c r="BF10" s="28">
        <f>IF(PRAZO!AB8&gt;0,1/PRAZO!$AM8,0)</f>
        <v>0</v>
      </c>
      <c r="BG10" s="76">
        <f t="shared" ref="BG10" si="63">$C10*BF10</f>
        <v>0</v>
      </c>
      <c r="BH10" s="28">
        <f>IF(PRAZO!AC8&gt;0,1/PRAZO!$AM8,0)</f>
        <v>0</v>
      </c>
      <c r="BI10" s="76">
        <f t="shared" ref="BI10" si="64">$C10*BH10</f>
        <v>0</v>
      </c>
      <c r="BJ10" s="28">
        <f>IF(PRAZO!AD8&gt;0,1/PRAZO!$AM8,0)</f>
        <v>0</v>
      </c>
      <c r="BK10" s="76">
        <f t="shared" ref="BK10" si="65">$C10*BJ10</f>
        <v>0</v>
      </c>
      <c r="BL10" s="28">
        <f>IF(PRAZO!AE8&gt;0,1/PRAZO!$AM8,0)</f>
        <v>0</v>
      </c>
      <c r="BM10" s="76">
        <f t="shared" ref="BM10" si="66">$C10*BL10</f>
        <v>0</v>
      </c>
      <c r="BN10" s="28">
        <f>IF(PRAZO!AF8&gt;0,1/PRAZO!$AM8,0)</f>
        <v>0</v>
      </c>
      <c r="BO10" s="76">
        <f t="shared" ref="BO10" si="67">$C10*BN10</f>
        <v>0</v>
      </c>
      <c r="BP10" s="28">
        <f>IF(PRAZO!AG8&gt;0,1/PRAZO!$AM8,0)</f>
        <v>0</v>
      </c>
      <c r="BQ10" s="76">
        <f t="shared" ref="BQ10" si="68">$C10*BP10</f>
        <v>0</v>
      </c>
      <c r="BR10" s="28">
        <f>IF(PRAZO!AH8&gt;0,1/PRAZO!$AM8,0)</f>
        <v>0</v>
      </c>
      <c r="BS10" s="76">
        <f t="shared" ref="BS10" si="69">$C10*BR10</f>
        <v>0</v>
      </c>
      <c r="BT10" s="28">
        <f>IF(PRAZO!AI8&gt;0,1/PRAZO!$AM8,0)</f>
        <v>0</v>
      </c>
      <c r="BU10" s="76">
        <f t="shared" ref="BU10" si="70">$C10*BT10</f>
        <v>0</v>
      </c>
      <c r="BV10" s="28">
        <f>IF(PRAZO!AJ8&gt;0,1/PRAZO!$AM8,0)</f>
        <v>0</v>
      </c>
      <c r="BW10" s="76">
        <f t="shared" si="35"/>
        <v>0</v>
      </c>
      <c r="BX10" s="28">
        <f>IF(PRAZO!AK8&gt;0,1/PRAZO!$AM8,0)</f>
        <v>0</v>
      </c>
      <c r="BY10" s="76">
        <f t="shared" si="36"/>
        <v>0</v>
      </c>
      <c r="BZ10" s="28">
        <f>IF(PRAZO!AL8&gt;0,1/PRAZO!$AM8,0)</f>
        <v>0</v>
      </c>
      <c r="CA10" s="76">
        <f t="shared" ref="CA10" si="71">$C10*BZ10</f>
        <v>0</v>
      </c>
    </row>
    <row r="11" spans="2:79" ht="19.5" customHeight="1" x14ac:dyDescent="0.25">
      <c r="B11" s="45" t="s">
        <v>130</v>
      </c>
      <c r="C11" s="57">
        <v>1671107.72</v>
      </c>
      <c r="D11" s="46">
        <f t="shared" si="0"/>
        <v>8.056479212336401E-2</v>
      </c>
      <c r="E11" s="59">
        <f>C11/'DISTRIBUIÇÃO CUSTO'!C$30</f>
        <v>460.00796084541315</v>
      </c>
      <c r="F11" s="73">
        <f t="shared" si="1"/>
        <v>1</v>
      </c>
      <c r="H11" s="47">
        <f>IF(PRAZO!C9&gt;0,1/PRAZO!$AM9,0)</f>
        <v>0</v>
      </c>
      <c r="I11" s="48">
        <f t="shared" ref="I11:I25" si="72">$C11*H11</f>
        <v>0</v>
      </c>
      <c r="J11" s="49">
        <f>IF(PRAZO!D9&gt;0,1/PRAZO!$AM9,0)</f>
        <v>0.2</v>
      </c>
      <c r="K11" s="48">
        <f t="shared" ref="K11:K25" si="73">$C11*J11</f>
        <v>334221.54399999999</v>
      </c>
      <c r="L11" s="49">
        <f>IF(PRAZO!E9&gt;0,1/PRAZO!$AM9,0)</f>
        <v>0.2</v>
      </c>
      <c r="M11" s="48">
        <f t="shared" ref="M11:M25" si="74">$C11*L11</f>
        <v>334221.54399999999</v>
      </c>
      <c r="N11" s="49">
        <f>IF(PRAZO!F9&gt;0,1/PRAZO!$AM9,0)</f>
        <v>0.2</v>
      </c>
      <c r="O11" s="48">
        <f t="shared" ref="O11:O25" si="75">$C11*N11</f>
        <v>334221.54399999999</v>
      </c>
      <c r="P11" s="49">
        <f>IF(PRAZO!G9&gt;0,1/PRAZO!$AM9,0)</f>
        <v>0.2</v>
      </c>
      <c r="Q11" s="48">
        <f t="shared" ref="Q11:Q25" si="76">$C11*P11</f>
        <v>334221.54399999999</v>
      </c>
      <c r="R11" s="49">
        <f>IF(PRAZO!H9&gt;0,1/PRAZO!$AM9,0)</f>
        <v>0.2</v>
      </c>
      <c r="S11" s="48">
        <f t="shared" ref="S11:S25" si="77">$C11*R11</f>
        <v>334221.54399999999</v>
      </c>
      <c r="T11" s="49">
        <f>IF(PRAZO!I9&gt;0,1/PRAZO!$AM9,0)</f>
        <v>0</v>
      </c>
      <c r="U11" s="48">
        <f t="shared" ref="U11:U25" si="78">$C11*T11</f>
        <v>0</v>
      </c>
      <c r="V11" s="49">
        <f>IF(PRAZO!J9&gt;0,1/PRAZO!$AM9,0)</f>
        <v>0</v>
      </c>
      <c r="W11" s="48">
        <f t="shared" ref="W11:W25" si="79">$C11*V11</f>
        <v>0</v>
      </c>
      <c r="X11" s="49">
        <f>IF(PRAZO!K9&gt;0,1/PRAZO!$AM9,0)</f>
        <v>0</v>
      </c>
      <c r="Y11" s="48">
        <f t="shared" ref="Y11:Y25" si="80">$C11*X11</f>
        <v>0</v>
      </c>
      <c r="Z11" s="49">
        <f>IF(PRAZO!L9&gt;0,1/PRAZO!$AM9,0)</f>
        <v>0</v>
      </c>
      <c r="AA11" s="48">
        <f t="shared" ref="AA11:AA25" si="81">$C11*Z11</f>
        <v>0</v>
      </c>
      <c r="AB11" s="49">
        <f>IF(PRAZO!M9&gt;0,1/PRAZO!$AM9,0)</f>
        <v>0</v>
      </c>
      <c r="AC11" s="48">
        <f t="shared" ref="AC11:AC25" si="82">$C11*AB11</f>
        <v>0</v>
      </c>
      <c r="AD11" s="49">
        <f>IF(PRAZO!N9&gt;0,1/PRAZO!$AM9,0)</f>
        <v>0</v>
      </c>
      <c r="AE11" s="48">
        <f t="shared" ref="AE11:AE25" si="83">$C11*AD11</f>
        <v>0</v>
      </c>
      <c r="AF11" s="49">
        <f>IF(PRAZO!O9&gt;0,1/PRAZO!$AM9,0)</f>
        <v>0</v>
      </c>
      <c r="AG11" s="48">
        <f t="shared" ref="AG11:AG25" si="84">$C11*AF11</f>
        <v>0</v>
      </c>
      <c r="AH11" s="49">
        <f>IF(PRAZO!P9&gt;0,1/PRAZO!$AM9,0)</f>
        <v>0</v>
      </c>
      <c r="AI11" s="48">
        <f t="shared" ref="AI11:AI25" si="85">$C11*AH11</f>
        <v>0</v>
      </c>
      <c r="AJ11" s="49">
        <f>IF(PRAZO!Q9&gt;0,1/PRAZO!$AM9,0)</f>
        <v>0</v>
      </c>
      <c r="AK11" s="48">
        <f t="shared" ref="AK11:AK25" si="86">$C11*AJ11</f>
        <v>0</v>
      </c>
      <c r="AL11" s="49">
        <f>IF(PRAZO!R9&gt;0,1/PRAZO!$AM9,0)</f>
        <v>0</v>
      </c>
      <c r="AM11" s="48">
        <f t="shared" ref="AM11:AM25" si="87">$C11*AL11</f>
        <v>0</v>
      </c>
      <c r="AN11" s="49">
        <f>IF(PRAZO!S9&gt;0,1/PRAZO!$AM9,0)</f>
        <v>0</v>
      </c>
      <c r="AO11" s="48">
        <f t="shared" ref="AO11:AO25" si="88">$C11*AN11</f>
        <v>0</v>
      </c>
      <c r="AP11" s="49">
        <f>IF(PRAZO!T9&gt;0,1/PRAZO!$AM9,0)</f>
        <v>0</v>
      </c>
      <c r="AQ11" s="48">
        <f t="shared" ref="AQ11:AQ25" si="89">$C11*AP11</f>
        <v>0</v>
      </c>
      <c r="AR11" s="49">
        <f>IF(PRAZO!U9&gt;0,1/PRAZO!$AM9,0)</f>
        <v>0</v>
      </c>
      <c r="AS11" s="48">
        <f t="shared" ref="AS11:AS25" si="90">$C11*AR11</f>
        <v>0</v>
      </c>
      <c r="AT11" s="49">
        <f>IF(PRAZO!V9&gt;0,1/PRAZO!$AM9,0)</f>
        <v>0</v>
      </c>
      <c r="AU11" s="48">
        <f t="shared" ref="AU11:AU25" si="91">$C11*AT11</f>
        <v>0</v>
      </c>
      <c r="AV11" s="49">
        <f>IF(PRAZO!W9&gt;0,1/PRAZO!$AM9,0)</f>
        <v>0</v>
      </c>
      <c r="AW11" s="48">
        <f t="shared" ref="AW11:AW25" si="92">$C11*AV11</f>
        <v>0</v>
      </c>
      <c r="AX11" s="49">
        <f>IF(PRAZO!X9&gt;0,1/PRAZO!$AM9,0)</f>
        <v>0</v>
      </c>
      <c r="AY11" s="48">
        <f t="shared" ref="AY11:AY25" si="93">$C11*AX11</f>
        <v>0</v>
      </c>
      <c r="AZ11" s="49">
        <f>IF(PRAZO!Y9&gt;0,1/PRAZO!$AM9,0)</f>
        <v>0</v>
      </c>
      <c r="BA11" s="48">
        <f t="shared" ref="BA11:BA25" si="94">$C11*AZ11</f>
        <v>0</v>
      </c>
      <c r="BB11" s="49">
        <f>IF(PRAZO!Z9&gt;0,1/PRAZO!$AM9,0)</f>
        <v>0</v>
      </c>
      <c r="BC11" s="48">
        <f t="shared" ref="BC11:BC25" si="95">$C11*BB11</f>
        <v>0</v>
      </c>
      <c r="BD11" s="49">
        <f>IF(PRAZO!AA9&gt;0,1/PRAZO!$AM9,0)</f>
        <v>0</v>
      </c>
      <c r="BE11" s="48">
        <f t="shared" ref="BE11:BE25" si="96">$C11*BD11</f>
        <v>0</v>
      </c>
      <c r="BF11" s="49">
        <f>IF(PRAZO!AB9&gt;0,1/PRAZO!$AM9,0)</f>
        <v>0</v>
      </c>
      <c r="BG11" s="48">
        <f t="shared" ref="BG11:BG25" si="97">$C11*BF11</f>
        <v>0</v>
      </c>
      <c r="BH11" s="49">
        <f>IF(PRAZO!AC9&gt;0,1/PRAZO!$AM9,0)</f>
        <v>0</v>
      </c>
      <c r="BI11" s="48">
        <f t="shared" ref="BI11:BI25" si="98">$C11*BH11</f>
        <v>0</v>
      </c>
      <c r="BJ11" s="49">
        <f>IF(PRAZO!AD9&gt;0,1/PRAZO!$AM9,0)</f>
        <v>0</v>
      </c>
      <c r="BK11" s="48">
        <f t="shared" ref="BK11:BK25" si="99">$C11*BJ11</f>
        <v>0</v>
      </c>
      <c r="BL11" s="49">
        <f>IF(PRAZO!AE9&gt;0,1/PRAZO!$AM9,0)</f>
        <v>0</v>
      </c>
      <c r="BM11" s="48">
        <f t="shared" ref="BM11:BM25" si="100">$C11*BL11</f>
        <v>0</v>
      </c>
      <c r="BN11" s="49">
        <f>IF(PRAZO!AF9&gt;0,1/PRAZO!$AM9,0)</f>
        <v>0</v>
      </c>
      <c r="BO11" s="48">
        <f t="shared" ref="BO11:BO25" si="101">$C11*BN11</f>
        <v>0</v>
      </c>
      <c r="BP11" s="49">
        <f>IF(PRAZO!AG9&gt;0,1/PRAZO!$AM9,0)</f>
        <v>0</v>
      </c>
      <c r="BQ11" s="48">
        <f t="shared" ref="BQ11:BQ25" si="102">$C11*BP11</f>
        <v>0</v>
      </c>
      <c r="BR11" s="49">
        <f>IF(PRAZO!AH9&gt;0,1/PRAZO!$AM9,0)</f>
        <v>0</v>
      </c>
      <c r="BS11" s="48">
        <f t="shared" ref="BS11:BS25" si="103">$C11*BR11</f>
        <v>0</v>
      </c>
      <c r="BT11" s="49">
        <f>IF(PRAZO!AI9&gt;0,1/PRAZO!$AM9,0)</f>
        <v>0</v>
      </c>
      <c r="BU11" s="48">
        <f t="shared" ref="BU11:BU25" si="104">$C11*BT11</f>
        <v>0</v>
      </c>
      <c r="BV11" s="49">
        <f>IF(PRAZO!AJ9&gt;0,1/PRAZO!$AM9,0)</f>
        <v>0</v>
      </c>
      <c r="BW11" s="48">
        <f t="shared" si="35"/>
        <v>0</v>
      </c>
      <c r="BX11" s="49">
        <f>IF(PRAZO!AK9&gt;0,1/PRAZO!$AM9,0)</f>
        <v>0</v>
      </c>
      <c r="BY11" s="48">
        <f t="shared" si="36"/>
        <v>0</v>
      </c>
      <c r="BZ11" s="49">
        <f>IF(PRAZO!AL9&gt;0,1/PRAZO!$AM9,0)</f>
        <v>0</v>
      </c>
      <c r="CA11" s="48">
        <f t="shared" ref="CA11:CA25" si="105">$C11*BZ11</f>
        <v>0</v>
      </c>
    </row>
    <row r="12" spans="2:79" ht="19.5" customHeight="1" x14ac:dyDescent="0.25">
      <c r="B12" s="41" t="s">
        <v>54</v>
      </c>
      <c r="C12" s="58">
        <v>2901220.4606840219</v>
      </c>
      <c r="D12" s="29">
        <f t="shared" si="0"/>
        <v>0.13986903448633378</v>
      </c>
      <c r="E12" s="60">
        <f>C12/'DISTRIBUIÇÃO CUSTO'!C$30</f>
        <v>798.62266932872956</v>
      </c>
      <c r="F12" s="74">
        <f t="shared" si="1"/>
        <v>1.0000000000000002</v>
      </c>
      <c r="H12" s="28">
        <f>IF(PRAZO!C10&gt;0,1/PRAZO!$AM10,0)</f>
        <v>0</v>
      </c>
      <c r="I12" s="76">
        <f t="shared" si="72"/>
        <v>0</v>
      </c>
      <c r="J12" s="28">
        <f>IF(PRAZO!D10&gt;0,1/PRAZO!$AM10,0)</f>
        <v>0</v>
      </c>
      <c r="K12" s="76">
        <f t="shared" si="73"/>
        <v>0</v>
      </c>
      <c r="L12" s="28">
        <f>IF(PRAZO!E10&gt;0,1/PRAZO!$AM10,0)</f>
        <v>0</v>
      </c>
      <c r="M12" s="76">
        <f t="shared" si="74"/>
        <v>0</v>
      </c>
      <c r="N12" s="28">
        <f>IF(PRAZO!F10&gt;0,1/PRAZO!$AM10,0)</f>
        <v>0</v>
      </c>
      <c r="O12" s="76">
        <f t="shared" si="75"/>
        <v>0</v>
      </c>
      <c r="P12" s="28">
        <f>IF(PRAZO!G10&gt;0,1/PRAZO!$AM10,0)</f>
        <v>0</v>
      </c>
      <c r="Q12" s="76">
        <f t="shared" si="76"/>
        <v>0</v>
      </c>
      <c r="R12" s="28">
        <f>IF(PRAZO!H10&gt;0,1/PRAZO!$AM10,0)</f>
        <v>0</v>
      </c>
      <c r="S12" s="76">
        <f t="shared" si="77"/>
        <v>0</v>
      </c>
      <c r="T12" s="28">
        <f>IF(PRAZO!I10&gt;0,1/PRAZO!$AM10,0)</f>
        <v>9.0909090909090912E-2</v>
      </c>
      <c r="U12" s="76">
        <f t="shared" si="78"/>
        <v>263747.31460763834</v>
      </c>
      <c r="V12" s="28">
        <f>IF(PRAZO!J10&gt;0,1/PRAZO!$AM10,0)</f>
        <v>9.0909090909090912E-2</v>
      </c>
      <c r="W12" s="76">
        <f t="shared" si="79"/>
        <v>263747.31460763834</v>
      </c>
      <c r="X12" s="28">
        <f>IF(PRAZO!K10&gt;0,1/PRAZO!$AM10,0)</f>
        <v>9.0909090909090912E-2</v>
      </c>
      <c r="Y12" s="76">
        <f t="shared" si="80"/>
        <v>263747.31460763834</v>
      </c>
      <c r="Z12" s="28">
        <f>IF(PRAZO!L10&gt;0,1/PRAZO!$AM10,0)</f>
        <v>9.0909090909090912E-2</v>
      </c>
      <c r="AA12" s="76">
        <f t="shared" si="81"/>
        <v>263747.31460763834</v>
      </c>
      <c r="AB12" s="28">
        <f>IF(PRAZO!M10&gt;0,1/PRAZO!$AM10,0)</f>
        <v>9.0909090909090912E-2</v>
      </c>
      <c r="AC12" s="76">
        <f t="shared" si="82"/>
        <v>263747.31460763834</v>
      </c>
      <c r="AD12" s="28">
        <f>IF(PRAZO!N10&gt;0,1/PRAZO!$AM10,0)</f>
        <v>9.0909090909090912E-2</v>
      </c>
      <c r="AE12" s="76">
        <f t="shared" si="83"/>
        <v>263747.31460763834</v>
      </c>
      <c r="AF12" s="28">
        <f>IF(PRAZO!O10&gt;0,1/PRAZO!$AM10,0)</f>
        <v>9.0909090909090912E-2</v>
      </c>
      <c r="AG12" s="76">
        <f t="shared" si="84"/>
        <v>263747.31460763834</v>
      </c>
      <c r="AH12" s="28">
        <f>IF(PRAZO!P10&gt;0,1/PRAZO!$AM10,0)</f>
        <v>9.0909090909090912E-2</v>
      </c>
      <c r="AI12" s="76">
        <f t="shared" si="85"/>
        <v>263747.31460763834</v>
      </c>
      <c r="AJ12" s="28">
        <f>IF(PRAZO!Q10&gt;0,1/PRAZO!$AM10,0)</f>
        <v>9.0909090909090912E-2</v>
      </c>
      <c r="AK12" s="76">
        <f t="shared" si="86"/>
        <v>263747.31460763834</v>
      </c>
      <c r="AL12" s="28">
        <f>IF(PRAZO!R10&gt;0,1/PRAZO!$AM10,0)</f>
        <v>9.0909090909090912E-2</v>
      </c>
      <c r="AM12" s="76">
        <f t="shared" si="87"/>
        <v>263747.31460763834</v>
      </c>
      <c r="AN12" s="28">
        <f>IF(PRAZO!S10&gt;0,1/PRAZO!$AM10,0)</f>
        <v>9.0909090909090912E-2</v>
      </c>
      <c r="AO12" s="76">
        <f t="shared" si="88"/>
        <v>263747.31460763834</v>
      </c>
      <c r="AP12" s="28">
        <f>IF(PRAZO!T10&gt;0,1/PRAZO!$AM10,0)</f>
        <v>0</v>
      </c>
      <c r="AQ12" s="76">
        <f t="shared" si="89"/>
        <v>0</v>
      </c>
      <c r="AR12" s="28">
        <f>IF(PRAZO!U10&gt;0,1/PRAZO!$AM10,0)</f>
        <v>0</v>
      </c>
      <c r="AS12" s="76">
        <f t="shared" si="90"/>
        <v>0</v>
      </c>
      <c r="AT12" s="28">
        <f>IF(PRAZO!V10&gt;0,1/PRAZO!$AM10,0)</f>
        <v>0</v>
      </c>
      <c r="AU12" s="76">
        <f t="shared" si="91"/>
        <v>0</v>
      </c>
      <c r="AV12" s="28">
        <f>IF(PRAZO!W10&gt;0,1/PRAZO!$AM10,0)</f>
        <v>0</v>
      </c>
      <c r="AW12" s="76">
        <f t="shared" si="92"/>
        <v>0</v>
      </c>
      <c r="AX12" s="28">
        <f>IF(PRAZO!X10&gt;0,1/PRAZO!$AM10,0)</f>
        <v>0</v>
      </c>
      <c r="AY12" s="76">
        <f t="shared" si="93"/>
        <v>0</v>
      </c>
      <c r="AZ12" s="28">
        <f>IF(PRAZO!Y10&gt;0,1/PRAZO!$AM10,0)</f>
        <v>0</v>
      </c>
      <c r="BA12" s="76">
        <f t="shared" si="94"/>
        <v>0</v>
      </c>
      <c r="BB12" s="28">
        <f>IF(PRAZO!Z10&gt;0,1/PRAZO!$AM10,0)</f>
        <v>0</v>
      </c>
      <c r="BC12" s="76">
        <f t="shared" si="95"/>
        <v>0</v>
      </c>
      <c r="BD12" s="28">
        <f>IF(PRAZO!AA10&gt;0,1/PRAZO!$AM10,0)</f>
        <v>0</v>
      </c>
      <c r="BE12" s="76">
        <f t="shared" si="96"/>
        <v>0</v>
      </c>
      <c r="BF12" s="28">
        <f>IF(PRAZO!AB10&gt;0,1/PRAZO!$AM10,0)</f>
        <v>0</v>
      </c>
      <c r="BG12" s="76">
        <f t="shared" si="97"/>
        <v>0</v>
      </c>
      <c r="BH12" s="28">
        <f>IF(PRAZO!AC10&gt;0,1/PRAZO!$AM10,0)</f>
        <v>0</v>
      </c>
      <c r="BI12" s="76">
        <f t="shared" si="98"/>
        <v>0</v>
      </c>
      <c r="BJ12" s="28">
        <f>IF(PRAZO!AD10&gt;0,1/PRAZO!$AM10,0)</f>
        <v>0</v>
      </c>
      <c r="BK12" s="76">
        <f t="shared" si="99"/>
        <v>0</v>
      </c>
      <c r="BL12" s="28">
        <f>IF(PRAZO!AE10&gt;0,1/PRAZO!$AM10,0)</f>
        <v>0</v>
      </c>
      <c r="BM12" s="76">
        <f t="shared" si="100"/>
        <v>0</v>
      </c>
      <c r="BN12" s="28">
        <f>IF(PRAZO!AF10&gt;0,1/PRAZO!$AM10,0)</f>
        <v>0</v>
      </c>
      <c r="BO12" s="76">
        <f t="shared" si="101"/>
        <v>0</v>
      </c>
      <c r="BP12" s="28">
        <f>IF(PRAZO!AG10&gt;0,1/PRAZO!$AM10,0)</f>
        <v>0</v>
      </c>
      <c r="BQ12" s="76">
        <f t="shared" si="102"/>
        <v>0</v>
      </c>
      <c r="BR12" s="28">
        <f>IF(PRAZO!AH10&gt;0,1/PRAZO!$AM10,0)</f>
        <v>0</v>
      </c>
      <c r="BS12" s="76">
        <f t="shared" si="103"/>
        <v>0</v>
      </c>
      <c r="BT12" s="28">
        <f>IF(PRAZO!AI10&gt;0,1/PRAZO!$AM10,0)</f>
        <v>0</v>
      </c>
      <c r="BU12" s="76">
        <f t="shared" si="104"/>
        <v>0</v>
      </c>
      <c r="BV12" s="28">
        <f>IF(PRAZO!AJ10&gt;0,1/PRAZO!$AM10,0)</f>
        <v>0</v>
      </c>
      <c r="BW12" s="76">
        <f t="shared" si="35"/>
        <v>0</v>
      </c>
      <c r="BX12" s="28">
        <f>IF(PRAZO!AK10&gt;0,1/PRAZO!$AM10,0)</f>
        <v>0</v>
      </c>
      <c r="BY12" s="76">
        <f t="shared" si="36"/>
        <v>0</v>
      </c>
      <c r="BZ12" s="28">
        <f>IF(PRAZO!AL10&gt;0,1/PRAZO!$AM10,0)</f>
        <v>0</v>
      </c>
      <c r="CA12" s="76">
        <f t="shared" si="105"/>
        <v>0</v>
      </c>
    </row>
    <row r="13" spans="2:79" ht="19.5" customHeight="1" x14ac:dyDescent="0.25">
      <c r="B13" s="45" t="s">
        <v>55</v>
      </c>
      <c r="C13" s="57">
        <v>529588.49855599995</v>
      </c>
      <c r="D13" s="46">
        <f t="shared" si="0"/>
        <v>2.5531679847118773E-2</v>
      </c>
      <c r="E13" s="59">
        <f>C13/'DISTRIBUIÇÃO CUSTO'!C$30</f>
        <v>145.78050378938443</v>
      </c>
      <c r="F13" s="73">
        <f t="shared" si="1"/>
        <v>1.0000000000000002</v>
      </c>
      <c r="H13" s="47">
        <f>IF(PRAZO!C11&gt;0,1/PRAZO!$AM11,0)</f>
        <v>0</v>
      </c>
      <c r="I13" s="48">
        <f t="shared" si="72"/>
        <v>0</v>
      </c>
      <c r="J13" s="49">
        <f>IF(PRAZO!D11&gt;0,1/PRAZO!$AM11,0)</f>
        <v>0</v>
      </c>
      <c r="K13" s="48">
        <f t="shared" si="73"/>
        <v>0</v>
      </c>
      <c r="L13" s="49">
        <f>IF(PRAZO!E11&gt;0,1/PRAZO!$AM11,0)</f>
        <v>0</v>
      </c>
      <c r="M13" s="48">
        <f t="shared" si="74"/>
        <v>0</v>
      </c>
      <c r="N13" s="49">
        <f>IF(PRAZO!F11&gt;0,1/PRAZO!$AM11,0)</f>
        <v>0</v>
      </c>
      <c r="O13" s="48">
        <f t="shared" si="75"/>
        <v>0</v>
      </c>
      <c r="P13" s="49">
        <f>IF(PRAZO!G11&gt;0,1/PRAZO!$AM11,0)</f>
        <v>0</v>
      </c>
      <c r="Q13" s="48">
        <f t="shared" si="76"/>
        <v>0</v>
      </c>
      <c r="R13" s="49">
        <f>IF(PRAZO!H11&gt;0,1/PRAZO!$AM11,0)</f>
        <v>0</v>
      </c>
      <c r="S13" s="48">
        <f t="shared" si="77"/>
        <v>0</v>
      </c>
      <c r="T13" s="49">
        <f>IF(PRAZO!I11&gt;0,1/PRAZO!$AM11,0)</f>
        <v>0</v>
      </c>
      <c r="U13" s="48">
        <f t="shared" si="78"/>
        <v>0</v>
      </c>
      <c r="V13" s="49">
        <f>IF(PRAZO!J11&gt;0,1/PRAZO!$AM11,0)</f>
        <v>0</v>
      </c>
      <c r="W13" s="48">
        <f t="shared" si="79"/>
        <v>0</v>
      </c>
      <c r="X13" s="49">
        <f>IF(PRAZO!K11&gt;0,1/PRAZO!$AM11,0)</f>
        <v>0</v>
      </c>
      <c r="Y13" s="48">
        <f t="shared" si="80"/>
        <v>0</v>
      </c>
      <c r="Z13" s="49">
        <f>IF(PRAZO!L11&gt;0,1/PRAZO!$AM11,0)</f>
        <v>9.0909090909090912E-2</v>
      </c>
      <c r="AA13" s="48">
        <f t="shared" si="81"/>
        <v>48144.408959636363</v>
      </c>
      <c r="AB13" s="49">
        <f>IF(PRAZO!M11&gt;0,1/PRAZO!$AM11,0)</f>
        <v>9.0909090909090912E-2</v>
      </c>
      <c r="AC13" s="48">
        <f t="shared" si="82"/>
        <v>48144.408959636363</v>
      </c>
      <c r="AD13" s="49">
        <f>IF(PRAZO!N11&gt;0,1/PRAZO!$AM11,0)</f>
        <v>9.0909090909090912E-2</v>
      </c>
      <c r="AE13" s="48">
        <f t="shared" si="83"/>
        <v>48144.408959636363</v>
      </c>
      <c r="AF13" s="49">
        <f>IF(PRAZO!O11&gt;0,1/PRAZO!$AM11,0)</f>
        <v>9.0909090909090912E-2</v>
      </c>
      <c r="AG13" s="48">
        <f t="shared" si="84"/>
        <v>48144.408959636363</v>
      </c>
      <c r="AH13" s="49">
        <f>IF(PRAZO!P11&gt;0,1/PRAZO!$AM11,0)</f>
        <v>9.0909090909090912E-2</v>
      </c>
      <c r="AI13" s="48">
        <f t="shared" si="85"/>
        <v>48144.408959636363</v>
      </c>
      <c r="AJ13" s="49">
        <f>IF(PRAZO!Q11&gt;0,1/PRAZO!$AM11,0)</f>
        <v>9.0909090909090912E-2</v>
      </c>
      <c r="AK13" s="48">
        <f t="shared" si="86"/>
        <v>48144.408959636363</v>
      </c>
      <c r="AL13" s="49">
        <f>IF(PRAZO!R11&gt;0,1/PRAZO!$AM11,0)</f>
        <v>9.0909090909090912E-2</v>
      </c>
      <c r="AM13" s="48">
        <f t="shared" si="87"/>
        <v>48144.408959636363</v>
      </c>
      <c r="AN13" s="49">
        <f>IF(PRAZO!S11&gt;0,1/PRAZO!$AM11,0)</f>
        <v>9.0909090909090912E-2</v>
      </c>
      <c r="AO13" s="48">
        <f t="shared" si="88"/>
        <v>48144.408959636363</v>
      </c>
      <c r="AP13" s="49">
        <f>IF(PRAZO!T11&gt;0,1/PRAZO!$AM11,0)</f>
        <v>9.0909090909090912E-2</v>
      </c>
      <c r="AQ13" s="48">
        <f t="shared" si="89"/>
        <v>48144.408959636363</v>
      </c>
      <c r="AR13" s="49">
        <f>IF(PRAZO!U11&gt;0,1/PRAZO!$AM11,0)</f>
        <v>9.0909090909090912E-2</v>
      </c>
      <c r="AS13" s="48">
        <f t="shared" si="90"/>
        <v>48144.408959636363</v>
      </c>
      <c r="AT13" s="49">
        <f>IF(PRAZO!V11&gt;0,1/PRAZO!$AM11,0)</f>
        <v>9.0909090909090912E-2</v>
      </c>
      <c r="AU13" s="48">
        <f t="shared" si="91"/>
        <v>48144.408959636363</v>
      </c>
      <c r="AV13" s="49">
        <f>IF(PRAZO!W11&gt;0,1/PRAZO!$AM11,0)</f>
        <v>0</v>
      </c>
      <c r="AW13" s="48">
        <f t="shared" si="92"/>
        <v>0</v>
      </c>
      <c r="AX13" s="49">
        <f>IF(PRAZO!X11&gt;0,1/PRAZO!$AM11,0)</f>
        <v>0</v>
      </c>
      <c r="AY13" s="48">
        <f t="shared" si="93"/>
        <v>0</v>
      </c>
      <c r="AZ13" s="49">
        <f>IF(PRAZO!Y11&gt;0,1/PRAZO!$AM11,0)</f>
        <v>0</v>
      </c>
      <c r="BA13" s="48">
        <f t="shared" si="94"/>
        <v>0</v>
      </c>
      <c r="BB13" s="49">
        <f>IF(PRAZO!Z11&gt;0,1/PRAZO!$AM11,0)</f>
        <v>0</v>
      </c>
      <c r="BC13" s="48">
        <f t="shared" si="95"/>
        <v>0</v>
      </c>
      <c r="BD13" s="49">
        <f>IF(PRAZO!AA11&gt;0,1/PRAZO!$AM11,0)</f>
        <v>0</v>
      </c>
      <c r="BE13" s="48">
        <f t="shared" si="96"/>
        <v>0</v>
      </c>
      <c r="BF13" s="49">
        <f>IF(PRAZO!AB11&gt;0,1/PRAZO!$AM11,0)</f>
        <v>0</v>
      </c>
      <c r="BG13" s="48">
        <f t="shared" si="97"/>
        <v>0</v>
      </c>
      <c r="BH13" s="49">
        <f>IF(PRAZO!AC11&gt;0,1/PRAZO!$AM11,0)</f>
        <v>0</v>
      </c>
      <c r="BI13" s="48">
        <f t="shared" si="98"/>
        <v>0</v>
      </c>
      <c r="BJ13" s="49">
        <f>IF(PRAZO!AD11&gt;0,1/PRAZO!$AM11,0)</f>
        <v>0</v>
      </c>
      <c r="BK13" s="48">
        <f t="shared" si="99"/>
        <v>0</v>
      </c>
      <c r="BL13" s="49">
        <f>IF(PRAZO!AE11&gt;0,1/PRAZO!$AM11,0)</f>
        <v>0</v>
      </c>
      <c r="BM13" s="48">
        <f t="shared" si="100"/>
        <v>0</v>
      </c>
      <c r="BN13" s="49">
        <f>IF(PRAZO!AF11&gt;0,1/PRAZO!$AM11,0)</f>
        <v>0</v>
      </c>
      <c r="BO13" s="48">
        <f t="shared" si="101"/>
        <v>0</v>
      </c>
      <c r="BP13" s="49">
        <f>IF(PRAZO!AG11&gt;0,1/PRAZO!$AM11,0)</f>
        <v>0</v>
      </c>
      <c r="BQ13" s="48">
        <f t="shared" si="102"/>
        <v>0</v>
      </c>
      <c r="BR13" s="49">
        <f>IF(PRAZO!AH11&gt;0,1/PRAZO!$AM11,0)</f>
        <v>0</v>
      </c>
      <c r="BS13" s="48">
        <f t="shared" si="103"/>
        <v>0</v>
      </c>
      <c r="BT13" s="49">
        <f>IF(PRAZO!AI11&gt;0,1/PRAZO!$AM11,0)</f>
        <v>0</v>
      </c>
      <c r="BU13" s="48">
        <f t="shared" si="104"/>
        <v>0</v>
      </c>
      <c r="BV13" s="49">
        <f>IF(PRAZO!AJ11&gt;0,1/PRAZO!$AM11,0)</f>
        <v>0</v>
      </c>
      <c r="BW13" s="48">
        <f t="shared" si="35"/>
        <v>0</v>
      </c>
      <c r="BX13" s="49">
        <f>IF(PRAZO!AK11&gt;0,1/PRAZO!$AM11,0)</f>
        <v>0</v>
      </c>
      <c r="BY13" s="48">
        <f t="shared" si="36"/>
        <v>0</v>
      </c>
      <c r="BZ13" s="49">
        <f>IF(PRAZO!AL11&gt;0,1/PRAZO!$AM11,0)</f>
        <v>0</v>
      </c>
      <c r="CA13" s="48">
        <f t="shared" si="105"/>
        <v>0</v>
      </c>
    </row>
    <row r="14" spans="2:79" ht="19.5" customHeight="1" x14ac:dyDescent="0.25">
      <c r="B14" s="41" t="s">
        <v>56</v>
      </c>
      <c r="C14" s="58">
        <v>1372645.923</v>
      </c>
      <c r="D14" s="29">
        <f t="shared" si="0"/>
        <v>6.6175825844116215E-2</v>
      </c>
      <c r="E14" s="60">
        <f>C14/'DISTRIBUIÇÃO CUSTO'!C$30</f>
        <v>377.85</v>
      </c>
      <c r="F14" s="74">
        <f t="shared" si="1"/>
        <v>0.99999999999999978</v>
      </c>
      <c r="H14" s="28">
        <f>IF(PRAZO!C12&gt;0,1/PRAZO!$AM12,0)</f>
        <v>0</v>
      </c>
      <c r="I14" s="76">
        <f t="shared" si="72"/>
        <v>0</v>
      </c>
      <c r="J14" s="28">
        <f>IF(PRAZO!D12&gt;0,1/PRAZO!$AM12,0)</f>
        <v>0</v>
      </c>
      <c r="K14" s="76">
        <f t="shared" si="73"/>
        <v>0</v>
      </c>
      <c r="L14" s="28">
        <f>IF(PRAZO!E12&gt;0,1/PRAZO!$AM12,0)</f>
        <v>0</v>
      </c>
      <c r="M14" s="76">
        <f t="shared" si="74"/>
        <v>0</v>
      </c>
      <c r="N14" s="28">
        <f>IF(PRAZO!F12&gt;0,1/PRAZO!$AM12,0)</f>
        <v>0</v>
      </c>
      <c r="O14" s="76">
        <f t="shared" si="75"/>
        <v>0</v>
      </c>
      <c r="P14" s="28">
        <f>IF(PRAZO!G12&gt;0,1/PRAZO!$AM12,0)</f>
        <v>0</v>
      </c>
      <c r="Q14" s="76">
        <f t="shared" si="76"/>
        <v>0</v>
      </c>
      <c r="R14" s="28">
        <f>IF(PRAZO!H12&gt;0,1/PRAZO!$AM12,0)</f>
        <v>0</v>
      </c>
      <c r="S14" s="76">
        <f t="shared" si="77"/>
        <v>0</v>
      </c>
      <c r="T14" s="28">
        <f>IF(PRAZO!I12&gt;0,1/PRAZO!$AM12,0)</f>
        <v>0</v>
      </c>
      <c r="U14" s="76">
        <f t="shared" si="78"/>
        <v>0</v>
      </c>
      <c r="V14" s="28">
        <f>IF(PRAZO!J12&gt;0,1/PRAZO!$AM12,0)</f>
        <v>0</v>
      </c>
      <c r="W14" s="76">
        <f t="shared" si="79"/>
        <v>0</v>
      </c>
      <c r="X14" s="28">
        <f>IF(PRAZO!K12&gt;0,1/PRAZO!$AM12,0)</f>
        <v>0</v>
      </c>
      <c r="Y14" s="76">
        <f t="shared" si="80"/>
        <v>0</v>
      </c>
      <c r="Z14" s="28">
        <f>IF(PRAZO!L12&gt;0,1/PRAZO!$AM12,0)</f>
        <v>0</v>
      </c>
      <c r="AA14" s="76">
        <f t="shared" si="81"/>
        <v>0</v>
      </c>
      <c r="AB14" s="28">
        <f>IF(PRAZO!M12&gt;0,1/PRAZO!$AM12,0)</f>
        <v>7.6923076923076927E-2</v>
      </c>
      <c r="AC14" s="76">
        <f t="shared" si="82"/>
        <v>105588.14792307692</v>
      </c>
      <c r="AD14" s="28">
        <f>IF(PRAZO!N12&gt;0,1/PRAZO!$AM12,0)</f>
        <v>7.6923076923076927E-2</v>
      </c>
      <c r="AE14" s="76">
        <f t="shared" si="83"/>
        <v>105588.14792307692</v>
      </c>
      <c r="AF14" s="28">
        <f>IF(PRAZO!O12&gt;0,1/PRAZO!$AM12,0)</f>
        <v>7.6923076923076927E-2</v>
      </c>
      <c r="AG14" s="76">
        <f t="shared" si="84"/>
        <v>105588.14792307692</v>
      </c>
      <c r="AH14" s="28">
        <f>IF(PRAZO!P12&gt;0,1/PRAZO!$AM12,0)</f>
        <v>7.6923076923076927E-2</v>
      </c>
      <c r="AI14" s="76">
        <f t="shared" si="85"/>
        <v>105588.14792307692</v>
      </c>
      <c r="AJ14" s="28">
        <f>IF(PRAZO!Q12&gt;0,1/PRAZO!$AM12,0)</f>
        <v>7.6923076923076927E-2</v>
      </c>
      <c r="AK14" s="76">
        <f t="shared" si="86"/>
        <v>105588.14792307692</v>
      </c>
      <c r="AL14" s="28">
        <f>IF(PRAZO!R12&gt;0,1/PRAZO!$AM12,0)</f>
        <v>7.6923076923076927E-2</v>
      </c>
      <c r="AM14" s="76">
        <f t="shared" si="87"/>
        <v>105588.14792307692</v>
      </c>
      <c r="AN14" s="28">
        <f>IF(PRAZO!S12&gt;0,1/PRAZO!$AM12,0)</f>
        <v>7.6923076923076927E-2</v>
      </c>
      <c r="AO14" s="76">
        <f t="shared" si="88"/>
        <v>105588.14792307692</v>
      </c>
      <c r="AP14" s="28">
        <f>IF(PRAZO!T12&gt;0,1/PRAZO!$AM12,0)</f>
        <v>7.6923076923076927E-2</v>
      </c>
      <c r="AQ14" s="76">
        <f t="shared" si="89"/>
        <v>105588.14792307692</v>
      </c>
      <c r="AR14" s="28">
        <f>IF(PRAZO!U12&gt;0,1/PRAZO!$AM12,0)</f>
        <v>7.6923076923076927E-2</v>
      </c>
      <c r="AS14" s="76">
        <f t="shared" si="90"/>
        <v>105588.14792307692</v>
      </c>
      <c r="AT14" s="28">
        <f>IF(PRAZO!V12&gt;0,1/PRAZO!$AM12,0)</f>
        <v>7.6923076923076927E-2</v>
      </c>
      <c r="AU14" s="76">
        <f t="shared" si="91"/>
        <v>105588.14792307692</v>
      </c>
      <c r="AV14" s="28">
        <f>IF(PRAZO!W12&gt;0,1/PRAZO!$AM12,0)</f>
        <v>7.6923076923076927E-2</v>
      </c>
      <c r="AW14" s="76">
        <f t="shared" si="92"/>
        <v>105588.14792307692</v>
      </c>
      <c r="AX14" s="28">
        <f>IF(PRAZO!X12&gt;0,1/PRAZO!$AM12,0)</f>
        <v>7.6923076923076927E-2</v>
      </c>
      <c r="AY14" s="76">
        <f t="shared" si="93"/>
        <v>105588.14792307692</v>
      </c>
      <c r="AZ14" s="28">
        <f>IF(PRAZO!Y12&gt;0,1/PRAZO!$AM12,0)</f>
        <v>7.6923076923076927E-2</v>
      </c>
      <c r="BA14" s="76">
        <f t="shared" si="94"/>
        <v>105588.14792307692</v>
      </c>
      <c r="BB14" s="28">
        <f>IF(PRAZO!Z12&gt;0,1/PRAZO!$AM12,0)</f>
        <v>0</v>
      </c>
      <c r="BC14" s="76">
        <f t="shared" si="95"/>
        <v>0</v>
      </c>
      <c r="BD14" s="28">
        <f>IF(PRAZO!AA12&gt;0,1/PRAZO!$AM12,0)</f>
        <v>0</v>
      </c>
      <c r="BE14" s="76">
        <f t="shared" si="96"/>
        <v>0</v>
      </c>
      <c r="BF14" s="28">
        <f>IF(PRAZO!AB12&gt;0,1/PRAZO!$AM12,0)</f>
        <v>0</v>
      </c>
      <c r="BG14" s="76">
        <f t="shared" si="97"/>
        <v>0</v>
      </c>
      <c r="BH14" s="28">
        <f>IF(PRAZO!AC12&gt;0,1/PRAZO!$AM12,0)</f>
        <v>0</v>
      </c>
      <c r="BI14" s="76">
        <f t="shared" si="98"/>
        <v>0</v>
      </c>
      <c r="BJ14" s="28">
        <f>IF(PRAZO!AD12&gt;0,1/PRAZO!$AM12,0)</f>
        <v>0</v>
      </c>
      <c r="BK14" s="76">
        <f t="shared" si="99"/>
        <v>0</v>
      </c>
      <c r="BL14" s="28">
        <f>IF(PRAZO!AE12&gt;0,1/PRAZO!$AM12,0)</f>
        <v>0</v>
      </c>
      <c r="BM14" s="76">
        <f t="shared" si="100"/>
        <v>0</v>
      </c>
      <c r="BN14" s="28">
        <f>IF(PRAZO!AF12&gt;0,1/PRAZO!$AM12,0)</f>
        <v>0</v>
      </c>
      <c r="BO14" s="76">
        <f t="shared" si="101"/>
        <v>0</v>
      </c>
      <c r="BP14" s="28">
        <f>IF(PRAZO!AG12&gt;0,1/PRAZO!$AM12,0)</f>
        <v>0</v>
      </c>
      <c r="BQ14" s="76">
        <f t="shared" si="102"/>
        <v>0</v>
      </c>
      <c r="BR14" s="28">
        <f>IF(PRAZO!AH12&gt;0,1/PRAZO!$AM12,0)</f>
        <v>0</v>
      </c>
      <c r="BS14" s="76">
        <f t="shared" si="103"/>
        <v>0</v>
      </c>
      <c r="BT14" s="28">
        <f>IF(PRAZO!AI12&gt;0,1/PRAZO!$AM12,0)</f>
        <v>0</v>
      </c>
      <c r="BU14" s="76">
        <f t="shared" si="104"/>
        <v>0</v>
      </c>
      <c r="BV14" s="28">
        <f>IF(PRAZO!AJ12&gt;0,1/PRAZO!$AM12,0)</f>
        <v>0</v>
      </c>
      <c r="BW14" s="76">
        <f t="shared" si="35"/>
        <v>0</v>
      </c>
      <c r="BX14" s="28">
        <f>IF(PRAZO!AK12&gt;0,1/PRAZO!$AM12,0)</f>
        <v>0</v>
      </c>
      <c r="BY14" s="76">
        <f t="shared" si="36"/>
        <v>0</v>
      </c>
      <c r="BZ14" s="28">
        <f>IF(PRAZO!AL12&gt;0,1/PRAZO!$AM12,0)</f>
        <v>0</v>
      </c>
      <c r="CA14" s="76">
        <f t="shared" si="105"/>
        <v>0</v>
      </c>
    </row>
    <row r="15" spans="2:79" ht="19.5" customHeight="1" x14ac:dyDescent="0.25">
      <c r="B15" s="45" t="s">
        <v>57</v>
      </c>
      <c r="C15" s="57">
        <v>697857.6183333334</v>
      </c>
      <c r="D15" s="46">
        <f t="shared" si="0"/>
        <v>3.36440034833487E-2</v>
      </c>
      <c r="E15" s="59">
        <f>C15/'DISTRIBUIÇÃO CUSTO'!C$30</f>
        <v>192.10015974909945</v>
      </c>
      <c r="F15" s="73">
        <f t="shared" si="1"/>
        <v>1.0000000000000002</v>
      </c>
      <c r="H15" s="47">
        <f>IF(PRAZO!C13&gt;0,1/PRAZO!$AM13,0)</f>
        <v>0</v>
      </c>
      <c r="I15" s="48">
        <f t="shared" si="72"/>
        <v>0</v>
      </c>
      <c r="J15" s="49">
        <f>IF(PRAZO!D13&gt;0,1/PRAZO!$AM13,0)</f>
        <v>0</v>
      </c>
      <c r="K15" s="48">
        <f t="shared" si="73"/>
        <v>0</v>
      </c>
      <c r="L15" s="49">
        <f>IF(PRAZO!E13&gt;0,1/PRAZO!$AM13,0)</f>
        <v>0</v>
      </c>
      <c r="M15" s="48">
        <f t="shared" si="74"/>
        <v>0</v>
      </c>
      <c r="N15" s="49">
        <f>IF(PRAZO!F13&gt;0,1/PRAZO!$AM13,0)</f>
        <v>0</v>
      </c>
      <c r="O15" s="48">
        <f t="shared" si="75"/>
        <v>0</v>
      </c>
      <c r="P15" s="49">
        <f>IF(PRAZO!G13&gt;0,1/PRAZO!$AM13,0)</f>
        <v>0</v>
      </c>
      <c r="Q15" s="48">
        <f t="shared" si="76"/>
        <v>0</v>
      </c>
      <c r="R15" s="49">
        <f>IF(PRAZO!H13&gt;0,1/PRAZO!$AM13,0)</f>
        <v>0</v>
      </c>
      <c r="S15" s="48">
        <f t="shared" si="77"/>
        <v>0</v>
      </c>
      <c r="T15" s="49">
        <f>IF(PRAZO!I13&gt;0,1/PRAZO!$AM13,0)</f>
        <v>0</v>
      </c>
      <c r="U15" s="48">
        <f t="shared" si="78"/>
        <v>0</v>
      </c>
      <c r="V15" s="49">
        <f>IF(PRAZO!J13&gt;0,1/PRAZO!$AM13,0)</f>
        <v>0</v>
      </c>
      <c r="W15" s="48">
        <f t="shared" si="79"/>
        <v>0</v>
      </c>
      <c r="X15" s="49">
        <f>IF(PRAZO!K13&gt;0,1/PRAZO!$AM13,0)</f>
        <v>0</v>
      </c>
      <c r="Y15" s="48">
        <f t="shared" si="80"/>
        <v>0</v>
      </c>
      <c r="Z15" s="49">
        <f>IF(PRAZO!L13&gt;0,1/PRAZO!$AM13,0)</f>
        <v>0</v>
      </c>
      <c r="AA15" s="48">
        <f t="shared" si="81"/>
        <v>0</v>
      </c>
      <c r="AB15" s="49">
        <f>IF(PRAZO!M13&gt;0,1/PRAZO!$AM13,0)</f>
        <v>0</v>
      </c>
      <c r="AC15" s="48">
        <f t="shared" si="82"/>
        <v>0</v>
      </c>
      <c r="AD15" s="49">
        <f>IF(PRAZO!N13&gt;0,1/PRAZO!$AM13,0)</f>
        <v>0</v>
      </c>
      <c r="AE15" s="48">
        <f t="shared" si="83"/>
        <v>0</v>
      </c>
      <c r="AF15" s="49">
        <f>IF(PRAZO!O13&gt;0,1/PRAZO!$AM13,0)</f>
        <v>0</v>
      </c>
      <c r="AG15" s="48">
        <f t="shared" si="84"/>
        <v>0</v>
      </c>
      <c r="AH15" s="49">
        <f>IF(PRAZO!P13&gt;0,1/PRAZO!$AM13,0)</f>
        <v>0</v>
      </c>
      <c r="AI15" s="48">
        <f t="shared" si="85"/>
        <v>0</v>
      </c>
      <c r="AJ15" s="49">
        <f>IF(PRAZO!Q13&gt;0,1/PRAZO!$AM13,0)</f>
        <v>0</v>
      </c>
      <c r="AK15" s="48">
        <f t="shared" si="86"/>
        <v>0</v>
      </c>
      <c r="AL15" s="49">
        <f>IF(PRAZO!R13&gt;0,1/PRAZO!$AM13,0)</f>
        <v>0</v>
      </c>
      <c r="AM15" s="48">
        <f t="shared" si="87"/>
        <v>0</v>
      </c>
      <c r="AN15" s="49">
        <f>IF(PRAZO!S13&gt;0,1/PRAZO!$AM13,0)</f>
        <v>0</v>
      </c>
      <c r="AO15" s="48">
        <f t="shared" si="88"/>
        <v>0</v>
      </c>
      <c r="AP15" s="49">
        <f>IF(PRAZO!T13&gt;0,1/PRAZO!$AM13,0)</f>
        <v>0</v>
      </c>
      <c r="AQ15" s="48">
        <f t="shared" si="89"/>
        <v>0</v>
      </c>
      <c r="AR15" s="49">
        <f>IF(PRAZO!U13&gt;0,1/PRAZO!$AM13,0)</f>
        <v>0</v>
      </c>
      <c r="AS15" s="48">
        <f t="shared" si="90"/>
        <v>0</v>
      </c>
      <c r="AT15" s="49">
        <f>IF(PRAZO!V13&gt;0,1/PRAZO!$AM13,0)</f>
        <v>0</v>
      </c>
      <c r="AU15" s="48">
        <f t="shared" si="91"/>
        <v>0</v>
      </c>
      <c r="AV15" s="49">
        <f>IF(PRAZO!W13&gt;0,1/PRAZO!$AM13,0)</f>
        <v>0</v>
      </c>
      <c r="AW15" s="48">
        <f t="shared" si="92"/>
        <v>0</v>
      </c>
      <c r="AX15" s="49">
        <f>IF(PRAZO!X13&gt;0,1/PRAZO!$AM13,0)</f>
        <v>0.1111111111111111</v>
      </c>
      <c r="AY15" s="48">
        <f t="shared" si="93"/>
        <v>77539.73537037037</v>
      </c>
      <c r="AZ15" s="49">
        <f>IF(PRAZO!Y13&gt;0,1/PRAZO!$AM13,0)</f>
        <v>0.1111111111111111</v>
      </c>
      <c r="BA15" s="48">
        <f t="shared" si="94"/>
        <v>77539.73537037037</v>
      </c>
      <c r="BB15" s="49">
        <f>IF(PRAZO!Z13&gt;0,1/PRAZO!$AM13,0)</f>
        <v>0.1111111111111111</v>
      </c>
      <c r="BC15" s="48">
        <f t="shared" si="95"/>
        <v>77539.73537037037</v>
      </c>
      <c r="BD15" s="49">
        <f>IF(PRAZO!AA13&gt;0,1/PRAZO!$AM13,0)</f>
        <v>0.1111111111111111</v>
      </c>
      <c r="BE15" s="48">
        <f t="shared" si="96"/>
        <v>77539.73537037037</v>
      </c>
      <c r="BF15" s="49">
        <f>IF(PRAZO!AB13&gt;0,1/PRAZO!$AM13,0)</f>
        <v>0.1111111111111111</v>
      </c>
      <c r="BG15" s="48">
        <f t="shared" si="97"/>
        <v>77539.73537037037</v>
      </c>
      <c r="BH15" s="49">
        <f>IF(PRAZO!AC13&gt;0,1/PRAZO!$AM13,0)</f>
        <v>0.1111111111111111</v>
      </c>
      <c r="BI15" s="48">
        <f t="shared" si="98"/>
        <v>77539.73537037037</v>
      </c>
      <c r="BJ15" s="49">
        <f>IF(PRAZO!AD13&gt;0,1/PRAZO!$AM13,0)</f>
        <v>0.1111111111111111</v>
      </c>
      <c r="BK15" s="48">
        <f t="shared" si="99"/>
        <v>77539.73537037037</v>
      </c>
      <c r="BL15" s="49">
        <f>IF(PRAZO!AE13&gt;0,1/PRAZO!$AM13,0)</f>
        <v>0.1111111111111111</v>
      </c>
      <c r="BM15" s="48">
        <f t="shared" si="100"/>
        <v>77539.73537037037</v>
      </c>
      <c r="BN15" s="49">
        <f>IF(PRAZO!AF13&gt;0,1/PRAZO!$AM13,0)</f>
        <v>0.1111111111111111</v>
      </c>
      <c r="BO15" s="48">
        <f t="shared" si="101"/>
        <v>77539.73537037037</v>
      </c>
      <c r="BP15" s="49">
        <f>IF(PRAZO!AG13&gt;0,1/PRAZO!$AM13,0)</f>
        <v>0</v>
      </c>
      <c r="BQ15" s="48">
        <f t="shared" si="102"/>
        <v>0</v>
      </c>
      <c r="BR15" s="49">
        <f>IF(PRAZO!AH13&gt;0,1/PRAZO!$AM13,0)</f>
        <v>0</v>
      </c>
      <c r="BS15" s="48">
        <f t="shared" si="103"/>
        <v>0</v>
      </c>
      <c r="BT15" s="49">
        <f>IF(PRAZO!AI13&gt;0,1/PRAZO!$AM13,0)</f>
        <v>0</v>
      </c>
      <c r="BU15" s="48">
        <f t="shared" si="104"/>
        <v>0</v>
      </c>
      <c r="BV15" s="49">
        <f>IF(PRAZO!AJ13&gt;0,1/PRAZO!$AM13,0)</f>
        <v>0</v>
      </c>
      <c r="BW15" s="48">
        <f t="shared" si="35"/>
        <v>0</v>
      </c>
      <c r="BX15" s="49">
        <f>IF(PRAZO!AK13&gt;0,1/PRAZO!$AM13,0)</f>
        <v>0</v>
      </c>
      <c r="BY15" s="48">
        <f t="shared" si="36"/>
        <v>0</v>
      </c>
      <c r="BZ15" s="49">
        <f>IF(PRAZO!AL13&gt;0,1/PRAZO!$AM13,0)</f>
        <v>0</v>
      </c>
      <c r="CA15" s="48">
        <f t="shared" si="105"/>
        <v>0</v>
      </c>
    </row>
    <row r="16" spans="2:79" ht="19.5" customHeight="1" x14ac:dyDescent="0.25">
      <c r="B16" s="41" t="s">
        <v>58</v>
      </c>
      <c r="C16" s="58">
        <v>292179.89388500003</v>
      </c>
      <c r="D16" s="29">
        <f t="shared" si="0"/>
        <v>1.4086113140253809E-2</v>
      </c>
      <c r="E16" s="60">
        <f>C16/'DISTRIBUIÇÃO CUSTO'!C$30</f>
        <v>80.428733335076728</v>
      </c>
      <c r="F16" s="74">
        <f t="shared" si="1"/>
        <v>1</v>
      </c>
      <c r="H16" s="28">
        <f>IF(PRAZO!C14&gt;0,1/PRAZO!$AM14,0)</f>
        <v>0</v>
      </c>
      <c r="I16" s="76">
        <f t="shared" si="72"/>
        <v>0</v>
      </c>
      <c r="J16" s="28">
        <f>IF(PRAZO!D14&gt;0,1/PRAZO!$AM14,0)</f>
        <v>0</v>
      </c>
      <c r="K16" s="76">
        <f t="shared" si="73"/>
        <v>0</v>
      </c>
      <c r="L16" s="28">
        <f>IF(PRAZO!E14&gt;0,1/PRAZO!$AM14,0)</f>
        <v>0</v>
      </c>
      <c r="M16" s="76">
        <f t="shared" si="74"/>
        <v>0</v>
      </c>
      <c r="N16" s="28">
        <f>IF(PRAZO!F14&gt;0,1/PRAZO!$AM14,0)</f>
        <v>0</v>
      </c>
      <c r="O16" s="76">
        <f t="shared" si="75"/>
        <v>0</v>
      </c>
      <c r="P16" s="28">
        <f>IF(PRAZO!G14&gt;0,1/PRAZO!$AM14,0)</f>
        <v>0</v>
      </c>
      <c r="Q16" s="76">
        <f t="shared" si="76"/>
        <v>0</v>
      </c>
      <c r="R16" s="28">
        <f>IF(PRAZO!H14&gt;0,1/PRAZO!$AM14,0)</f>
        <v>0</v>
      </c>
      <c r="S16" s="76">
        <f t="shared" si="77"/>
        <v>0</v>
      </c>
      <c r="T16" s="28">
        <f>IF(PRAZO!I14&gt;0,1/PRAZO!$AM14,0)</f>
        <v>0</v>
      </c>
      <c r="U16" s="76">
        <f t="shared" si="78"/>
        <v>0</v>
      </c>
      <c r="V16" s="28">
        <f>IF(PRAZO!J14&gt;0,1/PRAZO!$AM14,0)</f>
        <v>0</v>
      </c>
      <c r="W16" s="76">
        <f t="shared" si="79"/>
        <v>0</v>
      </c>
      <c r="X16" s="28">
        <f>IF(PRAZO!K14&gt;0,1/PRAZO!$AM14,0)</f>
        <v>0</v>
      </c>
      <c r="Y16" s="76">
        <f t="shared" si="80"/>
        <v>0</v>
      </c>
      <c r="Z16" s="28">
        <f>IF(PRAZO!L14&gt;0,1/PRAZO!$AM14,0)</f>
        <v>0</v>
      </c>
      <c r="AA16" s="76">
        <f t="shared" si="81"/>
        <v>0</v>
      </c>
      <c r="AB16" s="28">
        <f>IF(PRAZO!M14&gt;0,1/PRAZO!$AM14,0)</f>
        <v>0</v>
      </c>
      <c r="AC16" s="76">
        <f t="shared" si="82"/>
        <v>0</v>
      </c>
      <c r="AD16" s="28">
        <f>IF(PRAZO!N14&gt;0,1/PRAZO!$AM14,0)</f>
        <v>0</v>
      </c>
      <c r="AE16" s="76">
        <f t="shared" si="83"/>
        <v>0</v>
      </c>
      <c r="AF16" s="28">
        <f>IF(PRAZO!O14&gt;0,1/PRAZO!$AM14,0)</f>
        <v>0</v>
      </c>
      <c r="AG16" s="76">
        <f t="shared" si="84"/>
        <v>0</v>
      </c>
      <c r="AH16" s="28">
        <f>IF(PRAZO!P14&gt;0,1/PRAZO!$AM14,0)</f>
        <v>8.3333333333333329E-2</v>
      </c>
      <c r="AI16" s="76">
        <f t="shared" si="85"/>
        <v>24348.324490416668</v>
      </c>
      <c r="AJ16" s="28">
        <f>IF(PRAZO!Q14&gt;0,1/PRAZO!$AM14,0)</f>
        <v>8.3333333333333329E-2</v>
      </c>
      <c r="AK16" s="76">
        <f t="shared" si="86"/>
        <v>24348.324490416668</v>
      </c>
      <c r="AL16" s="28">
        <f>IF(PRAZO!R14&gt;0,1/PRAZO!$AM14,0)</f>
        <v>8.3333333333333329E-2</v>
      </c>
      <c r="AM16" s="76">
        <f t="shared" si="87"/>
        <v>24348.324490416668</v>
      </c>
      <c r="AN16" s="28">
        <f>IF(PRAZO!S14&gt;0,1/PRAZO!$AM14,0)</f>
        <v>8.3333333333333329E-2</v>
      </c>
      <c r="AO16" s="76">
        <f t="shared" si="88"/>
        <v>24348.324490416668</v>
      </c>
      <c r="AP16" s="28">
        <f>IF(PRAZO!T14&gt;0,1/PRAZO!$AM14,0)</f>
        <v>8.3333333333333329E-2</v>
      </c>
      <c r="AQ16" s="76">
        <f t="shared" si="89"/>
        <v>24348.324490416668</v>
      </c>
      <c r="AR16" s="28">
        <f>IF(PRAZO!U14&gt;0,1/PRAZO!$AM14,0)</f>
        <v>8.3333333333333329E-2</v>
      </c>
      <c r="AS16" s="76">
        <f t="shared" si="90"/>
        <v>24348.324490416668</v>
      </c>
      <c r="AT16" s="28">
        <f>IF(PRAZO!V14&gt;0,1/PRAZO!$AM14,0)</f>
        <v>8.3333333333333329E-2</v>
      </c>
      <c r="AU16" s="76">
        <f t="shared" si="91"/>
        <v>24348.324490416668</v>
      </c>
      <c r="AV16" s="28">
        <f>IF(PRAZO!W14&gt;0,1/PRAZO!$AM14,0)</f>
        <v>8.3333333333333329E-2</v>
      </c>
      <c r="AW16" s="76">
        <f t="shared" si="92"/>
        <v>24348.324490416668</v>
      </c>
      <c r="AX16" s="28">
        <f>IF(PRAZO!X14&gt;0,1/PRAZO!$AM14,0)</f>
        <v>8.3333333333333329E-2</v>
      </c>
      <c r="AY16" s="76">
        <f t="shared" si="93"/>
        <v>24348.324490416668</v>
      </c>
      <c r="AZ16" s="28">
        <f>IF(PRAZO!Y14&gt;0,1/PRAZO!$AM14,0)</f>
        <v>8.3333333333333329E-2</v>
      </c>
      <c r="BA16" s="76">
        <f t="shared" si="94"/>
        <v>24348.324490416668</v>
      </c>
      <c r="BB16" s="28">
        <f>IF(PRAZO!Z14&gt;0,1/PRAZO!$AM14,0)</f>
        <v>8.3333333333333329E-2</v>
      </c>
      <c r="BC16" s="76">
        <f t="shared" si="95"/>
        <v>24348.324490416668</v>
      </c>
      <c r="BD16" s="28">
        <f>IF(PRAZO!AA14&gt;0,1/PRAZO!$AM14,0)</f>
        <v>8.3333333333333329E-2</v>
      </c>
      <c r="BE16" s="76">
        <f t="shared" si="96"/>
        <v>24348.324490416668</v>
      </c>
      <c r="BF16" s="28">
        <f>IF(PRAZO!AB14&gt;0,1/PRAZO!$AM14,0)</f>
        <v>0</v>
      </c>
      <c r="BG16" s="76">
        <f t="shared" si="97"/>
        <v>0</v>
      </c>
      <c r="BH16" s="28">
        <f>IF(PRAZO!AC14&gt;0,1/PRAZO!$AM14,0)</f>
        <v>0</v>
      </c>
      <c r="BI16" s="76">
        <f t="shared" si="98"/>
        <v>0</v>
      </c>
      <c r="BJ16" s="28">
        <f>IF(PRAZO!AD14&gt;0,1/PRAZO!$AM14,0)</f>
        <v>0</v>
      </c>
      <c r="BK16" s="76">
        <f t="shared" si="99"/>
        <v>0</v>
      </c>
      <c r="BL16" s="28">
        <f>IF(PRAZO!AE14&gt;0,1/PRAZO!$AM14,0)</f>
        <v>0</v>
      </c>
      <c r="BM16" s="76">
        <f t="shared" si="100"/>
        <v>0</v>
      </c>
      <c r="BN16" s="28">
        <f>IF(PRAZO!AF14&gt;0,1/PRAZO!$AM14,0)</f>
        <v>0</v>
      </c>
      <c r="BO16" s="76">
        <f t="shared" si="101"/>
        <v>0</v>
      </c>
      <c r="BP16" s="28">
        <f>IF(PRAZO!AG14&gt;0,1/PRAZO!$AM14,0)</f>
        <v>0</v>
      </c>
      <c r="BQ16" s="76">
        <f t="shared" si="102"/>
        <v>0</v>
      </c>
      <c r="BR16" s="28">
        <f>IF(PRAZO!AH14&gt;0,1/PRAZO!$AM14,0)</f>
        <v>0</v>
      </c>
      <c r="BS16" s="76">
        <f t="shared" si="103"/>
        <v>0</v>
      </c>
      <c r="BT16" s="28">
        <f>IF(PRAZO!AI14&gt;0,1/PRAZO!$AM14,0)</f>
        <v>0</v>
      </c>
      <c r="BU16" s="76">
        <f t="shared" si="104"/>
        <v>0</v>
      </c>
      <c r="BV16" s="28">
        <f>IF(PRAZO!AJ14&gt;0,1/PRAZO!$AM14,0)</f>
        <v>0</v>
      </c>
      <c r="BW16" s="76">
        <f t="shared" si="35"/>
        <v>0</v>
      </c>
      <c r="BX16" s="28">
        <f>IF(PRAZO!AK14&gt;0,1/PRAZO!$AM14,0)</f>
        <v>0</v>
      </c>
      <c r="BY16" s="76">
        <f t="shared" si="36"/>
        <v>0</v>
      </c>
      <c r="BZ16" s="28">
        <f>IF(PRAZO!AL14&gt;0,1/PRAZO!$AM14,0)</f>
        <v>0</v>
      </c>
      <c r="CA16" s="76">
        <f t="shared" si="105"/>
        <v>0</v>
      </c>
    </row>
    <row r="17" spans="2:80" ht="19.5" customHeight="1" x14ac:dyDescent="0.25">
      <c r="B17" s="45" t="s">
        <v>59</v>
      </c>
      <c r="C17" s="57">
        <v>808212.99430000002</v>
      </c>
      <c r="D17" s="46">
        <f t="shared" si="0"/>
        <v>3.8964281654554914E-2</v>
      </c>
      <c r="E17" s="59">
        <f>C17/'DISTRIBUIÇÃO CUSTO'!C$30</f>
        <v>222.4778253293621</v>
      </c>
      <c r="F17" s="73">
        <f t="shared" si="1"/>
        <v>1.0000000000000002</v>
      </c>
      <c r="H17" s="47">
        <f>IF(PRAZO!C15&gt;0,1/PRAZO!$AM15,0)</f>
        <v>0</v>
      </c>
      <c r="I17" s="48">
        <f t="shared" si="72"/>
        <v>0</v>
      </c>
      <c r="J17" s="49">
        <f>IF(PRAZO!D15&gt;0,1/PRAZO!$AM15,0)</f>
        <v>0</v>
      </c>
      <c r="K17" s="48">
        <f t="shared" si="73"/>
        <v>0</v>
      </c>
      <c r="L17" s="49">
        <f>IF(PRAZO!E15&gt;0,1/PRAZO!$AM15,0)</f>
        <v>0</v>
      </c>
      <c r="M17" s="48">
        <f t="shared" si="74"/>
        <v>0</v>
      </c>
      <c r="N17" s="49">
        <f>IF(PRAZO!F15&gt;0,1/PRAZO!$AM15,0)</f>
        <v>0</v>
      </c>
      <c r="O17" s="48">
        <f t="shared" si="75"/>
        <v>0</v>
      </c>
      <c r="P17" s="49">
        <f>IF(PRAZO!G15&gt;0,1/PRAZO!$AM15,0)</f>
        <v>0</v>
      </c>
      <c r="Q17" s="48">
        <f t="shared" si="76"/>
        <v>0</v>
      </c>
      <c r="R17" s="49">
        <f>IF(PRAZO!H15&gt;0,1/PRAZO!$AM15,0)</f>
        <v>0</v>
      </c>
      <c r="S17" s="48">
        <f t="shared" si="77"/>
        <v>0</v>
      </c>
      <c r="T17" s="49">
        <f>IF(PRAZO!I15&gt;0,1/PRAZO!$AM15,0)</f>
        <v>0</v>
      </c>
      <c r="U17" s="48">
        <f t="shared" si="78"/>
        <v>0</v>
      </c>
      <c r="V17" s="49">
        <f>IF(PRAZO!J15&gt;0,1/PRAZO!$AM15,0)</f>
        <v>0</v>
      </c>
      <c r="W17" s="48">
        <f t="shared" si="79"/>
        <v>0</v>
      </c>
      <c r="X17" s="49">
        <f>IF(PRAZO!K15&gt;0,1/PRAZO!$AM15,0)</f>
        <v>0</v>
      </c>
      <c r="Y17" s="48">
        <f t="shared" si="80"/>
        <v>0</v>
      </c>
      <c r="Z17" s="49">
        <f>IF(PRAZO!L15&gt;0,1/PRAZO!$AM15,0)</f>
        <v>0</v>
      </c>
      <c r="AA17" s="48">
        <f t="shared" si="81"/>
        <v>0</v>
      </c>
      <c r="AB17" s="49">
        <f>IF(PRAZO!M15&gt;0,1/PRAZO!$AM15,0)</f>
        <v>0</v>
      </c>
      <c r="AC17" s="48">
        <f t="shared" si="82"/>
        <v>0</v>
      </c>
      <c r="AD17" s="49">
        <f>IF(PRAZO!N15&gt;0,1/PRAZO!$AM15,0)</f>
        <v>9.0909090909090912E-2</v>
      </c>
      <c r="AE17" s="48">
        <f t="shared" si="83"/>
        <v>73473.908572727276</v>
      </c>
      <c r="AF17" s="49">
        <f>IF(PRAZO!O15&gt;0,1/PRAZO!$AM15,0)</f>
        <v>9.0909090909090912E-2</v>
      </c>
      <c r="AG17" s="48">
        <f t="shared" si="84"/>
        <v>73473.908572727276</v>
      </c>
      <c r="AH17" s="49">
        <f>IF(PRAZO!P15&gt;0,1/PRAZO!$AM15,0)</f>
        <v>9.0909090909090912E-2</v>
      </c>
      <c r="AI17" s="48">
        <f t="shared" si="85"/>
        <v>73473.908572727276</v>
      </c>
      <c r="AJ17" s="49">
        <f>IF(PRAZO!Q15&gt;0,1/PRAZO!$AM15,0)</f>
        <v>9.0909090909090912E-2</v>
      </c>
      <c r="AK17" s="48">
        <f t="shared" si="86"/>
        <v>73473.908572727276</v>
      </c>
      <c r="AL17" s="49">
        <f>IF(PRAZO!R15&gt;0,1/PRAZO!$AM15,0)</f>
        <v>9.0909090909090912E-2</v>
      </c>
      <c r="AM17" s="48">
        <f t="shared" si="87"/>
        <v>73473.908572727276</v>
      </c>
      <c r="AN17" s="49">
        <f>IF(PRAZO!S15&gt;0,1/PRAZO!$AM15,0)</f>
        <v>9.0909090909090912E-2</v>
      </c>
      <c r="AO17" s="48">
        <f t="shared" si="88"/>
        <v>73473.908572727276</v>
      </c>
      <c r="AP17" s="49">
        <f>IF(PRAZO!T15&gt;0,1/PRAZO!$AM15,0)</f>
        <v>9.0909090909090912E-2</v>
      </c>
      <c r="AQ17" s="48">
        <f t="shared" si="89"/>
        <v>73473.908572727276</v>
      </c>
      <c r="AR17" s="49">
        <f>IF(PRAZO!U15&gt;0,1/PRAZO!$AM15,0)</f>
        <v>9.0909090909090912E-2</v>
      </c>
      <c r="AS17" s="48">
        <f t="shared" si="90"/>
        <v>73473.908572727276</v>
      </c>
      <c r="AT17" s="49">
        <f>IF(PRAZO!V15&gt;0,1/PRAZO!$AM15,0)</f>
        <v>9.0909090909090912E-2</v>
      </c>
      <c r="AU17" s="48">
        <f t="shared" si="91"/>
        <v>73473.908572727276</v>
      </c>
      <c r="AV17" s="49">
        <f>IF(PRAZO!W15&gt;0,1/PRAZO!$AM15,0)</f>
        <v>9.0909090909090912E-2</v>
      </c>
      <c r="AW17" s="48">
        <f t="shared" si="92"/>
        <v>73473.908572727276</v>
      </c>
      <c r="AX17" s="49">
        <f>IF(PRAZO!X15&gt;0,1/PRAZO!$AM15,0)</f>
        <v>9.0909090909090912E-2</v>
      </c>
      <c r="AY17" s="48">
        <f t="shared" si="93"/>
        <v>73473.908572727276</v>
      </c>
      <c r="AZ17" s="49">
        <f>IF(PRAZO!Y15&gt;0,1/PRAZO!$AM15,0)</f>
        <v>0</v>
      </c>
      <c r="BA17" s="48">
        <f t="shared" si="94"/>
        <v>0</v>
      </c>
      <c r="BB17" s="49">
        <f>IF(PRAZO!Z15&gt;0,1/PRAZO!$AM15,0)</f>
        <v>0</v>
      </c>
      <c r="BC17" s="48">
        <f t="shared" si="95"/>
        <v>0</v>
      </c>
      <c r="BD17" s="49">
        <f>IF(PRAZO!AA15&gt;0,1/PRAZO!$AM15,0)</f>
        <v>0</v>
      </c>
      <c r="BE17" s="48">
        <f t="shared" si="96"/>
        <v>0</v>
      </c>
      <c r="BF17" s="49">
        <f>IF(PRAZO!AB15&gt;0,1/PRAZO!$AM15,0)</f>
        <v>0</v>
      </c>
      <c r="BG17" s="48">
        <f t="shared" si="97"/>
        <v>0</v>
      </c>
      <c r="BH17" s="49">
        <f>IF(PRAZO!AC15&gt;0,1/PRAZO!$AM15,0)</f>
        <v>0</v>
      </c>
      <c r="BI17" s="48">
        <f t="shared" si="98"/>
        <v>0</v>
      </c>
      <c r="BJ17" s="49">
        <f>IF(PRAZO!AD15&gt;0,1/PRAZO!$AM15,0)</f>
        <v>0</v>
      </c>
      <c r="BK17" s="48">
        <f t="shared" si="99"/>
        <v>0</v>
      </c>
      <c r="BL17" s="49">
        <f>IF(PRAZO!AE15&gt;0,1/PRAZO!$AM15,0)</f>
        <v>0</v>
      </c>
      <c r="BM17" s="48">
        <f t="shared" si="100"/>
        <v>0</v>
      </c>
      <c r="BN17" s="49">
        <f>IF(PRAZO!AF15&gt;0,1/PRAZO!$AM15,0)</f>
        <v>0</v>
      </c>
      <c r="BO17" s="48">
        <f t="shared" si="101"/>
        <v>0</v>
      </c>
      <c r="BP17" s="49">
        <f>IF(PRAZO!AG15&gt;0,1/PRAZO!$AM15,0)</f>
        <v>0</v>
      </c>
      <c r="BQ17" s="48">
        <f t="shared" si="102"/>
        <v>0</v>
      </c>
      <c r="BR17" s="49">
        <f>IF(PRAZO!AH15&gt;0,1/PRAZO!$AM15,0)</f>
        <v>0</v>
      </c>
      <c r="BS17" s="48">
        <f t="shared" si="103"/>
        <v>0</v>
      </c>
      <c r="BT17" s="49">
        <f>IF(PRAZO!AI15&gt;0,1/PRAZO!$AM15,0)</f>
        <v>0</v>
      </c>
      <c r="BU17" s="48">
        <f t="shared" si="104"/>
        <v>0</v>
      </c>
      <c r="BV17" s="49">
        <f>IF(PRAZO!AJ15&gt;0,1/PRAZO!$AM15,0)</f>
        <v>0</v>
      </c>
      <c r="BW17" s="48">
        <f t="shared" si="35"/>
        <v>0</v>
      </c>
      <c r="BX17" s="49">
        <f>IF(PRAZO!AK15&gt;0,1/PRAZO!$AM15,0)</f>
        <v>0</v>
      </c>
      <c r="BY17" s="48">
        <f t="shared" si="36"/>
        <v>0</v>
      </c>
      <c r="BZ17" s="49">
        <f>IF(PRAZO!AL15&gt;0,1/PRAZO!$AM15,0)</f>
        <v>0</v>
      </c>
      <c r="CA17" s="48">
        <f t="shared" si="105"/>
        <v>0</v>
      </c>
    </row>
    <row r="18" spans="2:80" ht="19.5" customHeight="1" x14ac:dyDescent="0.25">
      <c r="B18" s="41" t="s">
        <v>60</v>
      </c>
      <c r="C18" s="58">
        <v>299766.44000000006</v>
      </c>
      <c r="D18" s="29">
        <f t="shared" si="0"/>
        <v>1.4451863656138741E-2</v>
      </c>
      <c r="E18" s="60">
        <f>C18/'DISTRIBUIÇÃO CUSTO'!C$30</f>
        <v>82.517091593765684</v>
      </c>
      <c r="F18" s="74">
        <f t="shared" si="1"/>
        <v>1.0000000000000002</v>
      </c>
      <c r="H18" s="28">
        <f>IF(PRAZO!C16&gt;0,1/PRAZO!$AM16,0)</f>
        <v>0</v>
      </c>
      <c r="I18" s="76">
        <f t="shared" si="72"/>
        <v>0</v>
      </c>
      <c r="J18" s="28">
        <f>IF(PRAZO!D16&gt;0,1/PRAZO!$AM16,0)</f>
        <v>0</v>
      </c>
      <c r="K18" s="76">
        <f t="shared" si="73"/>
        <v>0</v>
      </c>
      <c r="L18" s="28">
        <f>IF(PRAZO!E16&gt;0,1/PRAZO!$AM16,0)</f>
        <v>0</v>
      </c>
      <c r="M18" s="76">
        <f t="shared" si="74"/>
        <v>0</v>
      </c>
      <c r="N18" s="28">
        <f>IF(PRAZO!F16&gt;0,1/PRAZO!$AM16,0)</f>
        <v>0</v>
      </c>
      <c r="O18" s="76">
        <f t="shared" si="75"/>
        <v>0</v>
      </c>
      <c r="P18" s="28">
        <f>IF(PRAZO!G16&gt;0,1/PRAZO!$AM16,0)</f>
        <v>0</v>
      </c>
      <c r="Q18" s="76">
        <f t="shared" si="76"/>
        <v>0</v>
      </c>
      <c r="R18" s="28">
        <f>IF(PRAZO!H16&gt;0,1/PRAZO!$AM16,0)</f>
        <v>0</v>
      </c>
      <c r="S18" s="76">
        <f t="shared" si="77"/>
        <v>0</v>
      </c>
      <c r="T18" s="28">
        <f>IF(PRAZO!I16&gt;0,1/PRAZO!$AM16,0)</f>
        <v>0</v>
      </c>
      <c r="U18" s="76">
        <f t="shared" si="78"/>
        <v>0</v>
      </c>
      <c r="V18" s="28">
        <f>IF(PRAZO!J16&gt;0,1/PRAZO!$AM16,0)</f>
        <v>0</v>
      </c>
      <c r="W18" s="76">
        <f t="shared" si="79"/>
        <v>0</v>
      </c>
      <c r="X18" s="28">
        <f>IF(PRAZO!K16&gt;0,1/PRAZO!$AM16,0)</f>
        <v>0</v>
      </c>
      <c r="Y18" s="76">
        <f t="shared" si="80"/>
        <v>0</v>
      </c>
      <c r="Z18" s="28">
        <f>IF(PRAZO!L16&gt;0,1/PRAZO!$AM16,0)</f>
        <v>0</v>
      </c>
      <c r="AA18" s="76">
        <f t="shared" si="81"/>
        <v>0</v>
      </c>
      <c r="AB18" s="28">
        <f>IF(PRAZO!M16&gt;0,1/PRAZO!$AM16,0)</f>
        <v>0</v>
      </c>
      <c r="AC18" s="76">
        <f t="shared" si="82"/>
        <v>0</v>
      </c>
      <c r="AD18" s="28">
        <f>IF(PRAZO!N16&gt;0,1/PRAZO!$AM16,0)</f>
        <v>0</v>
      </c>
      <c r="AE18" s="76">
        <f t="shared" si="83"/>
        <v>0</v>
      </c>
      <c r="AF18" s="28">
        <f>IF(PRAZO!O16&gt;0,1/PRAZO!$AM16,0)</f>
        <v>0</v>
      </c>
      <c r="AG18" s="76">
        <f t="shared" si="84"/>
        <v>0</v>
      </c>
      <c r="AH18" s="28">
        <f>IF(PRAZO!P16&gt;0,1/PRAZO!$AM16,0)</f>
        <v>0</v>
      </c>
      <c r="AI18" s="76">
        <f t="shared" si="85"/>
        <v>0</v>
      </c>
      <c r="AJ18" s="28">
        <f>IF(PRAZO!Q16&gt;0,1/PRAZO!$AM16,0)</f>
        <v>9.0909090909090912E-2</v>
      </c>
      <c r="AK18" s="76">
        <f t="shared" si="86"/>
        <v>27251.494545454552</v>
      </c>
      <c r="AL18" s="28">
        <f>IF(PRAZO!R16&gt;0,1/PRAZO!$AM16,0)</f>
        <v>9.0909090909090912E-2</v>
      </c>
      <c r="AM18" s="76">
        <f t="shared" si="87"/>
        <v>27251.494545454552</v>
      </c>
      <c r="AN18" s="28">
        <f>IF(PRAZO!S16&gt;0,1/PRAZO!$AM16,0)</f>
        <v>9.0909090909090912E-2</v>
      </c>
      <c r="AO18" s="76">
        <f t="shared" si="88"/>
        <v>27251.494545454552</v>
      </c>
      <c r="AP18" s="28">
        <f>IF(PRAZO!T16&gt;0,1/PRAZO!$AM16,0)</f>
        <v>9.0909090909090912E-2</v>
      </c>
      <c r="AQ18" s="76">
        <f t="shared" si="89"/>
        <v>27251.494545454552</v>
      </c>
      <c r="AR18" s="28">
        <f>IF(PRAZO!U16&gt;0,1/PRAZO!$AM16,0)</f>
        <v>9.0909090909090912E-2</v>
      </c>
      <c r="AS18" s="76">
        <f t="shared" si="90"/>
        <v>27251.494545454552</v>
      </c>
      <c r="AT18" s="28">
        <f>IF(PRAZO!V16&gt;0,1/PRAZO!$AM16,0)</f>
        <v>9.0909090909090912E-2</v>
      </c>
      <c r="AU18" s="76">
        <f t="shared" si="91"/>
        <v>27251.494545454552</v>
      </c>
      <c r="AV18" s="28">
        <f>IF(PRAZO!W16&gt;0,1/PRAZO!$AM16,0)</f>
        <v>9.0909090909090912E-2</v>
      </c>
      <c r="AW18" s="76">
        <f t="shared" si="92"/>
        <v>27251.494545454552</v>
      </c>
      <c r="AX18" s="28">
        <f>IF(PRAZO!X16&gt;0,1/PRAZO!$AM16,0)</f>
        <v>9.0909090909090912E-2</v>
      </c>
      <c r="AY18" s="76">
        <f t="shared" si="93"/>
        <v>27251.494545454552</v>
      </c>
      <c r="AZ18" s="28">
        <f>IF(PRAZO!Y16&gt;0,1/PRAZO!$AM16,0)</f>
        <v>9.0909090909090912E-2</v>
      </c>
      <c r="BA18" s="76">
        <f t="shared" si="94"/>
        <v>27251.494545454552</v>
      </c>
      <c r="BB18" s="28">
        <f>IF(PRAZO!Z16&gt;0,1/PRAZO!$AM16,0)</f>
        <v>9.0909090909090912E-2</v>
      </c>
      <c r="BC18" s="76">
        <f t="shared" si="95"/>
        <v>27251.494545454552</v>
      </c>
      <c r="BD18" s="28">
        <f>IF(PRAZO!AA16&gt;0,1/PRAZO!$AM16,0)</f>
        <v>9.0909090909090912E-2</v>
      </c>
      <c r="BE18" s="76">
        <f t="shared" si="96"/>
        <v>27251.494545454552</v>
      </c>
      <c r="BF18" s="28">
        <f>IF(PRAZO!AB16&gt;0,1/PRAZO!$AM16,0)</f>
        <v>0</v>
      </c>
      <c r="BG18" s="76">
        <f t="shared" si="97"/>
        <v>0</v>
      </c>
      <c r="BH18" s="28">
        <f>IF(PRAZO!AC16&gt;0,1/PRAZO!$AM16,0)</f>
        <v>0</v>
      </c>
      <c r="BI18" s="76">
        <f t="shared" si="98"/>
        <v>0</v>
      </c>
      <c r="BJ18" s="28">
        <f>IF(PRAZO!AD16&gt;0,1/PRAZO!$AM16,0)</f>
        <v>0</v>
      </c>
      <c r="BK18" s="76">
        <f t="shared" si="99"/>
        <v>0</v>
      </c>
      <c r="BL18" s="28">
        <f>IF(PRAZO!AE16&gt;0,1/PRAZO!$AM16,0)</f>
        <v>0</v>
      </c>
      <c r="BM18" s="76">
        <f t="shared" si="100"/>
        <v>0</v>
      </c>
      <c r="BN18" s="28">
        <f>IF(PRAZO!AF16&gt;0,1/PRAZO!$AM16,0)</f>
        <v>0</v>
      </c>
      <c r="BO18" s="76">
        <f t="shared" si="101"/>
        <v>0</v>
      </c>
      <c r="BP18" s="28">
        <f>IF(PRAZO!AG16&gt;0,1/PRAZO!$AM16,0)</f>
        <v>0</v>
      </c>
      <c r="BQ18" s="76">
        <f t="shared" si="102"/>
        <v>0</v>
      </c>
      <c r="BR18" s="28">
        <f>IF(PRAZO!AH16&gt;0,1/PRAZO!$AM16,0)</f>
        <v>0</v>
      </c>
      <c r="BS18" s="76">
        <f t="shared" si="103"/>
        <v>0</v>
      </c>
      <c r="BT18" s="28">
        <f>IF(PRAZO!AI16&gt;0,1/PRAZO!$AM16,0)</f>
        <v>0</v>
      </c>
      <c r="BU18" s="76">
        <f t="shared" si="104"/>
        <v>0</v>
      </c>
      <c r="BV18" s="28">
        <f>IF(PRAZO!AJ16&gt;0,1/PRAZO!$AM16,0)</f>
        <v>0</v>
      </c>
      <c r="BW18" s="76">
        <f t="shared" si="35"/>
        <v>0</v>
      </c>
      <c r="BX18" s="28">
        <f>IF(PRAZO!AK16&gt;0,1/PRAZO!$AM16,0)</f>
        <v>0</v>
      </c>
      <c r="BY18" s="76">
        <f t="shared" si="36"/>
        <v>0</v>
      </c>
      <c r="BZ18" s="28">
        <f>IF(PRAZO!AL16&gt;0,1/PRAZO!$AM16,0)</f>
        <v>0</v>
      </c>
      <c r="CA18" s="76">
        <f t="shared" si="105"/>
        <v>0</v>
      </c>
    </row>
    <row r="19" spans="2:80" ht="19.5" customHeight="1" x14ac:dyDescent="0.25">
      <c r="B19" s="45" t="s">
        <v>61</v>
      </c>
      <c r="C19" s="57">
        <v>918707.1322750001</v>
      </c>
      <c r="D19" s="46">
        <f t="shared" si="0"/>
        <v>4.4291249599389841E-2</v>
      </c>
      <c r="E19" s="59">
        <f>C19/'DISTRIBUIÇÃO CUSTO'!C$30</f>
        <v>252.89368810525278</v>
      </c>
      <c r="F19" s="73">
        <f t="shared" si="1"/>
        <v>1</v>
      </c>
      <c r="H19" s="47">
        <f>IF(PRAZO!C17&gt;0,1/PRAZO!$AM17,0)</f>
        <v>0</v>
      </c>
      <c r="I19" s="48">
        <f t="shared" si="72"/>
        <v>0</v>
      </c>
      <c r="J19" s="49">
        <f>IF(PRAZO!D17&gt;0,1/PRAZO!$AM17,0)</f>
        <v>0</v>
      </c>
      <c r="K19" s="48">
        <f t="shared" si="73"/>
        <v>0</v>
      </c>
      <c r="L19" s="49">
        <f>IF(PRAZO!E17&gt;0,1/PRAZO!$AM17,0)</f>
        <v>0</v>
      </c>
      <c r="M19" s="48">
        <f t="shared" si="74"/>
        <v>0</v>
      </c>
      <c r="N19" s="49">
        <f>IF(PRAZO!F17&gt;0,1/PRAZO!$AM17,0)</f>
        <v>0</v>
      </c>
      <c r="O19" s="48">
        <f t="shared" si="75"/>
        <v>0</v>
      </c>
      <c r="P19" s="49">
        <f>IF(PRAZO!G17&gt;0,1/PRAZO!$AM17,0)</f>
        <v>0</v>
      </c>
      <c r="Q19" s="48">
        <f t="shared" si="76"/>
        <v>0</v>
      </c>
      <c r="R19" s="49">
        <f>IF(PRAZO!H17&gt;0,1/PRAZO!$AM17,0)</f>
        <v>0</v>
      </c>
      <c r="S19" s="48">
        <f t="shared" si="77"/>
        <v>0</v>
      </c>
      <c r="T19" s="49">
        <f>IF(PRAZO!I17&gt;0,1/PRAZO!$AM17,0)</f>
        <v>0</v>
      </c>
      <c r="U19" s="48">
        <f t="shared" si="78"/>
        <v>0</v>
      </c>
      <c r="V19" s="49">
        <f>IF(PRAZO!J17&gt;0,1/PRAZO!$AM17,0)</f>
        <v>0</v>
      </c>
      <c r="W19" s="48">
        <f t="shared" si="79"/>
        <v>0</v>
      </c>
      <c r="X19" s="49">
        <f>IF(PRAZO!K17&gt;0,1/PRAZO!$AM17,0)</f>
        <v>0</v>
      </c>
      <c r="Y19" s="48">
        <f t="shared" si="80"/>
        <v>0</v>
      </c>
      <c r="Z19" s="49">
        <f>IF(PRAZO!L17&gt;0,1/PRAZO!$AM17,0)</f>
        <v>0</v>
      </c>
      <c r="AA19" s="48">
        <f t="shared" si="81"/>
        <v>0</v>
      </c>
      <c r="AB19" s="49">
        <f>IF(PRAZO!M17&gt;0,1/PRAZO!$AM17,0)</f>
        <v>0</v>
      </c>
      <c r="AC19" s="48">
        <f t="shared" si="82"/>
        <v>0</v>
      </c>
      <c r="AD19" s="49">
        <f>IF(PRAZO!N17&gt;0,1/PRAZO!$AM17,0)</f>
        <v>0</v>
      </c>
      <c r="AE19" s="48">
        <f t="shared" si="83"/>
        <v>0</v>
      </c>
      <c r="AF19" s="49">
        <f>IF(PRAZO!O17&gt;0,1/PRAZO!$AM17,0)</f>
        <v>0</v>
      </c>
      <c r="AG19" s="48">
        <f t="shared" si="84"/>
        <v>0</v>
      </c>
      <c r="AH19" s="49">
        <f>IF(PRAZO!P17&gt;0,1/PRAZO!$AM17,0)</f>
        <v>5.8823529411764705E-2</v>
      </c>
      <c r="AI19" s="48">
        <f t="shared" si="85"/>
        <v>54041.596016176474</v>
      </c>
      <c r="AJ19" s="49">
        <f>IF(PRAZO!Q17&gt;0,1/PRAZO!$AM17,0)</f>
        <v>5.8823529411764705E-2</v>
      </c>
      <c r="AK19" s="48">
        <f t="shared" si="86"/>
        <v>54041.596016176474</v>
      </c>
      <c r="AL19" s="49">
        <f>IF(PRAZO!R17&gt;0,1/PRAZO!$AM17,0)</f>
        <v>5.8823529411764705E-2</v>
      </c>
      <c r="AM19" s="48">
        <f t="shared" si="87"/>
        <v>54041.596016176474</v>
      </c>
      <c r="AN19" s="49">
        <f>IF(PRAZO!S17&gt;0,1/PRAZO!$AM17,0)</f>
        <v>5.8823529411764705E-2</v>
      </c>
      <c r="AO19" s="48">
        <f t="shared" si="88"/>
        <v>54041.596016176474</v>
      </c>
      <c r="AP19" s="49">
        <f>IF(PRAZO!T17&gt;0,1/PRAZO!$AM17,0)</f>
        <v>5.8823529411764705E-2</v>
      </c>
      <c r="AQ19" s="48">
        <f t="shared" si="89"/>
        <v>54041.596016176474</v>
      </c>
      <c r="AR19" s="49">
        <f>IF(PRAZO!U17&gt;0,1/PRAZO!$AM17,0)</f>
        <v>5.8823529411764705E-2</v>
      </c>
      <c r="AS19" s="48">
        <f t="shared" si="90"/>
        <v>54041.596016176474</v>
      </c>
      <c r="AT19" s="49">
        <f>IF(PRAZO!V17&gt;0,1/PRAZO!$AM17,0)</f>
        <v>5.8823529411764705E-2</v>
      </c>
      <c r="AU19" s="48">
        <f t="shared" si="91"/>
        <v>54041.596016176474</v>
      </c>
      <c r="AV19" s="49">
        <f>IF(PRAZO!W17&gt;0,1/PRAZO!$AM17,0)</f>
        <v>5.8823529411764705E-2</v>
      </c>
      <c r="AW19" s="48">
        <f t="shared" si="92"/>
        <v>54041.596016176474</v>
      </c>
      <c r="AX19" s="49">
        <f>IF(PRAZO!X17&gt;0,1/PRAZO!$AM17,0)</f>
        <v>5.8823529411764705E-2</v>
      </c>
      <c r="AY19" s="48">
        <f t="shared" si="93"/>
        <v>54041.596016176474</v>
      </c>
      <c r="AZ19" s="49">
        <f>IF(PRAZO!Y17&gt;0,1/PRAZO!$AM17,0)</f>
        <v>5.8823529411764705E-2</v>
      </c>
      <c r="BA19" s="48">
        <f t="shared" si="94"/>
        <v>54041.596016176474</v>
      </c>
      <c r="BB19" s="49">
        <f>IF(PRAZO!Z17&gt;0,1/PRAZO!$AM17,0)</f>
        <v>5.8823529411764705E-2</v>
      </c>
      <c r="BC19" s="48">
        <f t="shared" si="95"/>
        <v>54041.596016176474</v>
      </c>
      <c r="BD19" s="49">
        <f>IF(PRAZO!AA17&gt;0,1/PRAZO!$AM17,0)</f>
        <v>5.8823529411764705E-2</v>
      </c>
      <c r="BE19" s="48">
        <f t="shared" si="96"/>
        <v>54041.596016176474</v>
      </c>
      <c r="BF19" s="49">
        <f>IF(PRAZO!AB17&gt;0,1/PRAZO!$AM17,0)</f>
        <v>5.8823529411764705E-2</v>
      </c>
      <c r="BG19" s="48">
        <f t="shared" si="97"/>
        <v>54041.596016176474</v>
      </c>
      <c r="BH19" s="49">
        <f>IF(PRAZO!AC17&gt;0,1/PRAZO!$AM17,0)</f>
        <v>5.8823529411764705E-2</v>
      </c>
      <c r="BI19" s="48">
        <f t="shared" si="98"/>
        <v>54041.596016176474</v>
      </c>
      <c r="BJ19" s="49">
        <f>IF(PRAZO!AD17&gt;0,1/PRAZO!$AM17,0)</f>
        <v>5.8823529411764705E-2</v>
      </c>
      <c r="BK19" s="48">
        <f t="shared" si="99"/>
        <v>54041.596016176474</v>
      </c>
      <c r="BL19" s="49">
        <f>IF(PRAZO!AE17&gt;0,1/PRAZO!$AM17,0)</f>
        <v>5.8823529411764705E-2</v>
      </c>
      <c r="BM19" s="48">
        <f t="shared" si="100"/>
        <v>54041.596016176474</v>
      </c>
      <c r="BN19" s="49">
        <f>IF(PRAZO!AF17&gt;0,1/PRAZO!$AM17,0)</f>
        <v>5.8823529411764705E-2</v>
      </c>
      <c r="BO19" s="48">
        <f t="shared" si="101"/>
        <v>54041.596016176474</v>
      </c>
      <c r="BP19" s="49">
        <f>IF(PRAZO!AG17&gt;0,1/PRAZO!$AM17,0)</f>
        <v>0</v>
      </c>
      <c r="BQ19" s="48">
        <f t="shared" si="102"/>
        <v>0</v>
      </c>
      <c r="BR19" s="49">
        <f>IF(PRAZO!AH17&gt;0,1/PRAZO!$AM17,0)</f>
        <v>0</v>
      </c>
      <c r="BS19" s="48">
        <f t="shared" si="103"/>
        <v>0</v>
      </c>
      <c r="BT19" s="49">
        <f>IF(PRAZO!AI17&gt;0,1/PRAZO!$AM17,0)</f>
        <v>0</v>
      </c>
      <c r="BU19" s="48">
        <f t="shared" si="104"/>
        <v>0</v>
      </c>
      <c r="BV19" s="49">
        <f>IF(PRAZO!AJ17&gt;0,1/PRAZO!$AM17,0)</f>
        <v>0</v>
      </c>
      <c r="BW19" s="48">
        <f t="shared" si="35"/>
        <v>0</v>
      </c>
      <c r="BX19" s="49">
        <f>IF(PRAZO!AK17&gt;0,1/PRAZO!$AM17,0)</f>
        <v>0</v>
      </c>
      <c r="BY19" s="48">
        <f t="shared" si="36"/>
        <v>0</v>
      </c>
      <c r="BZ19" s="49">
        <f>IF(PRAZO!AL17&gt;0,1/PRAZO!$AM17,0)</f>
        <v>0</v>
      </c>
      <c r="CA19" s="48">
        <f t="shared" si="105"/>
        <v>0</v>
      </c>
    </row>
    <row r="20" spans="2:80" ht="19.5" customHeight="1" x14ac:dyDescent="0.25">
      <c r="B20" s="41" t="s">
        <v>62</v>
      </c>
      <c r="C20" s="58">
        <v>678657.63479999988</v>
      </c>
      <c r="D20" s="29">
        <f t="shared" si="0"/>
        <v>3.2718364361691704E-2</v>
      </c>
      <c r="E20" s="60">
        <f>C20/'DISTRIBUIÇÃO CUSTO'!C$30</f>
        <v>186.81495570885104</v>
      </c>
      <c r="F20" s="74">
        <f t="shared" si="1"/>
        <v>1.0000000000000002</v>
      </c>
      <c r="H20" s="28">
        <f>IF(PRAZO!C18&gt;0,1/PRAZO!$AM18,0)</f>
        <v>0</v>
      </c>
      <c r="I20" s="76">
        <f t="shared" si="72"/>
        <v>0</v>
      </c>
      <c r="J20" s="28">
        <f>IF(PRAZO!D18&gt;0,1/PRAZO!$AM18,0)</f>
        <v>0</v>
      </c>
      <c r="K20" s="76">
        <f t="shared" si="73"/>
        <v>0</v>
      </c>
      <c r="L20" s="28">
        <f>IF(PRAZO!E18&gt;0,1/PRAZO!$AM18,0)</f>
        <v>0</v>
      </c>
      <c r="M20" s="76">
        <f t="shared" si="74"/>
        <v>0</v>
      </c>
      <c r="N20" s="28">
        <f>IF(PRAZO!F18&gt;0,1/PRAZO!$AM18,0)</f>
        <v>0</v>
      </c>
      <c r="O20" s="76">
        <f t="shared" si="75"/>
        <v>0</v>
      </c>
      <c r="P20" s="28">
        <f>IF(PRAZO!G18&gt;0,1/PRAZO!$AM18,0)</f>
        <v>0</v>
      </c>
      <c r="Q20" s="76">
        <f t="shared" si="76"/>
        <v>0</v>
      </c>
      <c r="R20" s="28">
        <f>IF(PRAZO!H18&gt;0,1/PRAZO!$AM18,0)</f>
        <v>0</v>
      </c>
      <c r="S20" s="76">
        <f t="shared" si="77"/>
        <v>0</v>
      </c>
      <c r="T20" s="28">
        <f>IF(PRAZO!I18&gt;0,1/PRAZO!$AM18,0)</f>
        <v>0</v>
      </c>
      <c r="U20" s="76">
        <f t="shared" si="78"/>
        <v>0</v>
      </c>
      <c r="V20" s="28">
        <f>IF(PRAZO!J18&gt;0,1/PRAZO!$AM18,0)</f>
        <v>0</v>
      </c>
      <c r="W20" s="76">
        <f t="shared" si="79"/>
        <v>0</v>
      </c>
      <c r="X20" s="28">
        <f>IF(PRAZO!K18&gt;0,1/PRAZO!$AM18,0)</f>
        <v>0</v>
      </c>
      <c r="Y20" s="76">
        <f t="shared" si="80"/>
        <v>0</v>
      </c>
      <c r="Z20" s="28">
        <f>IF(PRAZO!L18&gt;0,1/PRAZO!$AM18,0)</f>
        <v>0</v>
      </c>
      <c r="AA20" s="76">
        <f t="shared" si="81"/>
        <v>0</v>
      </c>
      <c r="AB20" s="28">
        <f>IF(PRAZO!M18&gt;0,1/PRAZO!$AM18,0)</f>
        <v>0</v>
      </c>
      <c r="AC20" s="76">
        <f t="shared" si="82"/>
        <v>0</v>
      </c>
      <c r="AD20" s="28">
        <f>IF(PRAZO!N18&gt;0,1/PRAZO!$AM18,0)</f>
        <v>0</v>
      </c>
      <c r="AE20" s="76">
        <f t="shared" si="83"/>
        <v>0</v>
      </c>
      <c r="AF20" s="28">
        <f>IF(PRAZO!O18&gt;0,1/PRAZO!$AM18,0)</f>
        <v>0</v>
      </c>
      <c r="AG20" s="76">
        <f t="shared" si="84"/>
        <v>0</v>
      </c>
      <c r="AH20" s="28">
        <f>IF(PRAZO!P18&gt;0,1/PRAZO!$AM18,0)</f>
        <v>0</v>
      </c>
      <c r="AI20" s="76">
        <f t="shared" si="85"/>
        <v>0</v>
      </c>
      <c r="AJ20" s="28">
        <f>IF(PRAZO!Q18&gt;0,1/PRAZO!$AM18,0)</f>
        <v>0</v>
      </c>
      <c r="AK20" s="76">
        <f t="shared" si="86"/>
        <v>0</v>
      </c>
      <c r="AL20" s="28">
        <f>IF(PRAZO!R18&gt;0,1/PRAZO!$AM18,0)</f>
        <v>5.5555555555555552E-2</v>
      </c>
      <c r="AM20" s="76">
        <f t="shared" si="87"/>
        <v>37703.201933333323</v>
      </c>
      <c r="AN20" s="28">
        <f>IF(PRAZO!S18&gt;0,1/PRAZO!$AM18,0)</f>
        <v>5.5555555555555552E-2</v>
      </c>
      <c r="AO20" s="76">
        <f t="shared" si="88"/>
        <v>37703.201933333323</v>
      </c>
      <c r="AP20" s="28">
        <f>IF(PRAZO!T18&gt;0,1/PRAZO!$AM18,0)</f>
        <v>5.5555555555555552E-2</v>
      </c>
      <c r="AQ20" s="76">
        <f t="shared" si="89"/>
        <v>37703.201933333323</v>
      </c>
      <c r="AR20" s="28">
        <f>IF(PRAZO!U18&gt;0,1/PRAZO!$AM18,0)</f>
        <v>5.5555555555555552E-2</v>
      </c>
      <c r="AS20" s="76">
        <f t="shared" si="90"/>
        <v>37703.201933333323</v>
      </c>
      <c r="AT20" s="28">
        <f>IF(PRAZO!V18&gt;0,1/PRAZO!$AM18,0)</f>
        <v>5.5555555555555552E-2</v>
      </c>
      <c r="AU20" s="76">
        <f t="shared" si="91"/>
        <v>37703.201933333323</v>
      </c>
      <c r="AV20" s="28">
        <f>IF(PRAZO!W18&gt;0,1/PRAZO!$AM18,0)</f>
        <v>5.5555555555555552E-2</v>
      </c>
      <c r="AW20" s="76">
        <f t="shared" si="92"/>
        <v>37703.201933333323</v>
      </c>
      <c r="AX20" s="28">
        <f>IF(PRAZO!X18&gt;0,1/PRAZO!$AM18,0)</f>
        <v>5.5555555555555552E-2</v>
      </c>
      <c r="AY20" s="76">
        <f t="shared" si="93"/>
        <v>37703.201933333323</v>
      </c>
      <c r="AZ20" s="28">
        <f>IF(PRAZO!Y18&gt;0,1/PRAZO!$AM18,0)</f>
        <v>5.5555555555555552E-2</v>
      </c>
      <c r="BA20" s="76">
        <f t="shared" si="94"/>
        <v>37703.201933333323</v>
      </c>
      <c r="BB20" s="28">
        <f>IF(PRAZO!Z18&gt;0,1/PRAZO!$AM18,0)</f>
        <v>5.5555555555555552E-2</v>
      </c>
      <c r="BC20" s="76">
        <f t="shared" si="95"/>
        <v>37703.201933333323</v>
      </c>
      <c r="BD20" s="28">
        <f>IF(PRAZO!AA18&gt;0,1/PRAZO!$AM18,0)</f>
        <v>5.5555555555555552E-2</v>
      </c>
      <c r="BE20" s="76">
        <f t="shared" si="96"/>
        <v>37703.201933333323</v>
      </c>
      <c r="BF20" s="28">
        <f>IF(PRAZO!AB18&gt;0,1/PRAZO!$AM18,0)</f>
        <v>5.5555555555555552E-2</v>
      </c>
      <c r="BG20" s="76">
        <f t="shared" si="97"/>
        <v>37703.201933333323</v>
      </c>
      <c r="BH20" s="28">
        <f>IF(PRAZO!AC18&gt;0,1/PRAZO!$AM18,0)</f>
        <v>5.5555555555555552E-2</v>
      </c>
      <c r="BI20" s="76">
        <f t="shared" si="98"/>
        <v>37703.201933333323</v>
      </c>
      <c r="BJ20" s="28">
        <f>IF(PRAZO!AD18&gt;0,1/PRAZO!$AM18,0)</f>
        <v>5.5555555555555552E-2</v>
      </c>
      <c r="BK20" s="76">
        <f t="shared" si="99"/>
        <v>37703.201933333323</v>
      </c>
      <c r="BL20" s="28">
        <f>IF(PRAZO!AE18&gt;0,1/PRAZO!$AM18,0)</f>
        <v>5.5555555555555552E-2</v>
      </c>
      <c r="BM20" s="76">
        <f t="shared" si="100"/>
        <v>37703.201933333323</v>
      </c>
      <c r="BN20" s="28">
        <f>IF(PRAZO!AF18&gt;0,1/PRAZO!$AM18,0)</f>
        <v>5.5555555555555552E-2</v>
      </c>
      <c r="BO20" s="76">
        <f t="shared" si="101"/>
        <v>37703.201933333323</v>
      </c>
      <c r="BP20" s="28">
        <f>IF(PRAZO!AG18&gt;0,1/PRAZO!$AM18,0)</f>
        <v>5.5555555555555552E-2</v>
      </c>
      <c r="BQ20" s="76">
        <f t="shared" si="102"/>
        <v>37703.201933333323</v>
      </c>
      <c r="BR20" s="28">
        <f>IF(PRAZO!AH18&gt;0,1/PRAZO!$AM18,0)</f>
        <v>5.5555555555555552E-2</v>
      </c>
      <c r="BS20" s="76">
        <f t="shared" si="103"/>
        <v>37703.201933333323</v>
      </c>
      <c r="BT20" s="28">
        <f>IF(PRAZO!AI18&gt;0,1/PRAZO!$AM18,0)</f>
        <v>5.5555555555555552E-2</v>
      </c>
      <c r="BU20" s="76">
        <f t="shared" si="104"/>
        <v>37703.201933333323</v>
      </c>
      <c r="BV20" s="28">
        <f>IF(PRAZO!AJ18&gt;0,1/PRAZO!$AM18,0)</f>
        <v>0</v>
      </c>
      <c r="BW20" s="76">
        <f t="shared" si="35"/>
        <v>0</v>
      </c>
      <c r="BX20" s="28">
        <f>IF(PRAZO!AK18&gt;0,1/PRAZO!$AM18,0)</f>
        <v>0</v>
      </c>
      <c r="BY20" s="76">
        <f t="shared" si="36"/>
        <v>0</v>
      </c>
      <c r="BZ20" s="28">
        <f>IF(PRAZO!AL18&gt;0,1/PRAZO!$AM18,0)</f>
        <v>0</v>
      </c>
      <c r="CA20" s="76">
        <f t="shared" si="105"/>
        <v>0</v>
      </c>
    </row>
    <row r="21" spans="2:80" ht="19.5" customHeight="1" x14ac:dyDescent="0.25">
      <c r="B21" s="45" t="s">
        <v>63</v>
      </c>
      <c r="C21" s="57">
        <v>1379827.368</v>
      </c>
      <c r="D21" s="46">
        <f t="shared" si="0"/>
        <v>6.6522046268237267E-2</v>
      </c>
      <c r="E21" s="59">
        <f>C21/'DISTRIBUIÇÃO CUSTO'!C$30</f>
        <v>379.82684555629578</v>
      </c>
      <c r="F21" s="73">
        <f t="shared" si="1"/>
        <v>0.99999999999999978</v>
      </c>
      <c r="H21" s="47">
        <f>IF(PRAZO!C19&gt;0,1/PRAZO!$AM19,0)</f>
        <v>0</v>
      </c>
      <c r="I21" s="48">
        <f t="shared" si="72"/>
        <v>0</v>
      </c>
      <c r="J21" s="49">
        <f>IF(PRAZO!D19&gt;0,1/PRAZO!$AM19,0)</f>
        <v>0</v>
      </c>
      <c r="K21" s="48">
        <f t="shared" si="73"/>
        <v>0</v>
      </c>
      <c r="L21" s="49">
        <f>IF(PRAZO!E19&gt;0,1/PRAZO!$AM19,0)</f>
        <v>0</v>
      </c>
      <c r="M21" s="48">
        <f t="shared" si="74"/>
        <v>0</v>
      </c>
      <c r="N21" s="49">
        <f>IF(PRAZO!F19&gt;0,1/PRAZO!$AM19,0)</f>
        <v>0</v>
      </c>
      <c r="O21" s="48">
        <f t="shared" si="75"/>
        <v>0</v>
      </c>
      <c r="P21" s="49">
        <f>IF(PRAZO!G19&gt;0,1/PRAZO!$AM19,0)</f>
        <v>0</v>
      </c>
      <c r="Q21" s="48">
        <f t="shared" si="76"/>
        <v>0</v>
      </c>
      <c r="R21" s="49">
        <f>IF(PRAZO!H19&gt;0,1/PRAZO!$AM19,0)</f>
        <v>0</v>
      </c>
      <c r="S21" s="48">
        <f t="shared" si="77"/>
        <v>0</v>
      </c>
      <c r="T21" s="49">
        <f>IF(PRAZO!I19&gt;0,1/PRAZO!$AM19,0)</f>
        <v>0</v>
      </c>
      <c r="U21" s="48">
        <f t="shared" si="78"/>
        <v>0</v>
      </c>
      <c r="V21" s="49">
        <f>IF(PRAZO!J19&gt;0,1/PRAZO!$AM19,0)</f>
        <v>0</v>
      </c>
      <c r="W21" s="48">
        <f t="shared" si="79"/>
        <v>0</v>
      </c>
      <c r="X21" s="49">
        <f>IF(PRAZO!K19&gt;0,1/PRAZO!$AM19,0)</f>
        <v>0</v>
      </c>
      <c r="Y21" s="48">
        <f t="shared" si="80"/>
        <v>0</v>
      </c>
      <c r="Z21" s="49">
        <f>IF(PRAZO!L19&gt;0,1/PRAZO!$AM19,0)</f>
        <v>0</v>
      </c>
      <c r="AA21" s="48">
        <f t="shared" si="81"/>
        <v>0</v>
      </c>
      <c r="AB21" s="49">
        <f>IF(PRAZO!M19&gt;0,1/PRAZO!$AM19,0)</f>
        <v>0</v>
      </c>
      <c r="AC21" s="48">
        <f t="shared" si="82"/>
        <v>0</v>
      </c>
      <c r="AD21" s="49">
        <f>IF(PRAZO!N19&gt;0,1/PRAZO!$AM19,0)</f>
        <v>0</v>
      </c>
      <c r="AE21" s="48">
        <f t="shared" si="83"/>
        <v>0</v>
      </c>
      <c r="AF21" s="49">
        <f>IF(PRAZO!O19&gt;0,1/PRAZO!$AM19,0)</f>
        <v>0</v>
      </c>
      <c r="AG21" s="48">
        <f t="shared" si="84"/>
        <v>0</v>
      </c>
      <c r="AH21" s="49">
        <f>IF(PRAZO!P19&gt;0,1/PRAZO!$AM19,0)</f>
        <v>0</v>
      </c>
      <c r="AI21" s="48">
        <f t="shared" si="85"/>
        <v>0</v>
      </c>
      <c r="AJ21" s="49">
        <f>IF(PRAZO!Q19&gt;0,1/PRAZO!$AM19,0)</f>
        <v>0</v>
      </c>
      <c r="AK21" s="48">
        <f t="shared" si="86"/>
        <v>0</v>
      </c>
      <c r="AL21" s="49">
        <f>IF(PRAZO!R19&gt;0,1/PRAZO!$AM19,0)</f>
        <v>0</v>
      </c>
      <c r="AM21" s="48">
        <f t="shared" si="87"/>
        <v>0</v>
      </c>
      <c r="AN21" s="49">
        <f>IF(PRAZO!S19&gt;0,1/PRAZO!$AM19,0)</f>
        <v>0</v>
      </c>
      <c r="AO21" s="48">
        <f t="shared" si="88"/>
        <v>0</v>
      </c>
      <c r="AP21" s="49">
        <f>IF(PRAZO!T19&gt;0,1/PRAZO!$AM19,0)</f>
        <v>0</v>
      </c>
      <c r="AQ21" s="48">
        <f t="shared" si="89"/>
        <v>0</v>
      </c>
      <c r="AR21" s="49">
        <f>IF(PRAZO!U19&gt;0,1/PRAZO!$AM19,0)</f>
        <v>0</v>
      </c>
      <c r="AS21" s="48">
        <f t="shared" si="90"/>
        <v>0</v>
      </c>
      <c r="AT21" s="49">
        <f>IF(PRAZO!V19&gt;0,1/PRAZO!$AM19,0)</f>
        <v>0</v>
      </c>
      <c r="AU21" s="48">
        <f t="shared" si="91"/>
        <v>0</v>
      </c>
      <c r="AV21" s="49">
        <f>IF(PRAZO!W19&gt;0,1/PRAZO!$AM19,0)</f>
        <v>0</v>
      </c>
      <c r="AW21" s="48">
        <f t="shared" si="92"/>
        <v>0</v>
      </c>
      <c r="AX21" s="49">
        <f>IF(PRAZO!X19&gt;0,1/PRAZO!$AM19,0)</f>
        <v>0</v>
      </c>
      <c r="AY21" s="48">
        <f t="shared" si="93"/>
        <v>0</v>
      </c>
      <c r="AZ21" s="49">
        <f>IF(PRAZO!Y19&gt;0,1/PRAZO!$AM19,0)</f>
        <v>0</v>
      </c>
      <c r="BA21" s="48">
        <f t="shared" si="94"/>
        <v>0</v>
      </c>
      <c r="BB21" s="49">
        <f>IF(PRAZO!Z19&gt;0,1/PRAZO!$AM19,0)</f>
        <v>0</v>
      </c>
      <c r="BC21" s="48">
        <f t="shared" si="95"/>
        <v>0</v>
      </c>
      <c r="BD21" s="49">
        <f>IF(PRAZO!AA19&gt;0,1/PRAZO!$AM19,0)</f>
        <v>0</v>
      </c>
      <c r="BE21" s="48">
        <f t="shared" si="96"/>
        <v>0</v>
      </c>
      <c r="BF21" s="49">
        <f>IF(PRAZO!AB19&gt;0,1/PRAZO!$AM19,0)</f>
        <v>0.14285714285714285</v>
      </c>
      <c r="BG21" s="48">
        <f t="shared" si="97"/>
        <v>197118.19542857143</v>
      </c>
      <c r="BH21" s="49">
        <f>IF(PRAZO!AC19&gt;0,1/PRAZO!$AM19,0)</f>
        <v>0.14285714285714285</v>
      </c>
      <c r="BI21" s="48">
        <f t="shared" si="98"/>
        <v>197118.19542857143</v>
      </c>
      <c r="BJ21" s="49">
        <f>IF(PRAZO!AD19&gt;0,1/PRAZO!$AM19,0)</f>
        <v>0.14285714285714285</v>
      </c>
      <c r="BK21" s="48">
        <f t="shared" si="99"/>
        <v>197118.19542857143</v>
      </c>
      <c r="BL21" s="49">
        <f>IF(PRAZO!AE19&gt;0,1/PRAZO!$AM19,0)</f>
        <v>0.14285714285714285</v>
      </c>
      <c r="BM21" s="48">
        <f t="shared" si="100"/>
        <v>197118.19542857143</v>
      </c>
      <c r="BN21" s="49">
        <f>IF(PRAZO!AF19&gt;0,1/PRAZO!$AM19,0)</f>
        <v>0.14285714285714285</v>
      </c>
      <c r="BO21" s="48">
        <f t="shared" si="101"/>
        <v>197118.19542857143</v>
      </c>
      <c r="BP21" s="49">
        <f>IF(PRAZO!AG19&gt;0,1/PRAZO!$AM19,0)</f>
        <v>0.14285714285714285</v>
      </c>
      <c r="BQ21" s="48">
        <f t="shared" si="102"/>
        <v>197118.19542857143</v>
      </c>
      <c r="BR21" s="49">
        <f>IF(PRAZO!AH19&gt;0,1/PRAZO!$AM19,0)</f>
        <v>0.14285714285714285</v>
      </c>
      <c r="BS21" s="48">
        <f t="shared" si="103"/>
        <v>197118.19542857143</v>
      </c>
      <c r="BT21" s="49">
        <f>IF(PRAZO!AI19&gt;0,1/PRAZO!$AM19,0)</f>
        <v>0</v>
      </c>
      <c r="BU21" s="48">
        <f t="shared" si="104"/>
        <v>0</v>
      </c>
      <c r="BV21" s="49">
        <f>IF(PRAZO!AJ19&gt;0,1/PRAZO!$AM19,0)</f>
        <v>0</v>
      </c>
      <c r="BW21" s="48">
        <f t="shared" si="35"/>
        <v>0</v>
      </c>
      <c r="BX21" s="49">
        <f>IF(PRAZO!AK19&gt;0,1/PRAZO!$AM19,0)</f>
        <v>0</v>
      </c>
      <c r="BY21" s="48">
        <f t="shared" si="36"/>
        <v>0</v>
      </c>
      <c r="BZ21" s="49">
        <f>IF(PRAZO!AL19&gt;0,1/PRAZO!$AM19,0)</f>
        <v>0</v>
      </c>
      <c r="CA21" s="48">
        <f t="shared" si="105"/>
        <v>0</v>
      </c>
    </row>
    <row r="22" spans="2:80" ht="19.5" customHeight="1" x14ac:dyDescent="0.25">
      <c r="B22" s="41" t="s">
        <v>64</v>
      </c>
      <c r="C22" s="58">
        <v>667706.87538079999</v>
      </c>
      <c r="D22" s="29">
        <f t="shared" si="0"/>
        <v>3.2190423735457982E-2</v>
      </c>
      <c r="E22" s="60">
        <f>C22/'DISTRIBUIÇÃO CUSTO'!C$30</f>
        <v>183.8005261482391</v>
      </c>
      <c r="F22" s="74">
        <f t="shared" si="1"/>
        <v>0.99999999999999989</v>
      </c>
      <c r="H22" s="28">
        <f>IF(PRAZO!C20&gt;0,1/PRAZO!$AM20,0)</f>
        <v>0</v>
      </c>
      <c r="I22" s="76">
        <f t="shared" si="72"/>
        <v>0</v>
      </c>
      <c r="J22" s="28">
        <f>IF(PRAZO!D20&gt;0,1/PRAZO!$AM20,0)</f>
        <v>0</v>
      </c>
      <c r="K22" s="76">
        <f t="shared" si="73"/>
        <v>0</v>
      </c>
      <c r="L22" s="28">
        <f>IF(PRAZO!E20&gt;0,1/PRAZO!$AM20,0)</f>
        <v>0</v>
      </c>
      <c r="M22" s="76">
        <f t="shared" si="74"/>
        <v>0</v>
      </c>
      <c r="N22" s="28">
        <f>IF(PRAZO!F20&gt;0,1/PRAZO!$AM20,0)</f>
        <v>0</v>
      </c>
      <c r="O22" s="76">
        <f t="shared" si="75"/>
        <v>0</v>
      </c>
      <c r="P22" s="28">
        <f>IF(PRAZO!G20&gt;0,1/PRAZO!$AM20,0)</f>
        <v>0</v>
      </c>
      <c r="Q22" s="76">
        <f t="shared" si="76"/>
        <v>0</v>
      </c>
      <c r="R22" s="28">
        <f>IF(PRAZO!H20&gt;0,1/PRAZO!$AM20,0)</f>
        <v>0</v>
      </c>
      <c r="S22" s="76">
        <f t="shared" si="77"/>
        <v>0</v>
      </c>
      <c r="T22" s="28">
        <f>IF(PRAZO!I20&gt;0,1/PRAZO!$AM20,0)</f>
        <v>0</v>
      </c>
      <c r="U22" s="76">
        <f t="shared" si="78"/>
        <v>0</v>
      </c>
      <c r="V22" s="28">
        <f>IF(PRAZO!J20&gt;0,1/PRAZO!$AM20,0)</f>
        <v>0</v>
      </c>
      <c r="W22" s="76">
        <f t="shared" si="79"/>
        <v>0</v>
      </c>
      <c r="X22" s="28">
        <f>IF(PRAZO!K20&gt;0,1/PRAZO!$AM20,0)</f>
        <v>0</v>
      </c>
      <c r="Y22" s="76">
        <f t="shared" si="80"/>
        <v>0</v>
      </c>
      <c r="Z22" s="28">
        <f>IF(PRAZO!L20&gt;0,1/PRAZO!$AM20,0)</f>
        <v>0</v>
      </c>
      <c r="AA22" s="76">
        <f t="shared" si="81"/>
        <v>0</v>
      </c>
      <c r="AB22" s="28">
        <f>IF(PRAZO!M20&gt;0,1/PRAZO!$AM20,0)</f>
        <v>0</v>
      </c>
      <c r="AC22" s="76">
        <f t="shared" si="82"/>
        <v>0</v>
      </c>
      <c r="AD22" s="28">
        <f>IF(PRAZO!N20&gt;0,1/PRAZO!$AM20,0)</f>
        <v>0</v>
      </c>
      <c r="AE22" s="76">
        <f t="shared" si="83"/>
        <v>0</v>
      </c>
      <c r="AF22" s="28">
        <f>IF(PRAZO!O20&gt;0,1/PRAZO!$AM20,0)</f>
        <v>0</v>
      </c>
      <c r="AG22" s="76">
        <f t="shared" si="84"/>
        <v>0</v>
      </c>
      <c r="AH22" s="28">
        <f>IF(PRAZO!P20&gt;0,1/PRAZO!$AM20,0)</f>
        <v>0</v>
      </c>
      <c r="AI22" s="76">
        <f t="shared" si="85"/>
        <v>0</v>
      </c>
      <c r="AJ22" s="28">
        <f>IF(PRAZO!Q20&gt;0,1/PRAZO!$AM20,0)</f>
        <v>0</v>
      </c>
      <c r="AK22" s="76">
        <f t="shared" si="86"/>
        <v>0</v>
      </c>
      <c r="AL22" s="28">
        <f>IF(PRAZO!R20&gt;0,1/PRAZO!$AM20,0)</f>
        <v>0</v>
      </c>
      <c r="AM22" s="76">
        <f t="shared" si="87"/>
        <v>0</v>
      </c>
      <c r="AN22" s="28">
        <f>IF(PRAZO!S20&gt;0,1/PRAZO!$AM20,0)</f>
        <v>0</v>
      </c>
      <c r="AO22" s="76">
        <f t="shared" si="88"/>
        <v>0</v>
      </c>
      <c r="AP22" s="28">
        <f>IF(PRAZO!T20&gt;0,1/PRAZO!$AM20,0)</f>
        <v>0</v>
      </c>
      <c r="AQ22" s="76">
        <f t="shared" si="89"/>
        <v>0</v>
      </c>
      <c r="AR22" s="28">
        <f>IF(PRAZO!U20&gt;0,1/PRAZO!$AM20,0)</f>
        <v>0</v>
      </c>
      <c r="AS22" s="76">
        <f t="shared" si="90"/>
        <v>0</v>
      </c>
      <c r="AT22" s="28">
        <f>IF(PRAZO!V20&gt;0,1/PRAZO!$AM20,0)</f>
        <v>0</v>
      </c>
      <c r="AU22" s="76">
        <f t="shared" si="91"/>
        <v>0</v>
      </c>
      <c r="AV22" s="28">
        <f>IF(PRAZO!W20&gt;0,1/PRAZO!$AM20,0)</f>
        <v>0.1</v>
      </c>
      <c r="AW22" s="76">
        <f t="shared" si="92"/>
        <v>66770.687538080005</v>
      </c>
      <c r="AX22" s="28">
        <f>IF(PRAZO!X20&gt;0,1/PRAZO!$AM20,0)</f>
        <v>0.1</v>
      </c>
      <c r="AY22" s="76">
        <f t="shared" si="93"/>
        <v>66770.687538080005</v>
      </c>
      <c r="AZ22" s="28">
        <f>IF(PRAZO!Y20&gt;0,1/PRAZO!$AM20,0)</f>
        <v>0.1</v>
      </c>
      <c r="BA22" s="76">
        <f t="shared" si="94"/>
        <v>66770.687538080005</v>
      </c>
      <c r="BB22" s="28">
        <f>IF(PRAZO!Z20&gt;0,1/PRAZO!$AM20,0)</f>
        <v>0.1</v>
      </c>
      <c r="BC22" s="76">
        <f t="shared" si="95"/>
        <v>66770.687538080005</v>
      </c>
      <c r="BD22" s="28">
        <f>IF(PRAZO!AA20&gt;0,1/PRAZO!$AM20,0)</f>
        <v>0.1</v>
      </c>
      <c r="BE22" s="76">
        <f t="shared" si="96"/>
        <v>66770.687538080005</v>
      </c>
      <c r="BF22" s="28">
        <f>IF(PRAZO!AB20&gt;0,1/PRAZO!$AM20,0)</f>
        <v>0.1</v>
      </c>
      <c r="BG22" s="76">
        <f t="shared" si="97"/>
        <v>66770.687538080005</v>
      </c>
      <c r="BH22" s="28">
        <f>IF(PRAZO!AC20&gt;0,1/PRAZO!$AM20,0)</f>
        <v>0.1</v>
      </c>
      <c r="BI22" s="76">
        <f t="shared" si="98"/>
        <v>66770.687538080005</v>
      </c>
      <c r="BJ22" s="28">
        <f>IF(PRAZO!AD20&gt;0,1/PRAZO!$AM20,0)</f>
        <v>0.1</v>
      </c>
      <c r="BK22" s="76">
        <f t="shared" si="99"/>
        <v>66770.687538080005</v>
      </c>
      <c r="BL22" s="28">
        <f>IF(PRAZO!AE20&gt;0,1/PRAZO!$AM20,0)</f>
        <v>0.1</v>
      </c>
      <c r="BM22" s="76">
        <f t="shared" si="100"/>
        <v>66770.687538080005</v>
      </c>
      <c r="BN22" s="28">
        <f>IF(PRAZO!AF20&gt;0,1/PRAZO!$AM20,0)</f>
        <v>0.1</v>
      </c>
      <c r="BO22" s="76">
        <f t="shared" si="101"/>
        <v>66770.687538080005</v>
      </c>
      <c r="BP22" s="28">
        <f>IF(PRAZO!AG20&gt;0,1/PRAZO!$AM20,0)</f>
        <v>0</v>
      </c>
      <c r="BQ22" s="76">
        <f t="shared" si="102"/>
        <v>0</v>
      </c>
      <c r="BR22" s="28">
        <f>IF(PRAZO!AH20&gt;0,1/PRAZO!$AM20,0)</f>
        <v>0</v>
      </c>
      <c r="BS22" s="76">
        <f t="shared" si="103"/>
        <v>0</v>
      </c>
      <c r="BT22" s="28">
        <f>IF(PRAZO!AI20&gt;0,1/PRAZO!$AM20,0)</f>
        <v>0</v>
      </c>
      <c r="BU22" s="76">
        <f t="shared" si="104"/>
        <v>0</v>
      </c>
      <c r="BV22" s="28">
        <f>IF(PRAZO!AJ20&gt;0,1/PRAZO!$AM20,0)</f>
        <v>0</v>
      </c>
      <c r="BW22" s="76">
        <f t="shared" si="35"/>
        <v>0</v>
      </c>
      <c r="BX22" s="28">
        <f>IF(PRAZO!AK20&gt;0,1/PRAZO!$AM20,0)</f>
        <v>0</v>
      </c>
      <c r="BY22" s="76">
        <f t="shared" si="36"/>
        <v>0</v>
      </c>
      <c r="BZ22" s="28">
        <f>IF(PRAZO!AL20&gt;0,1/PRAZO!$AM20,0)</f>
        <v>0</v>
      </c>
      <c r="CA22" s="76">
        <f t="shared" si="105"/>
        <v>0</v>
      </c>
    </row>
    <row r="23" spans="2:80" ht="19.5" customHeight="1" x14ac:dyDescent="0.25">
      <c r="B23" s="45" t="s">
        <v>65</v>
      </c>
      <c r="C23" s="57">
        <v>965572.16800000006</v>
      </c>
      <c r="D23" s="46">
        <f t="shared" si="0"/>
        <v>4.6550632292588483E-2</v>
      </c>
      <c r="E23" s="59">
        <f>C23/'DISTRIBUIÇÃO CUSTO'!C$30</f>
        <v>265.79428646931552</v>
      </c>
      <c r="F23" s="73">
        <f t="shared" si="1"/>
        <v>0.99999999999999989</v>
      </c>
      <c r="H23" s="47">
        <f>IF(PRAZO!C21&gt;0,1/PRAZO!$AM21,0)</f>
        <v>0</v>
      </c>
      <c r="I23" s="48">
        <f t="shared" si="72"/>
        <v>0</v>
      </c>
      <c r="J23" s="49">
        <f>IF(PRAZO!D21&gt;0,1/PRAZO!$AM21,0)</f>
        <v>0</v>
      </c>
      <c r="K23" s="48">
        <f t="shared" si="73"/>
        <v>0</v>
      </c>
      <c r="L23" s="49">
        <f>IF(PRAZO!E21&gt;0,1/PRAZO!$AM21,0)</f>
        <v>0</v>
      </c>
      <c r="M23" s="48">
        <f t="shared" si="74"/>
        <v>0</v>
      </c>
      <c r="N23" s="49">
        <f>IF(PRAZO!F21&gt;0,1/PRAZO!$AM21,0)</f>
        <v>0</v>
      </c>
      <c r="O23" s="48">
        <f t="shared" si="75"/>
        <v>0</v>
      </c>
      <c r="P23" s="49">
        <f>IF(PRAZO!G21&gt;0,1/PRAZO!$AM21,0)</f>
        <v>0</v>
      </c>
      <c r="Q23" s="48">
        <f t="shared" si="76"/>
        <v>0</v>
      </c>
      <c r="R23" s="49">
        <f>IF(PRAZO!H21&gt;0,1/PRAZO!$AM21,0)</f>
        <v>0</v>
      </c>
      <c r="S23" s="48">
        <f t="shared" si="77"/>
        <v>0</v>
      </c>
      <c r="T23" s="49">
        <f>IF(PRAZO!I21&gt;0,1/PRAZO!$AM21,0)</f>
        <v>0</v>
      </c>
      <c r="U23" s="48">
        <f t="shared" si="78"/>
        <v>0</v>
      </c>
      <c r="V23" s="49">
        <f>IF(PRAZO!J21&gt;0,1/PRAZO!$AM21,0)</f>
        <v>0</v>
      </c>
      <c r="W23" s="48">
        <f t="shared" si="79"/>
        <v>0</v>
      </c>
      <c r="X23" s="49">
        <f>IF(PRAZO!K21&gt;0,1/PRAZO!$AM21,0)</f>
        <v>0</v>
      </c>
      <c r="Y23" s="48">
        <f t="shared" si="80"/>
        <v>0</v>
      </c>
      <c r="Z23" s="49">
        <f>IF(PRAZO!L21&gt;0,1/PRAZO!$AM21,0)</f>
        <v>0</v>
      </c>
      <c r="AA23" s="48">
        <f t="shared" si="81"/>
        <v>0</v>
      </c>
      <c r="AB23" s="49">
        <f>IF(PRAZO!M21&gt;0,1/PRAZO!$AM21,0)</f>
        <v>0</v>
      </c>
      <c r="AC23" s="48">
        <f t="shared" si="82"/>
        <v>0</v>
      </c>
      <c r="AD23" s="49">
        <f>IF(PRAZO!N21&gt;0,1/PRAZO!$AM21,0)</f>
        <v>0</v>
      </c>
      <c r="AE23" s="48">
        <f t="shared" si="83"/>
        <v>0</v>
      </c>
      <c r="AF23" s="49">
        <f>IF(PRAZO!O21&gt;0,1/PRAZO!$AM21,0)</f>
        <v>0</v>
      </c>
      <c r="AG23" s="48">
        <f t="shared" si="84"/>
        <v>0</v>
      </c>
      <c r="AH23" s="49">
        <f>IF(PRAZO!P21&gt;0,1/PRAZO!$AM21,0)</f>
        <v>0</v>
      </c>
      <c r="AI23" s="48">
        <f t="shared" si="85"/>
        <v>0</v>
      </c>
      <c r="AJ23" s="49">
        <f>IF(PRAZO!Q21&gt;0,1/PRAZO!$AM21,0)</f>
        <v>0</v>
      </c>
      <c r="AK23" s="48">
        <f t="shared" si="86"/>
        <v>0</v>
      </c>
      <c r="AL23" s="49">
        <f>IF(PRAZO!R21&gt;0,1/PRAZO!$AM21,0)</f>
        <v>0</v>
      </c>
      <c r="AM23" s="48">
        <f t="shared" si="87"/>
        <v>0</v>
      </c>
      <c r="AN23" s="49">
        <f>IF(PRAZO!S21&gt;0,1/PRAZO!$AM21,0)</f>
        <v>0</v>
      </c>
      <c r="AO23" s="48">
        <f t="shared" si="88"/>
        <v>0</v>
      </c>
      <c r="AP23" s="49">
        <f>IF(PRAZO!T21&gt;0,1/PRAZO!$AM21,0)</f>
        <v>0</v>
      </c>
      <c r="AQ23" s="48">
        <f t="shared" si="89"/>
        <v>0</v>
      </c>
      <c r="AR23" s="49">
        <f>IF(PRAZO!U21&gt;0,1/PRAZO!$AM21,0)</f>
        <v>0</v>
      </c>
      <c r="AS23" s="48">
        <f t="shared" si="90"/>
        <v>0</v>
      </c>
      <c r="AT23" s="49">
        <f>IF(PRAZO!V21&gt;0,1/PRAZO!$AM21,0)</f>
        <v>0</v>
      </c>
      <c r="AU23" s="48">
        <f t="shared" si="91"/>
        <v>0</v>
      </c>
      <c r="AV23" s="49">
        <f>IF(PRAZO!W21&gt;0,1/PRAZO!$AM21,0)</f>
        <v>0</v>
      </c>
      <c r="AW23" s="48">
        <f t="shared" si="92"/>
        <v>0</v>
      </c>
      <c r="AX23" s="49">
        <f>IF(PRAZO!X21&gt;0,1/PRAZO!$AM21,0)</f>
        <v>0</v>
      </c>
      <c r="AY23" s="48">
        <f t="shared" si="93"/>
        <v>0</v>
      </c>
      <c r="AZ23" s="49">
        <f>IF(PRAZO!Y21&gt;0,1/PRAZO!$AM21,0)</f>
        <v>0</v>
      </c>
      <c r="BA23" s="48">
        <f t="shared" si="94"/>
        <v>0</v>
      </c>
      <c r="BB23" s="49">
        <f>IF(PRAZO!Z21&gt;0,1/PRAZO!$AM21,0)</f>
        <v>0</v>
      </c>
      <c r="BC23" s="48">
        <f t="shared" si="95"/>
        <v>0</v>
      </c>
      <c r="BD23" s="49">
        <f>IF(PRAZO!AA21&gt;0,1/PRAZO!$AM21,0)</f>
        <v>0</v>
      </c>
      <c r="BE23" s="48">
        <f t="shared" si="96"/>
        <v>0</v>
      </c>
      <c r="BF23" s="49">
        <f>IF(PRAZO!AB21&gt;0,1/PRAZO!$AM21,0)</f>
        <v>0</v>
      </c>
      <c r="BG23" s="48">
        <f t="shared" si="97"/>
        <v>0</v>
      </c>
      <c r="BH23" s="49">
        <f>IF(PRAZO!AC21&gt;0,1/PRAZO!$AM21,0)</f>
        <v>0</v>
      </c>
      <c r="BI23" s="48">
        <f t="shared" si="98"/>
        <v>0</v>
      </c>
      <c r="BJ23" s="49">
        <f>IF(PRAZO!AD21&gt;0,1/PRAZO!$AM21,0)</f>
        <v>0</v>
      </c>
      <c r="BK23" s="48">
        <f t="shared" si="99"/>
        <v>0</v>
      </c>
      <c r="BL23" s="49">
        <f>IF(PRAZO!AE21&gt;0,1/PRAZO!$AM21,0)</f>
        <v>0</v>
      </c>
      <c r="BM23" s="48">
        <f t="shared" si="100"/>
        <v>0</v>
      </c>
      <c r="BN23" s="49">
        <f>IF(PRAZO!AF21&gt;0,1/PRAZO!$AM21,0)</f>
        <v>0</v>
      </c>
      <c r="BO23" s="48">
        <f t="shared" si="101"/>
        <v>0</v>
      </c>
      <c r="BP23" s="49">
        <f>IF(PRAZO!AG21&gt;0,1/PRAZO!$AM21,0)</f>
        <v>0.16666666666666666</v>
      </c>
      <c r="BQ23" s="48">
        <f t="shared" si="102"/>
        <v>160928.69466666668</v>
      </c>
      <c r="BR23" s="49">
        <f>IF(PRAZO!AH21&gt;0,1/PRAZO!$AM21,0)</f>
        <v>0.16666666666666666</v>
      </c>
      <c r="BS23" s="48">
        <f t="shared" si="103"/>
        <v>160928.69466666668</v>
      </c>
      <c r="BT23" s="49">
        <f>IF(PRAZO!AI21&gt;0,1/PRAZO!$AM21,0)</f>
        <v>0.16666666666666666</v>
      </c>
      <c r="BU23" s="48">
        <f t="shared" si="104"/>
        <v>160928.69466666668</v>
      </c>
      <c r="BV23" s="49">
        <f>IF(PRAZO!AJ21&gt;0,1/PRAZO!$AM21,0)</f>
        <v>0.16666666666666666</v>
      </c>
      <c r="BW23" s="48">
        <f t="shared" si="35"/>
        <v>160928.69466666668</v>
      </c>
      <c r="BX23" s="49">
        <f>IF(PRAZO!AK21&gt;0,1/PRAZO!$AM21,0)</f>
        <v>0.16666666666666666</v>
      </c>
      <c r="BY23" s="48">
        <f t="shared" si="36"/>
        <v>160928.69466666668</v>
      </c>
      <c r="BZ23" s="49">
        <f>IF(PRAZO!AL21&gt;0,1/PRAZO!$AM21,0)</f>
        <v>0.16666666666666666</v>
      </c>
      <c r="CA23" s="48">
        <f t="shared" si="105"/>
        <v>160928.69466666668</v>
      </c>
    </row>
    <row r="24" spans="2:80" ht="19.5" customHeight="1" x14ac:dyDescent="0.25">
      <c r="B24" s="41" t="s">
        <v>66</v>
      </c>
      <c r="C24" s="58">
        <v>269860.84920331347</v>
      </c>
      <c r="D24" s="29">
        <f t="shared" si="0"/>
        <v>1.3010102794749481E-2</v>
      </c>
      <c r="E24" s="60">
        <f>C24/'DISTRIBUIÇÃO CUSTO'!C$30</f>
        <v>74.284941340602373</v>
      </c>
      <c r="F24" s="74">
        <f t="shared" si="1"/>
        <v>1.0000000000000002</v>
      </c>
      <c r="H24" s="28">
        <f>1/36</f>
        <v>2.7777777777777776E-2</v>
      </c>
      <c r="I24" s="76">
        <f t="shared" si="72"/>
        <v>7496.1347000920405</v>
      </c>
      <c r="J24" s="28">
        <f>1/36</f>
        <v>2.7777777777777776E-2</v>
      </c>
      <c r="K24" s="76">
        <f t="shared" si="73"/>
        <v>7496.1347000920405</v>
      </c>
      <c r="L24" s="28">
        <f>1/36</f>
        <v>2.7777777777777776E-2</v>
      </c>
      <c r="M24" s="76">
        <f t="shared" si="74"/>
        <v>7496.1347000920405</v>
      </c>
      <c r="N24" s="28">
        <f>1/36</f>
        <v>2.7777777777777776E-2</v>
      </c>
      <c r="O24" s="76">
        <f t="shared" si="75"/>
        <v>7496.1347000920405</v>
      </c>
      <c r="P24" s="28">
        <f>1/36</f>
        <v>2.7777777777777776E-2</v>
      </c>
      <c r="Q24" s="76">
        <f t="shared" si="76"/>
        <v>7496.1347000920405</v>
      </c>
      <c r="R24" s="28">
        <f>1/36</f>
        <v>2.7777777777777776E-2</v>
      </c>
      <c r="S24" s="76">
        <f t="shared" si="77"/>
        <v>7496.1347000920405</v>
      </c>
      <c r="T24" s="28">
        <f>1/36</f>
        <v>2.7777777777777776E-2</v>
      </c>
      <c r="U24" s="76">
        <f t="shared" si="78"/>
        <v>7496.1347000920405</v>
      </c>
      <c r="V24" s="28">
        <f>1/36</f>
        <v>2.7777777777777776E-2</v>
      </c>
      <c r="W24" s="76">
        <f t="shared" si="79"/>
        <v>7496.1347000920405</v>
      </c>
      <c r="X24" s="28">
        <f>1/36</f>
        <v>2.7777777777777776E-2</v>
      </c>
      <c r="Y24" s="76">
        <f t="shared" si="80"/>
        <v>7496.1347000920405</v>
      </c>
      <c r="Z24" s="28">
        <f>1/36</f>
        <v>2.7777777777777776E-2</v>
      </c>
      <c r="AA24" s="76">
        <f t="shared" si="81"/>
        <v>7496.1347000920405</v>
      </c>
      <c r="AB24" s="28">
        <f>1/36</f>
        <v>2.7777777777777776E-2</v>
      </c>
      <c r="AC24" s="76">
        <f t="shared" si="82"/>
        <v>7496.1347000920405</v>
      </c>
      <c r="AD24" s="28">
        <f>1/36</f>
        <v>2.7777777777777776E-2</v>
      </c>
      <c r="AE24" s="76">
        <f t="shared" si="83"/>
        <v>7496.1347000920405</v>
      </c>
      <c r="AF24" s="28">
        <f>1/36</f>
        <v>2.7777777777777776E-2</v>
      </c>
      <c r="AG24" s="76">
        <f t="shared" si="84"/>
        <v>7496.1347000920405</v>
      </c>
      <c r="AH24" s="28">
        <f>1/36</f>
        <v>2.7777777777777776E-2</v>
      </c>
      <c r="AI24" s="76">
        <f t="shared" si="85"/>
        <v>7496.1347000920405</v>
      </c>
      <c r="AJ24" s="28">
        <f>1/36</f>
        <v>2.7777777777777776E-2</v>
      </c>
      <c r="AK24" s="76">
        <f t="shared" si="86"/>
        <v>7496.1347000920405</v>
      </c>
      <c r="AL24" s="28">
        <f>1/36</f>
        <v>2.7777777777777776E-2</v>
      </c>
      <c r="AM24" s="76">
        <f t="shared" si="87"/>
        <v>7496.1347000920405</v>
      </c>
      <c r="AN24" s="28">
        <f>1/36</f>
        <v>2.7777777777777776E-2</v>
      </c>
      <c r="AO24" s="76">
        <f t="shared" si="88"/>
        <v>7496.1347000920405</v>
      </c>
      <c r="AP24" s="28">
        <f>1/36</f>
        <v>2.7777777777777776E-2</v>
      </c>
      <c r="AQ24" s="76">
        <f t="shared" si="89"/>
        <v>7496.1347000920405</v>
      </c>
      <c r="AR24" s="28">
        <f>1/36</f>
        <v>2.7777777777777776E-2</v>
      </c>
      <c r="AS24" s="76">
        <f t="shared" si="90"/>
        <v>7496.1347000920405</v>
      </c>
      <c r="AT24" s="28">
        <f>1/36</f>
        <v>2.7777777777777776E-2</v>
      </c>
      <c r="AU24" s="76">
        <f t="shared" si="91"/>
        <v>7496.1347000920405</v>
      </c>
      <c r="AV24" s="28">
        <f>1/36</f>
        <v>2.7777777777777776E-2</v>
      </c>
      <c r="AW24" s="76">
        <f t="shared" si="92"/>
        <v>7496.1347000920405</v>
      </c>
      <c r="AX24" s="28">
        <f>1/36</f>
        <v>2.7777777777777776E-2</v>
      </c>
      <c r="AY24" s="76">
        <f t="shared" si="93"/>
        <v>7496.1347000920405</v>
      </c>
      <c r="AZ24" s="28">
        <f>1/36</f>
        <v>2.7777777777777776E-2</v>
      </c>
      <c r="BA24" s="76">
        <f t="shared" si="94"/>
        <v>7496.1347000920405</v>
      </c>
      <c r="BB24" s="28">
        <f>1/36</f>
        <v>2.7777777777777776E-2</v>
      </c>
      <c r="BC24" s="76">
        <f t="shared" si="95"/>
        <v>7496.1347000920405</v>
      </c>
      <c r="BD24" s="28">
        <f>1/36</f>
        <v>2.7777777777777776E-2</v>
      </c>
      <c r="BE24" s="76">
        <f t="shared" si="96"/>
        <v>7496.1347000920405</v>
      </c>
      <c r="BF24" s="28">
        <f>1/36</f>
        <v>2.7777777777777776E-2</v>
      </c>
      <c r="BG24" s="76">
        <f t="shared" si="97"/>
        <v>7496.1347000920405</v>
      </c>
      <c r="BH24" s="28">
        <f>1/36</f>
        <v>2.7777777777777776E-2</v>
      </c>
      <c r="BI24" s="76">
        <f t="shared" si="98"/>
        <v>7496.1347000920405</v>
      </c>
      <c r="BJ24" s="28">
        <f>1/36</f>
        <v>2.7777777777777776E-2</v>
      </c>
      <c r="BK24" s="76">
        <f t="shared" si="99"/>
        <v>7496.1347000920405</v>
      </c>
      <c r="BL24" s="28">
        <f>1/36</f>
        <v>2.7777777777777776E-2</v>
      </c>
      <c r="BM24" s="76">
        <f t="shared" si="100"/>
        <v>7496.1347000920405</v>
      </c>
      <c r="BN24" s="28">
        <f>1/36</f>
        <v>2.7777777777777776E-2</v>
      </c>
      <c r="BO24" s="76">
        <f t="shared" si="101"/>
        <v>7496.1347000920405</v>
      </c>
      <c r="BP24" s="28">
        <f>1/36</f>
        <v>2.7777777777777776E-2</v>
      </c>
      <c r="BQ24" s="76">
        <f t="shared" si="102"/>
        <v>7496.1347000920405</v>
      </c>
      <c r="BR24" s="28">
        <f>1/36</f>
        <v>2.7777777777777776E-2</v>
      </c>
      <c r="BS24" s="76">
        <f t="shared" si="103"/>
        <v>7496.1347000920405</v>
      </c>
      <c r="BT24" s="28">
        <f>1/36</f>
        <v>2.7777777777777776E-2</v>
      </c>
      <c r="BU24" s="76">
        <f t="shared" si="104"/>
        <v>7496.1347000920405</v>
      </c>
      <c r="BV24" s="28">
        <f>1/36</f>
        <v>2.7777777777777776E-2</v>
      </c>
      <c r="BW24" s="76">
        <f t="shared" si="35"/>
        <v>7496.1347000920405</v>
      </c>
      <c r="BX24" s="28">
        <f>1/36</f>
        <v>2.7777777777777776E-2</v>
      </c>
      <c r="BY24" s="76">
        <f t="shared" si="36"/>
        <v>7496.1347000920405</v>
      </c>
      <c r="BZ24" s="28">
        <f>1/36</f>
        <v>2.7777777777777776E-2</v>
      </c>
      <c r="CA24" s="76">
        <f t="shared" si="105"/>
        <v>7496.1347000920405</v>
      </c>
    </row>
    <row r="25" spans="2:80" s="94" customFormat="1" ht="19.5" customHeight="1" thickBot="1" x14ac:dyDescent="0.3">
      <c r="B25" s="89" t="s">
        <v>128</v>
      </c>
      <c r="C25" s="90">
        <v>4428459.7500000009</v>
      </c>
      <c r="D25" s="91">
        <f t="shared" si="0"/>
        <v>0.21349787025424946</v>
      </c>
      <c r="E25" s="92">
        <f>C25/'DISTRIBUIÇÃO CUSTO'!C$30</f>
        <v>1219.0277831302753</v>
      </c>
      <c r="F25" s="93">
        <f t="shared" si="1"/>
        <v>1.0000000000000002</v>
      </c>
      <c r="G25"/>
      <c r="H25" s="95">
        <f>1/36</f>
        <v>2.7777777777777776E-2</v>
      </c>
      <c r="I25" s="96">
        <f t="shared" si="72"/>
        <v>123012.77083333336</v>
      </c>
      <c r="J25" s="95">
        <f>1/36</f>
        <v>2.7777777777777776E-2</v>
      </c>
      <c r="K25" s="96">
        <f t="shared" si="73"/>
        <v>123012.77083333336</v>
      </c>
      <c r="L25" s="95">
        <f>1/36</f>
        <v>2.7777777777777776E-2</v>
      </c>
      <c r="M25" s="96">
        <f t="shared" si="74"/>
        <v>123012.77083333336</v>
      </c>
      <c r="N25" s="95">
        <f>1/36</f>
        <v>2.7777777777777776E-2</v>
      </c>
      <c r="O25" s="96">
        <f t="shared" si="75"/>
        <v>123012.77083333336</v>
      </c>
      <c r="P25" s="95">
        <f>1/36</f>
        <v>2.7777777777777776E-2</v>
      </c>
      <c r="Q25" s="96">
        <f t="shared" si="76"/>
        <v>123012.77083333336</v>
      </c>
      <c r="R25" s="95">
        <f>1/36</f>
        <v>2.7777777777777776E-2</v>
      </c>
      <c r="S25" s="96">
        <f t="shared" si="77"/>
        <v>123012.77083333336</v>
      </c>
      <c r="T25" s="95">
        <f>1/36</f>
        <v>2.7777777777777776E-2</v>
      </c>
      <c r="U25" s="96">
        <f t="shared" si="78"/>
        <v>123012.77083333336</v>
      </c>
      <c r="V25" s="95">
        <f>1/36</f>
        <v>2.7777777777777776E-2</v>
      </c>
      <c r="W25" s="96">
        <f t="shared" si="79"/>
        <v>123012.77083333336</v>
      </c>
      <c r="X25" s="95">
        <f>1/36</f>
        <v>2.7777777777777776E-2</v>
      </c>
      <c r="Y25" s="96">
        <f t="shared" si="80"/>
        <v>123012.77083333336</v>
      </c>
      <c r="Z25" s="95">
        <f>1/36</f>
        <v>2.7777777777777776E-2</v>
      </c>
      <c r="AA25" s="96">
        <f t="shared" si="81"/>
        <v>123012.77083333336</v>
      </c>
      <c r="AB25" s="95">
        <f>1/36</f>
        <v>2.7777777777777776E-2</v>
      </c>
      <c r="AC25" s="96">
        <f t="shared" si="82"/>
        <v>123012.77083333336</v>
      </c>
      <c r="AD25" s="95">
        <f>1/36</f>
        <v>2.7777777777777776E-2</v>
      </c>
      <c r="AE25" s="96">
        <f t="shared" si="83"/>
        <v>123012.77083333336</v>
      </c>
      <c r="AF25" s="95">
        <f>1/36</f>
        <v>2.7777777777777776E-2</v>
      </c>
      <c r="AG25" s="96">
        <f t="shared" si="84"/>
        <v>123012.77083333336</v>
      </c>
      <c r="AH25" s="95">
        <f>1/36</f>
        <v>2.7777777777777776E-2</v>
      </c>
      <c r="AI25" s="96">
        <f t="shared" si="85"/>
        <v>123012.77083333336</v>
      </c>
      <c r="AJ25" s="95">
        <f>1/36</f>
        <v>2.7777777777777776E-2</v>
      </c>
      <c r="AK25" s="96">
        <f t="shared" si="86"/>
        <v>123012.77083333336</v>
      </c>
      <c r="AL25" s="95">
        <f>1/36</f>
        <v>2.7777777777777776E-2</v>
      </c>
      <c r="AM25" s="96">
        <f t="shared" si="87"/>
        <v>123012.77083333336</v>
      </c>
      <c r="AN25" s="95">
        <f>1/36</f>
        <v>2.7777777777777776E-2</v>
      </c>
      <c r="AO25" s="96">
        <f t="shared" si="88"/>
        <v>123012.77083333336</v>
      </c>
      <c r="AP25" s="95">
        <f>1/36</f>
        <v>2.7777777777777776E-2</v>
      </c>
      <c r="AQ25" s="96">
        <f t="shared" si="89"/>
        <v>123012.77083333336</v>
      </c>
      <c r="AR25" s="95">
        <f>1/36</f>
        <v>2.7777777777777776E-2</v>
      </c>
      <c r="AS25" s="96">
        <f t="shared" si="90"/>
        <v>123012.77083333336</v>
      </c>
      <c r="AT25" s="95">
        <f>1/36</f>
        <v>2.7777777777777776E-2</v>
      </c>
      <c r="AU25" s="96">
        <f t="shared" si="91"/>
        <v>123012.77083333336</v>
      </c>
      <c r="AV25" s="95">
        <f>1/36</f>
        <v>2.7777777777777776E-2</v>
      </c>
      <c r="AW25" s="96">
        <f t="shared" si="92"/>
        <v>123012.77083333336</v>
      </c>
      <c r="AX25" s="95">
        <f>1/36</f>
        <v>2.7777777777777776E-2</v>
      </c>
      <c r="AY25" s="96">
        <f t="shared" si="93"/>
        <v>123012.77083333336</v>
      </c>
      <c r="AZ25" s="95">
        <f>1/36</f>
        <v>2.7777777777777776E-2</v>
      </c>
      <c r="BA25" s="96">
        <f t="shared" si="94"/>
        <v>123012.77083333336</v>
      </c>
      <c r="BB25" s="95">
        <f>1/36</f>
        <v>2.7777777777777776E-2</v>
      </c>
      <c r="BC25" s="96">
        <f t="shared" si="95"/>
        <v>123012.77083333336</v>
      </c>
      <c r="BD25" s="95">
        <f>1/36</f>
        <v>2.7777777777777776E-2</v>
      </c>
      <c r="BE25" s="96">
        <f t="shared" si="96"/>
        <v>123012.77083333336</v>
      </c>
      <c r="BF25" s="95">
        <f>1/36</f>
        <v>2.7777777777777776E-2</v>
      </c>
      <c r="BG25" s="96">
        <f t="shared" si="97"/>
        <v>123012.77083333336</v>
      </c>
      <c r="BH25" s="95">
        <f>1/36</f>
        <v>2.7777777777777776E-2</v>
      </c>
      <c r="BI25" s="96">
        <f t="shared" si="98"/>
        <v>123012.77083333336</v>
      </c>
      <c r="BJ25" s="95">
        <f>1/36</f>
        <v>2.7777777777777776E-2</v>
      </c>
      <c r="BK25" s="96">
        <f t="shared" si="99"/>
        <v>123012.77083333336</v>
      </c>
      <c r="BL25" s="95">
        <f>1/36</f>
        <v>2.7777777777777776E-2</v>
      </c>
      <c r="BM25" s="96">
        <f t="shared" si="100"/>
        <v>123012.77083333336</v>
      </c>
      <c r="BN25" s="95">
        <f>1/36</f>
        <v>2.7777777777777776E-2</v>
      </c>
      <c r="BO25" s="96">
        <f t="shared" si="101"/>
        <v>123012.77083333336</v>
      </c>
      <c r="BP25" s="95">
        <f>1/36</f>
        <v>2.7777777777777776E-2</v>
      </c>
      <c r="BQ25" s="96">
        <f t="shared" si="102"/>
        <v>123012.77083333336</v>
      </c>
      <c r="BR25" s="95">
        <f>1/36</f>
        <v>2.7777777777777776E-2</v>
      </c>
      <c r="BS25" s="96">
        <f t="shared" si="103"/>
        <v>123012.77083333336</v>
      </c>
      <c r="BT25" s="95">
        <f>1/36</f>
        <v>2.7777777777777776E-2</v>
      </c>
      <c r="BU25" s="96">
        <f t="shared" si="104"/>
        <v>123012.77083333336</v>
      </c>
      <c r="BV25" s="95">
        <f>1/36</f>
        <v>2.7777777777777776E-2</v>
      </c>
      <c r="BW25" s="96">
        <f t="shared" si="35"/>
        <v>123012.77083333336</v>
      </c>
      <c r="BX25" s="95">
        <f>1/36</f>
        <v>2.7777777777777776E-2</v>
      </c>
      <c r="BY25" s="96">
        <f t="shared" si="36"/>
        <v>123012.77083333336</v>
      </c>
      <c r="BZ25" s="95">
        <f>1/36</f>
        <v>2.7777777777777776E-2</v>
      </c>
      <c r="CA25" s="96">
        <f t="shared" si="105"/>
        <v>123012.77083333336</v>
      </c>
    </row>
    <row r="26" spans="2:80" ht="19.5" customHeight="1" x14ac:dyDescent="0.25">
      <c r="B26" s="40" t="s">
        <v>67</v>
      </c>
      <c r="C26" s="30">
        <f>SUM(C9:C25)</f>
        <v>20742407.147791475</v>
      </c>
      <c r="D26" s="31">
        <f>SUM(D9:D24)</f>
        <v>0.78650212974575062</v>
      </c>
      <c r="E26" s="42">
        <f>SUM(E9:E25)</f>
        <v>5709.7889626653632</v>
      </c>
      <c r="F26" s="25" t="e" cm="1">
        <f t="array" ref="F26">soma</f>
        <v>#NAME?</v>
      </c>
      <c r="H26" s="27"/>
      <c r="I26" s="35">
        <f>SUM(I9:I25)</f>
        <v>519234.21817996725</v>
      </c>
      <c r="J26" s="34"/>
      <c r="K26" s="35">
        <f>SUM(K9:K25)</f>
        <v>853455.76217996725</v>
      </c>
      <c r="L26" s="34"/>
      <c r="M26" s="35">
        <f>SUM(M9:M25)</f>
        <v>853455.76217996725</v>
      </c>
      <c r="N26" s="34"/>
      <c r="O26" s="35">
        <f>SUM(O9:O25)</f>
        <v>778455.06612300931</v>
      </c>
      <c r="P26" s="34"/>
      <c r="Q26" s="35">
        <f>SUM(Q9:Q25)</f>
        <v>700957.13167200738</v>
      </c>
      <c r="R26" s="34"/>
      <c r="S26" s="35">
        <f>SUM(S9:S25)</f>
        <v>700957.13167200738</v>
      </c>
      <c r="T26" s="34"/>
      <c r="U26" s="35">
        <f>SUM(U9:U25)</f>
        <v>424545.61689331819</v>
      </c>
      <c r="V26" s="34"/>
      <c r="W26" s="35">
        <f>SUM(W9:W25)</f>
        <v>424545.61689331819</v>
      </c>
      <c r="X26" s="34"/>
      <c r="Y26" s="35">
        <f>SUM(Y9:Y25)</f>
        <v>424545.61689331819</v>
      </c>
      <c r="Z26" s="34"/>
      <c r="AA26" s="35">
        <f>SUM(AA9:AA25)</f>
        <v>472690.02585295454</v>
      </c>
      <c r="AB26" s="34"/>
      <c r="AC26" s="35">
        <f>SUM(AC9:AC25)</f>
        <v>578278.17377603147</v>
      </c>
      <c r="AD26" s="34"/>
      <c r="AE26" s="35">
        <f>SUM(AE9:AE25)</f>
        <v>651752.08234875882</v>
      </c>
      <c r="AF26" s="34"/>
      <c r="AG26" s="35">
        <f>SUM(AG9:AG25)</f>
        <v>651752.08234875882</v>
      </c>
      <c r="AH26" s="34"/>
      <c r="AI26" s="35">
        <f>SUM(AI9:AI25)</f>
        <v>730142.00285535189</v>
      </c>
      <c r="AJ26" s="34"/>
      <c r="AK26" s="35">
        <f>SUM(AK9:AK25)</f>
        <v>757393.4974008064</v>
      </c>
      <c r="AL26" s="34"/>
      <c r="AM26" s="35">
        <f>SUM(AM9:AM25)</f>
        <v>795096.6993341397</v>
      </c>
      <c r="AN26" s="34"/>
      <c r="AO26" s="35">
        <f>SUM(AO9:AO25)</f>
        <v>795096.6993341397</v>
      </c>
      <c r="AP26" s="34"/>
      <c r="AQ26" s="35">
        <f>SUM(AQ9:AQ25)</f>
        <v>531349.38472650142</v>
      </c>
      <c r="AR26" s="34"/>
      <c r="AS26" s="35">
        <f>SUM(AS9:AS25)</f>
        <v>531349.38472650142</v>
      </c>
      <c r="AT26" s="34"/>
      <c r="AU26" s="35">
        <f>SUM(AU9:AU25)</f>
        <v>531349.38472650142</v>
      </c>
      <c r="AV26" s="34"/>
      <c r="AW26" s="35">
        <f>SUM(AW9:AW25)</f>
        <v>549975.66330494499</v>
      </c>
      <c r="AX26" s="34"/>
      <c r="AY26" s="35">
        <f>SUM(AY9:AY25)</f>
        <v>627515.39867531543</v>
      </c>
      <c r="AZ26" s="34"/>
      <c r="BA26" s="35">
        <f>SUM(BA9:BA25)</f>
        <v>554041.49010258808</v>
      </c>
      <c r="BB26" s="34"/>
      <c r="BC26" s="35">
        <f>SUM(BC9:BC25)</f>
        <v>448453.34217951121</v>
      </c>
      <c r="BD26" s="34"/>
      <c r="BE26" s="35">
        <f>SUM(BE9:BE25)</f>
        <v>448453.34217951121</v>
      </c>
      <c r="BF26" s="34"/>
      <c r="BG26" s="35">
        <f>SUM(BG9:BG25)</f>
        <v>593971.71857221145</v>
      </c>
      <c r="BH26" s="34"/>
      <c r="BI26" s="35">
        <f>SUM(BI9:BI25)</f>
        <v>593971.71857221145</v>
      </c>
      <c r="BJ26" s="34"/>
      <c r="BK26" s="35">
        <f>SUM(BK9:BK25)</f>
        <v>593971.71857221145</v>
      </c>
      <c r="BL26" s="34"/>
      <c r="BM26" s="35">
        <f>SUM(BM9:BM25)</f>
        <v>593971.71857221145</v>
      </c>
      <c r="BN26" s="34"/>
      <c r="BO26" s="35">
        <f>SUM(BO9:BO25)</f>
        <v>593971.71857221145</v>
      </c>
      <c r="BP26" s="34"/>
      <c r="BQ26" s="35">
        <f>SUM(BQ9:BQ25)</f>
        <v>556548.39431425126</v>
      </c>
      <c r="BR26" s="34"/>
      <c r="BS26" s="35">
        <f>SUM(BS9:BS25)</f>
        <v>556548.39431425126</v>
      </c>
      <c r="BT26" s="34"/>
      <c r="BU26" s="35">
        <f>SUM(BU9:BU25)</f>
        <v>359430.19888567983</v>
      </c>
      <c r="BV26" s="34"/>
      <c r="BW26" s="35">
        <f>SUM(BW9:BW25)</f>
        <v>321726.99695234653</v>
      </c>
      <c r="BX26" s="34"/>
      <c r="BY26" s="35">
        <f>SUM(BY9:BY25)</f>
        <v>321726.99695234653</v>
      </c>
      <c r="BZ26" s="34"/>
      <c r="CA26" s="35">
        <f>SUM(CA9:CA25)</f>
        <v>321726.99695234653</v>
      </c>
      <c r="CB26" s="32" t="s">
        <v>70</v>
      </c>
    </row>
    <row r="27" spans="2:80" ht="22.5" customHeight="1" thickBot="1" x14ac:dyDescent="0.3">
      <c r="B27" s="43" t="s">
        <v>68</v>
      </c>
      <c r="C27" s="78">
        <v>3012.64</v>
      </c>
      <c r="D27" s="79">
        <v>46023</v>
      </c>
      <c r="E27" s="44">
        <f>+E26/C27</f>
        <v>1.8952775514715876</v>
      </c>
      <c r="F27" s="26"/>
      <c r="H27" s="36"/>
      <c r="I27" s="37">
        <f>I26/$C$26</f>
        <v>2.5032495721464619E-2</v>
      </c>
      <c r="J27" s="38"/>
      <c r="K27" s="37">
        <f>K26/$C$26</f>
        <v>4.114545414613742E-2</v>
      </c>
      <c r="L27" s="38"/>
      <c r="M27" s="37">
        <f>M26/$C$26</f>
        <v>4.114545414613742E-2</v>
      </c>
      <c r="N27" s="38"/>
      <c r="O27" s="37">
        <f>O26/$C$26</f>
        <v>3.7529639668937576E-2</v>
      </c>
      <c r="P27" s="38"/>
      <c r="Q27" s="37">
        <f>Q26/$C$26</f>
        <v>3.3793432299232491E-2</v>
      </c>
      <c r="R27" s="38"/>
      <c r="S27" s="37">
        <f>S26/$C$26</f>
        <v>3.3793432299232491E-2</v>
      </c>
      <c r="T27" s="38"/>
      <c r="U27" s="37">
        <f>U26/$C$26</f>
        <v>2.0467519216472482E-2</v>
      </c>
      <c r="V27" s="39"/>
      <c r="W27" s="37">
        <f>W26/$C$26</f>
        <v>2.0467519216472482E-2</v>
      </c>
      <c r="X27" s="39"/>
      <c r="Y27" s="37">
        <f>Y26/$C$26</f>
        <v>2.0467519216472482E-2</v>
      </c>
      <c r="Z27" s="39"/>
      <c r="AA27" s="37">
        <f>AA26/$C$26</f>
        <v>2.2788581020756007E-2</v>
      </c>
      <c r="AB27" s="39"/>
      <c r="AC27" s="37">
        <f>AC26/$C$26</f>
        <v>2.7879029162611101E-2</v>
      </c>
      <c r="AD27" s="39"/>
      <c r="AE27" s="37">
        <f>AE26/$C$26</f>
        <v>3.1421236585752459E-2</v>
      </c>
      <c r="AF27" s="39"/>
      <c r="AG27" s="37">
        <f>AG26/$C$26</f>
        <v>3.1421236585752459E-2</v>
      </c>
      <c r="AH27" s="39"/>
      <c r="AI27" s="37">
        <f>AI26/$C$26</f>
        <v>3.5200446970933795E-2</v>
      </c>
      <c r="AJ27" s="39"/>
      <c r="AK27" s="37">
        <f>AK26/$C$26</f>
        <v>3.6514252757855498E-2</v>
      </c>
      <c r="AL27" s="39"/>
      <c r="AM27" s="37">
        <f>AM26/$C$26</f>
        <v>3.8331939666838365E-2</v>
      </c>
      <c r="AN27" s="39"/>
      <c r="AO27" s="37">
        <f>AO26/$C$26</f>
        <v>3.8331939666838365E-2</v>
      </c>
      <c r="AP27" s="39"/>
      <c r="AQ27" s="37">
        <f>AQ26/$C$26</f>
        <v>2.5616572895353483E-2</v>
      </c>
      <c r="AR27" s="39"/>
      <c r="AS27" s="37">
        <f>AS26/$C$26</f>
        <v>2.5616572895353483E-2</v>
      </c>
      <c r="AT27" s="39"/>
      <c r="AU27" s="37">
        <f>AU26/$C$26</f>
        <v>2.5616572895353483E-2</v>
      </c>
      <c r="AV27" s="39"/>
      <c r="AW27" s="37">
        <f>AW26/$C$26</f>
        <v>2.6514553464615752E-2</v>
      </c>
      <c r="AX27" s="39"/>
      <c r="AY27" s="37">
        <f>AY26/$C$26</f>
        <v>3.0252776073876723E-2</v>
      </c>
      <c r="AZ27" s="39"/>
      <c r="BA27" s="37">
        <f>BA26/$C$26</f>
        <v>2.6710568650735362E-2</v>
      </c>
      <c r="BB27" s="39"/>
      <c r="BC27" s="37">
        <f>BC26/$C$26</f>
        <v>2.1620120508880271E-2</v>
      </c>
      <c r="BD27" s="39"/>
      <c r="BE27" s="37">
        <f>BE26/$C$26</f>
        <v>2.1620120508880271E-2</v>
      </c>
      <c r="BF27" s="39"/>
      <c r="BG27" s="37">
        <f>BG26/$C$26</f>
        <v>2.8635621427161792E-2</v>
      </c>
      <c r="BH27" s="39"/>
      <c r="BI27" s="37">
        <f>BI26/$C$26</f>
        <v>2.8635621427161792E-2</v>
      </c>
      <c r="BJ27" s="39"/>
      <c r="BK27" s="37">
        <f>BK26/$C$26</f>
        <v>2.8635621427161792E-2</v>
      </c>
      <c r="BL27" s="39"/>
      <c r="BM27" s="37">
        <f>BM26/$C$26</f>
        <v>2.8635621427161792E-2</v>
      </c>
      <c r="BN27" s="39"/>
      <c r="BO27" s="37">
        <f>BO26/$C$26</f>
        <v>2.8635621427161792E-2</v>
      </c>
      <c r="BP27" s="39"/>
      <c r="BQ27" s="37">
        <f>BQ26/$C$26</f>
        <v>2.6831427536292918E-2</v>
      </c>
      <c r="BR27" s="39"/>
      <c r="BS27" s="37">
        <f>BS26/$C$26</f>
        <v>2.6831427536292918E-2</v>
      </c>
      <c r="BT27" s="39"/>
      <c r="BU27" s="37">
        <f>BU26/$C$26</f>
        <v>1.7328278069401879E-2</v>
      </c>
      <c r="BV27" s="39"/>
      <c r="BW27" s="37">
        <f>BW26/$C$26</f>
        <v>1.5510591160419009E-2</v>
      </c>
      <c r="BX27" s="39"/>
      <c r="BY27" s="37">
        <f>BY26/$C$26</f>
        <v>1.5510591160419009E-2</v>
      </c>
      <c r="BZ27" s="39"/>
      <c r="CA27" s="37">
        <f>CA26/$C$26</f>
        <v>1.5510591160419009E-2</v>
      </c>
      <c r="CB27" s="33">
        <f>SUM(I26:CA26)</f>
        <v>20742407.147791475</v>
      </c>
    </row>
    <row r="28" spans="2:80" ht="10.5" customHeight="1" thickBot="1" x14ac:dyDescent="0.3">
      <c r="B28" s="22"/>
      <c r="C28" s="22"/>
      <c r="D28" s="23"/>
      <c r="E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2"/>
      <c r="BY28" s="22"/>
      <c r="BZ28" s="22"/>
      <c r="CA28" s="22"/>
    </row>
    <row r="29" spans="2:80" ht="22.5" thickBot="1" x14ac:dyDescent="0.3">
      <c r="B29" s="22"/>
      <c r="C29" s="106" t="s">
        <v>51</v>
      </c>
      <c r="D29" s="107"/>
      <c r="E29" s="56" t="s">
        <v>71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80">
        <f>$C$26</f>
        <v>20742407.147791475</v>
      </c>
    </row>
    <row r="30" spans="2:80" ht="19.5" customHeight="1" thickBot="1" x14ac:dyDescent="0.3">
      <c r="C30" s="87">
        <v>3632.7799999999997</v>
      </c>
      <c r="D30" s="55" t="s">
        <v>52</v>
      </c>
      <c r="E30" s="88">
        <v>36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80" ht="19.5" customHeight="1" x14ac:dyDescent="0.25">
      <c r="C31" s="68" t="s">
        <v>0</v>
      </c>
      <c r="D31" s="69" t="s">
        <v>48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80" ht="19.5" customHeight="1" x14ac:dyDescent="0.25">
      <c r="B32" s="22"/>
      <c r="C32" s="70" t="s">
        <v>1</v>
      </c>
      <c r="D32" s="71">
        <f>I27</f>
        <v>2.5032495721464619E-2</v>
      </c>
      <c r="E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70" t="s">
        <v>2</v>
      </c>
      <c r="D33" s="71">
        <f>K27</f>
        <v>4.114545414613742E-2</v>
      </c>
      <c r="E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70" t="s">
        <v>3</v>
      </c>
      <c r="D34" s="71">
        <f>M27</f>
        <v>4.114545414613742E-2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70" t="s">
        <v>4</v>
      </c>
      <c r="D35" s="71">
        <f>O27</f>
        <v>3.7529639668937576E-2</v>
      </c>
      <c r="E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70" t="s">
        <v>5</v>
      </c>
      <c r="D36" s="71">
        <f>Q27</f>
        <v>3.3793432299232491E-2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70" t="s">
        <v>6</v>
      </c>
      <c r="D37" s="71">
        <f>S27</f>
        <v>3.3793432299232491E-2</v>
      </c>
      <c r="E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70" t="s">
        <v>7</v>
      </c>
      <c r="D38" s="71">
        <f>U27</f>
        <v>2.0467519216472482E-2</v>
      </c>
      <c r="E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70" t="s">
        <v>8</v>
      </c>
      <c r="D39" s="71">
        <f>W27</f>
        <v>2.0467519216472482E-2</v>
      </c>
      <c r="E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70" t="s">
        <v>9</v>
      </c>
      <c r="D40" s="71">
        <f>Y27</f>
        <v>2.0467519216472482E-2</v>
      </c>
      <c r="E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70" t="s">
        <v>10</v>
      </c>
      <c r="D41" s="71">
        <f>AA27</f>
        <v>2.2788581020756007E-2</v>
      </c>
      <c r="E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70" t="s">
        <v>11</v>
      </c>
      <c r="D42" s="71">
        <f>AC27</f>
        <v>2.7879029162611101E-2</v>
      </c>
      <c r="E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70" t="s">
        <v>12</v>
      </c>
      <c r="D43" s="71">
        <f>AE27</f>
        <v>3.1421236585752459E-2</v>
      </c>
      <c r="E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70" t="s">
        <v>13</v>
      </c>
      <c r="D44" s="71">
        <f>AG27</f>
        <v>3.1421236585752459E-2</v>
      </c>
      <c r="E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70" t="s">
        <v>14</v>
      </c>
      <c r="D45" s="71">
        <f>AI27</f>
        <v>3.5200446970933795E-2</v>
      </c>
      <c r="E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70" t="s">
        <v>15</v>
      </c>
      <c r="D46" s="71">
        <f>AK27</f>
        <v>3.6514252757855498E-2</v>
      </c>
      <c r="E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70" t="s">
        <v>16</v>
      </c>
      <c r="D47" s="71">
        <f>AM27</f>
        <v>3.8331939666838365E-2</v>
      </c>
      <c r="E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70" t="s">
        <v>17</v>
      </c>
      <c r="D48" s="71">
        <f>AO27</f>
        <v>3.8331939666838365E-2</v>
      </c>
      <c r="E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0" t="s">
        <v>18</v>
      </c>
      <c r="D49" s="71">
        <f>AQ27</f>
        <v>2.5616572895353483E-2</v>
      </c>
      <c r="E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0" t="s">
        <v>19</v>
      </c>
      <c r="D50" s="71">
        <f>AS27</f>
        <v>2.5616572895353483E-2</v>
      </c>
      <c r="E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0" t="s">
        <v>20</v>
      </c>
      <c r="D51" s="71">
        <f>AU27</f>
        <v>2.5616572895353483E-2</v>
      </c>
      <c r="E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0" t="s">
        <v>21</v>
      </c>
      <c r="D52" s="71">
        <f>AW27</f>
        <v>2.6514553464615752E-2</v>
      </c>
      <c r="E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0" t="s">
        <v>22</v>
      </c>
      <c r="D53" s="71">
        <f>AY27</f>
        <v>3.0252776073876723E-2</v>
      </c>
      <c r="E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0" t="s">
        <v>23</v>
      </c>
      <c r="D54" s="71">
        <f>BA27</f>
        <v>2.6710568650735362E-2</v>
      </c>
      <c r="E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0" t="s">
        <v>24</v>
      </c>
      <c r="D55" s="71">
        <f>BC27</f>
        <v>2.1620120508880271E-2</v>
      </c>
      <c r="E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0" t="s">
        <v>25</v>
      </c>
      <c r="D56" s="71">
        <f>BE27</f>
        <v>2.1620120508880271E-2</v>
      </c>
      <c r="E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0" t="s">
        <v>26</v>
      </c>
      <c r="D57" s="71">
        <f>BG27</f>
        <v>2.8635621427161792E-2</v>
      </c>
      <c r="E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0" t="s">
        <v>27</v>
      </c>
      <c r="D58" s="71">
        <f>BI27</f>
        <v>2.8635621427161792E-2</v>
      </c>
      <c r="E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0" t="s">
        <v>28</v>
      </c>
      <c r="D59" s="71">
        <f>BK27</f>
        <v>2.8635621427161792E-2</v>
      </c>
      <c r="E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0" t="s">
        <v>29</v>
      </c>
      <c r="D60" s="71">
        <f>BM27</f>
        <v>2.8635621427161792E-2</v>
      </c>
      <c r="E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0" t="s">
        <v>30</v>
      </c>
      <c r="D61" s="71">
        <f>BO27</f>
        <v>2.8635621427161792E-2</v>
      </c>
      <c r="E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0" t="s">
        <v>31</v>
      </c>
      <c r="D62" s="71">
        <f>BQ27</f>
        <v>2.6831427536292918E-2</v>
      </c>
      <c r="E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0" t="s">
        <v>32</v>
      </c>
      <c r="D63" s="71">
        <f>BS27</f>
        <v>2.6831427536292918E-2</v>
      </c>
      <c r="E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0" t="s">
        <v>33</v>
      </c>
      <c r="D64" s="71">
        <f>BU27</f>
        <v>1.7328278069401879E-2</v>
      </c>
      <c r="E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0" t="s">
        <v>34</v>
      </c>
      <c r="D65" s="71">
        <f>BW27</f>
        <v>1.5510591160419009E-2</v>
      </c>
      <c r="E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0" t="s">
        <v>35</v>
      </c>
      <c r="D66" s="71">
        <f>BY27</f>
        <v>1.5510591160419009E-2</v>
      </c>
      <c r="E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0" t="s">
        <v>36</v>
      </c>
      <c r="D67" s="71">
        <f>CA27</f>
        <v>1.5510591160419009E-2</v>
      </c>
      <c r="E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0" t="s">
        <v>37</v>
      </c>
      <c r="D68" s="71"/>
      <c r="E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0" t="s">
        <v>38</v>
      </c>
      <c r="D69" s="71"/>
      <c r="E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0" t="s">
        <v>39</v>
      </c>
      <c r="D70" s="71"/>
      <c r="E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0" t="s">
        <v>40</v>
      </c>
      <c r="D71" s="71"/>
      <c r="E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0" t="s">
        <v>74</v>
      </c>
      <c r="D72" s="71"/>
      <c r="E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0" t="s">
        <v>75</v>
      </c>
      <c r="D73" s="71"/>
      <c r="E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0" t="s">
        <v>76</v>
      </c>
      <c r="D74" s="71"/>
      <c r="E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0" t="s">
        <v>77</v>
      </c>
      <c r="D75" s="71"/>
      <c r="E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0" t="s">
        <v>78</v>
      </c>
      <c r="D76" s="71"/>
      <c r="E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0" t="s">
        <v>79</v>
      </c>
      <c r="D77" s="71"/>
      <c r="E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0" t="s">
        <v>80</v>
      </c>
      <c r="D78" s="71"/>
      <c r="E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0" t="s">
        <v>81</v>
      </c>
      <c r="D79" s="71"/>
      <c r="E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0" t="s">
        <v>82</v>
      </c>
      <c r="D80" s="71"/>
      <c r="E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0" t="s">
        <v>83</v>
      </c>
      <c r="D81" s="71"/>
      <c r="E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70" t="s">
        <v>84</v>
      </c>
      <c r="D82" s="71"/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70" t="s">
        <v>85</v>
      </c>
      <c r="D83" s="71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70" t="s">
        <v>86</v>
      </c>
      <c r="D84" s="71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70" t="s">
        <v>87</v>
      </c>
      <c r="D85" s="71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70" t="s">
        <v>88</v>
      </c>
      <c r="D86" s="71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70" t="s">
        <v>89</v>
      </c>
      <c r="D87" s="71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70" t="s">
        <v>90</v>
      </c>
      <c r="D88" s="71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70" t="s">
        <v>91</v>
      </c>
      <c r="D89" s="71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70" t="s">
        <v>92</v>
      </c>
      <c r="D90" s="71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70" t="s">
        <v>93</v>
      </c>
      <c r="D91" s="71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70" t="s">
        <v>94</v>
      </c>
      <c r="D92" s="71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70" t="s">
        <v>95</v>
      </c>
      <c r="D93" s="71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70" t="s">
        <v>96</v>
      </c>
      <c r="D94" s="71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70" t="s">
        <v>98</v>
      </c>
      <c r="D95" s="71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thickBot="1" x14ac:dyDescent="0.3">
      <c r="B96" s="22"/>
      <c r="C96" s="70" t="s">
        <v>99</v>
      </c>
      <c r="D96" s="72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</row>
    <row r="856" spans="2:20" ht="19.5" customHeight="1" x14ac:dyDescent="0.25">
      <c r="B856" s="22"/>
      <c r="E856" s="23"/>
    </row>
    <row r="857" spans="2:20" ht="19.5" customHeight="1" x14ac:dyDescent="0.25">
      <c r="B857" s="22"/>
      <c r="E857" s="23"/>
    </row>
    <row r="858" spans="2:20" ht="15" customHeight="1" x14ac:dyDescent="0.25">
      <c r="B858" s="22"/>
      <c r="E858" s="23"/>
    </row>
  </sheetData>
  <mergeCells count="44">
    <mergeCell ref="J7:K7"/>
    <mergeCell ref="L7:M7"/>
    <mergeCell ref="N7:O7"/>
    <mergeCell ref="P7:Q7"/>
    <mergeCell ref="R7:S7"/>
    <mergeCell ref="B2:H3"/>
    <mergeCell ref="B4:H4"/>
    <mergeCell ref="B7:B8"/>
    <mergeCell ref="C7:C8"/>
    <mergeCell ref="D7:D8"/>
    <mergeCell ref="E7:E8"/>
    <mergeCell ref="H7:I7"/>
    <mergeCell ref="F7:F8"/>
    <mergeCell ref="BZ7:CA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X7:BY7"/>
    <mergeCell ref="BV7:BW7"/>
    <mergeCell ref="C29:D29"/>
    <mergeCell ref="BR7:BS7"/>
    <mergeCell ref="BT7:BU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T7:U7"/>
  </mergeCells>
  <phoneticPr fontId="23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A63A-801D-4D06-9845-5430F000E484}">
  <sheetPr filterMode="1"/>
  <dimension ref="A2:P27"/>
  <sheetViews>
    <sheetView workbookViewId="0">
      <selection activeCell="H34" sqref="H34"/>
    </sheetView>
  </sheetViews>
  <sheetFormatPr defaultRowHeight="15" x14ac:dyDescent="0.25"/>
  <sheetData>
    <row r="2" spans="1:16" x14ac:dyDescent="0.25">
      <c r="B2" t="s">
        <v>102</v>
      </c>
      <c r="C2">
        <v>10</v>
      </c>
      <c r="D2" t="str">
        <f>"a"&amp;B2</f>
        <v>aA</v>
      </c>
      <c r="E2">
        <v>23</v>
      </c>
      <c r="F2" s="75" t="str">
        <f>"=b"&amp;B2&amp;27</f>
        <v>=bA27</v>
      </c>
      <c r="G2">
        <v>36</v>
      </c>
      <c r="H2" s="75" t="str">
        <f>"=c"&amp;B2&amp;"27"</f>
        <v>=cA27</v>
      </c>
      <c r="I2">
        <v>49</v>
      </c>
      <c r="J2" s="75" t="str">
        <f>"=d"&amp;B2&amp;"27"</f>
        <v>=dA27</v>
      </c>
      <c r="K2">
        <v>62</v>
      </c>
      <c r="L2" s="75" t="str">
        <f>"=e"&amp;B2&amp;"27"</f>
        <v>=eA27</v>
      </c>
      <c r="M2">
        <v>75</v>
      </c>
      <c r="N2" s="75" t="str">
        <f>"=f"&amp;B2&amp;"27"</f>
        <v>=fA27</v>
      </c>
      <c r="O2">
        <v>88</v>
      </c>
      <c r="P2" s="75" t="str">
        <f>"=g"&amp;B2&amp;"27"</f>
        <v>=gA27</v>
      </c>
    </row>
    <row r="3" spans="1:16" hidden="1" x14ac:dyDescent="0.25">
      <c r="B3" t="s">
        <v>103</v>
      </c>
      <c r="D3" t="str">
        <f>"a"&amp;B3</f>
        <v>aB</v>
      </c>
      <c r="F3" t="str">
        <f t="shared" ref="F3:F27" si="0">"=b"&amp;B3&amp;27</f>
        <v>=bB27</v>
      </c>
      <c r="H3" t="str">
        <f t="shared" ref="H3:H27" si="1">"=c"&amp;B3&amp;"27"</f>
        <v>=cB27</v>
      </c>
      <c r="J3" t="str">
        <f t="shared" ref="J3:J27" si="2">"=d"&amp;B3&amp;"27"</f>
        <v>=dB27</v>
      </c>
      <c r="L3" t="str">
        <f t="shared" ref="L3:L27" si="3">"=e"&amp;B3&amp;"27"</f>
        <v>=eB27</v>
      </c>
      <c r="N3" t="str">
        <f t="shared" ref="N3:N27" si="4">"=f"&amp;B3&amp;"27"</f>
        <v>=fB27</v>
      </c>
      <c r="P3" t="str">
        <f t="shared" ref="P3:P27" si="5">"=g"&amp;B3&amp;"27"</f>
        <v>=gB27</v>
      </c>
    </row>
    <row r="4" spans="1:16" x14ac:dyDescent="0.25">
      <c r="B4" t="s">
        <v>104</v>
      </c>
      <c r="C4">
        <f>C2+1</f>
        <v>11</v>
      </c>
      <c r="D4" t="str">
        <f t="shared" ref="D4:D27" si="6">"a"&amp;B4</f>
        <v>ac</v>
      </c>
      <c r="E4">
        <f>E2+1</f>
        <v>24</v>
      </c>
      <c r="F4" s="75" t="str">
        <f t="shared" si="0"/>
        <v>=bc27</v>
      </c>
      <c r="G4">
        <f>G2+1</f>
        <v>37</v>
      </c>
      <c r="H4" s="75" t="str">
        <f t="shared" si="1"/>
        <v>=cc27</v>
      </c>
      <c r="I4">
        <f>I2+1</f>
        <v>50</v>
      </c>
      <c r="J4" s="75" t="str">
        <f t="shared" si="2"/>
        <v>=dc27</v>
      </c>
      <c r="K4">
        <f>K2+1</f>
        <v>63</v>
      </c>
      <c r="L4" s="75" t="str">
        <f t="shared" si="3"/>
        <v>=ec27</v>
      </c>
      <c r="M4">
        <f>M2+1</f>
        <v>76</v>
      </c>
      <c r="N4" s="75" t="str">
        <f t="shared" si="4"/>
        <v>=fc27</v>
      </c>
      <c r="O4">
        <f>O2+1</f>
        <v>89</v>
      </c>
      <c r="P4" s="75" t="str">
        <f t="shared" si="5"/>
        <v>=gc27</v>
      </c>
    </row>
    <row r="5" spans="1:16" hidden="1" x14ac:dyDescent="0.25">
      <c r="B5" t="s">
        <v>105</v>
      </c>
      <c r="D5" t="str">
        <f t="shared" si="6"/>
        <v>ad</v>
      </c>
      <c r="F5" t="str">
        <f t="shared" si="0"/>
        <v>=bd27</v>
      </c>
      <c r="H5" t="str">
        <f t="shared" si="1"/>
        <v>=cd27</v>
      </c>
      <c r="J5" t="str">
        <f t="shared" si="2"/>
        <v>=dd27</v>
      </c>
      <c r="L5" t="str">
        <f t="shared" si="3"/>
        <v>=ed27</v>
      </c>
      <c r="N5" t="str">
        <f t="shared" si="4"/>
        <v>=fd27</v>
      </c>
      <c r="P5" t="str">
        <f t="shared" si="5"/>
        <v>=gd27</v>
      </c>
    </row>
    <row r="6" spans="1:16" x14ac:dyDescent="0.25">
      <c r="B6" t="s">
        <v>106</v>
      </c>
      <c r="C6">
        <f>C4+1</f>
        <v>12</v>
      </c>
      <c r="D6" t="str">
        <f t="shared" si="6"/>
        <v>ae</v>
      </c>
      <c r="E6">
        <f>E4+1</f>
        <v>25</v>
      </c>
      <c r="F6" s="75" t="str">
        <f t="shared" si="0"/>
        <v>=be27</v>
      </c>
      <c r="G6">
        <f>G4+1</f>
        <v>38</v>
      </c>
      <c r="H6" s="75" t="str">
        <f t="shared" si="1"/>
        <v>=ce27</v>
      </c>
      <c r="I6">
        <f>I4+1</f>
        <v>51</v>
      </c>
      <c r="J6" s="75" t="str">
        <f t="shared" si="2"/>
        <v>=de27</v>
      </c>
      <c r="K6">
        <f>K4+1</f>
        <v>64</v>
      </c>
      <c r="L6" s="75" t="str">
        <f t="shared" si="3"/>
        <v>=ee27</v>
      </c>
      <c r="M6">
        <f>M4+1</f>
        <v>77</v>
      </c>
      <c r="N6" s="75" t="str">
        <f t="shared" si="4"/>
        <v>=fe27</v>
      </c>
      <c r="O6">
        <f>O4+1</f>
        <v>90</v>
      </c>
      <c r="P6" s="75" t="str">
        <f t="shared" si="5"/>
        <v>=ge27</v>
      </c>
    </row>
    <row r="7" spans="1:16" hidden="1" x14ac:dyDescent="0.25">
      <c r="B7" t="s">
        <v>107</v>
      </c>
      <c r="D7" t="str">
        <f t="shared" si="6"/>
        <v>af</v>
      </c>
      <c r="F7" t="str">
        <f t="shared" si="0"/>
        <v>=bf27</v>
      </c>
      <c r="H7" t="str">
        <f t="shared" si="1"/>
        <v>=cf27</v>
      </c>
      <c r="J7" t="str">
        <f t="shared" si="2"/>
        <v>=df27</v>
      </c>
      <c r="L7" t="str">
        <f t="shared" si="3"/>
        <v>=ef27</v>
      </c>
      <c r="N7" t="str">
        <f t="shared" si="4"/>
        <v>=ff27</v>
      </c>
      <c r="P7" t="str">
        <f t="shared" si="5"/>
        <v>=gf27</v>
      </c>
    </row>
    <row r="8" spans="1:16" x14ac:dyDescent="0.25">
      <c r="B8" t="s">
        <v>108</v>
      </c>
      <c r="C8">
        <f>C6+1</f>
        <v>13</v>
      </c>
      <c r="D8" t="str">
        <f t="shared" si="6"/>
        <v>ag</v>
      </c>
      <c r="E8">
        <f>E6+1</f>
        <v>26</v>
      </c>
      <c r="F8" s="75" t="str">
        <f t="shared" si="0"/>
        <v>=bg27</v>
      </c>
      <c r="G8">
        <f>G6+1</f>
        <v>39</v>
      </c>
      <c r="H8" s="75" t="str">
        <f t="shared" si="1"/>
        <v>=cg27</v>
      </c>
      <c r="I8">
        <f>I6+1</f>
        <v>52</v>
      </c>
      <c r="J8" s="75" t="str">
        <f t="shared" si="2"/>
        <v>=dg27</v>
      </c>
      <c r="K8">
        <f t="shared" ref="K8:M8" si="7">K6+1</f>
        <v>65</v>
      </c>
      <c r="L8" s="75" t="str">
        <f t="shared" si="3"/>
        <v>=eg27</v>
      </c>
      <c r="M8">
        <f t="shared" si="7"/>
        <v>78</v>
      </c>
      <c r="N8" s="75" t="str">
        <f t="shared" si="4"/>
        <v>=fg27</v>
      </c>
      <c r="O8">
        <f t="shared" ref="O8" si="8">O6+1</f>
        <v>91</v>
      </c>
      <c r="P8" s="75" t="str">
        <f t="shared" si="5"/>
        <v>=gg27</v>
      </c>
    </row>
    <row r="9" spans="1:16" hidden="1" x14ac:dyDescent="0.25">
      <c r="B9" t="s">
        <v>109</v>
      </c>
      <c r="D9" t="str">
        <f t="shared" si="6"/>
        <v>ah</v>
      </c>
      <c r="F9" t="str">
        <f t="shared" si="0"/>
        <v>=bh27</v>
      </c>
      <c r="H9" t="str">
        <f t="shared" si="1"/>
        <v>=ch27</v>
      </c>
      <c r="J9" t="str">
        <f t="shared" si="2"/>
        <v>=dh27</v>
      </c>
      <c r="L9" t="str">
        <f t="shared" si="3"/>
        <v>=eh27</v>
      </c>
      <c r="N9" t="str">
        <f t="shared" si="4"/>
        <v>=fh27</v>
      </c>
      <c r="P9" t="str">
        <f t="shared" si="5"/>
        <v>=gh27</v>
      </c>
    </row>
    <row r="10" spans="1:16" x14ac:dyDescent="0.25">
      <c r="A10">
        <v>1</v>
      </c>
      <c r="B10" t="s">
        <v>110</v>
      </c>
      <c r="C10">
        <f>C8+1</f>
        <v>14</v>
      </c>
      <c r="D10" s="75" t="str">
        <f t="shared" si="6"/>
        <v>ai</v>
      </c>
      <c r="E10">
        <f>E8+1</f>
        <v>27</v>
      </c>
      <c r="F10" s="75" t="str">
        <f t="shared" si="0"/>
        <v>=bi27</v>
      </c>
      <c r="G10">
        <f>G8+1</f>
        <v>40</v>
      </c>
      <c r="H10" s="75" t="str">
        <f t="shared" si="1"/>
        <v>=ci27</v>
      </c>
      <c r="I10">
        <f>I8+1</f>
        <v>53</v>
      </c>
      <c r="J10" s="75" t="str">
        <f t="shared" si="2"/>
        <v>=di27</v>
      </c>
      <c r="K10">
        <f t="shared" ref="K10:M10" si="9">K8+1</f>
        <v>66</v>
      </c>
      <c r="L10" s="75" t="str">
        <f t="shared" si="3"/>
        <v>=ei27</v>
      </c>
      <c r="M10">
        <f t="shared" si="9"/>
        <v>79</v>
      </c>
      <c r="N10" s="75" t="str">
        <f t="shared" si="4"/>
        <v>=fi27</v>
      </c>
      <c r="O10">
        <f t="shared" ref="O10" si="10">O8+1</f>
        <v>92</v>
      </c>
      <c r="P10" s="75" t="str">
        <f t="shared" si="5"/>
        <v>=gi27</v>
      </c>
    </row>
    <row r="11" spans="1:16" hidden="1" x14ac:dyDescent="0.25">
      <c r="B11" t="s">
        <v>111</v>
      </c>
      <c r="D11" t="str">
        <f t="shared" si="6"/>
        <v>aj</v>
      </c>
      <c r="F11" t="str">
        <f t="shared" si="0"/>
        <v>=bj27</v>
      </c>
      <c r="H11" t="str">
        <f t="shared" si="1"/>
        <v>=cj27</v>
      </c>
      <c r="J11" t="str">
        <f t="shared" si="2"/>
        <v>=dj27</v>
      </c>
      <c r="L11" t="str">
        <f t="shared" si="3"/>
        <v>=ej27</v>
      </c>
      <c r="N11" t="str">
        <f t="shared" si="4"/>
        <v>=fj27</v>
      </c>
      <c r="P11" t="str">
        <f t="shared" si="5"/>
        <v>=gj27</v>
      </c>
    </row>
    <row r="12" spans="1:16" x14ac:dyDescent="0.25">
      <c r="A12">
        <f>A10+1</f>
        <v>2</v>
      </c>
      <c r="B12" t="s">
        <v>112</v>
      </c>
      <c r="C12">
        <f>C10+1</f>
        <v>15</v>
      </c>
      <c r="D12" s="75" t="str">
        <f t="shared" si="6"/>
        <v>ak</v>
      </c>
      <c r="E12">
        <f>E10+1</f>
        <v>28</v>
      </c>
      <c r="F12" s="75" t="str">
        <f t="shared" si="0"/>
        <v>=bk27</v>
      </c>
      <c r="G12">
        <f>G10+1</f>
        <v>41</v>
      </c>
      <c r="H12" s="75" t="str">
        <f t="shared" si="1"/>
        <v>=ck27</v>
      </c>
      <c r="I12">
        <f>I10+1</f>
        <v>54</v>
      </c>
      <c r="J12" s="75" t="str">
        <f t="shared" si="2"/>
        <v>=dk27</v>
      </c>
      <c r="K12">
        <f>K10+1</f>
        <v>67</v>
      </c>
      <c r="L12" s="75" t="str">
        <f t="shared" si="3"/>
        <v>=ek27</v>
      </c>
      <c r="M12">
        <f>M10+1</f>
        <v>80</v>
      </c>
      <c r="N12" s="75" t="str">
        <f t="shared" si="4"/>
        <v>=fk27</v>
      </c>
      <c r="O12">
        <f>O10+1</f>
        <v>93</v>
      </c>
      <c r="P12" s="75" t="str">
        <f t="shared" si="5"/>
        <v>=gk27</v>
      </c>
    </row>
    <row r="13" spans="1:16" hidden="1" x14ac:dyDescent="0.25">
      <c r="B13" t="s">
        <v>113</v>
      </c>
      <c r="D13" t="str">
        <f t="shared" si="6"/>
        <v>al</v>
      </c>
      <c r="F13" t="str">
        <f t="shared" si="0"/>
        <v>=bl27</v>
      </c>
      <c r="H13" t="str">
        <f t="shared" si="1"/>
        <v>=cl27</v>
      </c>
      <c r="J13" t="str">
        <f t="shared" si="2"/>
        <v>=dl27</v>
      </c>
      <c r="L13" t="str">
        <f t="shared" si="3"/>
        <v>=el27</v>
      </c>
      <c r="N13" t="str">
        <f t="shared" si="4"/>
        <v>=fl27</v>
      </c>
      <c r="P13" t="str">
        <f t="shared" si="5"/>
        <v>=gl27</v>
      </c>
    </row>
    <row r="14" spans="1:16" x14ac:dyDescent="0.25">
      <c r="A14">
        <f>A12+1</f>
        <v>3</v>
      </c>
      <c r="B14" t="s">
        <v>114</v>
      </c>
      <c r="C14">
        <f>C12+1</f>
        <v>16</v>
      </c>
      <c r="D14" s="75" t="str">
        <f t="shared" si="6"/>
        <v>am</v>
      </c>
      <c r="E14">
        <f>E12+1</f>
        <v>29</v>
      </c>
      <c r="F14" s="75" t="str">
        <f t="shared" si="0"/>
        <v>=bm27</v>
      </c>
      <c r="G14">
        <f>G12+1</f>
        <v>42</v>
      </c>
      <c r="H14" s="75" t="str">
        <f t="shared" si="1"/>
        <v>=cm27</v>
      </c>
      <c r="I14">
        <f>I12+1</f>
        <v>55</v>
      </c>
      <c r="J14" s="75" t="str">
        <f t="shared" si="2"/>
        <v>=dm27</v>
      </c>
      <c r="K14">
        <f>K12+1</f>
        <v>68</v>
      </c>
      <c r="L14" s="75" t="str">
        <f t="shared" si="3"/>
        <v>=em27</v>
      </c>
      <c r="M14">
        <f>M12+1</f>
        <v>81</v>
      </c>
      <c r="N14" s="75" t="str">
        <f t="shared" si="4"/>
        <v>=fm27</v>
      </c>
      <c r="O14">
        <f>O12+1</f>
        <v>94</v>
      </c>
      <c r="P14" s="75" t="str">
        <f t="shared" si="5"/>
        <v>=gm27</v>
      </c>
    </row>
    <row r="15" spans="1:16" hidden="1" x14ac:dyDescent="0.25">
      <c r="B15" t="s">
        <v>115</v>
      </c>
      <c r="D15" t="str">
        <f t="shared" si="6"/>
        <v>an</v>
      </c>
      <c r="F15" t="str">
        <f t="shared" si="0"/>
        <v>=bn27</v>
      </c>
      <c r="H15" t="str">
        <f t="shared" si="1"/>
        <v>=cn27</v>
      </c>
      <c r="J15" t="str">
        <f t="shared" si="2"/>
        <v>=dn27</v>
      </c>
      <c r="L15" t="str">
        <f t="shared" si="3"/>
        <v>=en27</v>
      </c>
      <c r="N15" t="str">
        <f t="shared" si="4"/>
        <v>=fn27</v>
      </c>
      <c r="P15" t="str">
        <f t="shared" si="5"/>
        <v>=gn27</v>
      </c>
    </row>
    <row r="16" spans="1:16" x14ac:dyDescent="0.25">
      <c r="A16">
        <f t="shared" ref="A16" si="11">A14+1</f>
        <v>4</v>
      </c>
      <c r="B16" t="s">
        <v>116</v>
      </c>
      <c r="C16">
        <f>C14+1</f>
        <v>17</v>
      </c>
      <c r="D16" s="75" t="str">
        <f t="shared" si="6"/>
        <v>ao</v>
      </c>
      <c r="E16">
        <f>E14+1</f>
        <v>30</v>
      </c>
      <c r="F16" s="75" t="str">
        <f t="shared" si="0"/>
        <v>=bo27</v>
      </c>
      <c r="G16">
        <f>G14+1</f>
        <v>43</v>
      </c>
      <c r="H16" s="75" t="str">
        <f t="shared" si="1"/>
        <v>=co27</v>
      </c>
      <c r="I16">
        <f>I14+1</f>
        <v>56</v>
      </c>
      <c r="J16" s="75" t="str">
        <f t="shared" si="2"/>
        <v>=do27</v>
      </c>
      <c r="K16">
        <f t="shared" ref="K16:M16" si="12">K14+1</f>
        <v>69</v>
      </c>
      <c r="L16" s="75" t="str">
        <f t="shared" si="3"/>
        <v>=eo27</v>
      </c>
      <c r="M16">
        <f t="shared" si="12"/>
        <v>82</v>
      </c>
      <c r="N16" s="75" t="str">
        <f t="shared" si="4"/>
        <v>=fo27</v>
      </c>
      <c r="O16">
        <f t="shared" ref="O16" si="13">O14+1</f>
        <v>95</v>
      </c>
      <c r="P16" s="75" t="str">
        <f t="shared" si="5"/>
        <v>=go27</v>
      </c>
    </row>
    <row r="17" spans="1:16" hidden="1" x14ac:dyDescent="0.25">
      <c r="B17" t="s">
        <v>117</v>
      </c>
      <c r="D17" t="str">
        <f t="shared" si="6"/>
        <v>ap</v>
      </c>
      <c r="F17" t="str">
        <f t="shared" si="0"/>
        <v>=bp27</v>
      </c>
      <c r="H17" t="str">
        <f t="shared" si="1"/>
        <v>=cp27</v>
      </c>
      <c r="J17" t="str">
        <f t="shared" si="2"/>
        <v>=dp27</v>
      </c>
      <c r="L17" t="str">
        <f t="shared" si="3"/>
        <v>=ep27</v>
      </c>
      <c r="N17" t="str">
        <f t="shared" si="4"/>
        <v>=fp27</v>
      </c>
      <c r="P17" t="str">
        <f t="shared" si="5"/>
        <v>=gp27</v>
      </c>
    </row>
    <row r="18" spans="1:16" x14ac:dyDescent="0.25">
      <c r="A18">
        <f t="shared" ref="A18" si="14">A16+1</f>
        <v>5</v>
      </c>
      <c r="B18" t="s">
        <v>118</v>
      </c>
      <c r="C18">
        <f>C16+1</f>
        <v>18</v>
      </c>
      <c r="D18" s="75" t="str">
        <f t="shared" si="6"/>
        <v>aq</v>
      </c>
      <c r="E18">
        <f>E16+1</f>
        <v>31</v>
      </c>
      <c r="F18" s="75" t="str">
        <f t="shared" si="0"/>
        <v>=bq27</v>
      </c>
      <c r="G18">
        <f>G16+1</f>
        <v>44</v>
      </c>
      <c r="H18" s="75" t="str">
        <f t="shared" si="1"/>
        <v>=cq27</v>
      </c>
      <c r="I18">
        <f>I16+1</f>
        <v>57</v>
      </c>
      <c r="J18" s="75" t="str">
        <f t="shared" si="2"/>
        <v>=dq27</v>
      </c>
      <c r="K18">
        <f t="shared" ref="K18:M18" si="15">K16+1</f>
        <v>70</v>
      </c>
      <c r="L18" s="75" t="str">
        <f t="shared" si="3"/>
        <v>=eq27</v>
      </c>
      <c r="M18">
        <f t="shared" si="15"/>
        <v>83</v>
      </c>
      <c r="N18" s="75" t="str">
        <f t="shared" si="4"/>
        <v>=fq27</v>
      </c>
      <c r="O18">
        <f t="shared" ref="O18" si="16">O16+1</f>
        <v>96</v>
      </c>
      <c r="P18" s="75" t="str">
        <f t="shared" si="5"/>
        <v>=gq27</v>
      </c>
    </row>
    <row r="19" spans="1:16" hidden="1" x14ac:dyDescent="0.25">
      <c r="B19" t="s">
        <v>119</v>
      </c>
      <c r="D19" t="str">
        <f t="shared" si="6"/>
        <v>ar</v>
      </c>
      <c r="F19" t="str">
        <f t="shared" si="0"/>
        <v>=br27</v>
      </c>
      <c r="H19" t="str">
        <f t="shared" si="1"/>
        <v>=cr27</v>
      </c>
      <c r="J19" t="str">
        <f t="shared" si="2"/>
        <v>=dr27</v>
      </c>
      <c r="L19" t="str">
        <f t="shared" si="3"/>
        <v>=er27</v>
      </c>
      <c r="N19" t="str">
        <f t="shared" si="4"/>
        <v>=fr27</v>
      </c>
      <c r="P19" t="str">
        <f t="shared" si="5"/>
        <v>=gr27</v>
      </c>
    </row>
    <row r="20" spans="1:16" x14ac:dyDescent="0.25">
      <c r="A20">
        <f>A18+1</f>
        <v>6</v>
      </c>
      <c r="B20" t="s">
        <v>120</v>
      </c>
      <c r="C20">
        <f>C18+1</f>
        <v>19</v>
      </c>
      <c r="D20" s="75" t="str">
        <f t="shared" si="6"/>
        <v>as</v>
      </c>
      <c r="E20">
        <f>E18+1</f>
        <v>32</v>
      </c>
      <c r="F20" s="75" t="str">
        <f t="shared" si="0"/>
        <v>=bs27</v>
      </c>
      <c r="G20">
        <f>G18+1</f>
        <v>45</v>
      </c>
      <c r="H20" s="75" t="str">
        <f t="shared" si="1"/>
        <v>=cs27</v>
      </c>
      <c r="I20">
        <f>I18+1</f>
        <v>58</v>
      </c>
      <c r="J20" s="75" t="str">
        <f t="shared" si="2"/>
        <v>=ds27</v>
      </c>
      <c r="K20">
        <f>K18+1</f>
        <v>71</v>
      </c>
      <c r="L20" s="75" t="str">
        <f t="shared" si="3"/>
        <v>=es27</v>
      </c>
      <c r="M20">
        <f>M18+1</f>
        <v>84</v>
      </c>
      <c r="N20" s="75" t="str">
        <f t="shared" si="4"/>
        <v>=fs27</v>
      </c>
      <c r="O20">
        <f>O18+1</f>
        <v>97</v>
      </c>
      <c r="P20" s="75" t="str">
        <f t="shared" si="5"/>
        <v>=gs27</v>
      </c>
    </row>
    <row r="21" spans="1:16" hidden="1" x14ac:dyDescent="0.25">
      <c r="B21" t="s">
        <v>121</v>
      </c>
      <c r="D21" t="str">
        <f t="shared" si="6"/>
        <v>at</v>
      </c>
      <c r="F21" t="str">
        <f t="shared" si="0"/>
        <v>=bt27</v>
      </c>
      <c r="H21" t="str">
        <f t="shared" si="1"/>
        <v>=ct27</v>
      </c>
      <c r="J21" t="str">
        <f t="shared" si="2"/>
        <v>=dt27</v>
      </c>
      <c r="L21" t="str">
        <f t="shared" si="3"/>
        <v>=et27</v>
      </c>
      <c r="N21" t="str">
        <f t="shared" si="4"/>
        <v>=ft27</v>
      </c>
      <c r="P21" t="str">
        <f t="shared" si="5"/>
        <v>=gt27</v>
      </c>
    </row>
    <row r="22" spans="1:16" x14ac:dyDescent="0.25">
      <c r="A22">
        <f>A20+1</f>
        <v>7</v>
      </c>
      <c r="B22" t="s">
        <v>122</v>
      </c>
      <c r="C22">
        <f>C20+1</f>
        <v>20</v>
      </c>
      <c r="D22" s="75" t="str">
        <f t="shared" si="6"/>
        <v>au</v>
      </c>
      <c r="E22">
        <f>E20+1</f>
        <v>33</v>
      </c>
      <c r="F22" s="75" t="str">
        <f t="shared" si="0"/>
        <v>=bu27</v>
      </c>
      <c r="G22">
        <f>G20+1</f>
        <v>46</v>
      </c>
      <c r="H22" s="75" t="str">
        <f t="shared" si="1"/>
        <v>=cu27</v>
      </c>
      <c r="I22">
        <f>I20+1</f>
        <v>59</v>
      </c>
      <c r="J22" s="75" t="str">
        <f t="shared" si="2"/>
        <v>=du27</v>
      </c>
      <c r="K22">
        <f>K20+1</f>
        <v>72</v>
      </c>
      <c r="L22" s="75" t="str">
        <f t="shared" si="3"/>
        <v>=eu27</v>
      </c>
      <c r="M22">
        <f>M20+1</f>
        <v>85</v>
      </c>
      <c r="N22" s="75" t="str">
        <f t="shared" si="4"/>
        <v>=fu27</v>
      </c>
      <c r="O22">
        <f>O20+1</f>
        <v>98</v>
      </c>
      <c r="P22" s="75" t="str">
        <f t="shared" si="5"/>
        <v>=gu27</v>
      </c>
    </row>
    <row r="23" spans="1:16" hidden="1" x14ac:dyDescent="0.25">
      <c r="B23" t="s">
        <v>123</v>
      </c>
      <c r="D23" t="str">
        <f t="shared" si="6"/>
        <v>av</v>
      </c>
      <c r="F23" t="str">
        <f t="shared" si="0"/>
        <v>=bv27</v>
      </c>
      <c r="H23" t="str">
        <f t="shared" si="1"/>
        <v>=cv27</v>
      </c>
      <c r="J23" t="str">
        <f t="shared" si="2"/>
        <v>=dv27</v>
      </c>
      <c r="L23" t="str">
        <f t="shared" si="3"/>
        <v>=ev27</v>
      </c>
      <c r="N23" t="str">
        <f t="shared" si="4"/>
        <v>=fv27</v>
      </c>
      <c r="P23" t="str">
        <f t="shared" si="5"/>
        <v>=gv27</v>
      </c>
    </row>
    <row r="24" spans="1:16" x14ac:dyDescent="0.25">
      <c r="A24">
        <f t="shared" ref="A24" si="17">A22+1</f>
        <v>8</v>
      </c>
      <c r="B24" t="s">
        <v>124</v>
      </c>
      <c r="C24">
        <f>C22+1</f>
        <v>21</v>
      </c>
      <c r="D24" s="75" t="str">
        <f t="shared" si="6"/>
        <v>aw</v>
      </c>
      <c r="E24">
        <f>E22+1</f>
        <v>34</v>
      </c>
      <c r="F24" s="75" t="str">
        <f t="shared" si="0"/>
        <v>=bw27</v>
      </c>
      <c r="G24">
        <f>G22+1</f>
        <v>47</v>
      </c>
      <c r="H24" s="75" t="str">
        <f t="shared" si="1"/>
        <v>=cw27</v>
      </c>
      <c r="I24">
        <f>I22+1</f>
        <v>60</v>
      </c>
      <c r="J24" s="75" t="str">
        <f t="shared" si="2"/>
        <v>=dw27</v>
      </c>
      <c r="K24">
        <f t="shared" ref="K24:M24" si="18">K22+1</f>
        <v>73</v>
      </c>
      <c r="L24" s="75" t="str">
        <f t="shared" si="3"/>
        <v>=ew27</v>
      </c>
      <c r="M24">
        <f t="shared" si="18"/>
        <v>86</v>
      </c>
      <c r="N24" s="75" t="str">
        <f t="shared" si="4"/>
        <v>=fw27</v>
      </c>
      <c r="O24">
        <f t="shared" ref="O24" si="19">O22+1</f>
        <v>99</v>
      </c>
      <c r="P24" s="75" t="str">
        <f t="shared" si="5"/>
        <v>=gw27</v>
      </c>
    </row>
    <row r="25" spans="1:16" hidden="1" x14ac:dyDescent="0.25">
      <c r="B25" t="s">
        <v>125</v>
      </c>
      <c r="D25" t="str">
        <f t="shared" si="6"/>
        <v>ax</v>
      </c>
      <c r="F25" t="str">
        <f t="shared" si="0"/>
        <v>=bx27</v>
      </c>
      <c r="H25" t="str">
        <f t="shared" si="1"/>
        <v>=cx27</v>
      </c>
      <c r="J25" t="str">
        <f t="shared" si="2"/>
        <v>=dx27</v>
      </c>
      <c r="L25" t="str">
        <f t="shared" si="3"/>
        <v>=ex27</v>
      </c>
      <c r="N25" t="str">
        <f t="shared" si="4"/>
        <v>=fx27</v>
      </c>
      <c r="P25" t="str">
        <f t="shared" si="5"/>
        <v>=gx27</v>
      </c>
    </row>
    <row r="26" spans="1:16" x14ac:dyDescent="0.25">
      <c r="A26">
        <f t="shared" ref="A26" si="20">A24+1</f>
        <v>9</v>
      </c>
      <c r="B26" t="s">
        <v>126</v>
      </c>
      <c r="C26">
        <f>C24+1</f>
        <v>22</v>
      </c>
      <c r="D26" s="75" t="str">
        <f t="shared" si="6"/>
        <v>ay</v>
      </c>
      <c r="E26">
        <f>E24+1</f>
        <v>35</v>
      </c>
      <c r="F26" s="75" t="str">
        <f t="shared" si="0"/>
        <v>=by27</v>
      </c>
      <c r="G26">
        <f>G24+1</f>
        <v>48</v>
      </c>
      <c r="H26" s="75" t="str">
        <f t="shared" si="1"/>
        <v>=cy27</v>
      </c>
      <c r="I26">
        <f>I24+1</f>
        <v>61</v>
      </c>
      <c r="J26" s="75" t="str">
        <f t="shared" si="2"/>
        <v>=dy27</v>
      </c>
      <c r="K26">
        <f t="shared" ref="K26:M26" si="21">K24+1</f>
        <v>74</v>
      </c>
      <c r="L26" s="75" t="str">
        <f t="shared" si="3"/>
        <v>=ey27</v>
      </c>
      <c r="M26">
        <f t="shared" si="21"/>
        <v>87</v>
      </c>
      <c r="N26" s="75" t="str">
        <f t="shared" si="4"/>
        <v>=fy27</v>
      </c>
      <c r="O26">
        <f t="shared" ref="O26" si="22">O24+1</f>
        <v>100</v>
      </c>
      <c r="P26" s="75" t="str">
        <f t="shared" si="5"/>
        <v>=gy27</v>
      </c>
    </row>
    <row r="27" spans="1:16" hidden="1" x14ac:dyDescent="0.25">
      <c r="B27" t="s">
        <v>127</v>
      </c>
      <c r="D27" t="str">
        <f t="shared" si="6"/>
        <v>az</v>
      </c>
      <c r="F27" t="str">
        <f t="shared" si="0"/>
        <v>=bz27</v>
      </c>
      <c r="H27" t="str">
        <f t="shared" si="1"/>
        <v>=cz27</v>
      </c>
      <c r="J27" t="str">
        <f t="shared" si="2"/>
        <v>=dz27</v>
      </c>
      <c r="L27" t="str">
        <f t="shared" si="3"/>
        <v>=ez27</v>
      </c>
      <c r="N27" t="str">
        <f t="shared" si="4"/>
        <v>=fz27</v>
      </c>
      <c r="P27" t="str">
        <f t="shared" si="5"/>
        <v>=gz27</v>
      </c>
    </row>
  </sheetData>
  <autoFilter ref="A1:N27" xr:uid="{158D69E1-B38A-4447-B0C5-CD14E37BA646}">
    <filterColumn colId="12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52"/>
  <sheetViews>
    <sheetView showGridLines="0" zoomScale="34" zoomScaleNormal="34" workbookViewId="0">
      <selection activeCell="B5" sqref="B5:CH5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7.5703125" style="4" bestFit="1" customWidth="1"/>
    <col min="6" max="6" width="41.85546875" style="4" bestFit="1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27" t="s">
        <v>101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9"/>
    </row>
    <row r="3" spans="2:86" ht="10.5" customHeight="1" x14ac:dyDescent="0.25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2"/>
    </row>
    <row r="4" spans="2:86" ht="51.75" customHeight="1" x14ac:dyDescent="0.25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2"/>
    </row>
    <row r="5" spans="2:86" ht="49.5" customHeight="1" x14ac:dyDescent="0.25">
      <c r="B5" s="133" t="s">
        <v>129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4"/>
      <c r="CG5" s="134"/>
      <c r="CH5" s="135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CUSTO'!D32</f>
        <v>2.5032495721464619E-2</v>
      </c>
      <c r="D9" s="10">
        <f>C9</f>
        <v>2.5032495721464619E-2</v>
      </c>
      <c r="E9" s="11">
        <f t="shared" ref="E9:E44" si="0">C9*$F$45</f>
        <v>519234.21817996725</v>
      </c>
      <c r="F9" s="11">
        <f>E9</f>
        <v>519234.21817996725</v>
      </c>
      <c r="G9" s="2"/>
    </row>
    <row r="10" spans="2:86" ht="27" customHeight="1" x14ac:dyDescent="0.25">
      <c r="B10" s="8">
        <v>2</v>
      </c>
      <c r="C10" s="9">
        <f>'DISTRIBUIÇÃO CUSTO'!D33</f>
        <v>4.114545414613742E-2</v>
      </c>
      <c r="D10" s="10">
        <f>C10+D9</f>
        <v>6.6177949867602032E-2</v>
      </c>
      <c r="E10" s="11">
        <f t="shared" si="0"/>
        <v>853455.76217996725</v>
      </c>
      <c r="F10" s="11">
        <f>F9+E10</f>
        <v>1372689.9803599345</v>
      </c>
      <c r="G10" s="2"/>
    </row>
    <row r="11" spans="2:86" ht="27" customHeight="1" x14ac:dyDescent="0.25">
      <c r="B11" s="8">
        <v>3</v>
      </c>
      <c r="C11" s="9">
        <f>'DISTRIBUIÇÃO CUSTO'!D34</f>
        <v>4.114545414613742E-2</v>
      </c>
      <c r="D11" s="10">
        <f>C11+D10</f>
        <v>0.10732340401373945</v>
      </c>
      <c r="E11" s="11">
        <f t="shared" si="0"/>
        <v>853455.76217996725</v>
      </c>
      <c r="F11" s="11">
        <f>F10+E11</f>
        <v>2226145.7425399018</v>
      </c>
      <c r="G11" s="2"/>
    </row>
    <row r="12" spans="2:86" ht="27" customHeight="1" x14ac:dyDescent="0.25">
      <c r="B12" s="8">
        <v>4</v>
      </c>
      <c r="C12" s="9">
        <f>'DISTRIBUIÇÃO CUSTO'!D35</f>
        <v>3.7529639668937576E-2</v>
      </c>
      <c r="D12" s="10">
        <f>C12+D11</f>
        <v>0.14485304368267704</v>
      </c>
      <c r="E12" s="11">
        <f t="shared" si="0"/>
        <v>778455.06612300931</v>
      </c>
      <c r="F12" s="11">
        <f t="shared" ref="F12:F44" si="1">F11+E12</f>
        <v>3004600.8086629109</v>
      </c>
      <c r="G12" s="2"/>
    </row>
    <row r="13" spans="2:86" ht="27" customHeight="1" x14ac:dyDescent="0.25">
      <c r="B13" s="8">
        <v>5</v>
      </c>
      <c r="C13" s="9">
        <f>'DISTRIBUIÇÃO CUSTO'!D36</f>
        <v>3.3793432299232491E-2</v>
      </c>
      <c r="D13" s="10">
        <f t="shared" ref="D13:D44" si="2">C13+D12</f>
        <v>0.17864647598190952</v>
      </c>
      <c r="E13" s="11">
        <f t="shared" si="0"/>
        <v>700957.13167200738</v>
      </c>
      <c r="F13" s="11">
        <f t="shared" si="1"/>
        <v>3705557.9403349184</v>
      </c>
      <c r="G13" s="2"/>
    </row>
    <row r="14" spans="2:86" ht="27" customHeight="1" x14ac:dyDescent="0.25">
      <c r="B14" s="8">
        <v>6</v>
      </c>
      <c r="C14" s="9">
        <f>'DISTRIBUIÇÃO CUSTO'!D37</f>
        <v>3.3793432299232491E-2</v>
      </c>
      <c r="D14" s="10">
        <f t="shared" si="2"/>
        <v>0.21243990828114201</v>
      </c>
      <c r="E14" s="11">
        <f t="shared" si="0"/>
        <v>700957.13167200738</v>
      </c>
      <c r="F14" s="11">
        <f t="shared" si="1"/>
        <v>4406515.0720069259</v>
      </c>
      <c r="G14" s="2"/>
    </row>
    <row r="15" spans="2:86" ht="27" customHeight="1" x14ac:dyDescent="0.25">
      <c r="B15" s="8">
        <v>7</v>
      </c>
      <c r="C15" s="9">
        <f>'DISTRIBUIÇÃO CUSTO'!D38</f>
        <v>2.0467519216472482E-2</v>
      </c>
      <c r="D15" s="10">
        <f t="shared" si="2"/>
        <v>0.23290742749761451</v>
      </c>
      <c r="E15" s="11">
        <f t="shared" si="0"/>
        <v>424545.61689331819</v>
      </c>
      <c r="F15" s="11">
        <f t="shared" si="1"/>
        <v>4831060.6889002444</v>
      </c>
      <c r="G15" s="2"/>
    </row>
    <row r="16" spans="2:86" ht="27" customHeight="1" x14ac:dyDescent="0.25">
      <c r="B16" s="8">
        <v>8</v>
      </c>
      <c r="C16" s="9">
        <f>'DISTRIBUIÇÃO CUSTO'!D39</f>
        <v>2.0467519216472482E-2</v>
      </c>
      <c r="D16" s="10">
        <f t="shared" si="2"/>
        <v>0.253374946714087</v>
      </c>
      <c r="E16" s="11">
        <f t="shared" si="0"/>
        <v>424545.61689331819</v>
      </c>
      <c r="F16" s="11">
        <f t="shared" si="1"/>
        <v>5255606.3057935629</v>
      </c>
      <c r="G16" s="2"/>
    </row>
    <row r="17" spans="2:7" ht="27" customHeight="1" x14ac:dyDescent="0.25">
      <c r="B17" s="8">
        <v>9</v>
      </c>
      <c r="C17" s="9">
        <f>'DISTRIBUIÇÃO CUSTO'!D40</f>
        <v>2.0467519216472482E-2</v>
      </c>
      <c r="D17" s="10">
        <f t="shared" si="2"/>
        <v>0.2738424659305595</v>
      </c>
      <c r="E17" s="11">
        <f t="shared" si="0"/>
        <v>424545.61689331819</v>
      </c>
      <c r="F17" s="11">
        <f t="shared" si="1"/>
        <v>5680151.9226868814</v>
      </c>
      <c r="G17" s="2"/>
    </row>
    <row r="18" spans="2:7" ht="27" customHeight="1" x14ac:dyDescent="0.25">
      <c r="B18" s="8">
        <v>10</v>
      </c>
      <c r="C18" s="9">
        <f>'DISTRIBUIÇÃO CUSTO'!D41</f>
        <v>2.2788581020756007E-2</v>
      </c>
      <c r="D18" s="10">
        <f t="shared" si="2"/>
        <v>0.29663104695131548</v>
      </c>
      <c r="E18" s="11">
        <f t="shared" si="0"/>
        <v>472690.02585295454</v>
      </c>
      <c r="F18" s="11">
        <f t="shared" si="1"/>
        <v>6152841.9485398363</v>
      </c>
      <c r="G18" s="2"/>
    </row>
    <row r="19" spans="2:7" ht="27" customHeight="1" x14ac:dyDescent="0.25">
      <c r="B19" s="8">
        <v>11</v>
      </c>
      <c r="C19" s="9">
        <f>'DISTRIBUIÇÃO CUSTO'!D42</f>
        <v>2.7879029162611101E-2</v>
      </c>
      <c r="D19" s="10">
        <f t="shared" si="2"/>
        <v>0.32451007611392657</v>
      </c>
      <c r="E19" s="11">
        <f t="shared" si="0"/>
        <v>578278.17377603147</v>
      </c>
      <c r="F19" s="11">
        <f t="shared" si="1"/>
        <v>6731120.1223158678</v>
      </c>
      <c r="G19" s="2"/>
    </row>
    <row r="20" spans="2:7" ht="27" customHeight="1" x14ac:dyDescent="0.25">
      <c r="B20" s="8">
        <v>12</v>
      </c>
      <c r="C20" s="9">
        <f>'DISTRIBUIÇÃO CUSTO'!D43</f>
        <v>3.1421236585752459E-2</v>
      </c>
      <c r="D20" s="10">
        <f t="shared" si="2"/>
        <v>0.35593131269967904</v>
      </c>
      <c r="E20" s="11">
        <f t="shared" si="0"/>
        <v>651752.08234875882</v>
      </c>
      <c r="F20" s="11">
        <f t="shared" si="1"/>
        <v>7382872.2046646271</v>
      </c>
      <c r="G20" s="2"/>
    </row>
    <row r="21" spans="2:7" ht="27" customHeight="1" x14ac:dyDescent="0.25">
      <c r="B21" s="8">
        <v>13</v>
      </c>
      <c r="C21" s="9">
        <f>'DISTRIBUIÇÃO CUSTO'!D44</f>
        <v>3.1421236585752459E-2</v>
      </c>
      <c r="D21" s="10">
        <f t="shared" si="2"/>
        <v>0.3873525492854315</v>
      </c>
      <c r="E21" s="11">
        <f t="shared" si="0"/>
        <v>651752.08234875882</v>
      </c>
      <c r="F21" s="11">
        <f t="shared" si="1"/>
        <v>8034624.2870133854</v>
      </c>
      <c r="G21" s="2"/>
    </row>
    <row r="22" spans="2:7" ht="27" customHeight="1" x14ac:dyDescent="0.25">
      <c r="B22" s="8">
        <v>14</v>
      </c>
      <c r="C22" s="9">
        <f>'DISTRIBUIÇÃO CUSTO'!D45</f>
        <v>3.5200446970933795E-2</v>
      </c>
      <c r="D22" s="10">
        <f t="shared" si="2"/>
        <v>0.42255299625636528</v>
      </c>
      <c r="E22" s="11">
        <f t="shared" si="0"/>
        <v>730142.00285535189</v>
      </c>
      <c r="F22" s="11">
        <f t="shared" si="1"/>
        <v>8764766.2898687366</v>
      </c>
      <c r="G22" s="2"/>
    </row>
    <row r="23" spans="2:7" ht="27" customHeight="1" x14ac:dyDescent="0.25">
      <c r="B23" s="8">
        <v>15</v>
      </c>
      <c r="C23" s="9">
        <f>'DISTRIBUIÇÃO CUSTO'!D46</f>
        <v>3.6514252757855498E-2</v>
      </c>
      <c r="D23" s="10">
        <f t="shared" si="2"/>
        <v>0.4590672490142208</v>
      </c>
      <c r="E23" s="11">
        <f t="shared" si="0"/>
        <v>757393.4974008064</v>
      </c>
      <c r="F23" s="11">
        <f t="shared" si="1"/>
        <v>9522159.7872695439</v>
      </c>
      <c r="G23" s="2"/>
    </row>
    <row r="24" spans="2:7" ht="27" customHeight="1" x14ac:dyDescent="0.25">
      <c r="B24" s="8">
        <v>16</v>
      </c>
      <c r="C24" s="9">
        <f>'DISTRIBUIÇÃO CUSTO'!D47</f>
        <v>3.8331939666838365E-2</v>
      </c>
      <c r="D24" s="10">
        <f t="shared" si="2"/>
        <v>0.49739918868105915</v>
      </c>
      <c r="E24" s="11">
        <f t="shared" si="0"/>
        <v>795096.6993341397</v>
      </c>
      <c r="F24" s="11">
        <f t="shared" si="1"/>
        <v>10317256.486603683</v>
      </c>
      <c r="G24" s="2"/>
    </row>
    <row r="25" spans="2:7" ht="27" customHeight="1" x14ac:dyDescent="0.25">
      <c r="B25" s="8">
        <v>17</v>
      </c>
      <c r="C25" s="9">
        <f>'DISTRIBUIÇÃO CUSTO'!D48</f>
        <v>3.8331939666838365E-2</v>
      </c>
      <c r="D25" s="10">
        <f t="shared" si="2"/>
        <v>0.53573112834789749</v>
      </c>
      <c r="E25" s="11">
        <f t="shared" si="0"/>
        <v>795096.6993341397</v>
      </c>
      <c r="F25" s="11">
        <f t="shared" si="1"/>
        <v>11112353.185937822</v>
      </c>
      <c r="G25" s="2"/>
    </row>
    <row r="26" spans="2:7" ht="27" customHeight="1" x14ac:dyDescent="0.25">
      <c r="B26" s="8">
        <v>18</v>
      </c>
      <c r="C26" s="9">
        <f>'DISTRIBUIÇÃO CUSTO'!D49</f>
        <v>2.5616572895353483E-2</v>
      </c>
      <c r="D26" s="10">
        <f t="shared" si="2"/>
        <v>0.56134770124325095</v>
      </c>
      <c r="E26" s="11">
        <f t="shared" si="0"/>
        <v>531349.38472650142</v>
      </c>
      <c r="F26" s="11">
        <f t="shared" si="1"/>
        <v>11643702.570664324</v>
      </c>
      <c r="G26" s="2"/>
    </row>
    <row r="27" spans="2:7" ht="27" customHeight="1" x14ac:dyDescent="0.25">
      <c r="B27" s="8">
        <v>19</v>
      </c>
      <c r="C27" s="9">
        <f>'DISTRIBUIÇÃO CUSTO'!D50</f>
        <v>2.5616572895353483E-2</v>
      </c>
      <c r="D27" s="10">
        <f t="shared" si="2"/>
        <v>0.58696427413860441</v>
      </c>
      <c r="E27" s="11">
        <f t="shared" si="0"/>
        <v>531349.38472650142</v>
      </c>
      <c r="F27" s="11">
        <f>F26+E27</f>
        <v>12175051.955390826</v>
      </c>
      <c r="G27" s="2"/>
    </row>
    <row r="28" spans="2:7" ht="27" customHeight="1" x14ac:dyDescent="0.25">
      <c r="B28" s="8">
        <v>20</v>
      </c>
      <c r="C28" s="9">
        <f>'DISTRIBUIÇÃO CUSTO'!D51</f>
        <v>2.5616572895353483E-2</v>
      </c>
      <c r="D28" s="10">
        <f t="shared" si="2"/>
        <v>0.61258084703395788</v>
      </c>
      <c r="E28" s="11">
        <f t="shared" si="0"/>
        <v>531349.38472650142</v>
      </c>
      <c r="F28" s="11">
        <f t="shared" si="1"/>
        <v>12706401.340117328</v>
      </c>
      <c r="G28" s="2"/>
    </row>
    <row r="29" spans="2:7" ht="27" customHeight="1" x14ac:dyDescent="0.25">
      <c r="B29" s="8">
        <v>21</v>
      </c>
      <c r="C29" s="9">
        <f>'DISTRIBUIÇÃO CUSTO'!D52</f>
        <v>2.6514553464615752E-2</v>
      </c>
      <c r="D29" s="10">
        <f t="shared" si="2"/>
        <v>0.63909540049857361</v>
      </c>
      <c r="E29" s="11">
        <f t="shared" si="0"/>
        <v>549975.66330494499</v>
      </c>
      <c r="F29" s="11">
        <f t="shared" si="1"/>
        <v>13256377.003422273</v>
      </c>
      <c r="G29" s="2"/>
    </row>
    <row r="30" spans="2:7" ht="27" customHeight="1" x14ac:dyDescent="0.25">
      <c r="B30" s="8">
        <v>22</v>
      </c>
      <c r="C30" s="9">
        <f>'DISTRIBUIÇÃO CUSTO'!D53</f>
        <v>3.0252776073876723E-2</v>
      </c>
      <c r="D30" s="10">
        <f t="shared" si="2"/>
        <v>0.66934817657245038</v>
      </c>
      <c r="E30" s="11">
        <f t="shared" si="0"/>
        <v>627515.39867531543</v>
      </c>
      <c r="F30" s="11">
        <f t="shared" si="1"/>
        <v>13883892.402097588</v>
      </c>
      <c r="G30" s="2"/>
    </row>
    <row r="31" spans="2:7" ht="27" customHeight="1" x14ac:dyDescent="0.25">
      <c r="B31" s="8">
        <v>23</v>
      </c>
      <c r="C31" s="9">
        <f>'DISTRIBUIÇÃO CUSTO'!D54</f>
        <v>2.6710568650735362E-2</v>
      </c>
      <c r="D31" s="10">
        <f t="shared" si="2"/>
        <v>0.69605874522318578</v>
      </c>
      <c r="E31" s="11">
        <f t="shared" si="0"/>
        <v>554041.49010258808</v>
      </c>
      <c r="F31" s="11">
        <f t="shared" si="1"/>
        <v>14437933.892200176</v>
      </c>
      <c r="G31" s="2"/>
    </row>
    <row r="32" spans="2:7" ht="27" customHeight="1" x14ac:dyDescent="0.25">
      <c r="B32" s="8">
        <v>24</v>
      </c>
      <c r="C32" s="9">
        <f>'DISTRIBUIÇÃO CUSTO'!D55</f>
        <v>2.1620120508880271E-2</v>
      </c>
      <c r="D32" s="10">
        <f t="shared" si="2"/>
        <v>0.71767886573206607</v>
      </c>
      <c r="E32" s="11">
        <f t="shared" si="0"/>
        <v>448453.34217951121</v>
      </c>
      <c r="F32" s="11">
        <f t="shared" si="1"/>
        <v>14886387.234379686</v>
      </c>
      <c r="G32" s="2"/>
    </row>
    <row r="33" spans="2:86" ht="27" customHeight="1" x14ac:dyDescent="0.25">
      <c r="B33" s="8">
        <v>25</v>
      </c>
      <c r="C33" s="9">
        <f>'DISTRIBUIÇÃO CUSTO'!D56</f>
        <v>2.1620120508880271E-2</v>
      </c>
      <c r="D33" s="10">
        <f t="shared" si="2"/>
        <v>0.73929898624094637</v>
      </c>
      <c r="E33" s="11">
        <f t="shared" si="0"/>
        <v>448453.34217951121</v>
      </c>
      <c r="F33" s="11">
        <f t="shared" si="1"/>
        <v>15334840.576559197</v>
      </c>
      <c r="G33" s="2"/>
    </row>
    <row r="34" spans="2:86" ht="27" customHeight="1" x14ac:dyDescent="0.25">
      <c r="B34" s="8">
        <v>26</v>
      </c>
      <c r="C34" s="9">
        <f>'DISTRIBUIÇÃO CUSTO'!D57</f>
        <v>2.8635621427161792E-2</v>
      </c>
      <c r="D34" s="10">
        <f t="shared" si="2"/>
        <v>0.76793460766810817</v>
      </c>
      <c r="E34" s="11">
        <f t="shared" si="0"/>
        <v>593971.71857221145</v>
      </c>
      <c r="F34" s="11">
        <f t="shared" si="1"/>
        <v>15928812.295131408</v>
      </c>
      <c r="G34" s="2"/>
    </row>
    <row r="35" spans="2:86" ht="27" customHeight="1" x14ac:dyDescent="0.25">
      <c r="B35" s="8">
        <v>27</v>
      </c>
      <c r="C35" s="9">
        <f>'DISTRIBUIÇÃO CUSTO'!D58</f>
        <v>2.8635621427161792E-2</v>
      </c>
      <c r="D35" s="10">
        <f t="shared" si="2"/>
        <v>0.79657022909526998</v>
      </c>
      <c r="E35" s="11">
        <f t="shared" si="0"/>
        <v>593971.71857221145</v>
      </c>
      <c r="F35" s="11">
        <f t="shared" si="1"/>
        <v>16522784.013703618</v>
      </c>
      <c r="G35" s="2"/>
    </row>
    <row r="36" spans="2:86" ht="27" customHeight="1" x14ac:dyDescent="0.25">
      <c r="B36" s="8">
        <v>28</v>
      </c>
      <c r="C36" s="9">
        <f>'DISTRIBUIÇÃO CUSTO'!D59</f>
        <v>2.8635621427161792E-2</v>
      </c>
      <c r="D36" s="10">
        <f t="shared" si="2"/>
        <v>0.82520585052243178</v>
      </c>
      <c r="E36" s="11">
        <f t="shared" si="0"/>
        <v>593971.71857221145</v>
      </c>
      <c r="F36" s="11">
        <f t="shared" si="1"/>
        <v>17116755.732275829</v>
      </c>
      <c r="G36" s="2"/>
    </row>
    <row r="37" spans="2:86" ht="27" customHeight="1" x14ac:dyDescent="0.25">
      <c r="B37" s="8">
        <v>29</v>
      </c>
      <c r="C37" s="9">
        <f>'DISTRIBUIÇÃO CUSTO'!D60</f>
        <v>2.8635621427161792E-2</v>
      </c>
      <c r="D37" s="10">
        <f t="shared" si="2"/>
        <v>0.85384147194959359</v>
      </c>
      <c r="E37" s="11">
        <f t="shared" si="0"/>
        <v>593971.71857221145</v>
      </c>
      <c r="F37" s="11">
        <f t="shared" si="1"/>
        <v>17710727.450848039</v>
      </c>
      <c r="G37" s="2"/>
    </row>
    <row r="38" spans="2:86" ht="27" customHeight="1" x14ac:dyDescent="0.25">
      <c r="B38" s="8">
        <v>30</v>
      </c>
      <c r="C38" s="9">
        <f>'DISTRIBUIÇÃO CUSTO'!D61</f>
        <v>2.8635621427161792E-2</v>
      </c>
      <c r="D38" s="10">
        <f t="shared" si="2"/>
        <v>0.88247709337675539</v>
      </c>
      <c r="E38" s="11">
        <f t="shared" si="0"/>
        <v>593971.71857221145</v>
      </c>
      <c r="F38" s="11">
        <f t="shared" si="1"/>
        <v>18304699.16942025</v>
      </c>
      <c r="G38" s="2"/>
    </row>
    <row r="39" spans="2:86" ht="27" customHeight="1" x14ac:dyDescent="0.25">
      <c r="B39" s="8">
        <v>31</v>
      </c>
      <c r="C39" s="9">
        <f>'DISTRIBUIÇÃO CUSTO'!D62</f>
        <v>2.6831427536292918E-2</v>
      </c>
      <c r="D39" s="10">
        <f t="shared" si="2"/>
        <v>0.90930852091304826</v>
      </c>
      <c r="E39" s="11">
        <f t="shared" si="0"/>
        <v>556548.39431425126</v>
      </c>
      <c r="F39" s="11">
        <f t="shared" si="1"/>
        <v>18861247.563734502</v>
      </c>
      <c r="G39" s="2"/>
    </row>
    <row r="40" spans="2:86" ht="27" customHeight="1" x14ac:dyDescent="0.25">
      <c r="B40" s="8">
        <v>32</v>
      </c>
      <c r="C40" s="9">
        <f>'DISTRIBUIÇÃO CUSTO'!D63</f>
        <v>2.6831427536292918E-2</v>
      </c>
      <c r="D40" s="10">
        <f t="shared" si="2"/>
        <v>0.93613994844934112</v>
      </c>
      <c r="E40" s="11">
        <f t="shared" si="0"/>
        <v>556548.39431425126</v>
      </c>
      <c r="F40" s="11">
        <f t="shared" si="1"/>
        <v>19417795.958048753</v>
      </c>
      <c r="G40" s="2"/>
    </row>
    <row r="41" spans="2:86" ht="27" customHeight="1" x14ac:dyDescent="0.25">
      <c r="B41" s="8">
        <v>33</v>
      </c>
      <c r="C41" s="9">
        <f>'DISTRIBUIÇÃO CUSTO'!D64</f>
        <v>1.7328278069401879E-2</v>
      </c>
      <c r="D41" s="10">
        <f t="shared" si="2"/>
        <v>0.95346822651874297</v>
      </c>
      <c r="E41" s="11">
        <f t="shared" si="0"/>
        <v>359430.19888567983</v>
      </c>
      <c r="F41" s="11">
        <f t="shared" si="1"/>
        <v>19777226.156934433</v>
      </c>
      <c r="G41" s="2"/>
    </row>
    <row r="42" spans="2:86" ht="27" customHeight="1" x14ac:dyDescent="0.25">
      <c r="B42" s="8">
        <v>34</v>
      </c>
      <c r="C42" s="9">
        <f>'DISTRIBUIÇÃO CUSTO'!D65</f>
        <v>1.5510591160419009E-2</v>
      </c>
      <c r="D42" s="10">
        <f t="shared" si="2"/>
        <v>0.96897881767916194</v>
      </c>
      <c r="E42" s="11">
        <f t="shared" si="0"/>
        <v>321726.99695234653</v>
      </c>
      <c r="F42" s="11">
        <f t="shared" si="1"/>
        <v>20098953.15388678</v>
      </c>
      <c r="G42" s="2"/>
    </row>
    <row r="43" spans="2:86" ht="27" customHeight="1" x14ac:dyDescent="0.25">
      <c r="B43" s="8">
        <v>35</v>
      </c>
      <c r="C43" s="9">
        <f>'DISTRIBUIÇÃO CUSTO'!D66</f>
        <v>1.5510591160419009E-2</v>
      </c>
      <c r="D43" s="10">
        <f t="shared" si="2"/>
        <v>0.98448940883958092</v>
      </c>
      <c r="E43" s="11">
        <f t="shared" si="0"/>
        <v>321726.99695234653</v>
      </c>
      <c r="F43" s="11">
        <f t="shared" si="1"/>
        <v>20420680.150839128</v>
      </c>
      <c r="G43" s="2"/>
    </row>
    <row r="44" spans="2:86" ht="28.5" customHeight="1" x14ac:dyDescent="0.25">
      <c r="B44" s="8">
        <v>36</v>
      </c>
      <c r="C44" s="9">
        <f>'DISTRIBUIÇÃO CUSTO'!D67</f>
        <v>1.5510591160419009E-2</v>
      </c>
      <c r="D44" s="10">
        <f t="shared" si="2"/>
        <v>0.99999999999999989</v>
      </c>
      <c r="E44" s="11">
        <f t="shared" si="0"/>
        <v>321726.99695234653</v>
      </c>
      <c r="F44" s="12">
        <f t="shared" si="1"/>
        <v>20742407.147791475</v>
      </c>
    </row>
    <row r="45" spans="2:86" ht="27" customHeight="1" x14ac:dyDescent="0.25">
      <c r="B45" s="13"/>
      <c r="C45" s="14"/>
      <c r="D45" s="15"/>
      <c r="E45" s="16" t="s">
        <v>45</v>
      </c>
      <c r="F45" s="12">
        <f>'DISTRIBUIÇÃO CUSTO'!C26</f>
        <v>20742407.147791475</v>
      </c>
    </row>
    <row r="46" spans="2:86" ht="15" customHeight="1" x14ac:dyDescent="0.25">
      <c r="B46" s="17"/>
    </row>
    <row r="47" spans="2:86" ht="15" customHeight="1" x14ac:dyDescent="0.25"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</row>
    <row r="48" spans="2:86" ht="9.9499999999999993" customHeight="1" x14ac:dyDescent="0.25">
      <c r="H48" s="18"/>
      <c r="I48" s="18"/>
    </row>
    <row r="49" spans="8:8" x14ac:dyDescent="0.25">
      <c r="H49" s="18"/>
    </row>
    <row r="52" spans="8:8" ht="65.45" customHeight="1" x14ac:dyDescent="0.25"/>
  </sheetData>
  <mergeCells count="3">
    <mergeCell ref="B2:CH4"/>
    <mergeCell ref="B5:CH5"/>
    <mergeCell ref="B47:CH47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PRAZO</vt:lpstr>
      <vt:lpstr>DISTRIBUIÇÃO CUSTO</vt:lpstr>
      <vt:lpstr>Planilha1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2026-02-03T13:01:39Z</dcterms:modified>
</cp:coreProperties>
</file>