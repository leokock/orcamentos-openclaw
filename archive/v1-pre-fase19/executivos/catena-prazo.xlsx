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Catena\04. Custo\04.1 Custo - Paramétrico\R00.1\03 - Indiretos\"/>
    </mc:Choice>
  </mc:AlternateContent>
  <xr:revisionPtr revIDLastSave="0" documentId="13_ncr:1_{E3FC7DAC-6841-4EE5-9BBC-898E43AFC6E9}" xr6:coauthVersionLast="47" xr6:coauthVersionMax="47" xr10:uidLastSave="{00000000-0000-0000-0000-000000000000}"/>
  <bookViews>
    <workbookView xWindow="20370" yWindow="765" windowWidth="24240" windowHeight="13020" activeTab="1" xr2:uid="{7D576F2E-51A1-4758-9615-AD65E0C3CC56}"/>
  </bookViews>
  <sheets>
    <sheet name="PRAZO" sheetId="18" r:id="rId1"/>
    <sheet name="DISTRIBUIÇÃO CUSTO" sheetId="16" r:id="rId2"/>
    <sheet name="CURVA TEÓRICA" sheetId="13" r:id="rId3"/>
  </sheets>
  <definedNames>
    <definedName name="_xlnm._FilterDatabase" localSheetId="1" hidden="1">'DISTRIBUIÇÃO CUSTO'!$B$29:$E$31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N18" i="16" l="1"/>
  <c r="CO18" i="16" s="1"/>
  <c r="CL18" i="16"/>
  <c r="CM18" i="16" s="1"/>
  <c r="CJ18" i="16"/>
  <c r="CK18" i="16" s="1"/>
  <c r="CI18" i="16"/>
  <c r="CH18" i="16"/>
  <c r="CF18" i="16"/>
  <c r="CG18" i="16" s="1"/>
  <c r="CD18" i="16"/>
  <c r="CE18" i="16" s="1"/>
  <c r="CB18" i="16"/>
  <c r="CC18" i="16" s="1"/>
  <c r="CA18" i="16"/>
  <c r="BZ18" i="16"/>
  <c r="BX18" i="16"/>
  <c r="BY18" i="16" s="1"/>
  <c r="BV18" i="16"/>
  <c r="BW18" i="16" s="1"/>
  <c r="BT18" i="16"/>
  <c r="BU18" i="16" s="1"/>
  <c r="BS18" i="16"/>
  <c r="BR18" i="16"/>
  <c r="BQ18" i="16"/>
  <c r="BP18" i="16"/>
  <c r="BN18" i="16"/>
  <c r="BO18" i="16" s="1"/>
  <c r="BL18" i="16"/>
  <c r="BM18" i="16" s="1"/>
  <c r="BJ18" i="16"/>
  <c r="BK18" i="16" s="1"/>
  <c r="BI18" i="16"/>
  <c r="BH18" i="16"/>
  <c r="BF18" i="16"/>
  <c r="BG18" i="16" s="1"/>
  <c r="BD18" i="16"/>
  <c r="BE18" i="16" s="1"/>
  <c r="BB18" i="16"/>
  <c r="BC18" i="16" s="1"/>
  <c r="BA18" i="16"/>
  <c r="AZ18" i="16"/>
  <c r="AY18" i="16"/>
  <c r="AX18" i="16"/>
  <c r="AV18" i="16"/>
  <c r="AW18" i="16" s="1"/>
  <c r="AT18" i="16"/>
  <c r="AU18" i="16" s="1"/>
  <c r="AR18" i="16"/>
  <c r="AS18" i="16" s="1"/>
  <c r="AP18" i="16"/>
  <c r="J11" i="16"/>
  <c r="I11" i="16"/>
  <c r="L11" i="16"/>
  <c r="M11" i="16"/>
  <c r="N11" i="16"/>
  <c r="O11" i="16"/>
  <c r="P11" i="16"/>
  <c r="Q11" i="16" s="1"/>
  <c r="R11" i="16"/>
  <c r="S11" i="16" s="1"/>
  <c r="T11" i="16"/>
  <c r="U11" i="16"/>
  <c r="DD15" i="16"/>
  <c r="DE15" i="16" s="1"/>
  <c r="DB15" i="16"/>
  <c r="DC15" i="16" s="1"/>
  <c r="CZ15" i="16"/>
  <c r="DA15" i="16" s="1"/>
  <c r="CX15" i="16"/>
  <c r="CY15" i="16" s="1"/>
  <c r="CW15" i="16"/>
  <c r="CV15" i="16"/>
  <c r="CT15" i="16"/>
  <c r="CU15" i="16" s="1"/>
  <c r="CR15" i="16"/>
  <c r="CS15" i="16" s="1"/>
  <c r="CP15" i="16"/>
  <c r="CQ15" i="16" s="1"/>
  <c r="CN15" i="16"/>
  <c r="CO15" i="16" s="1"/>
  <c r="CL15" i="16"/>
  <c r="CM15" i="16" s="1"/>
  <c r="CJ15" i="16"/>
  <c r="CK15" i="16" s="1"/>
  <c r="CH15" i="16"/>
  <c r="CI15" i="16" s="1"/>
  <c r="CF15" i="16"/>
  <c r="CG15" i="16" s="1"/>
  <c r="CD15" i="16"/>
  <c r="CE15" i="16" s="1"/>
  <c r="CB15" i="16"/>
  <c r="CC15" i="16" s="1"/>
  <c r="BZ15" i="16"/>
  <c r="CA15" i="16" s="1"/>
  <c r="BY15" i="16"/>
  <c r="BX15" i="16"/>
  <c r="BV15" i="16"/>
  <c r="BW15" i="16" s="1"/>
  <c r="BT15" i="16"/>
  <c r="DF20" i="16"/>
  <c r="DG20" i="16" s="1"/>
  <c r="DD20" i="16"/>
  <c r="DE20" i="16" s="1"/>
  <c r="DB20" i="16"/>
  <c r="DC20" i="16" s="1"/>
  <c r="CZ20" i="16"/>
  <c r="DA20" i="16" s="1"/>
  <c r="CX20" i="16"/>
  <c r="CY20" i="16" s="1"/>
  <c r="CV20" i="16"/>
  <c r="CW20" i="16" s="1"/>
  <c r="CT20" i="16"/>
  <c r="CU20" i="16" s="1"/>
  <c r="CR20" i="16"/>
  <c r="CS20" i="16" s="1"/>
  <c r="CP20" i="16"/>
  <c r="CQ20" i="16" s="1"/>
  <c r="CO20" i="16"/>
  <c r="CN20" i="16"/>
  <c r="CL20" i="16"/>
  <c r="CM20" i="16" s="1"/>
  <c r="CJ20" i="16"/>
  <c r="CK20" i="16" s="1"/>
  <c r="CH20" i="16"/>
  <c r="CI20" i="16" s="1"/>
  <c r="CF20" i="16"/>
  <c r="CG20" i="16" s="1"/>
  <c r="CD20" i="16"/>
  <c r="CE20" i="16" s="1"/>
  <c r="CB20" i="16"/>
  <c r="CC20" i="16" s="1"/>
  <c r="BZ20" i="16"/>
  <c r="CA20" i="16" s="1"/>
  <c r="BY20" i="16"/>
  <c r="BX20" i="16"/>
  <c r="BV20" i="16"/>
  <c r="BW20" i="16" s="1"/>
  <c r="BT20" i="16"/>
  <c r="BU20" i="16" s="1"/>
  <c r="BR20" i="16"/>
  <c r="BS20" i="16" s="1"/>
  <c r="BP20" i="16"/>
  <c r="BQ20" i="16" s="1"/>
  <c r="BN20" i="16"/>
  <c r="BO20" i="16" s="1"/>
  <c r="BL20" i="16"/>
  <c r="BM20" i="16" s="1"/>
  <c r="BJ20" i="16"/>
  <c r="BK20" i="16" s="1"/>
  <c r="BH20" i="16"/>
  <c r="BI20" i="16" s="1"/>
  <c r="BF20" i="16"/>
  <c r="BG20" i="16" s="1"/>
  <c r="BD20" i="16"/>
  <c r="BE20" i="16" s="1"/>
  <c r="BB20" i="16"/>
  <c r="BC20" i="16" s="1"/>
  <c r="BA20" i="16"/>
  <c r="AZ20" i="16"/>
  <c r="AX20" i="16"/>
  <c r="AY20" i="16" s="1"/>
  <c r="AV20" i="16"/>
  <c r="AW20" i="16" s="1"/>
  <c r="AT20" i="16"/>
  <c r="AU20" i="16" s="1"/>
  <c r="AR20" i="16"/>
  <c r="DB19" i="16"/>
  <c r="DC19" i="16" s="1"/>
  <c r="DA19" i="16"/>
  <c r="CZ19" i="16"/>
  <c r="CX19" i="16"/>
  <c r="CY19" i="16" s="1"/>
  <c r="CV19" i="16"/>
  <c r="CW19" i="16" s="1"/>
  <c r="CT19" i="16"/>
  <c r="CU19" i="16" s="1"/>
  <c r="CR19" i="16"/>
  <c r="CS19" i="16" s="1"/>
  <c r="CP19" i="16"/>
  <c r="CQ19" i="16" s="1"/>
  <c r="CN19" i="16"/>
  <c r="CO19" i="16" s="1"/>
  <c r="CL19" i="16"/>
  <c r="CM19" i="16" s="1"/>
  <c r="CK19" i="16"/>
  <c r="CJ19" i="16"/>
  <c r="CH19" i="16"/>
  <c r="CI19" i="16" s="1"/>
  <c r="CF19" i="16"/>
  <c r="CG19" i="16" s="1"/>
  <c r="CD19" i="16"/>
  <c r="CE19" i="16" s="1"/>
  <c r="CB19" i="16"/>
  <c r="CC19" i="16" s="1"/>
  <c r="BZ19" i="16"/>
  <c r="CA19" i="16" s="1"/>
  <c r="BX19" i="16"/>
  <c r="BY19" i="16" s="1"/>
  <c r="BV19" i="16"/>
  <c r="BW19" i="16" s="1"/>
  <c r="BT19" i="16"/>
  <c r="BU19" i="16" s="1"/>
  <c r="BR19" i="16"/>
  <c r="BS19" i="16" s="1"/>
  <c r="BP19" i="16"/>
  <c r="BQ19" i="16" s="1"/>
  <c r="BN19" i="16"/>
  <c r="BO19" i="16" s="1"/>
  <c r="BM19" i="16"/>
  <c r="BL19" i="16"/>
  <c r="BJ19" i="16"/>
  <c r="BK19" i="16" s="1"/>
  <c r="BH19" i="16"/>
  <c r="BI19" i="16" s="1"/>
  <c r="BF19" i="16"/>
  <c r="BG19" i="16" s="1"/>
  <c r="BD19" i="16"/>
  <c r="BE19" i="16" s="1"/>
  <c r="BB19" i="16"/>
  <c r="BC19" i="16" s="1"/>
  <c r="AZ19" i="16"/>
  <c r="BA19" i="16" s="1"/>
  <c r="AX19" i="16"/>
  <c r="AY19" i="16" s="1"/>
  <c r="AV19" i="16"/>
  <c r="AW19" i="16" s="1"/>
  <c r="AT19" i="16"/>
  <c r="AU19" i="16" s="1"/>
  <c r="AR19" i="16"/>
  <c r="AS19" i="16" s="1"/>
  <c r="AP19" i="16"/>
  <c r="AQ19" i="16" s="1"/>
  <c r="AN19" i="16"/>
  <c r="CH16" i="16"/>
  <c r="CI16" i="16" s="1"/>
  <c r="CF16" i="16"/>
  <c r="CG16" i="16" s="1"/>
  <c r="CD16" i="16"/>
  <c r="CE16" i="16" s="1"/>
  <c r="CB16" i="16"/>
  <c r="CC16" i="16" s="1"/>
  <c r="BZ16" i="16"/>
  <c r="CA16" i="16" s="1"/>
  <c r="BX16" i="16"/>
  <c r="BY16" i="16" s="1"/>
  <c r="BV16" i="16"/>
  <c r="BW16" i="16" s="1"/>
  <c r="BT16" i="16"/>
  <c r="BU16" i="16" s="1"/>
  <c r="BR16" i="16"/>
  <c r="BS16" i="16" s="1"/>
  <c r="BP16" i="16"/>
  <c r="BQ16" i="16" s="1"/>
  <c r="BN16" i="16"/>
  <c r="BO16" i="16" s="1"/>
  <c r="BL16" i="16"/>
  <c r="BM16" i="16" s="1"/>
  <c r="BJ16" i="16"/>
  <c r="BK16" i="16" s="1"/>
  <c r="BH16" i="16"/>
  <c r="BI16" i="16" s="1"/>
  <c r="BF16" i="16"/>
  <c r="BG16" i="16" s="1"/>
  <c r="BD16" i="16"/>
  <c r="BE16" i="16" s="1"/>
  <c r="BB16" i="16"/>
  <c r="BC16" i="16" s="1"/>
  <c r="AZ16" i="16"/>
  <c r="BA16" i="16" s="1"/>
  <c r="AX16" i="16"/>
  <c r="AY16" i="16" s="1"/>
  <c r="AV16" i="16"/>
  <c r="AW16" i="16" s="1"/>
  <c r="AU16" i="16"/>
  <c r="AT16" i="16"/>
  <c r="AR16" i="16"/>
  <c r="AS16" i="16" s="1"/>
  <c r="AP16" i="16"/>
  <c r="AQ16" i="16" s="1"/>
  <c r="AN16" i="16"/>
  <c r="AO16" i="16" s="1"/>
  <c r="AL16" i="16"/>
  <c r="CF17" i="16"/>
  <c r="CG17" i="16" s="1"/>
  <c r="CD17" i="16"/>
  <c r="CE17" i="16" s="1"/>
  <c r="CB17" i="16"/>
  <c r="CC17" i="16" s="1"/>
  <c r="BZ17" i="16"/>
  <c r="CA17" i="16" s="1"/>
  <c r="BX17" i="16"/>
  <c r="BY17" i="16" s="1"/>
  <c r="BV17" i="16"/>
  <c r="BW17" i="16" s="1"/>
  <c r="BT17" i="16"/>
  <c r="BU17" i="16" s="1"/>
  <c r="BR17" i="16"/>
  <c r="BS17" i="16" s="1"/>
  <c r="BP17" i="16"/>
  <c r="BQ17" i="16" s="1"/>
  <c r="BN17" i="16"/>
  <c r="BO17" i="16" s="1"/>
  <c r="BL17" i="16"/>
  <c r="BM17" i="16" s="1"/>
  <c r="BJ17" i="16"/>
  <c r="BK17" i="16" s="1"/>
  <c r="BH17" i="16"/>
  <c r="BI17" i="16" s="1"/>
  <c r="BF17" i="16"/>
  <c r="BG17" i="16" s="1"/>
  <c r="BD17" i="16"/>
  <c r="BE17" i="16" s="1"/>
  <c r="BB17" i="16"/>
  <c r="BC17" i="16" s="1"/>
  <c r="AZ17" i="16"/>
  <c r="BA17" i="16" s="1"/>
  <c r="AX17" i="16"/>
  <c r="AY17" i="16" s="1"/>
  <c r="AV17" i="16"/>
  <c r="AW17" i="16" s="1"/>
  <c r="AT17" i="16"/>
  <c r="AU17" i="16" s="1"/>
  <c r="AR17" i="16"/>
  <c r="AS17" i="16" s="1"/>
  <c r="AP17" i="16"/>
  <c r="AQ17" i="16" s="1"/>
  <c r="AN17" i="16"/>
  <c r="AO17" i="16" s="1"/>
  <c r="AL17" i="16"/>
  <c r="AM17" i="16" s="1"/>
  <c r="AJ17" i="16"/>
  <c r="BR12" i="16" l="1"/>
  <c r="BP12" i="16"/>
  <c r="BN12" i="16"/>
  <c r="BL12" i="16"/>
  <c r="BJ12" i="16"/>
  <c r="BH12" i="16"/>
  <c r="BF12" i="16"/>
  <c r="BD12" i="16"/>
  <c r="BB12" i="16"/>
  <c r="AZ12" i="16"/>
  <c r="AX12" i="16"/>
  <c r="AV12" i="16"/>
  <c r="AT12" i="16"/>
  <c r="AR12" i="16"/>
  <c r="AP12" i="16"/>
  <c r="AN12" i="16"/>
  <c r="AL12" i="16"/>
  <c r="AJ12" i="16"/>
  <c r="AH12" i="16"/>
  <c r="AF12" i="16"/>
  <c r="AD12" i="16"/>
  <c r="AB12" i="16"/>
  <c r="Z12" i="16"/>
  <c r="X12" i="16"/>
  <c r="F12" i="16" s="1"/>
  <c r="V12" i="16"/>
  <c r="BX13" i="16"/>
  <c r="BY13" i="16" s="1"/>
  <c r="BV13" i="16"/>
  <c r="BW13" i="16" s="1"/>
  <c r="BU13" i="16"/>
  <c r="BT13" i="16"/>
  <c r="BR13" i="16"/>
  <c r="BS13" i="16" s="1"/>
  <c r="BQ13" i="16"/>
  <c r="BP13" i="16"/>
  <c r="BN13" i="16"/>
  <c r="BO13" i="16" s="1"/>
  <c r="BM13" i="16"/>
  <c r="BL13" i="16"/>
  <c r="BJ13" i="16"/>
  <c r="BK13" i="16" s="1"/>
  <c r="BH13" i="16"/>
  <c r="BI13" i="16" s="1"/>
  <c r="BF13" i="16"/>
  <c r="BG13" i="16" s="1"/>
  <c r="BD13" i="16"/>
  <c r="BE13" i="16" s="1"/>
  <c r="BB13" i="16"/>
  <c r="BC13" i="16" s="1"/>
  <c r="AZ13" i="16"/>
  <c r="BA13" i="16" s="1"/>
  <c r="AX13" i="16"/>
  <c r="AY13" i="16" s="1"/>
  <c r="AW13" i="16"/>
  <c r="AV13" i="16"/>
  <c r="AT13" i="16"/>
  <c r="AU13" i="16" s="1"/>
  <c r="AR13" i="16"/>
  <c r="AS13" i="16" s="1"/>
  <c r="AQ13" i="16"/>
  <c r="AP13" i="16"/>
  <c r="AN13" i="16"/>
  <c r="AO13" i="16" s="1"/>
  <c r="AL13" i="16"/>
  <c r="AM13" i="16" s="1"/>
  <c r="AJ13" i="16"/>
  <c r="AK13" i="16" s="1"/>
  <c r="AH13" i="16"/>
  <c r="AI13" i="16" s="1"/>
  <c r="AF13" i="16"/>
  <c r="AG13" i="16" s="1"/>
  <c r="AD13" i="16"/>
  <c r="AE13" i="16" s="1"/>
  <c r="CB14" i="16"/>
  <c r="BZ14" i="16"/>
  <c r="BX14" i="16"/>
  <c r="BV14" i="16"/>
  <c r="BT14" i="16"/>
  <c r="BR14" i="16"/>
  <c r="BP14" i="16"/>
  <c r="BN14" i="16"/>
  <c r="BL14" i="16"/>
  <c r="BJ14" i="16"/>
  <c r="BH14" i="16"/>
  <c r="BF14" i="16"/>
  <c r="BD14" i="16"/>
  <c r="BB14" i="16"/>
  <c r="AZ14" i="16"/>
  <c r="AX14" i="16"/>
  <c r="AV14" i="16"/>
  <c r="AT14" i="16"/>
  <c r="AR14" i="16"/>
  <c r="AP14" i="16"/>
  <c r="AN14" i="16"/>
  <c r="AL14" i="16"/>
  <c r="AJ14" i="16"/>
  <c r="AH14" i="16"/>
  <c r="F14" i="16" s="1"/>
  <c r="AM16" i="16"/>
  <c r="CZ21" i="16"/>
  <c r="DA21" i="16" s="1"/>
  <c r="CX21" i="16"/>
  <c r="CV21" i="16"/>
  <c r="CW21" i="16" s="1"/>
  <c r="CT21" i="16"/>
  <c r="CR21" i="16"/>
  <c r="CP21" i="16"/>
  <c r="CQ21" i="16" s="1"/>
  <c r="CN21" i="16"/>
  <c r="CO21" i="16" s="1"/>
  <c r="CL21" i="16"/>
  <c r="CM21" i="16" s="1"/>
  <c r="CJ21" i="16"/>
  <c r="CK21" i="16" s="1"/>
  <c r="CH21" i="16"/>
  <c r="CI21" i="16" s="1"/>
  <c r="CF21" i="16"/>
  <c r="CD21" i="16"/>
  <c r="BZ23" i="16"/>
  <c r="CB23" i="16"/>
  <c r="CD23" i="16"/>
  <c r="CF23" i="16"/>
  <c r="CH23" i="16"/>
  <c r="CI23" i="16" s="1"/>
  <c r="CJ23" i="16"/>
  <c r="CK23" i="16" s="1"/>
  <c r="CL23" i="16"/>
  <c r="CM23" i="16" s="1"/>
  <c r="CN23" i="16"/>
  <c r="CP23" i="16"/>
  <c r="CQ23" i="16" s="1"/>
  <c r="CR23" i="16"/>
  <c r="CS23" i="16" s="1"/>
  <c r="CT23" i="16"/>
  <c r="CU23" i="16" s="1"/>
  <c r="CV23" i="16"/>
  <c r="CW23" i="16" s="1"/>
  <c r="CX23" i="16"/>
  <c r="CY23" i="16"/>
  <c r="CP24" i="16"/>
  <c r="CR24" i="16"/>
  <c r="CS24" i="16" s="1"/>
  <c r="CT24" i="16"/>
  <c r="CV24" i="16"/>
  <c r="CX24" i="16"/>
  <c r="CY24" i="16" s="1"/>
  <c r="CZ24" i="16"/>
  <c r="DA24" i="16" s="1"/>
  <c r="DB24" i="16"/>
  <c r="DC24" i="16" s="1"/>
  <c r="DD24" i="16"/>
  <c r="DE24" i="16" s="1"/>
  <c r="DF24" i="16"/>
  <c r="DG24" i="16" s="1"/>
  <c r="DH24" i="16"/>
  <c r="DI24" i="16" s="1"/>
  <c r="DJ24" i="16"/>
  <c r="F24" i="16"/>
  <c r="F23" i="16"/>
  <c r="F22" i="16"/>
  <c r="F20" i="16"/>
  <c r="F19" i="16"/>
  <c r="F18" i="16"/>
  <c r="F17" i="16"/>
  <c r="F16" i="16"/>
  <c r="F15" i="16"/>
  <c r="F11" i="16"/>
  <c r="F9" i="16"/>
  <c r="DH25" i="16"/>
  <c r="DI25" i="16" s="1"/>
  <c r="DF25" i="16"/>
  <c r="DD25" i="16"/>
  <c r="DE25" i="16" s="1"/>
  <c r="DB25" i="16"/>
  <c r="DC25" i="16" s="1"/>
  <c r="CZ25" i="16"/>
  <c r="DA25" i="16" s="1"/>
  <c r="CX25" i="16"/>
  <c r="CY25" i="16" s="1"/>
  <c r="CV25" i="16"/>
  <c r="CW25" i="16" s="1"/>
  <c r="CT25" i="16"/>
  <c r="CU25" i="16" s="1"/>
  <c r="CR25" i="16"/>
  <c r="CS25" i="16" s="1"/>
  <c r="CQ25" i="16"/>
  <c r="CP25" i="16"/>
  <c r="CN25" i="16"/>
  <c r="CO25" i="16" s="1"/>
  <c r="CL25" i="16"/>
  <c r="CM25" i="16" s="1"/>
  <c r="CJ25" i="16"/>
  <c r="CK25" i="16" s="1"/>
  <c r="CH25" i="16"/>
  <c r="CI25" i="16" s="1"/>
  <c r="CW24" i="16"/>
  <c r="CU24" i="16"/>
  <c r="CQ24" i="16"/>
  <c r="CO24" i="16"/>
  <c r="CM24" i="16"/>
  <c r="CK24" i="16"/>
  <c r="CI24" i="16"/>
  <c r="DI23" i="16"/>
  <c r="DG23" i="16"/>
  <c r="DE23" i="16"/>
  <c r="DC23" i="16"/>
  <c r="DA23" i="16"/>
  <c r="CO23" i="16"/>
  <c r="DI22" i="16"/>
  <c r="DG22" i="16"/>
  <c r="DE22" i="16"/>
  <c r="DC22" i="16"/>
  <c r="DA22" i="16"/>
  <c r="CY22" i="16"/>
  <c r="CW22" i="16"/>
  <c r="CU22" i="16"/>
  <c r="CS22" i="16"/>
  <c r="CQ22" i="16"/>
  <c r="CO22" i="16"/>
  <c r="CM22" i="16"/>
  <c r="CK22" i="16"/>
  <c r="CI22" i="16"/>
  <c r="DI21" i="16"/>
  <c r="DG21" i="16"/>
  <c r="DE21" i="16"/>
  <c r="DC21" i="16"/>
  <c r="CY21" i="16"/>
  <c r="CU21" i="16"/>
  <c r="CS21" i="16"/>
  <c r="DI20" i="16"/>
  <c r="DI19" i="16"/>
  <c r="DG19" i="16"/>
  <c r="DE19" i="16"/>
  <c r="DI18" i="16"/>
  <c r="DG18" i="16"/>
  <c r="DE18" i="16"/>
  <c r="DC18" i="16"/>
  <c r="DA18" i="16"/>
  <c r="CY18" i="16"/>
  <c r="CW18" i="16"/>
  <c r="CU18" i="16"/>
  <c r="CS18" i="16"/>
  <c r="CQ18" i="16"/>
  <c r="DI17" i="16"/>
  <c r="DG17" i="16"/>
  <c r="DE17" i="16"/>
  <c r="DC17" i="16"/>
  <c r="DA17" i="16"/>
  <c r="CY17" i="16"/>
  <c r="CW17" i="16"/>
  <c r="CU17" i="16"/>
  <c r="CS17" i="16"/>
  <c r="CQ17" i="16"/>
  <c r="CO17" i="16"/>
  <c r="CM17" i="16"/>
  <c r="CK17" i="16"/>
  <c r="CI17" i="16"/>
  <c r="DI16" i="16"/>
  <c r="DG16" i="16"/>
  <c r="DE16" i="16"/>
  <c r="DC16" i="16"/>
  <c r="DA16" i="16"/>
  <c r="CY16" i="16"/>
  <c r="CW16" i="16"/>
  <c r="CU16" i="16"/>
  <c r="CS16" i="16"/>
  <c r="CQ16" i="16"/>
  <c r="CO16" i="16"/>
  <c r="CM16" i="16"/>
  <c r="CK16" i="16"/>
  <c r="DI15" i="16"/>
  <c r="DG15" i="16"/>
  <c r="DI14" i="16"/>
  <c r="DG14" i="16"/>
  <c r="DE14" i="16"/>
  <c r="DC14" i="16"/>
  <c r="DA14" i="16"/>
  <c r="CY14" i="16"/>
  <c r="CW14" i="16"/>
  <c r="CU14" i="16"/>
  <c r="CS14" i="16"/>
  <c r="CQ14" i="16"/>
  <c r="CO14" i="16"/>
  <c r="CM14" i="16"/>
  <c r="CK14" i="16"/>
  <c r="CI14" i="16"/>
  <c r="DI13" i="16"/>
  <c r="DG13" i="16"/>
  <c r="DE13" i="16"/>
  <c r="DC13" i="16"/>
  <c r="DA13" i="16"/>
  <c r="CY13" i="16"/>
  <c r="CW13" i="16"/>
  <c r="CU13" i="16"/>
  <c r="CS13" i="16"/>
  <c r="CQ13" i="16"/>
  <c r="CO13" i="16"/>
  <c r="CM13" i="16"/>
  <c r="CK13" i="16"/>
  <c r="CI13" i="16"/>
  <c r="DI12" i="16"/>
  <c r="DG12" i="16"/>
  <c r="DE12" i="16"/>
  <c r="DC12" i="16"/>
  <c r="DA12" i="16"/>
  <c r="CY12" i="16"/>
  <c r="CW12" i="16"/>
  <c r="CU12" i="16"/>
  <c r="CS12" i="16"/>
  <c r="CQ12" i="16"/>
  <c r="CO12" i="16"/>
  <c r="CM12" i="16"/>
  <c r="CK12" i="16"/>
  <c r="CI12" i="16"/>
  <c r="DI11" i="16"/>
  <c r="DG11" i="16"/>
  <c r="DE11" i="16"/>
  <c r="DC11" i="16"/>
  <c r="DA11" i="16"/>
  <c r="CY11" i="16"/>
  <c r="CW11" i="16"/>
  <c r="CU11" i="16"/>
  <c r="CS11" i="16"/>
  <c r="CQ11" i="16"/>
  <c r="CO11" i="16"/>
  <c r="CM11" i="16"/>
  <c r="CK11" i="16"/>
  <c r="CI11" i="16"/>
  <c r="DI10" i="16"/>
  <c r="DG10" i="16"/>
  <c r="DE10" i="16"/>
  <c r="DC10" i="16"/>
  <c r="DA10" i="16"/>
  <c r="CY10" i="16"/>
  <c r="CW10" i="16"/>
  <c r="CU10" i="16"/>
  <c r="CS10" i="16"/>
  <c r="CQ10" i="16"/>
  <c r="CO10" i="16"/>
  <c r="CM10" i="16"/>
  <c r="CK10" i="16"/>
  <c r="CI10" i="16"/>
  <c r="DI9" i="16"/>
  <c r="DG9" i="16"/>
  <c r="DE9" i="16"/>
  <c r="DC9" i="16"/>
  <c r="DA9" i="16"/>
  <c r="CY9" i="16"/>
  <c r="CW9" i="16"/>
  <c r="CU9" i="16"/>
  <c r="CS9" i="16"/>
  <c r="CQ9" i="16"/>
  <c r="CO9" i="16"/>
  <c r="CM9" i="16"/>
  <c r="CK9" i="16"/>
  <c r="CI9" i="16"/>
  <c r="F13" i="16" l="1"/>
  <c r="F21" i="16"/>
  <c r="CK26" i="16"/>
  <c r="DA26" i="16"/>
  <c r="DG25" i="16"/>
  <c r="DG26" i="16" s="1"/>
  <c r="CM26" i="16"/>
  <c r="CQ26" i="16"/>
  <c r="DE26" i="16"/>
  <c r="CW26" i="16"/>
  <c r="CO26" i="16"/>
  <c r="DI26" i="16"/>
  <c r="CI26" i="16"/>
  <c r="CY26" i="16"/>
  <c r="DC26" i="16"/>
  <c r="CU26" i="16"/>
  <c r="CS26" i="16"/>
  <c r="BQ15" i="16" l="1"/>
  <c r="BO15" i="16"/>
  <c r="BM15" i="16"/>
  <c r="BK15" i="16"/>
  <c r="BI15" i="16"/>
  <c r="BG15" i="16"/>
  <c r="BE15" i="16"/>
  <c r="BC15" i="16"/>
  <c r="DK9" i="16"/>
  <c r="CG9" i="16"/>
  <c r="CE9" i="16"/>
  <c r="CC9" i="16"/>
  <c r="CA9" i="16"/>
  <c r="BY9" i="16"/>
  <c r="BW9" i="16"/>
  <c r="BU9" i="16"/>
  <c r="BS9" i="16"/>
  <c r="BQ9" i="16"/>
  <c r="BO9" i="16"/>
  <c r="BM9" i="16"/>
  <c r="BK9" i="16"/>
  <c r="BI9" i="16"/>
  <c r="BG9" i="16"/>
  <c r="BE9" i="16"/>
  <c r="BC9" i="16"/>
  <c r="BA9" i="16"/>
  <c r="AY9" i="16"/>
  <c r="AW9" i="16"/>
  <c r="AU9" i="16"/>
  <c r="AS9" i="16"/>
  <c r="AQ9" i="16"/>
  <c r="AO9" i="16"/>
  <c r="AM9" i="16"/>
  <c r="AK9" i="16"/>
  <c r="AI9" i="16"/>
  <c r="AG9" i="16"/>
  <c r="AE9" i="16"/>
  <c r="AC9" i="16"/>
  <c r="AA9" i="16"/>
  <c r="Y9" i="16"/>
  <c r="W9" i="16"/>
  <c r="S9" i="16"/>
  <c r="Q9" i="16"/>
  <c r="M9" i="16"/>
  <c r="BY22" i="16" l="1"/>
  <c r="BU22" i="16"/>
  <c r="DK24" i="16"/>
  <c r="CG24" i="16"/>
  <c r="CE24" i="16"/>
  <c r="CC24" i="16"/>
  <c r="CA24" i="16"/>
  <c r="BY24" i="16"/>
  <c r="BW24" i="16"/>
  <c r="BU24" i="16"/>
  <c r="BY23" i="16"/>
  <c r="BW23" i="16"/>
  <c r="BU23" i="16"/>
  <c r="BS23" i="16"/>
  <c r="BQ23" i="16"/>
  <c r="BO23" i="16"/>
  <c r="BM23" i="16"/>
  <c r="BI23" i="16"/>
  <c r="CC21" i="16"/>
  <c r="CA21" i="16"/>
  <c r="BY21" i="16"/>
  <c r="BW21" i="16"/>
  <c r="BU21" i="16"/>
  <c r="BS21" i="16"/>
  <c r="BQ21" i="16"/>
  <c r="BO21" i="16"/>
  <c r="BM21" i="16"/>
  <c r="BK21" i="16"/>
  <c r="AQ20" i="16"/>
  <c r="AO20" i="16"/>
  <c r="AM20" i="16"/>
  <c r="AO19" i="16"/>
  <c r="AM19" i="16"/>
  <c r="AK19" i="16"/>
  <c r="AI19" i="16"/>
  <c r="AQ18" i="16"/>
  <c r="AO18" i="16"/>
  <c r="AK16" i="16"/>
  <c r="AI16" i="16"/>
  <c r="AG16" i="16"/>
  <c r="AK17" i="16"/>
  <c r="AI17" i="16"/>
  <c r="AG17" i="16"/>
  <c r="AE17" i="16"/>
  <c r="BG14" i="16"/>
  <c r="BE14" i="16"/>
  <c r="BC14" i="16"/>
  <c r="BA14" i="16"/>
  <c r="AY14" i="16"/>
  <c r="AW14" i="16"/>
  <c r="AU14" i="16"/>
  <c r="AS14" i="16"/>
  <c r="AQ14" i="16"/>
  <c r="AO14" i="16"/>
  <c r="AM14" i="16"/>
  <c r="AK14" i="16"/>
  <c r="AI14" i="16"/>
  <c r="AG14" i="16"/>
  <c r="AC14" i="16"/>
  <c r="AC13" i="16"/>
  <c r="AA13" i="16"/>
  <c r="AY12" i="16"/>
  <c r="AW12" i="16"/>
  <c r="AU12" i="16"/>
  <c r="AS12" i="16"/>
  <c r="AQ12" i="16"/>
  <c r="AO12" i="16"/>
  <c r="AM12" i="16"/>
  <c r="AK12" i="16"/>
  <c r="AI12" i="16"/>
  <c r="AG12" i="16"/>
  <c r="AE12" i="16"/>
  <c r="AC12" i="16"/>
  <c r="AA12" i="16"/>
  <c r="Y12" i="16"/>
  <c r="W12" i="16"/>
  <c r="S12" i="16"/>
  <c r="K11" i="16"/>
  <c r="BQ24" i="16"/>
  <c r="BO24" i="16"/>
  <c r="BM24" i="16"/>
  <c r="BK24" i="16"/>
  <c r="BI24" i="16"/>
  <c r="BG24" i="16"/>
  <c r="BE24" i="16"/>
  <c r="BC24" i="16"/>
  <c r="BA24" i="16"/>
  <c r="AY24" i="16"/>
  <c r="AW24" i="16"/>
  <c r="AU24" i="16"/>
  <c r="AS24" i="16"/>
  <c r="AQ24" i="16"/>
  <c r="AO24" i="16"/>
  <c r="AM24" i="16"/>
  <c r="AK24" i="16"/>
  <c r="AI24" i="16"/>
  <c r="AG24" i="16"/>
  <c r="AE24" i="16"/>
  <c r="AC24" i="16"/>
  <c r="AA24" i="16"/>
  <c r="Y24" i="16"/>
  <c r="W24" i="16"/>
  <c r="U24" i="16"/>
  <c r="S24" i="16"/>
  <c r="Q24" i="16"/>
  <c r="O24" i="16"/>
  <c r="M24" i="16"/>
  <c r="DK23" i="16"/>
  <c r="CG23" i="16"/>
  <c r="CE23" i="16"/>
  <c r="CC23" i="16"/>
  <c r="CA23" i="16"/>
  <c r="BE23" i="16"/>
  <c r="BC23" i="16"/>
  <c r="BA23" i="16"/>
  <c r="AY23" i="16"/>
  <c r="AW23" i="16"/>
  <c r="AU23" i="16"/>
  <c r="AS23" i="16"/>
  <c r="AQ23" i="16"/>
  <c r="AO23" i="16"/>
  <c r="AM23" i="16"/>
  <c r="AK23" i="16"/>
  <c r="AI23" i="16"/>
  <c r="AG23" i="16"/>
  <c r="AE23" i="16"/>
  <c r="AC23" i="16"/>
  <c r="AA23" i="16"/>
  <c r="Y23" i="16"/>
  <c r="W23" i="16"/>
  <c r="U23" i="16"/>
  <c r="S23" i="16"/>
  <c r="Q23" i="16"/>
  <c r="O23" i="16"/>
  <c r="M23" i="16"/>
  <c r="DK22" i="16"/>
  <c r="CG22" i="16"/>
  <c r="CE22" i="16"/>
  <c r="CC22" i="16"/>
  <c r="CA22" i="16"/>
  <c r="BW22" i="16"/>
  <c r="BS22" i="16"/>
  <c r="BQ22" i="16"/>
  <c r="BO22" i="16"/>
  <c r="BM22" i="16"/>
  <c r="BK22" i="16"/>
  <c r="BI22" i="16"/>
  <c r="BG22" i="16"/>
  <c r="BE22" i="16"/>
  <c r="BC22" i="16"/>
  <c r="BA22" i="16"/>
  <c r="AY22" i="16"/>
  <c r="AW22" i="16"/>
  <c r="AU22" i="16"/>
  <c r="AS22" i="16"/>
  <c r="AQ22" i="16"/>
  <c r="AO22" i="16"/>
  <c r="AM22" i="16"/>
  <c r="AK22" i="16"/>
  <c r="AI22" i="16"/>
  <c r="AG22" i="16"/>
  <c r="AE22" i="16"/>
  <c r="AC22" i="16"/>
  <c r="AA22" i="16"/>
  <c r="Y22" i="16"/>
  <c r="W22" i="16"/>
  <c r="U22" i="16"/>
  <c r="S22" i="16"/>
  <c r="Q22" i="16"/>
  <c r="O22" i="16"/>
  <c r="M22" i="16"/>
  <c r="DK21" i="16"/>
  <c r="CG21" i="16"/>
  <c r="CE21" i="16"/>
  <c r="BI21" i="16"/>
  <c r="BG21" i="16"/>
  <c r="BE21" i="16"/>
  <c r="BC21" i="16"/>
  <c r="BA21" i="16"/>
  <c r="AY21" i="16"/>
  <c r="AW21" i="16"/>
  <c r="AU21" i="16"/>
  <c r="AS21" i="16"/>
  <c r="AQ21" i="16"/>
  <c r="AO21" i="16"/>
  <c r="AM21" i="16"/>
  <c r="AK21" i="16"/>
  <c r="AI21" i="16"/>
  <c r="AG21" i="16"/>
  <c r="AE21" i="16"/>
  <c r="AC21" i="16"/>
  <c r="AA21" i="16"/>
  <c r="Y21" i="16"/>
  <c r="W21" i="16"/>
  <c r="U21" i="16"/>
  <c r="S21" i="16"/>
  <c r="Q21" i="16"/>
  <c r="O21" i="16"/>
  <c r="M21" i="16"/>
  <c r="DK20" i="16"/>
  <c r="AK20" i="16"/>
  <c r="AI20" i="16"/>
  <c r="AG20" i="16"/>
  <c r="AE20" i="16"/>
  <c r="AC20" i="16"/>
  <c r="AA20" i="16"/>
  <c r="Y20" i="16"/>
  <c r="W20" i="16"/>
  <c r="U20" i="16"/>
  <c r="S20" i="16"/>
  <c r="Q20" i="16"/>
  <c r="O20" i="16"/>
  <c r="M20" i="16"/>
  <c r="DK19" i="16"/>
  <c r="AG19" i="16"/>
  <c r="AE19" i="16"/>
  <c r="AC19" i="16"/>
  <c r="AA19" i="16"/>
  <c r="Y19" i="16"/>
  <c r="W19" i="16"/>
  <c r="U19" i="16"/>
  <c r="S19" i="16"/>
  <c r="Q19" i="16"/>
  <c r="O19" i="16"/>
  <c r="M19" i="16"/>
  <c r="DK18" i="16"/>
  <c r="AI18" i="16"/>
  <c r="AG18" i="16"/>
  <c r="AE18" i="16"/>
  <c r="AC18" i="16"/>
  <c r="AA18" i="16"/>
  <c r="Y18" i="16"/>
  <c r="W18" i="16"/>
  <c r="U18" i="16"/>
  <c r="S18" i="16"/>
  <c r="Q18" i="16"/>
  <c r="O18" i="16"/>
  <c r="M18" i="16"/>
  <c r="DK17" i="16"/>
  <c r="AC17" i="16"/>
  <c r="AA17" i="16"/>
  <c r="Y17" i="16"/>
  <c r="W17" i="16"/>
  <c r="U17" i="16"/>
  <c r="S17" i="16"/>
  <c r="Q17" i="16"/>
  <c r="O17" i="16"/>
  <c r="M17" i="16"/>
  <c r="DK16" i="16"/>
  <c r="AE16" i="16"/>
  <c r="AC16" i="16"/>
  <c r="AA16" i="16"/>
  <c r="Y16" i="16"/>
  <c r="W16" i="16"/>
  <c r="U16" i="16"/>
  <c r="S16" i="16"/>
  <c r="Q16" i="16"/>
  <c r="O16" i="16"/>
  <c r="M16" i="16"/>
  <c r="DK15" i="16"/>
  <c r="BU15" i="16"/>
  <c r="BS15" i="16"/>
  <c r="BA15" i="16"/>
  <c r="AY15" i="16"/>
  <c r="AW15" i="16"/>
  <c r="AU15" i="16"/>
  <c r="AS15" i="16"/>
  <c r="AQ15" i="16"/>
  <c r="AO15" i="16"/>
  <c r="AM15" i="16"/>
  <c r="AK15" i="16"/>
  <c r="AI15" i="16"/>
  <c r="AG15" i="16"/>
  <c r="AE15" i="16"/>
  <c r="AC15" i="16"/>
  <c r="AA15" i="16"/>
  <c r="Y15" i="16"/>
  <c r="W15" i="16"/>
  <c r="U15" i="16"/>
  <c r="S15" i="16"/>
  <c r="Q15" i="16"/>
  <c r="O15" i="16"/>
  <c r="M15" i="16"/>
  <c r="DK14" i="16"/>
  <c r="CG14" i="16"/>
  <c r="CE14" i="16"/>
  <c r="CC14" i="16"/>
  <c r="CA14" i="16"/>
  <c r="BY14" i="16"/>
  <c r="BW14" i="16"/>
  <c r="BU14" i="16"/>
  <c r="BS14" i="16"/>
  <c r="BQ14" i="16"/>
  <c r="BO14" i="16"/>
  <c r="BM14" i="16"/>
  <c r="BK14" i="16"/>
  <c r="BI14" i="16"/>
  <c r="AA14" i="16"/>
  <c r="Y14" i="16"/>
  <c r="W14" i="16"/>
  <c r="U14" i="16"/>
  <c r="S14" i="16"/>
  <c r="Q14" i="16"/>
  <c r="O14" i="16"/>
  <c r="M14" i="16"/>
  <c r="DK13" i="16"/>
  <c r="CG13" i="16"/>
  <c r="CE13" i="16"/>
  <c r="CC13" i="16"/>
  <c r="CA13" i="16"/>
  <c r="Y13" i="16"/>
  <c r="W13" i="16"/>
  <c r="U13" i="16"/>
  <c r="S13" i="16"/>
  <c r="Q13" i="16"/>
  <c r="O13" i="16"/>
  <c r="M13" i="16"/>
  <c r="DK12" i="16"/>
  <c r="CG12" i="16"/>
  <c r="CE12" i="16"/>
  <c r="CC12" i="16"/>
  <c r="CA12" i="16"/>
  <c r="BY12" i="16"/>
  <c r="BW12" i="16"/>
  <c r="BU12" i="16"/>
  <c r="BS12" i="16"/>
  <c r="BQ12" i="16"/>
  <c r="BO12" i="16"/>
  <c r="BM12" i="16"/>
  <c r="BK12" i="16"/>
  <c r="BI12" i="16"/>
  <c r="BG12" i="16"/>
  <c r="BE12" i="16"/>
  <c r="BC12" i="16"/>
  <c r="BA12" i="16"/>
  <c r="Q12" i="16"/>
  <c r="O12" i="16"/>
  <c r="M12" i="16"/>
  <c r="DK11" i="16"/>
  <c r="CG11" i="16"/>
  <c r="CE11" i="16"/>
  <c r="CC11" i="16"/>
  <c r="CA11" i="16"/>
  <c r="BY11" i="16"/>
  <c r="BW11" i="16"/>
  <c r="BU11" i="16"/>
  <c r="BS11" i="16"/>
  <c r="BQ11" i="16"/>
  <c r="BO11" i="16"/>
  <c r="BM11" i="16"/>
  <c r="BK11" i="16"/>
  <c r="BI11" i="16"/>
  <c r="BG11" i="16"/>
  <c r="BE11" i="16"/>
  <c r="BC11" i="16"/>
  <c r="BA11" i="16"/>
  <c r="AY11" i="16"/>
  <c r="AW11" i="16"/>
  <c r="AU11" i="16"/>
  <c r="AS11" i="16"/>
  <c r="AQ11" i="16"/>
  <c r="AO11" i="16"/>
  <c r="AM11" i="16"/>
  <c r="AK11" i="16"/>
  <c r="AI11" i="16"/>
  <c r="AG11" i="16"/>
  <c r="AE11" i="16"/>
  <c r="AC11" i="16"/>
  <c r="AA11" i="16"/>
  <c r="Y11" i="16"/>
  <c r="W11" i="16"/>
  <c r="K12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N10" i="16"/>
  <c r="O10" i="16" s="1"/>
  <c r="L10" i="16"/>
  <c r="M10" i="16" s="1"/>
  <c r="J10" i="16"/>
  <c r="K10" i="16" s="1"/>
  <c r="H10" i="16"/>
  <c r="F10" i="16" s="1"/>
  <c r="U9" i="16"/>
  <c r="O9" i="16"/>
  <c r="K9" i="16"/>
  <c r="BS24" i="16" l="1"/>
  <c r="BK23" i="16"/>
  <c r="BG23" i="16"/>
  <c r="AS20" i="16"/>
  <c r="AM18" i="16"/>
  <c r="AK18" i="16"/>
  <c r="AE14" i="16"/>
  <c r="U12" i="16"/>
  <c r="DJ25" i="16" l="1"/>
  <c r="CF25" i="16"/>
  <c r="CD25" i="16"/>
  <c r="CB25" i="16"/>
  <c r="BZ25" i="16"/>
  <c r="BX25" i="16"/>
  <c r="BV25" i="16"/>
  <c r="BT25" i="16"/>
  <c r="BR25" i="16"/>
  <c r="BP25" i="16"/>
  <c r="BN25" i="16"/>
  <c r="BL25" i="16"/>
  <c r="BJ25" i="16"/>
  <c r="BH25" i="16"/>
  <c r="BF25" i="16"/>
  <c r="BD25" i="16"/>
  <c r="BB25" i="16"/>
  <c r="AZ25" i="16"/>
  <c r="AX25" i="16"/>
  <c r="AV25" i="16"/>
  <c r="AT25" i="16"/>
  <c r="AR25" i="16"/>
  <c r="AP25" i="16"/>
  <c r="AN25" i="16"/>
  <c r="AL25" i="16"/>
  <c r="AJ25" i="16"/>
  <c r="AH25" i="16"/>
  <c r="AF25" i="16"/>
  <c r="AD25" i="16"/>
  <c r="AB25" i="16"/>
  <c r="Z25" i="16"/>
  <c r="X25" i="16"/>
  <c r="V25" i="16"/>
  <c r="T25" i="16"/>
  <c r="R25" i="16"/>
  <c r="P25" i="16"/>
  <c r="N25" i="16"/>
  <c r="L25" i="16"/>
  <c r="J25" i="16"/>
  <c r="H25" i="16"/>
  <c r="F25" i="16" l="1"/>
  <c r="BU25" i="16"/>
  <c r="AA25" i="16"/>
  <c r="M25" i="16"/>
  <c r="BY25" i="16"/>
  <c r="AE25" i="16"/>
  <c r="AG25" i="16"/>
  <c r="BM25" i="16"/>
  <c r="CC25" i="16"/>
  <c r="AO25" i="16"/>
  <c r="BW25" i="16"/>
  <c r="AS25" i="16"/>
  <c r="CA25" i="16"/>
  <c r="AY25" i="16"/>
  <c r="BO25" i="16"/>
  <c r="CE25" i="16"/>
  <c r="Y25" i="16"/>
  <c r="K25" i="16"/>
  <c r="AQ25" i="16"/>
  <c r="BI25" i="16"/>
  <c r="AU25" i="16"/>
  <c r="Q25" i="16"/>
  <c r="S25" i="16"/>
  <c r="U25" i="16"/>
  <c r="AK25" i="16"/>
  <c r="BA25" i="16"/>
  <c r="BQ25" i="16"/>
  <c r="CG25" i="16"/>
  <c r="BE25" i="16"/>
  <c r="BG25" i="16"/>
  <c r="AC25" i="16"/>
  <c r="O25" i="16"/>
  <c r="BK25" i="16"/>
  <c r="AW25" i="16"/>
  <c r="AI25" i="16"/>
  <c r="W25" i="16"/>
  <c r="AM25" i="16"/>
  <c r="BC25" i="16"/>
  <c r="BS25" i="16"/>
  <c r="DK25" i="16"/>
  <c r="C26" i="16"/>
  <c r="F63" i="13" s="1"/>
  <c r="I25" i="16"/>
  <c r="E25" i="16"/>
  <c r="I24" i="16"/>
  <c r="E24" i="16"/>
  <c r="I23" i="16"/>
  <c r="E23" i="16"/>
  <c r="I22" i="16"/>
  <c r="E22" i="16"/>
  <c r="I21" i="16"/>
  <c r="E21" i="16"/>
  <c r="I20" i="16"/>
  <c r="E20" i="16"/>
  <c r="I19" i="16"/>
  <c r="E19" i="16"/>
  <c r="I18" i="16"/>
  <c r="E18" i="16"/>
  <c r="I17" i="16"/>
  <c r="E17" i="16"/>
  <c r="I16" i="16"/>
  <c r="E16" i="16"/>
  <c r="I15" i="16"/>
  <c r="E15" i="16"/>
  <c r="I14" i="16"/>
  <c r="E14" i="16"/>
  <c r="I13" i="16"/>
  <c r="E13" i="16"/>
  <c r="I12" i="16"/>
  <c r="E12" i="16"/>
  <c r="E11" i="16"/>
  <c r="DK10" i="16"/>
  <c r="CG10" i="16"/>
  <c r="CE10" i="16"/>
  <c r="CC10" i="16"/>
  <c r="CA10" i="16"/>
  <c r="BY10" i="16"/>
  <c r="BW10" i="16"/>
  <c r="BU10" i="16"/>
  <c r="BS10" i="16"/>
  <c r="BQ10" i="16"/>
  <c r="BO10" i="16"/>
  <c r="BM10" i="16"/>
  <c r="BK10" i="16"/>
  <c r="BI10" i="16"/>
  <c r="BG10" i="16"/>
  <c r="BE10" i="16"/>
  <c r="BC10" i="16"/>
  <c r="BA10" i="16"/>
  <c r="AY10" i="16"/>
  <c r="AW10" i="16"/>
  <c r="AU10" i="16"/>
  <c r="AS10" i="16"/>
  <c r="AQ10" i="16"/>
  <c r="AO10" i="16"/>
  <c r="AM10" i="16"/>
  <c r="AK10" i="16"/>
  <c r="AI10" i="16"/>
  <c r="AG10" i="16"/>
  <c r="AE10" i="16"/>
  <c r="AC10" i="16"/>
  <c r="AA10" i="16"/>
  <c r="Y10" i="16"/>
  <c r="W10" i="16"/>
  <c r="U10" i="16"/>
  <c r="S10" i="16"/>
  <c r="Q10" i="16"/>
  <c r="I10" i="16"/>
  <c r="E10" i="16"/>
  <c r="I9" i="16"/>
  <c r="E9" i="16"/>
  <c r="D13" i="16" l="1"/>
  <c r="CO27" i="16"/>
  <c r="D74" i="16" s="1"/>
  <c r="C51" i="13" s="1"/>
  <c r="DE27" i="16"/>
  <c r="D82" i="16" s="1"/>
  <c r="C59" i="13" s="1"/>
  <c r="CM27" i="16"/>
  <c r="D73" i="16" s="1"/>
  <c r="C50" i="13" s="1"/>
  <c r="DI27" i="16"/>
  <c r="D84" i="16" s="1"/>
  <c r="C61" i="13" s="1"/>
  <c r="CW27" i="16"/>
  <c r="D78" i="16" s="1"/>
  <c r="C55" i="13" s="1"/>
  <c r="CY27" i="16"/>
  <c r="D79" i="16" s="1"/>
  <c r="C56" i="13" s="1"/>
  <c r="CK27" i="16"/>
  <c r="D72" i="16" s="1"/>
  <c r="C49" i="13" s="1"/>
  <c r="CQ27" i="16"/>
  <c r="D75" i="16" s="1"/>
  <c r="C52" i="13" s="1"/>
  <c r="DG27" i="16"/>
  <c r="D83" i="16" s="1"/>
  <c r="C60" i="13" s="1"/>
  <c r="DC27" i="16"/>
  <c r="D81" i="16" s="1"/>
  <c r="C58" i="13" s="1"/>
  <c r="CI27" i="16"/>
  <c r="D71" i="16" s="1"/>
  <c r="C48" i="13" s="1"/>
  <c r="DA27" i="16"/>
  <c r="D80" i="16" s="1"/>
  <c r="C57" i="13" s="1"/>
  <c r="CU27" i="16"/>
  <c r="D77" i="16" s="1"/>
  <c r="C54" i="13" s="1"/>
  <c r="CS27" i="16"/>
  <c r="D76" i="16" s="1"/>
  <c r="C53" i="13" s="1"/>
  <c r="D20" i="16"/>
  <c r="D18" i="16"/>
  <c r="D21" i="16"/>
  <c r="U26" i="16"/>
  <c r="U27" i="16" s="1"/>
  <c r="AK26" i="16"/>
  <c r="AK27" i="16" s="1"/>
  <c r="BA26" i="16"/>
  <c r="BA27" i="16" s="1"/>
  <c r="BQ26" i="16"/>
  <c r="BQ27" i="16" s="1"/>
  <c r="CG26" i="16"/>
  <c r="CG27" i="16" s="1"/>
  <c r="D70" i="16" s="1"/>
  <c r="C47" i="13" s="1"/>
  <c r="E26" i="16"/>
  <c r="E27" i="16" s="1"/>
  <c r="W26" i="16"/>
  <c r="W27" i="16" s="1"/>
  <c r="AM26" i="16"/>
  <c r="AM27" i="16" s="1"/>
  <c r="BC26" i="16"/>
  <c r="BC27" i="16" s="1"/>
  <c r="BS26" i="16"/>
  <c r="BS27" i="16" s="1"/>
  <c r="DK26" i="16"/>
  <c r="DK27" i="16" s="1"/>
  <c r="D10" i="16"/>
  <c r="I26" i="16"/>
  <c r="Y26" i="16"/>
  <c r="Y27" i="16" s="1"/>
  <c r="AO26" i="16"/>
  <c r="AO27" i="16" s="1"/>
  <c r="BE26" i="16"/>
  <c r="BE27" i="16" s="1"/>
  <c r="BU26" i="16"/>
  <c r="BU27" i="16" s="1"/>
  <c r="D11" i="16"/>
  <c r="O26" i="16"/>
  <c r="O27" i="16" s="1"/>
  <c r="BK26" i="16"/>
  <c r="BK27" i="16" s="1"/>
  <c r="Q26" i="16"/>
  <c r="Q27" i="16" s="1"/>
  <c r="AW26" i="16"/>
  <c r="AW27" i="16" s="1"/>
  <c r="CC26" i="16"/>
  <c r="CC27" i="16" s="1"/>
  <c r="S26" i="16"/>
  <c r="S27" i="16" s="1"/>
  <c r="AI26" i="16"/>
  <c r="AI27" i="16" s="1"/>
  <c r="AY26" i="16"/>
  <c r="AY27" i="16" s="1"/>
  <c r="BO26" i="16"/>
  <c r="BO27" i="16" s="1"/>
  <c r="CE26" i="16"/>
  <c r="CE27" i="16" s="1"/>
  <c r="K26" i="16"/>
  <c r="K27" i="16" s="1"/>
  <c r="AA26" i="16"/>
  <c r="AA27" i="16" s="1"/>
  <c r="AQ26" i="16"/>
  <c r="AQ27" i="16" s="1"/>
  <c r="BG26" i="16"/>
  <c r="BG27" i="16" s="1"/>
  <c r="BW26" i="16"/>
  <c r="BW27" i="16" s="1"/>
  <c r="M26" i="16"/>
  <c r="M27" i="16" s="1"/>
  <c r="AC26" i="16"/>
  <c r="AC27" i="16" s="1"/>
  <c r="AS26" i="16"/>
  <c r="AS27" i="16" s="1"/>
  <c r="BI26" i="16"/>
  <c r="BI27" i="16" s="1"/>
  <c r="BY26" i="16"/>
  <c r="BY27" i="16" s="1"/>
  <c r="AU26" i="16"/>
  <c r="AU27" i="16" s="1"/>
  <c r="CA26" i="16"/>
  <c r="CA27" i="16" s="1"/>
  <c r="AE26" i="16"/>
  <c r="AE27" i="16" s="1"/>
  <c r="AG26" i="16"/>
  <c r="AG27" i="16" s="1"/>
  <c r="BM26" i="16"/>
  <c r="BM27" i="16" s="1"/>
  <c r="D14" i="16"/>
  <c r="D22" i="16"/>
  <c r="D15" i="16"/>
  <c r="D23" i="16"/>
  <c r="D16" i="16"/>
  <c r="D24" i="16"/>
  <c r="D9" i="16"/>
  <c r="D17" i="16"/>
  <c r="D25" i="16"/>
  <c r="D19" i="16"/>
  <c r="D12" i="16"/>
  <c r="D66" i="16" l="1"/>
  <c r="D41" i="16"/>
  <c r="C18" i="13" s="1"/>
  <c r="D40" i="16"/>
  <c r="C17" i="13" s="1"/>
  <c r="D58" i="16"/>
  <c r="C35" i="13" s="1"/>
  <c r="D36" i="16"/>
  <c r="C13" i="13" s="1"/>
  <c r="D50" i="16"/>
  <c r="C27" i="13" s="1"/>
  <c r="D60" i="16"/>
  <c r="C37" i="13" s="1"/>
  <c r="D35" i="16"/>
  <c r="C12" i="13" s="1"/>
  <c r="D44" i="16"/>
  <c r="C21" i="13" s="1"/>
  <c r="D34" i="16"/>
  <c r="C11" i="13" s="1"/>
  <c r="D53" i="16"/>
  <c r="C30" i="13" s="1"/>
  <c r="D63" i="16"/>
  <c r="C40" i="13" s="1"/>
  <c r="D46" i="16"/>
  <c r="C23" i="13" s="1"/>
  <c r="D59" i="16"/>
  <c r="C36" i="13" s="1"/>
  <c r="D42" i="16"/>
  <c r="C19" i="13" s="1"/>
  <c r="D85" i="16"/>
  <c r="C62" i="13" s="1"/>
  <c r="E62" i="13" s="1"/>
  <c r="D54" i="16"/>
  <c r="C31" i="13" s="1"/>
  <c r="D43" i="16"/>
  <c r="C20" i="13" s="1"/>
  <c r="D65" i="16"/>
  <c r="C42" i="13" s="1"/>
  <c r="D45" i="16"/>
  <c r="C22" i="13" s="1"/>
  <c r="D64" i="16"/>
  <c r="C41" i="13" s="1"/>
  <c r="D55" i="16"/>
  <c r="C32" i="13" s="1"/>
  <c r="D38" i="16"/>
  <c r="C15" i="13" s="1"/>
  <c r="D52" i="16"/>
  <c r="C29" i="13" s="1"/>
  <c r="D33" i="16"/>
  <c r="C10" i="13" s="1"/>
  <c r="D69" i="16"/>
  <c r="D62" i="16"/>
  <c r="C39" i="13" s="1"/>
  <c r="D61" i="16"/>
  <c r="C38" i="13" s="1"/>
  <c r="D67" i="16"/>
  <c r="D57" i="16"/>
  <c r="C34" i="13" s="1"/>
  <c r="D37" i="16"/>
  <c r="C14" i="13" s="1"/>
  <c r="D56" i="16"/>
  <c r="C33" i="13" s="1"/>
  <c r="D47" i="16"/>
  <c r="C24" i="13" s="1"/>
  <c r="D51" i="16"/>
  <c r="C28" i="13" s="1"/>
  <c r="D49" i="16"/>
  <c r="C26" i="13" s="1"/>
  <c r="D68" i="16"/>
  <c r="D48" i="16"/>
  <c r="C25" i="13" s="1"/>
  <c r="D39" i="16"/>
  <c r="C16" i="13" s="1"/>
  <c r="E60" i="13"/>
  <c r="E56" i="13"/>
  <c r="E54" i="13"/>
  <c r="E52" i="13"/>
  <c r="E50" i="13"/>
  <c r="E58" i="13"/>
  <c r="E48" i="13"/>
  <c r="E61" i="13"/>
  <c r="E59" i="13"/>
  <c r="E57" i="13"/>
  <c r="E55" i="13"/>
  <c r="E53" i="13"/>
  <c r="E51" i="13"/>
  <c r="E49" i="13"/>
  <c r="E47" i="13"/>
  <c r="D26" i="16"/>
  <c r="I27" i="16"/>
  <c r="DL27" i="16"/>
  <c r="C44" i="13" l="1"/>
  <c r="E44" i="13" s="1"/>
  <c r="C45" i="13"/>
  <c r="E45" i="13" s="1"/>
  <c r="C46" i="13"/>
  <c r="E46" i="13" s="1"/>
  <c r="C43" i="13"/>
  <c r="E43" i="13" s="1"/>
  <c r="D32" i="16"/>
  <c r="C9" i="13" s="1"/>
  <c r="E9" i="13" s="1"/>
  <c r="E17" i="13"/>
  <c r="E25" i="13"/>
  <c r="E33" i="13"/>
  <c r="E41" i="13"/>
  <c r="E10" i="13"/>
  <c r="E18" i="13"/>
  <c r="E26" i="13"/>
  <c r="E34" i="13"/>
  <c r="E42" i="13"/>
  <c r="E11" i="13"/>
  <c r="E19" i="13"/>
  <c r="E27" i="13"/>
  <c r="E35" i="13"/>
  <c r="E13" i="13"/>
  <c r="E21" i="13"/>
  <c r="E29" i="13"/>
  <c r="E37" i="13"/>
  <c r="E14" i="13"/>
  <c r="E22" i="13"/>
  <c r="E30" i="13"/>
  <c r="E38" i="13"/>
  <c r="E15" i="13"/>
  <c r="E23" i="13"/>
  <c r="E31" i="13"/>
  <c r="E39" i="13"/>
  <c r="E16" i="13"/>
  <c r="E24" i="13"/>
  <c r="E32" i="13"/>
  <c r="E40" i="13"/>
  <c r="E12" i="13"/>
  <c r="E20" i="13"/>
  <c r="E28" i="13"/>
  <c r="E36" i="13"/>
  <c r="D9" i="13" l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24" i="13" s="1"/>
  <c r="D25" i="13" s="1"/>
  <c r="D26" i="13" s="1"/>
  <c r="D27" i="13" s="1"/>
  <c r="D28" i="13" s="1"/>
  <c r="D29" i="13" s="1"/>
  <c r="D30" i="13" s="1"/>
  <c r="D31" i="13" s="1"/>
  <c r="D32" i="13" s="1"/>
  <c r="D33" i="13" s="1"/>
  <c r="D34" i="13" s="1"/>
  <c r="D35" i="13" s="1"/>
  <c r="D36" i="13" s="1"/>
  <c r="D37" i="13" s="1"/>
  <c r="D38" i="13" s="1"/>
  <c r="D39" i="13" s="1"/>
  <c r="D40" i="13" s="1"/>
  <c r="D41" i="13" s="1"/>
  <c r="D42" i="13" s="1"/>
  <c r="D43" i="13" s="1"/>
  <c r="D44" i="13" s="1"/>
  <c r="D45" i="13" s="1"/>
  <c r="D46" i="13" s="1"/>
  <c r="D47" i="13" s="1"/>
  <c r="D48" i="13" s="1"/>
  <c r="D49" i="13" s="1"/>
  <c r="D50" i="13" s="1"/>
  <c r="D51" i="13" s="1"/>
  <c r="D52" i="13" s="1"/>
  <c r="D53" i="13" s="1"/>
  <c r="D54" i="13" s="1"/>
  <c r="D55" i="13" s="1"/>
  <c r="D56" i="13" s="1"/>
  <c r="D57" i="13" s="1"/>
  <c r="D58" i="13" s="1"/>
  <c r="D59" i="13" s="1"/>
  <c r="D60" i="13" s="1"/>
  <c r="D61" i="13" s="1"/>
  <c r="D62" i="13" s="1"/>
  <c r="F9" i="13"/>
  <c r="F10" i="13" s="1"/>
  <c r="F11" i="13" s="1"/>
  <c r="F12" i="13" s="1"/>
  <c r="F13" i="13" s="1"/>
  <c r="F14" i="13" s="1"/>
  <c r="F15" i="13" s="1"/>
  <c r="F16" i="13" s="1"/>
  <c r="F17" i="13" s="1"/>
  <c r="F18" i="13" s="1"/>
  <c r="F19" i="13" s="1"/>
  <c r="F20" i="13" s="1"/>
  <c r="F21" i="13" s="1"/>
  <c r="F22" i="13" s="1"/>
  <c r="F23" i="13" s="1"/>
  <c r="F24" i="13" s="1"/>
  <c r="F25" i="13" s="1"/>
  <c r="F26" i="13" s="1"/>
  <c r="F27" i="13" s="1"/>
  <c r="F28" i="13" s="1"/>
  <c r="F29" i="13" s="1"/>
  <c r="F30" i="13" s="1"/>
  <c r="F31" i="13" s="1"/>
  <c r="F32" i="13" s="1"/>
  <c r="F33" i="13" s="1"/>
  <c r="F34" i="13" s="1"/>
  <c r="F35" i="13" s="1"/>
  <c r="F36" i="13" s="1"/>
  <c r="F37" i="13" s="1"/>
  <c r="F38" i="13" s="1"/>
  <c r="F39" i="13" s="1"/>
  <c r="F40" i="13" s="1"/>
  <c r="F41" i="13" s="1"/>
  <c r="F42" i="13" s="1"/>
  <c r="F43" i="13" l="1"/>
  <c r="F44" i="13" s="1"/>
  <c r="F45" i="13" s="1"/>
  <c r="F46" i="13" s="1"/>
  <c r="F47" i="13" s="1"/>
  <c r="F48" i="13" s="1"/>
  <c r="F49" i="13" s="1"/>
  <c r="F50" i="13" s="1"/>
  <c r="F51" i="13" s="1"/>
  <c r="F52" i="13" s="1"/>
  <c r="F53" i="13" s="1"/>
  <c r="F54" i="13" s="1"/>
  <c r="F55" i="13" s="1"/>
  <c r="F56" i="13" s="1"/>
  <c r="F57" i="13" s="1"/>
  <c r="F58" i="13" s="1"/>
  <c r="F59" i="13" s="1"/>
  <c r="F60" i="13" s="1"/>
  <c r="F61" i="13" s="1"/>
  <c r="F62" i="13" s="1"/>
</calcChain>
</file>

<file path=xl/sharedStrings.xml><?xml version="1.0" encoding="utf-8"?>
<sst xmlns="http://schemas.openxmlformats.org/spreadsheetml/2006/main" count="340" uniqueCount="106">
  <si>
    <t>Mês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</si>
  <si>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</si>
  <si>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</si>
  <si>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</si>
  <si>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</si>
  <si>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</si>
  <si>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</si>
  <si>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</si>
  <si>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</si>
  <si>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</si>
  <si>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</si>
  <si>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</si>
  <si>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</si>
  <si>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</si>
  <si>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</si>
  <si>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</si>
  <si>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</si>
  <si>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</si>
  <si>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</si>
  <si>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</si>
  <si>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</si>
  <si>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</si>
  <si>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</si>
  <si>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</si>
  <si>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</si>
  <si>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</si>
  <si>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</si>
  <si>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</si>
  <si>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</si>
  <si>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</si>
  <si>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</si>
  <si>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</si>
  <si>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</si>
  <si>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</si>
  <si>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</si>
  <si>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</si>
  <si>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</si>
  <si>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</si>
  <si>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</si>
  <si>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</si>
  <si>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</si>
  <si>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%  AVANÇO</t>
  </si>
  <si>
    <t>% AVANÇO Acumulado</t>
  </si>
  <si>
    <t>Valor Planejado</t>
  </si>
  <si>
    <t>Valor Planejado Acumulado</t>
  </si>
  <si>
    <t>Total</t>
  </si>
  <si>
    <t>CURVA S | % TEÓRICA</t>
  </si>
  <si>
    <t>ETAPA</t>
  </si>
  <si>
    <t>VALOR ORÇADO</t>
  </si>
  <si>
    <t>%</t>
  </si>
  <si>
    <t>VALOR / m²</t>
  </si>
  <si>
    <t>GERENCIAMENTO TÉCNICO E ADMINISTRATIVO</t>
  </si>
  <si>
    <t>ÁREA CONSTRUÍDA</t>
  </si>
  <si>
    <t>m²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</si>
  <si>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</si>
  <si>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</si>
  <si>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</si>
  <si>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</si>
  <si>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</si>
  <si>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</si>
  <si>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</si>
  <si>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</si>
  <si>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</si>
  <si>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</si>
  <si>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</si>
  <si>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</si>
  <si>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COBERTURA</t>
  </si>
  <si>
    <t>REVESTIMENTOS E ACABAMENTOS DE FACHADA</t>
  </si>
  <si>
    <t>SERVIÇOS COMPLEMENTARES</t>
  </si>
  <si>
    <t>IMPREVISTOS E CONTINGENCIAS</t>
  </si>
  <si>
    <t>TOTAL</t>
  </si>
  <si>
    <t>CUB/SC</t>
  </si>
  <si>
    <t>R$</t>
  </si>
  <si>
    <t>SOMA TOTAL</t>
  </si>
  <si>
    <t>Prazo de obra</t>
  </si>
  <si>
    <t>ORÇAMENTO PARAMÉTRICO | ESTIMATIVA DE PRAZO</t>
  </si>
  <si>
    <t>ORÇAMENTO PARAMÉTRICO | DISTRIBUIÇÃO MENSAL DE CUSTOS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</si>
  <si>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</si>
  <si>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</si>
  <si>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</si>
  <si>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</si>
  <si>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</si>
  <si>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</si>
  <si>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</si>
  <si>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</si>
  <si>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</si>
  <si>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</si>
  <si>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</si>
  <si>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</si>
  <si>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</si>
  <si>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</si>
  <si>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</si>
  <si>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</si>
  <si>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</si>
  <si>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</si>
  <si>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</si>
  <si>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</si>
  <si>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</si>
  <si>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</si>
  <si>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</si>
  <si>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SERVIÇOS</t>
  </si>
  <si>
    <t>M64</t>
  </si>
  <si>
    <t>M65</t>
  </si>
  <si>
    <t>% Distribuído</t>
  </si>
  <si>
    <t>x</t>
  </si>
  <si>
    <t>CKOCK EMPREENDIMENTOS - CATENA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</si>
</sst>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* #,##0.00_-;\-* #,##0.00_-;_-* &quot;-&quot;??_-;_-@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 Light"/>
      <family val="2"/>
      <scheme val="major"/>
    </font>
    <font>
      <b/>
      <sz val="40"/>
      <color theme="1"/>
      <name val="Calibri Light"/>
      <family val="2"/>
      <scheme val="major"/>
    </font>
    <font>
      <b/>
      <sz val="14"/>
      <color theme="0"/>
      <name val="Calibri Light"/>
      <family val="2"/>
      <scheme val="maj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 tint="0.14999847407452621"/>
      <name val="Calibri Light"/>
      <family val="2"/>
      <scheme val="major"/>
    </font>
    <font>
      <sz val="11"/>
      <color theme="1"/>
      <name val="Poppins"/>
    </font>
    <font>
      <b/>
      <sz val="11"/>
      <color theme="0"/>
      <name val="Poppins"/>
    </font>
    <font>
      <sz val="10"/>
      <color theme="1"/>
      <name val="Poppins"/>
    </font>
    <font>
      <b/>
      <sz val="18"/>
      <color theme="1"/>
      <name val="Calibri Light"/>
      <family val="2"/>
      <scheme val="major"/>
    </font>
    <font>
      <sz val="18"/>
      <color theme="1"/>
      <name val="Calibri Light"/>
      <family val="2"/>
      <scheme val="major"/>
    </font>
    <font>
      <sz val="11"/>
      <name val="Poppins"/>
    </font>
    <font>
      <sz val="10"/>
      <color rgb="FF255AE5"/>
      <name val="Poppins"/>
    </font>
    <font>
      <b/>
      <sz val="16"/>
      <color theme="1"/>
      <name val="Calibri Light"/>
      <family val="2"/>
      <scheme val="major"/>
    </font>
    <font>
      <b/>
      <sz val="10"/>
      <color theme="0"/>
      <name val="Poppins"/>
    </font>
    <font>
      <b/>
      <sz val="10"/>
      <color theme="1"/>
      <name val="Poppins"/>
    </font>
    <font>
      <sz val="11"/>
      <color rgb="FFD0CECE"/>
      <name val="Calibri"/>
      <family val="2"/>
      <scheme val="minor"/>
    </font>
    <font>
      <sz val="11"/>
      <color rgb="FFFF0000"/>
      <name val="Poppins"/>
    </font>
    <font>
      <sz val="8"/>
      <name val="Calibri"/>
      <family val="2"/>
      <scheme val="minor"/>
    </font>
    <font>
      <sz val="10"/>
      <name val="Poppins"/>
    </font>
    <font>
      <sz val="16"/>
      <name val="Calibri Light"/>
      <family val="2"/>
      <scheme val="major"/>
    </font>
    <font>
      <sz val="20"/>
      <name val="Calibri Light"/>
      <family val="2"/>
      <scheme val="major"/>
    </font>
    <font>
      <sz val="28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rgb="FF255AE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255AE5"/>
        <bgColor rgb="FF255AE5"/>
      </patternFill>
    </fill>
    <fill>
      <patternFill patternType="solid">
        <fgColor theme="0"/>
        <bgColor theme="0"/>
      </patternFill>
    </fill>
    <fill>
      <patternFill patternType="solid">
        <fgColor theme="2" tint="-9.9978637043366805E-2"/>
        <bgColor rgb="FFDCDCD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D0CECE"/>
        <bgColor indexed="64"/>
      </patternFill>
    </fill>
  </fills>
  <borders count="45">
    <border>
      <left/>
      <right/>
      <top/>
      <bottom/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/>
      <right style="medium">
        <color theme="2" tint="-0.249977111117893"/>
      </right>
      <top/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medium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theme="2" tint="-0.249977111117893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medium">
        <color theme="2" tint="-0.249977111117893"/>
      </top>
      <bottom style="medium">
        <color theme="2" tint="-0.249977111117893"/>
      </bottom>
      <diagonal/>
    </border>
    <border>
      <left style="medium">
        <color rgb="FFAEABAB"/>
      </left>
      <right style="thin">
        <color rgb="FFAEABAB"/>
      </right>
      <top style="medium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medium">
        <color rgb="FFAEABAB"/>
      </top>
      <bottom style="thin">
        <color rgb="FFAEABAB"/>
      </bottom>
      <diagonal/>
    </border>
    <border>
      <left style="medium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AEABAB"/>
      </right>
      <top style="thin">
        <color rgb="FFAEABAB"/>
      </top>
      <bottom style="medium">
        <color rgb="FFAEABAB"/>
      </bottom>
      <diagonal/>
    </border>
    <border>
      <left style="medium">
        <color theme="2" tint="-0.249977111117893"/>
      </left>
      <right style="medium">
        <color theme="2" tint="-0.249977111117893"/>
      </right>
      <top style="medium">
        <color theme="2" tint="-0.249977111117893"/>
      </top>
      <bottom/>
      <diagonal/>
    </border>
    <border>
      <left style="medium">
        <color theme="2" tint="-0.249977111117893"/>
      </left>
      <right style="medium">
        <color theme="2" tint="-0.249977111117893"/>
      </right>
      <top/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2" tint="-0.249977111117893"/>
      </left>
      <right/>
      <top style="thin">
        <color theme="2" tint="-0.249977111117893"/>
      </top>
      <bottom style="medium">
        <color theme="2" tint="-0.249977111117893"/>
      </bottom>
      <diagonal/>
    </border>
    <border>
      <left/>
      <right style="medium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medium">
        <color theme="2" tint="-0.249977111117893"/>
      </right>
      <top style="thin">
        <color theme="2" tint="-0.249977111117893"/>
      </top>
      <bottom style="medium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</cellStyleXfs>
  <cellXfs count="14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44" fontId="4" fillId="0" borderId="0" xfId="1" applyFont="1"/>
    <xf numFmtId="44" fontId="4" fillId="0" borderId="0" xfId="1" applyFont="1" applyBorder="1"/>
    <xf numFmtId="0" fontId="6" fillId="2" borderId="9" xfId="0" applyFont="1" applyFill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1" fontId="7" fillId="0" borderId="9" xfId="0" applyNumberFormat="1" applyFont="1" applyBorder="1" applyAlignment="1">
      <alignment horizontal="center" vertical="center"/>
    </xf>
    <xf numFmtId="10" fontId="7" fillId="0" borderId="9" xfId="2" applyNumberFormat="1" applyFont="1" applyFill="1" applyBorder="1" applyAlignment="1">
      <alignment horizontal="center" vertical="center"/>
    </xf>
    <xf numFmtId="10" fontId="7" fillId="0" borderId="9" xfId="0" applyNumberFormat="1" applyFont="1" applyBorder="1" applyAlignment="1">
      <alignment horizontal="center" vertical="center"/>
    </xf>
    <xf numFmtId="44" fontId="7" fillId="0" borderId="9" xfId="1" applyFont="1" applyBorder="1" applyAlignment="1">
      <alignment horizontal="center" vertical="center"/>
    </xf>
    <xf numFmtId="44" fontId="2" fillId="2" borderId="9" xfId="1" applyFont="1" applyFill="1" applyBorder="1" applyAlignment="1">
      <alignment horizontal="center" vertical="center"/>
    </xf>
    <xf numFmtId="17" fontId="7" fillId="0" borderId="0" xfId="0" applyNumberFormat="1" applyFont="1" applyAlignment="1">
      <alignment horizontal="center" vertical="center"/>
    </xf>
    <xf numFmtId="10" fontId="7" fillId="0" borderId="0" xfId="2" applyNumberFormat="1" applyFont="1" applyFill="1" applyBorder="1" applyAlignment="1">
      <alignment horizontal="center" vertical="center"/>
    </xf>
    <xf numFmtId="10" fontId="7" fillId="0" borderId="0" xfId="0" applyNumberFormat="1" applyFont="1" applyAlignment="1">
      <alignment horizontal="center" vertical="center"/>
    </xf>
    <xf numFmtId="44" fontId="8" fillId="0" borderId="0" xfId="1" applyFont="1" applyBorder="1" applyAlignment="1">
      <alignment horizontal="center" vertical="center"/>
    </xf>
    <xf numFmtId="17" fontId="9" fillId="0" borderId="0" xfId="0" applyNumberFormat="1" applyFont="1" applyAlignment="1">
      <alignment horizontal="center" vertical="center"/>
    </xf>
    <xf numFmtId="2" fontId="4" fillId="0" borderId="0" xfId="0" applyNumberFormat="1" applyFont="1"/>
    <xf numFmtId="0" fontId="11" fillId="0" borderId="0" xfId="0" applyFont="1"/>
    <xf numFmtId="0" fontId="11" fillId="0" borderId="0" xfId="0" applyFont="1" applyAlignment="1">
      <alignment vertical="center"/>
    </xf>
    <xf numFmtId="0" fontId="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10" fontId="11" fillId="0" borderId="12" xfId="2" applyNumberFormat="1" applyFont="1" applyFill="1" applyBorder="1" applyAlignment="1">
      <alignment horizontal="center" vertical="center"/>
    </xf>
    <xf numFmtId="10" fontId="11" fillId="0" borderId="10" xfId="0" applyNumberFormat="1" applyFont="1" applyBorder="1" applyAlignment="1">
      <alignment horizontal="center" vertical="center"/>
    </xf>
    <xf numFmtId="10" fontId="11" fillId="5" borderId="10" xfId="0" applyNumberFormat="1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44" fontId="0" fillId="0" borderId="19" xfId="0" applyNumberFormat="1" applyBorder="1" applyAlignment="1">
      <alignment horizontal="center"/>
    </xf>
    <xf numFmtId="0" fontId="12" fillId="2" borderId="10" xfId="0" applyFont="1" applyFill="1" applyBorder="1" applyAlignment="1">
      <alignment horizontal="center" vertical="center"/>
    </xf>
    <xf numFmtId="10" fontId="11" fillId="0" borderId="10" xfId="2" applyNumberFormat="1" applyFont="1" applyFill="1" applyBorder="1" applyAlignment="1">
      <alignment horizontal="center" vertical="center"/>
    </xf>
    <xf numFmtId="44" fontId="11" fillId="0" borderId="10" xfId="0" applyNumberFormat="1" applyFont="1" applyBorder="1" applyAlignment="1">
      <alignment horizontal="center" vertical="center"/>
    </xf>
    <xf numFmtId="44" fontId="12" fillId="2" borderId="10" xfId="0" applyNumberFormat="1" applyFont="1" applyFill="1" applyBorder="1" applyAlignment="1">
      <alignment horizontal="center" vertical="center"/>
    </xf>
    <xf numFmtId="44" fontId="12" fillId="2" borderId="13" xfId="0" applyNumberFormat="1" applyFont="1" applyFill="1" applyBorder="1" applyAlignment="1">
      <alignment horizontal="center" vertical="center"/>
    </xf>
    <xf numFmtId="164" fontId="12" fillId="2" borderId="14" xfId="0" applyNumberFormat="1" applyFont="1" applyFill="1" applyBorder="1" applyAlignment="1">
      <alignment horizontal="center" vertical="center"/>
    </xf>
    <xf numFmtId="10" fontId="12" fillId="2" borderId="21" xfId="2" applyNumberFormat="1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/>
    </xf>
    <xf numFmtId="10" fontId="12" fillId="2" borderId="15" xfId="2" applyNumberFormat="1" applyFont="1" applyFill="1" applyBorder="1" applyAlignment="1">
      <alignment horizontal="center" vertical="center"/>
    </xf>
    <xf numFmtId="0" fontId="11" fillId="0" borderId="12" xfId="0" applyFont="1" applyBorder="1" applyAlignment="1">
      <alignment horizontal="left" vertical="center"/>
    </xf>
    <xf numFmtId="0" fontId="11" fillId="5" borderId="12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10" fontId="11" fillId="6" borderId="10" xfId="0" applyNumberFormat="1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horizontal="left" vertical="center"/>
    </xf>
    <xf numFmtId="10" fontId="11" fillId="7" borderId="10" xfId="0" applyNumberFormat="1" applyFont="1" applyFill="1" applyBorder="1" applyAlignment="1">
      <alignment horizontal="center" vertical="center"/>
    </xf>
    <xf numFmtId="10" fontId="11" fillId="7" borderId="12" xfId="2" applyNumberFormat="1" applyFont="1" applyFill="1" applyBorder="1" applyAlignment="1">
      <alignment horizontal="center" vertical="center"/>
    </xf>
    <xf numFmtId="44" fontId="11" fillId="7" borderId="10" xfId="0" applyNumberFormat="1" applyFont="1" applyFill="1" applyBorder="1" applyAlignment="1">
      <alignment horizontal="center" vertical="center"/>
    </xf>
    <xf numFmtId="10" fontId="11" fillId="7" borderId="10" xfId="2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0" fillId="0" borderId="7" xfId="0" applyBorder="1"/>
    <xf numFmtId="0" fontId="0" fillId="0" borderId="8" xfId="0" applyBorder="1"/>
    <xf numFmtId="164" fontId="12" fillId="4" borderId="26" xfId="0" applyNumberFormat="1" applyFont="1" applyFill="1" applyBorder="1" applyAlignment="1">
      <alignment horizontal="center" vertical="center"/>
    </xf>
    <xf numFmtId="44" fontId="16" fillId="7" borderId="10" xfId="1" applyFont="1" applyFill="1" applyBorder="1" applyAlignment="1">
      <alignment horizontal="center" vertical="center"/>
    </xf>
    <xf numFmtId="44" fontId="16" fillId="0" borderId="10" xfId="1" applyFont="1" applyBorder="1" applyAlignment="1">
      <alignment horizontal="center" vertical="center"/>
    </xf>
    <xf numFmtId="44" fontId="16" fillId="6" borderId="10" xfId="1" applyFont="1" applyFill="1" applyBorder="1" applyAlignment="1">
      <alignment horizontal="center" vertical="center"/>
    </xf>
    <xf numFmtId="44" fontId="16" fillId="5" borderId="10" xfId="1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44" fontId="11" fillId="0" borderId="13" xfId="1" applyFont="1" applyBorder="1" applyAlignment="1">
      <alignment horizontal="center" vertical="center"/>
    </xf>
    <xf numFmtId="44" fontId="11" fillId="6" borderId="13" xfId="1" applyFont="1" applyFill="1" applyBorder="1" applyAlignment="1">
      <alignment horizontal="center" vertical="center"/>
    </xf>
    <xf numFmtId="44" fontId="11" fillId="5" borderId="13" xfId="1" applyFont="1" applyFill="1" applyBorder="1" applyAlignment="1">
      <alignment horizontal="center" vertical="center"/>
    </xf>
    <xf numFmtId="0" fontId="14" fillId="0" borderId="0" xfId="0" applyFont="1"/>
    <xf numFmtId="0" fontId="15" fillId="0" borderId="8" xfId="0" applyFont="1" applyBorder="1" applyAlignment="1">
      <alignment horizontal="center" vertical="center"/>
    </xf>
    <xf numFmtId="0" fontId="19" fillId="2" borderId="16" xfId="0" applyFont="1" applyFill="1" applyBorder="1" applyAlignment="1">
      <alignment horizontal="center" vertical="center"/>
    </xf>
    <xf numFmtId="0" fontId="19" fillId="2" borderId="20" xfId="0" applyFont="1" applyFill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17" fillId="2" borderId="21" xfId="0" applyFont="1" applyFill="1" applyBorder="1" applyAlignment="1">
      <alignment horizontal="center" vertical="center"/>
    </xf>
    <xf numFmtId="0" fontId="21" fillId="0" borderId="0" xfId="0" applyFont="1"/>
    <xf numFmtId="164" fontId="12" fillId="4" borderId="29" xfId="0" applyNumberFormat="1" applyFont="1" applyFill="1" applyBorder="1" applyAlignment="1">
      <alignment horizontal="center" vertical="center"/>
    </xf>
    <xf numFmtId="164" fontId="12" fillId="4" borderId="30" xfId="0" applyNumberFormat="1" applyFont="1" applyFill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10" fontId="13" fillId="0" borderId="32" xfId="0" applyNumberFormat="1" applyFont="1" applyBorder="1" applyAlignment="1">
      <alignment horizontal="center" vertical="center"/>
    </xf>
    <xf numFmtId="10" fontId="13" fillId="0" borderId="33" xfId="0" applyNumberFormat="1" applyFont="1" applyBorder="1" applyAlignment="1">
      <alignment horizontal="center" vertical="center"/>
    </xf>
    <xf numFmtId="9" fontId="11" fillId="7" borderId="36" xfId="2" applyFont="1" applyFill="1" applyBorder="1" applyAlignment="1">
      <alignment horizontal="center" vertical="center"/>
    </xf>
    <xf numFmtId="9" fontId="11" fillId="0" borderId="36" xfId="2" applyFont="1" applyBorder="1" applyAlignment="1">
      <alignment horizontal="center" vertical="center"/>
    </xf>
    <xf numFmtId="9" fontId="11" fillId="7" borderId="37" xfId="2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10" fontId="13" fillId="0" borderId="0" xfId="0" applyNumberFormat="1" applyFont="1" applyAlignment="1">
      <alignment vertical="center"/>
    </xf>
    <xf numFmtId="10" fontId="0" fillId="0" borderId="0" xfId="0" applyNumberFormat="1"/>
    <xf numFmtId="0" fontId="24" fillId="0" borderId="28" xfId="0" applyFont="1" applyBorder="1" applyAlignment="1">
      <alignment horizontal="center" vertical="center"/>
    </xf>
    <xf numFmtId="0" fontId="12" fillId="4" borderId="39" xfId="0" applyFont="1" applyFill="1" applyBorder="1" applyAlignment="1">
      <alignment horizontal="left" vertical="center"/>
    </xf>
    <xf numFmtId="0" fontId="12" fillId="4" borderId="40" xfId="0" applyFont="1" applyFill="1" applyBorder="1" applyAlignment="1">
      <alignment horizontal="left" vertical="center"/>
    </xf>
    <xf numFmtId="164" fontId="12" fillId="4" borderId="41" xfId="0" applyNumberFormat="1" applyFont="1" applyFill="1" applyBorder="1" applyAlignment="1">
      <alignment horizontal="center" vertical="center"/>
    </xf>
    <xf numFmtId="2" fontId="12" fillId="4" borderId="42" xfId="0" applyNumberFormat="1" applyFont="1" applyFill="1" applyBorder="1" applyAlignment="1">
      <alignment horizontal="center" vertical="center"/>
    </xf>
    <xf numFmtId="44" fontId="16" fillId="6" borderId="43" xfId="1" applyFont="1" applyFill="1" applyBorder="1" applyAlignment="1">
      <alignment horizontal="center" vertical="center"/>
    </xf>
    <xf numFmtId="10" fontId="11" fillId="6" borderId="43" xfId="0" applyNumberFormat="1" applyFont="1" applyFill="1" applyBorder="1" applyAlignment="1">
      <alignment horizontal="center" vertical="center"/>
    </xf>
    <xf numFmtId="44" fontId="12" fillId="4" borderId="38" xfId="1" applyFont="1" applyFill="1" applyBorder="1" applyAlignment="1">
      <alignment horizontal="center" vertical="center"/>
    </xf>
    <xf numFmtId="9" fontId="12" fillId="4" borderId="38" xfId="0" applyNumberFormat="1" applyFont="1" applyFill="1" applyBorder="1" applyAlignment="1">
      <alignment horizontal="center" vertical="center"/>
    </xf>
    <xf numFmtId="164" fontId="12" fillId="4" borderId="44" xfId="0" applyNumberFormat="1" applyFont="1" applyFill="1" applyBorder="1" applyAlignment="1">
      <alignment horizontal="left" vertical="center"/>
    </xf>
    <xf numFmtId="17" fontId="12" fillId="4" borderId="44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5" xfId="0" applyFont="1" applyBorder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5" xfId="0" applyFont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5" xfId="0" applyFont="1" applyBorder="1" applyAlignment="1">
      <alignment horizontal="center"/>
    </xf>
    <xf numFmtId="0" fontId="12" fillId="4" borderId="22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5" xfId="0" applyFont="1" applyFill="1" applyBorder="1" applyAlignment="1">
      <alignment horizontal="center" vertical="center"/>
    </xf>
    <xf numFmtId="0" fontId="12" fillId="4" borderId="18" xfId="0" applyFont="1" applyFill="1" applyBorder="1" applyAlignment="1">
      <alignment horizontal="center" vertical="center"/>
    </xf>
    <xf numFmtId="0" fontId="12" fillId="4" borderId="34" xfId="0" applyFont="1" applyFill="1" applyBorder="1" applyAlignment="1">
      <alignment horizontal="center" vertical="center" wrapText="1"/>
    </xf>
    <xf numFmtId="0" fontId="12" fillId="4" borderId="35" xfId="0" applyFont="1" applyFill="1" applyBorder="1" applyAlignment="1">
      <alignment horizontal="center" vertical="center" wrapText="1"/>
    </xf>
    <xf numFmtId="164" fontId="12" fillId="4" borderId="27" xfId="0" applyNumberFormat="1" applyFont="1" applyFill="1" applyBorder="1" applyAlignment="1">
      <alignment horizontal="center" vertical="center"/>
    </xf>
    <xf numFmtId="164" fontId="12" fillId="4" borderId="28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</cellXfs>
  <cellStyles count="4">
    <cellStyle name="Moeda" xfId="1" builtinId="4"/>
    <cellStyle name="Normal" xfId="0" builtinId="0"/>
    <cellStyle name="Normal 2" xfId="3" xr:uid="{98E2F386-3365-4180-B858-3A5EA166DC0E}"/>
    <cellStyle name="Porcentagem" xfId="2" builtinId="5"/>
  </cellStyles>
  <dxfs count="0"/>
  <tableStyles count="0" defaultTableStyle="TableStyleMedium2" defaultPivotStyle="PivotStyleLight16"/>
  <colors>
    <mruColors>
      <color rgb="FF255AE5"/>
      <color rgb="FFD0CECE"/>
      <color rgb="FF66FFFF"/>
      <color rgb="FFFF66FF"/>
      <color rgb="FFFF00FF"/>
      <color rgb="FF8BA8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081758497653189E-2"/>
          <c:y val="8.5176155011080473E-2"/>
          <c:w val="0.95902654577229196"/>
          <c:h val="0.8456584799240521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TEÓRICA'!$D$8</c:f>
              <c:strCache>
                <c:ptCount val="1"/>
                <c:pt idx="0">
                  <c:v>% AVANÇO Acumulado</c:v>
                </c:pt>
              </c:strCache>
            </c:strRef>
          </c:tx>
          <c:spPr>
            <a:ln w="25400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'CURVA TEÓRICA'!$B$9:$B$62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xVal>
          <c:yVal>
            <c:numRef>
              <c:f>'CURVA TEÓRICA'!$D$9:$D$62</c:f>
              <c:numCache>
                <c:formatCode>0.00%</c:formatCode>
                <c:ptCount val="54"/>
                <c:pt idx="0">
                  <c:v>1.1365458611036609E-2</c:v>
                </c:pt>
                <c:pt idx="1">
                  <c:v>3.2388122463146721E-2</c:v>
                </c:pt>
                <c:pt idx="2">
                  <c:v>5.3410786315256836E-2</c:v>
                </c:pt>
                <c:pt idx="3">
                  <c:v>7.3552279296406953E-2</c:v>
                </c:pt>
                <c:pt idx="4">
                  <c:v>9.2450502836142354E-2</c:v>
                </c:pt>
                <c:pt idx="5">
                  <c:v>0.11134872637587775</c:v>
                </c:pt>
                <c:pt idx="6">
                  <c:v>0.12487622839066698</c:v>
                </c:pt>
                <c:pt idx="7">
                  <c:v>0.13563177484582001</c:v>
                </c:pt>
                <c:pt idx="8">
                  <c:v>0.14638732130097304</c:v>
                </c:pt>
                <c:pt idx="9">
                  <c:v>0.15714286775612607</c:v>
                </c:pt>
                <c:pt idx="10">
                  <c:v>0.1678984142112791</c:v>
                </c:pt>
                <c:pt idx="11">
                  <c:v>0.18065239008231257</c:v>
                </c:pt>
                <c:pt idx="12">
                  <c:v>0.19340636595334604</c:v>
                </c:pt>
                <c:pt idx="13">
                  <c:v>0.21070157466215744</c:v>
                </c:pt>
                <c:pt idx="14">
                  <c:v>0.22995957197729566</c:v>
                </c:pt>
                <c:pt idx="15">
                  <c:v>0.24975165151924844</c:v>
                </c:pt>
                <c:pt idx="16">
                  <c:v>0.27101845202363273</c:v>
                </c:pt>
                <c:pt idx="17">
                  <c:v>0.29283756578456438</c:v>
                </c:pt>
                <c:pt idx="18">
                  <c:v>0.31572947933202644</c:v>
                </c:pt>
                <c:pt idx="19">
                  <c:v>0.33862139287948856</c:v>
                </c:pt>
                <c:pt idx="20">
                  <c:v>0.36151330642695068</c:v>
                </c:pt>
                <c:pt idx="21">
                  <c:v>0.38440521997441279</c:v>
                </c:pt>
                <c:pt idx="22">
                  <c:v>0.40729713352187491</c:v>
                </c:pt>
                <c:pt idx="23">
                  <c:v>0.43018904706933703</c:v>
                </c:pt>
                <c:pt idx="24">
                  <c:v>0.45308096061679914</c:v>
                </c:pt>
                <c:pt idx="25">
                  <c:v>0.47597287416426126</c:v>
                </c:pt>
                <c:pt idx="26">
                  <c:v>0.49886478771172338</c:v>
                </c:pt>
                <c:pt idx="27">
                  <c:v>0.5217567012591855</c:v>
                </c:pt>
                <c:pt idx="28">
                  <c:v>0.54464861480664761</c:v>
                </c:pt>
                <c:pt idx="29">
                  <c:v>0.56754052835410973</c:v>
                </c:pt>
                <c:pt idx="30">
                  <c:v>0.59043244190157185</c:v>
                </c:pt>
                <c:pt idx="31">
                  <c:v>0.61332435544903396</c:v>
                </c:pt>
                <c:pt idx="32">
                  <c:v>0.63055219687826392</c:v>
                </c:pt>
                <c:pt idx="33">
                  <c:v>0.64778003830749387</c:v>
                </c:pt>
                <c:pt idx="34">
                  <c:v>0.66500787973672382</c:v>
                </c:pt>
                <c:pt idx="35">
                  <c:v>0.68339136248827081</c:v>
                </c:pt>
                <c:pt idx="36">
                  <c:v>0.70177484523981781</c:v>
                </c:pt>
                <c:pt idx="37">
                  <c:v>0.72327061056820197</c:v>
                </c:pt>
                <c:pt idx="38">
                  <c:v>0.74476637589658612</c:v>
                </c:pt>
                <c:pt idx="39">
                  <c:v>0.76429935261864346</c:v>
                </c:pt>
                <c:pt idx="40">
                  <c:v>0.78329824711388629</c:v>
                </c:pt>
                <c:pt idx="41">
                  <c:v>0.80229714160912913</c:v>
                </c:pt>
                <c:pt idx="42">
                  <c:v>0.82129603610437196</c:v>
                </c:pt>
                <c:pt idx="43">
                  <c:v>0.84437375122728908</c:v>
                </c:pt>
                <c:pt idx="44">
                  <c:v>0.8674514663502062</c:v>
                </c:pt>
                <c:pt idx="45">
                  <c:v>0.89052918147312332</c:v>
                </c:pt>
                <c:pt idx="46">
                  <c:v>0.91360689659604044</c:v>
                </c:pt>
                <c:pt idx="47">
                  <c:v>0.93668461171895756</c:v>
                </c:pt>
                <c:pt idx="48">
                  <c:v>0.95660825610367706</c:v>
                </c:pt>
                <c:pt idx="49">
                  <c:v>0.96887838507378143</c:v>
                </c:pt>
                <c:pt idx="50">
                  <c:v>0.9796737930814543</c:v>
                </c:pt>
                <c:pt idx="51">
                  <c:v>0.98716439524532329</c:v>
                </c:pt>
                <c:pt idx="52">
                  <c:v>0.99358219762266187</c:v>
                </c:pt>
                <c:pt idx="53">
                  <c:v>1.0000000000000004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D5E-49A5-8C32-0778D2A8DA6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5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'CURVA TEÓRICA'!$C$8</c:f>
              <c:strCache>
                <c:ptCount val="1"/>
                <c:pt idx="0">
                  <c:v>%  AVANÇO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'CURVA TEÓRICA'!$B$9:$B$62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cat>
          <c:val>
            <c:numRef>
              <c:f>'CURVA TEÓRICA'!$C$9:$C$62</c:f>
              <c:numCache>
                <c:formatCode>0.00%</c:formatCode>
                <c:ptCount val="54"/>
                <c:pt idx="0">
                  <c:v>1.1365458611036609E-2</c:v>
                </c:pt>
                <c:pt idx="1">
                  <c:v>2.1022663852110116E-2</c:v>
                </c:pt>
                <c:pt idx="2">
                  <c:v>2.1022663852110116E-2</c:v>
                </c:pt>
                <c:pt idx="3">
                  <c:v>2.0141492981150109E-2</c:v>
                </c:pt>
                <c:pt idx="4">
                  <c:v>1.8898223539735397E-2</c:v>
                </c:pt>
                <c:pt idx="5">
                  <c:v>1.8898223539735397E-2</c:v>
                </c:pt>
                <c:pt idx="6">
                  <c:v>1.3527502014789215E-2</c:v>
                </c:pt>
                <c:pt idx="7">
                  <c:v>1.0755546455153045E-2</c:v>
                </c:pt>
                <c:pt idx="8">
                  <c:v>1.0755546455153045E-2</c:v>
                </c:pt>
                <c:pt idx="9">
                  <c:v>1.0755546455153045E-2</c:v>
                </c:pt>
                <c:pt idx="10">
                  <c:v>1.0755546455153045E-2</c:v>
                </c:pt>
                <c:pt idx="11">
                  <c:v>1.2753975871033465E-2</c:v>
                </c:pt>
                <c:pt idx="12">
                  <c:v>1.2753975871033465E-2</c:v>
                </c:pt>
                <c:pt idx="13">
                  <c:v>1.7295208708811419E-2</c:v>
                </c:pt>
                <c:pt idx="14">
                  <c:v>1.925799731513823E-2</c:v>
                </c:pt>
                <c:pt idx="15">
                  <c:v>1.9792079541952775E-2</c:v>
                </c:pt>
                <c:pt idx="16">
                  <c:v>2.1266800504384308E-2</c:v>
                </c:pt>
                <c:pt idx="17">
                  <c:v>2.1819113760931645E-2</c:v>
                </c:pt>
                <c:pt idx="18">
                  <c:v>2.2891913547462089E-2</c:v>
                </c:pt>
                <c:pt idx="19">
                  <c:v>2.2891913547462089E-2</c:v>
                </c:pt>
                <c:pt idx="20">
                  <c:v>2.2891913547462089E-2</c:v>
                </c:pt>
                <c:pt idx="21">
                  <c:v>2.2891913547462089E-2</c:v>
                </c:pt>
                <c:pt idx="22">
                  <c:v>2.2891913547462089E-2</c:v>
                </c:pt>
                <c:pt idx="23">
                  <c:v>2.2891913547462089E-2</c:v>
                </c:pt>
                <c:pt idx="24">
                  <c:v>2.2891913547462089E-2</c:v>
                </c:pt>
                <c:pt idx="25">
                  <c:v>2.2891913547462089E-2</c:v>
                </c:pt>
                <c:pt idx="26">
                  <c:v>2.2891913547462089E-2</c:v>
                </c:pt>
                <c:pt idx="27">
                  <c:v>2.2891913547462089E-2</c:v>
                </c:pt>
                <c:pt idx="28">
                  <c:v>2.2891913547462089E-2</c:v>
                </c:pt>
                <c:pt idx="29">
                  <c:v>2.2891913547462089E-2</c:v>
                </c:pt>
                <c:pt idx="30">
                  <c:v>2.2891913547462089E-2</c:v>
                </c:pt>
                <c:pt idx="31">
                  <c:v>2.2891913547462089E-2</c:v>
                </c:pt>
                <c:pt idx="32">
                  <c:v>1.7227841429229899E-2</c:v>
                </c:pt>
                <c:pt idx="33">
                  <c:v>1.7227841429229899E-2</c:v>
                </c:pt>
                <c:pt idx="34">
                  <c:v>1.7227841429229899E-2</c:v>
                </c:pt>
                <c:pt idx="35">
                  <c:v>1.8383482751547039E-2</c:v>
                </c:pt>
                <c:pt idx="36">
                  <c:v>1.8383482751547039E-2</c:v>
                </c:pt>
                <c:pt idx="37">
                  <c:v>2.1495765328384195E-2</c:v>
                </c:pt>
                <c:pt idx="38">
                  <c:v>2.1495765328384195E-2</c:v>
                </c:pt>
                <c:pt idx="39">
                  <c:v>1.9532976722057383E-2</c:v>
                </c:pt>
                <c:pt idx="40">
                  <c:v>1.8998894495242839E-2</c:v>
                </c:pt>
                <c:pt idx="41">
                  <c:v>1.8998894495242839E-2</c:v>
                </c:pt>
                <c:pt idx="42">
                  <c:v>1.8998894495242839E-2</c:v>
                </c:pt>
                <c:pt idx="43">
                  <c:v>2.3077715122917095E-2</c:v>
                </c:pt>
                <c:pt idx="44">
                  <c:v>2.3077715122917095E-2</c:v>
                </c:pt>
                <c:pt idx="45">
                  <c:v>2.3077715122917095E-2</c:v>
                </c:pt>
                <c:pt idx="46">
                  <c:v>2.3077715122917095E-2</c:v>
                </c:pt>
                <c:pt idx="47">
                  <c:v>2.3077715122917095E-2</c:v>
                </c:pt>
                <c:pt idx="48">
                  <c:v>1.9923644384719535E-2</c:v>
                </c:pt>
                <c:pt idx="49">
                  <c:v>1.2270128970104422E-2</c:v>
                </c:pt>
                <c:pt idx="50">
                  <c:v>1.0795408007672889E-2</c:v>
                </c:pt>
                <c:pt idx="51">
                  <c:v>7.4906021638689825E-3</c:v>
                </c:pt>
                <c:pt idx="52">
                  <c:v>6.4178023773385417E-3</c:v>
                </c:pt>
                <c:pt idx="53">
                  <c:v>6.4178023773385417E-3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10-4A8D-8419-9AED6CAE0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  AVANÇO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1223878910127279E-2"/>
          <c:y val="0.14874933145280594"/>
          <c:w val="0.96438538147088393"/>
          <c:h val="0.817107043459768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'CURVA TEÓRICA'!$E$8</c:f>
              <c:strCache>
                <c:ptCount val="1"/>
                <c:pt idx="0">
                  <c:v> Valor Planejado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'CURVA TEÓRICA'!$B$9:$B$62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cat>
          <c:val>
            <c:numRef>
              <c:f>'CURVA TEÓRICA'!$E$9:$E$62</c:f>
              <c:numCache>
                <c:formatCode>_("R$"* #,##0.00_);_("R$"* \(#,##0.00\);_("R$"* "-"??_);_(@_)</c:formatCode>
                <c:ptCount val="54"/>
                <c:pt idx="0">
                  <c:v>354631.19111320982</c:v>
                </c:pt>
                <c:pt idx="1">
                  <c:v>655960.53598812548</c:v>
                </c:pt>
                <c:pt idx="2">
                  <c:v>655960.53598812548</c:v>
                </c:pt>
                <c:pt idx="3">
                  <c:v>628465.76554046734</c:v>
                </c:pt>
                <c:pt idx="4">
                  <c:v>589672.59951235738</c:v>
                </c:pt>
                <c:pt idx="5">
                  <c:v>589672.59951235738</c:v>
                </c:pt>
                <c:pt idx="6">
                  <c:v>422092.43959874846</c:v>
                </c:pt>
                <c:pt idx="7">
                  <c:v>335600.38191160152</c:v>
                </c:pt>
                <c:pt idx="8">
                  <c:v>335600.38191160152</c:v>
                </c:pt>
                <c:pt idx="9">
                  <c:v>335600.38191160152</c:v>
                </c:pt>
                <c:pt idx="10">
                  <c:v>335600.38191160152</c:v>
                </c:pt>
                <c:pt idx="11">
                  <c:v>397956.45819180983</c:v>
                </c:pt>
                <c:pt idx="12">
                  <c:v>397956.45819180983</c:v>
                </c:pt>
                <c:pt idx="13">
                  <c:v>539654.46312930994</c:v>
                </c:pt>
                <c:pt idx="14">
                  <c:v>600898.45557930996</c:v>
                </c:pt>
                <c:pt idx="15">
                  <c:v>617563.17829130997</c:v>
                </c:pt>
                <c:pt idx="16">
                  <c:v>663578.21995085757</c:v>
                </c:pt>
                <c:pt idx="17">
                  <c:v>680811.79712008836</c:v>
                </c:pt>
                <c:pt idx="18">
                  <c:v>714285.87671014096</c:v>
                </c:pt>
                <c:pt idx="19">
                  <c:v>714285.87671014096</c:v>
                </c:pt>
                <c:pt idx="20">
                  <c:v>714285.87671014096</c:v>
                </c:pt>
                <c:pt idx="21">
                  <c:v>714285.87671014096</c:v>
                </c:pt>
                <c:pt idx="22">
                  <c:v>714285.87671014096</c:v>
                </c:pt>
                <c:pt idx="23">
                  <c:v>714285.87671014096</c:v>
                </c:pt>
                <c:pt idx="24">
                  <c:v>714285.87671014096</c:v>
                </c:pt>
                <c:pt idx="25">
                  <c:v>714285.87671014096</c:v>
                </c:pt>
                <c:pt idx="26">
                  <c:v>714285.87671014096</c:v>
                </c:pt>
                <c:pt idx="27">
                  <c:v>714285.87671014096</c:v>
                </c:pt>
                <c:pt idx="28">
                  <c:v>714285.87671014096</c:v>
                </c:pt>
                <c:pt idx="29">
                  <c:v>714285.87671014096</c:v>
                </c:pt>
                <c:pt idx="30">
                  <c:v>714285.87671014096</c:v>
                </c:pt>
                <c:pt idx="31">
                  <c:v>714285.87671014096</c:v>
                </c:pt>
                <c:pt idx="32">
                  <c:v>537552.43280940258</c:v>
                </c:pt>
                <c:pt idx="33">
                  <c:v>537552.43280940258</c:v>
                </c:pt>
                <c:pt idx="34">
                  <c:v>537552.43280940258</c:v>
                </c:pt>
                <c:pt idx="35">
                  <c:v>573611.37883688649</c:v>
                </c:pt>
                <c:pt idx="36">
                  <c:v>573611.37883688649</c:v>
                </c:pt>
                <c:pt idx="37">
                  <c:v>670722.50431605312</c:v>
                </c:pt>
                <c:pt idx="38">
                  <c:v>670722.50431605312</c:v>
                </c:pt>
                <c:pt idx="39">
                  <c:v>609478.5118660531</c:v>
                </c:pt>
                <c:pt idx="40">
                  <c:v>592813.78915405308</c:v>
                </c:pt>
                <c:pt idx="41">
                  <c:v>592813.78915405308</c:v>
                </c:pt>
                <c:pt idx="42">
                  <c:v>592813.78915405308</c:v>
                </c:pt>
                <c:pt idx="43">
                  <c:v>720083.3580322176</c:v>
                </c:pt>
                <c:pt idx="44">
                  <c:v>720083.3580322176</c:v>
                </c:pt>
                <c:pt idx="45">
                  <c:v>720083.3580322176</c:v>
                </c:pt>
                <c:pt idx="46">
                  <c:v>720083.3580322176</c:v>
                </c:pt>
                <c:pt idx="47">
                  <c:v>720083.3580322176</c:v>
                </c:pt>
                <c:pt idx="48">
                  <c:v>621668.33572452527</c:v>
                </c:pt>
                <c:pt idx="49">
                  <c:v>382859.20530785853</c:v>
                </c:pt>
                <c:pt idx="50">
                  <c:v>336844.16364831093</c:v>
                </c:pt>
                <c:pt idx="51">
                  <c:v>233725.82299041623</c:v>
                </c:pt>
                <c:pt idx="52">
                  <c:v>200251.74340036369</c:v>
                </c:pt>
                <c:pt idx="53">
                  <c:v>200251.74340036369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4F-47C7-B6A4-4F8D9ACD1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10"/>
        <c:axId val="1083167375"/>
        <c:axId val="1082823647"/>
      </c:barChart>
      <c:catAx>
        <c:axId val="1083167375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2823647"/>
        <c:crosses val="autoZero"/>
        <c:auto val="1"/>
        <c:lblAlgn val="ctr"/>
        <c:lblOffset val="100"/>
        <c:noMultiLvlLbl val="0"/>
      </c:catAx>
      <c:valAx>
        <c:axId val="1082823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316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360996924366516E-2"/>
          <c:y val="6.2909705891250015E-2"/>
          <c:w val="0.95183659751772887"/>
          <c:h val="0.8746931582267206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'CURVA TEÓRICA'!$F$8</c:f>
              <c:strCache>
                <c:ptCount val="1"/>
                <c:pt idx="0">
                  <c:v> Valor Planejado Acumulado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'CURVA TEÓRICA'!$B$9:$B$62</c:f>
              <c:numCache>
                <c:formatCode>0</c:formatCode>
                <c:ptCount val="5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</c:numCache>
            </c:numRef>
          </c:xVal>
          <c:yVal>
            <c:numRef>
              <c:f>'CURVA TEÓRICA'!$F$9:$F$62</c:f>
              <c:numCache>
                <c:formatCode>_("R$"* #,##0.00_);_("R$"* \(#,##0.00\);_("R$"* "-"??_);_(@_)</c:formatCode>
                <c:ptCount val="54"/>
                <c:pt idx="0">
                  <c:v>354631.19111320982</c:v>
                </c:pt>
                <c:pt idx="1">
                  <c:v>1010591.7271013353</c:v>
                </c:pt>
                <c:pt idx="2">
                  <c:v>1666552.2630894608</c:v>
                </c:pt>
                <c:pt idx="3">
                  <c:v>2295018.0286299279</c:v>
                </c:pt>
                <c:pt idx="4">
                  <c:v>2884690.6281422852</c:v>
                </c:pt>
                <c:pt idx="5">
                  <c:v>3474363.2276546424</c:v>
                </c:pt>
                <c:pt idx="6">
                  <c:v>3896455.6672533909</c:v>
                </c:pt>
                <c:pt idx="7">
                  <c:v>4232056.0491649928</c:v>
                </c:pt>
                <c:pt idx="8">
                  <c:v>4567656.4310765946</c:v>
                </c:pt>
                <c:pt idx="9">
                  <c:v>4903256.8129881965</c:v>
                </c:pt>
                <c:pt idx="10">
                  <c:v>5238857.1948997984</c:v>
                </c:pt>
                <c:pt idx="11">
                  <c:v>5636813.6530916085</c:v>
                </c:pt>
                <c:pt idx="12">
                  <c:v>6034770.1112834187</c:v>
                </c:pt>
                <c:pt idx="13">
                  <c:v>6574424.5744127287</c:v>
                </c:pt>
                <c:pt idx="14">
                  <c:v>7175323.0299920384</c:v>
                </c:pt>
                <c:pt idx="15">
                  <c:v>7792886.208283348</c:v>
                </c:pt>
                <c:pt idx="16">
                  <c:v>8456464.4282342046</c:v>
                </c:pt>
                <c:pt idx="17">
                  <c:v>9137276.2253542934</c:v>
                </c:pt>
                <c:pt idx="18">
                  <c:v>9851562.1020644344</c:v>
                </c:pt>
                <c:pt idx="19">
                  <c:v>10565847.978774576</c:v>
                </c:pt>
                <c:pt idx="20">
                  <c:v>11280133.855484717</c:v>
                </c:pt>
                <c:pt idx="21">
                  <c:v>11994419.732194858</c:v>
                </c:pt>
                <c:pt idx="22">
                  <c:v>12708705.608904999</c:v>
                </c:pt>
                <c:pt idx="23">
                  <c:v>13422991.48561514</c:v>
                </c:pt>
                <c:pt idx="24">
                  <c:v>14137277.362325281</c:v>
                </c:pt>
                <c:pt idx="25">
                  <c:v>14851563.239035422</c:v>
                </c:pt>
                <c:pt idx="26">
                  <c:v>15565849.115745563</c:v>
                </c:pt>
                <c:pt idx="27">
                  <c:v>16280134.992455704</c:v>
                </c:pt>
                <c:pt idx="28">
                  <c:v>16994420.869165845</c:v>
                </c:pt>
                <c:pt idx="29">
                  <c:v>17708706.745875984</c:v>
                </c:pt>
                <c:pt idx="30">
                  <c:v>18422992.622586124</c:v>
                </c:pt>
                <c:pt idx="31">
                  <c:v>19137278.499296263</c:v>
                </c:pt>
                <c:pt idx="32">
                  <c:v>19674830.932105664</c:v>
                </c:pt>
                <c:pt idx="33">
                  <c:v>20212383.364915065</c:v>
                </c:pt>
                <c:pt idx="34">
                  <c:v>20749935.797724467</c:v>
                </c:pt>
                <c:pt idx="35">
                  <c:v>21323547.176561352</c:v>
                </c:pt>
                <c:pt idx="36">
                  <c:v>21897158.555398237</c:v>
                </c:pt>
                <c:pt idx="37">
                  <c:v>22567881.059714291</c:v>
                </c:pt>
                <c:pt idx="38">
                  <c:v>23238603.564030346</c:v>
                </c:pt>
                <c:pt idx="39">
                  <c:v>23848082.075896397</c:v>
                </c:pt>
                <c:pt idx="40">
                  <c:v>24440895.86505045</c:v>
                </c:pt>
                <c:pt idx="41">
                  <c:v>25033709.654204503</c:v>
                </c:pt>
                <c:pt idx="42">
                  <c:v>25626523.443358555</c:v>
                </c:pt>
                <c:pt idx="43">
                  <c:v>26346606.801390775</c:v>
                </c:pt>
                <c:pt idx="44">
                  <c:v>27066690.159422994</c:v>
                </c:pt>
                <c:pt idx="45">
                  <c:v>27786773.517455213</c:v>
                </c:pt>
                <c:pt idx="46">
                  <c:v>28506856.875487432</c:v>
                </c:pt>
                <c:pt idx="47">
                  <c:v>29226940.233519651</c:v>
                </c:pt>
                <c:pt idx="48">
                  <c:v>29848608.569244176</c:v>
                </c:pt>
                <c:pt idx="49">
                  <c:v>30231467.774552036</c:v>
                </c:pt>
                <c:pt idx="50">
                  <c:v>30568311.938200347</c:v>
                </c:pt>
                <c:pt idx="51">
                  <c:v>30802037.761190765</c:v>
                </c:pt>
                <c:pt idx="52">
                  <c:v>31002289.50459113</c:v>
                </c:pt>
                <c:pt idx="53">
                  <c:v>31202541.247991495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A53-468D-98FA-8EB3F63490A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468134431"/>
        <c:axId val="1468138591"/>
      </c:scatterChart>
      <c:valAx>
        <c:axId val="1468134431"/>
        <c:scaling>
          <c:orientation val="minMax"/>
          <c:max val="54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8591"/>
        <c:crosses val="autoZero"/>
        <c:crossBetween val="midCat"/>
        <c:majorUnit val="1"/>
        <c:minorUnit val="0.5"/>
      </c:valAx>
      <c:valAx>
        <c:axId val="1468138591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8134431"/>
        <c:crossesAt val="44400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2" name="image1.png">
          <a:extLst>
            <a:ext uri="{FF2B5EF4-FFF2-40B4-BE49-F238E27FC236}">
              <a16:creationId xmlns:a16="http://schemas.microsoft.com/office/drawing/2014/main" id="{BE75A9EC-7705-4FCE-9781-76004552862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41587" y="295175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79562</xdr:colOff>
      <xdr:row>1</xdr:row>
      <xdr:rowOff>104675</xdr:rowOff>
    </xdr:from>
    <xdr:ext cx="1650579" cy="265119"/>
    <xdr:pic>
      <xdr:nvPicPr>
        <xdr:cNvPr id="3" name="image1.png">
          <a:extLst>
            <a:ext uri="{FF2B5EF4-FFF2-40B4-BE49-F238E27FC236}">
              <a16:creationId xmlns:a16="http://schemas.microsoft.com/office/drawing/2014/main" id="{95C79533-B777-43B1-A999-05098F5D82DA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1012" y="209450"/>
          <a:ext cx="1650579" cy="26511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71437</xdr:colOff>
      <xdr:row>29</xdr:row>
      <xdr:rowOff>0</xdr:rowOff>
    </xdr:from>
    <xdr:to>
      <xdr:col>45</xdr:col>
      <xdr:colOff>38117</xdr:colOff>
      <xdr:row>61</xdr:row>
      <xdr:rowOff>285750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3418901-CB99-4793-8D1A-1CD0BABC3D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214312</xdr:colOff>
      <xdr:row>2</xdr:row>
      <xdr:rowOff>34697</xdr:rowOff>
    </xdr:from>
    <xdr:to>
      <xdr:col>4</xdr:col>
      <xdr:colOff>1263867</xdr:colOff>
      <xdr:row>3</xdr:row>
      <xdr:rowOff>619124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5535138-E27D-4820-BD86-F0F79EAF0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562" y="282347"/>
          <a:ext cx="4411880" cy="717777"/>
        </a:xfrm>
        <a:prstGeom prst="rect">
          <a:avLst/>
        </a:prstGeom>
      </xdr:spPr>
    </xdr:pic>
    <xdr:clientData/>
  </xdr:twoCellAnchor>
  <xdr:twoCellAnchor>
    <xdr:from>
      <xdr:col>6</xdr:col>
      <xdr:colOff>339437</xdr:colOff>
      <xdr:row>7</xdr:row>
      <xdr:rowOff>51665</xdr:rowOff>
    </xdr:from>
    <xdr:to>
      <xdr:col>45</xdr:col>
      <xdr:colOff>38100</xdr:colOff>
      <xdr:row>28</xdr:row>
      <xdr:rowOff>211240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71B1B6-7211-4D5E-9389-E4061BDF6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45</xdr:col>
      <xdr:colOff>90651</xdr:colOff>
      <xdr:row>7</xdr:row>
      <xdr:rowOff>46431</xdr:rowOff>
    </xdr:from>
    <xdr:to>
      <xdr:col>85</xdr:col>
      <xdr:colOff>0</xdr:colOff>
      <xdr:row>28</xdr:row>
      <xdr:rowOff>209181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100CA1-C1A7-4B2D-9278-1F231F234F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45</xdr:col>
      <xdr:colOff>95578</xdr:colOff>
      <xdr:row>28</xdr:row>
      <xdr:rowOff>304801</xdr:rowOff>
    </xdr:from>
    <xdr:to>
      <xdr:col>85</xdr:col>
      <xdr:colOff>0</xdr:colOff>
      <xdr:row>61</xdr:row>
      <xdr:rowOff>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BD83443-82C5-4464-8CCF-4BF548D1FF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72412-F4BB-458D-9FDE-D3B555E448F4}">
  <dimension ref="A1:BI1005"/>
  <sheetViews>
    <sheetView showGridLines="0" zoomScale="40" zoomScaleNormal="4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P28" sqref="AP28"/>
    </sheetView>
  </sheetViews>
  <sheetFormatPr defaultColWidth="14.42578125" defaultRowHeight="15" x14ac:dyDescent="0.25"/>
  <cols>
    <col min="1" max="1" width="1.28515625" customWidth="1"/>
    <col min="2" max="2" width="72.5703125" customWidth="1"/>
    <col min="3" max="56" width="6.28515625" customWidth="1"/>
    <col min="57" max="61" width="4.85546875" customWidth="1"/>
    <col min="62" max="62" width="6.5703125" bestFit="1" customWidth="1"/>
  </cols>
  <sheetData>
    <row r="1" spans="1:61" ht="7.5" customHeight="1" x14ac:dyDescent="0.6">
      <c r="A1" s="19"/>
      <c r="B1" s="20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21"/>
      <c r="P1" s="21"/>
      <c r="Q1" s="21"/>
    </row>
    <row r="2" spans="1:61" ht="9.75" customHeight="1" x14ac:dyDescent="0.6">
      <c r="A2" s="19"/>
      <c r="B2" s="105" t="s">
        <v>75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7"/>
      <c r="BE2" s="65"/>
      <c r="BF2" s="65"/>
      <c r="BG2" s="65"/>
      <c r="BH2" s="65"/>
      <c r="BI2" s="65"/>
    </row>
    <row r="3" spans="1:61" ht="19.5" customHeight="1" x14ac:dyDescent="0.6">
      <c r="A3" s="19"/>
      <c r="B3" s="108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10"/>
      <c r="BE3" s="65"/>
      <c r="BF3" s="65"/>
      <c r="BG3" s="65"/>
      <c r="BH3" s="65"/>
      <c r="BI3" s="65"/>
    </row>
    <row r="4" spans="1:61" ht="19.5" customHeight="1" x14ac:dyDescent="0.6">
      <c r="A4" s="19"/>
      <c r="B4" s="111" t="s">
        <v>105</v>
      </c>
      <c r="C4" s="112"/>
      <c r="D4" s="112"/>
      <c r="E4" s="112"/>
      <c r="F4" s="112"/>
      <c r="G4" s="112"/>
      <c r="H4" s="112"/>
      <c r="I4" s="112"/>
      <c r="J4" s="112"/>
      <c r="K4" s="112"/>
      <c r="L4" s="112"/>
      <c r="M4" s="112"/>
      <c r="N4" s="112"/>
      <c r="O4" s="112"/>
      <c r="P4" s="112"/>
      <c r="Q4" s="112"/>
      <c r="R4" s="112"/>
      <c r="S4" s="112"/>
      <c r="T4" s="112"/>
      <c r="U4" s="112"/>
      <c r="V4" s="112"/>
      <c r="W4" s="112"/>
      <c r="X4" s="112"/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3"/>
      <c r="BE4" s="65"/>
      <c r="BF4" s="65"/>
      <c r="BG4" s="65"/>
      <c r="BH4" s="65"/>
      <c r="BI4" s="65"/>
    </row>
    <row r="5" spans="1:61" ht="9.75" customHeight="1" x14ac:dyDescent="0.6">
      <c r="A5" s="19"/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66"/>
      <c r="BE5" s="65"/>
      <c r="BF5" s="65"/>
      <c r="BG5" s="65"/>
      <c r="BH5" s="65"/>
      <c r="BI5" s="65"/>
    </row>
    <row r="6" spans="1:61" ht="21.75" customHeight="1" thickBot="1" x14ac:dyDescent="0.65">
      <c r="A6" s="19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</row>
    <row r="7" spans="1:61" ht="21.75" customHeight="1" x14ac:dyDescent="0.6">
      <c r="A7" s="19"/>
      <c r="B7" s="67" t="s">
        <v>100</v>
      </c>
      <c r="C7" s="68" t="s">
        <v>1</v>
      </c>
      <c r="D7" s="68" t="s">
        <v>2</v>
      </c>
      <c r="E7" s="68" t="s">
        <v>3</v>
      </c>
      <c r="F7" s="68" t="s">
        <v>4</v>
      </c>
      <c r="G7" s="68" t="s">
        <v>5</v>
      </c>
      <c r="H7" s="68" t="s">
        <v>6</v>
      </c>
      <c r="I7" s="68" t="s">
        <v>7</v>
      </c>
      <c r="J7" s="68" t="s">
        <v>8</v>
      </c>
      <c r="K7" s="68" t="s">
        <v>9</v>
      </c>
      <c r="L7" s="68" t="s">
        <v>10</v>
      </c>
      <c r="M7" s="68" t="s">
        <v>11</v>
      </c>
      <c r="N7" s="68" t="s">
        <v>12</v>
      </c>
      <c r="O7" s="68" t="s">
        <v>13</v>
      </c>
      <c r="P7" s="68" t="s">
        <v>14</v>
      </c>
      <c r="Q7" s="68" t="s">
        <v>15</v>
      </c>
      <c r="R7" s="68" t="s">
        <v>16</v>
      </c>
      <c r="S7" s="68" t="s">
        <v>17</v>
      </c>
      <c r="T7" s="68" t="s">
        <v>18</v>
      </c>
      <c r="U7" s="68" t="s">
        <v>19</v>
      </c>
      <c r="V7" s="68" t="s">
        <v>20</v>
      </c>
      <c r="W7" s="68" t="s">
        <v>21</v>
      </c>
      <c r="X7" s="68" t="s">
        <v>22</v>
      </c>
      <c r="Y7" s="68" t="s">
        <v>23</v>
      </c>
      <c r="Z7" s="68" t="s">
        <v>24</v>
      </c>
      <c r="AA7" s="68" t="s">
        <v>25</v>
      </c>
      <c r="AB7" s="68" t="s">
        <v>26</v>
      </c>
      <c r="AC7" s="68" t="s">
        <v>27</v>
      </c>
      <c r="AD7" s="68" t="s">
        <v>28</v>
      </c>
      <c r="AE7" s="68" t="s">
        <v>29</v>
      </c>
      <c r="AF7" s="68" t="s">
        <v>30</v>
      </c>
      <c r="AG7" s="68" t="s">
        <v>31</v>
      </c>
      <c r="AH7" s="68" t="s">
        <v>32</v>
      </c>
      <c r="AI7" s="68" t="s">
        <v>33</v>
      </c>
      <c r="AJ7" s="68" t="s">
        <v>34</v>
      </c>
      <c r="AK7" s="68" t="s">
        <v>35</v>
      </c>
      <c r="AL7" s="68" t="s">
        <v>36</v>
      </c>
      <c r="AM7" s="68" t="s">
        <v>37</v>
      </c>
      <c r="AN7" s="68" t="s">
        <v>38</v>
      </c>
      <c r="AO7" s="68" t="s">
        <v>39</v>
      </c>
      <c r="AP7" s="68" t="s">
        <v>40</v>
      </c>
      <c r="AQ7" s="68" t="s">
        <v>77</v>
      </c>
      <c r="AR7" s="68" t="s">
        <v>78</v>
      </c>
      <c r="AS7" s="68" t="s">
        <v>79</v>
      </c>
      <c r="AT7" s="68" t="s">
        <v>80</v>
      </c>
      <c r="AU7" s="68" t="s">
        <v>81</v>
      </c>
      <c r="AV7" s="68" t="s">
        <v>82</v>
      </c>
      <c r="AW7" s="68" t="s">
        <v>83</v>
      </c>
      <c r="AX7" s="68" t="s">
        <v>84</v>
      </c>
      <c r="AY7" s="68" t="s">
        <v>85</v>
      </c>
      <c r="AZ7" s="68" t="s">
        <v>86</v>
      </c>
      <c r="BA7" s="68" t="s">
        <v>87</v>
      </c>
      <c r="BB7" s="68" t="s">
        <v>88</v>
      </c>
      <c r="BC7" s="68" t="s">
        <v>89</v>
      </c>
      <c r="BD7" s="68" t="s">
        <v>90</v>
      </c>
    </row>
    <row r="8" spans="1:61" ht="21.75" customHeight="1" x14ac:dyDescent="0.6">
      <c r="A8" s="19"/>
      <c r="B8" s="69" t="s">
        <v>54</v>
      </c>
      <c r="C8" s="70">
        <v>1</v>
      </c>
      <c r="D8" s="70">
        <v>2</v>
      </c>
      <c r="E8" s="70">
        <v>3</v>
      </c>
      <c r="F8" s="70">
        <v>4</v>
      </c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89"/>
      <c r="BD8" s="90"/>
    </row>
    <row r="9" spans="1:61" ht="21.75" customHeight="1" x14ac:dyDescent="0.6">
      <c r="A9" s="19"/>
      <c r="B9" s="71" t="s">
        <v>55</v>
      </c>
      <c r="C9" s="89"/>
      <c r="D9" s="70">
        <v>1</v>
      </c>
      <c r="E9" s="70">
        <v>2</v>
      </c>
      <c r="F9" s="70">
        <v>3</v>
      </c>
      <c r="G9" s="70">
        <v>4</v>
      </c>
      <c r="H9" s="70">
        <v>5</v>
      </c>
      <c r="I9" s="70">
        <v>6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89"/>
      <c r="BD9" s="90"/>
    </row>
    <row r="10" spans="1:61" ht="21.75" customHeight="1" x14ac:dyDescent="0.6">
      <c r="A10" s="19"/>
      <c r="B10" s="69" t="s">
        <v>56</v>
      </c>
      <c r="C10" s="89"/>
      <c r="D10" s="89"/>
      <c r="E10" s="89"/>
      <c r="F10" s="89"/>
      <c r="G10" s="89"/>
      <c r="H10" s="89"/>
      <c r="I10" s="89"/>
      <c r="J10" s="70">
        <v>1</v>
      </c>
      <c r="K10" s="70">
        <v>2</v>
      </c>
      <c r="L10" s="70">
        <v>3</v>
      </c>
      <c r="M10" s="70">
        <v>4</v>
      </c>
      <c r="N10" s="70">
        <v>5</v>
      </c>
      <c r="O10" s="70">
        <v>6</v>
      </c>
      <c r="P10" s="70">
        <v>7</v>
      </c>
      <c r="Q10" s="70">
        <v>8</v>
      </c>
      <c r="R10" s="70">
        <v>9</v>
      </c>
      <c r="S10" s="70">
        <v>10</v>
      </c>
      <c r="T10" s="70">
        <v>11</v>
      </c>
      <c r="U10" s="70">
        <v>12</v>
      </c>
      <c r="V10" s="70">
        <v>13</v>
      </c>
      <c r="W10" s="70">
        <v>14</v>
      </c>
      <c r="X10" s="70">
        <v>15</v>
      </c>
      <c r="Y10" s="70">
        <v>16</v>
      </c>
      <c r="Z10" s="70">
        <v>17</v>
      </c>
      <c r="AA10" s="70">
        <v>18</v>
      </c>
      <c r="AB10" s="70">
        <v>19</v>
      </c>
      <c r="AC10" s="70">
        <v>20</v>
      </c>
      <c r="AD10" s="70">
        <v>21</v>
      </c>
      <c r="AE10" s="70">
        <v>22</v>
      </c>
      <c r="AF10" s="70">
        <v>23</v>
      </c>
      <c r="AG10" s="70">
        <v>24</v>
      </c>
      <c r="AH10" s="70">
        <v>25</v>
      </c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89"/>
      <c r="BD10" s="90"/>
    </row>
    <row r="11" spans="1:61" ht="21.75" customHeight="1" x14ac:dyDescent="0.6">
      <c r="A11" s="19"/>
      <c r="B11" s="72" t="s">
        <v>57</v>
      </c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70">
        <v>1</v>
      </c>
      <c r="O11" s="70">
        <v>2</v>
      </c>
      <c r="P11" s="70">
        <v>3</v>
      </c>
      <c r="Q11" s="70">
        <v>4</v>
      </c>
      <c r="R11" s="70">
        <v>5</v>
      </c>
      <c r="S11" s="70">
        <v>6</v>
      </c>
      <c r="T11" s="70">
        <v>7</v>
      </c>
      <c r="U11" s="70">
        <v>8</v>
      </c>
      <c r="V11" s="70">
        <v>9</v>
      </c>
      <c r="W11" s="70">
        <v>10</v>
      </c>
      <c r="X11" s="70">
        <v>11</v>
      </c>
      <c r="Y11" s="70">
        <v>12</v>
      </c>
      <c r="Z11" s="70">
        <v>13</v>
      </c>
      <c r="AA11" s="70">
        <v>14</v>
      </c>
      <c r="AB11" s="70">
        <v>15</v>
      </c>
      <c r="AC11" s="70">
        <v>16</v>
      </c>
      <c r="AD11" s="70">
        <v>17</v>
      </c>
      <c r="AE11" s="70">
        <v>18</v>
      </c>
      <c r="AF11" s="70">
        <v>19</v>
      </c>
      <c r="AG11" s="70">
        <v>20</v>
      </c>
      <c r="AH11" s="70">
        <v>21</v>
      </c>
      <c r="AI11" s="70">
        <v>22</v>
      </c>
      <c r="AJ11" s="70">
        <v>23</v>
      </c>
      <c r="AK11" s="70">
        <v>24</v>
      </c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89"/>
      <c r="BD11" s="90"/>
    </row>
    <row r="12" spans="1:61" ht="21.75" customHeight="1" x14ac:dyDescent="0.6">
      <c r="A12" s="19"/>
      <c r="B12" s="69" t="s">
        <v>58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70">
        <v>1</v>
      </c>
      <c r="Q12" s="70">
        <v>2</v>
      </c>
      <c r="R12" s="70">
        <v>3</v>
      </c>
      <c r="S12" s="70">
        <v>4</v>
      </c>
      <c r="T12" s="70">
        <v>5</v>
      </c>
      <c r="U12" s="70">
        <v>6</v>
      </c>
      <c r="V12" s="70">
        <v>7</v>
      </c>
      <c r="W12" s="70">
        <v>8</v>
      </c>
      <c r="X12" s="70">
        <v>9</v>
      </c>
      <c r="Y12" s="70">
        <v>10</v>
      </c>
      <c r="Z12" s="70">
        <v>11</v>
      </c>
      <c r="AA12" s="70">
        <v>12</v>
      </c>
      <c r="AB12" s="70">
        <v>13</v>
      </c>
      <c r="AC12" s="70">
        <v>14</v>
      </c>
      <c r="AD12" s="70">
        <v>15</v>
      </c>
      <c r="AE12" s="70">
        <v>16</v>
      </c>
      <c r="AF12" s="70">
        <v>17</v>
      </c>
      <c r="AG12" s="70">
        <v>18</v>
      </c>
      <c r="AH12" s="70">
        <v>19</v>
      </c>
      <c r="AI12" s="70">
        <v>20</v>
      </c>
      <c r="AJ12" s="70">
        <v>21</v>
      </c>
      <c r="AK12" s="70">
        <v>22</v>
      </c>
      <c r="AL12" s="70">
        <v>23</v>
      </c>
      <c r="AM12" s="70">
        <v>23</v>
      </c>
      <c r="AN12" s="89"/>
      <c r="AO12" s="89"/>
      <c r="AP12" s="89"/>
      <c r="AQ12" s="89"/>
      <c r="AR12" s="89"/>
      <c r="AS12" s="89"/>
      <c r="AT12" s="89"/>
      <c r="AU12" s="89"/>
      <c r="AV12" s="89"/>
      <c r="AW12" s="89"/>
      <c r="AX12" s="89"/>
      <c r="AY12" s="89"/>
      <c r="AZ12" s="89"/>
      <c r="BA12" s="89"/>
      <c r="BB12" s="89"/>
      <c r="BC12" s="89"/>
      <c r="BD12" s="90"/>
    </row>
    <row r="13" spans="1:61" ht="21.75" customHeight="1" x14ac:dyDescent="0.6">
      <c r="A13" s="19"/>
      <c r="B13" s="72" t="s">
        <v>59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70">
        <v>1</v>
      </c>
      <c r="AJ13" s="70">
        <v>1</v>
      </c>
      <c r="AK13" s="70">
        <v>1</v>
      </c>
      <c r="AL13" s="70">
        <v>1</v>
      </c>
      <c r="AM13" s="70">
        <v>1</v>
      </c>
      <c r="AN13" s="70">
        <v>2</v>
      </c>
      <c r="AO13" s="70">
        <v>3</v>
      </c>
      <c r="AP13" s="70">
        <v>4</v>
      </c>
      <c r="AQ13" s="70">
        <v>5</v>
      </c>
      <c r="AR13" s="70">
        <v>6</v>
      </c>
      <c r="AS13" s="70">
        <v>7</v>
      </c>
      <c r="AT13" s="70">
        <v>8</v>
      </c>
      <c r="AU13" s="70">
        <v>9</v>
      </c>
      <c r="AV13" s="70">
        <v>10</v>
      </c>
      <c r="AW13" s="70">
        <v>11</v>
      </c>
      <c r="AX13" s="70">
        <v>12</v>
      </c>
      <c r="AY13" s="70">
        <v>13</v>
      </c>
      <c r="AZ13" s="70">
        <v>14</v>
      </c>
      <c r="BA13" s="70">
        <v>15</v>
      </c>
      <c r="BB13" s="89"/>
      <c r="BC13" s="89"/>
      <c r="BD13" s="90"/>
    </row>
    <row r="14" spans="1:61" ht="21.75" customHeight="1" x14ac:dyDescent="0.6">
      <c r="A14" s="19"/>
      <c r="B14" s="69" t="s">
        <v>60</v>
      </c>
      <c r="C14" s="89"/>
      <c r="D14" s="89"/>
      <c r="E14" s="89"/>
      <c r="F14" s="89"/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70">
        <v>1</v>
      </c>
      <c r="S14" s="70">
        <v>2</v>
      </c>
      <c r="T14" s="70">
        <v>3</v>
      </c>
      <c r="U14" s="70">
        <v>4</v>
      </c>
      <c r="V14" s="70">
        <v>5</v>
      </c>
      <c r="W14" s="70">
        <v>6</v>
      </c>
      <c r="X14" s="70">
        <v>7</v>
      </c>
      <c r="Y14" s="70">
        <v>8</v>
      </c>
      <c r="Z14" s="70">
        <v>9</v>
      </c>
      <c r="AA14" s="70">
        <v>10</v>
      </c>
      <c r="AB14" s="70">
        <v>11</v>
      </c>
      <c r="AC14" s="70">
        <v>12</v>
      </c>
      <c r="AD14" s="70">
        <v>13</v>
      </c>
      <c r="AE14" s="70">
        <v>14</v>
      </c>
      <c r="AF14" s="70">
        <v>15</v>
      </c>
      <c r="AG14" s="70">
        <v>16</v>
      </c>
      <c r="AH14" s="70">
        <v>17</v>
      </c>
      <c r="AI14" s="70">
        <v>18</v>
      </c>
      <c r="AJ14" s="70">
        <v>19</v>
      </c>
      <c r="AK14" s="70">
        <v>20</v>
      </c>
      <c r="AL14" s="70">
        <v>21</v>
      </c>
      <c r="AM14" s="70">
        <v>22</v>
      </c>
      <c r="AN14" s="70">
        <v>23</v>
      </c>
      <c r="AO14" s="70">
        <v>23</v>
      </c>
      <c r="AP14" s="70">
        <v>23</v>
      </c>
      <c r="AQ14" s="89"/>
      <c r="AR14" s="89"/>
      <c r="AS14" s="89"/>
      <c r="AT14" s="89"/>
      <c r="AU14" s="89"/>
      <c r="AV14" s="89"/>
      <c r="AW14" s="89"/>
      <c r="AX14" s="89"/>
      <c r="AY14" s="89"/>
      <c r="AZ14" s="89"/>
      <c r="BA14" s="89"/>
      <c r="BB14" s="89"/>
      <c r="BC14" s="89"/>
      <c r="BD14" s="90"/>
    </row>
    <row r="15" spans="1:61" ht="23.25" customHeight="1" x14ac:dyDescent="0.6">
      <c r="A15" s="19"/>
      <c r="B15" s="72" t="s">
        <v>61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70">
        <v>1</v>
      </c>
      <c r="R15" s="70">
        <v>2</v>
      </c>
      <c r="S15" s="70">
        <v>3</v>
      </c>
      <c r="T15" s="70">
        <v>4</v>
      </c>
      <c r="U15" s="70">
        <v>5</v>
      </c>
      <c r="V15" s="70">
        <v>6</v>
      </c>
      <c r="W15" s="70">
        <v>7</v>
      </c>
      <c r="X15" s="70">
        <v>8</v>
      </c>
      <c r="Y15" s="70">
        <v>9</v>
      </c>
      <c r="Z15" s="70">
        <v>10</v>
      </c>
      <c r="AA15" s="70">
        <v>11</v>
      </c>
      <c r="AB15" s="70">
        <v>12</v>
      </c>
      <c r="AC15" s="70">
        <v>13</v>
      </c>
      <c r="AD15" s="70">
        <v>14</v>
      </c>
      <c r="AE15" s="70">
        <v>15</v>
      </c>
      <c r="AF15" s="70">
        <v>16</v>
      </c>
      <c r="AG15" s="70">
        <v>17</v>
      </c>
      <c r="AH15" s="70">
        <v>18</v>
      </c>
      <c r="AI15" s="70">
        <v>19</v>
      </c>
      <c r="AJ15" s="70">
        <v>20</v>
      </c>
      <c r="AK15" s="70">
        <v>21</v>
      </c>
      <c r="AL15" s="70">
        <v>22</v>
      </c>
      <c r="AM15" s="70">
        <v>23</v>
      </c>
      <c r="AN15" s="70">
        <v>24</v>
      </c>
      <c r="AO15" s="70">
        <v>25</v>
      </c>
      <c r="AP15" s="89"/>
      <c r="AQ15" s="89"/>
      <c r="AR15" s="89"/>
      <c r="AS15" s="89"/>
      <c r="AT15" s="89"/>
      <c r="AU15" s="89"/>
      <c r="AV15" s="89"/>
      <c r="AW15" s="89"/>
      <c r="AX15" s="89"/>
      <c r="AY15" s="89"/>
      <c r="AZ15" s="89"/>
      <c r="BA15" s="89"/>
      <c r="BB15" s="89"/>
      <c r="BC15" s="89"/>
      <c r="BD15" s="90"/>
    </row>
    <row r="16" spans="1:61" ht="23.25" customHeight="1" x14ac:dyDescent="0.6">
      <c r="A16" s="19"/>
      <c r="B16" s="69" t="s">
        <v>62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70">
        <v>2</v>
      </c>
      <c r="U16" s="70">
        <v>3</v>
      </c>
      <c r="V16" s="70">
        <v>4</v>
      </c>
      <c r="W16" s="70">
        <v>5</v>
      </c>
      <c r="X16" s="70">
        <v>6</v>
      </c>
      <c r="Y16" s="70">
        <v>7</v>
      </c>
      <c r="Z16" s="70">
        <v>8</v>
      </c>
      <c r="AA16" s="70">
        <v>9</v>
      </c>
      <c r="AB16" s="70">
        <v>10</v>
      </c>
      <c r="AC16" s="70">
        <v>11</v>
      </c>
      <c r="AD16" s="70">
        <v>12</v>
      </c>
      <c r="AE16" s="70">
        <v>13</v>
      </c>
      <c r="AF16" s="70">
        <v>14</v>
      </c>
      <c r="AG16" s="70">
        <v>15</v>
      </c>
      <c r="AH16" s="70">
        <v>16</v>
      </c>
      <c r="AI16" s="70">
        <v>17</v>
      </c>
      <c r="AJ16" s="70">
        <v>18</v>
      </c>
      <c r="AK16" s="70">
        <v>19</v>
      </c>
      <c r="AL16" s="70">
        <v>20</v>
      </c>
      <c r="AM16" s="70">
        <v>21</v>
      </c>
      <c r="AN16" s="70">
        <v>22</v>
      </c>
      <c r="AO16" s="70">
        <v>23</v>
      </c>
      <c r="AP16" s="70">
        <v>23</v>
      </c>
      <c r="AQ16" s="70">
        <v>23</v>
      </c>
      <c r="AR16" s="70">
        <v>23</v>
      </c>
      <c r="AS16" s="70">
        <v>23</v>
      </c>
      <c r="AT16" s="89"/>
      <c r="AU16" s="89"/>
      <c r="AV16" s="89"/>
      <c r="AW16" s="89"/>
      <c r="AX16" s="89"/>
      <c r="AY16" s="89"/>
      <c r="AZ16" s="89"/>
      <c r="BA16" s="89"/>
      <c r="BB16" s="89"/>
      <c r="BC16" s="89"/>
      <c r="BD16" s="90"/>
    </row>
    <row r="17" spans="1:56" ht="23.25" customHeight="1" x14ac:dyDescent="0.6">
      <c r="A17" s="19"/>
      <c r="B17" s="72" t="s">
        <v>63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70">
        <v>1</v>
      </c>
      <c r="T17" s="70">
        <v>2</v>
      </c>
      <c r="U17" s="70">
        <v>3</v>
      </c>
      <c r="V17" s="70">
        <v>4</v>
      </c>
      <c r="W17" s="70">
        <v>5</v>
      </c>
      <c r="X17" s="70">
        <v>6</v>
      </c>
      <c r="Y17" s="70">
        <v>7</v>
      </c>
      <c r="Z17" s="70">
        <v>8</v>
      </c>
      <c r="AA17" s="70">
        <v>9</v>
      </c>
      <c r="AB17" s="70">
        <v>10</v>
      </c>
      <c r="AC17" s="70">
        <v>11</v>
      </c>
      <c r="AD17" s="70">
        <v>12</v>
      </c>
      <c r="AE17" s="70">
        <v>13</v>
      </c>
      <c r="AF17" s="70">
        <v>14</v>
      </c>
      <c r="AG17" s="70">
        <v>15</v>
      </c>
      <c r="AH17" s="70">
        <v>16</v>
      </c>
      <c r="AI17" s="70">
        <v>17</v>
      </c>
      <c r="AJ17" s="70">
        <v>18</v>
      </c>
      <c r="AK17" s="70">
        <v>19</v>
      </c>
      <c r="AL17" s="70">
        <v>20</v>
      </c>
      <c r="AM17" s="70">
        <v>21</v>
      </c>
      <c r="AN17" s="70">
        <v>22</v>
      </c>
      <c r="AO17" s="70">
        <v>23</v>
      </c>
      <c r="AP17" s="70">
        <v>24</v>
      </c>
      <c r="AQ17" s="70">
        <v>25</v>
      </c>
      <c r="AR17" s="70">
        <v>26</v>
      </c>
      <c r="AS17" s="70">
        <v>26</v>
      </c>
      <c r="AT17" s="70">
        <v>26</v>
      </c>
      <c r="AU17" s="70">
        <v>26</v>
      </c>
      <c r="AV17" s="70">
        <v>26</v>
      </c>
      <c r="AW17" s="70">
        <v>26</v>
      </c>
      <c r="AX17" s="70">
        <v>26</v>
      </c>
      <c r="AY17" s="70">
        <v>26</v>
      </c>
      <c r="AZ17" s="70">
        <v>26</v>
      </c>
      <c r="BA17" s="89"/>
      <c r="BB17" s="89"/>
      <c r="BC17" s="89"/>
      <c r="BD17" s="90"/>
    </row>
    <row r="18" spans="1:56" ht="23.25" customHeight="1" x14ac:dyDescent="0.6">
      <c r="A18" s="19"/>
      <c r="B18" s="69" t="s">
        <v>64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70">
        <v>1</v>
      </c>
      <c r="V18" s="70">
        <v>1</v>
      </c>
      <c r="W18" s="70">
        <v>2</v>
      </c>
      <c r="X18" s="70">
        <v>3</v>
      </c>
      <c r="Y18" s="70">
        <v>4</v>
      </c>
      <c r="Z18" s="70">
        <v>5</v>
      </c>
      <c r="AA18" s="70">
        <v>6</v>
      </c>
      <c r="AB18" s="70">
        <v>7</v>
      </c>
      <c r="AC18" s="70">
        <v>8</v>
      </c>
      <c r="AD18" s="70">
        <v>9</v>
      </c>
      <c r="AE18" s="70">
        <v>10</v>
      </c>
      <c r="AF18" s="70">
        <v>11</v>
      </c>
      <c r="AG18" s="70">
        <v>12</v>
      </c>
      <c r="AH18" s="70">
        <v>13</v>
      </c>
      <c r="AI18" s="70">
        <v>14</v>
      </c>
      <c r="AJ18" s="70">
        <v>15</v>
      </c>
      <c r="AK18" s="70">
        <v>16</v>
      </c>
      <c r="AL18" s="70">
        <v>17</v>
      </c>
      <c r="AM18" s="70">
        <v>18</v>
      </c>
      <c r="AN18" s="70">
        <v>19</v>
      </c>
      <c r="AO18" s="70">
        <v>20</v>
      </c>
      <c r="AP18" s="70">
        <v>21</v>
      </c>
      <c r="AQ18" s="70">
        <v>22</v>
      </c>
      <c r="AR18" s="70">
        <v>23</v>
      </c>
      <c r="AS18" s="70">
        <v>24</v>
      </c>
      <c r="AT18" s="70">
        <v>25</v>
      </c>
      <c r="AU18" s="70">
        <v>26</v>
      </c>
      <c r="AV18" s="70">
        <v>26</v>
      </c>
      <c r="AW18" s="70">
        <v>26</v>
      </c>
      <c r="AX18" s="70">
        <v>26</v>
      </c>
      <c r="AY18" s="70">
        <v>26</v>
      </c>
      <c r="AZ18" s="70">
        <v>26</v>
      </c>
      <c r="BA18" s="70">
        <v>26</v>
      </c>
      <c r="BB18" s="70">
        <v>26</v>
      </c>
      <c r="BC18" s="89"/>
      <c r="BD18" s="90"/>
    </row>
    <row r="19" spans="1:56" ht="23.25" customHeight="1" x14ac:dyDescent="0.6">
      <c r="A19" s="19"/>
      <c r="B19" s="72" t="s">
        <v>65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70">
        <v>1</v>
      </c>
      <c r="AO19" s="70">
        <v>2</v>
      </c>
      <c r="AP19" s="70">
        <v>3</v>
      </c>
      <c r="AQ19" s="70">
        <v>4</v>
      </c>
      <c r="AR19" s="70">
        <v>5</v>
      </c>
      <c r="AS19" s="70">
        <v>6</v>
      </c>
      <c r="AT19" s="70">
        <v>7</v>
      </c>
      <c r="AU19" s="70">
        <v>8</v>
      </c>
      <c r="AV19" s="70">
        <v>9</v>
      </c>
      <c r="AW19" s="70">
        <v>10</v>
      </c>
      <c r="AX19" s="70">
        <v>11</v>
      </c>
      <c r="AY19" s="70">
        <v>11</v>
      </c>
      <c r="AZ19" s="89"/>
      <c r="BA19" s="89"/>
      <c r="BB19" s="89"/>
      <c r="BC19" s="89"/>
      <c r="BD19" s="90"/>
    </row>
    <row r="20" spans="1:56" ht="23.25" customHeight="1" x14ac:dyDescent="0.6">
      <c r="A20" s="19"/>
      <c r="B20" s="69" t="s">
        <v>66</v>
      </c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  <c r="AD20" s="89"/>
      <c r="AE20" s="89"/>
      <c r="AF20" s="89"/>
      <c r="AG20" s="89"/>
      <c r="AH20" s="89"/>
      <c r="AI20" s="89"/>
      <c r="AJ20" s="89"/>
      <c r="AK20" s="89"/>
      <c r="AL20" s="89"/>
      <c r="AM20" s="89"/>
      <c r="AN20" s="89"/>
      <c r="AO20" s="89"/>
      <c r="AP20" s="89"/>
      <c r="AQ20" s="89"/>
      <c r="AR20" s="89"/>
      <c r="AS20" s="89"/>
      <c r="AT20" s="89"/>
      <c r="AU20" s="89"/>
      <c r="AV20" s="89"/>
      <c r="AW20" s="89"/>
      <c r="AX20" s="89"/>
      <c r="AY20" s="89"/>
      <c r="AZ20" s="89"/>
      <c r="BA20" s="89"/>
      <c r="BB20" s="89"/>
      <c r="BC20" s="89"/>
      <c r="BD20" s="90"/>
    </row>
    <row r="21" spans="1:56" ht="23.25" customHeight="1" x14ac:dyDescent="0.6">
      <c r="A21" s="19"/>
      <c r="B21" s="72" t="s">
        <v>67</v>
      </c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70">
        <v>1</v>
      </c>
      <c r="AM21" s="70">
        <v>2</v>
      </c>
      <c r="AN21" s="70">
        <v>3</v>
      </c>
      <c r="AO21" s="70">
        <v>4</v>
      </c>
      <c r="AP21" s="70">
        <v>5</v>
      </c>
      <c r="AQ21" s="70">
        <v>6</v>
      </c>
      <c r="AR21" s="70">
        <v>7</v>
      </c>
      <c r="AS21" s="70">
        <v>8</v>
      </c>
      <c r="AT21" s="70">
        <v>9</v>
      </c>
      <c r="AU21" s="70">
        <v>10</v>
      </c>
      <c r="AV21" s="70">
        <v>11</v>
      </c>
      <c r="AW21" s="70">
        <v>12</v>
      </c>
      <c r="AX21" s="70">
        <v>13</v>
      </c>
      <c r="AY21" s="89"/>
      <c r="AZ21" s="89"/>
      <c r="BA21" s="89"/>
      <c r="BB21" s="89"/>
      <c r="BC21" s="89"/>
      <c r="BD21" s="90"/>
    </row>
    <row r="22" spans="1:56" ht="23.25" customHeight="1" thickBot="1" x14ac:dyDescent="0.65">
      <c r="A22" s="19"/>
      <c r="B22" s="73" t="s">
        <v>68</v>
      </c>
      <c r="C22" s="91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74">
        <v>1</v>
      </c>
      <c r="AU22" s="74">
        <v>2</v>
      </c>
      <c r="AV22" s="74">
        <v>3</v>
      </c>
      <c r="AW22" s="74">
        <v>4</v>
      </c>
      <c r="AX22" s="74">
        <v>5</v>
      </c>
      <c r="AY22" s="74">
        <v>6</v>
      </c>
      <c r="AZ22" s="74">
        <v>7</v>
      </c>
      <c r="BA22" s="74">
        <v>8</v>
      </c>
      <c r="BB22" s="74">
        <v>9</v>
      </c>
      <c r="BC22" s="74">
        <v>10</v>
      </c>
      <c r="BD22" s="74">
        <v>11</v>
      </c>
    </row>
    <row r="23" spans="1:56" ht="21.75" customHeight="1" x14ac:dyDescent="0.6">
      <c r="A23" s="19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</row>
    <row r="24" spans="1:56" ht="21.75" customHeight="1" x14ac:dyDescent="0.6">
      <c r="A24" s="19"/>
    </row>
    <row r="25" spans="1:56" ht="21.75" customHeight="1" x14ac:dyDescent="0.6">
      <c r="A25" s="19"/>
    </row>
    <row r="26" spans="1:56" ht="21.75" customHeight="1" x14ac:dyDescent="0.6">
      <c r="A26" s="19"/>
    </row>
    <row r="27" spans="1:56" ht="21.75" customHeight="1" x14ac:dyDescent="0.6">
      <c r="A27" s="19"/>
    </row>
    <row r="28" spans="1:56" ht="21.75" customHeight="1" x14ac:dyDescent="0.6">
      <c r="A28" s="19"/>
    </row>
    <row r="29" spans="1:56" ht="21.75" customHeight="1" x14ac:dyDescent="0.6">
      <c r="A29" s="19"/>
    </row>
    <row r="30" spans="1:56" ht="21.75" customHeight="1" x14ac:dyDescent="0.6">
      <c r="A30" s="19"/>
    </row>
    <row r="31" spans="1:56" ht="21.75" customHeight="1" x14ac:dyDescent="0.6">
      <c r="A31" s="19"/>
    </row>
    <row r="32" spans="1:56" ht="21.75" customHeight="1" x14ac:dyDescent="0.6">
      <c r="A32" s="19"/>
      <c r="B32" s="19"/>
      <c r="C32" s="19"/>
      <c r="D32" s="19"/>
      <c r="E32" s="19"/>
      <c r="F32" s="19"/>
      <c r="G32" s="19"/>
      <c r="H32" s="19"/>
      <c r="I32" s="19"/>
      <c r="J32" s="21"/>
      <c r="K32" s="21"/>
      <c r="L32" s="21"/>
    </row>
    <row r="33" spans="1:12" ht="21.75" customHeight="1" x14ac:dyDescent="0.6">
      <c r="A33" s="19"/>
      <c r="B33" s="19"/>
      <c r="C33" s="19"/>
      <c r="D33" s="19"/>
      <c r="E33" s="19"/>
      <c r="F33" s="19"/>
      <c r="G33" s="19"/>
      <c r="H33" s="19"/>
      <c r="I33" s="19"/>
      <c r="J33" s="21"/>
      <c r="K33" s="21"/>
      <c r="L33" s="21"/>
    </row>
    <row r="34" spans="1:12" ht="21.75" customHeight="1" x14ac:dyDescent="0.6">
      <c r="A34" s="19"/>
      <c r="B34" s="19"/>
      <c r="C34" s="19"/>
      <c r="D34" s="19"/>
      <c r="E34" s="19"/>
      <c r="F34" s="19"/>
      <c r="G34" s="19"/>
      <c r="H34" s="19"/>
      <c r="I34" s="19"/>
      <c r="J34" s="21"/>
      <c r="K34" s="21"/>
      <c r="L34" s="21"/>
    </row>
    <row r="35" spans="1:12" ht="21.75" customHeight="1" x14ac:dyDescent="0.6">
      <c r="A35" s="19"/>
      <c r="B35" s="19"/>
      <c r="C35" s="19"/>
      <c r="D35" s="19"/>
      <c r="E35" s="19"/>
      <c r="F35" s="19"/>
      <c r="G35" s="19"/>
      <c r="H35" s="19"/>
      <c r="I35" s="19"/>
      <c r="J35" s="21"/>
      <c r="K35" s="21"/>
      <c r="L35" s="21"/>
    </row>
    <row r="36" spans="1:12" ht="21.75" customHeight="1" x14ac:dyDescent="0.6">
      <c r="A36" s="19"/>
      <c r="B36" s="19"/>
      <c r="C36" s="19"/>
      <c r="D36" s="19"/>
      <c r="E36" s="19"/>
      <c r="F36" s="19"/>
      <c r="G36" s="19"/>
      <c r="H36" s="19"/>
      <c r="I36" s="19"/>
      <c r="J36" s="21"/>
      <c r="K36" s="21"/>
      <c r="L36" s="21"/>
    </row>
    <row r="37" spans="1:12" ht="21.75" customHeight="1" x14ac:dyDescent="0.6">
      <c r="A37" s="19"/>
      <c r="B37" s="19"/>
      <c r="C37" s="19"/>
      <c r="D37" s="19"/>
      <c r="E37" s="19"/>
      <c r="F37" s="19"/>
      <c r="G37" s="19"/>
      <c r="H37" s="19"/>
      <c r="I37" s="19"/>
      <c r="J37" s="21"/>
      <c r="K37" s="21"/>
      <c r="L37" s="21"/>
    </row>
    <row r="38" spans="1:12" ht="21.75" customHeight="1" x14ac:dyDescent="0.6">
      <c r="A38" s="19"/>
      <c r="B38" s="19"/>
      <c r="C38" s="19"/>
      <c r="D38" s="19"/>
      <c r="E38" s="19"/>
      <c r="F38" s="19"/>
      <c r="G38" s="19"/>
      <c r="H38" s="19"/>
      <c r="I38" s="19"/>
      <c r="J38" s="21"/>
      <c r="K38" s="21"/>
      <c r="L38" s="21"/>
    </row>
    <row r="39" spans="1:12" ht="21.75" customHeight="1" x14ac:dyDescent="0.6">
      <c r="A39" s="19"/>
      <c r="B39" s="19"/>
      <c r="C39" s="19"/>
      <c r="D39" s="19"/>
      <c r="E39" s="19"/>
      <c r="F39" s="19"/>
      <c r="G39" s="19"/>
      <c r="H39" s="19"/>
      <c r="I39" s="19"/>
      <c r="J39" s="21"/>
      <c r="K39" s="21"/>
      <c r="L39" s="21"/>
    </row>
    <row r="40" spans="1:12" ht="21.75" customHeight="1" x14ac:dyDescent="0.6">
      <c r="A40" s="19"/>
      <c r="B40" s="19"/>
      <c r="C40" s="19"/>
      <c r="D40" s="19"/>
      <c r="E40" s="19"/>
      <c r="F40" s="19"/>
      <c r="G40" s="19"/>
      <c r="H40" s="19"/>
      <c r="I40" s="19"/>
      <c r="J40" s="21"/>
      <c r="K40" s="21"/>
      <c r="L40" s="21"/>
    </row>
    <row r="41" spans="1:12" ht="21.75" customHeight="1" x14ac:dyDescent="0.6">
      <c r="A41" s="19"/>
      <c r="B41" s="19"/>
      <c r="C41" s="19"/>
      <c r="D41" s="19"/>
      <c r="E41" s="19"/>
      <c r="F41" s="19"/>
      <c r="G41" s="19"/>
      <c r="H41" s="19"/>
      <c r="I41" s="19"/>
      <c r="J41" s="21"/>
      <c r="K41" s="21"/>
      <c r="L41" s="21"/>
    </row>
    <row r="42" spans="1:12" ht="21.75" customHeight="1" x14ac:dyDescent="0.6">
      <c r="A42" s="19"/>
      <c r="B42" s="19"/>
      <c r="C42" s="19"/>
      <c r="D42" s="19"/>
      <c r="E42" s="19"/>
      <c r="F42" s="19"/>
      <c r="G42" s="19"/>
      <c r="H42" s="19"/>
      <c r="I42" s="19"/>
      <c r="J42" s="21"/>
      <c r="K42" s="21"/>
      <c r="L42" s="21"/>
    </row>
    <row r="43" spans="1:12" ht="21.75" customHeight="1" x14ac:dyDescent="0.6">
      <c r="A43" s="19"/>
      <c r="B43" s="19"/>
      <c r="C43" s="19"/>
      <c r="D43" s="19"/>
      <c r="E43" s="19"/>
      <c r="F43" s="19"/>
      <c r="G43" s="19"/>
      <c r="H43" s="19"/>
      <c r="I43" s="19"/>
      <c r="J43" s="21"/>
      <c r="K43" s="21"/>
      <c r="L43" s="21"/>
    </row>
    <row r="44" spans="1:12" ht="21.75" customHeight="1" x14ac:dyDescent="0.6">
      <c r="A44" s="19"/>
      <c r="B44" s="19"/>
      <c r="C44" s="19"/>
      <c r="D44" s="19"/>
      <c r="E44" s="19"/>
      <c r="F44" s="19"/>
      <c r="G44" s="19"/>
      <c r="H44" s="19"/>
      <c r="I44" s="19"/>
      <c r="J44" s="21"/>
      <c r="K44" s="21"/>
      <c r="L44" s="21"/>
    </row>
    <row r="45" spans="1:12" ht="21.75" customHeight="1" x14ac:dyDescent="0.6">
      <c r="A45" s="19"/>
      <c r="B45" s="19"/>
      <c r="C45" s="19"/>
      <c r="D45" s="19"/>
      <c r="E45" s="19"/>
      <c r="F45" s="19"/>
      <c r="G45" s="19"/>
      <c r="H45" s="19"/>
      <c r="I45" s="19"/>
      <c r="J45" s="21"/>
      <c r="K45" s="21"/>
      <c r="L45" s="21"/>
    </row>
    <row r="46" spans="1:12" ht="21.75" customHeight="1" x14ac:dyDescent="0.6">
      <c r="A46" s="19"/>
      <c r="B46" s="19"/>
      <c r="C46" s="19"/>
      <c r="D46" s="19"/>
      <c r="E46" s="19"/>
      <c r="F46" s="19"/>
      <c r="G46" s="19"/>
      <c r="H46" s="19"/>
      <c r="I46" s="19"/>
      <c r="J46" s="21"/>
      <c r="K46" s="21"/>
      <c r="L46" s="21"/>
    </row>
    <row r="47" spans="1:12" ht="21.75" customHeight="1" x14ac:dyDescent="0.6">
      <c r="A47" s="19"/>
      <c r="B47" s="19"/>
      <c r="C47" s="19"/>
      <c r="D47" s="19"/>
      <c r="E47" s="19"/>
      <c r="F47" s="19"/>
      <c r="G47" s="19"/>
      <c r="H47" s="19"/>
      <c r="I47" s="19"/>
      <c r="J47" s="21"/>
      <c r="K47" s="21"/>
      <c r="L47" s="21"/>
    </row>
    <row r="48" spans="1:12" ht="21.75" customHeight="1" x14ac:dyDescent="0.6">
      <c r="A48" s="19"/>
      <c r="B48" s="19"/>
      <c r="C48" s="19"/>
      <c r="D48" s="19"/>
      <c r="E48" s="19"/>
      <c r="F48" s="19"/>
      <c r="G48" s="19"/>
      <c r="H48" s="19"/>
      <c r="I48" s="19"/>
      <c r="J48" s="21"/>
      <c r="K48" s="21"/>
      <c r="L48" s="21"/>
    </row>
    <row r="49" spans="1:14" ht="21.75" customHeight="1" x14ac:dyDescent="0.6">
      <c r="A49" s="19"/>
      <c r="B49" s="19"/>
      <c r="C49" s="19"/>
      <c r="D49" s="19"/>
      <c r="E49" s="19"/>
      <c r="F49" s="19"/>
      <c r="G49" s="19"/>
      <c r="H49" s="19"/>
      <c r="I49" s="19"/>
      <c r="J49" s="21"/>
      <c r="K49" s="21"/>
      <c r="L49" s="21"/>
    </row>
    <row r="50" spans="1:14" ht="21.75" customHeight="1" x14ac:dyDescent="0.6">
      <c r="A50" s="19"/>
      <c r="B50" s="19"/>
      <c r="C50" s="19"/>
      <c r="D50" s="19"/>
      <c r="E50" s="19"/>
      <c r="F50" s="19"/>
      <c r="G50" s="19"/>
      <c r="H50" s="19"/>
      <c r="I50" s="19"/>
      <c r="J50" s="21"/>
      <c r="K50" s="21"/>
      <c r="L50" s="21"/>
    </row>
    <row r="51" spans="1:14" ht="21.75" customHeight="1" x14ac:dyDescent="0.6">
      <c r="A51" s="19"/>
      <c r="B51" s="19"/>
      <c r="C51" s="19"/>
      <c r="D51" s="19"/>
      <c r="E51" s="19"/>
      <c r="F51" s="19"/>
      <c r="G51" s="19"/>
      <c r="H51" s="19"/>
      <c r="I51" s="19"/>
      <c r="J51" s="21"/>
      <c r="K51" s="21"/>
      <c r="L51" s="21"/>
    </row>
    <row r="52" spans="1:14" ht="21.75" customHeight="1" x14ac:dyDescent="0.6">
      <c r="A52" s="19"/>
      <c r="B52" s="19"/>
      <c r="C52" s="19"/>
      <c r="D52" s="19"/>
      <c r="E52" s="19"/>
      <c r="F52" s="19"/>
      <c r="G52" s="19"/>
      <c r="H52" s="19"/>
      <c r="I52" s="19"/>
      <c r="J52" s="21"/>
      <c r="K52" s="21"/>
      <c r="L52" s="21"/>
    </row>
    <row r="53" spans="1:14" ht="21.75" customHeight="1" x14ac:dyDescent="0.6">
      <c r="A53" s="19"/>
      <c r="B53" s="19"/>
      <c r="C53" s="19"/>
      <c r="D53" s="19"/>
      <c r="E53" s="19"/>
      <c r="F53" s="19"/>
      <c r="G53" s="19"/>
      <c r="H53" s="19"/>
      <c r="I53" s="19"/>
      <c r="J53" s="21"/>
      <c r="K53" s="21"/>
      <c r="L53" s="21"/>
    </row>
    <row r="54" spans="1:14" ht="21.75" customHeight="1" x14ac:dyDescent="0.6">
      <c r="A54" s="19"/>
      <c r="B54" s="19"/>
      <c r="C54" s="19"/>
      <c r="D54" s="19"/>
      <c r="E54" s="19"/>
      <c r="F54" s="19"/>
      <c r="G54" s="19"/>
      <c r="H54" s="19"/>
      <c r="I54" s="19"/>
      <c r="J54" s="21"/>
      <c r="K54" s="21"/>
      <c r="L54" s="21"/>
    </row>
    <row r="55" spans="1:14" ht="21.75" customHeight="1" x14ac:dyDescent="0.6">
      <c r="A55" s="19"/>
      <c r="B55" s="19"/>
      <c r="C55" s="19"/>
      <c r="D55" s="19"/>
      <c r="E55" s="19"/>
      <c r="F55" s="19"/>
      <c r="G55" s="19"/>
      <c r="H55" s="19"/>
      <c r="I55" s="19"/>
      <c r="J55" s="21"/>
      <c r="K55" s="21"/>
      <c r="L55" s="21"/>
    </row>
    <row r="56" spans="1:14" ht="21.75" customHeight="1" x14ac:dyDescent="0.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21"/>
      <c r="M56" s="21"/>
      <c r="N56" s="21"/>
    </row>
    <row r="57" spans="1:14" ht="21.75" customHeight="1" x14ac:dyDescent="0.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21"/>
      <c r="M57" s="21"/>
      <c r="N57" s="21"/>
    </row>
    <row r="58" spans="1:14" ht="21.75" customHeight="1" x14ac:dyDescent="0.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21"/>
      <c r="M58" s="21"/>
      <c r="N58" s="21"/>
    </row>
    <row r="59" spans="1:14" ht="21.75" customHeight="1" x14ac:dyDescent="0.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21"/>
      <c r="M59" s="21"/>
      <c r="N59" s="21"/>
    </row>
    <row r="60" spans="1:14" ht="21.75" customHeight="1" x14ac:dyDescent="0.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21"/>
      <c r="M60" s="21"/>
      <c r="N60" s="21"/>
    </row>
    <row r="61" spans="1:14" ht="21.75" customHeight="1" x14ac:dyDescent="0.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21"/>
      <c r="M61" s="21"/>
      <c r="N61" s="21"/>
    </row>
    <row r="62" spans="1:14" ht="21.75" customHeight="1" x14ac:dyDescent="0.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21"/>
      <c r="M62" s="21"/>
      <c r="N62" s="21"/>
    </row>
    <row r="63" spans="1:14" ht="21.75" customHeight="1" x14ac:dyDescent="0.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21"/>
      <c r="M63" s="21"/>
      <c r="N63" s="21"/>
    </row>
    <row r="64" spans="1:14" ht="21.75" customHeight="1" x14ac:dyDescent="0.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21"/>
      <c r="M64" s="21"/>
      <c r="N64" s="21"/>
    </row>
    <row r="65" spans="1:14" ht="21.75" customHeight="1" x14ac:dyDescent="0.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21"/>
      <c r="M65" s="21"/>
      <c r="N65" s="21"/>
    </row>
    <row r="66" spans="1:14" ht="21.75" customHeight="1" x14ac:dyDescent="0.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21"/>
      <c r="M66" s="21"/>
      <c r="N66" s="21"/>
    </row>
    <row r="67" spans="1:14" ht="21.75" customHeight="1" x14ac:dyDescent="0.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21"/>
      <c r="M67" s="21"/>
      <c r="N67" s="21"/>
    </row>
    <row r="68" spans="1:14" ht="21.75" customHeight="1" x14ac:dyDescent="0.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21"/>
      <c r="M68" s="21"/>
      <c r="N68" s="21"/>
    </row>
    <row r="69" spans="1:14" ht="21.75" customHeight="1" x14ac:dyDescent="0.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21"/>
      <c r="M69" s="21"/>
      <c r="N69" s="21"/>
    </row>
    <row r="70" spans="1:14" ht="21.75" customHeight="1" x14ac:dyDescent="0.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21"/>
      <c r="M70" s="21"/>
      <c r="N70" s="21"/>
    </row>
    <row r="71" spans="1:14" ht="21.75" customHeight="1" x14ac:dyDescent="0.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21"/>
      <c r="M71" s="21"/>
      <c r="N71" s="21"/>
    </row>
    <row r="72" spans="1:14" ht="21.75" customHeight="1" x14ac:dyDescent="0.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21"/>
      <c r="M72" s="21"/>
      <c r="N72" s="21"/>
    </row>
    <row r="73" spans="1:14" ht="21.75" customHeight="1" x14ac:dyDescent="0.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21"/>
      <c r="M73" s="21"/>
      <c r="N73" s="21"/>
    </row>
    <row r="74" spans="1:14" ht="21.75" customHeight="1" x14ac:dyDescent="0.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21"/>
      <c r="M74" s="21"/>
      <c r="N74" s="21"/>
    </row>
    <row r="75" spans="1:14" ht="21.75" customHeight="1" x14ac:dyDescent="0.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21"/>
      <c r="M75" s="21"/>
      <c r="N75" s="21"/>
    </row>
    <row r="76" spans="1:14" ht="21.75" customHeight="1" x14ac:dyDescent="0.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21"/>
      <c r="M76" s="21"/>
      <c r="N76" s="21"/>
    </row>
    <row r="77" spans="1:14" ht="21.75" customHeight="1" x14ac:dyDescent="0.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21"/>
      <c r="M77" s="21"/>
      <c r="N77" s="21"/>
    </row>
    <row r="78" spans="1:14" ht="21.75" customHeight="1" x14ac:dyDescent="0.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21"/>
      <c r="M78" s="21"/>
      <c r="N78" s="21"/>
    </row>
    <row r="79" spans="1:14" ht="21.75" customHeight="1" x14ac:dyDescent="0.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21"/>
      <c r="M79" s="21"/>
      <c r="N79" s="21"/>
    </row>
    <row r="80" spans="1:14" ht="21.75" customHeight="1" x14ac:dyDescent="0.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21"/>
      <c r="M80" s="21"/>
      <c r="N80" s="21"/>
    </row>
    <row r="81" spans="1:14" ht="21.75" customHeight="1" x14ac:dyDescent="0.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21"/>
      <c r="M81" s="21"/>
      <c r="N81" s="21"/>
    </row>
    <row r="82" spans="1:14" ht="21.75" customHeight="1" x14ac:dyDescent="0.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21"/>
      <c r="M82" s="21"/>
      <c r="N82" s="21"/>
    </row>
    <row r="83" spans="1:14" ht="21.75" customHeight="1" x14ac:dyDescent="0.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21"/>
      <c r="M83" s="21"/>
      <c r="N83" s="21"/>
    </row>
    <row r="84" spans="1:14" ht="21.75" customHeight="1" x14ac:dyDescent="0.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21"/>
      <c r="M84" s="21"/>
      <c r="N84" s="21"/>
    </row>
    <row r="85" spans="1:14" ht="21.75" customHeight="1" x14ac:dyDescent="0.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21"/>
      <c r="M85" s="21"/>
      <c r="N85" s="21"/>
    </row>
    <row r="86" spans="1:14" ht="21.75" customHeight="1" x14ac:dyDescent="0.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21"/>
      <c r="M86" s="21"/>
      <c r="N86" s="21"/>
    </row>
    <row r="87" spans="1:14" ht="21.75" customHeight="1" x14ac:dyDescent="0.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21"/>
      <c r="M87" s="21"/>
      <c r="N87" s="21"/>
    </row>
    <row r="88" spans="1:14" ht="21.75" customHeight="1" x14ac:dyDescent="0.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21"/>
      <c r="M88" s="21"/>
      <c r="N88" s="21"/>
    </row>
    <row r="89" spans="1:14" ht="21.75" customHeight="1" x14ac:dyDescent="0.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21"/>
      <c r="M89" s="21"/>
      <c r="N89" s="21"/>
    </row>
    <row r="90" spans="1:14" ht="21.75" customHeight="1" x14ac:dyDescent="0.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21"/>
      <c r="M90" s="21"/>
      <c r="N90" s="21"/>
    </row>
    <row r="91" spans="1:14" ht="21.75" customHeight="1" x14ac:dyDescent="0.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21"/>
      <c r="M91" s="21"/>
      <c r="N91" s="21"/>
    </row>
    <row r="92" spans="1:14" ht="21.75" customHeight="1" x14ac:dyDescent="0.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21"/>
      <c r="M92" s="21"/>
      <c r="N92" s="21"/>
    </row>
    <row r="93" spans="1:14" ht="21.75" customHeight="1" x14ac:dyDescent="0.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21"/>
      <c r="M93" s="21"/>
      <c r="N93" s="21"/>
    </row>
    <row r="94" spans="1:14" ht="21.75" customHeight="1" x14ac:dyDescent="0.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21"/>
      <c r="M94" s="21"/>
      <c r="N94" s="21"/>
    </row>
    <row r="95" spans="1:14" ht="21.75" customHeight="1" x14ac:dyDescent="0.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21"/>
      <c r="M95" s="21"/>
      <c r="N95" s="21"/>
    </row>
    <row r="96" spans="1:14" ht="21.75" customHeight="1" x14ac:dyDescent="0.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21"/>
      <c r="M96" s="21"/>
      <c r="N96" s="21"/>
    </row>
    <row r="97" spans="1:14" ht="21.75" customHeight="1" x14ac:dyDescent="0.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21"/>
      <c r="M97" s="21"/>
      <c r="N97" s="21"/>
    </row>
    <row r="98" spans="1:14" ht="21.75" customHeight="1" x14ac:dyDescent="0.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21"/>
      <c r="M98" s="21"/>
      <c r="N98" s="21"/>
    </row>
    <row r="99" spans="1:14" ht="21.75" customHeight="1" x14ac:dyDescent="0.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21"/>
      <c r="M99" s="21"/>
      <c r="N99" s="21"/>
    </row>
    <row r="100" spans="1:14" ht="21.75" customHeight="1" x14ac:dyDescent="0.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21"/>
      <c r="M100" s="21"/>
      <c r="N100" s="21"/>
    </row>
    <row r="101" spans="1:14" ht="21.75" customHeight="1" x14ac:dyDescent="0.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21"/>
      <c r="M101" s="21"/>
      <c r="N101" s="21"/>
    </row>
    <row r="102" spans="1:14" ht="21.75" customHeight="1" x14ac:dyDescent="0.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21"/>
      <c r="M102" s="21"/>
      <c r="N102" s="21"/>
    </row>
    <row r="103" spans="1:14" ht="21.75" customHeight="1" x14ac:dyDescent="0.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21"/>
      <c r="M103" s="21"/>
      <c r="N103" s="21"/>
    </row>
    <row r="104" spans="1:14" ht="21.75" customHeight="1" x14ac:dyDescent="0.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21"/>
      <c r="M104" s="21"/>
      <c r="N104" s="21"/>
    </row>
    <row r="105" spans="1:14" ht="21.75" customHeight="1" x14ac:dyDescent="0.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21"/>
      <c r="M105" s="21"/>
      <c r="N105" s="21"/>
    </row>
    <row r="106" spans="1:14" ht="21.75" customHeight="1" x14ac:dyDescent="0.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21"/>
      <c r="M106" s="21"/>
      <c r="N106" s="21"/>
    </row>
    <row r="107" spans="1:14" ht="21.75" customHeight="1" x14ac:dyDescent="0.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21"/>
      <c r="M107" s="21"/>
      <c r="N107" s="21"/>
    </row>
    <row r="108" spans="1:14" ht="21.75" customHeight="1" x14ac:dyDescent="0.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21"/>
      <c r="M108" s="21"/>
      <c r="N108" s="21"/>
    </row>
    <row r="109" spans="1:14" ht="21.75" customHeight="1" x14ac:dyDescent="0.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21"/>
      <c r="M109" s="21"/>
      <c r="N109" s="21"/>
    </row>
    <row r="110" spans="1:14" ht="21.75" customHeight="1" x14ac:dyDescent="0.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21"/>
      <c r="M110" s="21"/>
      <c r="N110" s="21"/>
    </row>
    <row r="111" spans="1:14" ht="21.75" customHeight="1" x14ac:dyDescent="0.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21"/>
      <c r="M111" s="21"/>
      <c r="N111" s="21"/>
    </row>
    <row r="112" spans="1:14" ht="21.75" customHeight="1" x14ac:dyDescent="0.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21"/>
      <c r="M112" s="21"/>
      <c r="N112" s="21"/>
    </row>
    <row r="113" spans="1:17" ht="21.75" customHeight="1" x14ac:dyDescent="0.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21"/>
      <c r="M113" s="21"/>
      <c r="N113" s="21"/>
    </row>
    <row r="114" spans="1:17" ht="21.75" customHeight="1" x14ac:dyDescent="0.6">
      <c r="A114" s="19"/>
      <c r="B114" s="20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21"/>
      <c r="P114" s="21"/>
      <c r="Q114" s="21"/>
    </row>
    <row r="115" spans="1:17" ht="21.75" customHeight="1" x14ac:dyDescent="0.6">
      <c r="A115" s="19"/>
      <c r="B115" s="20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21"/>
      <c r="P115" s="21"/>
      <c r="Q115" s="21"/>
    </row>
    <row r="116" spans="1:17" ht="21.75" customHeight="1" x14ac:dyDescent="0.6">
      <c r="A116" s="19"/>
      <c r="B116" s="20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21"/>
      <c r="P116" s="21"/>
      <c r="Q116" s="21"/>
    </row>
    <row r="117" spans="1:17" ht="21.75" customHeight="1" x14ac:dyDescent="0.6">
      <c r="A117" s="19"/>
      <c r="B117" s="20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21"/>
      <c r="P117" s="21"/>
      <c r="Q117" s="21"/>
    </row>
    <row r="118" spans="1:17" ht="21.75" customHeight="1" x14ac:dyDescent="0.6">
      <c r="A118" s="19"/>
      <c r="B118" s="20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21"/>
      <c r="P118" s="21"/>
      <c r="Q118" s="21"/>
    </row>
    <row r="119" spans="1:17" ht="21.75" customHeight="1" x14ac:dyDescent="0.6">
      <c r="A119" s="19"/>
      <c r="B119" s="20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21"/>
      <c r="P119" s="21"/>
      <c r="Q119" s="21"/>
    </row>
    <row r="120" spans="1:17" ht="21.75" customHeight="1" x14ac:dyDescent="0.6">
      <c r="A120" s="19"/>
      <c r="B120" s="20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21"/>
      <c r="P120" s="21"/>
      <c r="Q120" s="21"/>
    </row>
    <row r="121" spans="1:17" ht="21.75" customHeight="1" x14ac:dyDescent="0.6">
      <c r="A121" s="19"/>
      <c r="B121" s="20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21"/>
      <c r="P121" s="21"/>
      <c r="Q121" s="21"/>
    </row>
    <row r="122" spans="1:17" ht="21.75" customHeight="1" x14ac:dyDescent="0.6">
      <c r="A122" s="19"/>
      <c r="B122" s="20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21"/>
      <c r="P122" s="21"/>
      <c r="Q122" s="21"/>
    </row>
    <row r="123" spans="1:17" ht="21.75" customHeight="1" x14ac:dyDescent="0.6">
      <c r="A123" s="19"/>
      <c r="B123" s="20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21"/>
      <c r="P123" s="21"/>
      <c r="Q123" s="21"/>
    </row>
    <row r="124" spans="1:17" ht="21.75" customHeight="1" x14ac:dyDescent="0.6">
      <c r="A124" s="19"/>
      <c r="B124" s="20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21"/>
      <c r="P124" s="21"/>
      <c r="Q124" s="21"/>
    </row>
    <row r="125" spans="1:17" ht="21.75" customHeight="1" x14ac:dyDescent="0.6">
      <c r="A125" s="19"/>
      <c r="B125" s="20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21"/>
      <c r="P125" s="21"/>
      <c r="Q125" s="21"/>
    </row>
    <row r="126" spans="1:17" ht="21.75" customHeight="1" x14ac:dyDescent="0.6">
      <c r="A126" s="19"/>
      <c r="B126" s="20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21"/>
      <c r="P126" s="21"/>
      <c r="Q126" s="21"/>
    </row>
    <row r="127" spans="1:17" ht="21.75" customHeight="1" x14ac:dyDescent="0.6">
      <c r="A127" s="19"/>
      <c r="B127" s="20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21"/>
      <c r="P127" s="21"/>
      <c r="Q127" s="21"/>
    </row>
    <row r="128" spans="1:17" ht="21.75" customHeight="1" x14ac:dyDescent="0.6">
      <c r="A128" s="19"/>
      <c r="B128" s="20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21"/>
      <c r="P128" s="21"/>
      <c r="Q128" s="21"/>
    </row>
    <row r="129" spans="1:17" ht="21.75" customHeight="1" x14ac:dyDescent="0.6">
      <c r="A129" s="19"/>
      <c r="B129" s="20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21"/>
      <c r="P129" s="21"/>
      <c r="Q129" s="21"/>
    </row>
    <row r="130" spans="1:17" ht="21.75" customHeight="1" x14ac:dyDescent="0.6">
      <c r="A130" s="19"/>
      <c r="B130" s="20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21"/>
      <c r="P130" s="21"/>
      <c r="Q130" s="21"/>
    </row>
    <row r="131" spans="1:17" ht="21.75" customHeight="1" x14ac:dyDescent="0.6">
      <c r="A131" s="19"/>
      <c r="B131" s="20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21"/>
      <c r="P131" s="21"/>
      <c r="Q131" s="21"/>
    </row>
    <row r="132" spans="1:17" ht="21.75" customHeight="1" x14ac:dyDescent="0.6">
      <c r="A132" s="19"/>
      <c r="B132" s="20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21"/>
      <c r="P132" s="21"/>
      <c r="Q132" s="21"/>
    </row>
    <row r="133" spans="1:17" ht="21.75" customHeight="1" x14ac:dyDescent="0.6">
      <c r="A133" s="19"/>
      <c r="B133" s="20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21"/>
      <c r="P133" s="21"/>
      <c r="Q133" s="21"/>
    </row>
    <row r="134" spans="1:17" ht="21.75" customHeight="1" x14ac:dyDescent="0.6">
      <c r="A134" s="19"/>
      <c r="B134" s="20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21"/>
      <c r="P134" s="21"/>
      <c r="Q134" s="21"/>
    </row>
    <row r="135" spans="1:17" ht="21.75" customHeight="1" x14ac:dyDescent="0.6">
      <c r="A135" s="19"/>
      <c r="B135" s="20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21"/>
      <c r="P135" s="21"/>
      <c r="Q135" s="21"/>
    </row>
    <row r="136" spans="1:17" ht="21.75" customHeight="1" x14ac:dyDescent="0.6">
      <c r="A136" s="19"/>
      <c r="B136" s="20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21"/>
      <c r="P136" s="21"/>
      <c r="Q136" s="21"/>
    </row>
    <row r="137" spans="1:17" ht="21.75" customHeight="1" x14ac:dyDescent="0.6">
      <c r="A137" s="19"/>
      <c r="B137" s="20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21"/>
      <c r="P137" s="21"/>
      <c r="Q137" s="21"/>
    </row>
    <row r="138" spans="1:17" ht="21.75" customHeight="1" x14ac:dyDescent="0.6">
      <c r="A138" s="19"/>
      <c r="B138" s="20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21"/>
      <c r="P138" s="21"/>
      <c r="Q138" s="21"/>
    </row>
    <row r="139" spans="1:17" ht="21.75" customHeight="1" x14ac:dyDescent="0.6">
      <c r="A139" s="19"/>
      <c r="B139" s="20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21"/>
      <c r="P139" s="21"/>
      <c r="Q139" s="21"/>
    </row>
    <row r="140" spans="1:17" ht="21.75" customHeight="1" x14ac:dyDescent="0.6">
      <c r="A140" s="19"/>
      <c r="B140" s="20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21"/>
      <c r="P140" s="21"/>
      <c r="Q140" s="21"/>
    </row>
    <row r="141" spans="1:17" ht="21.75" customHeight="1" x14ac:dyDescent="0.6">
      <c r="A141" s="19"/>
      <c r="B141" s="20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21"/>
      <c r="P141" s="21"/>
      <c r="Q141" s="21"/>
    </row>
    <row r="142" spans="1:17" ht="21.75" customHeight="1" x14ac:dyDescent="0.6">
      <c r="A142" s="19"/>
      <c r="B142" s="20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21"/>
      <c r="P142" s="21"/>
      <c r="Q142" s="21"/>
    </row>
    <row r="143" spans="1:17" ht="21.75" customHeight="1" x14ac:dyDescent="0.6">
      <c r="A143" s="19"/>
      <c r="B143" s="20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21"/>
      <c r="P143" s="21"/>
      <c r="Q143" s="21"/>
    </row>
    <row r="144" spans="1:17" ht="21.75" customHeight="1" x14ac:dyDescent="0.6">
      <c r="A144" s="19"/>
      <c r="B144" s="20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21"/>
      <c r="P144" s="21"/>
      <c r="Q144" s="21"/>
    </row>
    <row r="145" spans="1:17" ht="21.75" customHeight="1" x14ac:dyDescent="0.6">
      <c r="A145" s="19"/>
      <c r="B145" s="20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21"/>
      <c r="P145" s="21"/>
      <c r="Q145" s="21"/>
    </row>
    <row r="146" spans="1:17" ht="21.75" customHeight="1" x14ac:dyDescent="0.6">
      <c r="A146" s="19"/>
      <c r="B146" s="20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21"/>
      <c r="P146" s="21"/>
      <c r="Q146" s="21"/>
    </row>
    <row r="147" spans="1:17" ht="21.75" customHeight="1" x14ac:dyDescent="0.6">
      <c r="A147" s="19"/>
      <c r="B147" s="20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21"/>
      <c r="P147" s="21"/>
      <c r="Q147" s="21"/>
    </row>
    <row r="148" spans="1:17" ht="21.75" customHeight="1" x14ac:dyDescent="0.6">
      <c r="A148" s="19"/>
      <c r="B148" s="20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21"/>
      <c r="P148" s="21"/>
      <c r="Q148" s="21"/>
    </row>
    <row r="149" spans="1:17" ht="21.75" customHeight="1" x14ac:dyDescent="0.6">
      <c r="A149" s="19"/>
      <c r="B149" s="20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21"/>
      <c r="P149" s="21"/>
      <c r="Q149" s="21"/>
    </row>
    <row r="150" spans="1:17" ht="21.75" customHeight="1" x14ac:dyDescent="0.6">
      <c r="A150" s="19"/>
      <c r="B150" s="20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21"/>
      <c r="P150" s="21"/>
      <c r="Q150" s="21"/>
    </row>
    <row r="151" spans="1:17" ht="21.75" customHeight="1" x14ac:dyDescent="0.6">
      <c r="A151" s="19"/>
      <c r="B151" s="20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21"/>
      <c r="P151" s="21"/>
      <c r="Q151" s="21"/>
    </row>
    <row r="152" spans="1:17" ht="21.75" customHeight="1" x14ac:dyDescent="0.6">
      <c r="A152" s="19"/>
      <c r="B152" s="20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21"/>
      <c r="P152" s="21"/>
      <c r="Q152" s="21"/>
    </row>
    <row r="153" spans="1:17" ht="21.75" customHeight="1" x14ac:dyDescent="0.6">
      <c r="A153" s="19"/>
      <c r="B153" s="20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21"/>
      <c r="P153" s="21"/>
      <c r="Q153" s="21"/>
    </row>
    <row r="154" spans="1:17" ht="21.75" customHeight="1" x14ac:dyDescent="0.6">
      <c r="A154" s="19"/>
      <c r="B154" s="20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21"/>
      <c r="P154" s="21"/>
      <c r="Q154" s="21"/>
    </row>
    <row r="155" spans="1:17" ht="21.75" customHeight="1" x14ac:dyDescent="0.6">
      <c r="A155" s="19"/>
      <c r="B155" s="20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21"/>
      <c r="P155" s="21"/>
      <c r="Q155" s="21"/>
    </row>
    <row r="156" spans="1:17" ht="21.75" customHeight="1" x14ac:dyDescent="0.6">
      <c r="A156" s="19"/>
      <c r="B156" s="20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21"/>
      <c r="P156" s="21"/>
      <c r="Q156" s="21"/>
    </row>
    <row r="157" spans="1:17" ht="21.75" customHeight="1" x14ac:dyDescent="0.6">
      <c r="A157" s="19"/>
      <c r="B157" s="20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21"/>
      <c r="P157" s="21"/>
      <c r="Q157" s="21"/>
    </row>
    <row r="158" spans="1:17" ht="21.75" customHeight="1" x14ac:dyDescent="0.6">
      <c r="A158" s="19"/>
      <c r="B158" s="20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21"/>
      <c r="P158" s="21"/>
      <c r="Q158" s="21"/>
    </row>
    <row r="159" spans="1:17" ht="21.75" customHeight="1" x14ac:dyDescent="0.6">
      <c r="A159" s="19"/>
      <c r="B159" s="20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21"/>
      <c r="P159" s="21"/>
      <c r="Q159" s="21"/>
    </row>
    <row r="160" spans="1:17" ht="21.75" customHeight="1" x14ac:dyDescent="0.6">
      <c r="A160" s="19"/>
      <c r="B160" s="20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21"/>
      <c r="P160" s="21"/>
      <c r="Q160" s="21"/>
    </row>
    <row r="161" spans="1:17" ht="21.75" customHeight="1" x14ac:dyDescent="0.6">
      <c r="A161" s="19"/>
      <c r="B161" s="20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21"/>
      <c r="P161" s="21"/>
      <c r="Q161" s="21"/>
    </row>
    <row r="162" spans="1:17" ht="21.75" customHeight="1" x14ac:dyDescent="0.6">
      <c r="A162" s="19"/>
      <c r="B162" s="20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21"/>
      <c r="P162" s="21"/>
      <c r="Q162" s="21"/>
    </row>
    <row r="163" spans="1:17" ht="21.75" customHeight="1" x14ac:dyDescent="0.6">
      <c r="A163" s="19"/>
      <c r="B163" s="20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21"/>
      <c r="P163" s="21"/>
      <c r="Q163" s="21"/>
    </row>
    <row r="164" spans="1:17" ht="21.75" customHeight="1" x14ac:dyDescent="0.6">
      <c r="A164" s="19"/>
      <c r="B164" s="20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21"/>
      <c r="P164" s="21"/>
      <c r="Q164" s="21"/>
    </row>
    <row r="165" spans="1:17" ht="21.75" customHeight="1" x14ac:dyDescent="0.6">
      <c r="A165" s="19"/>
      <c r="B165" s="20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21"/>
      <c r="P165" s="21"/>
      <c r="Q165" s="21"/>
    </row>
    <row r="166" spans="1:17" ht="21.75" customHeight="1" x14ac:dyDescent="0.6">
      <c r="A166" s="19"/>
      <c r="B166" s="20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21"/>
      <c r="P166" s="21"/>
      <c r="Q166" s="21"/>
    </row>
    <row r="167" spans="1:17" ht="21.75" customHeight="1" x14ac:dyDescent="0.6">
      <c r="A167" s="19"/>
      <c r="B167" s="20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21"/>
      <c r="P167" s="21"/>
      <c r="Q167" s="21"/>
    </row>
    <row r="168" spans="1:17" ht="21.75" customHeight="1" x14ac:dyDescent="0.6">
      <c r="A168" s="19"/>
      <c r="B168" s="20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21"/>
      <c r="P168" s="21"/>
      <c r="Q168" s="21"/>
    </row>
    <row r="169" spans="1:17" ht="21.75" customHeight="1" x14ac:dyDescent="0.6">
      <c r="A169" s="19"/>
      <c r="B169" s="20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21"/>
      <c r="P169" s="21"/>
      <c r="Q169" s="21"/>
    </row>
    <row r="170" spans="1:17" ht="21.75" customHeight="1" x14ac:dyDescent="0.6">
      <c r="A170" s="19"/>
      <c r="B170" s="20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21"/>
      <c r="P170" s="21"/>
      <c r="Q170" s="21"/>
    </row>
    <row r="171" spans="1:17" ht="21.75" customHeight="1" x14ac:dyDescent="0.6">
      <c r="A171" s="19"/>
      <c r="B171" s="20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21"/>
      <c r="P171" s="21"/>
      <c r="Q171" s="21"/>
    </row>
    <row r="172" spans="1:17" ht="21.75" customHeight="1" x14ac:dyDescent="0.6">
      <c r="A172" s="19"/>
      <c r="B172" s="20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21"/>
      <c r="P172" s="21"/>
      <c r="Q172" s="21"/>
    </row>
    <row r="173" spans="1:17" ht="21.75" customHeight="1" x14ac:dyDescent="0.6">
      <c r="A173" s="19"/>
      <c r="B173" s="20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21"/>
      <c r="P173" s="21"/>
      <c r="Q173" s="21"/>
    </row>
    <row r="174" spans="1:17" ht="21.75" customHeight="1" x14ac:dyDescent="0.6">
      <c r="A174" s="19"/>
      <c r="B174" s="20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21"/>
      <c r="P174" s="21"/>
      <c r="Q174" s="21"/>
    </row>
    <row r="175" spans="1:17" ht="21.75" customHeight="1" x14ac:dyDescent="0.6">
      <c r="A175" s="19"/>
      <c r="B175" s="20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21"/>
      <c r="P175" s="21"/>
      <c r="Q175" s="21"/>
    </row>
    <row r="176" spans="1:17" ht="21.75" customHeight="1" x14ac:dyDescent="0.6">
      <c r="A176" s="19"/>
      <c r="B176" s="20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21"/>
      <c r="P176" s="21"/>
      <c r="Q176" s="21"/>
    </row>
    <row r="177" spans="1:17" ht="21.75" customHeight="1" x14ac:dyDescent="0.6">
      <c r="A177" s="19"/>
      <c r="B177" s="20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21"/>
      <c r="P177" s="21"/>
      <c r="Q177" s="21"/>
    </row>
    <row r="178" spans="1:17" ht="21.75" customHeight="1" x14ac:dyDescent="0.6">
      <c r="A178" s="19"/>
      <c r="B178" s="20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21"/>
      <c r="P178" s="21"/>
      <c r="Q178" s="21"/>
    </row>
    <row r="179" spans="1:17" ht="21.75" customHeight="1" x14ac:dyDescent="0.6">
      <c r="A179" s="19"/>
      <c r="B179" s="20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21"/>
      <c r="P179" s="21"/>
      <c r="Q179" s="21"/>
    </row>
    <row r="180" spans="1:17" ht="21.75" customHeight="1" x14ac:dyDescent="0.6">
      <c r="A180" s="19"/>
      <c r="B180" s="20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21"/>
      <c r="P180" s="21"/>
      <c r="Q180" s="21"/>
    </row>
    <row r="181" spans="1:17" ht="21.75" customHeight="1" x14ac:dyDescent="0.6">
      <c r="A181" s="19"/>
      <c r="B181" s="20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21"/>
      <c r="P181" s="21"/>
      <c r="Q181" s="21"/>
    </row>
    <row r="182" spans="1:17" ht="21.75" customHeight="1" x14ac:dyDescent="0.6">
      <c r="A182" s="19"/>
      <c r="B182" s="20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21"/>
      <c r="P182" s="21"/>
      <c r="Q182" s="21"/>
    </row>
    <row r="183" spans="1:17" ht="21.75" customHeight="1" x14ac:dyDescent="0.6">
      <c r="A183" s="19"/>
      <c r="B183" s="20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21"/>
      <c r="P183" s="21"/>
      <c r="Q183" s="21"/>
    </row>
    <row r="184" spans="1:17" ht="21.75" customHeight="1" x14ac:dyDescent="0.6">
      <c r="A184" s="19"/>
      <c r="B184" s="20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21"/>
      <c r="P184" s="21"/>
      <c r="Q184" s="21"/>
    </row>
    <row r="185" spans="1:17" ht="21.75" customHeight="1" x14ac:dyDescent="0.6">
      <c r="A185" s="19"/>
      <c r="B185" s="20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21"/>
      <c r="P185" s="21"/>
      <c r="Q185" s="21"/>
    </row>
    <row r="186" spans="1:17" ht="21.75" customHeight="1" x14ac:dyDescent="0.6">
      <c r="A186" s="19"/>
      <c r="B186" s="20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21"/>
      <c r="P186" s="21"/>
      <c r="Q186" s="21"/>
    </row>
    <row r="187" spans="1:17" ht="21.75" customHeight="1" x14ac:dyDescent="0.6">
      <c r="A187" s="19"/>
      <c r="B187" s="20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21"/>
      <c r="P187" s="21"/>
      <c r="Q187" s="21"/>
    </row>
    <row r="188" spans="1:17" ht="21.75" customHeight="1" x14ac:dyDescent="0.6">
      <c r="A188" s="19"/>
      <c r="B188" s="20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21"/>
      <c r="P188" s="21"/>
      <c r="Q188" s="21"/>
    </row>
    <row r="189" spans="1:17" ht="21.75" customHeight="1" x14ac:dyDescent="0.6">
      <c r="A189" s="19"/>
      <c r="B189" s="20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21"/>
      <c r="P189" s="21"/>
      <c r="Q189" s="21"/>
    </row>
    <row r="190" spans="1:17" ht="21.75" customHeight="1" x14ac:dyDescent="0.6">
      <c r="A190" s="19"/>
      <c r="B190" s="20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21"/>
      <c r="P190" s="21"/>
      <c r="Q190" s="21"/>
    </row>
    <row r="191" spans="1:17" ht="21.75" customHeight="1" x14ac:dyDescent="0.6">
      <c r="A191" s="19"/>
      <c r="B191" s="20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21"/>
      <c r="P191" s="21"/>
      <c r="Q191" s="21"/>
    </row>
    <row r="192" spans="1:17" ht="21.75" customHeight="1" x14ac:dyDescent="0.6">
      <c r="A192" s="19"/>
      <c r="B192" s="20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21"/>
      <c r="P192" s="21"/>
      <c r="Q192" s="21"/>
    </row>
    <row r="193" spans="1:17" ht="21.75" customHeight="1" x14ac:dyDescent="0.6">
      <c r="A193" s="19"/>
      <c r="B193" s="20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21"/>
      <c r="P193" s="21"/>
      <c r="Q193" s="21"/>
    </row>
    <row r="194" spans="1:17" ht="21.75" customHeight="1" x14ac:dyDescent="0.6">
      <c r="A194" s="19"/>
      <c r="B194" s="20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21"/>
      <c r="P194" s="21"/>
      <c r="Q194" s="21"/>
    </row>
    <row r="195" spans="1:17" ht="21.75" customHeight="1" x14ac:dyDescent="0.6">
      <c r="A195" s="19"/>
      <c r="B195" s="20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21"/>
      <c r="P195" s="21"/>
      <c r="Q195" s="21"/>
    </row>
    <row r="196" spans="1:17" ht="21.75" customHeight="1" x14ac:dyDescent="0.6">
      <c r="A196" s="19"/>
      <c r="B196" s="20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21"/>
      <c r="P196" s="21"/>
      <c r="Q196" s="21"/>
    </row>
    <row r="197" spans="1:17" ht="21.75" customHeight="1" x14ac:dyDescent="0.6">
      <c r="A197" s="19"/>
      <c r="B197" s="20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21"/>
      <c r="P197" s="21"/>
      <c r="Q197" s="21"/>
    </row>
    <row r="198" spans="1:17" ht="21.75" customHeight="1" x14ac:dyDescent="0.6">
      <c r="A198" s="19"/>
      <c r="B198" s="20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21"/>
      <c r="P198" s="21"/>
      <c r="Q198" s="21"/>
    </row>
    <row r="199" spans="1:17" ht="21.75" customHeight="1" x14ac:dyDescent="0.6">
      <c r="A199" s="19"/>
      <c r="B199" s="20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21"/>
      <c r="P199" s="21"/>
      <c r="Q199" s="21"/>
    </row>
    <row r="200" spans="1:17" ht="21.75" customHeight="1" x14ac:dyDescent="0.6">
      <c r="A200" s="19"/>
      <c r="B200" s="20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21"/>
      <c r="P200" s="21"/>
      <c r="Q200" s="21"/>
    </row>
    <row r="201" spans="1:17" ht="21.75" customHeight="1" x14ac:dyDescent="0.6">
      <c r="A201" s="19"/>
      <c r="B201" s="20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21"/>
      <c r="P201" s="21"/>
      <c r="Q201" s="21"/>
    </row>
    <row r="202" spans="1:17" ht="21.75" customHeight="1" x14ac:dyDescent="0.6">
      <c r="A202" s="19"/>
      <c r="B202" s="20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21"/>
      <c r="P202" s="21"/>
      <c r="Q202" s="21"/>
    </row>
    <row r="203" spans="1:17" ht="21.75" customHeight="1" x14ac:dyDescent="0.6">
      <c r="A203" s="19"/>
      <c r="B203" s="20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21"/>
      <c r="P203" s="21"/>
      <c r="Q203" s="21"/>
    </row>
    <row r="204" spans="1:17" ht="21.75" customHeight="1" x14ac:dyDescent="0.6">
      <c r="A204" s="19"/>
      <c r="B204" s="20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21"/>
      <c r="P204" s="21"/>
      <c r="Q204" s="21"/>
    </row>
    <row r="205" spans="1:17" ht="21.75" customHeight="1" x14ac:dyDescent="0.6">
      <c r="A205" s="19"/>
      <c r="B205" s="20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21"/>
      <c r="P205" s="21"/>
      <c r="Q205" s="21"/>
    </row>
    <row r="206" spans="1:17" ht="21.75" customHeight="1" x14ac:dyDescent="0.6">
      <c r="A206" s="19"/>
      <c r="F206" s="19"/>
      <c r="G206" s="19"/>
      <c r="H206" s="19"/>
      <c r="I206" s="19"/>
      <c r="J206" s="19"/>
      <c r="K206" s="19"/>
      <c r="L206" s="19"/>
      <c r="M206" s="19"/>
      <c r="N206" s="19"/>
      <c r="O206" s="21"/>
      <c r="P206" s="21"/>
      <c r="Q206" s="21"/>
    </row>
    <row r="207" spans="1:17" ht="21.75" customHeight="1" x14ac:dyDescent="0.6">
      <c r="A207" s="19"/>
      <c r="F207" s="19"/>
      <c r="G207" s="19"/>
      <c r="H207" s="19"/>
      <c r="I207" s="19"/>
      <c r="J207" s="19"/>
      <c r="K207" s="19"/>
      <c r="L207" s="19"/>
      <c r="M207" s="19"/>
      <c r="N207" s="19"/>
      <c r="O207" s="21"/>
      <c r="P207" s="21"/>
      <c r="Q207" s="21"/>
    </row>
    <row r="208" spans="1:17" ht="21.75" customHeight="1" x14ac:dyDescent="0.6">
      <c r="A208" s="19"/>
      <c r="F208" s="19"/>
      <c r="G208" s="19"/>
      <c r="H208" s="19"/>
      <c r="I208" s="19"/>
      <c r="J208" s="19"/>
      <c r="K208" s="19"/>
      <c r="L208" s="19"/>
      <c r="M208" s="19"/>
      <c r="N208" s="19"/>
      <c r="O208" s="21"/>
      <c r="P208" s="21"/>
      <c r="Q208" s="21"/>
    </row>
    <row r="209" spans="1:17" ht="21.75" customHeight="1" x14ac:dyDescent="0.6">
      <c r="A209" s="19"/>
      <c r="F209" s="19"/>
      <c r="G209" s="19"/>
      <c r="H209" s="19"/>
      <c r="I209" s="19"/>
      <c r="J209" s="19"/>
      <c r="K209" s="19"/>
      <c r="L209" s="19"/>
      <c r="M209" s="19"/>
      <c r="N209" s="19"/>
      <c r="O209" s="21"/>
      <c r="P209" s="21"/>
      <c r="Q209" s="21"/>
    </row>
    <row r="210" spans="1:17" ht="21.75" customHeight="1" x14ac:dyDescent="0.6">
      <c r="A210" s="19"/>
      <c r="F210" s="19"/>
      <c r="G210" s="19"/>
      <c r="H210" s="19"/>
      <c r="I210" s="19"/>
      <c r="J210" s="19"/>
      <c r="K210" s="19"/>
      <c r="L210" s="19"/>
      <c r="M210" s="19"/>
      <c r="N210" s="19"/>
      <c r="O210" s="21"/>
      <c r="P210" s="21"/>
      <c r="Q210" s="21"/>
    </row>
    <row r="211" spans="1:17" ht="21.75" customHeight="1" x14ac:dyDescent="0.6">
      <c r="A211" s="19"/>
      <c r="F211" s="19"/>
      <c r="G211" s="19"/>
      <c r="H211" s="19"/>
      <c r="I211" s="19"/>
      <c r="J211" s="19"/>
      <c r="K211" s="19"/>
      <c r="L211" s="19"/>
      <c r="M211" s="19"/>
      <c r="N211" s="19"/>
      <c r="O211" s="21"/>
      <c r="P211" s="21"/>
      <c r="Q211" s="21"/>
    </row>
    <row r="212" spans="1:17" ht="21.75" customHeight="1" x14ac:dyDescent="0.6">
      <c r="A212" s="19"/>
      <c r="F212" s="19"/>
      <c r="G212" s="19"/>
      <c r="H212" s="19"/>
      <c r="I212" s="19"/>
      <c r="J212" s="19"/>
      <c r="K212" s="19"/>
      <c r="L212" s="19"/>
      <c r="M212" s="19"/>
      <c r="N212" s="19"/>
      <c r="O212" s="21"/>
      <c r="P212" s="21"/>
      <c r="Q212" s="21"/>
    </row>
    <row r="213" spans="1:17" ht="21.75" customHeight="1" x14ac:dyDescent="0.6">
      <c r="A213" s="19"/>
      <c r="F213" s="19"/>
      <c r="G213" s="19"/>
      <c r="H213" s="19"/>
      <c r="I213" s="19"/>
      <c r="J213" s="19"/>
      <c r="K213" s="19"/>
      <c r="L213" s="19"/>
      <c r="M213" s="19"/>
      <c r="N213" s="19"/>
      <c r="O213" s="21"/>
      <c r="P213" s="21"/>
      <c r="Q213" s="21"/>
    </row>
    <row r="214" spans="1:17" ht="21.75" customHeight="1" x14ac:dyDescent="0.6">
      <c r="A214" s="19"/>
      <c r="F214" s="19"/>
      <c r="G214" s="19"/>
      <c r="H214" s="19"/>
      <c r="I214" s="19"/>
      <c r="J214" s="19"/>
      <c r="K214" s="19"/>
      <c r="L214" s="19"/>
      <c r="M214" s="19"/>
      <c r="N214" s="19"/>
      <c r="O214" s="21"/>
      <c r="P214" s="21"/>
      <c r="Q214" s="21"/>
    </row>
    <row r="215" spans="1:17" ht="21.75" customHeight="1" x14ac:dyDescent="0.6">
      <c r="A215" s="19"/>
      <c r="F215" s="19"/>
      <c r="G215" s="19"/>
      <c r="H215" s="19"/>
      <c r="I215" s="19"/>
      <c r="J215" s="19"/>
      <c r="K215" s="19"/>
      <c r="L215" s="19"/>
      <c r="M215" s="19"/>
      <c r="N215" s="19"/>
      <c r="O215" s="21"/>
      <c r="P215" s="21"/>
      <c r="Q215" s="21"/>
    </row>
    <row r="216" spans="1:17" ht="21.75" customHeight="1" x14ac:dyDescent="0.6">
      <c r="A216" s="19"/>
      <c r="F216" s="19"/>
      <c r="G216" s="19"/>
      <c r="H216" s="19"/>
      <c r="I216" s="19"/>
      <c r="J216" s="19"/>
      <c r="K216" s="19"/>
      <c r="L216" s="19"/>
      <c r="M216" s="19"/>
      <c r="N216" s="19"/>
      <c r="O216" s="21"/>
      <c r="P216" s="21"/>
      <c r="Q216" s="21"/>
    </row>
    <row r="217" spans="1:17" ht="21.75" customHeight="1" x14ac:dyDescent="0.6">
      <c r="A217" s="19"/>
      <c r="F217" s="19"/>
      <c r="G217" s="19"/>
      <c r="H217" s="19"/>
      <c r="I217" s="19"/>
      <c r="J217" s="19"/>
      <c r="K217" s="19"/>
      <c r="L217" s="19"/>
      <c r="M217" s="19"/>
      <c r="N217" s="19"/>
      <c r="O217" s="21"/>
      <c r="P217" s="21"/>
      <c r="Q217" s="21"/>
    </row>
    <row r="218" spans="1:17" ht="21.75" customHeight="1" x14ac:dyDescent="0.6">
      <c r="A218" s="19"/>
      <c r="F218" s="19"/>
      <c r="G218" s="19"/>
      <c r="H218" s="19"/>
      <c r="I218" s="19"/>
      <c r="J218" s="19"/>
      <c r="K218" s="19"/>
      <c r="L218" s="19"/>
      <c r="M218" s="19"/>
      <c r="N218" s="19"/>
      <c r="O218" s="21"/>
      <c r="P218" s="21"/>
      <c r="Q218" s="21"/>
    </row>
    <row r="219" spans="1:17" ht="21.75" customHeight="1" x14ac:dyDescent="0.6">
      <c r="A219" s="19"/>
      <c r="F219" s="19"/>
      <c r="G219" s="19"/>
      <c r="H219" s="19"/>
      <c r="I219" s="19"/>
      <c r="J219" s="19"/>
      <c r="K219" s="19"/>
      <c r="L219" s="19"/>
      <c r="M219" s="19"/>
      <c r="N219" s="19"/>
      <c r="O219" s="21"/>
      <c r="P219" s="21"/>
      <c r="Q219" s="21"/>
    </row>
    <row r="220" spans="1:17" ht="21.75" customHeight="1" x14ac:dyDescent="0.6">
      <c r="A220" s="19"/>
      <c r="F220" s="19"/>
      <c r="G220" s="19"/>
      <c r="H220" s="19"/>
      <c r="I220" s="19"/>
      <c r="J220" s="19"/>
      <c r="K220" s="19"/>
      <c r="L220" s="19"/>
      <c r="M220" s="19"/>
      <c r="N220" s="19"/>
      <c r="O220" s="21"/>
      <c r="P220" s="21"/>
      <c r="Q220" s="21"/>
    </row>
    <row r="221" spans="1:17" ht="21.75" customHeight="1" x14ac:dyDescent="0.6">
      <c r="A221" s="19"/>
      <c r="F221" s="19"/>
      <c r="G221" s="19"/>
      <c r="H221" s="19"/>
      <c r="I221" s="19"/>
      <c r="J221" s="19"/>
      <c r="K221" s="19"/>
      <c r="L221" s="19"/>
      <c r="M221" s="19"/>
      <c r="N221" s="19"/>
      <c r="O221" s="21"/>
      <c r="P221" s="21"/>
      <c r="Q221" s="21"/>
    </row>
    <row r="222" spans="1:17" ht="15.75" customHeight="1" x14ac:dyDescent="0.6">
      <c r="G222" s="19"/>
      <c r="H222" s="19"/>
      <c r="I222" s="19"/>
      <c r="J222" s="19"/>
      <c r="K222" s="19"/>
      <c r="L222" s="19"/>
      <c r="M222" s="19"/>
      <c r="N222" s="19"/>
      <c r="O222" s="21"/>
      <c r="P222" s="21"/>
      <c r="Q222" s="21"/>
    </row>
    <row r="223" spans="1:17" ht="15.75" customHeight="1" x14ac:dyDescent="0.6">
      <c r="G223" s="19"/>
      <c r="H223" s="19"/>
      <c r="I223" s="19"/>
      <c r="J223" s="19"/>
      <c r="K223" s="19"/>
      <c r="L223" s="19"/>
      <c r="M223" s="19"/>
      <c r="N223" s="19"/>
      <c r="O223" s="21"/>
      <c r="P223" s="21"/>
      <c r="Q223" s="21"/>
    </row>
    <row r="224" spans="1:17" ht="15.75" customHeight="1" x14ac:dyDescent="0.6">
      <c r="G224" s="19"/>
      <c r="H224" s="19"/>
      <c r="I224" s="19"/>
      <c r="J224" s="19"/>
      <c r="K224" s="19"/>
      <c r="L224" s="19"/>
      <c r="M224" s="19"/>
      <c r="N224" s="19"/>
      <c r="O224" s="21"/>
      <c r="P224" s="21"/>
      <c r="Q224" s="21"/>
    </row>
    <row r="225" spans="7:17" ht="15.75" customHeight="1" x14ac:dyDescent="0.6">
      <c r="G225" s="19"/>
      <c r="H225" s="19"/>
      <c r="I225" s="19"/>
      <c r="J225" s="19"/>
      <c r="K225" s="19"/>
      <c r="L225" s="19"/>
      <c r="M225" s="19"/>
      <c r="N225" s="19"/>
      <c r="O225" s="21"/>
      <c r="P225" s="21"/>
      <c r="Q225" s="21"/>
    </row>
    <row r="226" spans="7:17" ht="15.75" customHeight="1" x14ac:dyDescent="0.6">
      <c r="G226" s="19"/>
      <c r="H226" s="19"/>
      <c r="I226" s="19"/>
      <c r="J226" s="19"/>
      <c r="K226" s="19"/>
      <c r="L226" s="19"/>
      <c r="M226" s="19"/>
      <c r="N226" s="19"/>
      <c r="O226" s="21"/>
      <c r="P226" s="21"/>
      <c r="Q226" s="21"/>
    </row>
    <row r="227" spans="7:17" ht="15.75" customHeight="1" x14ac:dyDescent="0.6">
      <c r="G227" s="19"/>
      <c r="H227" s="19"/>
      <c r="I227" s="19"/>
      <c r="J227" s="19"/>
      <c r="K227" s="19"/>
      <c r="L227" s="19"/>
      <c r="M227" s="19"/>
      <c r="N227" s="19"/>
      <c r="O227" s="21"/>
      <c r="P227" s="21"/>
      <c r="Q227" s="21"/>
    </row>
    <row r="228" spans="7:17" ht="15.75" customHeight="1" x14ac:dyDescent="0.6">
      <c r="G228" s="19"/>
      <c r="H228" s="19"/>
      <c r="I228" s="19"/>
      <c r="J228" s="19"/>
      <c r="K228" s="19"/>
      <c r="L228" s="19"/>
      <c r="M228" s="19"/>
      <c r="N228" s="19"/>
      <c r="O228" s="21"/>
      <c r="P228" s="21"/>
      <c r="Q228" s="21"/>
    </row>
    <row r="229" spans="7:17" ht="15.75" customHeight="1" x14ac:dyDescent="0.6">
      <c r="G229" s="19"/>
      <c r="H229" s="19"/>
      <c r="I229" s="19"/>
      <c r="J229" s="19"/>
      <c r="K229" s="19"/>
      <c r="L229" s="19"/>
      <c r="M229" s="19"/>
      <c r="N229" s="19"/>
      <c r="O229" s="21"/>
      <c r="P229" s="21"/>
      <c r="Q229" s="21"/>
    </row>
    <row r="230" spans="7:17" ht="15.75" customHeight="1" x14ac:dyDescent="0.25"/>
    <row r="231" spans="7:17" ht="15.75" customHeight="1" x14ac:dyDescent="0.25"/>
    <row r="232" spans="7:17" ht="15.75" customHeight="1" x14ac:dyDescent="0.25"/>
    <row r="233" spans="7:17" ht="15.75" customHeight="1" x14ac:dyDescent="0.25"/>
    <row r="234" spans="7:17" ht="15.75" customHeight="1" x14ac:dyDescent="0.25"/>
    <row r="235" spans="7:17" ht="15.75" customHeight="1" x14ac:dyDescent="0.25"/>
    <row r="236" spans="7:17" ht="15.75" customHeight="1" x14ac:dyDescent="0.25"/>
    <row r="237" spans="7:17" ht="15.75" customHeight="1" x14ac:dyDescent="0.25"/>
    <row r="238" spans="7:17" ht="15.75" customHeight="1" x14ac:dyDescent="0.25"/>
    <row r="239" spans="7:17" ht="15.75" customHeight="1" x14ac:dyDescent="0.25"/>
    <row r="240" spans="7:17" ht="15.75" customHeight="1" x14ac:dyDescent="0.25"/>
    <row r="241" customFormat="1" ht="15.75" customHeight="1" x14ac:dyDescent="0.25"/>
    <row r="242" customFormat="1" ht="15.75" customHeight="1" x14ac:dyDescent="0.25"/>
    <row r="243" customFormat="1" ht="15.75" customHeight="1" x14ac:dyDescent="0.25"/>
    <row r="244" customFormat="1" ht="15.75" customHeight="1" x14ac:dyDescent="0.25"/>
    <row r="245" customFormat="1" ht="15.75" customHeight="1" x14ac:dyDescent="0.25"/>
    <row r="246" customFormat="1" ht="15.75" customHeight="1" x14ac:dyDescent="0.25"/>
    <row r="247" customFormat="1" ht="15.75" customHeight="1" x14ac:dyDescent="0.25"/>
    <row r="248" customFormat="1" ht="15.75" customHeight="1" x14ac:dyDescent="0.25"/>
    <row r="249" customFormat="1" ht="15.75" customHeight="1" x14ac:dyDescent="0.25"/>
    <row r="250" customFormat="1" ht="15.75" customHeight="1" x14ac:dyDescent="0.25"/>
    <row r="251" customFormat="1" ht="15.75" customHeight="1" x14ac:dyDescent="0.25"/>
    <row r="252" customFormat="1" ht="15.75" customHeight="1" x14ac:dyDescent="0.25"/>
    <row r="253" customFormat="1" ht="15.75" customHeight="1" x14ac:dyDescent="0.25"/>
    <row r="254" customFormat="1" ht="15.75" customHeight="1" x14ac:dyDescent="0.25"/>
    <row r="255" customFormat="1" ht="15.75" customHeight="1" x14ac:dyDescent="0.25"/>
    <row r="256" customFormat="1" ht="15.75" customHeight="1" x14ac:dyDescent="0.25"/>
    <row r="257" customFormat="1" ht="15.75" customHeight="1" x14ac:dyDescent="0.25"/>
    <row r="258" customFormat="1" ht="15.75" customHeight="1" x14ac:dyDescent="0.25"/>
    <row r="259" customFormat="1" ht="15.75" customHeight="1" x14ac:dyDescent="0.25"/>
    <row r="260" customFormat="1" ht="15.75" customHeight="1" x14ac:dyDescent="0.25"/>
    <row r="261" customFormat="1" ht="15.75" customHeight="1" x14ac:dyDescent="0.25"/>
    <row r="262" customFormat="1" ht="15.75" customHeight="1" x14ac:dyDescent="0.25"/>
    <row r="263" customFormat="1" ht="15.75" customHeight="1" x14ac:dyDescent="0.25"/>
    <row r="264" customFormat="1" ht="15.75" customHeight="1" x14ac:dyDescent="0.25"/>
    <row r="265" customFormat="1" ht="15.75" customHeight="1" x14ac:dyDescent="0.25"/>
    <row r="266" customFormat="1" ht="15.75" customHeight="1" x14ac:dyDescent="0.25"/>
    <row r="267" customFormat="1" ht="15.75" customHeight="1" x14ac:dyDescent="0.25"/>
    <row r="268" customFormat="1" ht="15.75" customHeight="1" x14ac:dyDescent="0.25"/>
    <row r="269" customFormat="1" ht="15.75" customHeight="1" x14ac:dyDescent="0.25"/>
    <row r="270" customFormat="1" ht="15.75" customHeight="1" x14ac:dyDescent="0.25"/>
    <row r="271" customFormat="1" ht="15.75" customHeight="1" x14ac:dyDescent="0.25"/>
    <row r="272" customFormat="1" ht="15.75" customHeight="1" x14ac:dyDescent="0.25"/>
    <row r="273" customFormat="1" ht="15.75" customHeight="1" x14ac:dyDescent="0.25"/>
    <row r="274" customFormat="1" ht="15.75" customHeight="1" x14ac:dyDescent="0.25"/>
    <row r="275" customFormat="1" ht="15.75" customHeight="1" x14ac:dyDescent="0.25"/>
    <row r="276" customFormat="1" ht="15.75" customHeight="1" x14ac:dyDescent="0.25"/>
    <row r="277" customFormat="1" ht="15.75" customHeight="1" x14ac:dyDescent="0.25"/>
    <row r="278" customFormat="1" ht="15.75" customHeight="1" x14ac:dyDescent="0.25"/>
    <row r="279" customFormat="1" ht="15.75" customHeight="1" x14ac:dyDescent="0.25"/>
    <row r="280" customFormat="1" ht="15.75" customHeight="1" x14ac:dyDescent="0.25"/>
    <row r="281" customFormat="1" ht="15.75" customHeight="1" x14ac:dyDescent="0.25"/>
    <row r="282" customFormat="1" ht="15.75" customHeight="1" x14ac:dyDescent="0.25"/>
    <row r="283" customFormat="1" ht="15.75" customHeight="1" x14ac:dyDescent="0.25"/>
    <row r="284" customFormat="1" ht="15.75" customHeight="1" x14ac:dyDescent="0.25"/>
    <row r="285" customFormat="1" ht="15.75" customHeight="1" x14ac:dyDescent="0.25"/>
    <row r="286" customFormat="1" ht="15.75" customHeight="1" x14ac:dyDescent="0.25"/>
    <row r="287" customFormat="1" ht="15.75" customHeight="1" x14ac:dyDescent="0.25"/>
    <row r="288" customFormat="1" ht="15.75" customHeight="1" x14ac:dyDescent="0.25"/>
    <row r="289" customFormat="1" ht="15.75" customHeight="1" x14ac:dyDescent="0.25"/>
    <row r="290" customFormat="1" ht="15.75" customHeight="1" x14ac:dyDescent="0.25"/>
    <row r="291" customFormat="1" ht="15.75" customHeight="1" x14ac:dyDescent="0.25"/>
    <row r="292" customFormat="1" ht="15.75" customHeight="1" x14ac:dyDescent="0.25"/>
    <row r="293" customFormat="1" ht="15.75" customHeight="1" x14ac:dyDescent="0.25"/>
    <row r="294" customFormat="1" ht="15.75" customHeight="1" x14ac:dyDescent="0.25"/>
    <row r="295" customFormat="1" ht="15.75" customHeight="1" x14ac:dyDescent="0.25"/>
    <row r="296" customFormat="1" ht="15.75" customHeight="1" x14ac:dyDescent="0.25"/>
    <row r="297" customFormat="1" ht="15.75" customHeight="1" x14ac:dyDescent="0.25"/>
    <row r="298" customFormat="1" ht="15.75" customHeight="1" x14ac:dyDescent="0.25"/>
    <row r="299" customFormat="1" ht="15.75" customHeight="1" x14ac:dyDescent="0.25"/>
    <row r="300" customFormat="1" ht="15.75" customHeight="1" x14ac:dyDescent="0.25"/>
    <row r="301" customFormat="1" ht="15.75" customHeight="1" x14ac:dyDescent="0.25"/>
    <row r="302" customFormat="1" ht="15.75" customHeight="1" x14ac:dyDescent="0.25"/>
    <row r="303" customFormat="1" ht="15.75" customHeight="1" x14ac:dyDescent="0.25"/>
    <row r="304" customFormat="1" ht="15.75" customHeight="1" x14ac:dyDescent="0.25"/>
    <row r="305" customFormat="1" ht="15.75" customHeight="1" x14ac:dyDescent="0.25"/>
    <row r="306" customFormat="1" ht="15.75" customHeight="1" x14ac:dyDescent="0.25"/>
    <row r="307" customFormat="1" ht="15.75" customHeight="1" x14ac:dyDescent="0.25"/>
    <row r="308" customFormat="1" ht="15.75" customHeight="1" x14ac:dyDescent="0.25"/>
    <row r="309" customFormat="1" ht="15.75" customHeight="1" x14ac:dyDescent="0.25"/>
    <row r="310" customFormat="1" ht="15.75" customHeight="1" x14ac:dyDescent="0.25"/>
    <row r="311" customFormat="1" ht="15.75" customHeight="1" x14ac:dyDescent="0.25"/>
    <row r="312" customFormat="1" ht="15.75" customHeight="1" x14ac:dyDescent="0.25"/>
    <row r="313" customFormat="1" ht="15.75" customHeight="1" x14ac:dyDescent="0.25"/>
    <row r="314" customFormat="1" ht="15.75" customHeight="1" x14ac:dyDescent="0.25"/>
    <row r="315" customFormat="1" ht="15.75" customHeight="1" x14ac:dyDescent="0.25"/>
    <row r="316" customFormat="1" ht="15.75" customHeight="1" x14ac:dyDescent="0.25"/>
    <row r="317" customFormat="1" ht="15.75" customHeight="1" x14ac:dyDescent="0.25"/>
    <row r="318" customFormat="1" ht="15.75" customHeight="1" x14ac:dyDescent="0.25"/>
    <row r="319" customFormat="1" ht="15.75" customHeight="1" x14ac:dyDescent="0.25"/>
    <row r="320" customFormat="1" ht="15.75" customHeight="1" x14ac:dyDescent="0.25"/>
    <row r="321" customFormat="1" ht="15.75" customHeight="1" x14ac:dyDescent="0.25"/>
    <row r="322" customFormat="1" ht="15.75" customHeight="1" x14ac:dyDescent="0.25"/>
    <row r="323" customFormat="1" ht="15.75" customHeight="1" x14ac:dyDescent="0.25"/>
    <row r="324" customFormat="1" ht="15.75" customHeight="1" x14ac:dyDescent="0.25"/>
    <row r="325" customFormat="1" ht="15.75" customHeight="1" x14ac:dyDescent="0.25"/>
    <row r="326" customFormat="1" ht="15.75" customHeight="1" x14ac:dyDescent="0.25"/>
    <row r="327" customFormat="1" ht="15.75" customHeight="1" x14ac:dyDescent="0.25"/>
    <row r="328" customFormat="1" ht="15.75" customHeight="1" x14ac:dyDescent="0.25"/>
    <row r="329" customFormat="1" ht="15.75" customHeight="1" x14ac:dyDescent="0.25"/>
    <row r="330" customFormat="1" ht="15.75" customHeight="1" x14ac:dyDescent="0.25"/>
    <row r="331" customFormat="1" ht="15.75" customHeight="1" x14ac:dyDescent="0.25"/>
    <row r="332" customFormat="1" ht="15.75" customHeight="1" x14ac:dyDescent="0.25"/>
    <row r="333" customFormat="1" ht="15.75" customHeight="1" x14ac:dyDescent="0.25"/>
    <row r="334" customFormat="1" ht="15.75" customHeight="1" x14ac:dyDescent="0.25"/>
    <row r="335" customFormat="1" ht="15.75" customHeight="1" x14ac:dyDescent="0.25"/>
    <row r="336" customFormat="1" ht="15.75" customHeight="1" x14ac:dyDescent="0.25"/>
    <row r="337" customFormat="1" ht="15.75" customHeight="1" x14ac:dyDescent="0.25"/>
    <row r="338" customFormat="1" ht="15.75" customHeight="1" x14ac:dyDescent="0.25"/>
    <row r="339" customFormat="1" ht="15.75" customHeight="1" x14ac:dyDescent="0.25"/>
    <row r="340" customFormat="1" ht="15.75" customHeight="1" x14ac:dyDescent="0.25"/>
    <row r="341" customFormat="1" ht="15.75" customHeight="1" x14ac:dyDescent="0.25"/>
    <row r="342" customFormat="1" ht="15.75" customHeight="1" x14ac:dyDescent="0.25"/>
    <row r="343" customFormat="1" ht="15.75" customHeight="1" x14ac:dyDescent="0.25"/>
    <row r="344" customFormat="1" ht="15.75" customHeight="1" x14ac:dyDescent="0.25"/>
    <row r="345" customFormat="1" ht="15.75" customHeight="1" x14ac:dyDescent="0.25"/>
    <row r="346" customFormat="1" ht="15.75" customHeight="1" x14ac:dyDescent="0.25"/>
    <row r="347" customFormat="1" ht="15.75" customHeight="1" x14ac:dyDescent="0.25"/>
    <row r="348" customFormat="1" ht="15.75" customHeight="1" x14ac:dyDescent="0.25"/>
    <row r="349" customFormat="1" ht="15.75" customHeight="1" x14ac:dyDescent="0.25"/>
    <row r="350" customFormat="1" ht="15.75" customHeight="1" x14ac:dyDescent="0.25"/>
    <row r="351" customFormat="1" ht="15.75" customHeight="1" x14ac:dyDescent="0.25"/>
    <row r="352" customFormat="1" ht="15.75" customHeight="1" x14ac:dyDescent="0.25"/>
    <row r="353" customFormat="1" ht="15.75" customHeight="1" x14ac:dyDescent="0.25"/>
    <row r="354" customFormat="1" ht="15.75" customHeight="1" x14ac:dyDescent="0.25"/>
    <row r="355" customFormat="1" ht="15.75" customHeight="1" x14ac:dyDescent="0.25"/>
    <row r="356" customFormat="1" ht="15.75" customHeight="1" x14ac:dyDescent="0.25"/>
    <row r="357" customFormat="1" ht="15.75" customHeight="1" x14ac:dyDescent="0.25"/>
    <row r="358" customFormat="1" ht="15.75" customHeight="1" x14ac:dyDescent="0.25"/>
    <row r="359" customFormat="1" ht="15.75" customHeight="1" x14ac:dyDescent="0.25"/>
    <row r="360" customFormat="1" ht="15.75" customHeight="1" x14ac:dyDescent="0.25"/>
    <row r="361" customFormat="1" ht="15.75" customHeight="1" x14ac:dyDescent="0.25"/>
    <row r="362" customFormat="1" ht="15.75" customHeight="1" x14ac:dyDescent="0.25"/>
    <row r="363" customFormat="1" ht="15.75" customHeight="1" x14ac:dyDescent="0.25"/>
    <row r="364" customFormat="1" ht="15.75" customHeight="1" x14ac:dyDescent="0.25"/>
    <row r="365" customFormat="1" ht="15.75" customHeight="1" x14ac:dyDescent="0.25"/>
    <row r="366" customFormat="1" ht="15.75" customHeight="1" x14ac:dyDescent="0.25"/>
    <row r="367" customFormat="1" ht="15.75" customHeight="1" x14ac:dyDescent="0.25"/>
    <row r="368" customFormat="1" ht="15.75" customHeight="1" x14ac:dyDescent="0.25"/>
    <row r="369" customFormat="1" ht="15.75" customHeight="1" x14ac:dyDescent="0.25"/>
    <row r="370" customFormat="1" ht="15.75" customHeight="1" x14ac:dyDescent="0.25"/>
    <row r="371" customFormat="1" ht="15.75" customHeight="1" x14ac:dyDescent="0.25"/>
    <row r="372" customFormat="1" ht="15.75" customHeight="1" x14ac:dyDescent="0.25"/>
    <row r="373" customFormat="1" ht="15.75" customHeight="1" x14ac:dyDescent="0.25"/>
    <row r="374" customFormat="1" ht="15.75" customHeight="1" x14ac:dyDescent="0.25"/>
    <row r="375" customFormat="1" ht="15.75" customHeight="1" x14ac:dyDescent="0.25"/>
    <row r="376" customFormat="1" ht="15.75" customHeight="1" x14ac:dyDescent="0.25"/>
    <row r="377" customFormat="1" ht="15.75" customHeight="1" x14ac:dyDescent="0.25"/>
    <row r="378" customFormat="1" ht="15.75" customHeight="1" x14ac:dyDescent="0.25"/>
    <row r="379" customFormat="1" ht="15.75" customHeight="1" x14ac:dyDescent="0.25"/>
    <row r="380" customFormat="1" ht="15.75" customHeight="1" x14ac:dyDescent="0.25"/>
    <row r="381" customFormat="1" ht="15.75" customHeight="1" x14ac:dyDescent="0.25"/>
    <row r="382" customFormat="1" ht="15.75" customHeight="1" x14ac:dyDescent="0.25"/>
    <row r="383" customFormat="1" ht="15.75" customHeight="1" x14ac:dyDescent="0.25"/>
    <row r="384" customFormat="1" ht="15.75" customHeight="1" x14ac:dyDescent="0.25"/>
    <row r="385" customFormat="1" ht="15.75" customHeight="1" x14ac:dyDescent="0.25"/>
    <row r="386" customFormat="1" ht="15.75" customHeight="1" x14ac:dyDescent="0.25"/>
    <row r="387" customFormat="1" ht="15.75" customHeight="1" x14ac:dyDescent="0.25"/>
    <row r="388" customFormat="1" ht="15.75" customHeight="1" x14ac:dyDescent="0.25"/>
    <row r="389" customFormat="1" ht="15.75" customHeight="1" x14ac:dyDescent="0.25"/>
    <row r="390" customFormat="1" ht="15.75" customHeight="1" x14ac:dyDescent="0.25"/>
    <row r="391" customFormat="1" ht="15.75" customHeight="1" x14ac:dyDescent="0.25"/>
    <row r="392" customFormat="1" ht="15.75" customHeight="1" x14ac:dyDescent="0.25"/>
    <row r="393" customFormat="1" ht="15.75" customHeight="1" x14ac:dyDescent="0.25"/>
    <row r="394" customFormat="1" ht="15.75" customHeight="1" x14ac:dyDescent="0.25"/>
    <row r="395" customFormat="1" ht="15.75" customHeight="1" x14ac:dyDescent="0.25"/>
    <row r="396" customFormat="1" ht="15.75" customHeight="1" x14ac:dyDescent="0.25"/>
    <row r="397" customFormat="1" ht="15.75" customHeight="1" x14ac:dyDescent="0.25"/>
    <row r="398" customFormat="1" ht="15.75" customHeight="1" x14ac:dyDescent="0.25"/>
    <row r="399" customFormat="1" ht="15.75" customHeight="1" x14ac:dyDescent="0.25"/>
    <row r="400" customFormat="1" ht="15.75" customHeight="1" x14ac:dyDescent="0.25"/>
    <row r="401" customFormat="1" ht="15.75" customHeight="1" x14ac:dyDescent="0.25"/>
    <row r="402" customFormat="1" ht="15.75" customHeight="1" x14ac:dyDescent="0.25"/>
    <row r="403" customFormat="1" ht="15.75" customHeight="1" x14ac:dyDescent="0.25"/>
    <row r="404" customFormat="1" ht="15.75" customHeight="1" x14ac:dyDescent="0.25"/>
    <row r="405" customFormat="1" ht="15.75" customHeight="1" x14ac:dyDescent="0.25"/>
    <row r="406" customFormat="1" ht="15.75" customHeight="1" x14ac:dyDescent="0.25"/>
    <row r="407" customFormat="1" ht="15.75" customHeight="1" x14ac:dyDescent="0.25"/>
    <row r="408" customFormat="1" ht="15.75" customHeight="1" x14ac:dyDescent="0.25"/>
    <row r="409" customFormat="1" ht="15.75" customHeight="1" x14ac:dyDescent="0.25"/>
    <row r="410" customFormat="1" ht="15.75" customHeight="1" x14ac:dyDescent="0.25"/>
    <row r="411" customFormat="1" ht="15.75" customHeight="1" x14ac:dyDescent="0.25"/>
    <row r="412" customFormat="1" ht="15.75" customHeight="1" x14ac:dyDescent="0.25"/>
    <row r="413" customFormat="1" ht="15.75" customHeight="1" x14ac:dyDescent="0.25"/>
    <row r="414" customFormat="1" ht="15.75" customHeight="1" x14ac:dyDescent="0.25"/>
    <row r="415" customFormat="1" ht="15.75" customHeight="1" x14ac:dyDescent="0.25"/>
    <row r="416" customFormat="1" ht="15.75" customHeight="1" x14ac:dyDescent="0.25"/>
    <row r="417" customFormat="1" ht="15.75" customHeight="1" x14ac:dyDescent="0.25"/>
    <row r="418" customFormat="1" ht="15.75" customHeight="1" x14ac:dyDescent="0.25"/>
    <row r="419" customFormat="1" ht="15.75" customHeight="1" x14ac:dyDescent="0.25"/>
    <row r="420" customFormat="1" ht="15.75" customHeight="1" x14ac:dyDescent="0.25"/>
    <row r="421" customFormat="1" ht="15.75" customHeight="1" x14ac:dyDescent="0.25"/>
    <row r="422" customFormat="1" ht="15.75" customHeight="1" x14ac:dyDescent="0.25"/>
    <row r="423" customFormat="1" ht="15.75" customHeight="1" x14ac:dyDescent="0.25"/>
    <row r="424" customFormat="1" ht="15.75" customHeight="1" x14ac:dyDescent="0.25"/>
    <row r="425" customFormat="1" ht="15.75" customHeight="1" x14ac:dyDescent="0.25"/>
    <row r="426" customFormat="1" ht="15.75" customHeight="1" x14ac:dyDescent="0.25"/>
    <row r="427" customFormat="1" ht="15.75" customHeight="1" x14ac:dyDescent="0.25"/>
    <row r="428" customFormat="1" ht="15.75" customHeight="1" x14ac:dyDescent="0.25"/>
    <row r="429" customFormat="1" ht="15.75" customHeight="1" x14ac:dyDescent="0.25"/>
    <row r="430" customFormat="1" ht="15.75" customHeight="1" x14ac:dyDescent="0.25"/>
    <row r="431" customFormat="1" ht="15.75" customHeight="1" x14ac:dyDescent="0.25"/>
    <row r="432" customFormat="1" ht="15.75" customHeight="1" x14ac:dyDescent="0.25"/>
    <row r="433" customFormat="1" ht="15.75" customHeight="1" x14ac:dyDescent="0.25"/>
    <row r="434" customFormat="1" ht="15.75" customHeight="1" x14ac:dyDescent="0.25"/>
    <row r="435" customFormat="1" ht="15.75" customHeight="1" x14ac:dyDescent="0.25"/>
    <row r="436" customFormat="1" ht="15.75" customHeight="1" x14ac:dyDescent="0.25"/>
    <row r="437" customFormat="1" ht="15.75" customHeight="1" x14ac:dyDescent="0.25"/>
    <row r="438" customFormat="1" ht="15.75" customHeight="1" x14ac:dyDescent="0.25"/>
    <row r="439" customFormat="1" ht="15.75" customHeight="1" x14ac:dyDescent="0.25"/>
    <row r="440" customFormat="1" ht="15.75" customHeight="1" x14ac:dyDescent="0.25"/>
    <row r="441" customFormat="1" ht="15.75" customHeight="1" x14ac:dyDescent="0.25"/>
    <row r="442" customFormat="1" ht="15.75" customHeight="1" x14ac:dyDescent="0.25"/>
    <row r="443" customFormat="1" ht="15.75" customHeight="1" x14ac:dyDescent="0.25"/>
    <row r="444" customFormat="1" ht="15.75" customHeight="1" x14ac:dyDescent="0.25"/>
    <row r="445" customFormat="1" ht="15.75" customHeight="1" x14ac:dyDescent="0.25"/>
    <row r="446" customFormat="1" ht="15.75" customHeight="1" x14ac:dyDescent="0.25"/>
    <row r="447" customFormat="1" ht="15.75" customHeight="1" x14ac:dyDescent="0.25"/>
    <row r="448" customFormat="1" ht="15.75" customHeight="1" x14ac:dyDescent="0.25"/>
    <row r="449" customFormat="1" ht="15.75" customHeight="1" x14ac:dyDescent="0.25"/>
    <row r="450" customFormat="1" ht="15.75" customHeight="1" x14ac:dyDescent="0.25"/>
    <row r="451" customFormat="1" ht="15.75" customHeight="1" x14ac:dyDescent="0.25"/>
    <row r="452" customFormat="1" ht="15.75" customHeight="1" x14ac:dyDescent="0.25"/>
    <row r="453" customFormat="1" ht="15.75" customHeight="1" x14ac:dyDescent="0.25"/>
    <row r="454" customFormat="1" ht="15.75" customHeight="1" x14ac:dyDescent="0.25"/>
    <row r="455" customFormat="1" ht="15.75" customHeight="1" x14ac:dyDescent="0.25"/>
    <row r="456" customFormat="1" ht="15.75" customHeight="1" x14ac:dyDescent="0.25"/>
    <row r="457" customFormat="1" ht="15.75" customHeight="1" x14ac:dyDescent="0.25"/>
    <row r="458" customFormat="1" ht="15.75" customHeight="1" x14ac:dyDescent="0.25"/>
    <row r="459" customFormat="1" ht="15.75" customHeight="1" x14ac:dyDescent="0.25"/>
    <row r="460" customFormat="1" ht="15.75" customHeight="1" x14ac:dyDescent="0.25"/>
    <row r="461" customFormat="1" ht="15.75" customHeight="1" x14ac:dyDescent="0.25"/>
    <row r="462" customFormat="1" ht="15.75" customHeight="1" x14ac:dyDescent="0.25"/>
    <row r="463" customFormat="1" ht="15.75" customHeight="1" x14ac:dyDescent="0.25"/>
    <row r="464" customFormat="1" ht="15.75" customHeight="1" x14ac:dyDescent="0.25"/>
    <row r="465" customFormat="1" ht="15.75" customHeight="1" x14ac:dyDescent="0.25"/>
    <row r="466" customFormat="1" ht="15.75" customHeight="1" x14ac:dyDescent="0.25"/>
    <row r="467" customFormat="1" ht="15.75" customHeight="1" x14ac:dyDescent="0.25"/>
    <row r="468" customFormat="1" ht="15.75" customHeight="1" x14ac:dyDescent="0.25"/>
    <row r="469" customFormat="1" ht="15.75" customHeight="1" x14ac:dyDescent="0.25"/>
    <row r="470" customFormat="1" ht="15.75" customHeight="1" x14ac:dyDescent="0.25"/>
    <row r="471" customFormat="1" ht="15.75" customHeight="1" x14ac:dyDescent="0.25"/>
    <row r="472" customFormat="1" ht="15.75" customHeight="1" x14ac:dyDescent="0.25"/>
    <row r="473" customFormat="1" ht="15.75" customHeight="1" x14ac:dyDescent="0.25"/>
    <row r="474" customFormat="1" ht="15.75" customHeight="1" x14ac:dyDescent="0.25"/>
    <row r="475" customFormat="1" ht="15.75" customHeight="1" x14ac:dyDescent="0.25"/>
    <row r="476" customFormat="1" ht="15.75" customHeight="1" x14ac:dyDescent="0.25"/>
    <row r="477" customFormat="1" ht="15.75" customHeight="1" x14ac:dyDescent="0.25"/>
    <row r="478" customFormat="1" ht="15.75" customHeight="1" x14ac:dyDescent="0.25"/>
    <row r="479" customFormat="1" ht="15.75" customHeight="1" x14ac:dyDescent="0.25"/>
    <row r="480" customFormat="1" ht="15.75" customHeight="1" x14ac:dyDescent="0.25"/>
    <row r="481" customFormat="1" ht="15.75" customHeight="1" x14ac:dyDescent="0.25"/>
    <row r="482" customFormat="1" ht="15.75" customHeight="1" x14ac:dyDescent="0.25"/>
    <row r="483" customFormat="1" ht="15.75" customHeight="1" x14ac:dyDescent="0.25"/>
    <row r="484" customFormat="1" ht="15.75" customHeight="1" x14ac:dyDescent="0.25"/>
    <row r="485" customFormat="1" ht="15.75" customHeight="1" x14ac:dyDescent="0.25"/>
    <row r="486" customFormat="1" ht="15.75" customHeight="1" x14ac:dyDescent="0.25"/>
    <row r="487" customFormat="1" ht="15.75" customHeight="1" x14ac:dyDescent="0.25"/>
    <row r="488" customFormat="1" ht="15.75" customHeight="1" x14ac:dyDescent="0.25"/>
    <row r="489" customFormat="1" ht="15.75" customHeight="1" x14ac:dyDescent="0.25"/>
    <row r="490" customFormat="1" ht="15.75" customHeight="1" x14ac:dyDescent="0.25"/>
    <row r="491" customFormat="1" ht="15.75" customHeight="1" x14ac:dyDescent="0.25"/>
    <row r="492" customFormat="1" ht="15.75" customHeight="1" x14ac:dyDescent="0.25"/>
    <row r="493" customFormat="1" ht="15.75" customHeight="1" x14ac:dyDescent="0.25"/>
    <row r="494" customFormat="1" ht="15.75" customHeight="1" x14ac:dyDescent="0.25"/>
    <row r="495" customFormat="1" ht="15.75" customHeight="1" x14ac:dyDescent="0.25"/>
    <row r="496" customFormat="1" ht="15.75" customHeight="1" x14ac:dyDescent="0.25"/>
    <row r="497" customFormat="1" ht="15.75" customHeight="1" x14ac:dyDescent="0.25"/>
    <row r="498" customFormat="1" ht="15.75" customHeight="1" x14ac:dyDescent="0.25"/>
    <row r="499" customFormat="1" ht="15.75" customHeight="1" x14ac:dyDescent="0.25"/>
    <row r="500" customFormat="1" ht="15.75" customHeight="1" x14ac:dyDescent="0.25"/>
    <row r="501" customFormat="1" ht="15.75" customHeight="1" x14ac:dyDescent="0.25"/>
    <row r="502" customFormat="1" ht="15.75" customHeight="1" x14ac:dyDescent="0.25"/>
    <row r="503" customFormat="1" ht="15.75" customHeight="1" x14ac:dyDescent="0.25"/>
    <row r="504" customFormat="1" ht="15.75" customHeight="1" x14ac:dyDescent="0.25"/>
    <row r="505" customFormat="1" ht="15.75" customHeight="1" x14ac:dyDescent="0.25"/>
    <row r="506" customFormat="1" ht="15.75" customHeight="1" x14ac:dyDescent="0.25"/>
    <row r="507" customFormat="1" ht="15.75" customHeight="1" x14ac:dyDescent="0.25"/>
    <row r="508" customFormat="1" ht="15.75" customHeight="1" x14ac:dyDescent="0.25"/>
    <row r="509" customFormat="1" ht="15.75" customHeight="1" x14ac:dyDescent="0.25"/>
    <row r="510" customFormat="1" ht="15.75" customHeight="1" x14ac:dyDescent="0.25"/>
    <row r="511" customFormat="1" ht="15.75" customHeight="1" x14ac:dyDescent="0.25"/>
    <row r="512" customFormat="1" ht="15.75" customHeight="1" x14ac:dyDescent="0.25"/>
    <row r="513" customFormat="1" ht="15.75" customHeight="1" x14ac:dyDescent="0.25"/>
    <row r="514" customFormat="1" ht="15.75" customHeight="1" x14ac:dyDescent="0.25"/>
    <row r="515" customFormat="1" ht="15.75" customHeight="1" x14ac:dyDescent="0.25"/>
    <row r="516" customFormat="1" ht="15.75" customHeight="1" x14ac:dyDescent="0.25"/>
    <row r="517" customFormat="1" ht="15.75" customHeight="1" x14ac:dyDescent="0.25"/>
    <row r="518" customFormat="1" ht="15.75" customHeight="1" x14ac:dyDescent="0.25"/>
    <row r="519" customFormat="1" ht="15.75" customHeight="1" x14ac:dyDescent="0.25"/>
    <row r="520" customFormat="1" ht="15.75" customHeight="1" x14ac:dyDescent="0.25"/>
    <row r="521" customFormat="1" ht="15.75" customHeight="1" x14ac:dyDescent="0.25"/>
    <row r="522" customFormat="1" ht="15.75" customHeight="1" x14ac:dyDescent="0.25"/>
    <row r="523" customFormat="1" ht="15.75" customHeight="1" x14ac:dyDescent="0.25"/>
    <row r="524" customFormat="1" ht="15.75" customHeight="1" x14ac:dyDescent="0.25"/>
    <row r="525" customFormat="1" ht="15.75" customHeight="1" x14ac:dyDescent="0.25"/>
    <row r="526" customFormat="1" ht="15.75" customHeight="1" x14ac:dyDescent="0.25"/>
    <row r="527" customFormat="1" ht="15.75" customHeight="1" x14ac:dyDescent="0.25"/>
    <row r="528" customFormat="1" ht="15.75" customHeight="1" x14ac:dyDescent="0.25"/>
    <row r="529" customFormat="1" ht="15.75" customHeight="1" x14ac:dyDescent="0.25"/>
    <row r="530" customFormat="1" ht="15.75" customHeight="1" x14ac:dyDescent="0.25"/>
    <row r="531" customFormat="1" ht="15.75" customHeight="1" x14ac:dyDescent="0.25"/>
    <row r="532" customFormat="1" ht="15.75" customHeight="1" x14ac:dyDescent="0.25"/>
    <row r="533" customFormat="1" ht="15.75" customHeight="1" x14ac:dyDescent="0.25"/>
    <row r="534" customFormat="1" ht="15.75" customHeight="1" x14ac:dyDescent="0.25"/>
    <row r="535" customFormat="1" ht="15.75" customHeight="1" x14ac:dyDescent="0.25"/>
    <row r="536" customFormat="1" ht="15.75" customHeight="1" x14ac:dyDescent="0.25"/>
    <row r="537" customFormat="1" ht="15.75" customHeight="1" x14ac:dyDescent="0.25"/>
    <row r="538" customFormat="1" ht="15.75" customHeight="1" x14ac:dyDescent="0.25"/>
    <row r="539" customFormat="1" ht="15.75" customHeight="1" x14ac:dyDescent="0.25"/>
    <row r="540" customFormat="1" ht="15.75" customHeight="1" x14ac:dyDescent="0.25"/>
    <row r="541" customFormat="1" ht="15.75" customHeight="1" x14ac:dyDescent="0.25"/>
    <row r="542" customFormat="1" ht="15.75" customHeight="1" x14ac:dyDescent="0.25"/>
    <row r="543" customFormat="1" ht="15.75" customHeight="1" x14ac:dyDescent="0.25"/>
    <row r="544" customFormat="1" ht="15.75" customHeight="1" x14ac:dyDescent="0.25"/>
    <row r="545" customFormat="1" ht="15.75" customHeight="1" x14ac:dyDescent="0.25"/>
    <row r="546" customFormat="1" ht="15.75" customHeight="1" x14ac:dyDescent="0.25"/>
    <row r="547" customFormat="1" ht="15.75" customHeight="1" x14ac:dyDescent="0.25"/>
    <row r="548" customFormat="1" ht="15.75" customHeight="1" x14ac:dyDescent="0.25"/>
    <row r="549" customFormat="1" ht="15.75" customHeight="1" x14ac:dyDescent="0.25"/>
    <row r="550" customFormat="1" ht="15.75" customHeight="1" x14ac:dyDescent="0.25"/>
    <row r="551" customFormat="1" ht="15.75" customHeight="1" x14ac:dyDescent="0.25"/>
    <row r="552" customFormat="1" ht="15.75" customHeight="1" x14ac:dyDescent="0.25"/>
    <row r="553" customFormat="1" ht="15.75" customHeight="1" x14ac:dyDescent="0.25"/>
    <row r="554" customFormat="1" ht="15.75" customHeight="1" x14ac:dyDescent="0.25"/>
    <row r="555" customFormat="1" ht="15.75" customHeight="1" x14ac:dyDescent="0.25"/>
    <row r="556" customFormat="1" ht="15.75" customHeight="1" x14ac:dyDescent="0.25"/>
    <row r="557" customFormat="1" ht="15.75" customHeight="1" x14ac:dyDescent="0.25"/>
    <row r="558" customFormat="1" ht="15.75" customHeight="1" x14ac:dyDescent="0.25"/>
    <row r="559" customFormat="1" ht="15.75" customHeight="1" x14ac:dyDescent="0.25"/>
    <row r="560" customFormat="1" ht="15.75" customHeight="1" x14ac:dyDescent="0.25"/>
    <row r="561" customFormat="1" ht="15.75" customHeight="1" x14ac:dyDescent="0.25"/>
    <row r="562" customFormat="1" ht="15.75" customHeight="1" x14ac:dyDescent="0.25"/>
    <row r="563" customFormat="1" ht="15.75" customHeight="1" x14ac:dyDescent="0.25"/>
    <row r="564" customFormat="1" ht="15.75" customHeight="1" x14ac:dyDescent="0.25"/>
    <row r="565" customFormat="1" ht="15.75" customHeight="1" x14ac:dyDescent="0.25"/>
    <row r="566" customFormat="1" ht="15.75" customHeight="1" x14ac:dyDescent="0.25"/>
    <row r="567" customFormat="1" ht="15.75" customHeight="1" x14ac:dyDescent="0.25"/>
    <row r="568" customFormat="1" ht="15.75" customHeight="1" x14ac:dyDescent="0.25"/>
    <row r="569" customFormat="1" ht="15.75" customHeight="1" x14ac:dyDescent="0.25"/>
    <row r="570" customFormat="1" ht="15.75" customHeight="1" x14ac:dyDescent="0.25"/>
    <row r="571" customFormat="1" ht="15.75" customHeight="1" x14ac:dyDescent="0.25"/>
    <row r="572" customFormat="1" ht="15.75" customHeight="1" x14ac:dyDescent="0.25"/>
    <row r="573" customFormat="1" ht="15.75" customHeight="1" x14ac:dyDescent="0.25"/>
    <row r="574" customFormat="1" ht="15.75" customHeight="1" x14ac:dyDescent="0.25"/>
    <row r="575" customFormat="1" ht="15.75" customHeight="1" x14ac:dyDescent="0.25"/>
    <row r="576" customFormat="1" ht="15.75" customHeight="1" x14ac:dyDescent="0.25"/>
    <row r="577" customFormat="1" ht="15.75" customHeight="1" x14ac:dyDescent="0.25"/>
    <row r="578" customFormat="1" ht="15.75" customHeight="1" x14ac:dyDescent="0.25"/>
    <row r="579" customFormat="1" ht="15.75" customHeight="1" x14ac:dyDescent="0.25"/>
    <row r="580" customFormat="1" ht="15.75" customHeight="1" x14ac:dyDescent="0.25"/>
    <row r="581" customFormat="1" ht="15.75" customHeight="1" x14ac:dyDescent="0.25"/>
    <row r="582" customFormat="1" ht="15.75" customHeight="1" x14ac:dyDescent="0.25"/>
    <row r="583" customFormat="1" ht="15.75" customHeight="1" x14ac:dyDescent="0.25"/>
    <row r="584" customFormat="1" ht="15.75" customHeight="1" x14ac:dyDescent="0.25"/>
    <row r="585" customFormat="1" ht="15.75" customHeight="1" x14ac:dyDescent="0.25"/>
    <row r="586" customFormat="1" ht="15.75" customHeight="1" x14ac:dyDescent="0.25"/>
    <row r="587" customFormat="1" ht="15.75" customHeight="1" x14ac:dyDescent="0.25"/>
    <row r="588" customFormat="1" ht="15.75" customHeight="1" x14ac:dyDescent="0.25"/>
    <row r="589" customFormat="1" ht="15.75" customHeight="1" x14ac:dyDescent="0.25"/>
    <row r="590" customFormat="1" ht="15.75" customHeight="1" x14ac:dyDescent="0.25"/>
    <row r="591" customFormat="1" ht="15.75" customHeight="1" x14ac:dyDescent="0.25"/>
    <row r="592" customFormat="1" ht="15.75" customHeight="1" x14ac:dyDescent="0.25"/>
    <row r="593" customFormat="1" ht="15.75" customHeight="1" x14ac:dyDescent="0.25"/>
    <row r="594" customFormat="1" ht="15.75" customHeight="1" x14ac:dyDescent="0.25"/>
    <row r="595" customFormat="1" ht="15.75" customHeight="1" x14ac:dyDescent="0.25"/>
    <row r="596" customFormat="1" ht="15.75" customHeight="1" x14ac:dyDescent="0.25"/>
    <row r="597" customFormat="1" ht="15.75" customHeight="1" x14ac:dyDescent="0.25"/>
    <row r="598" customFormat="1" ht="15.75" customHeight="1" x14ac:dyDescent="0.25"/>
    <row r="599" customFormat="1" ht="15.75" customHeight="1" x14ac:dyDescent="0.25"/>
    <row r="600" customFormat="1" ht="15.75" customHeight="1" x14ac:dyDescent="0.25"/>
    <row r="601" customFormat="1" ht="15.75" customHeight="1" x14ac:dyDescent="0.25"/>
    <row r="602" customFormat="1" ht="15.75" customHeight="1" x14ac:dyDescent="0.25"/>
    <row r="603" customFormat="1" ht="15.75" customHeight="1" x14ac:dyDescent="0.25"/>
    <row r="604" customFormat="1" ht="15.75" customHeight="1" x14ac:dyDescent="0.25"/>
    <row r="605" customFormat="1" ht="15.75" customHeight="1" x14ac:dyDescent="0.25"/>
    <row r="606" customFormat="1" ht="15.75" customHeight="1" x14ac:dyDescent="0.25"/>
    <row r="607" customFormat="1" ht="15.75" customHeight="1" x14ac:dyDescent="0.25"/>
    <row r="608" customFormat="1" ht="15.75" customHeight="1" x14ac:dyDescent="0.25"/>
    <row r="609" customFormat="1" ht="15.75" customHeight="1" x14ac:dyDescent="0.25"/>
    <row r="610" customFormat="1" ht="15.75" customHeight="1" x14ac:dyDescent="0.25"/>
    <row r="611" customFormat="1" ht="15.75" customHeight="1" x14ac:dyDescent="0.25"/>
    <row r="612" customFormat="1" ht="15.75" customHeight="1" x14ac:dyDescent="0.25"/>
    <row r="613" customFormat="1" ht="15.75" customHeight="1" x14ac:dyDescent="0.25"/>
    <row r="614" customFormat="1" ht="15.75" customHeight="1" x14ac:dyDescent="0.25"/>
    <row r="615" customFormat="1" ht="15.75" customHeight="1" x14ac:dyDescent="0.25"/>
    <row r="616" customFormat="1" ht="15.75" customHeight="1" x14ac:dyDescent="0.25"/>
    <row r="617" customFormat="1" ht="15.75" customHeight="1" x14ac:dyDescent="0.25"/>
    <row r="618" customFormat="1" ht="15.75" customHeight="1" x14ac:dyDescent="0.25"/>
    <row r="619" customFormat="1" ht="15.75" customHeight="1" x14ac:dyDescent="0.25"/>
    <row r="620" customFormat="1" ht="15.75" customHeight="1" x14ac:dyDescent="0.25"/>
    <row r="621" customFormat="1" ht="15.75" customHeight="1" x14ac:dyDescent="0.25"/>
    <row r="622" customFormat="1" ht="15.75" customHeight="1" x14ac:dyDescent="0.25"/>
    <row r="623" customFormat="1" ht="15.75" customHeight="1" x14ac:dyDescent="0.25"/>
    <row r="624" customFormat="1" ht="15.75" customHeight="1" x14ac:dyDescent="0.25"/>
    <row r="625" customFormat="1" ht="15.75" customHeight="1" x14ac:dyDescent="0.25"/>
    <row r="626" customFormat="1" ht="15.75" customHeight="1" x14ac:dyDescent="0.25"/>
    <row r="627" customFormat="1" ht="15.75" customHeight="1" x14ac:dyDescent="0.25"/>
    <row r="628" customFormat="1" ht="15.75" customHeight="1" x14ac:dyDescent="0.25"/>
    <row r="629" customFormat="1" ht="15.75" customHeight="1" x14ac:dyDescent="0.25"/>
    <row r="630" customFormat="1" ht="15.75" customHeight="1" x14ac:dyDescent="0.25"/>
    <row r="631" customFormat="1" ht="15.75" customHeight="1" x14ac:dyDescent="0.25"/>
    <row r="632" customFormat="1" ht="15.75" customHeight="1" x14ac:dyDescent="0.25"/>
    <row r="633" customFormat="1" ht="15.75" customHeight="1" x14ac:dyDescent="0.25"/>
    <row r="634" customFormat="1" ht="15.75" customHeight="1" x14ac:dyDescent="0.25"/>
    <row r="635" customFormat="1" ht="15.75" customHeight="1" x14ac:dyDescent="0.25"/>
    <row r="636" customFormat="1" ht="15.75" customHeight="1" x14ac:dyDescent="0.25"/>
    <row r="637" customFormat="1" ht="15.75" customHeight="1" x14ac:dyDescent="0.25"/>
    <row r="638" customFormat="1" ht="15.75" customHeight="1" x14ac:dyDescent="0.25"/>
    <row r="639" customFormat="1" ht="15.75" customHeight="1" x14ac:dyDescent="0.25"/>
    <row r="640" customFormat="1" ht="15.75" customHeight="1" x14ac:dyDescent="0.25"/>
    <row r="641" customFormat="1" ht="15.75" customHeight="1" x14ac:dyDescent="0.25"/>
    <row r="642" customFormat="1" ht="15.75" customHeight="1" x14ac:dyDescent="0.25"/>
    <row r="643" customFormat="1" ht="15.75" customHeight="1" x14ac:dyDescent="0.25"/>
    <row r="644" customFormat="1" ht="15.75" customHeight="1" x14ac:dyDescent="0.25"/>
    <row r="645" customFormat="1" ht="15.75" customHeight="1" x14ac:dyDescent="0.25"/>
    <row r="646" customFormat="1" ht="15.75" customHeight="1" x14ac:dyDescent="0.25"/>
    <row r="647" customFormat="1" ht="15.75" customHeight="1" x14ac:dyDescent="0.25"/>
    <row r="648" customFormat="1" ht="15.75" customHeight="1" x14ac:dyDescent="0.25"/>
    <row r="649" customFormat="1" ht="15.75" customHeight="1" x14ac:dyDescent="0.25"/>
    <row r="650" customFormat="1" ht="15.75" customHeight="1" x14ac:dyDescent="0.25"/>
    <row r="651" customFormat="1" ht="15.75" customHeight="1" x14ac:dyDescent="0.25"/>
    <row r="652" customFormat="1" ht="15.75" customHeight="1" x14ac:dyDescent="0.25"/>
    <row r="653" customFormat="1" ht="15.75" customHeight="1" x14ac:dyDescent="0.25"/>
    <row r="654" customFormat="1" ht="15.75" customHeight="1" x14ac:dyDescent="0.25"/>
    <row r="655" customFormat="1" ht="15.75" customHeight="1" x14ac:dyDescent="0.25"/>
    <row r="656" customFormat="1" ht="15.75" customHeight="1" x14ac:dyDescent="0.25"/>
    <row r="657" customFormat="1" ht="15.75" customHeight="1" x14ac:dyDescent="0.25"/>
    <row r="658" customFormat="1" ht="15.75" customHeight="1" x14ac:dyDescent="0.25"/>
    <row r="659" customFormat="1" ht="15.75" customHeight="1" x14ac:dyDescent="0.25"/>
    <row r="660" customFormat="1" ht="15.75" customHeight="1" x14ac:dyDescent="0.25"/>
    <row r="661" customFormat="1" ht="15.75" customHeight="1" x14ac:dyDescent="0.25"/>
    <row r="662" customFormat="1" ht="15.75" customHeight="1" x14ac:dyDescent="0.25"/>
    <row r="663" customFormat="1" ht="15.75" customHeight="1" x14ac:dyDescent="0.25"/>
    <row r="664" customFormat="1" ht="15.75" customHeight="1" x14ac:dyDescent="0.25"/>
    <row r="665" customFormat="1" ht="15.75" customHeight="1" x14ac:dyDescent="0.25"/>
    <row r="666" customFormat="1" ht="15.75" customHeight="1" x14ac:dyDescent="0.25"/>
    <row r="667" customFormat="1" ht="15.75" customHeight="1" x14ac:dyDescent="0.25"/>
    <row r="668" customFormat="1" ht="15.75" customHeight="1" x14ac:dyDescent="0.25"/>
    <row r="669" customFormat="1" ht="15.75" customHeight="1" x14ac:dyDescent="0.25"/>
    <row r="670" customFormat="1" ht="15.75" customHeight="1" x14ac:dyDescent="0.25"/>
    <row r="671" customFormat="1" ht="15.75" customHeight="1" x14ac:dyDescent="0.25"/>
    <row r="672" customFormat="1" ht="15.75" customHeight="1" x14ac:dyDescent="0.25"/>
    <row r="673" customFormat="1" ht="15.75" customHeight="1" x14ac:dyDescent="0.25"/>
    <row r="674" customFormat="1" ht="15.75" customHeight="1" x14ac:dyDescent="0.25"/>
    <row r="675" customFormat="1" ht="15.75" customHeight="1" x14ac:dyDescent="0.25"/>
    <row r="676" customFormat="1" ht="15.75" customHeight="1" x14ac:dyDescent="0.25"/>
    <row r="677" customFormat="1" ht="15.75" customHeight="1" x14ac:dyDescent="0.25"/>
    <row r="678" customFormat="1" ht="15.75" customHeight="1" x14ac:dyDescent="0.25"/>
    <row r="679" customFormat="1" ht="15.75" customHeight="1" x14ac:dyDescent="0.25"/>
    <row r="680" customFormat="1" ht="15.75" customHeight="1" x14ac:dyDescent="0.25"/>
    <row r="681" customFormat="1" ht="15.75" customHeight="1" x14ac:dyDescent="0.25"/>
    <row r="682" customFormat="1" ht="15.75" customHeight="1" x14ac:dyDescent="0.25"/>
    <row r="683" customFormat="1" ht="15.75" customHeight="1" x14ac:dyDescent="0.25"/>
    <row r="684" customFormat="1" ht="15.75" customHeight="1" x14ac:dyDescent="0.25"/>
    <row r="685" customFormat="1" ht="15.75" customHeight="1" x14ac:dyDescent="0.25"/>
    <row r="686" customFormat="1" ht="15.75" customHeight="1" x14ac:dyDescent="0.25"/>
    <row r="687" customFormat="1" ht="15.75" customHeight="1" x14ac:dyDescent="0.25"/>
    <row r="688" customFormat="1" ht="15.75" customHeight="1" x14ac:dyDescent="0.25"/>
    <row r="689" customFormat="1" ht="15.75" customHeight="1" x14ac:dyDescent="0.25"/>
    <row r="690" customFormat="1" ht="15.75" customHeight="1" x14ac:dyDescent="0.25"/>
    <row r="691" customFormat="1" ht="15.75" customHeight="1" x14ac:dyDescent="0.25"/>
    <row r="692" customFormat="1" ht="15.75" customHeight="1" x14ac:dyDescent="0.25"/>
    <row r="693" customFormat="1" ht="15.75" customHeight="1" x14ac:dyDescent="0.25"/>
    <row r="694" customFormat="1" ht="15.75" customHeight="1" x14ac:dyDescent="0.25"/>
    <row r="695" customFormat="1" ht="15.75" customHeight="1" x14ac:dyDescent="0.25"/>
    <row r="696" customFormat="1" ht="15.75" customHeight="1" x14ac:dyDescent="0.25"/>
    <row r="697" customFormat="1" ht="15.75" customHeight="1" x14ac:dyDescent="0.25"/>
    <row r="698" customFormat="1" ht="15.75" customHeight="1" x14ac:dyDescent="0.25"/>
    <row r="699" customFormat="1" ht="15.75" customHeight="1" x14ac:dyDescent="0.25"/>
    <row r="700" customFormat="1" ht="15.75" customHeight="1" x14ac:dyDescent="0.25"/>
    <row r="701" customFormat="1" ht="15.75" customHeight="1" x14ac:dyDescent="0.25"/>
    <row r="702" customFormat="1" ht="15.75" customHeight="1" x14ac:dyDescent="0.25"/>
    <row r="703" customFormat="1" ht="15.75" customHeight="1" x14ac:dyDescent="0.25"/>
    <row r="704" customFormat="1" ht="15.75" customHeight="1" x14ac:dyDescent="0.25"/>
    <row r="705" customFormat="1" ht="15.75" customHeight="1" x14ac:dyDescent="0.25"/>
    <row r="706" customFormat="1" ht="15.75" customHeight="1" x14ac:dyDescent="0.25"/>
    <row r="707" customFormat="1" ht="15.75" customHeight="1" x14ac:dyDescent="0.25"/>
    <row r="708" customFormat="1" ht="15.75" customHeight="1" x14ac:dyDescent="0.25"/>
    <row r="709" customFormat="1" ht="15.75" customHeight="1" x14ac:dyDescent="0.25"/>
    <row r="710" customFormat="1" ht="15.75" customHeight="1" x14ac:dyDescent="0.25"/>
    <row r="711" customFormat="1" ht="15.75" customHeight="1" x14ac:dyDescent="0.25"/>
    <row r="712" customFormat="1" ht="15.75" customHeight="1" x14ac:dyDescent="0.25"/>
    <row r="713" customFormat="1" ht="15.75" customHeight="1" x14ac:dyDescent="0.25"/>
    <row r="714" customFormat="1" ht="15.75" customHeight="1" x14ac:dyDescent="0.25"/>
    <row r="715" customFormat="1" ht="15.75" customHeight="1" x14ac:dyDescent="0.25"/>
    <row r="716" customFormat="1" ht="15.75" customHeight="1" x14ac:dyDescent="0.25"/>
    <row r="717" customFormat="1" ht="15.75" customHeight="1" x14ac:dyDescent="0.25"/>
    <row r="718" customFormat="1" ht="15.75" customHeight="1" x14ac:dyDescent="0.25"/>
    <row r="719" customFormat="1" ht="15.75" customHeight="1" x14ac:dyDescent="0.25"/>
    <row r="720" customFormat="1" ht="15.75" customHeight="1" x14ac:dyDescent="0.25"/>
    <row r="721" customFormat="1" ht="15.75" customHeight="1" x14ac:dyDescent="0.25"/>
    <row r="722" customFormat="1" ht="15.75" customHeight="1" x14ac:dyDescent="0.25"/>
    <row r="723" customFormat="1" ht="15.75" customHeight="1" x14ac:dyDescent="0.25"/>
    <row r="724" customFormat="1" ht="15.75" customHeight="1" x14ac:dyDescent="0.25"/>
    <row r="725" customFormat="1" ht="15.75" customHeight="1" x14ac:dyDescent="0.25"/>
    <row r="726" customFormat="1" ht="15.75" customHeight="1" x14ac:dyDescent="0.25"/>
    <row r="727" customFormat="1" ht="15.75" customHeight="1" x14ac:dyDescent="0.25"/>
    <row r="728" customFormat="1" ht="15.75" customHeight="1" x14ac:dyDescent="0.25"/>
    <row r="729" customFormat="1" ht="15.75" customHeight="1" x14ac:dyDescent="0.25"/>
    <row r="730" customFormat="1" ht="15.75" customHeight="1" x14ac:dyDescent="0.25"/>
    <row r="731" customFormat="1" ht="15.75" customHeight="1" x14ac:dyDescent="0.25"/>
    <row r="732" customFormat="1" ht="15.75" customHeight="1" x14ac:dyDescent="0.25"/>
    <row r="733" customFormat="1" ht="15.75" customHeight="1" x14ac:dyDescent="0.25"/>
    <row r="734" customFormat="1" ht="15.75" customHeight="1" x14ac:dyDescent="0.25"/>
    <row r="735" customFormat="1" ht="15.75" customHeight="1" x14ac:dyDescent="0.25"/>
    <row r="736" customFormat="1" ht="15.75" customHeight="1" x14ac:dyDescent="0.25"/>
    <row r="737" customFormat="1" ht="15.75" customHeight="1" x14ac:dyDescent="0.25"/>
    <row r="738" customFormat="1" ht="15.75" customHeight="1" x14ac:dyDescent="0.25"/>
    <row r="739" customFormat="1" ht="15.75" customHeight="1" x14ac:dyDescent="0.25"/>
    <row r="740" customFormat="1" ht="15.75" customHeight="1" x14ac:dyDescent="0.25"/>
    <row r="741" customFormat="1" ht="15.75" customHeight="1" x14ac:dyDescent="0.25"/>
    <row r="742" customFormat="1" ht="15.75" customHeight="1" x14ac:dyDescent="0.25"/>
    <row r="743" customFormat="1" ht="15.75" customHeight="1" x14ac:dyDescent="0.25"/>
    <row r="744" customFormat="1" ht="15.75" customHeight="1" x14ac:dyDescent="0.25"/>
    <row r="745" customFormat="1" ht="15.75" customHeight="1" x14ac:dyDescent="0.25"/>
    <row r="746" customFormat="1" ht="15.75" customHeight="1" x14ac:dyDescent="0.25"/>
    <row r="747" customFormat="1" ht="15.75" customHeight="1" x14ac:dyDescent="0.25"/>
    <row r="748" customFormat="1" ht="15.75" customHeight="1" x14ac:dyDescent="0.25"/>
    <row r="749" customFormat="1" ht="15.75" customHeight="1" x14ac:dyDescent="0.25"/>
    <row r="750" customFormat="1" ht="15.75" customHeight="1" x14ac:dyDescent="0.25"/>
    <row r="751" customFormat="1" ht="15.75" customHeight="1" x14ac:dyDescent="0.25"/>
    <row r="752" customFormat="1" ht="15.75" customHeight="1" x14ac:dyDescent="0.25"/>
    <row r="753" customFormat="1" ht="15.75" customHeight="1" x14ac:dyDescent="0.25"/>
    <row r="754" customFormat="1" ht="15.75" customHeight="1" x14ac:dyDescent="0.25"/>
    <row r="755" customFormat="1" ht="15.75" customHeight="1" x14ac:dyDescent="0.25"/>
    <row r="756" customFormat="1" ht="15.75" customHeight="1" x14ac:dyDescent="0.25"/>
    <row r="757" customFormat="1" ht="15.75" customHeight="1" x14ac:dyDescent="0.25"/>
    <row r="758" customFormat="1" ht="15.75" customHeight="1" x14ac:dyDescent="0.25"/>
    <row r="759" customFormat="1" ht="15.75" customHeight="1" x14ac:dyDescent="0.25"/>
    <row r="760" customFormat="1" ht="15.75" customHeight="1" x14ac:dyDescent="0.25"/>
    <row r="761" customFormat="1" ht="15.75" customHeight="1" x14ac:dyDescent="0.25"/>
    <row r="762" customFormat="1" ht="15.75" customHeight="1" x14ac:dyDescent="0.25"/>
    <row r="763" customFormat="1" ht="15.75" customHeight="1" x14ac:dyDescent="0.25"/>
    <row r="764" customFormat="1" ht="15.75" customHeight="1" x14ac:dyDescent="0.25"/>
    <row r="765" customFormat="1" ht="15.75" customHeight="1" x14ac:dyDescent="0.25"/>
    <row r="766" customFormat="1" ht="15.75" customHeight="1" x14ac:dyDescent="0.25"/>
    <row r="767" customFormat="1" ht="15.75" customHeight="1" x14ac:dyDescent="0.25"/>
    <row r="768" customFormat="1" ht="15.75" customHeight="1" x14ac:dyDescent="0.25"/>
    <row r="769" customFormat="1" ht="15.75" customHeight="1" x14ac:dyDescent="0.25"/>
    <row r="770" customFormat="1" ht="15.75" customHeight="1" x14ac:dyDescent="0.25"/>
    <row r="771" customFormat="1" ht="15.75" customHeight="1" x14ac:dyDescent="0.25"/>
    <row r="772" customFormat="1" ht="15.75" customHeight="1" x14ac:dyDescent="0.25"/>
    <row r="773" customFormat="1" ht="15.75" customHeight="1" x14ac:dyDescent="0.25"/>
    <row r="774" customFormat="1" ht="15.75" customHeight="1" x14ac:dyDescent="0.25"/>
    <row r="775" customFormat="1" ht="15.75" customHeight="1" x14ac:dyDescent="0.25"/>
    <row r="776" customFormat="1" ht="15.75" customHeight="1" x14ac:dyDescent="0.25"/>
    <row r="777" customFormat="1" ht="15.75" customHeight="1" x14ac:dyDescent="0.25"/>
    <row r="778" customFormat="1" ht="15.75" customHeight="1" x14ac:dyDescent="0.25"/>
    <row r="779" customFormat="1" ht="15.75" customHeight="1" x14ac:dyDescent="0.25"/>
    <row r="780" customFormat="1" ht="15.75" customHeight="1" x14ac:dyDescent="0.25"/>
    <row r="781" customFormat="1" ht="15.75" customHeight="1" x14ac:dyDescent="0.25"/>
    <row r="782" customFormat="1" ht="15.75" customHeight="1" x14ac:dyDescent="0.25"/>
    <row r="783" customFormat="1" ht="15.75" customHeight="1" x14ac:dyDescent="0.25"/>
    <row r="784" customFormat="1" ht="15.75" customHeight="1" x14ac:dyDescent="0.25"/>
    <row r="785" customFormat="1" ht="15.75" customHeight="1" x14ac:dyDescent="0.25"/>
    <row r="786" customFormat="1" ht="15.75" customHeight="1" x14ac:dyDescent="0.25"/>
    <row r="787" customFormat="1" ht="15.75" customHeight="1" x14ac:dyDescent="0.25"/>
    <row r="788" customFormat="1" ht="15.75" customHeight="1" x14ac:dyDescent="0.25"/>
    <row r="789" customFormat="1" ht="15.75" customHeight="1" x14ac:dyDescent="0.25"/>
    <row r="790" customFormat="1" ht="15.75" customHeight="1" x14ac:dyDescent="0.25"/>
    <row r="791" customFormat="1" ht="15.75" customHeight="1" x14ac:dyDescent="0.25"/>
    <row r="792" customFormat="1" ht="15.75" customHeight="1" x14ac:dyDescent="0.25"/>
    <row r="793" customFormat="1" ht="15.75" customHeight="1" x14ac:dyDescent="0.25"/>
    <row r="794" customFormat="1" ht="15.75" customHeight="1" x14ac:dyDescent="0.25"/>
    <row r="795" customFormat="1" ht="15.75" customHeight="1" x14ac:dyDescent="0.25"/>
    <row r="796" customFormat="1" ht="15.75" customHeight="1" x14ac:dyDescent="0.25"/>
    <row r="797" customFormat="1" ht="15.75" customHeight="1" x14ac:dyDescent="0.25"/>
    <row r="798" customFormat="1" ht="15.75" customHeight="1" x14ac:dyDescent="0.25"/>
    <row r="799" customFormat="1" ht="15.75" customHeight="1" x14ac:dyDescent="0.25"/>
    <row r="800" customFormat="1" ht="15.75" customHeight="1" x14ac:dyDescent="0.25"/>
    <row r="801" customFormat="1" ht="15.75" customHeight="1" x14ac:dyDescent="0.25"/>
    <row r="802" customFormat="1" ht="15.75" customHeight="1" x14ac:dyDescent="0.25"/>
    <row r="803" customFormat="1" ht="15.75" customHeight="1" x14ac:dyDescent="0.25"/>
    <row r="804" customFormat="1" ht="15.75" customHeight="1" x14ac:dyDescent="0.25"/>
    <row r="805" customFormat="1" ht="15.75" customHeight="1" x14ac:dyDescent="0.25"/>
    <row r="806" customFormat="1" ht="15.75" customHeight="1" x14ac:dyDescent="0.25"/>
    <row r="807" customFormat="1" ht="15.75" customHeight="1" x14ac:dyDescent="0.25"/>
    <row r="808" customFormat="1" ht="15.75" customHeight="1" x14ac:dyDescent="0.25"/>
    <row r="809" customFormat="1" ht="15.75" customHeight="1" x14ac:dyDescent="0.25"/>
    <row r="810" customFormat="1" ht="15.75" customHeight="1" x14ac:dyDescent="0.25"/>
    <row r="811" customFormat="1" ht="15.75" customHeight="1" x14ac:dyDescent="0.25"/>
    <row r="812" customFormat="1" ht="15.75" customHeight="1" x14ac:dyDescent="0.25"/>
    <row r="813" customFormat="1" ht="15.75" customHeight="1" x14ac:dyDescent="0.25"/>
    <row r="814" customFormat="1" ht="15.75" customHeight="1" x14ac:dyDescent="0.25"/>
    <row r="815" customFormat="1" ht="15.75" customHeight="1" x14ac:dyDescent="0.25"/>
    <row r="816" customFormat="1" ht="15.75" customHeight="1" x14ac:dyDescent="0.25"/>
    <row r="817" customFormat="1" ht="15.75" customHeight="1" x14ac:dyDescent="0.25"/>
    <row r="818" customFormat="1" ht="15.75" customHeight="1" x14ac:dyDescent="0.25"/>
    <row r="819" customFormat="1" ht="15.75" customHeight="1" x14ac:dyDescent="0.25"/>
    <row r="820" customFormat="1" ht="15.75" customHeight="1" x14ac:dyDescent="0.25"/>
    <row r="821" customFormat="1" ht="15.75" customHeight="1" x14ac:dyDescent="0.25"/>
    <row r="822" customFormat="1" ht="15.75" customHeight="1" x14ac:dyDescent="0.25"/>
    <row r="823" customFormat="1" ht="15.75" customHeight="1" x14ac:dyDescent="0.25"/>
    <row r="824" customFormat="1" ht="15.75" customHeight="1" x14ac:dyDescent="0.25"/>
    <row r="825" customFormat="1" ht="15.75" customHeight="1" x14ac:dyDescent="0.25"/>
    <row r="826" customFormat="1" ht="15.75" customHeight="1" x14ac:dyDescent="0.25"/>
    <row r="827" customFormat="1" ht="15.75" customHeight="1" x14ac:dyDescent="0.25"/>
    <row r="828" customFormat="1" ht="15.75" customHeight="1" x14ac:dyDescent="0.25"/>
    <row r="829" customFormat="1" ht="15.75" customHeight="1" x14ac:dyDescent="0.25"/>
    <row r="830" customFormat="1" ht="15.75" customHeight="1" x14ac:dyDescent="0.25"/>
    <row r="831" customFormat="1" ht="15.75" customHeight="1" x14ac:dyDescent="0.25"/>
    <row r="832" customFormat="1" ht="15.75" customHeight="1" x14ac:dyDescent="0.25"/>
    <row r="833" customFormat="1" ht="15.75" customHeight="1" x14ac:dyDescent="0.25"/>
    <row r="834" customFormat="1" ht="15.75" customHeight="1" x14ac:dyDescent="0.25"/>
    <row r="835" customFormat="1" ht="15.75" customHeight="1" x14ac:dyDescent="0.25"/>
    <row r="836" customFormat="1" ht="15.75" customHeight="1" x14ac:dyDescent="0.25"/>
    <row r="837" customFormat="1" ht="15.75" customHeight="1" x14ac:dyDescent="0.25"/>
    <row r="838" customFormat="1" ht="15.75" customHeight="1" x14ac:dyDescent="0.25"/>
    <row r="839" customFormat="1" ht="15.75" customHeight="1" x14ac:dyDescent="0.25"/>
    <row r="840" customFormat="1" ht="15.75" customHeight="1" x14ac:dyDescent="0.25"/>
    <row r="841" customFormat="1" ht="15.75" customHeight="1" x14ac:dyDescent="0.25"/>
    <row r="842" customFormat="1" ht="15.75" customHeight="1" x14ac:dyDescent="0.25"/>
    <row r="843" customFormat="1" ht="15.75" customHeight="1" x14ac:dyDescent="0.25"/>
    <row r="844" customFormat="1" ht="15.75" customHeight="1" x14ac:dyDescent="0.25"/>
    <row r="845" customFormat="1" ht="15.75" customHeight="1" x14ac:dyDescent="0.25"/>
    <row r="846" customFormat="1" ht="15.75" customHeight="1" x14ac:dyDescent="0.25"/>
    <row r="847" customFormat="1" ht="15.75" customHeight="1" x14ac:dyDescent="0.25"/>
    <row r="848" customFormat="1" ht="15.75" customHeight="1" x14ac:dyDescent="0.25"/>
    <row r="849" customFormat="1" ht="15.75" customHeight="1" x14ac:dyDescent="0.25"/>
    <row r="850" customFormat="1" ht="15.75" customHeight="1" x14ac:dyDescent="0.25"/>
    <row r="851" customFormat="1" ht="15.75" customHeight="1" x14ac:dyDescent="0.25"/>
    <row r="852" customFormat="1" ht="15.75" customHeight="1" x14ac:dyDescent="0.25"/>
    <row r="853" customFormat="1" ht="15.75" customHeight="1" x14ac:dyDescent="0.25"/>
    <row r="854" customFormat="1" ht="15.75" customHeight="1" x14ac:dyDescent="0.25"/>
    <row r="855" customFormat="1" ht="15.75" customHeight="1" x14ac:dyDescent="0.25"/>
    <row r="856" customFormat="1" ht="15.75" customHeight="1" x14ac:dyDescent="0.25"/>
    <row r="857" customFormat="1" ht="15.75" customHeight="1" x14ac:dyDescent="0.25"/>
    <row r="858" customFormat="1" ht="15.75" customHeight="1" x14ac:dyDescent="0.25"/>
    <row r="859" customFormat="1" ht="15.75" customHeight="1" x14ac:dyDescent="0.25"/>
    <row r="860" customFormat="1" ht="15.75" customHeight="1" x14ac:dyDescent="0.25"/>
    <row r="861" customFormat="1" ht="15.75" customHeight="1" x14ac:dyDescent="0.25"/>
    <row r="862" customFormat="1" ht="15.75" customHeight="1" x14ac:dyDescent="0.25"/>
    <row r="863" customFormat="1" ht="15.75" customHeight="1" x14ac:dyDescent="0.25"/>
    <row r="864" customFormat="1" ht="15.75" customHeight="1" x14ac:dyDescent="0.25"/>
    <row r="865" customFormat="1" ht="15.75" customHeight="1" x14ac:dyDescent="0.25"/>
    <row r="866" customFormat="1" ht="15.75" customHeight="1" x14ac:dyDescent="0.25"/>
    <row r="867" customFormat="1" ht="15.75" customHeight="1" x14ac:dyDescent="0.25"/>
    <row r="868" customFormat="1" ht="15.75" customHeight="1" x14ac:dyDescent="0.25"/>
    <row r="869" customFormat="1" ht="15.75" customHeight="1" x14ac:dyDescent="0.25"/>
    <row r="870" customFormat="1" ht="15.75" customHeight="1" x14ac:dyDescent="0.25"/>
    <row r="871" customFormat="1" ht="15.75" customHeight="1" x14ac:dyDescent="0.25"/>
    <row r="872" customFormat="1" ht="15.75" customHeight="1" x14ac:dyDescent="0.25"/>
    <row r="873" customFormat="1" ht="15.75" customHeight="1" x14ac:dyDescent="0.25"/>
    <row r="874" customFormat="1" ht="15.75" customHeight="1" x14ac:dyDescent="0.25"/>
    <row r="875" customFormat="1" ht="15.75" customHeight="1" x14ac:dyDescent="0.25"/>
    <row r="876" customFormat="1" ht="15.75" customHeight="1" x14ac:dyDescent="0.25"/>
    <row r="877" customFormat="1" ht="15.75" customHeight="1" x14ac:dyDescent="0.25"/>
    <row r="878" customFormat="1" ht="15.75" customHeight="1" x14ac:dyDescent="0.25"/>
    <row r="879" customFormat="1" ht="15.75" customHeight="1" x14ac:dyDescent="0.25"/>
    <row r="880" customFormat="1" ht="15.75" customHeight="1" x14ac:dyDescent="0.25"/>
    <row r="881" customFormat="1" ht="15.75" customHeight="1" x14ac:dyDescent="0.25"/>
    <row r="882" customFormat="1" ht="15.75" customHeight="1" x14ac:dyDescent="0.25"/>
    <row r="883" customFormat="1" ht="15.75" customHeight="1" x14ac:dyDescent="0.25"/>
    <row r="884" customFormat="1" ht="15.75" customHeight="1" x14ac:dyDescent="0.25"/>
    <row r="885" customFormat="1" ht="15.75" customHeight="1" x14ac:dyDescent="0.25"/>
    <row r="886" customFormat="1" ht="15.75" customHeight="1" x14ac:dyDescent="0.25"/>
    <row r="887" customFormat="1" ht="15.75" customHeight="1" x14ac:dyDescent="0.25"/>
    <row r="888" customFormat="1" ht="15.75" customHeight="1" x14ac:dyDescent="0.25"/>
    <row r="889" customFormat="1" ht="15.75" customHeight="1" x14ac:dyDescent="0.25"/>
    <row r="890" customFormat="1" ht="15.75" customHeight="1" x14ac:dyDescent="0.25"/>
    <row r="891" customFormat="1" ht="15.75" customHeight="1" x14ac:dyDescent="0.25"/>
    <row r="892" customFormat="1" ht="15.75" customHeight="1" x14ac:dyDescent="0.25"/>
    <row r="893" customFormat="1" ht="15.75" customHeight="1" x14ac:dyDescent="0.25"/>
    <row r="894" customFormat="1" ht="15.75" customHeight="1" x14ac:dyDescent="0.25"/>
    <row r="895" customFormat="1" ht="15.75" customHeight="1" x14ac:dyDescent="0.25"/>
    <row r="896" customFormat="1" ht="15.75" customHeight="1" x14ac:dyDescent="0.25"/>
    <row r="897" customFormat="1" ht="15.75" customHeight="1" x14ac:dyDescent="0.25"/>
    <row r="898" customFormat="1" ht="15.75" customHeight="1" x14ac:dyDescent="0.25"/>
    <row r="899" customFormat="1" ht="15.75" customHeight="1" x14ac:dyDescent="0.25"/>
    <row r="900" customFormat="1" ht="15.75" customHeight="1" x14ac:dyDescent="0.25"/>
    <row r="901" customFormat="1" ht="15.75" customHeight="1" x14ac:dyDescent="0.25"/>
    <row r="902" customFormat="1" ht="15.75" customHeight="1" x14ac:dyDescent="0.25"/>
    <row r="903" customFormat="1" ht="15.75" customHeight="1" x14ac:dyDescent="0.25"/>
    <row r="904" customFormat="1" ht="15.75" customHeight="1" x14ac:dyDescent="0.25"/>
    <row r="905" customFormat="1" ht="15.75" customHeight="1" x14ac:dyDescent="0.25"/>
    <row r="906" customFormat="1" ht="15.75" customHeight="1" x14ac:dyDescent="0.25"/>
    <row r="907" customFormat="1" ht="15.75" customHeight="1" x14ac:dyDescent="0.25"/>
    <row r="908" customFormat="1" ht="15.75" customHeight="1" x14ac:dyDescent="0.25"/>
    <row r="909" customFormat="1" ht="15.75" customHeight="1" x14ac:dyDescent="0.25"/>
    <row r="910" customFormat="1" ht="15.75" customHeight="1" x14ac:dyDescent="0.25"/>
    <row r="911" customFormat="1" ht="15.75" customHeight="1" x14ac:dyDescent="0.25"/>
    <row r="912" customFormat="1" ht="15.75" customHeight="1" x14ac:dyDescent="0.25"/>
    <row r="913" customFormat="1" ht="15.75" customHeight="1" x14ac:dyDescent="0.25"/>
    <row r="914" customFormat="1" ht="15.75" customHeight="1" x14ac:dyDescent="0.25"/>
    <row r="915" customFormat="1" ht="15.75" customHeight="1" x14ac:dyDescent="0.25"/>
    <row r="916" customFormat="1" ht="15.75" customHeight="1" x14ac:dyDescent="0.25"/>
    <row r="917" customFormat="1" ht="15.75" customHeight="1" x14ac:dyDescent="0.25"/>
    <row r="918" customFormat="1" ht="15.75" customHeight="1" x14ac:dyDescent="0.25"/>
    <row r="919" customFormat="1" ht="15.75" customHeight="1" x14ac:dyDescent="0.25"/>
    <row r="920" customFormat="1" ht="15.75" customHeight="1" x14ac:dyDescent="0.25"/>
    <row r="921" customFormat="1" ht="15.75" customHeight="1" x14ac:dyDescent="0.25"/>
    <row r="922" customFormat="1" ht="15.75" customHeight="1" x14ac:dyDescent="0.25"/>
    <row r="923" customFormat="1" ht="15.75" customHeight="1" x14ac:dyDescent="0.25"/>
    <row r="924" customFormat="1" ht="15.75" customHeight="1" x14ac:dyDescent="0.25"/>
    <row r="925" customFormat="1" ht="15.75" customHeight="1" x14ac:dyDescent="0.25"/>
    <row r="926" customFormat="1" ht="15.75" customHeight="1" x14ac:dyDescent="0.25"/>
    <row r="927" customFormat="1" ht="15.75" customHeight="1" x14ac:dyDescent="0.25"/>
    <row r="928" customFormat="1" ht="15.75" customHeight="1" x14ac:dyDescent="0.25"/>
    <row r="929" customFormat="1" ht="15.75" customHeight="1" x14ac:dyDescent="0.25"/>
    <row r="930" customFormat="1" ht="15.75" customHeight="1" x14ac:dyDescent="0.25"/>
    <row r="931" customFormat="1" ht="15.75" customHeight="1" x14ac:dyDescent="0.25"/>
    <row r="932" customFormat="1" ht="15.75" customHeight="1" x14ac:dyDescent="0.25"/>
    <row r="933" customFormat="1" ht="15.75" customHeight="1" x14ac:dyDescent="0.25"/>
    <row r="934" customFormat="1" ht="15.75" customHeight="1" x14ac:dyDescent="0.25"/>
    <row r="935" customFormat="1" ht="15.75" customHeight="1" x14ac:dyDescent="0.25"/>
    <row r="936" customFormat="1" ht="15.75" customHeight="1" x14ac:dyDescent="0.25"/>
    <row r="937" customFormat="1" ht="15.75" customHeight="1" x14ac:dyDescent="0.25"/>
    <row r="938" customFormat="1" ht="15.75" customHeight="1" x14ac:dyDescent="0.25"/>
    <row r="939" customFormat="1" ht="15.75" customHeight="1" x14ac:dyDescent="0.25"/>
    <row r="940" customFormat="1" ht="15.75" customHeight="1" x14ac:dyDescent="0.25"/>
    <row r="941" customFormat="1" ht="15.75" customHeight="1" x14ac:dyDescent="0.25"/>
    <row r="942" customFormat="1" ht="15.75" customHeight="1" x14ac:dyDescent="0.25"/>
    <row r="943" customFormat="1" ht="15.75" customHeight="1" x14ac:dyDescent="0.25"/>
    <row r="944" customFormat="1" ht="15.75" customHeight="1" x14ac:dyDescent="0.25"/>
    <row r="945" customFormat="1" ht="15.75" customHeight="1" x14ac:dyDescent="0.25"/>
    <row r="946" customFormat="1" ht="15.75" customHeight="1" x14ac:dyDescent="0.25"/>
    <row r="947" customFormat="1" ht="15.75" customHeight="1" x14ac:dyDescent="0.25"/>
    <row r="948" customFormat="1" ht="15.75" customHeight="1" x14ac:dyDescent="0.25"/>
    <row r="949" customFormat="1" ht="15.75" customHeight="1" x14ac:dyDescent="0.25"/>
    <row r="950" customFormat="1" ht="15.75" customHeight="1" x14ac:dyDescent="0.25"/>
    <row r="951" customFormat="1" ht="15.75" customHeight="1" x14ac:dyDescent="0.25"/>
    <row r="952" customFormat="1" ht="15.75" customHeight="1" x14ac:dyDescent="0.25"/>
    <row r="953" customFormat="1" ht="15.75" customHeight="1" x14ac:dyDescent="0.25"/>
    <row r="954" customFormat="1" ht="15.75" customHeight="1" x14ac:dyDescent="0.25"/>
    <row r="955" customFormat="1" ht="15.75" customHeight="1" x14ac:dyDescent="0.25"/>
    <row r="956" customFormat="1" ht="15.75" customHeight="1" x14ac:dyDescent="0.25"/>
    <row r="957" customFormat="1" ht="15.75" customHeight="1" x14ac:dyDescent="0.25"/>
    <row r="958" customFormat="1" ht="15.75" customHeight="1" x14ac:dyDescent="0.25"/>
    <row r="959" customFormat="1" ht="15.75" customHeight="1" x14ac:dyDescent="0.25"/>
    <row r="960" customFormat="1" ht="15.75" customHeight="1" x14ac:dyDescent="0.25"/>
    <row r="961" customFormat="1" ht="15.75" customHeight="1" x14ac:dyDescent="0.25"/>
    <row r="962" customFormat="1" ht="15.75" customHeight="1" x14ac:dyDescent="0.25"/>
    <row r="963" customFormat="1" ht="15.75" customHeight="1" x14ac:dyDescent="0.25"/>
    <row r="964" customFormat="1" ht="15.75" customHeight="1" x14ac:dyDescent="0.25"/>
    <row r="965" customFormat="1" ht="15.75" customHeight="1" x14ac:dyDescent="0.25"/>
    <row r="966" customFormat="1" ht="15.75" customHeight="1" x14ac:dyDescent="0.25"/>
    <row r="967" customFormat="1" ht="15.75" customHeight="1" x14ac:dyDescent="0.25"/>
    <row r="968" customFormat="1" ht="15.75" customHeight="1" x14ac:dyDescent="0.25"/>
    <row r="969" customFormat="1" ht="15.75" customHeight="1" x14ac:dyDescent="0.25"/>
    <row r="970" customFormat="1" ht="15.75" customHeight="1" x14ac:dyDescent="0.25"/>
    <row r="971" customFormat="1" ht="15.75" customHeight="1" x14ac:dyDescent="0.25"/>
    <row r="972" customFormat="1" ht="15.75" customHeight="1" x14ac:dyDescent="0.25"/>
    <row r="973" customFormat="1" ht="15.75" customHeight="1" x14ac:dyDescent="0.25"/>
    <row r="974" customFormat="1" ht="15.75" customHeight="1" x14ac:dyDescent="0.25"/>
    <row r="975" customFormat="1" ht="15.75" customHeight="1" x14ac:dyDescent="0.25"/>
    <row r="976" customFormat="1" ht="15.75" customHeight="1" x14ac:dyDescent="0.25"/>
    <row r="977" customFormat="1" ht="15.75" customHeight="1" x14ac:dyDescent="0.25"/>
    <row r="978" customFormat="1" ht="15.75" customHeight="1" x14ac:dyDescent="0.25"/>
    <row r="979" customFormat="1" ht="15.75" customHeight="1" x14ac:dyDescent="0.25"/>
    <row r="980" customFormat="1" ht="15.75" customHeight="1" x14ac:dyDescent="0.25"/>
    <row r="981" customFormat="1" ht="15.75" customHeight="1" x14ac:dyDescent="0.25"/>
    <row r="982" customFormat="1" ht="15.75" customHeight="1" x14ac:dyDescent="0.25"/>
    <row r="983" customFormat="1" ht="15.75" customHeight="1" x14ac:dyDescent="0.25"/>
    <row r="984" customFormat="1" ht="15.75" customHeight="1" x14ac:dyDescent="0.25"/>
    <row r="985" customFormat="1" ht="15.75" customHeight="1" x14ac:dyDescent="0.25"/>
    <row r="986" customFormat="1" ht="15.75" customHeight="1" x14ac:dyDescent="0.25"/>
    <row r="987" customFormat="1" ht="15.75" customHeight="1" x14ac:dyDescent="0.25"/>
    <row r="988" customFormat="1" ht="15.75" customHeight="1" x14ac:dyDescent="0.25"/>
    <row r="989" customFormat="1" ht="15.75" customHeight="1" x14ac:dyDescent="0.25"/>
    <row r="990" customFormat="1" ht="15.75" customHeight="1" x14ac:dyDescent="0.25"/>
    <row r="991" customFormat="1" ht="15.75" customHeight="1" x14ac:dyDescent="0.25"/>
    <row r="992" customFormat="1" ht="15.75" customHeight="1" x14ac:dyDescent="0.25"/>
    <row r="993" customFormat="1" ht="15.75" customHeight="1" x14ac:dyDescent="0.25"/>
    <row r="994" customFormat="1" ht="15.75" customHeight="1" x14ac:dyDescent="0.25"/>
    <row r="995" customFormat="1" ht="15.75" customHeight="1" x14ac:dyDescent="0.25"/>
    <row r="996" customFormat="1" ht="15.75" customHeight="1" x14ac:dyDescent="0.25"/>
    <row r="997" customFormat="1" ht="15.75" customHeight="1" x14ac:dyDescent="0.25"/>
    <row r="998" customFormat="1" ht="15.75" customHeight="1" x14ac:dyDescent="0.25"/>
    <row r="999" customFormat="1" ht="15" customHeight="1" x14ac:dyDescent="0.25"/>
    <row r="1000" customFormat="1" ht="15" customHeight="1" x14ac:dyDescent="0.25"/>
    <row r="1001" customFormat="1" ht="15" customHeight="1" x14ac:dyDescent="0.25"/>
    <row r="1002" customFormat="1" ht="15" customHeight="1" x14ac:dyDescent="0.25"/>
    <row r="1003" customFormat="1" ht="15" customHeight="1" x14ac:dyDescent="0.25"/>
    <row r="1004" customFormat="1" ht="15" customHeight="1" x14ac:dyDescent="0.25"/>
    <row r="1005" customFormat="1" ht="15" customHeight="1" x14ac:dyDescent="0.25"/>
  </sheetData>
  <mergeCells count="2">
    <mergeCell ref="B2:BD3"/>
    <mergeCell ref="B4:BD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6522B-865C-48FF-AD77-7CCE4B048214}">
  <dimension ref="B2:DL858"/>
  <sheetViews>
    <sheetView showGridLines="0" tabSelected="1" zoomScale="55" zoomScaleNormal="55" workbookViewId="0">
      <pane xSplit="2" ySplit="8" topLeftCell="C9" activePane="bottomRight" state="frozen"/>
      <selection pane="topRight" activeCell="B1" sqref="B1"/>
      <selection pane="bottomLeft" activeCell="A4" sqref="A4"/>
      <selection pane="bottomRight" activeCell="C23" sqref="C23:C25"/>
    </sheetView>
  </sheetViews>
  <sheetFormatPr defaultColWidth="14.42578125" defaultRowHeight="15" customHeight="1" x14ac:dyDescent="0.25"/>
  <cols>
    <col min="1" max="1" width="2.5703125" customWidth="1"/>
    <col min="2" max="2" width="67.7109375" bestFit="1" customWidth="1"/>
    <col min="3" max="3" width="25.28515625" bestFit="1" customWidth="1"/>
    <col min="4" max="4" width="9.7109375" style="1" bestFit="1" customWidth="1"/>
    <col min="5" max="5" width="20.140625" style="1" bestFit="1" customWidth="1"/>
    <col min="6" max="6" width="18.28515625" style="1" bestFit="1" customWidth="1"/>
    <col min="7" max="7" width="3.7109375" customWidth="1"/>
    <col min="8" max="8" width="8.7109375" bestFit="1" customWidth="1"/>
    <col min="9" max="9" width="21.7109375" bestFit="1" customWidth="1"/>
    <col min="10" max="10" width="8.7109375" bestFit="1" customWidth="1"/>
    <col min="11" max="11" width="21.7109375" bestFit="1" customWidth="1"/>
    <col min="12" max="12" width="8.7109375" bestFit="1" customWidth="1"/>
    <col min="13" max="13" width="21.7109375" bestFit="1" customWidth="1"/>
    <col min="14" max="14" width="8.7109375" bestFit="1" customWidth="1"/>
    <col min="15" max="15" width="22" bestFit="1" customWidth="1"/>
    <col min="16" max="16" width="8.7109375" bestFit="1" customWidth="1"/>
    <col min="17" max="17" width="21.140625" bestFit="1" customWidth="1"/>
    <col min="18" max="18" width="7.140625" bestFit="1" customWidth="1"/>
    <col min="19" max="19" width="21.140625" bestFit="1" customWidth="1"/>
    <col min="20" max="20" width="7.140625" bestFit="1" customWidth="1"/>
    <col min="21" max="21" width="21.7109375" bestFit="1" customWidth="1"/>
    <col min="22" max="22" width="7.140625" bestFit="1" customWidth="1"/>
    <col min="23" max="23" width="21.7109375" bestFit="1" customWidth="1"/>
    <col min="24" max="24" width="7.140625" bestFit="1" customWidth="1"/>
    <col min="25" max="25" width="22.42578125" bestFit="1" customWidth="1"/>
    <col min="26" max="26" width="7.140625" bestFit="1" customWidth="1"/>
    <col min="27" max="27" width="22.42578125" bestFit="1" customWidth="1"/>
    <col min="28" max="28" width="7.28515625" bestFit="1" customWidth="1"/>
    <col min="29" max="29" width="21.7109375" bestFit="1" customWidth="1"/>
    <col min="30" max="30" width="7.28515625" bestFit="1" customWidth="1"/>
    <col min="31" max="31" width="22.28515625" bestFit="1" customWidth="1"/>
    <col min="32" max="32" width="7.28515625" bestFit="1" customWidth="1"/>
    <col min="33" max="33" width="22" bestFit="1" customWidth="1"/>
    <col min="34" max="34" width="7.28515625" bestFit="1" customWidth="1"/>
    <col min="35" max="35" width="21.42578125" bestFit="1" customWidth="1"/>
    <col min="36" max="36" width="7.28515625" bestFit="1" customWidth="1"/>
    <col min="37" max="37" width="21.42578125" bestFit="1" customWidth="1"/>
    <col min="38" max="38" width="7.28515625" bestFit="1" customWidth="1"/>
    <col min="39" max="39" width="20.42578125" bestFit="1" customWidth="1"/>
    <col min="40" max="40" width="7.28515625" bestFit="1" customWidth="1"/>
    <col min="41" max="41" width="20.42578125" bestFit="1" customWidth="1"/>
    <col min="42" max="42" width="7.28515625" bestFit="1" customWidth="1"/>
    <col min="43" max="43" width="20.42578125" bestFit="1" customWidth="1"/>
    <col min="44" max="44" width="7.28515625" bestFit="1" customWidth="1"/>
    <col min="45" max="45" width="20.42578125" bestFit="1" customWidth="1"/>
    <col min="46" max="46" width="7.28515625" bestFit="1" customWidth="1"/>
    <col min="47" max="47" width="20.42578125" bestFit="1" customWidth="1"/>
    <col min="48" max="48" width="7.28515625" bestFit="1" customWidth="1"/>
    <col min="49" max="49" width="20.42578125" bestFit="1" customWidth="1"/>
    <col min="50" max="50" width="7.28515625" bestFit="1" customWidth="1"/>
    <col min="51" max="51" width="20.42578125" bestFit="1" customWidth="1"/>
    <col min="52" max="52" width="7.28515625" bestFit="1" customWidth="1"/>
    <col min="53" max="53" width="21.7109375" bestFit="1" customWidth="1"/>
    <col min="54" max="54" width="7.28515625" bestFit="1" customWidth="1"/>
    <col min="55" max="55" width="21.7109375" bestFit="1" customWidth="1"/>
    <col min="56" max="56" width="7.28515625" bestFit="1" customWidth="1"/>
    <col min="57" max="57" width="21.7109375" bestFit="1" customWidth="1"/>
    <col min="58" max="58" width="7.28515625" bestFit="1" customWidth="1"/>
    <col min="59" max="59" width="22.28515625" bestFit="1" customWidth="1"/>
    <col min="60" max="60" width="7.28515625" bestFit="1" customWidth="1"/>
    <col min="61" max="61" width="21.7109375" bestFit="1" customWidth="1"/>
    <col min="62" max="62" width="8.140625" bestFit="1" customWidth="1"/>
    <col min="63" max="63" width="22.28515625" bestFit="1" customWidth="1"/>
    <col min="64" max="64" width="8.140625" bestFit="1" customWidth="1"/>
    <col min="65" max="65" width="22" bestFit="1" customWidth="1"/>
    <col min="66" max="66" width="8.140625" bestFit="1" customWidth="1"/>
    <col min="67" max="67" width="22" bestFit="1" customWidth="1"/>
    <col min="68" max="68" width="8.140625" bestFit="1" customWidth="1"/>
    <col min="69" max="69" width="22" bestFit="1" customWidth="1"/>
    <col min="70" max="70" width="8.140625" bestFit="1" customWidth="1"/>
    <col min="71" max="71" width="21.7109375" bestFit="1" customWidth="1"/>
    <col min="72" max="72" width="8.7109375" bestFit="1" customWidth="1"/>
    <col min="73" max="73" width="21.7109375" bestFit="1" customWidth="1"/>
    <col min="74" max="74" width="8.7109375" bestFit="1" customWidth="1"/>
    <col min="75" max="75" width="21.7109375" bestFit="1" customWidth="1"/>
    <col min="76" max="76" width="8.7109375" bestFit="1" customWidth="1"/>
    <col min="77" max="77" width="22.28515625" bestFit="1" customWidth="1"/>
    <col min="78" max="78" width="8.140625" bestFit="1" customWidth="1"/>
    <col min="79" max="79" width="22.28515625" bestFit="1" customWidth="1"/>
    <col min="80" max="80" width="8.140625" bestFit="1" customWidth="1"/>
    <col min="81" max="81" width="21.7109375" bestFit="1" customWidth="1"/>
    <col min="82" max="82" width="7.140625" bestFit="1" customWidth="1"/>
    <col min="83" max="83" width="21.7109375" bestFit="1" customWidth="1"/>
    <col min="84" max="84" width="6.85546875" bestFit="1" customWidth="1"/>
    <col min="85" max="85" width="22.28515625" bestFit="1" customWidth="1"/>
    <col min="86" max="86" width="6.85546875" bestFit="1" customWidth="1"/>
    <col min="87" max="87" width="22.28515625" bestFit="1" customWidth="1"/>
    <col min="88" max="88" width="6.85546875" bestFit="1" customWidth="1"/>
    <col min="89" max="89" width="19.42578125" bestFit="1" customWidth="1"/>
    <col min="90" max="90" width="6.85546875" bestFit="1" customWidth="1"/>
    <col min="91" max="91" width="19.42578125" bestFit="1" customWidth="1"/>
    <col min="92" max="92" width="6.85546875" customWidth="1"/>
    <col min="93" max="93" width="19.42578125" bestFit="1" customWidth="1"/>
    <col min="94" max="94" width="7.42578125" bestFit="1" customWidth="1"/>
    <col min="95" max="95" width="21.7109375" bestFit="1" customWidth="1"/>
    <col min="96" max="96" width="7.42578125" bestFit="1" customWidth="1"/>
    <col min="97" max="97" width="21.7109375" bestFit="1" customWidth="1"/>
    <col min="98" max="98" width="7.42578125" bestFit="1" customWidth="1"/>
    <col min="99" max="99" width="21.7109375" bestFit="1" customWidth="1"/>
    <col min="100" max="100" width="7.42578125" bestFit="1" customWidth="1"/>
    <col min="101" max="101" width="21.7109375" bestFit="1" customWidth="1"/>
    <col min="102" max="102" width="7.42578125" bestFit="1" customWidth="1"/>
    <col min="103" max="103" width="21.7109375" bestFit="1" customWidth="1"/>
    <col min="104" max="104" width="7.42578125" bestFit="1" customWidth="1"/>
    <col min="105" max="105" width="21.7109375" bestFit="1" customWidth="1"/>
    <col min="106" max="106" width="7.42578125" bestFit="1" customWidth="1"/>
    <col min="107" max="107" width="21.7109375" bestFit="1" customWidth="1"/>
    <col min="108" max="108" width="7.42578125" bestFit="1" customWidth="1"/>
    <col min="109" max="109" width="21.7109375" bestFit="1" customWidth="1"/>
    <col min="110" max="110" width="7.42578125" bestFit="1" customWidth="1"/>
    <col min="111" max="111" width="21.7109375" bestFit="1" customWidth="1"/>
    <col min="112" max="112" width="7.42578125" bestFit="1" customWidth="1"/>
    <col min="113" max="113" width="21.7109375" bestFit="1" customWidth="1"/>
    <col min="114" max="114" width="7.42578125" bestFit="1" customWidth="1"/>
    <col min="115" max="115" width="21.7109375" bestFit="1" customWidth="1"/>
    <col min="116" max="116" width="20.7109375" bestFit="1" customWidth="1"/>
  </cols>
  <sheetData>
    <row r="2" spans="2:115" ht="15" customHeight="1" x14ac:dyDescent="0.25">
      <c r="B2" s="116" t="s">
        <v>76</v>
      </c>
      <c r="C2" s="117"/>
      <c r="D2" s="117"/>
      <c r="E2" s="117"/>
      <c r="F2" s="117"/>
      <c r="G2" s="117"/>
      <c r="H2" s="118"/>
    </row>
    <row r="3" spans="2:115" ht="22.5" customHeight="1" x14ac:dyDescent="0.25">
      <c r="B3" s="119"/>
      <c r="C3" s="120"/>
      <c r="D3" s="120"/>
      <c r="E3" s="120"/>
      <c r="F3" s="120"/>
      <c r="G3" s="120"/>
      <c r="H3" s="121"/>
    </row>
    <row r="4" spans="2:115" ht="26.25" customHeight="1" x14ac:dyDescent="0.4">
      <c r="B4" s="122" t="s">
        <v>105</v>
      </c>
      <c r="C4" s="123"/>
      <c r="D4" s="123"/>
      <c r="E4" s="123"/>
      <c r="F4" s="123"/>
      <c r="G4" s="123"/>
      <c r="H4" s="124"/>
    </row>
    <row r="5" spans="2:115" ht="13.5" customHeight="1" x14ac:dyDescent="0.25">
      <c r="B5" s="51"/>
      <c r="C5" s="52"/>
      <c r="D5" s="52"/>
      <c r="E5" s="52"/>
      <c r="F5" s="52"/>
      <c r="G5" s="54"/>
      <c r="H5" s="55"/>
    </row>
    <row r="6" spans="2:115" ht="15" customHeight="1" thickBot="1" x14ac:dyDescent="0.3"/>
    <row r="7" spans="2:115" ht="19.5" customHeight="1" x14ac:dyDescent="0.25">
      <c r="B7" s="125" t="s">
        <v>47</v>
      </c>
      <c r="C7" s="127" t="s">
        <v>48</v>
      </c>
      <c r="D7" s="127" t="s">
        <v>49</v>
      </c>
      <c r="E7" s="129" t="s">
        <v>50</v>
      </c>
      <c r="F7" s="131" t="s">
        <v>103</v>
      </c>
      <c r="H7" s="115" t="s">
        <v>1</v>
      </c>
      <c r="I7" s="114"/>
      <c r="J7" s="114" t="s">
        <v>2</v>
      </c>
      <c r="K7" s="114"/>
      <c r="L7" s="115" t="s">
        <v>3</v>
      </c>
      <c r="M7" s="114"/>
      <c r="N7" s="114" t="s">
        <v>4</v>
      </c>
      <c r="O7" s="114"/>
      <c r="P7" s="115" t="s">
        <v>5</v>
      </c>
      <c r="Q7" s="114"/>
      <c r="R7" s="114" t="s">
        <v>6</v>
      </c>
      <c r="S7" s="114"/>
      <c r="T7" s="115" t="s">
        <v>7</v>
      </c>
      <c r="U7" s="114"/>
      <c r="V7" s="114" t="s">
        <v>8</v>
      </c>
      <c r="W7" s="114"/>
      <c r="X7" s="115" t="s">
        <v>9</v>
      </c>
      <c r="Y7" s="114"/>
      <c r="Z7" s="114" t="s">
        <v>10</v>
      </c>
      <c r="AA7" s="114"/>
      <c r="AB7" s="115" t="s">
        <v>11</v>
      </c>
      <c r="AC7" s="114"/>
      <c r="AD7" s="114" t="s">
        <v>12</v>
      </c>
      <c r="AE7" s="114"/>
      <c r="AF7" s="115" t="s">
        <v>13</v>
      </c>
      <c r="AG7" s="114"/>
      <c r="AH7" s="114" t="s">
        <v>14</v>
      </c>
      <c r="AI7" s="114"/>
      <c r="AJ7" s="115" t="s">
        <v>15</v>
      </c>
      <c r="AK7" s="114"/>
      <c r="AL7" s="114" t="s">
        <v>16</v>
      </c>
      <c r="AM7" s="114"/>
      <c r="AN7" s="115" t="s">
        <v>17</v>
      </c>
      <c r="AO7" s="114"/>
      <c r="AP7" s="114" t="s">
        <v>18</v>
      </c>
      <c r="AQ7" s="114"/>
      <c r="AR7" s="115" t="s">
        <v>19</v>
      </c>
      <c r="AS7" s="114"/>
      <c r="AT7" s="114" t="s">
        <v>20</v>
      </c>
      <c r="AU7" s="114"/>
      <c r="AV7" s="115" t="s">
        <v>21</v>
      </c>
      <c r="AW7" s="114"/>
      <c r="AX7" s="114" t="s">
        <v>22</v>
      </c>
      <c r="AY7" s="114"/>
      <c r="AZ7" s="115" t="s">
        <v>23</v>
      </c>
      <c r="BA7" s="114"/>
      <c r="BB7" s="114" t="s">
        <v>24</v>
      </c>
      <c r="BC7" s="114"/>
      <c r="BD7" s="115" t="s">
        <v>25</v>
      </c>
      <c r="BE7" s="114"/>
      <c r="BF7" s="114" t="s">
        <v>26</v>
      </c>
      <c r="BG7" s="114"/>
      <c r="BH7" s="115" t="s">
        <v>27</v>
      </c>
      <c r="BI7" s="114"/>
      <c r="BJ7" s="114" t="s">
        <v>28</v>
      </c>
      <c r="BK7" s="114"/>
      <c r="BL7" s="115" t="s">
        <v>29</v>
      </c>
      <c r="BM7" s="114"/>
      <c r="BN7" s="114" t="s">
        <v>30</v>
      </c>
      <c r="BO7" s="114"/>
      <c r="BP7" s="115" t="s">
        <v>31</v>
      </c>
      <c r="BQ7" s="114"/>
      <c r="BR7" s="114" t="s">
        <v>32</v>
      </c>
      <c r="BS7" s="114"/>
      <c r="BT7" s="115" t="s">
        <v>33</v>
      </c>
      <c r="BU7" s="114"/>
      <c r="BV7" s="114" t="s">
        <v>34</v>
      </c>
      <c r="BW7" s="114"/>
      <c r="BX7" s="115" t="s">
        <v>35</v>
      </c>
      <c r="BY7" s="114"/>
      <c r="BZ7" s="114" t="s">
        <v>36</v>
      </c>
      <c r="CA7" s="114"/>
      <c r="CB7" s="115" t="s">
        <v>37</v>
      </c>
      <c r="CC7" s="114"/>
      <c r="CD7" s="114" t="s">
        <v>38</v>
      </c>
      <c r="CE7" s="114"/>
      <c r="CF7" s="115" t="s">
        <v>39</v>
      </c>
      <c r="CG7" s="114"/>
      <c r="CH7" s="114" t="s">
        <v>40</v>
      </c>
      <c r="CI7" s="114"/>
      <c r="CJ7" s="115" t="s">
        <v>77</v>
      </c>
      <c r="CK7" s="114"/>
      <c r="CL7" s="114" t="s">
        <v>78</v>
      </c>
      <c r="CM7" s="114"/>
      <c r="CN7" s="115" t="s">
        <v>79</v>
      </c>
      <c r="CO7" s="114"/>
      <c r="CP7" s="114" t="s">
        <v>80</v>
      </c>
      <c r="CQ7" s="114"/>
      <c r="CR7" s="115" t="s">
        <v>81</v>
      </c>
      <c r="CS7" s="114"/>
      <c r="CT7" s="114" t="s">
        <v>82</v>
      </c>
      <c r="CU7" s="114"/>
      <c r="CV7" s="115" t="s">
        <v>83</v>
      </c>
      <c r="CW7" s="114"/>
      <c r="CX7" s="114" t="s">
        <v>84</v>
      </c>
      <c r="CY7" s="114"/>
      <c r="CZ7" s="115" t="s">
        <v>85</v>
      </c>
      <c r="DA7" s="114"/>
      <c r="DB7" s="114" t="s">
        <v>86</v>
      </c>
      <c r="DC7" s="114"/>
      <c r="DD7" s="115" t="s">
        <v>87</v>
      </c>
      <c r="DE7" s="114"/>
      <c r="DF7" s="114" t="s">
        <v>88</v>
      </c>
      <c r="DG7" s="114"/>
      <c r="DH7" s="115" t="s">
        <v>89</v>
      </c>
      <c r="DI7" s="114"/>
      <c r="DJ7" s="115" t="s">
        <v>90</v>
      </c>
      <c r="DK7" s="114"/>
    </row>
    <row r="8" spans="2:115" ht="19.5" customHeight="1" x14ac:dyDescent="0.25">
      <c r="B8" s="126"/>
      <c r="C8" s="128"/>
      <c r="D8" s="128"/>
      <c r="E8" s="130"/>
      <c r="F8" s="132"/>
      <c r="H8" s="25" t="s">
        <v>49</v>
      </c>
      <c r="I8" s="32" t="s">
        <v>72</v>
      </c>
      <c r="J8" s="32" t="s">
        <v>49</v>
      </c>
      <c r="K8" s="32" t="s">
        <v>72</v>
      </c>
      <c r="L8" s="32" t="s">
        <v>49</v>
      </c>
      <c r="M8" s="32" t="s">
        <v>72</v>
      </c>
      <c r="N8" s="32" t="s">
        <v>49</v>
      </c>
      <c r="O8" s="32" t="s">
        <v>72</v>
      </c>
      <c r="P8" s="32" t="s">
        <v>49</v>
      </c>
      <c r="Q8" s="32" t="s">
        <v>72</v>
      </c>
      <c r="R8" s="32" t="s">
        <v>49</v>
      </c>
      <c r="S8" s="32" t="s">
        <v>72</v>
      </c>
      <c r="T8" s="32" t="s">
        <v>49</v>
      </c>
      <c r="U8" s="32" t="s">
        <v>72</v>
      </c>
      <c r="V8" s="32" t="s">
        <v>49</v>
      </c>
      <c r="W8" s="32" t="s">
        <v>72</v>
      </c>
      <c r="X8" s="32" t="s">
        <v>49</v>
      </c>
      <c r="Y8" s="32" t="s">
        <v>72</v>
      </c>
      <c r="Z8" s="32" t="s">
        <v>49</v>
      </c>
      <c r="AA8" s="32" t="s">
        <v>72</v>
      </c>
      <c r="AB8" s="32" t="s">
        <v>49</v>
      </c>
      <c r="AC8" s="32" t="s">
        <v>72</v>
      </c>
      <c r="AD8" s="32" t="s">
        <v>49</v>
      </c>
      <c r="AE8" s="32" t="s">
        <v>72</v>
      </c>
      <c r="AF8" s="32" t="s">
        <v>49</v>
      </c>
      <c r="AG8" s="32" t="s">
        <v>72</v>
      </c>
      <c r="AH8" s="32" t="s">
        <v>49</v>
      </c>
      <c r="AI8" s="32" t="s">
        <v>72</v>
      </c>
      <c r="AJ8" s="32" t="s">
        <v>49</v>
      </c>
      <c r="AK8" s="32" t="s">
        <v>72</v>
      </c>
      <c r="AL8" s="32" t="s">
        <v>49</v>
      </c>
      <c r="AM8" s="32" t="s">
        <v>72</v>
      </c>
      <c r="AN8" s="32" t="s">
        <v>49</v>
      </c>
      <c r="AO8" s="32" t="s">
        <v>72</v>
      </c>
      <c r="AP8" s="32" t="s">
        <v>49</v>
      </c>
      <c r="AQ8" s="32" t="s">
        <v>72</v>
      </c>
      <c r="AR8" s="32" t="s">
        <v>49</v>
      </c>
      <c r="AS8" s="32" t="s">
        <v>72</v>
      </c>
      <c r="AT8" s="32" t="s">
        <v>49</v>
      </c>
      <c r="AU8" s="32" t="s">
        <v>72</v>
      </c>
      <c r="AV8" s="32" t="s">
        <v>49</v>
      </c>
      <c r="AW8" s="32" t="s">
        <v>72</v>
      </c>
      <c r="AX8" s="32" t="s">
        <v>49</v>
      </c>
      <c r="AY8" s="32" t="s">
        <v>72</v>
      </c>
      <c r="AZ8" s="32" t="s">
        <v>49</v>
      </c>
      <c r="BA8" s="32" t="s">
        <v>72</v>
      </c>
      <c r="BB8" s="32" t="s">
        <v>49</v>
      </c>
      <c r="BC8" s="32" t="s">
        <v>72</v>
      </c>
      <c r="BD8" s="32" t="s">
        <v>49</v>
      </c>
      <c r="BE8" s="32" t="s">
        <v>72</v>
      </c>
      <c r="BF8" s="32" t="s">
        <v>49</v>
      </c>
      <c r="BG8" s="32" t="s">
        <v>72</v>
      </c>
      <c r="BH8" s="32" t="s">
        <v>49</v>
      </c>
      <c r="BI8" s="32" t="s">
        <v>72</v>
      </c>
      <c r="BJ8" s="32" t="s">
        <v>49</v>
      </c>
      <c r="BK8" s="32" t="s">
        <v>72</v>
      </c>
      <c r="BL8" s="32" t="s">
        <v>49</v>
      </c>
      <c r="BM8" s="32" t="s">
        <v>72</v>
      </c>
      <c r="BN8" s="32" t="s">
        <v>49</v>
      </c>
      <c r="BO8" s="32" t="s">
        <v>72</v>
      </c>
      <c r="BP8" s="32" t="s">
        <v>49</v>
      </c>
      <c r="BQ8" s="32" t="s">
        <v>72</v>
      </c>
      <c r="BR8" s="32" t="s">
        <v>49</v>
      </c>
      <c r="BS8" s="32" t="s">
        <v>72</v>
      </c>
      <c r="BT8" s="32" t="s">
        <v>49</v>
      </c>
      <c r="BU8" s="32" t="s">
        <v>72</v>
      </c>
      <c r="BV8" s="32" t="s">
        <v>49</v>
      </c>
      <c r="BW8" s="32" t="s">
        <v>72</v>
      </c>
      <c r="BX8" s="32" t="s">
        <v>49</v>
      </c>
      <c r="BY8" s="32" t="s">
        <v>72</v>
      </c>
      <c r="BZ8" s="32" t="s">
        <v>49</v>
      </c>
      <c r="CA8" s="32" t="s">
        <v>72</v>
      </c>
      <c r="CB8" s="32" t="s">
        <v>49</v>
      </c>
      <c r="CC8" s="32" t="s">
        <v>72</v>
      </c>
      <c r="CD8" s="32" t="s">
        <v>49</v>
      </c>
      <c r="CE8" s="32" t="s">
        <v>72</v>
      </c>
      <c r="CF8" s="32" t="s">
        <v>49</v>
      </c>
      <c r="CG8" s="32" t="s">
        <v>72</v>
      </c>
      <c r="CH8" s="32" t="s">
        <v>49</v>
      </c>
      <c r="CI8" s="32" t="s">
        <v>72</v>
      </c>
      <c r="CJ8" s="32" t="s">
        <v>49</v>
      </c>
      <c r="CK8" s="32" t="s">
        <v>72</v>
      </c>
      <c r="CL8" s="32" t="s">
        <v>49</v>
      </c>
      <c r="CM8" s="32" t="s">
        <v>72</v>
      </c>
      <c r="CN8" s="32" t="s">
        <v>49</v>
      </c>
      <c r="CO8" s="32" t="s">
        <v>72</v>
      </c>
      <c r="CP8" s="32" t="s">
        <v>49</v>
      </c>
      <c r="CQ8" s="32" t="s">
        <v>72</v>
      </c>
      <c r="CR8" s="32" t="s">
        <v>49</v>
      </c>
      <c r="CS8" s="32" t="s">
        <v>72</v>
      </c>
      <c r="CT8" s="32" t="s">
        <v>49</v>
      </c>
      <c r="CU8" s="32" t="s">
        <v>72</v>
      </c>
      <c r="CV8" s="32" t="s">
        <v>49</v>
      </c>
      <c r="CW8" s="32" t="s">
        <v>72</v>
      </c>
      <c r="CX8" s="32" t="s">
        <v>49</v>
      </c>
      <c r="CY8" s="32" t="s">
        <v>72</v>
      </c>
      <c r="CZ8" s="32" t="s">
        <v>49</v>
      </c>
      <c r="DA8" s="32" t="s">
        <v>72</v>
      </c>
      <c r="DB8" s="32" t="s">
        <v>49</v>
      </c>
      <c r="DC8" s="32" t="s">
        <v>72</v>
      </c>
      <c r="DD8" s="32" t="s">
        <v>49</v>
      </c>
      <c r="DE8" s="32" t="s">
        <v>72</v>
      </c>
      <c r="DF8" s="32" t="s">
        <v>49</v>
      </c>
      <c r="DG8" s="32" t="s">
        <v>72</v>
      </c>
      <c r="DH8" s="32" t="s">
        <v>49</v>
      </c>
      <c r="DI8" s="32" t="s">
        <v>72</v>
      </c>
      <c r="DJ8" s="32" t="s">
        <v>49</v>
      </c>
      <c r="DK8" s="26" t="s">
        <v>72</v>
      </c>
    </row>
    <row r="9" spans="2:115" ht="19.5" customHeight="1" x14ac:dyDescent="0.25">
      <c r="B9" s="46" t="s">
        <v>51</v>
      </c>
      <c r="C9" s="57">
        <v>3622621.2808010732</v>
      </c>
      <c r="D9" s="47">
        <f>C9/$C$26</f>
        <v>0.11610020004490057</v>
      </c>
      <c r="E9" s="61">
        <f>C9/'DISTRIBUIÇÃO CUSTO'!C$30</f>
        <v>391.95550096685321</v>
      </c>
      <c r="F9" s="81">
        <f t="shared" ref="F9:F24" si="0">SUMIFS($H9:$DK9,$H$8:$DK$8,$H$8)</f>
        <v>1.000000000000002</v>
      </c>
      <c r="H9" s="48">
        <v>8.4420508276204079E-2</v>
      </c>
      <c r="I9" s="49">
        <f t="shared" ref="I9:I25" si="1">$C9*H9</f>
        <v>305823.52981742</v>
      </c>
      <c r="J9" s="48">
        <v>6.6473697850443089E-2</v>
      </c>
      <c r="K9" s="49">
        <f t="shared" ref="K9:K11" si="2">$C9*J9</f>
        <v>240809.03244655568</v>
      </c>
      <c r="L9" s="48">
        <v>6.6473697850443089E-2</v>
      </c>
      <c r="M9" s="49">
        <f t="shared" ref="M9" si="3">$C9*L9</f>
        <v>240809.03244655568</v>
      </c>
      <c r="N9" s="48">
        <v>5.888395321073342E-2</v>
      </c>
      <c r="O9" s="49">
        <f t="shared" ref="O9:O24" si="4">$C9*N9</f>
        <v>213314.26199889756</v>
      </c>
      <c r="P9" s="48">
        <v>5.888395321073342E-2</v>
      </c>
      <c r="Q9" s="49">
        <f t="shared" ref="Q9" si="5">$C9*P9</f>
        <v>213314.26199889756</v>
      </c>
      <c r="R9" s="48">
        <v>5.888395321073342E-2</v>
      </c>
      <c r="S9" s="49">
        <f t="shared" ref="S9" si="6">$C9*R9</f>
        <v>213314.26199889756</v>
      </c>
      <c r="T9" s="48">
        <v>1.26245882581398E-2</v>
      </c>
      <c r="U9" s="49">
        <f t="shared" ref="U9" si="7">$C9*T9</f>
        <v>45734.102085288592</v>
      </c>
      <c r="V9" s="48">
        <v>1.26245882581398E-2</v>
      </c>
      <c r="W9" s="49">
        <f t="shared" ref="W9" si="8">$C9*V9</f>
        <v>45734.102085288592</v>
      </c>
      <c r="X9" s="48">
        <v>1.26245882581398E-2</v>
      </c>
      <c r="Y9" s="49">
        <f t="shared" ref="Y9" si="9">$C9*X9</f>
        <v>45734.102085288592</v>
      </c>
      <c r="Z9" s="48">
        <v>1.26245882581398E-2</v>
      </c>
      <c r="AA9" s="49">
        <f t="shared" ref="AA9" si="10">$C9*Z9</f>
        <v>45734.102085288592</v>
      </c>
      <c r="AB9" s="48">
        <v>1.26245882581398E-2</v>
      </c>
      <c r="AC9" s="49">
        <f t="shared" ref="AC9" si="11">$C9*AB9</f>
        <v>45734.102085288592</v>
      </c>
      <c r="AD9" s="48">
        <v>1.26245882581398E-2</v>
      </c>
      <c r="AE9" s="49">
        <f t="shared" ref="AE9" si="12">$C9*AD9</f>
        <v>45734.102085288592</v>
      </c>
      <c r="AF9" s="48">
        <v>1.26245882581398E-2</v>
      </c>
      <c r="AG9" s="49">
        <f t="shared" ref="AG9" si="13">$C9*AF9</f>
        <v>45734.102085288592</v>
      </c>
      <c r="AH9" s="48">
        <v>1.26245882581398E-2</v>
      </c>
      <c r="AI9" s="49">
        <f t="shared" ref="AI9" si="14">$C9*AH9</f>
        <v>45734.102085288592</v>
      </c>
      <c r="AJ9" s="48">
        <v>1.26245882581398E-2</v>
      </c>
      <c r="AK9" s="49">
        <f t="shared" ref="AK9" si="15">$C9*AJ9</f>
        <v>45734.102085288592</v>
      </c>
      <c r="AL9" s="48">
        <v>1.26245882581398E-2</v>
      </c>
      <c r="AM9" s="49">
        <f t="shared" ref="AM9" si="16">$C9*AL9</f>
        <v>45734.102085288592</v>
      </c>
      <c r="AN9" s="48">
        <v>1.26245882581398E-2</v>
      </c>
      <c r="AO9" s="49">
        <f t="shared" ref="AO9" si="17">$C9*AN9</f>
        <v>45734.102085288592</v>
      </c>
      <c r="AP9" s="48">
        <v>1.26245882581398E-2</v>
      </c>
      <c r="AQ9" s="49">
        <f t="shared" ref="AQ9" si="18">$C9*AP9</f>
        <v>45734.102085288592</v>
      </c>
      <c r="AR9" s="48">
        <v>1.26245882581398E-2</v>
      </c>
      <c r="AS9" s="49">
        <f t="shared" ref="AS9" si="19">$C9*AR9</f>
        <v>45734.102085288592</v>
      </c>
      <c r="AT9" s="48">
        <v>1.26245882581398E-2</v>
      </c>
      <c r="AU9" s="49">
        <f t="shared" ref="AU9" si="20">$C9*AT9</f>
        <v>45734.102085288592</v>
      </c>
      <c r="AV9" s="48">
        <v>1.26245882581398E-2</v>
      </c>
      <c r="AW9" s="49">
        <f t="shared" ref="AW9" si="21">$C9*AV9</f>
        <v>45734.102085288592</v>
      </c>
      <c r="AX9" s="48">
        <v>1.26245882581398E-2</v>
      </c>
      <c r="AY9" s="49">
        <f t="shared" ref="AY9" si="22">$C9*AX9</f>
        <v>45734.102085288592</v>
      </c>
      <c r="AZ9" s="48">
        <v>1.26245882581398E-2</v>
      </c>
      <c r="BA9" s="49">
        <f t="shared" ref="BA9" si="23">$C9*AZ9</f>
        <v>45734.102085288592</v>
      </c>
      <c r="BB9" s="48">
        <v>1.26245882581398E-2</v>
      </c>
      <c r="BC9" s="49">
        <f t="shared" ref="BC9" si="24">$C9*BB9</f>
        <v>45734.102085288592</v>
      </c>
      <c r="BD9" s="48">
        <v>1.26245882581398E-2</v>
      </c>
      <c r="BE9" s="49">
        <f t="shared" ref="BE9" si="25">$C9*BD9</f>
        <v>45734.102085288592</v>
      </c>
      <c r="BF9" s="48">
        <v>1.26245882581398E-2</v>
      </c>
      <c r="BG9" s="49">
        <f t="shared" ref="BG9" si="26">$C9*BF9</f>
        <v>45734.102085288592</v>
      </c>
      <c r="BH9" s="48">
        <v>1.26245882581398E-2</v>
      </c>
      <c r="BI9" s="49">
        <f t="shared" ref="BI9" si="27">$C9*BH9</f>
        <v>45734.102085288592</v>
      </c>
      <c r="BJ9" s="48">
        <v>1.26245882581398E-2</v>
      </c>
      <c r="BK9" s="49">
        <f t="shared" ref="BK9" si="28">$C9*BJ9</f>
        <v>45734.102085288592</v>
      </c>
      <c r="BL9" s="48">
        <v>1.26245882581398E-2</v>
      </c>
      <c r="BM9" s="49">
        <f t="shared" ref="BM9" si="29">$C9*BL9</f>
        <v>45734.102085288592</v>
      </c>
      <c r="BN9" s="48">
        <v>1.26245882581398E-2</v>
      </c>
      <c r="BO9" s="49">
        <f t="shared" ref="BO9" si="30">$C9*BN9</f>
        <v>45734.102085288592</v>
      </c>
      <c r="BP9" s="48">
        <v>1.26245882581398E-2</v>
      </c>
      <c r="BQ9" s="49">
        <f t="shared" ref="BQ9" si="31">$C9*BP9</f>
        <v>45734.102085288592</v>
      </c>
      <c r="BR9" s="48">
        <v>1.26245882581398E-2</v>
      </c>
      <c r="BS9" s="49">
        <f t="shared" ref="BS9" si="32">$C9*BR9</f>
        <v>45734.102085288592</v>
      </c>
      <c r="BT9" s="48">
        <v>1.26245882581398E-2</v>
      </c>
      <c r="BU9" s="49">
        <f t="shared" ref="BU9" si="33">$C9*BT9</f>
        <v>45734.102085288592</v>
      </c>
      <c r="BV9" s="48">
        <v>1.26245882581398E-2</v>
      </c>
      <c r="BW9" s="49">
        <f t="shared" ref="BW9" si="34">$C9*BV9</f>
        <v>45734.102085288592</v>
      </c>
      <c r="BX9" s="48">
        <v>1.26245882581398E-2</v>
      </c>
      <c r="BY9" s="49">
        <f t="shared" ref="BY9" si="35">$C9*BX9</f>
        <v>45734.102085288592</v>
      </c>
      <c r="BZ9" s="48">
        <v>1.26245882581398E-2</v>
      </c>
      <c r="CA9" s="49">
        <f t="shared" ref="CA9" si="36">$C9*BZ9</f>
        <v>45734.102085288592</v>
      </c>
      <c r="CB9" s="48">
        <v>1.26245882581398E-2</v>
      </c>
      <c r="CC9" s="49">
        <f t="shared" ref="CC9" si="37">$C9*CB9</f>
        <v>45734.102085288592</v>
      </c>
      <c r="CD9" s="48">
        <v>1.26245882581398E-2</v>
      </c>
      <c r="CE9" s="49">
        <f t="shared" ref="CE9" si="38">$C9*CD9</f>
        <v>45734.102085288592</v>
      </c>
      <c r="CF9" s="48">
        <v>1.26245882581398E-2</v>
      </c>
      <c r="CG9" s="49">
        <f t="shared" ref="CG9" si="39">$C9*CF9</f>
        <v>45734.102085288592</v>
      </c>
      <c r="CH9" s="48">
        <v>1.26245882581398E-2</v>
      </c>
      <c r="CI9" s="49">
        <f t="shared" ref="CI9:CI25" si="40">$C9*CH9</f>
        <v>45734.102085288592</v>
      </c>
      <c r="CJ9" s="48">
        <v>1.26245882581398E-2</v>
      </c>
      <c r="CK9" s="49">
        <f t="shared" ref="CK9:CK25" si="41">$C9*CJ9</f>
        <v>45734.102085288592</v>
      </c>
      <c r="CL9" s="48">
        <v>1.26245882581398E-2</v>
      </c>
      <c r="CM9" s="49">
        <f t="shared" ref="CM9:CM25" si="42">$C9*CL9</f>
        <v>45734.102085288592</v>
      </c>
      <c r="CN9" s="48">
        <v>1.26245882581398E-2</v>
      </c>
      <c r="CO9" s="49">
        <f t="shared" ref="CO9:CO25" si="43">$C9*CN9</f>
        <v>45734.102085288592</v>
      </c>
      <c r="CP9" s="48">
        <v>1.26245882581398E-2</v>
      </c>
      <c r="CQ9" s="49">
        <f t="shared" ref="CQ9:CQ25" si="44">$C9*CP9</f>
        <v>45734.102085288592</v>
      </c>
      <c r="CR9" s="48">
        <v>1.26245882581398E-2</v>
      </c>
      <c r="CS9" s="49">
        <f t="shared" ref="CS9:CS25" si="45">$C9*CR9</f>
        <v>45734.102085288592</v>
      </c>
      <c r="CT9" s="48">
        <v>1.26245882581398E-2</v>
      </c>
      <c r="CU9" s="49">
        <f t="shared" ref="CU9:CU25" si="46">$C9*CT9</f>
        <v>45734.102085288592</v>
      </c>
      <c r="CV9" s="48">
        <v>1.26245882581398E-2</v>
      </c>
      <c r="CW9" s="49">
        <f t="shared" ref="CW9:CW25" si="47">$C9*CV9</f>
        <v>45734.102085288592</v>
      </c>
      <c r="CX9" s="48">
        <v>1.26245882581398E-2</v>
      </c>
      <c r="CY9" s="49">
        <f t="shared" ref="CY9:CY25" si="48">$C9*CX9</f>
        <v>45734.102085288592</v>
      </c>
      <c r="CZ9" s="48">
        <v>1.26245882581398E-2</v>
      </c>
      <c r="DA9" s="49">
        <f t="shared" ref="DA9:DA25" si="49">$C9*CZ9</f>
        <v>45734.102085288592</v>
      </c>
      <c r="DB9" s="48">
        <v>1.26245882581398E-2</v>
      </c>
      <c r="DC9" s="49">
        <f t="shared" ref="DC9:DC25" si="50">$C9*DB9</f>
        <v>45734.102085288592</v>
      </c>
      <c r="DD9" s="48">
        <v>1.26245882581398E-2</v>
      </c>
      <c r="DE9" s="49">
        <f t="shared" ref="DE9:DE25" si="51">$C9*DD9</f>
        <v>45734.102085288592</v>
      </c>
      <c r="DF9" s="48">
        <v>1.26245882581398E-2</v>
      </c>
      <c r="DG9" s="49">
        <f t="shared" ref="DG9:DG25" si="52">$C9*DF9</f>
        <v>45734.102085288592</v>
      </c>
      <c r="DH9" s="48">
        <v>1.26245882581398E-2</v>
      </c>
      <c r="DI9" s="49">
        <f t="shared" ref="DI9:DI25" si="53">$C9*DH9</f>
        <v>45734.102085288592</v>
      </c>
      <c r="DJ9" s="48">
        <v>1.26245882581398E-2</v>
      </c>
      <c r="DK9" s="49">
        <f t="shared" ref="DK9" si="54">$C9*DJ9</f>
        <v>45734.102085288592</v>
      </c>
    </row>
    <row r="10" spans="2:115" ht="19.5" customHeight="1" x14ac:dyDescent="0.25">
      <c r="B10" s="42" t="s">
        <v>54</v>
      </c>
      <c r="C10" s="58">
        <v>155172.66411243973</v>
      </c>
      <c r="D10" s="28">
        <f t="shared" ref="D10:D25" si="55">C10/$C$26</f>
        <v>4.9730777656588534E-3</v>
      </c>
      <c r="E10" s="62">
        <f>C10/'DISTRIBUIÇÃO CUSTO'!C$30</f>
        <v>16.789163035309947</v>
      </c>
      <c r="F10" s="82">
        <f t="shared" si="0"/>
        <v>1</v>
      </c>
      <c r="H10" s="27">
        <f>100%/4</f>
        <v>0.25</v>
      </c>
      <c r="I10" s="34">
        <f t="shared" si="1"/>
        <v>38793.166028109932</v>
      </c>
      <c r="J10" s="27">
        <f t="shared" ref="J10" si="56">100%/4</f>
        <v>0.25</v>
      </c>
      <c r="K10" s="34">
        <f t="shared" si="2"/>
        <v>38793.166028109932</v>
      </c>
      <c r="L10" s="27">
        <f t="shared" ref="L10" si="57">100%/4</f>
        <v>0.25</v>
      </c>
      <c r="M10" s="34">
        <f t="shared" ref="M10:M24" si="58">$C10*L10</f>
        <v>38793.166028109932</v>
      </c>
      <c r="N10" s="27">
        <f t="shared" ref="N10" si="59">100%/4</f>
        <v>0.25</v>
      </c>
      <c r="O10" s="34">
        <f t="shared" si="4"/>
        <v>38793.166028109932</v>
      </c>
      <c r="P10" s="33"/>
      <c r="Q10" s="34">
        <f t="shared" ref="Q10:Q25" si="60">$C10*P10</f>
        <v>0</v>
      </c>
      <c r="R10" s="33"/>
      <c r="S10" s="34">
        <f t="shared" ref="S10:S25" si="61">$C10*R10</f>
        <v>0</v>
      </c>
      <c r="T10" s="33"/>
      <c r="U10" s="34">
        <f t="shared" ref="U10:U25" si="62">$C10*T10</f>
        <v>0</v>
      </c>
      <c r="V10" s="33"/>
      <c r="W10" s="34">
        <f t="shared" ref="W10:W25" si="63">$C10*V10</f>
        <v>0</v>
      </c>
      <c r="X10" s="33"/>
      <c r="Y10" s="34">
        <f t="shared" ref="Y10:Y25" si="64">$C10*X10</f>
        <v>0</v>
      </c>
      <c r="Z10" s="33"/>
      <c r="AA10" s="34">
        <f t="shared" ref="AA10:AA25" si="65">$C10*Z10</f>
        <v>0</v>
      </c>
      <c r="AB10" s="33"/>
      <c r="AC10" s="34">
        <f t="shared" ref="AC10:AC25" si="66">$C10*AB10</f>
        <v>0</v>
      </c>
      <c r="AD10" s="33"/>
      <c r="AE10" s="34">
        <f t="shared" ref="AE10:AE25" si="67">$C10*AD10</f>
        <v>0</v>
      </c>
      <c r="AF10" s="33"/>
      <c r="AG10" s="34">
        <f t="shared" ref="AG10:AG25" si="68">$C10*AF10</f>
        <v>0</v>
      </c>
      <c r="AH10" s="33"/>
      <c r="AI10" s="34">
        <f t="shared" ref="AI10:AI25" si="69">$C10*AH10</f>
        <v>0</v>
      </c>
      <c r="AJ10" s="33"/>
      <c r="AK10" s="34">
        <f t="shared" ref="AK10:AK25" si="70">$C10*AJ10</f>
        <v>0</v>
      </c>
      <c r="AL10" s="33"/>
      <c r="AM10" s="34">
        <f t="shared" ref="AM10:AM25" si="71">$C10*AL10</f>
        <v>0</v>
      </c>
      <c r="AN10" s="33"/>
      <c r="AO10" s="34">
        <f t="shared" ref="AO10:AO25" si="72">$C10*AN10</f>
        <v>0</v>
      </c>
      <c r="AP10" s="33"/>
      <c r="AQ10" s="34">
        <f t="shared" ref="AQ10:AQ25" si="73">$C10*AP10</f>
        <v>0</v>
      </c>
      <c r="AR10" s="33"/>
      <c r="AS10" s="34">
        <f t="shared" ref="AS10:AS25" si="74">$C10*AR10</f>
        <v>0</v>
      </c>
      <c r="AT10" s="33"/>
      <c r="AU10" s="34">
        <f t="shared" ref="AU10:AU25" si="75">$C10*AT10</f>
        <v>0</v>
      </c>
      <c r="AV10" s="33"/>
      <c r="AW10" s="34">
        <f t="shared" ref="AW10:AW25" si="76">$C10*AV10</f>
        <v>0</v>
      </c>
      <c r="AX10" s="33"/>
      <c r="AY10" s="34">
        <f t="shared" ref="AY10:AY25" si="77">$C10*AX10</f>
        <v>0</v>
      </c>
      <c r="AZ10" s="33"/>
      <c r="BA10" s="34">
        <f t="shared" ref="BA10:BA25" si="78">$C10*AZ10</f>
        <v>0</v>
      </c>
      <c r="BB10" s="33"/>
      <c r="BC10" s="34">
        <f t="shared" ref="BC10:BC25" si="79">$C10*BB10</f>
        <v>0</v>
      </c>
      <c r="BD10" s="33"/>
      <c r="BE10" s="34">
        <f t="shared" ref="BE10:BE25" si="80">$C10*BD10</f>
        <v>0</v>
      </c>
      <c r="BF10" s="33"/>
      <c r="BG10" s="34">
        <f t="shared" ref="BG10:BG25" si="81">$C10*BF10</f>
        <v>0</v>
      </c>
      <c r="BH10" s="33"/>
      <c r="BI10" s="34">
        <f t="shared" ref="BI10:BI25" si="82">$C10*BH10</f>
        <v>0</v>
      </c>
      <c r="BJ10" s="33"/>
      <c r="BK10" s="34">
        <f t="shared" ref="BK10:BK25" si="83">$C10*BJ10</f>
        <v>0</v>
      </c>
      <c r="BL10" s="33"/>
      <c r="BM10" s="34">
        <f t="shared" ref="BM10:BM25" si="84">$C10*BL10</f>
        <v>0</v>
      </c>
      <c r="BN10" s="33"/>
      <c r="BO10" s="34">
        <f t="shared" ref="BO10:BO25" si="85">$C10*BN10</f>
        <v>0</v>
      </c>
      <c r="BP10" s="33"/>
      <c r="BQ10" s="34">
        <f t="shared" ref="BQ10:BQ25" si="86">$C10*BP10</f>
        <v>0</v>
      </c>
      <c r="BR10" s="33"/>
      <c r="BS10" s="34">
        <f t="shared" ref="BS10:BS25" si="87">$C10*BR10</f>
        <v>0</v>
      </c>
      <c r="BT10" s="33"/>
      <c r="BU10" s="34">
        <f t="shared" ref="BU10:BU25" si="88">$C10*BT10</f>
        <v>0</v>
      </c>
      <c r="BV10" s="33"/>
      <c r="BW10" s="34">
        <f t="shared" ref="BW10:BW25" si="89">$C10*BV10</f>
        <v>0</v>
      </c>
      <c r="BX10" s="33"/>
      <c r="BY10" s="34">
        <f t="shared" ref="BY10:BY25" si="90">$C10*BX10</f>
        <v>0</v>
      </c>
      <c r="BZ10" s="33"/>
      <c r="CA10" s="34">
        <f t="shared" ref="CA10:CA25" si="91">$C10*BZ10</f>
        <v>0</v>
      </c>
      <c r="CB10" s="33"/>
      <c r="CC10" s="34">
        <f t="shared" ref="CC10:CC25" si="92">$C10*CB10</f>
        <v>0</v>
      </c>
      <c r="CD10" s="33"/>
      <c r="CE10" s="34">
        <f t="shared" ref="CE10:CE25" si="93">$C10*CD10</f>
        <v>0</v>
      </c>
      <c r="CF10" s="33"/>
      <c r="CG10" s="34">
        <f t="shared" ref="CG10:CG25" si="94">$C10*CF10</f>
        <v>0</v>
      </c>
      <c r="CH10" s="33"/>
      <c r="CI10" s="34">
        <f t="shared" si="40"/>
        <v>0</v>
      </c>
      <c r="CJ10" s="33"/>
      <c r="CK10" s="34">
        <f t="shared" si="41"/>
        <v>0</v>
      </c>
      <c r="CL10" s="33"/>
      <c r="CM10" s="34">
        <f t="shared" si="42"/>
        <v>0</v>
      </c>
      <c r="CN10" s="33"/>
      <c r="CO10" s="34">
        <f t="shared" si="43"/>
        <v>0</v>
      </c>
      <c r="CP10" s="33"/>
      <c r="CQ10" s="34">
        <f t="shared" si="44"/>
        <v>0</v>
      </c>
      <c r="CR10" s="33"/>
      <c r="CS10" s="34">
        <f t="shared" si="45"/>
        <v>0</v>
      </c>
      <c r="CT10" s="33"/>
      <c r="CU10" s="34">
        <f t="shared" si="46"/>
        <v>0</v>
      </c>
      <c r="CV10" s="33"/>
      <c r="CW10" s="34">
        <f t="shared" si="47"/>
        <v>0</v>
      </c>
      <c r="CX10" s="33"/>
      <c r="CY10" s="34">
        <f t="shared" si="48"/>
        <v>0</v>
      </c>
      <c r="CZ10" s="33"/>
      <c r="DA10" s="34">
        <f t="shared" si="49"/>
        <v>0</v>
      </c>
      <c r="DB10" s="33"/>
      <c r="DC10" s="34">
        <f t="shared" si="50"/>
        <v>0</v>
      </c>
      <c r="DD10" s="33"/>
      <c r="DE10" s="34">
        <f t="shared" si="51"/>
        <v>0</v>
      </c>
      <c r="DF10" s="33"/>
      <c r="DG10" s="34">
        <f t="shared" si="52"/>
        <v>0</v>
      </c>
      <c r="DH10" s="33"/>
      <c r="DI10" s="34">
        <f t="shared" si="53"/>
        <v>0</v>
      </c>
      <c r="DJ10" s="33"/>
      <c r="DK10" s="34">
        <f t="shared" ref="DK10:DK25" si="95">$C10*DJ10</f>
        <v>0</v>
      </c>
    </row>
    <row r="11" spans="2:115" ht="19.5" customHeight="1" x14ac:dyDescent="0.25">
      <c r="B11" s="46" t="s">
        <v>55</v>
      </c>
      <c r="C11" s="57">
        <v>2198063.0534746796</v>
      </c>
      <c r="D11" s="47">
        <f t="shared" si="55"/>
        <v>7.0445001130033574E-2</v>
      </c>
      <c r="E11" s="61">
        <f>C11/'DISTRIBUIÇÃO CUSTO'!C$30</f>
        <v>237.82306746977576</v>
      </c>
      <c r="F11" s="81">
        <f t="shared" si="0"/>
        <v>0.99999999999999989</v>
      </c>
      <c r="H11" s="48"/>
      <c r="I11" s="49">
        <f t="shared" si="1"/>
        <v>0</v>
      </c>
      <c r="J11" s="48">
        <f>100%/6</f>
        <v>0.16666666666666666</v>
      </c>
      <c r="K11" s="49">
        <f t="shared" si="2"/>
        <v>366343.84224577993</v>
      </c>
      <c r="L11" s="48">
        <f>100%/6</f>
        <v>0.16666666666666666</v>
      </c>
      <c r="M11" s="49">
        <f t="shared" si="58"/>
        <v>366343.84224577993</v>
      </c>
      <c r="N11" s="48">
        <f>100%/6</f>
        <v>0.16666666666666666</v>
      </c>
      <c r="O11" s="49">
        <f t="shared" si="4"/>
        <v>366343.84224577993</v>
      </c>
      <c r="P11" s="48">
        <f>100%/6</f>
        <v>0.16666666666666666</v>
      </c>
      <c r="Q11" s="49">
        <f t="shared" si="60"/>
        <v>366343.84224577993</v>
      </c>
      <c r="R11" s="48">
        <f>100%/6</f>
        <v>0.16666666666666666</v>
      </c>
      <c r="S11" s="49">
        <f t="shared" si="61"/>
        <v>366343.84224577993</v>
      </c>
      <c r="T11" s="48">
        <f>100%/6</f>
        <v>0.16666666666666666</v>
      </c>
      <c r="U11" s="49">
        <f t="shared" si="62"/>
        <v>366343.84224577993</v>
      </c>
      <c r="V11" s="48"/>
      <c r="W11" s="49">
        <f t="shared" si="63"/>
        <v>0</v>
      </c>
      <c r="X11" s="48"/>
      <c r="Y11" s="49">
        <f t="shared" si="64"/>
        <v>0</v>
      </c>
      <c r="Z11" s="48"/>
      <c r="AA11" s="49">
        <f t="shared" si="65"/>
        <v>0</v>
      </c>
      <c r="AB11" s="48"/>
      <c r="AC11" s="49">
        <f t="shared" si="66"/>
        <v>0</v>
      </c>
      <c r="AD11" s="48"/>
      <c r="AE11" s="49">
        <f t="shared" si="67"/>
        <v>0</v>
      </c>
      <c r="AF11" s="48"/>
      <c r="AG11" s="49">
        <f t="shared" si="68"/>
        <v>0</v>
      </c>
      <c r="AH11" s="48"/>
      <c r="AI11" s="49">
        <f t="shared" si="69"/>
        <v>0</v>
      </c>
      <c r="AJ11" s="48"/>
      <c r="AK11" s="49">
        <f t="shared" si="70"/>
        <v>0</v>
      </c>
      <c r="AL11" s="48"/>
      <c r="AM11" s="49">
        <f t="shared" si="71"/>
        <v>0</v>
      </c>
      <c r="AN11" s="48"/>
      <c r="AO11" s="49">
        <f t="shared" si="72"/>
        <v>0</v>
      </c>
      <c r="AP11" s="48"/>
      <c r="AQ11" s="49">
        <f t="shared" si="73"/>
        <v>0</v>
      </c>
      <c r="AR11" s="48"/>
      <c r="AS11" s="49">
        <f t="shared" si="74"/>
        <v>0</v>
      </c>
      <c r="AT11" s="48"/>
      <c r="AU11" s="49">
        <f t="shared" si="75"/>
        <v>0</v>
      </c>
      <c r="AV11" s="48"/>
      <c r="AW11" s="49">
        <f t="shared" si="76"/>
        <v>0</v>
      </c>
      <c r="AX11" s="48"/>
      <c r="AY11" s="49">
        <f t="shared" si="77"/>
        <v>0</v>
      </c>
      <c r="AZ11" s="48"/>
      <c r="BA11" s="49">
        <f t="shared" si="78"/>
        <v>0</v>
      </c>
      <c r="BB11" s="48"/>
      <c r="BC11" s="49">
        <f t="shared" si="79"/>
        <v>0</v>
      </c>
      <c r="BD11" s="48"/>
      <c r="BE11" s="49">
        <f t="shared" si="80"/>
        <v>0</v>
      </c>
      <c r="BF11" s="48"/>
      <c r="BG11" s="49">
        <f t="shared" si="81"/>
        <v>0</v>
      </c>
      <c r="BH11" s="48"/>
      <c r="BI11" s="49">
        <f t="shared" si="82"/>
        <v>0</v>
      </c>
      <c r="BJ11" s="48"/>
      <c r="BK11" s="49">
        <f t="shared" si="83"/>
        <v>0</v>
      </c>
      <c r="BL11" s="48"/>
      <c r="BM11" s="49">
        <f t="shared" si="84"/>
        <v>0</v>
      </c>
      <c r="BN11" s="48"/>
      <c r="BO11" s="49">
        <f t="shared" si="85"/>
        <v>0</v>
      </c>
      <c r="BP11" s="48"/>
      <c r="BQ11" s="49">
        <f t="shared" si="86"/>
        <v>0</v>
      </c>
      <c r="BR11" s="48"/>
      <c r="BS11" s="49">
        <f t="shared" si="87"/>
        <v>0</v>
      </c>
      <c r="BT11" s="48"/>
      <c r="BU11" s="49">
        <f t="shared" si="88"/>
        <v>0</v>
      </c>
      <c r="BV11" s="48"/>
      <c r="BW11" s="49">
        <f t="shared" si="89"/>
        <v>0</v>
      </c>
      <c r="BX11" s="48"/>
      <c r="BY11" s="49">
        <f t="shared" si="90"/>
        <v>0</v>
      </c>
      <c r="BZ11" s="48"/>
      <c r="CA11" s="49">
        <f t="shared" si="91"/>
        <v>0</v>
      </c>
      <c r="CB11" s="48"/>
      <c r="CC11" s="49">
        <f t="shared" si="92"/>
        <v>0</v>
      </c>
      <c r="CD11" s="48"/>
      <c r="CE11" s="49">
        <f t="shared" si="93"/>
        <v>0</v>
      </c>
      <c r="CF11" s="48"/>
      <c r="CG11" s="49">
        <f t="shared" si="94"/>
        <v>0</v>
      </c>
      <c r="CH11" s="48"/>
      <c r="CI11" s="49">
        <f t="shared" si="40"/>
        <v>0</v>
      </c>
      <c r="CJ11" s="48"/>
      <c r="CK11" s="49">
        <f t="shared" si="41"/>
        <v>0</v>
      </c>
      <c r="CL11" s="48"/>
      <c r="CM11" s="49">
        <f t="shared" si="42"/>
        <v>0</v>
      </c>
      <c r="CN11" s="48"/>
      <c r="CO11" s="49">
        <f t="shared" si="43"/>
        <v>0</v>
      </c>
      <c r="CP11" s="48"/>
      <c r="CQ11" s="49">
        <f t="shared" si="44"/>
        <v>0</v>
      </c>
      <c r="CR11" s="48"/>
      <c r="CS11" s="49">
        <f t="shared" si="45"/>
        <v>0</v>
      </c>
      <c r="CT11" s="48"/>
      <c r="CU11" s="49">
        <f t="shared" si="46"/>
        <v>0</v>
      </c>
      <c r="CV11" s="48"/>
      <c r="CW11" s="49">
        <f t="shared" si="47"/>
        <v>0</v>
      </c>
      <c r="CX11" s="48"/>
      <c r="CY11" s="49">
        <f t="shared" si="48"/>
        <v>0</v>
      </c>
      <c r="CZ11" s="48"/>
      <c r="DA11" s="49">
        <f t="shared" si="49"/>
        <v>0</v>
      </c>
      <c r="DB11" s="48"/>
      <c r="DC11" s="49">
        <f t="shared" si="50"/>
        <v>0</v>
      </c>
      <c r="DD11" s="48"/>
      <c r="DE11" s="49">
        <f t="shared" si="51"/>
        <v>0</v>
      </c>
      <c r="DF11" s="48"/>
      <c r="DG11" s="49">
        <f t="shared" si="52"/>
        <v>0</v>
      </c>
      <c r="DH11" s="48"/>
      <c r="DI11" s="49">
        <f t="shared" si="53"/>
        <v>0</v>
      </c>
      <c r="DJ11" s="48"/>
      <c r="DK11" s="49">
        <f t="shared" si="95"/>
        <v>0</v>
      </c>
    </row>
    <row r="12" spans="2:115" ht="19.5" customHeight="1" x14ac:dyDescent="0.25">
      <c r="B12" s="42" t="s">
        <v>56</v>
      </c>
      <c r="C12" s="58">
        <v>6996294.6139658252</v>
      </c>
      <c r="D12" s="28">
        <f t="shared" si="55"/>
        <v>0.22422194905090231</v>
      </c>
      <c r="E12" s="62">
        <f>C12/'DISTRIBUIÇÃO CUSTO'!C$30</f>
        <v>756.97566700162452</v>
      </c>
      <c r="F12" s="82">
        <f t="shared" si="0"/>
        <v>1.0000000000000002</v>
      </c>
      <c r="H12" s="27"/>
      <c r="I12" s="34">
        <f t="shared" si="1"/>
        <v>0</v>
      </c>
      <c r="J12" s="33"/>
      <c r="K12" s="34">
        <f t="shared" ref="K12:K25" si="96">$C12*J12</f>
        <v>0</v>
      </c>
      <c r="L12" s="33"/>
      <c r="M12" s="34">
        <f t="shared" si="58"/>
        <v>0</v>
      </c>
      <c r="N12" s="33"/>
      <c r="O12" s="34">
        <f t="shared" si="4"/>
        <v>0</v>
      </c>
      <c r="P12" s="33"/>
      <c r="Q12" s="34">
        <f t="shared" si="60"/>
        <v>0</v>
      </c>
      <c r="R12" s="33"/>
      <c r="S12" s="34">
        <f t="shared" si="61"/>
        <v>0</v>
      </c>
      <c r="T12" s="33"/>
      <c r="U12" s="34">
        <f t="shared" si="62"/>
        <v>0</v>
      </c>
      <c r="V12" s="33">
        <f>100%/25</f>
        <v>0.04</v>
      </c>
      <c r="W12" s="34">
        <f t="shared" si="63"/>
        <v>279851.78455863299</v>
      </c>
      <c r="X12" s="33">
        <f>100%/25</f>
        <v>0.04</v>
      </c>
      <c r="Y12" s="34">
        <f t="shared" si="64"/>
        <v>279851.78455863299</v>
      </c>
      <c r="Z12" s="33">
        <f>100%/25</f>
        <v>0.04</v>
      </c>
      <c r="AA12" s="34">
        <f t="shared" si="65"/>
        <v>279851.78455863299</v>
      </c>
      <c r="AB12" s="33">
        <f>100%/25</f>
        <v>0.04</v>
      </c>
      <c r="AC12" s="34">
        <f t="shared" si="66"/>
        <v>279851.78455863299</v>
      </c>
      <c r="AD12" s="33">
        <f>100%/25</f>
        <v>0.04</v>
      </c>
      <c r="AE12" s="34">
        <f t="shared" si="67"/>
        <v>279851.78455863299</v>
      </c>
      <c r="AF12" s="33">
        <f>100%/25</f>
        <v>0.04</v>
      </c>
      <c r="AG12" s="34">
        <f t="shared" si="68"/>
        <v>279851.78455863299</v>
      </c>
      <c r="AH12" s="33">
        <f>100%/25</f>
        <v>0.04</v>
      </c>
      <c r="AI12" s="34">
        <f t="shared" si="69"/>
        <v>279851.78455863299</v>
      </c>
      <c r="AJ12" s="33">
        <f>100%/25</f>
        <v>0.04</v>
      </c>
      <c r="AK12" s="34">
        <f t="shared" si="70"/>
        <v>279851.78455863299</v>
      </c>
      <c r="AL12" s="33">
        <f>100%/25</f>
        <v>0.04</v>
      </c>
      <c r="AM12" s="34">
        <f t="shared" si="71"/>
        <v>279851.78455863299</v>
      </c>
      <c r="AN12" s="33">
        <f>100%/25</f>
        <v>0.04</v>
      </c>
      <c r="AO12" s="34">
        <f t="shared" si="72"/>
        <v>279851.78455863299</v>
      </c>
      <c r="AP12" s="33">
        <f>100%/25</f>
        <v>0.04</v>
      </c>
      <c r="AQ12" s="34">
        <f t="shared" si="73"/>
        <v>279851.78455863299</v>
      </c>
      <c r="AR12" s="33">
        <f>100%/25</f>
        <v>0.04</v>
      </c>
      <c r="AS12" s="34">
        <f t="shared" si="74"/>
        <v>279851.78455863299</v>
      </c>
      <c r="AT12" s="33">
        <f>100%/25</f>
        <v>0.04</v>
      </c>
      <c r="AU12" s="34">
        <f t="shared" si="75"/>
        <v>279851.78455863299</v>
      </c>
      <c r="AV12" s="33">
        <f>100%/25</f>
        <v>0.04</v>
      </c>
      <c r="AW12" s="34">
        <f t="shared" si="76"/>
        <v>279851.78455863299</v>
      </c>
      <c r="AX12" s="33">
        <f>100%/25</f>
        <v>0.04</v>
      </c>
      <c r="AY12" s="34">
        <f t="shared" si="77"/>
        <v>279851.78455863299</v>
      </c>
      <c r="AZ12" s="33">
        <f>100%/25</f>
        <v>0.04</v>
      </c>
      <c r="BA12" s="34">
        <f t="shared" si="78"/>
        <v>279851.78455863299</v>
      </c>
      <c r="BB12" s="33">
        <f>100%/25</f>
        <v>0.04</v>
      </c>
      <c r="BC12" s="34">
        <f t="shared" si="79"/>
        <v>279851.78455863299</v>
      </c>
      <c r="BD12" s="33">
        <f>100%/25</f>
        <v>0.04</v>
      </c>
      <c r="BE12" s="34">
        <f t="shared" si="80"/>
        <v>279851.78455863299</v>
      </c>
      <c r="BF12" s="33">
        <f>100%/25</f>
        <v>0.04</v>
      </c>
      <c r="BG12" s="34">
        <f t="shared" si="81"/>
        <v>279851.78455863299</v>
      </c>
      <c r="BH12" s="33">
        <f>100%/25</f>
        <v>0.04</v>
      </c>
      <c r="BI12" s="34">
        <f t="shared" si="82"/>
        <v>279851.78455863299</v>
      </c>
      <c r="BJ12" s="33">
        <f>100%/25</f>
        <v>0.04</v>
      </c>
      <c r="BK12" s="34">
        <f t="shared" si="83"/>
        <v>279851.78455863299</v>
      </c>
      <c r="BL12" s="33">
        <f>100%/25</f>
        <v>0.04</v>
      </c>
      <c r="BM12" s="34">
        <f t="shared" si="84"/>
        <v>279851.78455863299</v>
      </c>
      <c r="BN12" s="33">
        <f>100%/25</f>
        <v>0.04</v>
      </c>
      <c r="BO12" s="34">
        <f t="shared" si="85"/>
        <v>279851.78455863299</v>
      </c>
      <c r="BP12" s="33">
        <f>100%/25</f>
        <v>0.04</v>
      </c>
      <c r="BQ12" s="34">
        <f t="shared" si="86"/>
        <v>279851.78455863299</v>
      </c>
      <c r="BR12" s="33">
        <f>100%/25</f>
        <v>0.04</v>
      </c>
      <c r="BS12" s="34">
        <f t="shared" si="87"/>
        <v>279851.78455863299</v>
      </c>
      <c r="BT12" s="33"/>
      <c r="BU12" s="34">
        <f t="shared" si="88"/>
        <v>0</v>
      </c>
      <c r="BV12" s="33"/>
      <c r="BW12" s="34">
        <f t="shared" si="89"/>
        <v>0</v>
      </c>
      <c r="BX12" s="33"/>
      <c r="BY12" s="34">
        <f t="shared" si="90"/>
        <v>0</v>
      </c>
      <c r="BZ12" s="33"/>
      <c r="CA12" s="34">
        <f t="shared" si="91"/>
        <v>0</v>
      </c>
      <c r="CB12" s="33"/>
      <c r="CC12" s="34">
        <f t="shared" si="92"/>
        <v>0</v>
      </c>
      <c r="CD12" s="33"/>
      <c r="CE12" s="34">
        <f t="shared" si="93"/>
        <v>0</v>
      </c>
      <c r="CF12" s="33"/>
      <c r="CG12" s="34">
        <f t="shared" si="94"/>
        <v>0</v>
      </c>
      <c r="CH12" s="33"/>
      <c r="CI12" s="34">
        <f t="shared" si="40"/>
        <v>0</v>
      </c>
      <c r="CJ12" s="33"/>
      <c r="CK12" s="34">
        <f t="shared" si="41"/>
        <v>0</v>
      </c>
      <c r="CL12" s="33"/>
      <c r="CM12" s="34">
        <f t="shared" si="42"/>
        <v>0</v>
      </c>
      <c r="CN12" s="33"/>
      <c r="CO12" s="34">
        <f t="shared" si="43"/>
        <v>0</v>
      </c>
      <c r="CP12" s="33"/>
      <c r="CQ12" s="34">
        <f t="shared" si="44"/>
        <v>0</v>
      </c>
      <c r="CR12" s="33"/>
      <c r="CS12" s="34">
        <f t="shared" si="45"/>
        <v>0</v>
      </c>
      <c r="CT12" s="33"/>
      <c r="CU12" s="34">
        <f t="shared" si="46"/>
        <v>0</v>
      </c>
      <c r="CV12" s="33"/>
      <c r="CW12" s="34">
        <f t="shared" si="47"/>
        <v>0</v>
      </c>
      <c r="CX12" s="33"/>
      <c r="CY12" s="34">
        <f t="shared" si="48"/>
        <v>0</v>
      </c>
      <c r="CZ12" s="33"/>
      <c r="DA12" s="34">
        <f t="shared" si="49"/>
        <v>0</v>
      </c>
      <c r="DB12" s="33"/>
      <c r="DC12" s="34">
        <f t="shared" si="50"/>
        <v>0</v>
      </c>
      <c r="DD12" s="33"/>
      <c r="DE12" s="34">
        <f t="shared" si="51"/>
        <v>0</v>
      </c>
      <c r="DF12" s="33"/>
      <c r="DG12" s="34">
        <f t="shared" si="52"/>
        <v>0</v>
      </c>
      <c r="DH12" s="33"/>
      <c r="DI12" s="34">
        <f t="shared" si="53"/>
        <v>0</v>
      </c>
      <c r="DJ12" s="33"/>
      <c r="DK12" s="34">
        <f t="shared" si="95"/>
        <v>0</v>
      </c>
    </row>
    <row r="13" spans="2:115" ht="19.5" customHeight="1" x14ac:dyDescent="0.25">
      <c r="B13" s="46" t="s">
        <v>57</v>
      </c>
      <c r="C13" s="57">
        <v>1496545.8307250002</v>
      </c>
      <c r="D13" s="47">
        <f t="shared" si="55"/>
        <v>4.7962305981130084E-2</v>
      </c>
      <c r="E13" s="61">
        <f>C13/'DISTRIBUIÇÃO CUSTO'!C$30</f>
        <v>161.92125130782708</v>
      </c>
      <c r="F13" s="81">
        <f t="shared" si="0"/>
        <v>0.99999999999999956</v>
      </c>
      <c r="H13" s="48"/>
      <c r="I13" s="49">
        <f t="shared" si="1"/>
        <v>0</v>
      </c>
      <c r="J13" s="50"/>
      <c r="K13" s="49">
        <f t="shared" si="96"/>
        <v>0</v>
      </c>
      <c r="L13" s="50"/>
      <c r="M13" s="49">
        <f t="shared" si="58"/>
        <v>0</v>
      </c>
      <c r="N13" s="50"/>
      <c r="O13" s="49">
        <f t="shared" si="4"/>
        <v>0</v>
      </c>
      <c r="P13" s="50"/>
      <c r="Q13" s="49">
        <f t="shared" si="60"/>
        <v>0</v>
      </c>
      <c r="R13" s="50"/>
      <c r="S13" s="49">
        <f t="shared" si="61"/>
        <v>0</v>
      </c>
      <c r="T13" s="50"/>
      <c r="U13" s="49">
        <f t="shared" si="62"/>
        <v>0</v>
      </c>
      <c r="V13" s="50"/>
      <c r="W13" s="49">
        <f t="shared" si="63"/>
        <v>0</v>
      </c>
      <c r="X13" s="50"/>
      <c r="Y13" s="49">
        <f t="shared" si="64"/>
        <v>0</v>
      </c>
      <c r="Z13" s="50"/>
      <c r="AA13" s="49">
        <f t="shared" si="65"/>
        <v>0</v>
      </c>
      <c r="AB13" s="50"/>
      <c r="AC13" s="49">
        <f t="shared" si="66"/>
        <v>0</v>
      </c>
      <c r="AD13" s="50">
        <f>100%/24</f>
        <v>4.1666666666666664E-2</v>
      </c>
      <c r="AE13" s="49">
        <f t="shared" si="67"/>
        <v>62356.076280208341</v>
      </c>
      <c r="AF13" s="50">
        <f>100%/24</f>
        <v>4.1666666666666664E-2</v>
      </c>
      <c r="AG13" s="49">
        <f t="shared" si="68"/>
        <v>62356.076280208341</v>
      </c>
      <c r="AH13" s="50">
        <f>100%/24</f>
        <v>4.1666666666666664E-2</v>
      </c>
      <c r="AI13" s="49">
        <f t="shared" si="69"/>
        <v>62356.076280208341</v>
      </c>
      <c r="AJ13" s="50">
        <f>100%/24</f>
        <v>4.1666666666666664E-2</v>
      </c>
      <c r="AK13" s="49">
        <f t="shared" si="70"/>
        <v>62356.076280208341</v>
      </c>
      <c r="AL13" s="50">
        <f>100%/24</f>
        <v>4.1666666666666664E-2</v>
      </c>
      <c r="AM13" s="49">
        <f t="shared" si="71"/>
        <v>62356.076280208341</v>
      </c>
      <c r="AN13" s="50">
        <f>100%/24</f>
        <v>4.1666666666666664E-2</v>
      </c>
      <c r="AO13" s="49">
        <f t="shared" si="72"/>
        <v>62356.076280208341</v>
      </c>
      <c r="AP13" s="50">
        <f>100%/24</f>
        <v>4.1666666666666664E-2</v>
      </c>
      <c r="AQ13" s="49">
        <f t="shared" si="73"/>
        <v>62356.076280208341</v>
      </c>
      <c r="AR13" s="50">
        <f>100%/24</f>
        <v>4.1666666666666664E-2</v>
      </c>
      <c r="AS13" s="49">
        <f t="shared" si="74"/>
        <v>62356.076280208341</v>
      </c>
      <c r="AT13" s="50">
        <f>100%/24</f>
        <v>4.1666666666666664E-2</v>
      </c>
      <c r="AU13" s="49">
        <f t="shared" si="75"/>
        <v>62356.076280208341</v>
      </c>
      <c r="AV13" s="50">
        <f>100%/24</f>
        <v>4.1666666666666664E-2</v>
      </c>
      <c r="AW13" s="49">
        <f t="shared" si="76"/>
        <v>62356.076280208341</v>
      </c>
      <c r="AX13" s="50">
        <f>100%/24</f>
        <v>4.1666666666666664E-2</v>
      </c>
      <c r="AY13" s="49">
        <f t="shared" si="77"/>
        <v>62356.076280208341</v>
      </c>
      <c r="AZ13" s="50">
        <f>100%/24</f>
        <v>4.1666666666666664E-2</v>
      </c>
      <c r="BA13" s="49">
        <f t="shared" si="78"/>
        <v>62356.076280208341</v>
      </c>
      <c r="BB13" s="50">
        <f>100%/24</f>
        <v>4.1666666666666664E-2</v>
      </c>
      <c r="BC13" s="49">
        <f t="shared" si="79"/>
        <v>62356.076280208341</v>
      </c>
      <c r="BD13" s="50">
        <f>100%/24</f>
        <v>4.1666666666666664E-2</v>
      </c>
      <c r="BE13" s="49">
        <f t="shared" si="80"/>
        <v>62356.076280208341</v>
      </c>
      <c r="BF13" s="50">
        <f>100%/24</f>
        <v>4.1666666666666664E-2</v>
      </c>
      <c r="BG13" s="49">
        <f t="shared" si="81"/>
        <v>62356.076280208341</v>
      </c>
      <c r="BH13" s="50">
        <f>100%/24</f>
        <v>4.1666666666666664E-2</v>
      </c>
      <c r="BI13" s="49">
        <f t="shared" si="82"/>
        <v>62356.076280208341</v>
      </c>
      <c r="BJ13" s="50">
        <f>100%/24</f>
        <v>4.1666666666666664E-2</v>
      </c>
      <c r="BK13" s="49">
        <f t="shared" si="83"/>
        <v>62356.076280208341</v>
      </c>
      <c r="BL13" s="50">
        <f>100%/24</f>
        <v>4.1666666666666664E-2</v>
      </c>
      <c r="BM13" s="49">
        <f t="shared" si="84"/>
        <v>62356.076280208341</v>
      </c>
      <c r="BN13" s="50">
        <f>100%/24</f>
        <v>4.1666666666666664E-2</v>
      </c>
      <c r="BO13" s="49">
        <f t="shared" si="85"/>
        <v>62356.076280208341</v>
      </c>
      <c r="BP13" s="50">
        <f>100%/24</f>
        <v>4.1666666666666664E-2</v>
      </c>
      <c r="BQ13" s="49">
        <f t="shared" si="86"/>
        <v>62356.076280208341</v>
      </c>
      <c r="BR13" s="50">
        <f>100%/24</f>
        <v>4.1666666666666664E-2</v>
      </c>
      <c r="BS13" s="49">
        <f t="shared" si="87"/>
        <v>62356.076280208341</v>
      </c>
      <c r="BT13" s="50">
        <f>100%/24</f>
        <v>4.1666666666666664E-2</v>
      </c>
      <c r="BU13" s="49">
        <f t="shared" si="88"/>
        <v>62356.076280208341</v>
      </c>
      <c r="BV13" s="50">
        <f>100%/24</f>
        <v>4.1666666666666664E-2</v>
      </c>
      <c r="BW13" s="49">
        <f t="shared" si="89"/>
        <v>62356.076280208341</v>
      </c>
      <c r="BX13" s="50">
        <f>100%/24</f>
        <v>4.1666666666666664E-2</v>
      </c>
      <c r="BY13" s="49">
        <f t="shared" si="90"/>
        <v>62356.076280208341</v>
      </c>
      <c r="BZ13" s="50"/>
      <c r="CA13" s="49">
        <f t="shared" si="91"/>
        <v>0</v>
      </c>
      <c r="CB13" s="50"/>
      <c r="CC13" s="49">
        <f t="shared" si="92"/>
        <v>0</v>
      </c>
      <c r="CD13" s="50"/>
      <c r="CE13" s="49">
        <f t="shared" si="93"/>
        <v>0</v>
      </c>
      <c r="CF13" s="50"/>
      <c r="CG13" s="49">
        <f t="shared" si="94"/>
        <v>0</v>
      </c>
      <c r="CH13" s="50"/>
      <c r="CI13" s="49">
        <f t="shared" si="40"/>
        <v>0</v>
      </c>
      <c r="CJ13" s="50"/>
      <c r="CK13" s="49">
        <f t="shared" si="41"/>
        <v>0</v>
      </c>
      <c r="CL13" s="50"/>
      <c r="CM13" s="49">
        <f t="shared" si="42"/>
        <v>0</v>
      </c>
      <c r="CN13" s="50"/>
      <c r="CO13" s="49">
        <f t="shared" si="43"/>
        <v>0</v>
      </c>
      <c r="CP13" s="50"/>
      <c r="CQ13" s="49">
        <f t="shared" si="44"/>
        <v>0</v>
      </c>
      <c r="CR13" s="50"/>
      <c r="CS13" s="49">
        <f t="shared" si="45"/>
        <v>0</v>
      </c>
      <c r="CT13" s="50"/>
      <c r="CU13" s="49">
        <f t="shared" si="46"/>
        <v>0</v>
      </c>
      <c r="CV13" s="50"/>
      <c r="CW13" s="49">
        <f t="shared" si="47"/>
        <v>0</v>
      </c>
      <c r="CX13" s="50"/>
      <c r="CY13" s="49">
        <f t="shared" si="48"/>
        <v>0</v>
      </c>
      <c r="CZ13" s="50"/>
      <c r="DA13" s="49">
        <f t="shared" si="49"/>
        <v>0</v>
      </c>
      <c r="DB13" s="50"/>
      <c r="DC13" s="49">
        <f t="shared" si="50"/>
        <v>0</v>
      </c>
      <c r="DD13" s="50"/>
      <c r="DE13" s="49">
        <f t="shared" si="51"/>
        <v>0</v>
      </c>
      <c r="DF13" s="50"/>
      <c r="DG13" s="49">
        <f t="shared" si="52"/>
        <v>0</v>
      </c>
      <c r="DH13" s="50"/>
      <c r="DI13" s="49">
        <f t="shared" si="53"/>
        <v>0</v>
      </c>
      <c r="DJ13" s="50"/>
      <c r="DK13" s="49">
        <f t="shared" si="95"/>
        <v>0</v>
      </c>
    </row>
    <row r="14" spans="2:115" ht="19.5" customHeight="1" x14ac:dyDescent="0.25">
      <c r="B14" s="42" t="s">
        <v>58</v>
      </c>
      <c r="C14" s="58">
        <v>3400752.1184999999</v>
      </c>
      <c r="D14" s="28">
        <f t="shared" si="55"/>
        <v>0.10898958810667085</v>
      </c>
      <c r="E14" s="62">
        <f>C14/'DISTRIBUIÇÃO CUSTO'!C$30</f>
        <v>367.95</v>
      </c>
      <c r="F14" s="82">
        <f t="shared" si="0"/>
        <v>0.99999999999999956</v>
      </c>
      <c r="H14" s="27"/>
      <c r="I14" s="34">
        <f t="shared" si="1"/>
        <v>0</v>
      </c>
      <c r="J14" s="33"/>
      <c r="K14" s="34">
        <f t="shared" si="96"/>
        <v>0</v>
      </c>
      <c r="L14" s="33"/>
      <c r="M14" s="34">
        <f t="shared" si="58"/>
        <v>0</v>
      </c>
      <c r="N14" s="33"/>
      <c r="O14" s="34">
        <f t="shared" si="4"/>
        <v>0</v>
      </c>
      <c r="P14" s="33"/>
      <c r="Q14" s="34">
        <f t="shared" si="60"/>
        <v>0</v>
      </c>
      <c r="R14" s="33"/>
      <c r="S14" s="34">
        <f t="shared" si="61"/>
        <v>0</v>
      </c>
      <c r="T14" s="33"/>
      <c r="U14" s="34">
        <f t="shared" si="62"/>
        <v>0</v>
      </c>
      <c r="V14" s="33"/>
      <c r="W14" s="34">
        <f t="shared" si="63"/>
        <v>0</v>
      </c>
      <c r="X14" s="33"/>
      <c r="Y14" s="34">
        <f t="shared" si="64"/>
        <v>0</v>
      </c>
      <c r="Z14" s="33"/>
      <c r="AA14" s="34">
        <f t="shared" si="65"/>
        <v>0</v>
      </c>
      <c r="AB14" s="33"/>
      <c r="AC14" s="34">
        <f t="shared" si="66"/>
        <v>0</v>
      </c>
      <c r="AD14" s="33"/>
      <c r="AE14" s="34">
        <f t="shared" si="67"/>
        <v>0</v>
      </c>
      <c r="AF14" s="33"/>
      <c r="AG14" s="34">
        <f t="shared" si="68"/>
        <v>0</v>
      </c>
      <c r="AH14" s="33">
        <f>100%/24</f>
        <v>4.1666666666666664E-2</v>
      </c>
      <c r="AI14" s="34">
        <f t="shared" si="69"/>
        <v>141698.00493749999</v>
      </c>
      <c r="AJ14" s="33">
        <f>100%/24</f>
        <v>4.1666666666666664E-2</v>
      </c>
      <c r="AK14" s="34">
        <f t="shared" si="70"/>
        <v>141698.00493749999</v>
      </c>
      <c r="AL14" s="33">
        <f>100%/24</f>
        <v>4.1666666666666664E-2</v>
      </c>
      <c r="AM14" s="34">
        <f t="shared" si="71"/>
        <v>141698.00493749999</v>
      </c>
      <c r="AN14" s="33">
        <f>100%/24</f>
        <v>4.1666666666666664E-2</v>
      </c>
      <c r="AO14" s="34">
        <f t="shared" si="72"/>
        <v>141698.00493749999</v>
      </c>
      <c r="AP14" s="33">
        <f>100%/24</f>
        <v>4.1666666666666664E-2</v>
      </c>
      <c r="AQ14" s="34">
        <f t="shared" si="73"/>
        <v>141698.00493749999</v>
      </c>
      <c r="AR14" s="33">
        <f>100%/24</f>
        <v>4.1666666666666664E-2</v>
      </c>
      <c r="AS14" s="34">
        <f t="shared" si="74"/>
        <v>141698.00493749999</v>
      </c>
      <c r="AT14" s="33">
        <f>100%/24</f>
        <v>4.1666666666666664E-2</v>
      </c>
      <c r="AU14" s="34">
        <f t="shared" si="75"/>
        <v>141698.00493749999</v>
      </c>
      <c r="AV14" s="33">
        <f>100%/24</f>
        <v>4.1666666666666664E-2</v>
      </c>
      <c r="AW14" s="34">
        <f t="shared" si="76"/>
        <v>141698.00493749999</v>
      </c>
      <c r="AX14" s="33">
        <f>100%/24</f>
        <v>4.1666666666666664E-2</v>
      </c>
      <c r="AY14" s="34">
        <f t="shared" si="77"/>
        <v>141698.00493749999</v>
      </c>
      <c r="AZ14" s="33">
        <f>100%/24</f>
        <v>4.1666666666666664E-2</v>
      </c>
      <c r="BA14" s="34">
        <f t="shared" si="78"/>
        <v>141698.00493749999</v>
      </c>
      <c r="BB14" s="33">
        <f>100%/24</f>
        <v>4.1666666666666664E-2</v>
      </c>
      <c r="BC14" s="34">
        <f t="shared" si="79"/>
        <v>141698.00493749999</v>
      </c>
      <c r="BD14" s="33">
        <f>100%/24</f>
        <v>4.1666666666666664E-2</v>
      </c>
      <c r="BE14" s="34">
        <f t="shared" si="80"/>
        <v>141698.00493749999</v>
      </c>
      <c r="BF14" s="33">
        <f>100%/24</f>
        <v>4.1666666666666664E-2</v>
      </c>
      <c r="BG14" s="34">
        <f t="shared" si="81"/>
        <v>141698.00493749999</v>
      </c>
      <c r="BH14" s="33">
        <f>100%/24</f>
        <v>4.1666666666666664E-2</v>
      </c>
      <c r="BI14" s="34">
        <f t="shared" si="82"/>
        <v>141698.00493749999</v>
      </c>
      <c r="BJ14" s="33">
        <f>100%/24</f>
        <v>4.1666666666666664E-2</v>
      </c>
      <c r="BK14" s="34">
        <f t="shared" si="83"/>
        <v>141698.00493749999</v>
      </c>
      <c r="BL14" s="33">
        <f>100%/24</f>
        <v>4.1666666666666664E-2</v>
      </c>
      <c r="BM14" s="34">
        <f t="shared" si="84"/>
        <v>141698.00493749999</v>
      </c>
      <c r="BN14" s="33">
        <f>100%/24</f>
        <v>4.1666666666666664E-2</v>
      </c>
      <c r="BO14" s="34">
        <f t="shared" si="85"/>
        <v>141698.00493749999</v>
      </c>
      <c r="BP14" s="33">
        <f>100%/24</f>
        <v>4.1666666666666664E-2</v>
      </c>
      <c r="BQ14" s="34">
        <f t="shared" si="86"/>
        <v>141698.00493749999</v>
      </c>
      <c r="BR14" s="33">
        <f>100%/24</f>
        <v>4.1666666666666664E-2</v>
      </c>
      <c r="BS14" s="34">
        <f t="shared" si="87"/>
        <v>141698.00493749999</v>
      </c>
      <c r="BT14" s="33">
        <f>100%/24</f>
        <v>4.1666666666666664E-2</v>
      </c>
      <c r="BU14" s="34">
        <f t="shared" si="88"/>
        <v>141698.00493749999</v>
      </c>
      <c r="BV14" s="33">
        <f>100%/24</f>
        <v>4.1666666666666664E-2</v>
      </c>
      <c r="BW14" s="34">
        <f t="shared" si="89"/>
        <v>141698.00493749999</v>
      </c>
      <c r="BX14" s="33">
        <f>100%/24</f>
        <v>4.1666666666666664E-2</v>
      </c>
      <c r="BY14" s="34">
        <f t="shared" si="90"/>
        <v>141698.00493749999</v>
      </c>
      <c r="BZ14" s="33">
        <f>100%/24</f>
        <v>4.1666666666666664E-2</v>
      </c>
      <c r="CA14" s="34">
        <f t="shared" si="91"/>
        <v>141698.00493749999</v>
      </c>
      <c r="CB14" s="33">
        <f>100%/24</f>
        <v>4.1666666666666664E-2</v>
      </c>
      <c r="CC14" s="34">
        <f t="shared" si="92"/>
        <v>141698.00493749999</v>
      </c>
      <c r="CD14" s="33"/>
      <c r="CE14" s="34">
        <f t="shared" si="93"/>
        <v>0</v>
      </c>
      <c r="CF14" s="33"/>
      <c r="CG14" s="34">
        <f t="shared" si="94"/>
        <v>0</v>
      </c>
      <c r="CH14" s="33"/>
      <c r="CI14" s="34">
        <f t="shared" si="40"/>
        <v>0</v>
      </c>
      <c r="CJ14" s="33"/>
      <c r="CK14" s="34">
        <f t="shared" si="41"/>
        <v>0</v>
      </c>
      <c r="CL14" s="33"/>
      <c r="CM14" s="34">
        <f t="shared" si="42"/>
        <v>0</v>
      </c>
      <c r="CN14" s="33"/>
      <c r="CO14" s="34">
        <f t="shared" si="43"/>
        <v>0</v>
      </c>
      <c r="CP14" s="33"/>
      <c r="CQ14" s="34">
        <f t="shared" si="44"/>
        <v>0</v>
      </c>
      <c r="CR14" s="33"/>
      <c r="CS14" s="34">
        <f t="shared" si="45"/>
        <v>0</v>
      </c>
      <c r="CT14" s="33"/>
      <c r="CU14" s="34">
        <f t="shared" si="46"/>
        <v>0</v>
      </c>
      <c r="CV14" s="33"/>
      <c r="CW14" s="34">
        <f t="shared" si="47"/>
        <v>0</v>
      </c>
      <c r="CX14" s="33"/>
      <c r="CY14" s="34">
        <f t="shared" si="48"/>
        <v>0</v>
      </c>
      <c r="CZ14" s="33"/>
      <c r="DA14" s="34">
        <f t="shared" si="49"/>
        <v>0</v>
      </c>
      <c r="DB14" s="33"/>
      <c r="DC14" s="34">
        <f t="shared" si="50"/>
        <v>0</v>
      </c>
      <c r="DD14" s="33"/>
      <c r="DE14" s="34">
        <f t="shared" si="51"/>
        <v>0</v>
      </c>
      <c r="DF14" s="33"/>
      <c r="DG14" s="34">
        <f t="shared" si="52"/>
        <v>0</v>
      </c>
      <c r="DH14" s="33"/>
      <c r="DI14" s="34">
        <f t="shared" si="53"/>
        <v>0</v>
      </c>
      <c r="DJ14" s="33"/>
      <c r="DK14" s="34">
        <f t="shared" si="95"/>
        <v>0</v>
      </c>
    </row>
    <row r="15" spans="2:115" ht="18" customHeight="1" x14ac:dyDescent="0.25">
      <c r="B15" s="46" t="s">
        <v>59</v>
      </c>
      <c r="C15" s="57">
        <v>1959248.4725000001</v>
      </c>
      <c r="D15" s="47">
        <f t="shared" si="55"/>
        <v>6.2791311032274241E-2</v>
      </c>
      <c r="E15" s="61">
        <f>C15/'DISTRIBUIÇÃO CUSTO'!C$30</f>
        <v>211.98412890332955</v>
      </c>
      <c r="F15" s="81">
        <f t="shared" si="0"/>
        <v>0.99999999999999956</v>
      </c>
      <c r="H15" s="48"/>
      <c r="I15" s="49">
        <f t="shared" si="1"/>
        <v>0</v>
      </c>
      <c r="J15" s="50"/>
      <c r="K15" s="49">
        <f t="shared" si="96"/>
        <v>0</v>
      </c>
      <c r="L15" s="50"/>
      <c r="M15" s="49">
        <f t="shared" si="58"/>
        <v>0</v>
      </c>
      <c r="N15" s="50"/>
      <c r="O15" s="49">
        <f t="shared" si="4"/>
        <v>0</v>
      </c>
      <c r="P15" s="50"/>
      <c r="Q15" s="49">
        <f t="shared" si="60"/>
        <v>0</v>
      </c>
      <c r="R15" s="50"/>
      <c r="S15" s="49">
        <f t="shared" si="61"/>
        <v>0</v>
      </c>
      <c r="T15" s="50"/>
      <c r="U15" s="49">
        <f t="shared" si="62"/>
        <v>0</v>
      </c>
      <c r="V15" s="50"/>
      <c r="W15" s="49">
        <f t="shared" si="63"/>
        <v>0</v>
      </c>
      <c r="X15" s="50"/>
      <c r="Y15" s="49">
        <f t="shared" si="64"/>
        <v>0</v>
      </c>
      <c r="Z15" s="50"/>
      <c r="AA15" s="49">
        <f t="shared" si="65"/>
        <v>0</v>
      </c>
      <c r="AB15" s="50"/>
      <c r="AC15" s="49">
        <f t="shared" si="66"/>
        <v>0</v>
      </c>
      <c r="AD15" s="50"/>
      <c r="AE15" s="49">
        <f t="shared" si="67"/>
        <v>0</v>
      </c>
      <c r="AF15" s="50"/>
      <c r="AG15" s="49">
        <f t="shared" si="68"/>
        <v>0</v>
      </c>
      <c r="AH15" s="50"/>
      <c r="AI15" s="49">
        <f t="shared" si="69"/>
        <v>0</v>
      </c>
      <c r="AJ15" s="50"/>
      <c r="AK15" s="49">
        <f t="shared" si="70"/>
        <v>0</v>
      </c>
      <c r="AL15" s="50"/>
      <c r="AM15" s="49">
        <f t="shared" si="71"/>
        <v>0</v>
      </c>
      <c r="AN15" s="50"/>
      <c r="AO15" s="49">
        <f t="shared" si="72"/>
        <v>0</v>
      </c>
      <c r="AP15" s="50"/>
      <c r="AQ15" s="49">
        <f t="shared" si="73"/>
        <v>0</v>
      </c>
      <c r="AR15" s="50"/>
      <c r="AS15" s="49">
        <f t="shared" si="74"/>
        <v>0</v>
      </c>
      <c r="AT15" s="50"/>
      <c r="AU15" s="49">
        <f t="shared" si="75"/>
        <v>0</v>
      </c>
      <c r="AV15" s="50"/>
      <c r="AW15" s="49">
        <f t="shared" si="76"/>
        <v>0</v>
      </c>
      <c r="AX15" s="50"/>
      <c r="AY15" s="49">
        <f t="shared" si="77"/>
        <v>0</v>
      </c>
      <c r="AZ15" s="50"/>
      <c r="BA15" s="49">
        <f t="shared" si="78"/>
        <v>0</v>
      </c>
      <c r="BB15" s="50"/>
      <c r="BC15" s="49">
        <f t="shared" si="79"/>
        <v>0</v>
      </c>
      <c r="BD15" s="50"/>
      <c r="BE15" s="49">
        <f t="shared" si="80"/>
        <v>0</v>
      </c>
      <c r="BF15" s="50"/>
      <c r="BG15" s="49">
        <f t="shared" si="81"/>
        <v>0</v>
      </c>
      <c r="BH15" s="50"/>
      <c r="BI15" s="49">
        <f t="shared" si="82"/>
        <v>0</v>
      </c>
      <c r="BJ15" s="50"/>
      <c r="BK15" s="49">
        <f t="shared" si="83"/>
        <v>0</v>
      </c>
      <c r="BL15" s="50"/>
      <c r="BM15" s="49">
        <f t="shared" si="84"/>
        <v>0</v>
      </c>
      <c r="BN15" s="50"/>
      <c r="BO15" s="49">
        <f t="shared" si="85"/>
        <v>0</v>
      </c>
      <c r="BP15" s="50"/>
      <c r="BQ15" s="49">
        <f t="shared" si="86"/>
        <v>0</v>
      </c>
      <c r="BR15" s="50"/>
      <c r="BS15" s="49">
        <f t="shared" si="87"/>
        <v>0</v>
      </c>
      <c r="BT15" s="50">
        <f>100%/19</f>
        <v>5.2631578947368418E-2</v>
      </c>
      <c r="BU15" s="49">
        <f t="shared" si="88"/>
        <v>103118.34065789473</v>
      </c>
      <c r="BV15" s="50">
        <f t="shared" ref="BV15" si="97">100%/19</f>
        <v>5.2631578947368418E-2</v>
      </c>
      <c r="BW15" s="49">
        <f t="shared" si="89"/>
        <v>103118.34065789473</v>
      </c>
      <c r="BX15" s="50">
        <f t="shared" ref="BX15" si="98">100%/19</f>
        <v>5.2631578947368418E-2</v>
      </c>
      <c r="BY15" s="49">
        <f t="shared" si="90"/>
        <v>103118.34065789473</v>
      </c>
      <c r="BZ15" s="50">
        <f t="shared" ref="BZ15" si="99">100%/19</f>
        <v>5.2631578947368418E-2</v>
      </c>
      <c r="CA15" s="49">
        <f t="shared" si="91"/>
        <v>103118.34065789473</v>
      </c>
      <c r="CB15" s="50">
        <f t="shared" ref="CB15" si="100">100%/19</f>
        <v>5.2631578947368418E-2</v>
      </c>
      <c r="CC15" s="49">
        <f t="shared" si="92"/>
        <v>103118.34065789473</v>
      </c>
      <c r="CD15" s="50">
        <f t="shared" ref="CD15" si="101">100%/19</f>
        <v>5.2631578947368418E-2</v>
      </c>
      <c r="CE15" s="49">
        <f t="shared" si="93"/>
        <v>103118.34065789473</v>
      </c>
      <c r="CF15" s="50">
        <f t="shared" ref="CF15" si="102">100%/19</f>
        <v>5.2631578947368418E-2</v>
      </c>
      <c r="CG15" s="49">
        <f t="shared" si="94"/>
        <v>103118.34065789473</v>
      </c>
      <c r="CH15" s="50">
        <f t="shared" ref="CH15" si="103">100%/19</f>
        <v>5.2631578947368418E-2</v>
      </c>
      <c r="CI15" s="49">
        <f t="shared" si="40"/>
        <v>103118.34065789473</v>
      </c>
      <c r="CJ15" s="50">
        <f t="shared" ref="CJ15" si="104">100%/19</f>
        <v>5.2631578947368418E-2</v>
      </c>
      <c r="CK15" s="49">
        <f t="shared" si="41"/>
        <v>103118.34065789473</v>
      </c>
      <c r="CL15" s="50">
        <f t="shared" ref="CL15" si="105">100%/19</f>
        <v>5.2631578947368418E-2</v>
      </c>
      <c r="CM15" s="49">
        <f t="shared" si="42"/>
        <v>103118.34065789473</v>
      </c>
      <c r="CN15" s="50">
        <f t="shared" ref="CN15" si="106">100%/19</f>
        <v>5.2631578947368418E-2</v>
      </c>
      <c r="CO15" s="49">
        <f t="shared" si="43"/>
        <v>103118.34065789473</v>
      </c>
      <c r="CP15" s="50">
        <f t="shared" ref="CP15" si="107">100%/19</f>
        <v>5.2631578947368418E-2</v>
      </c>
      <c r="CQ15" s="49">
        <f t="shared" si="44"/>
        <v>103118.34065789473</v>
      </c>
      <c r="CR15" s="50">
        <f t="shared" ref="CR15" si="108">100%/19</f>
        <v>5.2631578947368418E-2</v>
      </c>
      <c r="CS15" s="49">
        <f t="shared" si="45"/>
        <v>103118.34065789473</v>
      </c>
      <c r="CT15" s="50">
        <f t="shared" ref="CT15" si="109">100%/19</f>
        <v>5.2631578947368418E-2</v>
      </c>
      <c r="CU15" s="49">
        <f t="shared" si="46"/>
        <v>103118.34065789473</v>
      </c>
      <c r="CV15" s="50">
        <f t="shared" ref="CV15" si="110">100%/19</f>
        <v>5.2631578947368418E-2</v>
      </c>
      <c r="CW15" s="49">
        <f t="shared" si="47"/>
        <v>103118.34065789473</v>
      </c>
      <c r="CX15" s="50">
        <f t="shared" ref="CX15" si="111">100%/19</f>
        <v>5.2631578947368418E-2</v>
      </c>
      <c r="CY15" s="49">
        <f t="shared" si="48"/>
        <v>103118.34065789473</v>
      </c>
      <c r="CZ15" s="50">
        <f t="shared" ref="CZ15" si="112">100%/19</f>
        <v>5.2631578947368418E-2</v>
      </c>
      <c r="DA15" s="49">
        <f t="shared" si="49"/>
        <v>103118.34065789473</v>
      </c>
      <c r="DB15" s="50">
        <f t="shared" ref="DB15" si="113">100%/19</f>
        <v>5.2631578947368418E-2</v>
      </c>
      <c r="DC15" s="49">
        <f t="shared" si="50"/>
        <v>103118.34065789473</v>
      </c>
      <c r="DD15" s="50">
        <f t="shared" ref="DD15" si="114">100%/19</f>
        <v>5.2631578947368418E-2</v>
      </c>
      <c r="DE15" s="49">
        <f t="shared" si="51"/>
        <v>103118.34065789473</v>
      </c>
      <c r="DF15" s="50"/>
      <c r="DG15" s="49">
        <f t="shared" si="52"/>
        <v>0</v>
      </c>
      <c r="DH15" s="50"/>
      <c r="DI15" s="49">
        <f t="shared" si="53"/>
        <v>0</v>
      </c>
      <c r="DJ15" s="50"/>
      <c r="DK15" s="49">
        <f t="shared" si="95"/>
        <v>0</v>
      </c>
    </row>
    <row r="16" spans="2:115" ht="19.5" customHeight="1" x14ac:dyDescent="0.25">
      <c r="B16" s="43" t="s">
        <v>60</v>
      </c>
      <c r="C16" s="60">
        <v>416618.06780000008</v>
      </c>
      <c r="D16" s="29">
        <f t="shared" si="55"/>
        <v>1.3352055670363639E-2</v>
      </c>
      <c r="E16" s="64">
        <f>C16/'DISTRIBUIÇÃO CUSTO'!C$30</f>
        <v>45.07668089452666</v>
      </c>
      <c r="F16" s="82">
        <f t="shared" si="0"/>
        <v>1.0000000000000002</v>
      </c>
      <c r="H16" s="27"/>
      <c r="I16" s="34">
        <f t="shared" si="1"/>
        <v>0</v>
      </c>
      <c r="J16" s="33"/>
      <c r="K16" s="34">
        <f t="shared" si="96"/>
        <v>0</v>
      </c>
      <c r="L16" s="33"/>
      <c r="M16" s="34">
        <f t="shared" si="58"/>
        <v>0</v>
      </c>
      <c r="N16" s="33"/>
      <c r="O16" s="34">
        <f t="shared" si="4"/>
        <v>0</v>
      </c>
      <c r="P16" s="33"/>
      <c r="Q16" s="34">
        <f t="shared" si="60"/>
        <v>0</v>
      </c>
      <c r="R16" s="33"/>
      <c r="S16" s="34">
        <f t="shared" si="61"/>
        <v>0</v>
      </c>
      <c r="T16" s="33"/>
      <c r="U16" s="34">
        <f t="shared" si="62"/>
        <v>0</v>
      </c>
      <c r="V16" s="33"/>
      <c r="W16" s="34">
        <f t="shared" si="63"/>
        <v>0</v>
      </c>
      <c r="X16" s="33"/>
      <c r="Y16" s="34">
        <f t="shared" si="64"/>
        <v>0</v>
      </c>
      <c r="Z16" s="33"/>
      <c r="AA16" s="34">
        <f t="shared" si="65"/>
        <v>0</v>
      </c>
      <c r="AB16" s="33"/>
      <c r="AC16" s="34">
        <f t="shared" si="66"/>
        <v>0</v>
      </c>
      <c r="AD16" s="33"/>
      <c r="AE16" s="34">
        <f t="shared" si="67"/>
        <v>0</v>
      </c>
      <c r="AF16" s="33"/>
      <c r="AG16" s="34">
        <f t="shared" si="68"/>
        <v>0</v>
      </c>
      <c r="AH16" s="33"/>
      <c r="AI16" s="34">
        <f t="shared" si="69"/>
        <v>0</v>
      </c>
      <c r="AJ16" s="33"/>
      <c r="AK16" s="34">
        <f t="shared" si="70"/>
        <v>0</v>
      </c>
      <c r="AL16" s="33">
        <f>100%/25</f>
        <v>0.04</v>
      </c>
      <c r="AM16" s="34">
        <f t="shared" si="71"/>
        <v>16664.722712000003</v>
      </c>
      <c r="AN16" s="33">
        <f t="shared" ref="AN16" si="115">100%/25</f>
        <v>0.04</v>
      </c>
      <c r="AO16" s="34">
        <f t="shared" si="72"/>
        <v>16664.722712000003</v>
      </c>
      <c r="AP16" s="33">
        <f t="shared" ref="AP16" si="116">100%/25</f>
        <v>0.04</v>
      </c>
      <c r="AQ16" s="34">
        <f t="shared" si="73"/>
        <v>16664.722712000003</v>
      </c>
      <c r="AR16" s="33">
        <f t="shared" ref="AR16" si="117">100%/25</f>
        <v>0.04</v>
      </c>
      <c r="AS16" s="34">
        <f t="shared" si="74"/>
        <v>16664.722712000003</v>
      </c>
      <c r="AT16" s="33">
        <f t="shared" ref="AT16" si="118">100%/25</f>
        <v>0.04</v>
      </c>
      <c r="AU16" s="34">
        <f t="shared" si="75"/>
        <v>16664.722712000003</v>
      </c>
      <c r="AV16" s="33">
        <f t="shared" ref="AV16" si="119">100%/25</f>
        <v>0.04</v>
      </c>
      <c r="AW16" s="34">
        <f t="shared" si="76"/>
        <v>16664.722712000003</v>
      </c>
      <c r="AX16" s="33">
        <f t="shared" ref="AX16" si="120">100%/25</f>
        <v>0.04</v>
      </c>
      <c r="AY16" s="34">
        <f t="shared" si="77"/>
        <v>16664.722712000003</v>
      </c>
      <c r="AZ16" s="33">
        <f t="shared" ref="AZ16" si="121">100%/25</f>
        <v>0.04</v>
      </c>
      <c r="BA16" s="34">
        <f t="shared" si="78"/>
        <v>16664.722712000003</v>
      </c>
      <c r="BB16" s="33">
        <f t="shared" ref="BB16" si="122">100%/25</f>
        <v>0.04</v>
      </c>
      <c r="BC16" s="34">
        <f t="shared" si="79"/>
        <v>16664.722712000003</v>
      </c>
      <c r="BD16" s="33">
        <f t="shared" ref="BD16" si="123">100%/25</f>
        <v>0.04</v>
      </c>
      <c r="BE16" s="34">
        <f t="shared" si="80"/>
        <v>16664.722712000003</v>
      </c>
      <c r="BF16" s="33">
        <f t="shared" ref="BF16" si="124">100%/25</f>
        <v>0.04</v>
      </c>
      <c r="BG16" s="34">
        <f t="shared" si="81"/>
        <v>16664.722712000003</v>
      </c>
      <c r="BH16" s="33">
        <f t="shared" ref="BH16" si="125">100%/25</f>
        <v>0.04</v>
      </c>
      <c r="BI16" s="34">
        <f t="shared" si="82"/>
        <v>16664.722712000003</v>
      </c>
      <c r="BJ16" s="33">
        <f t="shared" ref="BJ16" si="126">100%/25</f>
        <v>0.04</v>
      </c>
      <c r="BK16" s="34">
        <f t="shared" si="83"/>
        <v>16664.722712000003</v>
      </c>
      <c r="BL16" s="33">
        <f t="shared" ref="BL16" si="127">100%/25</f>
        <v>0.04</v>
      </c>
      <c r="BM16" s="34">
        <f t="shared" si="84"/>
        <v>16664.722712000003</v>
      </c>
      <c r="BN16" s="33">
        <f t="shared" ref="BN16" si="128">100%/25</f>
        <v>0.04</v>
      </c>
      <c r="BO16" s="34">
        <f t="shared" si="85"/>
        <v>16664.722712000003</v>
      </c>
      <c r="BP16" s="33">
        <f t="shared" ref="BP16" si="129">100%/25</f>
        <v>0.04</v>
      </c>
      <c r="BQ16" s="34">
        <f t="shared" si="86"/>
        <v>16664.722712000003</v>
      </c>
      <c r="BR16" s="33">
        <f t="shared" ref="BR16" si="130">100%/25</f>
        <v>0.04</v>
      </c>
      <c r="BS16" s="34">
        <f t="shared" si="87"/>
        <v>16664.722712000003</v>
      </c>
      <c r="BT16" s="33">
        <f t="shared" ref="BT16" si="131">100%/25</f>
        <v>0.04</v>
      </c>
      <c r="BU16" s="34">
        <f t="shared" si="88"/>
        <v>16664.722712000003</v>
      </c>
      <c r="BV16" s="33">
        <f t="shared" ref="BV16" si="132">100%/25</f>
        <v>0.04</v>
      </c>
      <c r="BW16" s="34">
        <f t="shared" si="89"/>
        <v>16664.722712000003</v>
      </c>
      <c r="BX16" s="33">
        <f t="shared" ref="BX16" si="133">100%/25</f>
        <v>0.04</v>
      </c>
      <c r="BY16" s="34">
        <f t="shared" si="90"/>
        <v>16664.722712000003</v>
      </c>
      <c r="BZ16" s="33">
        <f t="shared" ref="BZ16" si="134">100%/25</f>
        <v>0.04</v>
      </c>
      <c r="CA16" s="34">
        <f t="shared" si="91"/>
        <v>16664.722712000003</v>
      </c>
      <c r="CB16" s="33">
        <f t="shared" ref="CB16" si="135">100%/25</f>
        <v>0.04</v>
      </c>
      <c r="CC16" s="34">
        <f t="shared" si="92"/>
        <v>16664.722712000003</v>
      </c>
      <c r="CD16" s="33">
        <f t="shared" ref="CD16" si="136">100%/25</f>
        <v>0.04</v>
      </c>
      <c r="CE16" s="34">
        <f t="shared" si="93"/>
        <v>16664.722712000003</v>
      </c>
      <c r="CF16" s="33">
        <f t="shared" ref="CF16" si="137">100%/25</f>
        <v>0.04</v>
      </c>
      <c r="CG16" s="34">
        <f t="shared" si="94"/>
        <v>16664.722712000003</v>
      </c>
      <c r="CH16" s="33">
        <f t="shared" ref="CH16" si="138">100%/25</f>
        <v>0.04</v>
      </c>
      <c r="CI16" s="34">
        <f t="shared" si="40"/>
        <v>16664.722712000003</v>
      </c>
      <c r="CJ16" s="33"/>
      <c r="CK16" s="34">
        <f t="shared" si="41"/>
        <v>0</v>
      </c>
      <c r="CL16" s="33"/>
      <c r="CM16" s="34">
        <f t="shared" si="42"/>
        <v>0</v>
      </c>
      <c r="CN16" s="33"/>
      <c r="CO16" s="34">
        <f t="shared" si="43"/>
        <v>0</v>
      </c>
      <c r="CP16" s="33"/>
      <c r="CQ16" s="34">
        <f t="shared" si="44"/>
        <v>0</v>
      </c>
      <c r="CR16" s="33"/>
      <c r="CS16" s="34">
        <f t="shared" si="45"/>
        <v>0</v>
      </c>
      <c r="CT16" s="33"/>
      <c r="CU16" s="34">
        <f t="shared" si="46"/>
        <v>0</v>
      </c>
      <c r="CV16" s="33"/>
      <c r="CW16" s="34">
        <f t="shared" si="47"/>
        <v>0</v>
      </c>
      <c r="CX16" s="33"/>
      <c r="CY16" s="34">
        <f t="shared" si="48"/>
        <v>0</v>
      </c>
      <c r="CZ16" s="33"/>
      <c r="DA16" s="34">
        <f t="shared" si="49"/>
        <v>0</v>
      </c>
      <c r="DB16" s="33"/>
      <c r="DC16" s="34">
        <f t="shared" si="50"/>
        <v>0</v>
      </c>
      <c r="DD16" s="33"/>
      <c r="DE16" s="34">
        <f t="shared" si="51"/>
        <v>0</v>
      </c>
      <c r="DF16" s="33"/>
      <c r="DG16" s="34">
        <f t="shared" si="52"/>
        <v>0</v>
      </c>
      <c r="DH16" s="33"/>
      <c r="DI16" s="34">
        <f t="shared" si="53"/>
        <v>0</v>
      </c>
      <c r="DJ16" s="33"/>
      <c r="DK16" s="34">
        <f t="shared" si="95"/>
        <v>0</v>
      </c>
    </row>
    <row r="17" spans="2:116" ht="19.5" customHeight="1" x14ac:dyDescent="0.25">
      <c r="B17" s="44" t="s">
        <v>61</v>
      </c>
      <c r="C17" s="59">
        <v>1531099.81125</v>
      </c>
      <c r="D17" s="45">
        <f t="shared" si="55"/>
        <v>4.9069715158170241E-2</v>
      </c>
      <c r="E17" s="63">
        <f>C17/'DISTRIBUIÇÃO CUSTO'!C$30</f>
        <v>165.65987637991307</v>
      </c>
      <c r="F17" s="81">
        <f t="shared" si="0"/>
        <v>1.0000000000000002</v>
      </c>
      <c r="H17" s="48"/>
      <c r="I17" s="49">
        <f t="shared" si="1"/>
        <v>0</v>
      </c>
      <c r="J17" s="50"/>
      <c r="K17" s="49">
        <f t="shared" si="96"/>
        <v>0</v>
      </c>
      <c r="L17" s="50"/>
      <c r="M17" s="49">
        <f t="shared" si="58"/>
        <v>0</v>
      </c>
      <c r="N17" s="50"/>
      <c r="O17" s="49">
        <f t="shared" si="4"/>
        <v>0</v>
      </c>
      <c r="P17" s="50"/>
      <c r="Q17" s="49">
        <f t="shared" si="60"/>
        <v>0</v>
      </c>
      <c r="R17" s="50"/>
      <c r="S17" s="49">
        <f t="shared" si="61"/>
        <v>0</v>
      </c>
      <c r="T17" s="50"/>
      <c r="U17" s="49">
        <f t="shared" si="62"/>
        <v>0</v>
      </c>
      <c r="V17" s="50"/>
      <c r="W17" s="49">
        <f t="shared" si="63"/>
        <v>0</v>
      </c>
      <c r="X17" s="50"/>
      <c r="Y17" s="49">
        <f t="shared" si="64"/>
        <v>0</v>
      </c>
      <c r="Z17" s="50"/>
      <c r="AA17" s="49">
        <f t="shared" si="65"/>
        <v>0</v>
      </c>
      <c r="AB17" s="50"/>
      <c r="AC17" s="49">
        <f t="shared" si="66"/>
        <v>0</v>
      </c>
      <c r="AD17" s="50"/>
      <c r="AE17" s="49">
        <f t="shared" si="67"/>
        <v>0</v>
      </c>
      <c r="AF17" s="50"/>
      <c r="AG17" s="49">
        <f t="shared" si="68"/>
        <v>0</v>
      </c>
      <c r="AH17" s="50"/>
      <c r="AI17" s="49">
        <f t="shared" si="69"/>
        <v>0</v>
      </c>
      <c r="AJ17" s="50">
        <f>100%/25</f>
        <v>0.04</v>
      </c>
      <c r="AK17" s="49">
        <f t="shared" si="70"/>
        <v>61243.992450000005</v>
      </c>
      <c r="AL17" s="50">
        <f t="shared" ref="AL17" si="139">100%/25</f>
        <v>0.04</v>
      </c>
      <c r="AM17" s="49">
        <f t="shared" si="71"/>
        <v>61243.992450000005</v>
      </c>
      <c r="AN17" s="50">
        <f t="shared" ref="AN17" si="140">100%/25</f>
        <v>0.04</v>
      </c>
      <c r="AO17" s="49">
        <f t="shared" si="72"/>
        <v>61243.992450000005</v>
      </c>
      <c r="AP17" s="50">
        <f t="shared" ref="AP17" si="141">100%/25</f>
        <v>0.04</v>
      </c>
      <c r="AQ17" s="49">
        <f t="shared" si="73"/>
        <v>61243.992450000005</v>
      </c>
      <c r="AR17" s="50">
        <f t="shared" ref="AR17" si="142">100%/25</f>
        <v>0.04</v>
      </c>
      <c r="AS17" s="49">
        <f t="shared" si="74"/>
        <v>61243.992450000005</v>
      </c>
      <c r="AT17" s="50">
        <f t="shared" ref="AT17" si="143">100%/25</f>
        <v>0.04</v>
      </c>
      <c r="AU17" s="49">
        <f t="shared" si="75"/>
        <v>61243.992450000005</v>
      </c>
      <c r="AV17" s="50">
        <f t="shared" ref="AV17" si="144">100%/25</f>
        <v>0.04</v>
      </c>
      <c r="AW17" s="49">
        <f t="shared" si="76"/>
        <v>61243.992450000005</v>
      </c>
      <c r="AX17" s="50">
        <f t="shared" ref="AX17" si="145">100%/25</f>
        <v>0.04</v>
      </c>
      <c r="AY17" s="49">
        <f t="shared" si="77"/>
        <v>61243.992450000005</v>
      </c>
      <c r="AZ17" s="50">
        <f t="shared" ref="AZ17" si="146">100%/25</f>
        <v>0.04</v>
      </c>
      <c r="BA17" s="49">
        <f t="shared" si="78"/>
        <v>61243.992450000005</v>
      </c>
      <c r="BB17" s="50">
        <f t="shared" ref="BB17" si="147">100%/25</f>
        <v>0.04</v>
      </c>
      <c r="BC17" s="49">
        <f t="shared" si="79"/>
        <v>61243.992450000005</v>
      </c>
      <c r="BD17" s="50">
        <f t="shared" ref="BD17" si="148">100%/25</f>
        <v>0.04</v>
      </c>
      <c r="BE17" s="49">
        <f t="shared" si="80"/>
        <v>61243.992450000005</v>
      </c>
      <c r="BF17" s="50">
        <f t="shared" ref="BF17" si="149">100%/25</f>
        <v>0.04</v>
      </c>
      <c r="BG17" s="49">
        <f t="shared" si="81"/>
        <v>61243.992450000005</v>
      </c>
      <c r="BH17" s="50">
        <f t="shared" ref="BH17" si="150">100%/25</f>
        <v>0.04</v>
      </c>
      <c r="BI17" s="49">
        <f t="shared" si="82"/>
        <v>61243.992450000005</v>
      </c>
      <c r="BJ17" s="50">
        <f t="shared" ref="BJ17" si="151">100%/25</f>
        <v>0.04</v>
      </c>
      <c r="BK17" s="49">
        <f t="shared" si="83"/>
        <v>61243.992450000005</v>
      </c>
      <c r="BL17" s="50">
        <f t="shared" ref="BL17" si="152">100%/25</f>
        <v>0.04</v>
      </c>
      <c r="BM17" s="49">
        <f t="shared" si="84"/>
        <v>61243.992450000005</v>
      </c>
      <c r="BN17" s="50">
        <f t="shared" ref="BN17" si="153">100%/25</f>
        <v>0.04</v>
      </c>
      <c r="BO17" s="49">
        <f t="shared" si="85"/>
        <v>61243.992450000005</v>
      </c>
      <c r="BP17" s="50">
        <f t="shared" ref="BP17" si="154">100%/25</f>
        <v>0.04</v>
      </c>
      <c r="BQ17" s="49">
        <f t="shared" si="86"/>
        <v>61243.992450000005</v>
      </c>
      <c r="BR17" s="50">
        <f t="shared" ref="BR17" si="155">100%/25</f>
        <v>0.04</v>
      </c>
      <c r="BS17" s="49">
        <f t="shared" si="87"/>
        <v>61243.992450000005</v>
      </c>
      <c r="BT17" s="50">
        <f t="shared" ref="BT17" si="156">100%/25</f>
        <v>0.04</v>
      </c>
      <c r="BU17" s="49">
        <f t="shared" si="88"/>
        <v>61243.992450000005</v>
      </c>
      <c r="BV17" s="50">
        <f t="shared" ref="BV17" si="157">100%/25</f>
        <v>0.04</v>
      </c>
      <c r="BW17" s="49">
        <f t="shared" si="89"/>
        <v>61243.992450000005</v>
      </c>
      <c r="BX17" s="50">
        <f t="shared" ref="BX17" si="158">100%/25</f>
        <v>0.04</v>
      </c>
      <c r="BY17" s="49">
        <f t="shared" si="90"/>
        <v>61243.992450000005</v>
      </c>
      <c r="BZ17" s="50">
        <f t="shared" ref="BZ17" si="159">100%/25</f>
        <v>0.04</v>
      </c>
      <c r="CA17" s="49">
        <f t="shared" si="91"/>
        <v>61243.992450000005</v>
      </c>
      <c r="CB17" s="50">
        <f t="shared" ref="CB17" si="160">100%/25</f>
        <v>0.04</v>
      </c>
      <c r="CC17" s="49">
        <f t="shared" si="92"/>
        <v>61243.992450000005</v>
      </c>
      <c r="CD17" s="50">
        <f t="shared" ref="CD17" si="161">100%/25</f>
        <v>0.04</v>
      </c>
      <c r="CE17" s="49">
        <f t="shared" si="93"/>
        <v>61243.992450000005</v>
      </c>
      <c r="CF17" s="50">
        <f t="shared" ref="CF17" si="162">100%/25</f>
        <v>0.04</v>
      </c>
      <c r="CG17" s="49">
        <f t="shared" si="94"/>
        <v>61243.992450000005</v>
      </c>
      <c r="CH17" s="50"/>
      <c r="CI17" s="49">
        <f t="shared" si="40"/>
        <v>0</v>
      </c>
      <c r="CJ17" s="50"/>
      <c r="CK17" s="49">
        <f t="shared" si="41"/>
        <v>0</v>
      </c>
      <c r="CL17" s="50"/>
      <c r="CM17" s="49">
        <f t="shared" si="42"/>
        <v>0</v>
      </c>
      <c r="CN17" s="50"/>
      <c r="CO17" s="49">
        <f t="shared" si="43"/>
        <v>0</v>
      </c>
      <c r="CP17" s="50"/>
      <c r="CQ17" s="49">
        <f t="shared" si="44"/>
        <v>0</v>
      </c>
      <c r="CR17" s="50"/>
      <c r="CS17" s="49">
        <f t="shared" si="45"/>
        <v>0</v>
      </c>
      <c r="CT17" s="50"/>
      <c r="CU17" s="49">
        <f t="shared" si="46"/>
        <v>0</v>
      </c>
      <c r="CV17" s="50"/>
      <c r="CW17" s="49">
        <f t="shared" si="47"/>
        <v>0</v>
      </c>
      <c r="CX17" s="50"/>
      <c r="CY17" s="49">
        <f t="shared" si="48"/>
        <v>0</v>
      </c>
      <c r="CZ17" s="50"/>
      <c r="DA17" s="49">
        <f t="shared" si="49"/>
        <v>0</v>
      </c>
      <c r="DB17" s="50"/>
      <c r="DC17" s="49">
        <f t="shared" si="50"/>
        <v>0</v>
      </c>
      <c r="DD17" s="50"/>
      <c r="DE17" s="49">
        <f t="shared" si="51"/>
        <v>0</v>
      </c>
      <c r="DF17" s="50"/>
      <c r="DG17" s="49">
        <f t="shared" si="52"/>
        <v>0</v>
      </c>
      <c r="DH17" s="50"/>
      <c r="DI17" s="49">
        <f t="shared" si="53"/>
        <v>0</v>
      </c>
      <c r="DJ17" s="50"/>
      <c r="DK17" s="49">
        <f t="shared" si="95"/>
        <v>0</v>
      </c>
    </row>
    <row r="18" spans="2:116" ht="19.5" customHeight="1" x14ac:dyDescent="0.25">
      <c r="B18" s="43" t="s">
        <v>62</v>
      </c>
      <c r="C18" s="60">
        <v>448073.00639999995</v>
      </c>
      <c r="D18" s="29">
        <f t="shared" si="55"/>
        <v>1.4360144670230746E-2</v>
      </c>
      <c r="E18" s="64">
        <f>C18/'DISTRIBUIÇÃO CUSTO'!C$30</f>
        <v>48.48</v>
      </c>
      <c r="F18" s="82">
        <f t="shared" si="0"/>
        <v>0.99999999999999956</v>
      </c>
      <c r="H18" s="27"/>
      <c r="I18" s="34">
        <f t="shared" si="1"/>
        <v>0</v>
      </c>
      <c r="J18" s="33"/>
      <c r="K18" s="34">
        <f t="shared" si="96"/>
        <v>0</v>
      </c>
      <c r="L18" s="33"/>
      <c r="M18" s="34">
        <f t="shared" si="58"/>
        <v>0</v>
      </c>
      <c r="N18" s="33"/>
      <c r="O18" s="34">
        <f t="shared" si="4"/>
        <v>0</v>
      </c>
      <c r="P18" s="33"/>
      <c r="Q18" s="34">
        <f t="shared" si="60"/>
        <v>0</v>
      </c>
      <c r="R18" s="33"/>
      <c r="S18" s="34">
        <f t="shared" si="61"/>
        <v>0</v>
      </c>
      <c r="T18" s="33"/>
      <c r="U18" s="34">
        <f t="shared" si="62"/>
        <v>0</v>
      </c>
      <c r="V18" s="33"/>
      <c r="W18" s="34">
        <f t="shared" si="63"/>
        <v>0</v>
      </c>
      <c r="X18" s="33"/>
      <c r="Y18" s="34">
        <f t="shared" si="64"/>
        <v>0</v>
      </c>
      <c r="Z18" s="33"/>
      <c r="AA18" s="34">
        <f t="shared" si="65"/>
        <v>0</v>
      </c>
      <c r="AB18" s="33"/>
      <c r="AC18" s="34">
        <f t="shared" si="66"/>
        <v>0</v>
      </c>
      <c r="AD18" s="33"/>
      <c r="AE18" s="34">
        <f t="shared" si="67"/>
        <v>0</v>
      </c>
      <c r="AF18" s="33"/>
      <c r="AG18" s="34">
        <f t="shared" si="68"/>
        <v>0</v>
      </c>
      <c r="AH18" s="33"/>
      <c r="AI18" s="34">
        <f t="shared" si="69"/>
        <v>0</v>
      </c>
      <c r="AJ18" s="33"/>
      <c r="AK18" s="34">
        <f t="shared" si="70"/>
        <v>0</v>
      </c>
      <c r="AL18" s="33"/>
      <c r="AM18" s="34">
        <f t="shared" si="71"/>
        <v>0</v>
      </c>
      <c r="AN18" s="33"/>
      <c r="AO18" s="34">
        <f t="shared" si="72"/>
        <v>0</v>
      </c>
      <c r="AP18" s="33">
        <f>100%/26</f>
        <v>3.8461538461538464E-2</v>
      </c>
      <c r="AQ18" s="34">
        <f t="shared" si="73"/>
        <v>17233.577169230768</v>
      </c>
      <c r="AR18" s="33">
        <f t="shared" ref="AR18" si="163">100%/26</f>
        <v>3.8461538461538464E-2</v>
      </c>
      <c r="AS18" s="34">
        <f t="shared" si="74"/>
        <v>17233.577169230768</v>
      </c>
      <c r="AT18" s="33">
        <f t="shared" ref="AT18" si="164">100%/26</f>
        <v>3.8461538461538464E-2</v>
      </c>
      <c r="AU18" s="34">
        <f t="shared" si="75"/>
        <v>17233.577169230768</v>
      </c>
      <c r="AV18" s="33">
        <f t="shared" ref="AV18" si="165">100%/26</f>
        <v>3.8461538461538464E-2</v>
      </c>
      <c r="AW18" s="34">
        <f t="shared" si="76"/>
        <v>17233.577169230768</v>
      </c>
      <c r="AX18" s="33">
        <f t="shared" ref="AX18" si="166">100%/26</f>
        <v>3.8461538461538464E-2</v>
      </c>
      <c r="AY18" s="34">
        <f t="shared" si="77"/>
        <v>17233.577169230768</v>
      </c>
      <c r="AZ18" s="33">
        <f t="shared" ref="AZ18" si="167">100%/26</f>
        <v>3.8461538461538464E-2</v>
      </c>
      <c r="BA18" s="34">
        <f t="shared" si="78"/>
        <v>17233.577169230768</v>
      </c>
      <c r="BB18" s="33">
        <f t="shared" ref="BB18" si="168">100%/26</f>
        <v>3.8461538461538464E-2</v>
      </c>
      <c r="BC18" s="34">
        <f t="shared" si="79"/>
        <v>17233.577169230768</v>
      </c>
      <c r="BD18" s="33">
        <f t="shared" ref="BD18" si="169">100%/26</f>
        <v>3.8461538461538464E-2</v>
      </c>
      <c r="BE18" s="34">
        <f t="shared" si="80"/>
        <v>17233.577169230768</v>
      </c>
      <c r="BF18" s="33">
        <f t="shared" ref="BF18" si="170">100%/26</f>
        <v>3.8461538461538464E-2</v>
      </c>
      <c r="BG18" s="34">
        <f t="shared" si="81"/>
        <v>17233.577169230768</v>
      </c>
      <c r="BH18" s="33">
        <f t="shared" ref="BH18" si="171">100%/26</f>
        <v>3.8461538461538464E-2</v>
      </c>
      <c r="BI18" s="34">
        <f t="shared" si="82"/>
        <v>17233.577169230768</v>
      </c>
      <c r="BJ18" s="33">
        <f t="shared" ref="BJ18" si="172">100%/26</f>
        <v>3.8461538461538464E-2</v>
      </c>
      <c r="BK18" s="34">
        <f t="shared" si="83"/>
        <v>17233.577169230768</v>
      </c>
      <c r="BL18" s="33">
        <f t="shared" ref="BL18" si="173">100%/26</f>
        <v>3.8461538461538464E-2</v>
      </c>
      <c r="BM18" s="34">
        <f t="shared" si="84"/>
        <v>17233.577169230768</v>
      </c>
      <c r="BN18" s="33">
        <f t="shared" ref="BN18" si="174">100%/26</f>
        <v>3.8461538461538464E-2</v>
      </c>
      <c r="BO18" s="34">
        <f t="shared" si="85"/>
        <v>17233.577169230768</v>
      </c>
      <c r="BP18" s="33">
        <f t="shared" ref="BP18" si="175">100%/26</f>
        <v>3.8461538461538464E-2</v>
      </c>
      <c r="BQ18" s="34">
        <f t="shared" si="86"/>
        <v>17233.577169230768</v>
      </c>
      <c r="BR18" s="33">
        <f t="shared" ref="BR18" si="176">100%/26</f>
        <v>3.8461538461538464E-2</v>
      </c>
      <c r="BS18" s="34">
        <f t="shared" si="87"/>
        <v>17233.577169230768</v>
      </c>
      <c r="BT18" s="33">
        <f t="shared" ref="BT18" si="177">100%/26</f>
        <v>3.8461538461538464E-2</v>
      </c>
      <c r="BU18" s="34">
        <f t="shared" si="88"/>
        <v>17233.577169230768</v>
      </c>
      <c r="BV18" s="33">
        <f t="shared" ref="BV18" si="178">100%/26</f>
        <v>3.8461538461538464E-2</v>
      </c>
      <c r="BW18" s="34">
        <f t="shared" si="89"/>
        <v>17233.577169230768</v>
      </c>
      <c r="BX18" s="33">
        <f t="shared" ref="BX18" si="179">100%/26</f>
        <v>3.8461538461538464E-2</v>
      </c>
      <c r="BY18" s="34">
        <f t="shared" si="90"/>
        <v>17233.577169230768</v>
      </c>
      <c r="BZ18" s="33">
        <f t="shared" ref="BZ18" si="180">100%/26</f>
        <v>3.8461538461538464E-2</v>
      </c>
      <c r="CA18" s="34">
        <f t="shared" si="91"/>
        <v>17233.577169230768</v>
      </c>
      <c r="CB18" s="33">
        <f t="shared" ref="CB18" si="181">100%/26</f>
        <v>3.8461538461538464E-2</v>
      </c>
      <c r="CC18" s="34">
        <f t="shared" si="92"/>
        <v>17233.577169230768</v>
      </c>
      <c r="CD18" s="33">
        <f t="shared" ref="CD18" si="182">100%/26</f>
        <v>3.8461538461538464E-2</v>
      </c>
      <c r="CE18" s="34">
        <f t="shared" si="93"/>
        <v>17233.577169230768</v>
      </c>
      <c r="CF18" s="33">
        <f t="shared" ref="CF18" si="183">100%/26</f>
        <v>3.8461538461538464E-2</v>
      </c>
      <c r="CG18" s="34">
        <f t="shared" si="94"/>
        <v>17233.577169230768</v>
      </c>
      <c r="CH18" s="33">
        <f t="shared" ref="CH18" si="184">100%/26</f>
        <v>3.8461538461538464E-2</v>
      </c>
      <c r="CI18" s="34">
        <f t="shared" si="40"/>
        <v>17233.577169230768</v>
      </c>
      <c r="CJ18" s="33">
        <f t="shared" ref="CJ18" si="185">100%/26</f>
        <v>3.8461538461538464E-2</v>
      </c>
      <c r="CK18" s="34">
        <f t="shared" si="41"/>
        <v>17233.577169230768</v>
      </c>
      <c r="CL18" s="33">
        <f t="shared" ref="CL18" si="186">100%/26</f>
        <v>3.8461538461538464E-2</v>
      </c>
      <c r="CM18" s="34">
        <f t="shared" si="42"/>
        <v>17233.577169230768</v>
      </c>
      <c r="CN18" s="33">
        <f t="shared" ref="CN18" si="187">100%/26</f>
        <v>3.8461538461538464E-2</v>
      </c>
      <c r="CO18" s="34">
        <f t="shared" si="43"/>
        <v>17233.577169230768</v>
      </c>
      <c r="CP18" s="33"/>
      <c r="CQ18" s="34">
        <f t="shared" si="44"/>
        <v>0</v>
      </c>
      <c r="CR18" s="33"/>
      <c r="CS18" s="34">
        <f t="shared" si="45"/>
        <v>0</v>
      </c>
      <c r="CT18" s="33"/>
      <c r="CU18" s="34">
        <f t="shared" si="46"/>
        <v>0</v>
      </c>
      <c r="CV18" s="33"/>
      <c r="CW18" s="34">
        <f t="shared" si="47"/>
        <v>0</v>
      </c>
      <c r="CX18" s="33"/>
      <c r="CY18" s="34">
        <f t="shared" si="48"/>
        <v>0</v>
      </c>
      <c r="CZ18" s="33"/>
      <c r="DA18" s="34">
        <f t="shared" si="49"/>
        <v>0</v>
      </c>
      <c r="DB18" s="33"/>
      <c r="DC18" s="34">
        <f t="shared" si="50"/>
        <v>0</v>
      </c>
      <c r="DD18" s="33"/>
      <c r="DE18" s="34">
        <f t="shared" si="51"/>
        <v>0</v>
      </c>
      <c r="DF18" s="33"/>
      <c r="DG18" s="34">
        <f t="shared" si="52"/>
        <v>0</v>
      </c>
      <c r="DH18" s="33"/>
      <c r="DI18" s="34">
        <f t="shared" si="53"/>
        <v>0</v>
      </c>
      <c r="DJ18" s="33"/>
      <c r="DK18" s="34">
        <f t="shared" si="95"/>
        <v>0</v>
      </c>
    </row>
    <row r="19" spans="2:116" ht="19.5" customHeight="1" x14ac:dyDescent="0.25">
      <c r="B19" s="44" t="s">
        <v>63</v>
      </c>
      <c r="C19" s="59">
        <v>1564511.4164246183</v>
      </c>
      <c r="D19" s="45">
        <f t="shared" si="55"/>
        <v>5.0140512722672108E-2</v>
      </c>
      <c r="E19" s="63">
        <f>C19/'DISTRIBUIÇÃO CUSTO'!C$30</f>
        <v>169.27490026157821</v>
      </c>
      <c r="F19" s="81">
        <f t="shared" si="0"/>
        <v>1</v>
      </c>
      <c r="H19" s="48"/>
      <c r="I19" s="49">
        <f t="shared" si="1"/>
        <v>0</v>
      </c>
      <c r="J19" s="50"/>
      <c r="K19" s="49">
        <f t="shared" si="96"/>
        <v>0</v>
      </c>
      <c r="L19" s="50"/>
      <c r="M19" s="49">
        <f t="shared" si="58"/>
        <v>0</v>
      </c>
      <c r="N19" s="50"/>
      <c r="O19" s="49">
        <f t="shared" si="4"/>
        <v>0</v>
      </c>
      <c r="P19" s="50"/>
      <c r="Q19" s="49">
        <f t="shared" si="60"/>
        <v>0</v>
      </c>
      <c r="R19" s="50"/>
      <c r="S19" s="49">
        <f t="shared" si="61"/>
        <v>0</v>
      </c>
      <c r="T19" s="50"/>
      <c r="U19" s="49">
        <f t="shared" si="62"/>
        <v>0</v>
      </c>
      <c r="V19" s="50"/>
      <c r="W19" s="49">
        <f t="shared" si="63"/>
        <v>0</v>
      </c>
      <c r="X19" s="50"/>
      <c r="Y19" s="49">
        <f t="shared" si="64"/>
        <v>0</v>
      </c>
      <c r="Z19" s="50"/>
      <c r="AA19" s="49">
        <f t="shared" si="65"/>
        <v>0</v>
      </c>
      <c r="AB19" s="50"/>
      <c r="AC19" s="49">
        <f t="shared" si="66"/>
        <v>0</v>
      </c>
      <c r="AD19" s="50"/>
      <c r="AE19" s="49">
        <f t="shared" si="67"/>
        <v>0</v>
      </c>
      <c r="AF19" s="50"/>
      <c r="AG19" s="49">
        <f t="shared" si="68"/>
        <v>0</v>
      </c>
      <c r="AH19" s="50"/>
      <c r="AI19" s="49">
        <f t="shared" si="69"/>
        <v>0</v>
      </c>
      <c r="AJ19" s="50"/>
      <c r="AK19" s="49">
        <f t="shared" si="70"/>
        <v>0</v>
      </c>
      <c r="AL19" s="50"/>
      <c r="AM19" s="49">
        <f t="shared" si="71"/>
        <v>0</v>
      </c>
      <c r="AN19" s="50">
        <f>100%/34</f>
        <v>2.9411764705882353E-2</v>
      </c>
      <c r="AO19" s="49">
        <f t="shared" si="72"/>
        <v>46015.041659547598</v>
      </c>
      <c r="AP19" s="50">
        <f t="shared" ref="AP19" si="188">100%/34</f>
        <v>2.9411764705882353E-2</v>
      </c>
      <c r="AQ19" s="49">
        <f t="shared" si="73"/>
        <v>46015.041659547598</v>
      </c>
      <c r="AR19" s="50">
        <f t="shared" ref="AR19" si="189">100%/34</f>
        <v>2.9411764705882353E-2</v>
      </c>
      <c r="AS19" s="49">
        <f t="shared" si="74"/>
        <v>46015.041659547598</v>
      </c>
      <c r="AT19" s="50">
        <f t="shared" ref="AT19:AT20" si="190">100%/34</f>
        <v>2.9411764705882353E-2</v>
      </c>
      <c r="AU19" s="49">
        <f t="shared" si="75"/>
        <v>46015.041659547598</v>
      </c>
      <c r="AV19" s="50">
        <f t="shared" ref="AV19:AV20" si="191">100%/34</f>
        <v>2.9411764705882353E-2</v>
      </c>
      <c r="AW19" s="49">
        <f t="shared" si="76"/>
        <v>46015.041659547598</v>
      </c>
      <c r="AX19" s="50">
        <f t="shared" ref="AX19:AX20" si="192">100%/34</f>
        <v>2.9411764705882353E-2</v>
      </c>
      <c r="AY19" s="49">
        <f t="shared" si="77"/>
        <v>46015.041659547598</v>
      </c>
      <c r="AZ19" s="50">
        <f t="shared" ref="AZ19:AZ20" si="193">100%/34</f>
        <v>2.9411764705882353E-2</v>
      </c>
      <c r="BA19" s="49">
        <f t="shared" si="78"/>
        <v>46015.041659547598</v>
      </c>
      <c r="BB19" s="50">
        <f t="shared" ref="BB19:BB20" si="194">100%/34</f>
        <v>2.9411764705882353E-2</v>
      </c>
      <c r="BC19" s="49">
        <f t="shared" si="79"/>
        <v>46015.041659547598</v>
      </c>
      <c r="BD19" s="50">
        <f t="shared" ref="BD19:BD20" si="195">100%/34</f>
        <v>2.9411764705882353E-2</v>
      </c>
      <c r="BE19" s="49">
        <f t="shared" si="80"/>
        <v>46015.041659547598</v>
      </c>
      <c r="BF19" s="50">
        <f t="shared" ref="BF19:BF20" si="196">100%/34</f>
        <v>2.9411764705882353E-2</v>
      </c>
      <c r="BG19" s="49">
        <f t="shared" si="81"/>
        <v>46015.041659547598</v>
      </c>
      <c r="BH19" s="50">
        <f t="shared" ref="BH19:BH20" si="197">100%/34</f>
        <v>2.9411764705882353E-2</v>
      </c>
      <c r="BI19" s="49">
        <f t="shared" si="82"/>
        <v>46015.041659547598</v>
      </c>
      <c r="BJ19" s="50">
        <f t="shared" ref="BJ19:BJ20" si="198">100%/34</f>
        <v>2.9411764705882353E-2</v>
      </c>
      <c r="BK19" s="49">
        <f t="shared" si="83"/>
        <v>46015.041659547598</v>
      </c>
      <c r="BL19" s="50">
        <f t="shared" ref="BL19:BL20" si="199">100%/34</f>
        <v>2.9411764705882353E-2</v>
      </c>
      <c r="BM19" s="49">
        <f t="shared" si="84"/>
        <v>46015.041659547598</v>
      </c>
      <c r="BN19" s="50">
        <f t="shared" ref="BN19:BN20" si="200">100%/34</f>
        <v>2.9411764705882353E-2</v>
      </c>
      <c r="BO19" s="49">
        <f t="shared" si="85"/>
        <v>46015.041659547598</v>
      </c>
      <c r="BP19" s="50">
        <f t="shared" ref="BP19:BP20" si="201">100%/34</f>
        <v>2.9411764705882353E-2</v>
      </c>
      <c r="BQ19" s="49">
        <f t="shared" si="86"/>
        <v>46015.041659547598</v>
      </c>
      <c r="BR19" s="50">
        <f t="shared" ref="BR19:BR20" si="202">100%/34</f>
        <v>2.9411764705882353E-2</v>
      </c>
      <c r="BS19" s="49">
        <f t="shared" si="87"/>
        <v>46015.041659547598</v>
      </c>
      <c r="BT19" s="50">
        <f t="shared" ref="BT19:BT20" si="203">100%/34</f>
        <v>2.9411764705882353E-2</v>
      </c>
      <c r="BU19" s="49">
        <f t="shared" si="88"/>
        <v>46015.041659547598</v>
      </c>
      <c r="BV19" s="50">
        <f t="shared" ref="BV19:BV20" si="204">100%/34</f>
        <v>2.9411764705882353E-2</v>
      </c>
      <c r="BW19" s="49">
        <f t="shared" si="89"/>
        <v>46015.041659547598</v>
      </c>
      <c r="BX19" s="50">
        <f t="shared" ref="BX19:BX20" si="205">100%/34</f>
        <v>2.9411764705882353E-2</v>
      </c>
      <c r="BY19" s="49">
        <f t="shared" si="90"/>
        <v>46015.041659547598</v>
      </c>
      <c r="BZ19" s="50">
        <f t="shared" ref="BZ19:BZ20" si="206">100%/34</f>
        <v>2.9411764705882353E-2</v>
      </c>
      <c r="CA19" s="49">
        <f t="shared" si="91"/>
        <v>46015.041659547598</v>
      </c>
      <c r="CB19" s="50">
        <f t="shared" ref="CB19:CB20" si="207">100%/34</f>
        <v>2.9411764705882353E-2</v>
      </c>
      <c r="CC19" s="49">
        <f t="shared" si="92"/>
        <v>46015.041659547598</v>
      </c>
      <c r="CD19" s="50">
        <f t="shared" ref="CD19:CD20" si="208">100%/34</f>
        <v>2.9411764705882353E-2</v>
      </c>
      <c r="CE19" s="49">
        <f t="shared" si="93"/>
        <v>46015.041659547598</v>
      </c>
      <c r="CF19" s="50">
        <f t="shared" ref="CF19:CF20" si="209">100%/34</f>
        <v>2.9411764705882353E-2</v>
      </c>
      <c r="CG19" s="49">
        <f t="shared" si="94"/>
        <v>46015.041659547598</v>
      </c>
      <c r="CH19" s="50">
        <f t="shared" ref="CH19:CH20" si="210">100%/34</f>
        <v>2.9411764705882353E-2</v>
      </c>
      <c r="CI19" s="49">
        <f t="shared" si="40"/>
        <v>46015.041659547598</v>
      </c>
      <c r="CJ19" s="50">
        <f t="shared" ref="CJ19:CJ20" si="211">100%/34</f>
        <v>2.9411764705882353E-2</v>
      </c>
      <c r="CK19" s="49">
        <f t="shared" si="41"/>
        <v>46015.041659547598</v>
      </c>
      <c r="CL19" s="50">
        <f t="shared" ref="CL19:CL20" si="212">100%/34</f>
        <v>2.9411764705882353E-2</v>
      </c>
      <c r="CM19" s="49">
        <f t="shared" si="42"/>
        <v>46015.041659547598</v>
      </c>
      <c r="CN19" s="50">
        <f t="shared" ref="CN19:CN20" si="213">100%/34</f>
        <v>2.9411764705882353E-2</v>
      </c>
      <c r="CO19" s="49">
        <f t="shared" si="43"/>
        <v>46015.041659547598</v>
      </c>
      <c r="CP19" s="50">
        <f t="shared" ref="CP19:CP20" si="214">100%/34</f>
        <v>2.9411764705882353E-2</v>
      </c>
      <c r="CQ19" s="49">
        <f t="shared" si="44"/>
        <v>46015.041659547598</v>
      </c>
      <c r="CR19" s="50">
        <f t="shared" ref="CR19:CR20" si="215">100%/34</f>
        <v>2.9411764705882353E-2</v>
      </c>
      <c r="CS19" s="49">
        <f t="shared" si="45"/>
        <v>46015.041659547598</v>
      </c>
      <c r="CT19" s="50">
        <f t="shared" ref="CT19:CT20" si="216">100%/34</f>
        <v>2.9411764705882353E-2</v>
      </c>
      <c r="CU19" s="49">
        <f t="shared" si="46"/>
        <v>46015.041659547598</v>
      </c>
      <c r="CV19" s="50">
        <f t="shared" ref="CV19:CV20" si="217">100%/34</f>
        <v>2.9411764705882353E-2</v>
      </c>
      <c r="CW19" s="49">
        <f t="shared" si="47"/>
        <v>46015.041659547598</v>
      </c>
      <c r="CX19" s="50">
        <f t="shared" ref="CX19:CX20" si="218">100%/34</f>
        <v>2.9411764705882353E-2</v>
      </c>
      <c r="CY19" s="49">
        <f t="shared" si="48"/>
        <v>46015.041659547598</v>
      </c>
      <c r="CZ19" s="50">
        <f t="shared" ref="CZ19:CZ20" si="219">100%/34</f>
        <v>2.9411764705882353E-2</v>
      </c>
      <c r="DA19" s="49">
        <f t="shared" si="49"/>
        <v>46015.041659547598</v>
      </c>
      <c r="DB19" s="50">
        <f t="shared" ref="DB19:DB20" si="220">100%/34</f>
        <v>2.9411764705882353E-2</v>
      </c>
      <c r="DC19" s="49">
        <f t="shared" si="50"/>
        <v>46015.041659547598</v>
      </c>
      <c r="DD19" s="50"/>
      <c r="DE19" s="49">
        <f t="shared" si="51"/>
        <v>0</v>
      </c>
      <c r="DF19" s="50"/>
      <c r="DG19" s="49">
        <f t="shared" si="52"/>
        <v>0</v>
      </c>
      <c r="DH19" s="50"/>
      <c r="DI19" s="49">
        <f t="shared" si="53"/>
        <v>0</v>
      </c>
      <c r="DJ19" s="50"/>
      <c r="DK19" s="49">
        <f t="shared" si="95"/>
        <v>0</v>
      </c>
    </row>
    <row r="20" spans="2:116" ht="19.5" customHeight="1" x14ac:dyDescent="0.25">
      <c r="B20" s="43" t="s">
        <v>64</v>
      </c>
      <c r="C20" s="60">
        <v>1138118.7060617867</v>
      </c>
      <c r="D20" s="29">
        <f t="shared" si="55"/>
        <v>3.6475192742034999E-2</v>
      </c>
      <c r="E20" s="64">
        <f>C20/'DISTRIBUIÇÃO CUSTO'!C$30</f>
        <v>123.14063574858416</v>
      </c>
      <c r="F20" s="82">
        <f t="shared" si="0"/>
        <v>1</v>
      </c>
      <c r="H20" s="27"/>
      <c r="I20" s="34">
        <f t="shared" si="1"/>
        <v>0</v>
      </c>
      <c r="J20" s="33"/>
      <c r="K20" s="34">
        <f t="shared" si="96"/>
        <v>0</v>
      </c>
      <c r="L20" s="33"/>
      <c r="M20" s="34">
        <f t="shared" si="58"/>
        <v>0</v>
      </c>
      <c r="N20" s="33"/>
      <c r="O20" s="34">
        <f t="shared" si="4"/>
        <v>0</v>
      </c>
      <c r="P20" s="33"/>
      <c r="Q20" s="34">
        <f t="shared" si="60"/>
        <v>0</v>
      </c>
      <c r="R20" s="33"/>
      <c r="S20" s="34">
        <f t="shared" si="61"/>
        <v>0</v>
      </c>
      <c r="T20" s="33"/>
      <c r="U20" s="34">
        <f t="shared" si="62"/>
        <v>0</v>
      </c>
      <c r="V20" s="33"/>
      <c r="W20" s="34">
        <f t="shared" si="63"/>
        <v>0</v>
      </c>
      <c r="X20" s="33"/>
      <c r="Y20" s="34">
        <f t="shared" si="64"/>
        <v>0</v>
      </c>
      <c r="Z20" s="33"/>
      <c r="AA20" s="34">
        <f t="shared" si="65"/>
        <v>0</v>
      </c>
      <c r="AB20" s="33"/>
      <c r="AC20" s="34">
        <f t="shared" si="66"/>
        <v>0</v>
      </c>
      <c r="AD20" s="33"/>
      <c r="AE20" s="34">
        <f t="shared" si="67"/>
        <v>0</v>
      </c>
      <c r="AF20" s="33"/>
      <c r="AG20" s="34">
        <f t="shared" si="68"/>
        <v>0</v>
      </c>
      <c r="AH20" s="33"/>
      <c r="AI20" s="34">
        <f t="shared" si="69"/>
        <v>0</v>
      </c>
      <c r="AJ20" s="33"/>
      <c r="AK20" s="34">
        <f t="shared" si="70"/>
        <v>0</v>
      </c>
      <c r="AL20" s="33"/>
      <c r="AM20" s="34">
        <f t="shared" si="71"/>
        <v>0</v>
      </c>
      <c r="AN20" s="33"/>
      <c r="AO20" s="34">
        <f t="shared" si="72"/>
        <v>0</v>
      </c>
      <c r="AP20" s="33"/>
      <c r="AQ20" s="34">
        <f t="shared" si="73"/>
        <v>0</v>
      </c>
      <c r="AR20" s="33">
        <f>100%/34</f>
        <v>2.9411764705882353E-2</v>
      </c>
      <c r="AS20" s="34">
        <f t="shared" si="74"/>
        <v>33474.079590052548</v>
      </c>
      <c r="AT20" s="33">
        <f t="shared" si="190"/>
        <v>2.9411764705882353E-2</v>
      </c>
      <c r="AU20" s="34">
        <f t="shared" si="75"/>
        <v>33474.079590052548</v>
      </c>
      <c r="AV20" s="33">
        <f t="shared" si="191"/>
        <v>2.9411764705882353E-2</v>
      </c>
      <c r="AW20" s="34">
        <f t="shared" si="76"/>
        <v>33474.079590052548</v>
      </c>
      <c r="AX20" s="33">
        <f t="shared" si="192"/>
        <v>2.9411764705882353E-2</v>
      </c>
      <c r="AY20" s="34">
        <f t="shared" si="77"/>
        <v>33474.079590052548</v>
      </c>
      <c r="AZ20" s="33">
        <f t="shared" si="193"/>
        <v>2.9411764705882353E-2</v>
      </c>
      <c r="BA20" s="34">
        <f t="shared" si="78"/>
        <v>33474.079590052548</v>
      </c>
      <c r="BB20" s="33">
        <f t="shared" si="194"/>
        <v>2.9411764705882353E-2</v>
      </c>
      <c r="BC20" s="34">
        <f t="shared" si="79"/>
        <v>33474.079590052548</v>
      </c>
      <c r="BD20" s="33">
        <f t="shared" si="195"/>
        <v>2.9411764705882353E-2</v>
      </c>
      <c r="BE20" s="34">
        <f t="shared" si="80"/>
        <v>33474.079590052548</v>
      </c>
      <c r="BF20" s="33">
        <f t="shared" si="196"/>
        <v>2.9411764705882353E-2</v>
      </c>
      <c r="BG20" s="34">
        <f t="shared" si="81"/>
        <v>33474.079590052548</v>
      </c>
      <c r="BH20" s="33">
        <f t="shared" si="197"/>
        <v>2.9411764705882353E-2</v>
      </c>
      <c r="BI20" s="34">
        <f t="shared" si="82"/>
        <v>33474.079590052548</v>
      </c>
      <c r="BJ20" s="33">
        <f t="shared" si="198"/>
        <v>2.9411764705882353E-2</v>
      </c>
      <c r="BK20" s="34">
        <f t="shared" si="83"/>
        <v>33474.079590052548</v>
      </c>
      <c r="BL20" s="33">
        <f t="shared" si="199"/>
        <v>2.9411764705882353E-2</v>
      </c>
      <c r="BM20" s="34">
        <f t="shared" si="84"/>
        <v>33474.079590052548</v>
      </c>
      <c r="BN20" s="33">
        <f t="shared" si="200"/>
        <v>2.9411764705882353E-2</v>
      </c>
      <c r="BO20" s="34">
        <f t="shared" si="85"/>
        <v>33474.079590052548</v>
      </c>
      <c r="BP20" s="33">
        <f t="shared" si="201"/>
        <v>2.9411764705882353E-2</v>
      </c>
      <c r="BQ20" s="34">
        <f t="shared" si="86"/>
        <v>33474.079590052548</v>
      </c>
      <c r="BR20" s="33">
        <f t="shared" si="202"/>
        <v>2.9411764705882353E-2</v>
      </c>
      <c r="BS20" s="34">
        <f t="shared" si="87"/>
        <v>33474.079590052548</v>
      </c>
      <c r="BT20" s="33">
        <f t="shared" si="203"/>
        <v>2.9411764705882353E-2</v>
      </c>
      <c r="BU20" s="34">
        <f t="shared" si="88"/>
        <v>33474.079590052548</v>
      </c>
      <c r="BV20" s="33">
        <f t="shared" si="204"/>
        <v>2.9411764705882353E-2</v>
      </c>
      <c r="BW20" s="34">
        <f t="shared" si="89"/>
        <v>33474.079590052548</v>
      </c>
      <c r="BX20" s="33">
        <f t="shared" si="205"/>
        <v>2.9411764705882353E-2</v>
      </c>
      <c r="BY20" s="34">
        <f t="shared" si="90"/>
        <v>33474.079590052548</v>
      </c>
      <c r="BZ20" s="33">
        <f t="shared" si="206"/>
        <v>2.9411764705882353E-2</v>
      </c>
      <c r="CA20" s="34">
        <f t="shared" si="91"/>
        <v>33474.079590052548</v>
      </c>
      <c r="CB20" s="33">
        <f t="shared" si="207"/>
        <v>2.9411764705882353E-2</v>
      </c>
      <c r="CC20" s="34">
        <f t="shared" si="92"/>
        <v>33474.079590052548</v>
      </c>
      <c r="CD20" s="33">
        <f t="shared" si="208"/>
        <v>2.9411764705882353E-2</v>
      </c>
      <c r="CE20" s="34">
        <f t="shared" si="93"/>
        <v>33474.079590052548</v>
      </c>
      <c r="CF20" s="33">
        <f t="shared" si="209"/>
        <v>2.9411764705882353E-2</v>
      </c>
      <c r="CG20" s="34">
        <f t="shared" si="94"/>
        <v>33474.079590052548</v>
      </c>
      <c r="CH20" s="33">
        <f t="shared" si="210"/>
        <v>2.9411764705882353E-2</v>
      </c>
      <c r="CI20" s="34">
        <f t="shared" si="40"/>
        <v>33474.079590052548</v>
      </c>
      <c r="CJ20" s="33">
        <f t="shared" si="211"/>
        <v>2.9411764705882353E-2</v>
      </c>
      <c r="CK20" s="34">
        <f t="shared" si="41"/>
        <v>33474.079590052548</v>
      </c>
      <c r="CL20" s="33">
        <f t="shared" si="212"/>
        <v>2.9411764705882353E-2</v>
      </c>
      <c r="CM20" s="34">
        <f t="shared" si="42"/>
        <v>33474.079590052548</v>
      </c>
      <c r="CN20" s="33">
        <f t="shared" si="213"/>
        <v>2.9411764705882353E-2</v>
      </c>
      <c r="CO20" s="34">
        <f t="shared" si="43"/>
        <v>33474.079590052548</v>
      </c>
      <c r="CP20" s="33">
        <f t="shared" si="214"/>
        <v>2.9411764705882353E-2</v>
      </c>
      <c r="CQ20" s="34">
        <f t="shared" si="44"/>
        <v>33474.079590052548</v>
      </c>
      <c r="CR20" s="33">
        <f t="shared" si="215"/>
        <v>2.9411764705882353E-2</v>
      </c>
      <c r="CS20" s="34">
        <f t="shared" si="45"/>
        <v>33474.079590052548</v>
      </c>
      <c r="CT20" s="33">
        <f t="shared" si="216"/>
        <v>2.9411764705882353E-2</v>
      </c>
      <c r="CU20" s="34">
        <f t="shared" si="46"/>
        <v>33474.079590052548</v>
      </c>
      <c r="CV20" s="33">
        <f t="shared" si="217"/>
        <v>2.9411764705882353E-2</v>
      </c>
      <c r="CW20" s="34">
        <f t="shared" si="47"/>
        <v>33474.079590052548</v>
      </c>
      <c r="CX20" s="33">
        <f t="shared" si="218"/>
        <v>2.9411764705882353E-2</v>
      </c>
      <c r="CY20" s="34">
        <f t="shared" si="48"/>
        <v>33474.079590052548</v>
      </c>
      <c r="CZ20" s="33">
        <f t="shared" si="219"/>
        <v>2.9411764705882353E-2</v>
      </c>
      <c r="DA20" s="34">
        <f t="shared" si="49"/>
        <v>33474.079590052548</v>
      </c>
      <c r="DB20" s="33">
        <f t="shared" si="220"/>
        <v>2.9411764705882353E-2</v>
      </c>
      <c r="DC20" s="34">
        <f t="shared" si="50"/>
        <v>33474.079590052548</v>
      </c>
      <c r="DD20" s="33">
        <f t="shared" ref="DD20" si="221">100%/34</f>
        <v>2.9411764705882353E-2</v>
      </c>
      <c r="DE20" s="34">
        <f t="shared" si="51"/>
        <v>33474.079590052548</v>
      </c>
      <c r="DF20" s="33">
        <f t="shared" ref="DF20" si="222">100%/34</f>
        <v>2.9411764705882353E-2</v>
      </c>
      <c r="DG20" s="34">
        <f t="shared" si="52"/>
        <v>33474.079590052548</v>
      </c>
      <c r="DH20" s="33"/>
      <c r="DI20" s="34">
        <f t="shared" si="53"/>
        <v>0</v>
      </c>
      <c r="DJ20" s="33"/>
      <c r="DK20" s="34">
        <f t="shared" si="95"/>
        <v>0</v>
      </c>
    </row>
    <row r="21" spans="2:116" ht="19.5" customHeight="1" x14ac:dyDescent="0.25">
      <c r="B21" s="44" t="s">
        <v>65</v>
      </c>
      <c r="C21" s="59">
        <v>2865709.5650000004</v>
      </c>
      <c r="D21" s="45">
        <f t="shared" si="55"/>
        <v>9.1842184975381339E-2</v>
      </c>
      <c r="E21" s="63">
        <f>C21/'DISTRIBUIÇÃO CUSTO'!C$30</f>
        <v>310.06018601168745</v>
      </c>
      <c r="F21" s="81">
        <f t="shared" si="0"/>
        <v>1</v>
      </c>
      <c r="H21" s="48"/>
      <c r="I21" s="49">
        <f t="shared" si="1"/>
        <v>0</v>
      </c>
      <c r="J21" s="50"/>
      <c r="K21" s="49">
        <f t="shared" si="96"/>
        <v>0</v>
      </c>
      <c r="L21" s="50"/>
      <c r="M21" s="49">
        <f t="shared" si="58"/>
        <v>0</v>
      </c>
      <c r="N21" s="50"/>
      <c r="O21" s="49">
        <f t="shared" si="4"/>
        <v>0</v>
      </c>
      <c r="P21" s="50"/>
      <c r="Q21" s="49">
        <f t="shared" si="60"/>
        <v>0</v>
      </c>
      <c r="R21" s="50"/>
      <c r="S21" s="49">
        <f t="shared" si="61"/>
        <v>0</v>
      </c>
      <c r="T21" s="50"/>
      <c r="U21" s="49">
        <f t="shared" si="62"/>
        <v>0</v>
      </c>
      <c r="V21" s="50"/>
      <c r="W21" s="49">
        <f t="shared" si="63"/>
        <v>0</v>
      </c>
      <c r="X21" s="50"/>
      <c r="Y21" s="49">
        <f t="shared" si="64"/>
        <v>0</v>
      </c>
      <c r="Z21" s="50"/>
      <c r="AA21" s="49">
        <f t="shared" si="65"/>
        <v>0</v>
      </c>
      <c r="AB21" s="50"/>
      <c r="AC21" s="49">
        <f t="shared" si="66"/>
        <v>0</v>
      </c>
      <c r="AD21" s="50"/>
      <c r="AE21" s="49">
        <f t="shared" si="67"/>
        <v>0</v>
      </c>
      <c r="AF21" s="50"/>
      <c r="AG21" s="49">
        <f t="shared" si="68"/>
        <v>0</v>
      </c>
      <c r="AH21" s="50"/>
      <c r="AI21" s="49">
        <f t="shared" si="69"/>
        <v>0</v>
      </c>
      <c r="AJ21" s="50"/>
      <c r="AK21" s="49">
        <f t="shared" si="70"/>
        <v>0</v>
      </c>
      <c r="AL21" s="50"/>
      <c r="AM21" s="49">
        <f t="shared" si="71"/>
        <v>0</v>
      </c>
      <c r="AN21" s="50"/>
      <c r="AO21" s="49">
        <f t="shared" si="72"/>
        <v>0</v>
      </c>
      <c r="AP21" s="50"/>
      <c r="AQ21" s="49">
        <f t="shared" si="73"/>
        <v>0</v>
      </c>
      <c r="AR21" s="50"/>
      <c r="AS21" s="49">
        <f t="shared" si="74"/>
        <v>0</v>
      </c>
      <c r="AT21" s="50"/>
      <c r="AU21" s="49">
        <f t="shared" si="75"/>
        <v>0</v>
      </c>
      <c r="AV21" s="50"/>
      <c r="AW21" s="49">
        <f t="shared" si="76"/>
        <v>0</v>
      </c>
      <c r="AX21" s="50"/>
      <c r="AY21" s="49">
        <f t="shared" si="77"/>
        <v>0</v>
      </c>
      <c r="AZ21" s="50"/>
      <c r="BA21" s="49">
        <f t="shared" si="78"/>
        <v>0</v>
      </c>
      <c r="BB21" s="50"/>
      <c r="BC21" s="49">
        <f t="shared" si="79"/>
        <v>0</v>
      </c>
      <c r="BD21" s="50"/>
      <c r="BE21" s="49">
        <f t="shared" si="80"/>
        <v>0</v>
      </c>
      <c r="BF21" s="50"/>
      <c r="BG21" s="49">
        <f t="shared" si="81"/>
        <v>0</v>
      </c>
      <c r="BH21" s="50"/>
      <c r="BI21" s="49">
        <f t="shared" si="82"/>
        <v>0</v>
      </c>
      <c r="BJ21" s="50"/>
      <c r="BK21" s="49">
        <f t="shared" si="83"/>
        <v>0</v>
      </c>
      <c r="BL21" s="50"/>
      <c r="BM21" s="49">
        <f t="shared" si="84"/>
        <v>0</v>
      </c>
      <c r="BN21" s="50"/>
      <c r="BO21" s="49">
        <f t="shared" si="85"/>
        <v>0</v>
      </c>
      <c r="BP21" s="50"/>
      <c r="BQ21" s="49">
        <f t="shared" si="86"/>
        <v>0</v>
      </c>
      <c r="BR21" s="50"/>
      <c r="BS21" s="49">
        <f t="shared" si="87"/>
        <v>0</v>
      </c>
      <c r="BT21" s="50"/>
      <c r="BU21" s="49">
        <f t="shared" si="88"/>
        <v>0</v>
      </c>
      <c r="BV21" s="50"/>
      <c r="BW21" s="49">
        <f t="shared" si="89"/>
        <v>0</v>
      </c>
      <c r="BX21" s="50"/>
      <c r="BY21" s="49">
        <f t="shared" si="90"/>
        <v>0</v>
      </c>
      <c r="BZ21" s="50"/>
      <c r="CA21" s="49">
        <f t="shared" si="91"/>
        <v>0</v>
      </c>
      <c r="CB21" s="50"/>
      <c r="CC21" s="49">
        <f t="shared" si="92"/>
        <v>0</v>
      </c>
      <c r="CD21" s="50">
        <f>100%/12</f>
        <v>8.3333333333333329E-2</v>
      </c>
      <c r="CE21" s="49">
        <f t="shared" si="93"/>
        <v>238809.13041666668</v>
      </c>
      <c r="CF21" s="50">
        <f>100%/12</f>
        <v>8.3333333333333329E-2</v>
      </c>
      <c r="CG21" s="49">
        <f t="shared" si="94"/>
        <v>238809.13041666668</v>
      </c>
      <c r="CH21" s="50">
        <f>100%/12</f>
        <v>8.3333333333333329E-2</v>
      </c>
      <c r="CI21" s="49">
        <f t="shared" si="40"/>
        <v>238809.13041666668</v>
      </c>
      <c r="CJ21" s="50">
        <f>100%/12</f>
        <v>8.3333333333333329E-2</v>
      </c>
      <c r="CK21" s="49">
        <f t="shared" si="41"/>
        <v>238809.13041666668</v>
      </c>
      <c r="CL21" s="50">
        <f>100%/12</f>
        <v>8.3333333333333329E-2</v>
      </c>
      <c r="CM21" s="49">
        <f t="shared" si="42"/>
        <v>238809.13041666668</v>
      </c>
      <c r="CN21" s="50">
        <f>100%/12</f>
        <v>8.3333333333333329E-2</v>
      </c>
      <c r="CO21" s="49">
        <f t="shared" si="43"/>
        <v>238809.13041666668</v>
      </c>
      <c r="CP21" s="50">
        <f>100%/12</f>
        <v>8.3333333333333329E-2</v>
      </c>
      <c r="CQ21" s="49">
        <f t="shared" si="44"/>
        <v>238809.13041666668</v>
      </c>
      <c r="CR21" s="50">
        <f>100%/12</f>
        <v>8.3333333333333329E-2</v>
      </c>
      <c r="CS21" s="49">
        <f t="shared" si="45"/>
        <v>238809.13041666668</v>
      </c>
      <c r="CT21" s="50">
        <f>100%/12</f>
        <v>8.3333333333333329E-2</v>
      </c>
      <c r="CU21" s="49">
        <f t="shared" si="46"/>
        <v>238809.13041666668</v>
      </c>
      <c r="CV21" s="50">
        <f>100%/12</f>
        <v>8.3333333333333329E-2</v>
      </c>
      <c r="CW21" s="49">
        <f t="shared" si="47"/>
        <v>238809.13041666668</v>
      </c>
      <c r="CX21" s="50">
        <f>100%/12</f>
        <v>8.3333333333333329E-2</v>
      </c>
      <c r="CY21" s="49">
        <f t="shared" si="48"/>
        <v>238809.13041666668</v>
      </c>
      <c r="CZ21" s="50">
        <f>100%/12</f>
        <v>8.3333333333333329E-2</v>
      </c>
      <c r="DA21" s="49">
        <f t="shared" si="49"/>
        <v>238809.13041666668</v>
      </c>
      <c r="DB21" s="50"/>
      <c r="DC21" s="49">
        <f t="shared" si="50"/>
        <v>0</v>
      </c>
      <c r="DD21" s="50"/>
      <c r="DE21" s="49">
        <f t="shared" si="51"/>
        <v>0</v>
      </c>
      <c r="DF21" s="50"/>
      <c r="DG21" s="49">
        <f t="shared" si="52"/>
        <v>0</v>
      </c>
      <c r="DH21" s="50"/>
      <c r="DI21" s="49">
        <f t="shared" si="53"/>
        <v>0</v>
      </c>
      <c r="DJ21" s="50"/>
      <c r="DK21" s="49">
        <f t="shared" si="95"/>
        <v>0</v>
      </c>
    </row>
    <row r="22" spans="2:116" ht="19.5" customHeight="1" x14ac:dyDescent="0.25">
      <c r="B22" s="43" t="s">
        <v>66</v>
      </c>
      <c r="C22" s="60">
        <v>0</v>
      </c>
      <c r="D22" s="29">
        <f t="shared" si="55"/>
        <v>0</v>
      </c>
      <c r="E22" s="64">
        <f>C22/'DISTRIBUIÇÃO CUSTO'!C$30</f>
        <v>0</v>
      </c>
      <c r="F22" s="82">
        <f t="shared" si="0"/>
        <v>0</v>
      </c>
      <c r="H22" s="27"/>
      <c r="I22" s="34">
        <f t="shared" si="1"/>
        <v>0</v>
      </c>
      <c r="J22" s="33"/>
      <c r="K22" s="34">
        <f t="shared" si="96"/>
        <v>0</v>
      </c>
      <c r="L22" s="33"/>
      <c r="M22" s="34">
        <f t="shared" si="58"/>
        <v>0</v>
      </c>
      <c r="N22" s="33"/>
      <c r="O22" s="34">
        <f t="shared" si="4"/>
        <v>0</v>
      </c>
      <c r="P22" s="33"/>
      <c r="Q22" s="34">
        <f t="shared" si="60"/>
        <v>0</v>
      </c>
      <c r="R22" s="33"/>
      <c r="S22" s="34">
        <f t="shared" si="61"/>
        <v>0</v>
      </c>
      <c r="T22" s="33"/>
      <c r="U22" s="34">
        <f t="shared" si="62"/>
        <v>0</v>
      </c>
      <c r="V22" s="33"/>
      <c r="W22" s="34">
        <f t="shared" si="63"/>
        <v>0</v>
      </c>
      <c r="X22" s="33"/>
      <c r="Y22" s="34">
        <f t="shared" si="64"/>
        <v>0</v>
      </c>
      <c r="Z22" s="33"/>
      <c r="AA22" s="34">
        <f t="shared" si="65"/>
        <v>0</v>
      </c>
      <c r="AB22" s="33"/>
      <c r="AC22" s="34">
        <f t="shared" si="66"/>
        <v>0</v>
      </c>
      <c r="AD22" s="33"/>
      <c r="AE22" s="34">
        <f t="shared" si="67"/>
        <v>0</v>
      </c>
      <c r="AF22" s="33"/>
      <c r="AG22" s="34">
        <f t="shared" si="68"/>
        <v>0</v>
      </c>
      <c r="AH22" s="33"/>
      <c r="AI22" s="34">
        <f t="shared" si="69"/>
        <v>0</v>
      </c>
      <c r="AJ22" s="33"/>
      <c r="AK22" s="34">
        <f t="shared" si="70"/>
        <v>0</v>
      </c>
      <c r="AL22" s="33"/>
      <c r="AM22" s="34">
        <f t="shared" si="71"/>
        <v>0</v>
      </c>
      <c r="AN22" s="33"/>
      <c r="AO22" s="34">
        <f t="shared" si="72"/>
        <v>0</v>
      </c>
      <c r="AP22" s="33"/>
      <c r="AQ22" s="34">
        <f t="shared" si="73"/>
        <v>0</v>
      </c>
      <c r="AR22" s="33"/>
      <c r="AS22" s="34">
        <f t="shared" si="74"/>
        <v>0</v>
      </c>
      <c r="AT22" s="33"/>
      <c r="AU22" s="34">
        <f t="shared" si="75"/>
        <v>0</v>
      </c>
      <c r="AV22" s="33"/>
      <c r="AW22" s="34">
        <f t="shared" si="76"/>
        <v>0</v>
      </c>
      <c r="AX22" s="33"/>
      <c r="AY22" s="34">
        <f t="shared" si="77"/>
        <v>0</v>
      </c>
      <c r="AZ22" s="33"/>
      <c r="BA22" s="34">
        <f t="shared" si="78"/>
        <v>0</v>
      </c>
      <c r="BB22" s="33"/>
      <c r="BC22" s="34">
        <f t="shared" si="79"/>
        <v>0</v>
      </c>
      <c r="BD22" s="33"/>
      <c r="BE22" s="34">
        <f t="shared" si="80"/>
        <v>0</v>
      </c>
      <c r="BF22" s="33"/>
      <c r="BG22" s="34">
        <f t="shared" si="81"/>
        <v>0</v>
      </c>
      <c r="BH22" s="33"/>
      <c r="BI22" s="34">
        <f t="shared" si="82"/>
        <v>0</v>
      </c>
      <c r="BJ22" s="33"/>
      <c r="BK22" s="34">
        <f t="shared" si="83"/>
        <v>0</v>
      </c>
      <c r="BL22" s="33"/>
      <c r="BM22" s="34">
        <f t="shared" si="84"/>
        <v>0</v>
      </c>
      <c r="BN22" s="33"/>
      <c r="BO22" s="34">
        <f t="shared" si="85"/>
        <v>0</v>
      </c>
      <c r="BP22" s="33"/>
      <c r="BQ22" s="34">
        <f t="shared" si="86"/>
        <v>0</v>
      </c>
      <c r="BR22" s="33"/>
      <c r="BS22" s="34">
        <f t="shared" si="87"/>
        <v>0</v>
      </c>
      <c r="BT22" s="33"/>
      <c r="BU22" s="34">
        <f t="shared" si="88"/>
        <v>0</v>
      </c>
      <c r="BV22" s="33"/>
      <c r="BW22" s="34">
        <f t="shared" si="89"/>
        <v>0</v>
      </c>
      <c r="BX22" s="33"/>
      <c r="BY22" s="34">
        <f t="shared" si="90"/>
        <v>0</v>
      </c>
      <c r="BZ22" s="33"/>
      <c r="CA22" s="34">
        <f t="shared" si="91"/>
        <v>0</v>
      </c>
      <c r="CB22" s="33"/>
      <c r="CC22" s="34">
        <f t="shared" si="92"/>
        <v>0</v>
      </c>
      <c r="CD22" s="33"/>
      <c r="CE22" s="34">
        <f t="shared" si="93"/>
        <v>0</v>
      </c>
      <c r="CF22" s="33"/>
      <c r="CG22" s="34">
        <f t="shared" si="94"/>
        <v>0</v>
      </c>
      <c r="CH22" s="33"/>
      <c r="CI22" s="34">
        <f t="shared" si="40"/>
        <v>0</v>
      </c>
      <c r="CJ22" s="33"/>
      <c r="CK22" s="34">
        <f t="shared" si="41"/>
        <v>0</v>
      </c>
      <c r="CL22" s="33"/>
      <c r="CM22" s="34">
        <f t="shared" si="42"/>
        <v>0</v>
      </c>
      <c r="CN22" s="33"/>
      <c r="CO22" s="34">
        <f t="shared" si="43"/>
        <v>0</v>
      </c>
      <c r="CP22" s="33"/>
      <c r="CQ22" s="34">
        <f t="shared" si="44"/>
        <v>0</v>
      </c>
      <c r="CR22" s="33"/>
      <c r="CS22" s="34">
        <f t="shared" si="45"/>
        <v>0</v>
      </c>
      <c r="CT22" s="33"/>
      <c r="CU22" s="34">
        <f t="shared" si="46"/>
        <v>0</v>
      </c>
      <c r="CV22" s="33"/>
      <c r="CW22" s="34">
        <f t="shared" si="47"/>
        <v>0</v>
      </c>
      <c r="CX22" s="33"/>
      <c r="CY22" s="34">
        <f t="shared" si="48"/>
        <v>0</v>
      </c>
      <c r="CZ22" s="33"/>
      <c r="DA22" s="34">
        <f t="shared" si="49"/>
        <v>0</v>
      </c>
      <c r="DB22" s="33"/>
      <c r="DC22" s="34">
        <f t="shared" si="50"/>
        <v>0</v>
      </c>
      <c r="DD22" s="33"/>
      <c r="DE22" s="34">
        <f t="shared" si="51"/>
        <v>0</v>
      </c>
      <c r="DF22" s="33"/>
      <c r="DG22" s="34">
        <f t="shared" si="52"/>
        <v>0</v>
      </c>
      <c r="DH22" s="33"/>
      <c r="DI22" s="34">
        <f t="shared" si="53"/>
        <v>0</v>
      </c>
      <c r="DJ22" s="33"/>
      <c r="DK22" s="34">
        <f t="shared" si="95"/>
        <v>0</v>
      </c>
    </row>
    <row r="23" spans="2:116" ht="19.5" customHeight="1" x14ac:dyDescent="0.25">
      <c r="B23" s="44" t="s">
        <v>67</v>
      </c>
      <c r="C23" s="59">
        <v>1279395.29</v>
      </c>
      <c r="D23" s="45">
        <f t="shared" si="55"/>
        <v>4.1002919596568273E-2</v>
      </c>
      <c r="E23" s="63">
        <f>C23/'DISTRIBUIÇÃO CUSTO'!C$30</f>
        <v>138.4262894065738</v>
      </c>
      <c r="F23" s="81">
        <f t="shared" si="0"/>
        <v>0.99999999999999978</v>
      </c>
      <c r="H23" s="48"/>
      <c r="I23" s="49">
        <f t="shared" si="1"/>
        <v>0</v>
      </c>
      <c r="J23" s="50"/>
      <c r="K23" s="49">
        <f t="shared" si="96"/>
        <v>0</v>
      </c>
      <c r="L23" s="50"/>
      <c r="M23" s="49">
        <f t="shared" si="58"/>
        <v>0</v>
      </c>
      <c r="N23" s="50"/>
      <c r="O23" s="49">
        <f t="shared" si="4"/>
        <v>0</v>
      </c>
      <c r="P23" s="50"/>
      <c r="Q23" s="49">
        <f t="shared" si="60"/>
        <v>0</v>
      </c>
      <c r="R23" s="50"/>
      <c r="S23" s="49">
        <f t="shared" si="61"/>
        <v>0</v>
      </c>
      <c r="T23" s="50"/>
      <c r="U23" s="49">
        <f t="shared" si="62"/>
        <v>0</v>
      </c>
      <c r="V23" s="50"/>
      <c r="W23" s="49">
        <f t="shared" si="63"/>
        <v>0</v>
      </c>
      <c r="X23" s="50"/>
      <c r="Y23" s="49">
        <f t="shared" si="64"/>
        <v>0</v>
      </c>
      <c r="Z23" s="50"/>
      <c r="AA23" s="49">
        <f t="shared" si="65"/>
        <v>0</v>
      </c>
      <c r="AB23" s="50"/>
      <c r="AC23" s="49">
        <f t="shared" si="66"/>
        <v>0</v>
      </c>
      <c r="AD23" s="50"/>
      <c r="AE23" s="49">
        <f t="shared" si="67"/>
        <v>0</v>
      </c>
      <c r="AF23" s="50"/>
      <c r="AG23" s="49">
        <f t="shared" si="68"/>
        <v>0</v>
      </c>
      <c r="AH23" s="50"/>
      <c r="AI23" s="49">
        <f t="shared" si="69"/>
        <v>0</v>
      </c>
      <c r="AJ23" s="50"/>
      <c r="AK23" s="49">
        <f t="shared" si="70"/>
        <v>0</v>
      </c>
      <c r="AL23" s="50"/>
      <c r="AM23" s="49">
        <f t="shared" si="71"/>
        <v>0</v>
      </c>
      <c r="AN23" s="50"/>
      <c r="AO23" s="49">
        <f t="shared" si="72"/>
        <v>0</v>
      </c>
      <c r="AP23" s="50"/>
      <c r="AQ23" s="49">
        <f t="shared" si="73"/>
        <v>0</v>
      </c>
      <c r="AR23" s="50"/>
      <c r="AS23" s="49">
        <f t="shared" si="74"/>
        <v>0</v>
      </c>
      <c r="AT23" s="50"/>
      <c r="AU23" s="49">
        <f t="shared" si="75"/>
        <v>0</v>
      </c>
      <c r="AV23" s="50"/>
      <c r="AW23" s="49">
        <f t="shared" si="76"/>
        <v>0</v>
      </c>
      <c r="AX23" s="50"/>
      <c r="AY23" s="49">
        <f t="shared" si="77"/>
        <v>0</v>
      </c>
      <c r="AZ23" s="50"/>
      <c r="BA23" s="49">
        <f t="shared" si="78"/>
        <v>0</v>
      </c>
      <c r="BB23" s="50"/>
      <c r="BC23" s="49">
        <f t="shared" si="79"/>
        <v>0</v>
      </c>
      <c r="BD23" s="50"/>
      <c r="BE23" s="49">
        <f t="shared" si="80"/>
        <v>0</v>
      </c>
      <c r="BF23" s="50"/>
      <c r="BG23" s="49">
        <f t="shared" si="81"/>
        <v>0</v>
      </c>
      <c r="BH23" s="50"/>
      <c r="BI23" s="49">
        <f t="shared" si="82"/>
        <v>0</v>
      </c>
      <c r="BJ23" s="50"/>
      <c r="BK23" s="49">
        <f t="shared" si="83"/>
        <v>0</v>
      </c>
      <c r="BL23" s="50"/>
      <c r="BM23" s="49">
        <f t="shared" si="84"/>
        <v>0</v>
      </c>
      <c r="BN23" s="50"/>
      <c r="BO23" s="49">
        <f t="shared" si="85"/>
        <v>0</v>
      </c>
      <c r="BP23" s="50"/>
      <c r="BQ23" s="49">
        <f t="shared" si="86"/>
        <v>0</v>
      </c>
      <c r="BR23" s="50"/>
      <c r="BS23" s="49">
        <f t="shared" si="87"/>
        <v>0</v>
      </c>
      <c r="BT23" s="50"/>
      <c r="BU23" s="49">
        <f t="shared" si="88"/>
        <v>0</v>
      </c>
      <c r="BV23" s="50"/>
      <c r="BW23" s="49">
        <f t="shared" si="89"/>
        <v>0</v>
      </c>
      <c r="BX23" s="50"/>
      <c r="BY23" s="49">
        <f t="shared" si="90"/>
        <v>0</v>
      </c>
      <c r="BZ23" s="50">
        <f>100%/13</f>
        <v>7.6923076923076927E-2</v>
      </c>
      <c r="CA23" s="49">
        <f t="shared" si="91"/>
        <v>98415.022307692314</v>
      </c>
      <c r="CB23" s="50">
        <f>100%/13</f>
        <v>7.6923076923076927E-2</v>
      </c>
      <c r="CC23" s="49">
        <f t="shared" si="92"/>
        <v>98415.022307692314</v>
      </c>
      <c r="CD23" s="50">
        <f>100%/13</f>
        <v>7.6923076923076927E-2</v>
      </c>
      <c r="CE23" s="49">
        <f t="shared" si="93"/>
        <v>98415.022307692314</v>
      </c>
      <c r="CF23" s="50">
        <f>100%/13</f>
        <v>7.6923076923076927E-2</v>
      </c>
      <c r="CG23" s="49">
        <f t="shared" si="94"/>
        <v>98415.022307692314</v>
      </c>
      <c r="CH23" s="50">
        <f>100%/13</f>
        <v>7.6923076923076927E-2</v>
      </c>
      <c r="CI23" s="49">
        <f t="shared" si="40"/>
        <v>98415.022307692314</v>
      </c>
      <c r="CJ23" s="50">
        <f>100%/13</f>
        <v>7.6923076923076927E-2</v>
      </c>
      <c r="CK23" s="49">
        <f t="shared" si="41"/>
        <v>98415.022307692314</v>
      </c>
      <c r="CL23" s="50">
        <f>100%/13</f>
        <v>7.6923076923076927E-2</v>
      </c>
      <c r="CM23" s="49">
        <f t="shared" si="42"/>
        <v>98415.022307692314</v>
      </c>
      <c r="CN23" s="50">
        <f>100%/13</f>
        <v>7.6923076923076927E-2</v>
      </c>
      <c r="CO23" s="49">
        <f t="shared" si="43"/>
        <v>98415.022307692314</v>
      </c>
      <c r="CP23" s="50">
        <f>100%/13</f>
        <v>7.6923076923076927E-2</v>
      </c>
      <c r="CQ23" s="49">
        <f t="shared" si="44"/>
        <v>98415.022307692314</v>
      </c>
      <c r="CR23" s="50">
        <f>100%/13</f>
        <v>7.6923076923076927E-2</v>
      </c>
      <c r="CS23" s="49">
        <f t="shared" si="45"/>
        <v>98415.022307692314</v>
      </c>
      <c r="CT23" s="50">
        <f>100%/13</f>
        <v>7.6923076923076927E-2</v>
      </c>
      <c r="CU23" s="49">
        <f t="shared" si="46"/>
        <v>98415.022307692314</v>
      </c>
      <c r="CV23" s="50">
        <f>100%/13</f>
        <v>7.6923076923076927E-2</v>
      </c>
      <c r="CW23" s="49">
        <f t="shared" si="47"/>
        <v>98415.022307692314</v>
      </c>
      <c r="CX23" s="50">
        <f>100%/13</f>
        <v>7.6923076923076927E-2</v>
      </c>
      <c r="CY23" s="49">
        <f t="shared" si="48"/>
        <v>98415.022307692314</v>
      </c>
      <c r="CZ23" s="50"/>
      <c r="DA23" s="49">
        <f t="shared" si="49"/>
        <v>0</v>
      </c>
      <c r="DB23" s="50"/>
      <c r="DC23" s="49">
        <f t="shared" si="50"/>
        <v>0</v>
      </c>
      <c r="DD23" s="50"/>
      <c r="DE23" s="49">
        <f t="shared" si="51"/>
        <v>0</v>
      </c>
      <c r="DF23" s="50"/>
      <c r="DG23" s="49">
        <f t="shared" si="52"/>
        <v>0</v>
      </c>
      <c r="DH23" s="50"/>
      <c r="DI23" s="49">
        <f t="shared" si="53"/>
        <v>0</v>
      </c>
      <c r="DJ23" s="50"/>
      <c r="DK23" s="49">
        <f t="shared" si="95"/>
        <v>0</v>
      </c>
    </row>
    <row r="24" spans="2:116" ht="19.5" customHeight="1" x14ac:dyDescent="0.25">
      <c r="B24" s="43" t="s">
        <v>68</v>
      </c>
      <c r="C24" s="60">
        <v>1589534.6065213473</v>
      </c>
      <c r="D24" s="29">
        <f t="shared" si="55"/>
        <v>5.0942472726437496E-2</v>
      </c>
      <c r="E24" s="64">
        <f>C24/'DISTRIBUIÇÃO CUSTO'!C$30</f>
        <v>171.98232570020517</v>
      </c>
      <c r="F24" s="82">
        <f t="shared" si="0"/>
        <v>1.0000000000000002</v>
      </c>
      <c r="H24" s="27"/>
      <c r="I24" s="34">
        <f t="shared" si="1"/>
        <v>0</v>
      </c>
      <c r="J24" s="33"/>
      <c r="K24" s="34">
        <f t="shared" si="96"/>
        <v>0</v>
      </c>
      <c r="L24" s="33"/>
      <c r="M24" s="34">
        <f t="shared" si="58"/>
        <v>0</v>
      </c>
      <c r="N24" s="33"/>
      <c r="O24" s="34">
        <f t="shared" si="4"/>
        <v>0</v>
      </c>
      <c r="P24" s="33"/>
      <c r="Q24" s="34">
        <f t="shared" si="60"/>
        <v>0</v>
      </c>
      <c r="R24" s="33"/>
      <c r="S24" s="34">
        <f t="shared" si="61"/>
        <v>0</v>
      </c>
      <c r="T24" s="33"/>
      <c r="U24" s="34">
        <f t="shared" si="62"/>
        <v>0</v>
      </c>
      <c r="V24" s="33"/>
      <c r="W24" s="34">
        <f t="shared" si="63"/>
        <v>0</v>
      </c>
      <c r="X24" s="33"/>
      <c r="Y24" s="34">
        <f t="shared" si="64"/>
        <v>0</v>
      </c>
      <c r="Z24" s="33"/>
      <c r="AA24" s="34">
        <f t="shared" si="65"/>
        <v>0</v>
      </c>
      <c r="AB24" s="33"/>
      <c r="AC24" s="34">
        <f t="shared" si="66"/>
        <v>0</v>
      </c>
      <c r="AD24" s="33"/>
      <c r="AE24" s="34">
        <f t="shared" si="67"/>
        <v>0</v>
      </c>
      <c r="AF24" s="33"/>
      <c r="AG24" s="34">
        <f t="shared" si="68"/>
        <v>0</v>
      </c>
      <c r="AH24" s="33"/>
      <c r="AI24" s="34">
        <f t="shared" si="69"/>
        <v>0</v>
      </c>
      <c r="AJ24" s="33"/>
      <c r="AK24" s="34">
        <f t="shared" si="70"/>
        <v>0</v>
      </c>
      <c r="AL24" s="33"/>
      <c r="AM24" s="34">
        <f t="shared" si="71"/>
        <v>0</v>
      </c>
      <c r="AN24" s="33"/>
      <c r="AO24" s="34">
        <f t="shared" si="72"/>
        <v>0</v>
      </c>
      <c r="AP24" s="33"/>
      <c r="AQ24" s="34">
        <f t="shared" si="73"/>
        <v>0</v>
      </c>
      <c r="AR24" s="33"/>
      <c r="AS24" s="34">
        <f t="shared" si="74"/>
        <v>0</v>
      </c>
      <c r="AT24" s="33"/>
      <c r="AU24" s="34">
        <f t="shared" si="75"/>
        <v>0</v>
      </c>
      <c r="AV24" s="33"/>
      <c r="AW24" s="34">
        <f t="shared" si="76"/>
        <v>0</v>
      </c>
      <c r="AX24" s="33"/>
      <c r="AY24" s="34">
        <f t="shared" si="77"/>
        <v>0</v>
      </c>
      <c r="AZ24" s="33"/>
      <c r="BA24" s="34">
        <f t="shared" si="78"/>
        <v>0</v>
      </c>
      <c r="BB24" s="33"/>
      <c r="BC24" s="34">
        <f t="shared" si="79"/>
        <v>0</v>
      </c>
      <c r="BD24" s="33"/>
      <c r="BE24" s="34">
        <f t="shared" si="80"/>
        <v>0</v>
      </c>
      <c r="BF24" s="33"/>
      <c r="BG24" s="34">
        <f t="shared" si="81"/>
        <v>0</v>
      </c>
      <c r="BH24" s="33"/>
      <c r="BI24" s="34">
        <f t="shared" si="82"/>
        <v>0</v>
      </c>
      <c r="BJ24" s="33"/>
      <c r="BK24" s="34">
        <f t="shared" si="83"/>
        <v>0</v>
      </c>
      <c r="BL24" s="33"/>
      <c r="BM24" s="34">
        <f t="shared" si="84"/>
        <v>0</v>
      </c>
      <c r="BN24" s="33"/>
      <c r="BO24" s="34">
        <f t="shared" si="85"/>
        <v>0</v>
      </c>
      <c r="BP24" s="33"/>
      <c r="BQ24" s="34">
        <f t="shared" si="86"/>
        <v>0</v>
      </c>
      <c r="BR24" s="33"/>
      <c r="BS24" s="34">
        <f t="shared" si="87"/>
        <v>0</v>
      </c>
      <c r="BT24" s="33"/>
      <c r="BU24" s="34">
        <f t="shared" si="88"/>
        <v>0</v>
      </c>
      <c r="BV24" s="33"/>
      <c r="BW24" s="34">
        <f t="shared" si="89"/>
        <v>0</v>
      </c>
      <c r="BX24" s="33"/>
      <c r="BY24" s="34">
        <f t="shared" si="90"/>
        <v>0</v>
      </c>
      <c r="BZ24" s="33"/>
      <c r="CA24" s="34">
        <f t="shared" si="91"/>
        <v>0</v>
      </c>
      <c r="CB24" s="33"/>
      <c r="CC24" s="34">
        <f t="shared" si="92"/>
        <v>0</v>
      </c>
      <c r="CD24" s="33"/>
      <c r="CE24" s="34">
        <f t="shared" si="93"/>
        <v>0</v>
      </c>
      <c r="CF24" s="33"/>
      <c r="CG24" s="34">
        <f t="shared" si="94"/>
        <v>0</v>
      </c>
      <c r="CH24" s="33"/>
      <c r="CI24" s="34">
        <f t="shared" si="40"/>
        <v>0</v>
      </c>
      <c r="CJ24" s="33"/>
      <c r="CK24" s="34">
        <f t="shared" si="41"/>
        <v>0</v>
      </c>
      <c r="CL24" s="33"/>
      <c r="CM24" s="34">
        <f t="shared" si="42"/>
        <v>0</v>
      </c>
      <c r="CN24" s="33"/>
      <c r="CO24" s="34">
        <f t="shared" si="43"/>
        <v>0</v>
      </c>
      <c r="CP24" s="33">
        <f>100%/11</f>
        <v>9.0909090909090912E-2</v>
      </c>
      <c r="CQ24" s="34">
        <f t="shared" si="44"/>
        <v>144503.14604739522</v>
      </c>
      <c r="CR24" s="33">
        <f>100%/11</f>
        <v>9.0909090909090912E-2</v>
      </c>
      <c r="CS24" s="34">
        <f t="shared" si="45"/>
        <v>144503.14604739522</v>
      </c>
      <c r="CT24" s="33">
        <f>100%/11</f>
        <v>9.0909090909090912E-2</v>
      </c>
      <c r="CU24" s="34">
        <f t="shared" si="46"/>
        <v>144503.14604739522</v>
      </c>
      <c r="CV24" s="33">
        <f>100%/11</f>
        <v>9.0909090909090912E-2</v>
      </c>
      <c r="CW24" s="34">
        <f t="shared" si="47"/>
        <v>144503.14604739522</v>
      </c>
      <c r="CX24" s="33">
        <f>100%/11</f>
        <v>9.0909090909090912E-2</v>
      </c>
      <c r="CY24" s="34">
        <f t="shared" si="48"/>
        <v>144503.14604739522</v>
      </c>
      <c r="CZ24" s="33">
        <f>100%/11</f>
        <v>9.0909090909090912E-2</v>
      </c>
      <c r="DA24" s="34">
        <f t="shared" si="49"/>
        <v>144503.14604739522</v>
      </c>
      <c r="DB24" s="33">
        <f>100%/11</f>
        <v>9.0909090909090912E-2</v>
      </c>
      <c r="DC24" s="34">
        <f t="shared" si="50"/>
        <v>144503.14604739522</v>
      </c>
      <c r="DD24" s="33">
        <f>100%/11</f>
        <v>9.0909090909090912E-2</v>
      </c>
      <c r="DE24" s="34">
        <f t="shared" si="51"/>
        <v>144503.14604739522</v>
      </c>
      <c r="DF24" s="33">
        <f>100%/11</f>
        <v>9.0909090909090912E-2</v>
      </c>
      <c r="DG24" s="34">
        <f t="shared" si="52"/>
        <v>144503.14604739522</v>
      </c>
      <c r="DH24" s="33">
        <f>100%/11</f>
        <v>9.0909090909090912E-2</v>
      </c>
      <c r="DI24" s="34">
        <f t="shared" si="53"/>
        <v>144503.14604739522</v>
      </c>
      <c r="DJ24" s="33">
        <f>100%/11</f>
        <v>9.0909090909090912E-2</v>
      </c>
      <c r="DK24" s="34">
        <f t="shared" si="95"/>
        <v>144503.14604739522</v>
      </c>
    </row>
    <row r="25" spans="2:116" ht="19.5" customHeight="1" thickBot="1" x14ac:dyDescent="0.3">
      <c r="B25" s="44" t="s">
        <v>69</v>
      </c>
      <c r="C25" s="99">
        <v>540782.74445471389</v>
      </c>
      <c r="D25" s="100">
        <f t="shared" si="55"/>
        <v>1.7331368626570573E-2</v>
      </c>
      <c r="E25" s="63">
        <f>C25/'DISTRIBUIÇÃO CUSTO'!C$30</f>
        <v>58.510883442418702</v>
      </c>
      <c r="F25" s="83">
        <f>SUMIFS($H25:$DK25,$H$8:$DK$8,$H$8)</f>
        <v>0.99999999999999889</v>
      </c>
      <c r="H25" s="48">
        <f>100%/$E$30</f>
        <v>1.8518518518518517E-2</v>
      </c>
      <c r="I25" s="49">
        <f t="shared" si="1"/>
        <v>10014.495267679886</v>
      </c>
      <c r="J25" s="48">
        <f t="shared" ref="J25" si="223">100%/$E$30</f>
        <v>1.8518518518518517E-2</v>
      </c>
      <c r="K25" s="49">
        <f t="shared" si="96"/>
        <v>10014.495267679886</v>
      </c>
      <c r="L25" s="48">
        <f t="shared" ref="L25" si="224">100%/$E$30</f>
        <v>1.8518518518518517E-2</v>
      </c>
      <c r="M25" s="49">
        <f t="shared" ref="M25" si="225">$C25*L25</f>
        <v>10014.495267679886</v>
      </c>
      <c r="N25" s="48">
        <f t="shared" ref="N25" si="226">100%/$E$30</f>
        <v>1.8518518518518517E-2</v>
      </c>
      <c r="O25" s="49">
        <f t="shared" ref="O25" si="227">$C25*N25</f>
        <v>10014.495267679886</v>
      </c>
      <c r="P25" s="48">
        <f t="shared" ref="P25" si="228">100%/$E$30</f>
        <v>1.8518518518518517E-2</v>
      </c>
      <c r="Q25" s="49">
        <f t="shared" si="60"/>
        <v>10014.495267679886</v>
      </c>
      <c r="R25" s="48">
        <f t="shared" ref="R25" si="229">100%/$E$30</f>
        <v>1.8518518518518517E-2</v>
      </c>
      <c r="S25" s="49">
        <f t="shared" si="61"/>
        <v>10014.495267679886</v>
      </c>
      <c r="T25" s="48">
        <f t="shared" ref="T25" si="230">100%/$E$30</f>
        <v>1.8518518518518517E-2</v>
      </c>
      <c r="U25" s="49">
        <f t="shared" si="62"/>
        <v>10014.495267679886</v>
      </c>
      <c r="V25" s="48">
        <f t="shared" ref="V25" si="231">100%/$E$30</f>
        <v>1.8518518518518517E-2</v>
      </c>
      <c r="W25" s="49">
        <f t="shared" si="63"/>
        <v>10014.495267679886</v>
      </c>
      <c r="X25" s="48">
        <f t="shared" ref="X25" si="232">100%/$E$30</f>
        <v>1.8518518518518517E-2</v>
      </c>
      <c r="Y25" s="49">
        <f t="shared" si="64"/>
        <v>10014.495267679886</v>
      </c>
      <c r="Z25" s="48">
        <f t="shared" ref="Z25" si="233">100%/$E$30</f>
        <v>1.8518518518518517E-2</v>
      </c>
      <c r="AA25" s="49">
        <f t="shared" si="65"/>
        <v>10014.495267679886</v>
      </c>
      <c r="AB25" s="48">
        <f t="shared" ref="AB25" si="234">100%/$E$30</f>
        <v>1.8518518518518517E-2</v>
      </c>
      <c r="AC25" s="49">
        <f t="shared" si="66"/>
        <v>10014.495267679886</v>
      </c>
      <c r="AD25" s="48">
        <f t="shared" ref="AD25" si="235">100%/$E$30</f>
        <v>1.8518518518518517E-2</v>
      </c>
      <c r="AE25" s="49">
        <f t="shared" si="67"/>
        <v>10014.495267679886</v>
      </c>
      <c r="AF25" s="48">
        <f t="shared" ref="AF25" si="236">100%/$E$30</f>
        <v>1.8518518518518517E-2</v>
      </c>
      <c r="AG25" s="49">
        <f t="shared" si="68"/>
        <v>10014.495267679886</v>
      </c>
      <c r="AH25" s="48">
        <f t="shared" ref="AH25" si="237">100%/$E$30</f>
        <v>1.8518518518518517E-2</v>
      </c>
      <c r="AI25" s="49">
        <f t="shared" si="69"/>
        <v>10014.495267679886</v>
      </c>
      <c r="AJ25" s="48">
        <f t="shared" ref="AJ25" si="238">100%/$E$30</f>
        <v>1.8518518518518517E-2</v>
      </c>
      <c r="AK25" s="49">
        <f t="shared" si="70"/>
        <v>10014.495267679886</v>
      </c>
      <c r="AL25" s="48">
        <f t="shared" ref="AL25" si="239">100%/$E$30</f>
        <v>1.8518518518518517E-2</v>
      </c>
      <c r="AM25" s="49">
        <f t="shared" si="71"/>
        <v>10014.495267679886</v>
      </c>
      <c r="AN25" s="48">
        <f t="shared" ref="AN25" si="240">100%/$E$30</f>
        <v>1.8518518518518517E-2</v>
      </c>
      <c r="AO25" s="49">
        <f t="shared" si="72"/>
        <v>10014.495267679886</v>
      </c>
      <c r="AP25" s="48">
        <f t="shared" ref="AP25" si="241">100%/$E$30</f>
        <v>1.8518518518518517E-2</v>
      </c>
      <c r="AQ25" s="49">
        <f t="shared" si="73"/>
        <v>10014.495267679886</v>
      </c>
      <c r="AR25" s="48">
        <f t="shared" ref="AR25" si="242">100%/$E$30</f>
        <v>1.8518518518518517E-2</v>
      </c>
      <c r="AS25" s="49">
        <f t="shared" si="74"/>
        <v>10014.495267679886</v>
      </c>
      <c r="AT25" s="48">
        <f t="shared" ref="AT25" si="243">100%/$E$30</f>
        <v>1.8518518518518517E-2</v>
      </c>
      <c r="AU25" s="49">
        <f t="shared" si="75"/>
        <v>10014.495267679886</v>
      </c>
      <c r="AV25" s="48">
        <f t="shared" ref="AV25" si="244">100%/$E$30</f>
        <v>1.8518518518518517E-2</v>
      </c>
      <c r="AW25" s="49">
        <f t="shared" si="76"/>
        <v>10014.495267679886</v>
      </c>
      <c r="AX25" s="48">
        <f t="shared" ref="AX25" si="245">100%/$E$30</f>
        <v>1.8518518518518517E-2</v>
      </c>
      <c r="AY25" s="49">
        <f t="shared" si="77"/>
        <v>10014.495267679886</v>
      </c>
      <c r="AZ25" s="48">
        <f t="shared" ref="AZ25" si="246">100%/$E$30</f>
        <v>1.8518518518518517E-2</v>
      </c>
      <c r="BA25" s="49">
        <f t="shared" si="78"/>
        <v>10014.495267679886</v>
      </c>
      <c r="BB25" s="48">
        <f t="shared" ref="BB25" si="247">100%/$E$30</f>
        <v>1.8518518518518517E-2</v>
      </c>
      <c r="BC25" s="49">
        <f t="shared" si="79"/>
        <v>10014.495267679886</v>
      </c>
      <c r="BD25" s="48">
        <f t="shared" ref="BD25" si="248">100%/$E$30</f>
        <v>1.8518518518518517E-2</v>
      </c>
      <c r="BE25" s="49">
        <f t="shared" si="80"/>
        <v>10014.495267679886</v>
      </c>
      <c r="BF25" s="48">
        <f t="shared" ref="BF25" si="249">100%/$E$30</f>
        <v>1.8518518518518517E-2</v>
      </c>
      <c r="BG25" s="49">
        <f t="shared" si="81"/>
        <v>10014.495267679886</v>
      </c>
      <c r="BH25" s="48">
        <f t="shared" ref="BH25" si="250">100%/$E$30</f>
        <v>1.8518518518518517E-2</v>
      </c>
      <c r="BI25" s="49">
        <f t="shared" si="82"/>
        <v>10014.495267679886</v>
      </c>
      <c r="BJ25" s="48">
        <f t="shared" ref="BJ25" si="251">100%/$E$30</f>
        <v>1.8518518518518517E-2</v>
      </c>
      <c r="BK25" s="49">
        <f t="shared" si="83"/>
        <v>10014.495267679886</v>
      </c>
      <c r="BL25" s="48">
        <f t="shared" ref="BL25" si="252">100%/$E$30</f>
        <v>1.8518518518518517E-2</v>
      </c>
      <c r="BM25" s="49">
        <f t="shared" si="84"/>
        <v>10014.495267679886</v>
      </c>
      <c r="BN25" s="48">
        <f t="shared" ref="BN25" si="253">100%/$E$30</f>
        <v>1.8518518518518517E-2</v>
      </c>
      <c r="BO25" s="49">
        <f t="shared" si="85"/>
        <v>10014.495267679886</v>
      </c>
      <c r="BP25" s="48">
        <f t="shared" ref="BP25" si="254">100%/$E$30</f>
        <v>1.8518518518518517E-2</v>
      </c>
      <c r="BQ25" s="49">
        <f t="shared" si="86"/>
        <v>10014.495267679886</v>
      </c>
      <c r="BR25" s="48">
        <f t="shared" ref="BR25" si="255">100%/$E$30</f>
        <v>1.8518518518518517E-2</v>
      </c>
      <c r="BS25" s="49">
        <f t="shared" si="87"/>
        <v>10014.495267679886</v>
      </c>
      <c r="BT25" s="48">
        <f t="shared" ref="BT25" si="256">100%/$E$30</f>
        <v>1.8518518518518517E-2</v>
      </c>
      <c r="BU25" s="49">
        <f t="shared" si="88"/>
        <v>10014.495267679886</v>
      </c>
      <c r="BV25" s="48">
        <f t="shared" ref="BV25" si="257">100%/$E$30</f>
        <v>1.8518518518518517E-2</v>
      </c>
      <c r="BW25" s="49">
        <f t="shared" si="89"/>
        <v>10014.495267679886</v>
      </c>
      <c r="BX25" s="48">
        <f t="shared" ref="BX25" si="258">100%/$E$30</f>
        <v>1.8518518518518517E-2</v>
      </c>
      <c r="BY25" s="49">
        <f t="shared" si="90"/>
        <v>10014.495267679886</v>
      </c>
      <c r="BZ25" s="48">
        <f t="shared" ref="BZ25" si="259">100%/$E$30</f>
        <v>1.8518518518518517E-2</v>
      </c>
      <c r="CA25" s="49">
        <f t="shared" si="91"/>
        <v>10014.495267679886</v>
      </c>
      <c r="CB25" s="48">
        <f t="shared" ref="CB25" si="260">100%/$E$30</f>
        <v>1.8518518518518517E-2</v>
      </c>
      <c r="CC25" s="49">
        <f t="shared" si="92"/>
        <v>10014.495267679886</v>
      </c>
      <c r="CD25" s="48">
        <f t="shared" ref="CD25" si="261">100%/$E$30</f>
        <v>1.8518518518518517E-2</v>
      </c>
      <c r="CE25" s="49">
        <f t="shared" si="93"/>
        <v>10014.495267679886</v>
      </c>
      <c r="CF25" s="48">
        <f t="shared" ref="CF25:DH25" si="262">100%/$E$30</f>
        <v>1.8518518518518517E-2</v>
      </c>
      <c r="CG25" s="49">
        <f t="shared" si="94"/>
        <v>10014.495267679886</v>
      </c>
      <c r="CH25" s="48">
        <f t="shared" si="262"/>
        <v>1.8518518518518517E-2</v>
      </c>
      <c r="CI25" s="49">
        <f t="shared" si="40"/>
        <v>10014.495267679886</v>
      </c>
      <c r="CJ25" s="48">
        <f t="shared" si="262"/>
        <v>1.8518518518518517E-2</v>
      </c>
      <c r="CK25" s="49">
        <f t="shared" si="41"/>
        <v>10014.495267679886</v>
      </c>
      <c r="CL25" s="48">
        <f t="shared" si="262"/>
        <v>1.8518518518518517E-2</v>
      </c>
      <c r="CM25" s="49">
        <f t="shared" si="42"/>
        <v>10014.495267679886</v>
      </c>
      <c r="CN25" s="48">
        <f t="shared" si="262"/>
        <v>1.8518518518518517E-2</v>
      </c>
      <c r="CO25" s="49">
        <f t="shared" si="43"/>
        <v>10014.495267679886</v>
      </c>
      <c r="CP25" s="48">
        <f t="shared" si="262"/>
        <v>1.8518518518518517E-2</v>
      </c>
      <c r="CQ25" s="49">
        <f t="shared" si="44"/>
        <v>10014.495267679886</v>
      </c>
      <c r="CR25" s="48">
        <f t="shared" si="262"/>
        <v>1.8518518518518517E-2</v>
      </c>
      <c r="CS25" s="49">
        <f t="shared" si="45"/>
        <v>10014.495267679886</v>
      </c>
      <c r="CT25" s="48">
        <f t="shared" si="262"/>
        <v>1.8518518518518517E-2</v>
      </c>
      <c r="CU25" s="49">
        <f t="shared" si="46"/>
        <v>10014.495267679886</v>
      </c>
      <c r="CV25" s="48">
        <f t="shared" si="262"/>
        <v>1.8518518518518517E-2</v>
      </c>
      <c r="CW25" s="49">
        <f t="shared" si="47"/>
        <v>10014.495267679886</v>
      </c>
      <c r="CX25" s="48">
        <f t="shared" si="262"/>
        <v>1.8518518518518517E-2</v>
      </c>
      <c r="CY25" s="49">
        <f t="shared" si="48"/>
        <v>10014.495267679886</v>
      </c>
      <c r="CZ25" s="48">
        <f t="shared" si="262"/>
        <v>1.8518518518518517E-2</v>
      </c>
      <c r="DA25" s="49">
        <f t="shared" si="49"/>
        <v>10014.495267679886</v>
      </c>
      <c r="DB25" s="48">
        <f t="shared" si="262"/>
        <v>1.8518518518518517E-2</v>
      </c>
      <c r="DC25" s="49">
        <f t="shared" si="50"/>
        <v>10014.495267679886</v>
      </c>
      <c r="DD25" s="48">
        <f t="shared" si="262"/>
        <v>1.8518518518518517E-2</v>
      </c>
      <c r="DE25" s="49">
        <f t="shared" si="51"/>
        <v>10014.495267679886</v>
      </c>
      <c r="DF25" s="48">
        <f t="shared" si="262"/>
        <v>1.8518518518518517E-2</v>
      </c>
      <c r="DG25" s="49">
        <f t="shared" si="52"/>
        <v>10014.495267679886</v>
      </c>
      <c r="DH25" s="48">
        <f t="shared" si="262"/>
        <v>1.8518518518518517E-2</v>
      </c>
      <c r="DI25" s="49">
        <f t="shared" si="53"/>
        <v>10014.495267679886</v>
      </c>
      <c r="DJ25" s="48">
        <f t="shared" ref="DJ25" si="263">100%/$E$30</f>
        <v>1.8518518518518517E-2</v>
      </c>
      <c r="DK25" s="49">
        <f t="shared" si="95"/>
        <v>10014.495267679886</v>
      </c>
    </row>
    <row r="26" spans="2:116" ht="19.5" customHeight="1" x14ac:dyDescent="0.25">
      <c r="B26" s="95" t="s">
        <v>70</v>
      </c>
      <c r="C26" s="101">
        <f>SUM(C9:C25)</f>
        <v>31202541.247991487</v>
      </c>
      <c r="D26" s="102">
        <f t="shared" ref="D26" si="264">SUM(D9:D25)</f>
        <v>0.99999999999999989</v>
      </c>
      <c r="E26" s="97">
        <f>SUM(E9:E25)</f>
        <v>3376.0105565302079</v>
      </c>
      <c r="F26" s="85"/>
      <c r="H26" s="25"/>
      <c r="I26" s="35">
        <f>SUM(I9:I25)</f>
        <v>354631.19111320982</v>
      </c>
      <c r="J26" s="32"/>
      <c r="K26" s="35">
        <f>SUM(K9:K25)</f>
        <v>655960.53598812548</v>
      </c>
      <c r="L26" s="32"/>
      <c r="M26" s="35">
        <f>SUM(M9:M25)</f>
        <v>655960.53598812548</v>
      </c>
      <c r="N26" s="32"/>
      <c r="O26" s="35">
        <f>SUM(O9:O25)</f>
        <v>628465.76554046734</v>
      </c>
      <c r="P26" s="32"/>
      <c r="Q26" s="35">
        <f>SUM(Q9:Q25)</f>
        <v>589672.59951235738</v>
      </c>
      <c r="R26" s="32"/>
      <c r="S26" s="35">
        <f>SUM(S9:S25)</f>
        <v>589672.59951235738</v>
      </c>
      <c r="T26" s="32"/>
      <c r="U26" s="35">
        <f>SUM(U9:U25)</f>
        <v>422092.43959874846</v>
      </c>
      <c r="V26" s="32"/>
      <c r="W26" s="35">
        <f>SUM(W9:W25)</f>
        <v>335600.38191160152</v>
      </c>
      <c r="X26" s="32"/>
      <c r="Y26" s="35">
        <f>SUM(Y9:Y25)</f>
        <v>335600.38191160152</v>
      </c>
      <c r="Z26" s="32"/>
      <c r="AA26" s="35">
        <f>SUM(AA9:AA25)</f>
        <v>335600.38191160152</v>
      </c>
      <c r="AB26" s="32"/>
      <c r="AC26" s="35">
        <f>SUM(AC9:AC25)</f>
        <v>335600.38191160152</v>
      </c>
      <c r="AD26" s="32"/>
      <c r="AE26" s="35">
        <f>SUM(AE9:AE25)</f>
        <v>397956.45819180983</v>
      </c>
      <c r="AF26" s="32"/>
      <c r="AG26" s="35">
        <f>SUM(AG9:AG25)</f>
        <v>397956.45819180983</v>
      </c>
      <c r="AH26" s="32"/>
      <c r="AI26" s="35">
        <f>SUM(AI9:AI25)</f>
        <v>539654.46312930994</v>
      </c>
      <c r="AJ26" s="32"/>
      <c r="AK26" s="35">
        <f>SUM(AK9:AK25)</f>
        <v>600898.45557930996</v>
      </c>
      <c r="AL26" s="32"/>
      <c r="AM26" s="35">
        <f>SUM(AM9:AM25)</f>
        <v>617563.17829130997</v>
      </c>
      <c r="AN26" s="32"/>
      <c r="AO26" s="35">
        <f>SUM(AO9:AO25)</f>
        <v>663578.21995085757</v>
      </c>
      <c r="AP26" s="32"/>
      <c r="AQ26" s="35">
        <f>SUM(AQ9:AQ25)</f>
        <v>680811.79712008836</v>
      </c>
      <c r="AR26" s="32"/>
      <c r="AS26" s="35">
        <f>SUM(AS9:AS25)</f>
        <v>714285.87671014096</v>
      </c>
      <c r="AT26" s="32"/>
      <c r="AU26" s="35">
        <f>SUM(AU9:AU25)</f>
        <v>714285.87671014096</v>
      </c>
      <c r="AV26" s="32"/>
      <c r="AW26" s="35">
        <f>SUM(AW9:AW25)</f>
        <v>714285.87671014096</v>
      </c>
      <c r="AX26" s="32"/>
      <c r="AY26" s="35">
        <f>SUM(AY9:AY25)</f>
        <v>714285.87671014096</v>
      </c>
      <c r="AZ26" s="32"/>
      <c r="BA26" s="35">
        <f>SUM(BA9:BA25)</f>
        <v>714285.87671014096</v>
      </c>
      <c r="BB26" s="32"/>
      <c r="BC26" s="35">
        <f>SUM(BC9:BC25)</f>
        <v>714285.87671014096</v>
      </c>
      <c r="BD26" s="32"/>
      <c r="BE26" s="35">
        <f>SUM(BE9:BE25)</f>
        <v>714285.87671014096</v>
      </c>
      <c r="BF26" s="32"/>
      <c r="BG26" s="35">
        <f>SUM(BG9:BG25)</f>
        <v>714285.87671014096</v>
      </c>
      <c r="BH26" s="32"/>
      <c r="BI26" s="35">
        <f>SUM(BI9:BI25)</f>
        <v>714285.87671014096</v>
      </c>
      <c r="BJ26" s="32"/>
      <c r="BK26" s="35">
        <f>SUM(BK9:BK25)</f>
        <v>714285.87671014096</v>
      </c>
      <c r="BL26" s="32"/>
      <c r="BM26" s="35">
        <f>SUM(BM9:BM25)</f>
        <v>714285.87671014096</v>
      </c>
      <c r="BN26" s="32"/>
      <c r="BO26" s="35">
        <f>SUM(BO9:BO25)</f>
        <v>714285.87671014096</v>
      </c>
      <c r="BP26" s="32"/>
      <c r="BQ26" s="35">
        <f>SUM(BQ9:BQ25)</f>
        <v>714285.87671014096</v>
      </c>
      <c r="BR26" s="32"/>
      <c r="BS26" s="35">
        <f>SUM(BS9:BS25)</f>
        <v>714285.87671014096</v>
      </c>
      <c r="BT26" s="32"/>
      <c r="BU26" s="35">
        <f>SUM(BU9:BU25)</f>
        <v>537552.43280940258</v>
      </c>
      <c r="BV26" s="32"/>
      <c r="BW26" s="35">
        <f>SUM(BW9:BW25)</f>
        <v>537552.43280940258</v>
      </c>
      <c r="BX26" s="32"/>
      <c r="BY26" s="35">
        <f>SUM(BY9:BY25)</f>
        <v>537552.43280940258</v>
      </c>
      <c r="BZ26" s="32"/>
      <c r="CA26" s="35">
        <f>SUM(CA9:CA25)</f>
        <v>573611.37883688649</v>
      </c>
      <c r="CB26" s="32"/>
      <c r="CC26" s="35">
        <f>SUM(CC9:CC25)</f>
        <v>573611.37883688649</v>
      </c>
      <c r="CD26" s="32"/>
      <c r="CE26" s="35">
        <f>SUM(CE9:CE25)</f>
        <v>670722.50431605312</v>
      </c>
      <c r="CF26" s="32"/>
      <c r="CG26" s="35">
        <f>SUM(CG9:CG25)</f>
        <v>670722.50431605312</v>
      </c>
      <c r="CH26" s="32"/>
      <c r="CI26" s="35">
        <f t="shared" ref="CI26" si="265">SUM(CI9:CI25)</f>
        <v>609478.5118660531</v>
      </c>
      <c r="CJ26" s="32"/>
      <c r="CK26" s="35">
        <f t="shared" ref="CK26" si="266">SUM(CK9:CK25)</f>
        <v>592813.78915405308</v>
      </c>
      <c r="CL26" s="32"/>
      <c r="CM26" s="35">
        <f t="shared" ref="CM26" si="267">SUM(CM9:CM25)</f>
        <v>592813.78915405308</v>
      </c>
      <c r="CN26" s="32"/>
      <c r="CO26" s="35">
        <f t="shared" ref="CO26" si="268">SUM(CO9:CO25)</f>
        <v>592813.78915405308</v>
      </c>
      <c r="CP26" s="32"/>
      <c r="CQ26" s="35">
        <f t="shared" ref="CQ26" si="269">SUM(CQ9:CQ25)</f>
        <v>720083.3580322176</v>
      </c>
      <c r="CR26" s="32"/>
      <c r="CS26" s="35">
        <f t="shared" ref="CS26" si="270">SUM(CS9:CS25)</f>
        <v>720083.3580322176</v>
      </c>
      <c r="CT26" s="32"/>
      <c r="CU26" s="35">
        <f t="shared" ref="CU26" si="271">SUM(CU9:CU25)</f>
        <v>720083.3580322176</v>
      </c>
      <c r="CV26" s="32"/>
      <c r="CW26" s="35">
        <f t="shared" ref="CW26" si="272">SUM(CW9:CW25)</f>
        <v>720083.3580322176</v>
      </c>
      <c r="CX26" s="32"/>
      <c r="CY26" s="35">
        <f t="shared" ref="CY26" si="273">SUM(CY9:CY25)</f>
        <v>720083.3580322176</v>
      </c>
      <c r="CZ26" s="32"/>
      <c r="DA26" s="35">
        <f t="shared" ref="DA26" si="274">SUM(DA9:DA25)</f>
        <v>621668.33572452527</v>
      </c>
      <c r="DB26" s="32"/>
      <c r="DC26" s="35">
        <f t="shared" ref="DC26" si="275">SUM(DC9:DC25)</f>
        <v>382859.20530785853</v>
      </c>
      <c r="DD26" s="32"/>
      <c r="DE26" s="35">
        <f t="shared" ref="DE26" si="276">SUM(DE9:DE25)</f>
        <v>336844.16364831093</v>
      </c>
      <c r="DF26" s="32"/>
      <c r="DG26" s="35">
        <f t="shared" ref="DG26" si="277">SUM(DG9:DG25)</f>
        <v>233725.82299041623</v>
      </c>
      <c r="DH26" s="32"/>
      <c r="DI26" s="35">
        <f t="shared" ref="DI26" si="278">SUM(DI9:DI25)</f>
        <v>200251.74340036369</v>
      </c>
      <c r="DJ26" s="32"/>
      <c r="DK26" s="36">
        <f>SUM(DK9:DK25)</f>
        <v>200251.74340036369</v>
      </c>
      <c r="DL26" s="30" t="s">
        <v>73</v>
      </c>
    </row>
    <row r="27" spans="2:116" ht="22.5" customHeight="1" thickBot="1" x14ac:dyDescent="0.3">
      <c r="B27" s="96" t="s">
        <v>71</v>
      </c>
      <c r="C27" s="103">
        <v>3008.84</v>
      </c>
      <c r="D27" s="104">
        <v>45962</v>
      </c>
      <c r="E27" s="98">
        <f>+E26/C27</f>
        <v>1.1220306020028341</v>
      </c>
      <c r="F27" s="86"/>
      <c r="H27" s="37"/>
      <c r="I27" s="38">
        <f>I26/$C$26</f>
        <v>1.1365458611036609E-2</v>
      </c>
      <c r="J27" s="39"/>
      <c r="K27" s="38">
        <f>K26/$C$26</f>
        <v>2.1022663852110116E-2</v>
      </c>
      <c r="L27" s="39"/>
      <c r="M27" s="38">
        <f>M26/$C$26</f>
        <v>2.1022663852110116E-2</v>
      </c>
      <c r="N27" s="39"/>
      <c r="O27" s="38">
        <f>O26/$C$26</f>
        <v>2.0141492981150109E-2</v>
      </c>
      <c r="P27" s="39"/>
      <c r="Q27" s="38">
        <f>Q26/$C$26</f>
        <v>1.8898223539735397E-2</v>
      </c>
      <c r="R27" s="39"/>
      <c r="S27" s="38">
        <f>S26/$C$26</f>
        <v>1.8898223539735397E-2</v>
      </c>
      <c r="T27" s="39"/>
      <c r="U27" s="38">
        <f>U26/$C$26</f>
        <v>1.3527502014789215E-2</v>
      </c>
      <c r="V27" s="40"/>
      <c r="W27" s="38">
        <f>W26/$C$26</f>
        <v>1.0755546455153045E-2</v>
      </c>
      <c r="X27" s="40"/>
      <c r="Y27" s="38">
        <f>Y26/$C$26</f>
        <v>1.0755546455153045E-2</v>
      </c>
      <c r="Z27" s="40"/>
      <c r="AA27" s="38">
        <f>AA26/$C$26</f>
        <v>1.0755546455153045E-2</v>
      </c>
      <c r="AB27" s="40"/>
      <c r="AC27" s="38">
        <f>AC26/$C$26</f>
        <v>1.0755546455153045E-2</v>
      </c>
      <c r="AD27" s="40"/>
      <c r="AE27" s="38">
        <f>AE26/$C$26</f>
        <v>1.2753975871033465E-2</v>
      </c>
      <c r="AF27" s="40"/>
      <c r="AG27" s="38">
        <f>AG26/$C$26</f>
        <v>1.2753975871033465E-2</v>
      </c>
      <c r="AH27" s="40"/>
      <c r="AI27" s="38">
        <f>AI26/$C$26</f>
        <v>1.7295208708811419E-2</v>
      </c>
      <c r="AJ27" s="40"/>
      <c r="AK27" s="38">
        <f>AK26/$C$26</f>
        <v>1.925799731513823E-2</v>
      </c>
      <c r="AL27" s="40"/>
      <c r="AM27" s="38">
        <f>AM26/$C$26</f>
        <v>1.9792079541952775E-2</v>
      </c>
      <c r="AN27" s="40"/>
      <c r="AO27" s="38">
        <f>AO26/$C$26</f>
        <v>2.1266800504384308E-2</v>
      </c>
      <c r="AP27" s="40"/>
      <c r="AQ27" s="38">
        <f>AQ26/$C$26</f>
        <v>2.1819113760931645E-2</v>
      </c>
      <c r="AR27" s="40"/>
      <c r="AS27" s="38">
        <f>AS26/$C$26</f>
        <v>2.2891913547462089E-2</v>
      </c>
      <c r="AT27" s="40"/>
      <c r="AU27" s="38">
        <f>AU26/$C$26</f>
        <v>2.2891913547462089E-2</v>
      </c>
      <c r="AV27" s="40"/>
      <c r="AW27" s="38">
        <f>AW26/$C$26</f>
        <v>2.2891913547462089E-2</v>
      </c>
      <c r="AX27" s="40"/>
      <c r="AY27" s="38">
        <f>AY26/$C$26</f>
        <v>2.2891913547462089E-2</v>
      </c>
      <c r="AZ27" s="40"/>
      <c r="BA27" s="38">
        <f>BA26/$C$26</f>
        <v>2.2891913547462089E-2</v>
      </c>
      <c r="BB27" s="40"/>
      <c r="BC27" s="38">
        <f>BC26/$C$26</f>
        <v>2.2891913547462089E-2</v>
      </c>
      <c r="BD27" s="40"/>
      <c r="BE27" s="38">
        <f>BE26/$C$26</f>
        <v>2.2891913547462089E-2</v>
      </c>
      <c r="BF27" s="40"/>
      <c r="BG27" s="38">
        <f>BG26/$C$26</f>
        <v>2.2891913547462089E-2</v>
      </c>
      <c r="BH27" s="40"/>
      <c r="BI27" s="38">
        <f>BI26/$C$26</f>
        <v>2.2891913547462089E-2</v>
      </c>
      <c r="BJ27" s="40"/>
      <c r="BK27" s="38">
        <f>BK26/$C$26</f>
        <v>2.2891913547462089E-2</v>
      </c>
      <c r="BL27" s="40"/>
      <c r="BM27" s="38">
        <f>BM26/$C$26</f>
        <v>2.2891913547462089E-2</v>
      </c>
      <c r="BN27" s="40"/>
      <c r="BO27" s="38">
        <f>BO26/$C$26</f>
        <v>2.2891913547462089E-2</v>
      </c>
      <c r="BP27" s="40"/>
      <c r="BQ27" s="38">
        <f>BQ26/$C$26</f>
        <v>2.2891913547462089E-2</v>
      </c>
      <c r="BR27" s="40"/>
      <c r="BS27" s="38">
        <f>BS26/$C$26</f>
        <v>2.2891913547462089E-2</v>
      </c>
      <c r="BT27" s="40"/>
      <c r="BU27" s="38">
        <f>BU26/$C$26</f>
        <v>1.7227841429229899E-2</v>
      </c>
      <c r="BV27" s="40"/>
      <c r="BW27" s="38">
        <f>BW26/$C$26</f>
        <v>1.7227841429229899E-2</v>
      </c>
      <c r="BX27" s="40"/>
      <c r="BY27" s="38">
        <f>BY26/$C$26</f>
        <v>1.7227841429229899E-2</v>
      </c>
      <c r="BZ27" s="40"/>
      <c r="CA27" s="38">
        <f>CA26/$C$26</f>
        <v>1.8383482751547039E-2</v>
      </c>
      <c r="CB27" s="40"/>
      <c r="CC27" s="38">
        <f>CC26/$C$26</f>
        <v>1.8383482751547039E-2</v>
      </c>
      <c r="CD27" s="40"/>
      <c r="CE27" s="38">
        <f>CE26/$C$26</f>
        <v>2.1495765328384195E-2</v>
      </c>
      <c r="CF27" s="40"/>
      <c r="CG27" s="38">
        <f>CG26/$C$26</f>
        <v>2.1495765328384195E-2</v>
      </c>
      <c r="CH27" s="40"/>
      <c r="CI27" s="38">
        <f t="shared" ref="CI27" si="279">CI26/$C$26</f>
        <v>1.9532976722057383E-2</v>
      </c>
      <c r="CJ27" s="40"/>
      <c r="CK27" s="38">
        <f t="shared" ref="CK27" si="280">CK26/$C$26</f>
        <v>1.8998894495242839E-2</v>
      </c>
      <c r="CL27" s="40"/>
      <c r="CM27" s="38">
        <f t="shared" ref="CM27" si="281">CM26/$C$26</f>
        <v>1.8998894495242839E-2</v>
      </c>
      <c r="CN27" s="40"/>
      <c r="CO27" s="38">
        <f t="shared" ref="CO27" si="282">CO26/$C$26</f>
        <v>1.8998894495242839E-2</v>
      </c>
      <c r="CP27" s="40"/>
      <c r="CQ27" s="38">
        <f t="shared" ref="CQ27" si="283">CQ26/$C$26</f>
        <v>2.3077715122917095E-2</v>
      </c>
      <c r="CR27" s="40"/>
      <c r="CS27" s="38">
        <f t="shared" ref="CS27" si="284">CS26/$C$26</f>
        <v>2.3077715122917095E-2</v>
      </c>
      <c r="CT27" s="40"/>
      <c r="CU27" s="38">
        <f t="shared" ref="CU27" si="285">CU26/$C$26</f>
        <v>2.3077715122917095E-2</v>
      </c>
      <c r="CV27" s="40"/>
      <c r="CW27" s="38">
        <f t="shared" ref="CW27" si="286">CW26/$C$26</f>
        <v>2.3077715122917095E-2</v>
      </c>
      <c r="CX27" s="40"/>
      <c r="CY27" s="38">
        <f t="shared" ref="CY27" si="287">CY26/$C$26</f>
        <v>2.3077715122917095E-2</v>
      </c>
      <c r="CZ27" s="40"/>
      <c r="DA27" s="38">
        <f t="shared" ref="DA27" si="288">DA26/$C$26</f>
        <v>1.9923644384719535E-2</v>
      </c>
      <c r="DB27" s="40"/>
      <c r="DC27" s="38">
        <f t="shared" ref="DC27" si="289">DC26/$C$26</f>
        <v>1.2270128970104422E-2</v>
      </c>
      <c r="DD27" s="40"/>
      <c r="DE27" s="38">
        <f t="shared" ref="DE27" si="290">DE26/$C$26</f>
        <v>1.0795408007672889E-2</v>
      </c>
      <c r="DF27" s="40"/>
      <c r="DG27" s="38">
        <f t="shared" ref="DG27" si="291">DG26/$C$26</f>
        <v>7.4906021638689825E-3</v>
      </c>
      <c r="DH27" s="40"/>
      <c r="DI27" s="38">
        <f t="shared" ref="DI27" si="292">DI26/$C$26</f>
        <v>6.4178023773385417E-3</v>
      </c>
      <c r="DJ27" s="40"/>
      <c r="DK27" s="41">
        <f>DK26/$C$26</f>
        <v>6.4178023773385417E-3</v>
      </c>
      <c r="DL27" s="31">
        <f>SUM(I26:DK26)</f>
        <v>31202541.247991495</v>
      </c>
    </row>
    <row r="28" spans="2:116" ht="10.5" customHeight="1" thickBot="1" x14ac:dyDescent="0.3">
      <c r="B28" s="22"/>
      <c r="C28" s="22"/>
      <c r="D28" s="23"/>
      <c r="E28" s="23"/>
      <c r="F28" s="23"/>
      <c r="H28" s="24"/>
      <c r="I28" s="24"/>
      <c r="J28" s="22"/>
      <c r="K28" s="22"/>
      <c r="L28" s="22"/>
      <c r="M28" s="24"/>
      <c r="N28" s="22"/>
      <c r="O28" s="22"/>
      <c r="P28" s="24"/>
      <c r="Q28" s="24"/>
      <c r="R28" s="22"/>
      <c r="S28" s="22"/>
      <c r="T28" s="24"/>
      <c r="U28" s="24"/>
      <c r="V28" s="22"/>
      <c r="W28" s="22"/>
      <c r="X28" s="24"/>
      <c r="Y28" s="24"/>
      <c r="Z28" s="22"/>
      <c r="AA28" s="22"/>
      <c r="AB28" s="24"/>
      <c r="AC28" s="24"/>
      <c r="AD28" s="22"/>
      <c r="AE28" s="22"/>
      <c r="AF28" s="24"/>
      <c r="AG28" s="24"/>
      <c r="AH28" s="22"/>
      <c r="AI28" s="22"/>
      <c r="AJ28" s="24"/>
      <c r="AK28" s="24"/>
      <c r="AL28" s="22"/>
      <c r="AM28" s="22"/>
      <c r="AN28" s="24"/>
      <c r="AO28" s="24"/>
      <c r="AP28" s="22"/>
      <c r="AQ28" s="22"/>
      <c r="AR28" s="24"/>
      <c r="AS28" s="24"/>
      <c r="AT28" s="22"/>
      <c r="AU28" s="22"/>
      <c r="AV28" s="24"/>
      <c r="AW28" s="24"/>
      <c r="AX28" s="22"/>
      <c r="AY28" s="22"/>
      <c r="AZ28" s="24"/>
      <c r="BA28" s="24"/>
      <c r="BB28" s="22"/>
      <c r="BC28" s="22"/>
      <c r="BD28" s="24"/>
      <c r="BE28" s="24"/>
      <c r="BF28" s="22"/>
      <c r="BG28" s="22"/>
      <c r="BH28" s="24"/>
      <c r="BI28" s="24"/>
      <c r="BJ28" s="22"/>
      <c r="BK28" s="22"/>
      <c r="BL28" s="24"/>
      <c r="BM28" s="24"/>
      <c r="BN28" s="22"/>
      <c r="BO28" s="22"/>
      <c r="BP28" s="24"/>
      <c r="BQ28" s="24"/>
      <c r="BR28" s="22"/>
      <c r="BS28" s="22"/>
      <c r="BT28" s="24"/>
      <c r="BU28" s="24"/>
      <c r="BV28" s="22"/>
      <c r="BW28" s="22"/>
      <c r="BX28" s="24"/>
      <c r="BY28" s="24"/>
      <c r="BZ28" s="22"/>
      <c r="CA28" s="22"/>
      <c r="CB28" s="24"/>
      <c r="CC28" s="24"/>
      <c r="CD28" s="22"/>
      <c r="CE28" s="22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2"/>
      <c r="DK28" s="22"/>
    </row>
    <row r="29" spans="2:116" ht="22.5" thickBot="1" x14ac:dyDescent="0.3">
      <c r="B29" s="22"/>
      <c r="C29" s="133" t="s">
        <v>52</v>
      </c>
      <c r="D29" s="134"/>
      <c r="E29" s="56" t="s">
        <v>74</v>
      </c>
      <c r="F29" s="85"/>
      <c r="H29" s="92"/>
      <c r="I29" s="22"/>
      <c r="J29" s="92"/>
      <c r="K29" s="22"/>
      <c r="L29" s="92"/>
      <c r="M29" s="22"/>
      <c r="N29" s="92"/>
      <c r="O29" s="22"/>
      <c r="P29" s="92"/>
      <c r="Q29" s="22"/>
      <c r="R29" s="92"/>
      <c r="S29" s="22"/>
      <c r="T29" s="92"/>
      <c r="U29" s="22"/>
      <c r="V29" s="92"/>
      <c r="W29" s="22"/>
      <c r="X29" s="92"/>
      <c r="Y29" s="22"/>
      <c r="Z29" s="92"/>
      <c r="AA29" s="22"/>
      <c r="AB29" s="92"/>
      <c r="AC29" s="22"/>
      <c r="AD29" s="92"/>
      <c r="AE29" s="22"/>
      <c r="AF29" s="92"/>
      <c r="AG29" s="22"/>
      <c r="AH29" s="92"/>
      <c r="AI29" s="22"/>
      <c r="AJ29" s="92"/>
      <c r="AK29" s="22"/>
      <c r="AL29" s="92"/>
      <c r="AM29" s="22"/>
      <c r="AN29" s="92"/>
      <c r="AO29" s="22"/>
      <c r="AP29" s="92"/>
      <c r="AQ29" s="22"/>
      <c r="AR29" s="92"/>
      <c r="AS29" s="22"/>
      <c r="AT29" s="92"/>
      <c r="AU29" s="22"/>
      <c r="AV29" s="92"/>
      <c r="AW29" s="22"/>
      <c r="AX29" s="92"/>
      <c r="AY29" s="22"/>
      <c r="AZ29" s="92"/>
      <c r="BA29" s="22"/>
      <c r="BB29" s="92"/>
      <c r="BC29" s="22"/>
      <c r="BD29" s="92"/>
      <c r="BE29" s="22"/>
      <c r="BF29" s="92"/>
      <c r="BG29" s="22"/>
      <c r="BH29" s="92"/>
      <c r="BI29" s="22"/>
      <c r="BJ29" s="92"/>
      <c r="BK29" s="22"/>
      <c r="BL29" s="92"/>
      <c r="BM29" s="22"/>
      <c r="BN29" s="92"/>
      <c r="BO29" s="22"/>
      <c r="BP29" s="92"/>
      <c r="BQ29" s="22"/>
      <c r="BR29" s="92"/>
      <c r="BS29" s="22"/>
      <c r="BT29" s="92"/>
      <c r="BU29" s="22"/>
      <c r="BV29" s="92"/>
      <c r="BW29" s="22"/>
      <c r="BX29" s="92"/>
      <c r="BY29" s="22"/>
      <c r="BZ29" s="92"/>
      <c r="CA29" s="22"/>
      <c r="CB29" s="92"/>
      <c r="CC29" s="22"/>
      <c r="CD29" s="92"/>
      <c r="CE29" s="22"/>
      <c r="CF29" s="92"/>
      <c r="CG29" s="22"/>
      <c r="CH29" s="92"/>
      <c r="CI29" s="22"/>
      <c r="CJ29" s="92"/>
      <c r="CK29" s="22"/>
      <c r="CL29" s="92"/>
      <c r="CM29" s="22"/>
      <c r="CN29" s="92"/>
      <c r="CO29" s="22"/>
      <c r="CP29" s="92"/>
      <c r="CQ29" s="22"/>
      <c r="CR29" s="92"/>
      <c r="CS29" s="22"/>
      <c r="CT29" s="92"/>
      <c r="CU29" s="22"/>
      <c r="CV29" s="92"/>
      <c r="CW29" s="22"/>
      <c r="CX29" s="92"/>
      <c r="CY29" s="22"/>
      <c r="CZ29" s="92"/>
      <c r="DA29" s="22"/>
      <c r="DB29" s="92"/>
      <c r="DC29" s="22"/>
      <c r="DD29" s="92"/>
      <c r="DE29" s="22"/>
      <c r="DF29" s="92"/>
      <c r="DG29" s="22"/>
      <c r="DH29" s="92"/>
      <c r="DI29" s="22"/>
      <c r="DJ29" s="92"/>
      <c r="DK29" s="22"/>
      <c r="DL29" s="92"/>
    </row>
    <row r="30" spans="2:116" ht="19.5" customHeight="1" thickBot="1" x14ac:dyDescent="0.3">
      <c r="C30" s="87">
        <v>9242.43</v>
      </c>
      <c r="D30" s="94" t="s">
        <v>53</v>
      </c>
      <c r="E30" s="88">
        <v>54</v>
      </c>
      <c r="F30" s="84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</row>
    <row r="31" spans="2:116" ht="19.5" customHeight="1" x14ac:dyDescent="0.25">
      <c r="C31" s="76" t="s">
        <v>0</v>
      </c>
      <c r="D31" s="77" t="s">
        <v>49</v>
      </c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</row>
    <row r="32" spans="2:116" ht="19.5" customHeight="1" x14ac:dyDescent="0.25">
      <c r="B32" s="22"/>
      <c r="C32" s="78" t="s">
        <v>1</v>
      </c>
      <c r="D32" s="79">
        <f>$I$27</f>
        <v>1.1365458611036609E-2</v>
      </c>
      <c r="E32" s="23"/>
      <c r="F32" s="23" t="s">
        <v>104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</row>
    <row r="33" spans="2:62" ht="19.5" customHeight="1" x14ac:dyDescent="0.25">
      <c r="B33" s="22"/>
      <c r="C33" s="78" t="s">
        <v>2</v>
      </c>
      <c r="D33" s="79">
        <f>$K$27</f>
        <v>2.1022663852110116E-2</v>
      </c>
      <c r="E33" s="23"/>
      <c r="F33" s="23"/>
      <c r="H33" s="2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3"/>
      <c r="BE33" s="93"/>
      <c r="BF33" s="93"/>
      <c r="BG33" s="93"/>
      <c r="BH33" s="93"/>
      <c r="BI33" s="93"/>
      <c r="BJ33" s="93"/>
    </row>
    <row r="34" spans="2:62" ht="19.5" customHeight="1" x14ac:dyDescent="0.25">
      <c r="B34" s="22"/>
      <c r="C34" s="78" t="s">
        <v>3</v>
      </c>
      <c r="D34" s="79">
        <f>$M$27</f>
        <v>2.1022663852110116E-2</v>
      </c>
      <c r="E34" s="23"/>
      <c r="F34" s="23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</row>
    <row r="35" spans="2:62" ht="19.5" customHeight="1" x14ac:dyDescent="0.25">
      <c r="B35" s="22"/>
      <c r="C35" s="78" t="s">
        <v>4</v>
      </c>
      <c r="D35" s="79">
        <f>$O$27</f>
        <v>2.0141492981150109E-2</v>
      </c>
      <c r="E35" s="23"/>
      <c r="F35" s="23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</row>
    <row r="36" spans="2:62" ht="19.5" customHeight="1" x14ac:dyDescent="0.25">
      <c r="B36" s="22"/>
      <c r="C36" s="78" t="s">
        <v>5</v>
      </c>
      <c r="D36" s="79">
        <f>$Q$27</f>
        <v>1.8898223539735397E-2</v>
      </c>
      <c r="E36" s="23"/>
      <c r="F36" s="23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</row>
    <row r="37" spans="2:62" ht="19.5" customHeight="1" x14ac:dyDescent="0.25">
      <c r="B37" s="22"/>
      <c r="C37" s="78" t="s">
        <v>6</v>
      </c>
      <c r="D37" s="79">
        <f>$S$27</f>
        <v>1.8898223539735397E-2</v>
      </c>
      <c r="E37" s="23"/>
      <c r="F37" s="23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</row>
    <row r="38" spans="2:62" ht="19.5" customHeight="1" x14ac:dyDescent="0.25">
      <c r="B38" s="22"/>
      <c r="C38" s="78" t="s">
        <v>7</v>
      </c>
      <c r="D38" s="79">
        <f>$U$27</f>
        <v>1.3527502014789215E-2</v>
      </c>
      <c r="E38" s="23"/>
      <c r="F38" s="23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</row>
    <row r="39" spans="2:62" ht="19.5" customHeight="1" x14ac:dyDescent="0.25">
      <c r="B39" s="22"/>
      <c r="C39" s="78" t="s">
        <v>8</v>
      </c>
      <c r="D39" s="79">
        <f>$W$27</f>
        <v>1.0755546455153045E-2</v>
      </c>
      <c r="E39" s="23"/>
      <c r="F39" s="23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</row>
    <row r="40" spans="2:62" ht="19.5" customHeight="1" x14ac:dyDescent="0.25">
      <c r="B40" s="22"/>
      <c r="C40" s="78" t="s">
        <v>9</v>
      </c>
      <c r="D40" s="79">
        <f>$Y$27</f>
        <v>1.0755546455153045E-2</v>
      </c>
      <c r="E40" s="23"/>
      <c r="F40" s="23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</row>
    <row r="41" spans="2:62" ht="19.5" customHeight="1" x14ac:dyDescent="0.25">
      <c r="B41" s="22"/>
      <c r="C41" s="78" t="s">
        <v>10</v>
      </c>
      <c r="D41" s="79">
        <f>$AA$27</f>
        <v>1.0755546455153045E-2</v>
      </c>
      <c r="E41" s="23"/>
      <c r="F41" s="23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</row>
    <row r="42" spans="2:62" ht="19.5" customHeight="1" x14ac:dyDescent="0.25">
      <c r="B42" s="22"/>
      <c r="C42" s="78" t="s">
        <v>11</v>
      </c>
      <c r="D42" s="79">
        <f>$AC$27</f>
        <v>1.0755546455153045E-2</v>
      </c>
      <c r="E42" s="23"/>
      <c r="F42" s="23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</row>
    <row r="43" spans="2:62" ht="19.5" customHeight="1" x14ac:dyDescent="0.25">
      <c r="B43" s="22"/>
      <c r="C43" s="78" t="s">
        <v>12</v>
      </c>
      <c r="D43" s="79">
        <f>$AE$27</f>
        <v>1.2753975871033465E-2</v>
      </c>
      <c r="E43" s="23"/>
      <c r="F43" s="23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</row>
    <row r="44" spans="2:62" ht="19.5" customHeight="1" x14ac:dyDescent="0.25">
      <c r="B44" s="22"/>
      <c r="C44" s="78" t="s">
        <v>13</v>
      </c>
      <c r="D44" s="79">
        <f>$AG$27</f>
        <v>1.2753975871033465E-2</v>
      </c>
      <c r="E44" s="23"/>
      <c r="F44" s="23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</row>
    <row r="45" spans="2:62" ht="19.5" customHeight="1" x14ac:dyDescent="0.25">
      <c r="B45" s="22"/>
      <c r="C45" s="78" t="s">
        <v>14</v>
      </c>
      <c r="D45" s="79">
        <f>$AI$27</f>
        <v>1.7295208708811419E-2</v>
      </c>
      <c r="E45" s="23"/>
      <c r="F45" s="23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</row>
    <row r="46" spans="2:62" ht="19.5" customHeight="1" x14ac:dyDescent="0.25">
      <c r="B46" s="22"/>
      <c r="C46" s="78" t="s">
        <v>15</v>
      </c>
      <c r="D46" s="79">
        <f>$AK$27</f>
        <v>1.925799731513823E-2</v>
      </c>
      <c r="E46" s="23"/>
      <c r="F46" s="23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</row>
    <row r="47" spans="2:62" ht="19.5" customHeight="1" x14ac:dyDescent="0.25">
      <c r="B47" s="22"/>
      <c r="C47" s="78" t="s">
        <v>16</v>
      </c>
      <c r="D47" s="79">
        <f>$AM$27</f>
        <v>1.9792079541952775E-2</v>
      </c>
      <c r="E47" s="23"/>
      <c r="F47" s="23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</row>
    <row r="48" spans="2:62" ht="19.5" customHeight="1" x14ac:dyDescent="0.25">
      <c r="B48" s="22"/>
      <c r="C48" s="78" t="s">
        <v>17</v>
      </c>
      <c r="D48" s="79">
        <f>$AO$27</f>
        <v>2.1266800504384308E-2</v>
      </c>
      <c r="E48" s="23"/>
      <c r="F48" s="23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</row>
    <row r="49" spans="2:20" ht="19.5" customHeight="1" x14ac:dyDescent="0.25">
      <c r="B49" s="22"/>
      <c r="C49" s="78" t="s">
        <v>18</v>
      </c>
      <c r="D49" s="79">
        <f>$AQ$27</f>
        <v>2.1819113760931645E-2</v>
      </c>
      <c r="E49" s="23"/>
      <c r="F49" s="23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</row>
    <row r="50" spans="2:20" ht="19.5" customHeight="1" x14ac:dyDescent="0.25">
      <c r="B50" s="22"/>
      <c r="C50" s="78" t="s">
        <v>19</v>
      </c>
      <c r="D50" s="79">
        <f>$AS$27</f>
        <v>2.2891913547462089E-2</v>
      </c>
      <c r="E50" s="23"/>
      <c r="F50" s="23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</row>
    <row r="51" spans="2:20" ht="19.5" customHeight="1" x14ac:dyDescent="0.25">
      <c r="B51" s="22"/>
      <c r="C51" s="78" t="s">
        <v>20</v>
      </c>
      <c r="D51" s="79">
        <f>$AU$27</f>
        <v>2.2891913547462089E-2</v>
      </c>
      <c r="E51" s="23"/>
      <c r="F51" s="23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</row>
    <row r="52" spans="2:20" ht="19.5" customHeight="1" x14ac:dyDescent="0.25">
      <c r="B52" s="22"/>
      <c r="C52" s="78" t="s">
        <v>21</v>
      </c>
      <c r="D52" s="79">
        <f>$AW$27</f>
        <v>2.2891913547462089E-2</v>
      </c>
      <c r="E52" s="23"/>
      <c r="F52" s="23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</row>
    <row r="53" spans="2:20" ht="19.5" customHeight="1" x14ac:dyDescent="0.25">
      <c r="B53" s="22"/>
      <c r="C53" s="78" t="s">
        <v>22</v>
      </c>
      <c r="D53" s="79">
        <f>$AY$27</f>
        <v>2.2891913547462089E-2</v>
      </c>
      <c r="E53" s="23"/>
      <c r="F53" s="23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</row>
    <row r="54" spans="2:20" ht="19.5" customHeight="1" x14ac:dyDescent="0.25">
      <c r="B54" s="22"/>
      <c r="C54" s="78" t="s">
        <v>23</v>
      </c>
      <c r="D54" s="79">
        <f>$BA$27</f>
        <v>2.2891913547462089E-2</v>
      </c>
      <c r="E54" s="23"/>
      <c r="F54" s="23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</row>
    <row r="55" spans="2:20" ht="19.5" customHeight="1" x14ac:dyDescent="0.25">
      <c r="B55" s="22"/>
      <c r="C55" s="78" t="s">
        <v>24</v>
      </c>
      <c r="D55" s="79">
        <f>$BC$27</f>
        <v>2.2891913547462089E-2</v>
      </c>
      <c r="E55" s="23"/>
      <c r="F55" s="23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</row>
    <row r="56" spans="2:20" ht="19.5" customHeight="1" x14ac:dyDescent="0.25">
      <c r="B56" s="22"/>
      <c r="C56" s="78" t="s">
        <v>25</v>
      </c>
      <c r="D56" s="79">
        <f>$BE$27</f>
        <v>2.2891913547462089E-2</v>
      </c>
      <c r="E56" s="23"/>
      <c r="F56" s="23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</row>
    <row r="57" spans="2:20" ht="19.5" customHeight="1" x14ac:dyDescent="0.25">
      <c r="B57" s="22"/>
      <c r="C57" s="78" t="s">
        <v>26</v>
      </c>
      <c r="D57" s="79">
        <f>$BG$27</f>
        <v>2.2891913547462089E-2</v>
      </c>
      <c r="E57" s="23"/>
      <c r="F57" s="23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</row>
    <row r="58" spans="2:20" ht="19.5" customHeight="1" x14ac:dyDescent="0.25">
      <c r="B58" s="22"/>
      <c r="C58" s="78" t="s">
        <v>27</v>
      </c>
      <c r="D58" s="79">
        <f>$BI$27</f>
        <v>2.2891913547462089E-2</v>
      </c>
      <c r="E58" s="23"/>
      <c r="F58" s="23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</row>
    <row r="59" spans="2:20" ht="19.5" customHeight="1" x14ac:dyDescent="0.25">
      <c r="B59" s="22"/>
      <c r="C59" s="78" t="s">
        <v>28</v>
      </c>
      <c r="D59" s="79">
        <f>$BK$27</f>
        <v>2.2891913547462089E-2</v>
      </c>
      <c r="E59" s="23"/>
      <c r="F59" s="23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</row>
    <row r="60" spans="2:20" ht="19.5" customHeight="1" x14ac:dyDescent="0.25">
      <c r="B60" s="22"/>
      <c r="C60" s="78" t="s">
        <v>29</v>
      </c>
      <c r="D60" s="79">
        <f>$BM$27</f>
        <v>2.2891913547462089E-2</v>
      </c>
      <c r="E60" s="23"/>
      <c r="F60" s="23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</row>
    <row r="61" spans="2:20" ht="19.5" customHeight="1" x14ac:dyDescent="0.25">
      <c r="B61" s="22"/>
      <c r="C61" s="78" t="s">
        <v>30</v>
      </c>
      <c r="D61" s="79">
        <f>$BO$27</f>
        <v>2.2891913547462089E-2</v>
      </c>
      <c r="E61" s="23"/>
      <c r="F61" s="23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</row>
    <row r="62" spans="2:20" ht="19.5" customHeight="1" x14ac:dyDescent="0.25">
      <c r="B62" s="22"/>
      <c r="C62" s="78" t="s">
        <v>31</v>
      </c>
      <c r="D62" s="79">
        <f>$BQ$27</f>
        <v>2.2891913547462089E-2</v>
      </c>
      <c r="E62" s="23"/>
      <c r="F62" s="23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</row>
    <row r="63" spans="2:20" ht="19.5" customHeight="1" x14ac:dyDescent="0.25">
      <c r="B63" s="22"/>
      <c r="C63" s="78" t="s">
        <v>32</v>
      </c>
      <c r="D63" s="79">
        <f>$BS$27</f>
        <v>2.2891913547462089E-2</v>
      </c>
      <c r="E63" s="23"/>
      <c r="F63" s="23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</row>
    <row r="64" spans="2:20" ht="19.5" customHeight="1" x14ac:dyDescent="0.25">
      <c r="B64" s="22"/>
      <c r="C64" s="78" t="s">
        <v>33</v>
      </c>
      <c r="D64" s="79">
        <f>$BU$27</f>
        <v>1.7227841429229899E-2</v>
      </c>
      <c r="E64" s="23"/>
      <c r="F64" s="23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</row>
    <row r="65" spans="2:20" ht="19.5" customHeight="1" x14ac:dyDescent="0.25">
      <c r="B65" s="22"/>
      <c r="C65" s="78" t="s">
        <v>34</v>
      </c>
      <c r="D65" s="79">
        <f>$BW$27</f>
        <v>1.7227841429229899E-2</v>
      </c>
      <c r="E65" s="23"/>
      <c r="F65" s="23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</row>
    <row r="66" spans="2:20" ht="19.5" customHeight="1" x14ac:dyDescent="0.25">
      <c r="B66" s="22"/>
      <c r="C66" s="78" t="s">
        <v>35</v>
      </c>
      <c r="D66" s="79">
        <f>$BY$27</f>
        <v>1.7227841429229899E-2</v>
      </c>
      <c r="E66" s="23"/>
      <c r="F66" s="23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</row>
    <row r="67" spans="2:20" ht="19.5" customHeight="1" x14ac:dyDescent="0.25">
      <c r="B67" s="22"/>
      <c r="C67" s="78" t="s">
        <v>36</v>
      </c>
      <c r="D67" s="79">
        <f>$CA$27</f>
        <v>1.8383482751547039E-2</v>
      </c>
      <c r="E67" s="23"/>
      <c r="F67" s="23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</row>
    <row r="68" spans="2:20" ht="19.5" customHeight="1" x14ac:dyDescent="0.25">
      <c r="B68" s="22"/>
      <c r="C68" s="78" t="s">
        <v>37</v>
      </c>
      <c r="D68" s="79">
        <f>$CC$27</f>
        <v>1.8383482751547039E-2</v>
      </c>
      <c r="E68" s="23"/>
      <c r="F68" s="23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</row>
    <row r="69" spans="2:20" ht="19.5" customHeight="1" x14ac:dyDescent="0.25">
      <c r="B69" s="22"/>
      <c r="C69" s="78" t="s">
        <v>38</v>
      </c>
      <c r="D69" s="79">
        <f>$CE$27</f>
        <v>2.1495765328384195E-2</v>
      </c>
      <c r="E69" s="23"/>
      <c r="F69" s="23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</row>
    <row r="70" spans="2:20" ht="19.5" customHeight="1" x14ac:dyDescent="0.25">
      <c r="B70" s="22"/>
      <c r="C70" s="78" t="s">
        <v>39</v>
      </c>
      <c r="D70" s="79">
        <f>$CG$27</f>
        <v>2.1495765328384195E-2</v>
      </c>
      <c r="E70" s="23"/>
      <c r="F70" s="23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</row>
    <row r="71" spans="2:20" ht="19.5" customHeight="1" x14ac:dyDescent="0.25">
      <c r="B71" s="22"/>
      <c r="C71" s="78" t="s">
        <v>40</v>
      </c>
      <c r="D71" s="79">
        <f>$CI$27</f>
        <v>1.9532976722057383E-2</v>
      </c>
      <c r="E71" s="23"/>
      <c r="F71" s="23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</row>
    <row r="72" spans="2:20" ht="19.5" customHeight="1" x14ac:dyDescent="0.25">
      <c r="B72" s="22"/>
      <c r="C72" s="78" t="s">
        <v>77</v>
      </c>
      <c r="D72" s="79">
        <f>$CK$27</f>
        <v>1.8998894495242839E-2</v>
      </c>
      <c r="E72" s="23"/>
      <c r="F72" s="23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</row>
    <row r="73" spans="2:20" ht="19.5" customHeight="1" x14ac:dyDescent="0.25">
      <c r="B73" s="22"/>
      <c r="C73" s="78" t="s">
        <v>78</v>
      </c>
      <c r="D73" s="79">
        <f>$CM$27</f>
        <v>1.8998894495242839E-2</v>
      </c>
      <c r="E73" s="23"/>
      <c r="F73" s="23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</row>
    <row r="74" spans="2:20" ht="19.5" customHeight="1" x14ac:dyDescent="0.25">
      <c r="B74" s="22"/>
      <c r="C74" s="78" t="s">
        <v>79</v>
      </c>
      <c r="D74" s="79">
        <f>$CO$27</f>
        <v>1.8998894495242839E-2</v>
      </c>
      <c r="E74" s="23"/>
      <c r="F74" s="23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</row>
    <row r="75" spans="2:20" ht="19.5" customHeight="1" x14ac:dyDescent="0.25">
      <c r="B75" s="22"/>
      <c r="C75" s="78" t="s">
        <v>80</v>
      </c>
      <c r="D75" s="79">
        <f>$CQ$27</f>
        <v>2.3077715122917095E-2</v>
      </c>
      <c r="E75" s="23"/>
      <c r="F75" s="23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</row>
    <row r="76" spans="2:20" ht="19.5" customHeight="1" x14ac:dyDescent="0.25">
      <c r="B76" s="22"/>
      <c r="C76" s="78" t="s">
        <v>81</v>
      </c>
      <c r="D76" s="79">
        <f>$CS$27</f>
        <v>2.3077715122917095E-2</v>
      </c>
      <c r="E76" s="23"/>
      <c r="F76" s="23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</row>
    <row r="77" spans="2:20" ht="19.5" customHeight="1" x14ac:dyDescent="0.25">
      <c r="B77" s="22"/>
      <c r="C77" s="78" t="s">
        <v>82</v>
      </c>
      <c r="D77" s="79">
        <f>$CU$27</f>
        <v>2.3077715122917095E-2</v>
      </c>
      <c r="E77" s="23"/>
      <c r="F77" s="23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</row>
    <row r="78" spans="2:20" ht="19.5" customHeight="1" x14ac:dyDescent="0.25">
      <c r="B78" s="22"/>
      <c r="C78" s="78" t="s">
        <v>83</v>
      </c>
      <c r="D78" s="79">
        <f>$CW$27</f>
        <v>2.3077715122917095E-2</v>
      </c>
      <c r="E78" s="23"/>
      <c r="F78" s="23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</row>
    <row r="79" spans="2:20" ht="19.5" customHeight="1" x14ac:dyDescent="0.25">
      <c r="B79" s="22"/>
      <c r="C79" s="78" t="s">
        <v>84</v>
      </c>
      <c r="D79" s="79">
        <f>$CY$27</f>
        <v>2.3077715122917095E-2</v>
      </c>
      <c r="E79" s="23"/>
      <c r="F79" s="23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</row>
    <row r="80" spans="2:20" ht="19.5" customHeight="1" x14ac:dyDescent="0.25">
      <c r="B80" s="22"/>
      <c r="C80" s="78" t="s">
        <v>85</v>
      </c>
      <c r="D80" s="79">
        <f>$DA$27</f>
        <v>1.9923644384719535E-2</v>
      </c>
      <c r="E80" s="23"/>
      <c r="F80" s="23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</row>
    <row r="81" spans="2:20" ht="19.5" customHeight="1" x14ac:dyDescent="0.25">
      <c r="B81" s="22"/>
      <c r="C81" s="78" t="s">
        <v>86</v>
      </c>
      <c r="D81" s="79">
        <f>$DC$27</f>
        <v>1.2270128970104422E-2</v>
      </c>
      <c r="E81" s="23"/>
      <c r="F81" s="23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</row>
    <row r="82" spans="2:20" ht="19.5" customHeight="1" x14ac:dyDescent="0.25">
      <c r="B82" s="22"/>
      <c r="C82" s="78" t="s">
        <v>87</v>
      </c>
      <c r="D82" s="79">
        <f>$DE$27</f>
        <v>1.0795408007672889E-2</v>
      </c>
      <c r="E82" s="23"/>
      <c r="F82" s="23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</row>
    <row r="83" spans="2:20" ht="19.5" customHeight="1" x14ac:dyDescent="0.25">
      <c r="B83" s="22"/>
      <c r="C83" s="78" t="s">
        <v>88</v>
      </c>
      <c r="D83" s="79">
        <f>$DG$27</f>
        <v>7.4906021638689825E-3</v>
      </c>
      <c r="E83" s="23"/>
      <c r="F83" s="23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</row>
    <row r="84" spans="2:20" ht="19.5" customHeight="1" x14ac:dyDescent="0.25">
      <c r="B84" s="22"/>
      <c r="C84" s="78" t="s">
        <v>89</v>
      </c>
      <c r="D84" s="79">
        <f>$DI$27</f>
        <v>6.4178023773385417E-3</v>
      </c>
      <c r="E84" s="23"/>
      <c r="F84" s="23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</row>
    <row r="85" spans="2:20" ht="19.5" customHeight="1" x14ac:dyDescent="0.25">
      <c r="B85" s="22"/>
      <c r="C85" s="78" t="s">
        <v>90</v>
      </c>
      <c r="D85" s="79">
        <f>$DK$27</f>
        <v>6.4178023773385417E-3</v>
      </c>
      <c r="E85" s="23"/>
      <c r="F85" s="23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</row>
    <row r="86" spans="2:20" ht="19.5" customHeight="1" x14ac:dyDescent="0.25">
      <c r="B86" s="22"/>
      <c r="C86" s="78" t="s">
        <v>91</v>
      </c>
      <c r="D86" s="79"/>
      <c r="E86" s="23"/>
      <c r="F86" s="23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</row>
    <row r="87" spans="2:20" ht="19.5" customHeight="1" x14ac:dyDescent="0.25">
      <c r="B87" s="22"/>
      <c r="C87" s="78" t="s">
        <v>92</v>
      </c>
      <c r="D87" s="79"/>
      <c r="E87" s="23"/>
      <c r="F87" s="23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</row>
    <row r="88" spans="2:20" ht="19.5" customHeight="1" x14ac:dyDescent="0.25">
      <c r="B88" s="22"/>
      <c r="C88" s="78" t="s">
        <v>93</v>
      </c>
      <c r="D88" s="79"/>
      <c r="E88" s="23"/>
      <c r="F88" s="23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</row>
    <row r="89" spans="2:20" ht="19.5" customHeight="1" x14ac:dyDescent="0.25">
      <c r="B89" s="22"/>
      <c r="C89" s="78" t="s">
        <v>94</v>
      </c>
      <c r="D89" s="79"/>
      <c r="E89" s="23"/>
      <c r="F89" s="23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</row>
    <row r="90" spans="2:20" ht="19.5" customHeight="1" x14ac:dyDescent="0.25">
      <c r="B90" s="22"/>
      <c r="C90" s="78" t="s">
        <v>95</v>
      </c>
      <c r="D90" s="79"/>
      <c r="E90" s="23"/>
      <c r="F90" s="23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</row>
    <row r="91" spans="2:20" ht="19.5" customHeight="1" x14ac:dyDescent="0.25">
      <c r="B91" s="22"/>
      <c r="C91" s="78" t="s">
        <v>96</v>
      </c>
      <c r="D91" s="79"/>
      <c r="E91" s="23"/>
      <c r="F91" s="23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</row>
    <row r="92" spans="2:20" ht="19.5" customHeight="1" x14ac:dyDescent="0.25">
      <c r="B92" s="22"/>
      <c r="C92" s="78" t="s">
        <v>97</v>
      </c>
      <c r="D92" s="79"/>
      <c r="E92" s="23"/>
      <c r="F92" s="23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</row>
    <row r="93" spans="2:20" ht="19.5" customHeight="1" x14ac:dyDescent="0.25">
      <c r="B93" s="22"/>
      <c r="C93" s="78" t="s">
        <v>98</v>
      </c>
      <c r="D93" s="79"/>
      <c r="E93" s="23"/>
      <c r="F93" s="23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</row>
    <row r="94" spans="2:20" ht="19.5" customHeight="1" x14ac:dyDescent="0.25">
      <c r="B94" s="22"/>
      <c r="C94" s="78" t="s">
        <v>99</v>
      </c>
      <c r="D94" s="79"/>
      <c r="E94" s="23"/>
      <c r="F94" s="23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</row>
    <row r="95" spans="2:20" ht="19.5" customHeight="1" x14ac:dyDescent="0.25">
      <c r="B95" s="22"/>
      <c r="C95" s="78" t="s">
        <v>101</v>
      </c>
      <c r="D95" s="79"/>
      <c r="E95" s="23"/>
      <c r="F95" s="23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</row>
    <row r="96" spans="2:20" ht="19.5" customHeight="1" thickBot="1" x14ac:dyDescent="0.3">
      <c r="B96" s="22"/>
      <c r="C96" s="78" t="s">
        <v>102</v>
      </c>
      <c r="D96" s="80"/>
      <c r="E96" s="23"/>
      <c r="F96" s="23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</row>
    <row r="97" spans="2:20" ht="19.5" customHeight="1" x14ac:dyDescent="0.25">
      <c r="B97" s="22"/>
      <c r="C97" s="22"/>
      <c r="D97" s="23"/>
      <c r="E97" s="23"/>
      <c r="F97" s="23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</row>
    <row r="98" spans="2:20" ht="19.5" customHeight="1" x14ac:dyDescent="0.25">
      <c r="B98" s="22"/>
      <c r="C98" s="22"/>
      <c r="D98" s="23"/>
      <c r="E98" s="23"/>
      <c r="F98" s="23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</row>
    <row r="99" spans="2:20" ht="19.5" customHeight="1" x14ac:dyDescent="0.25">
      <c r="B99" s="22"/>
      <c r="C99" s="22"/>
      <c r="D99" s="23"/>
      <c r="E99" s="23"/>
      <c r="F99" s="23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</row>
    <row r="100" spans="2:20" ht="19.5" customHeight="1" x14ac:dyDescent="0.25">
      <c r="B100" s="22"/>
      <c r="C100" s="22"/>
      <c r="D100" s="23"/>
      <c r="E100" s="23"/>
      <c r="F100" s="23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</row>
    <row r="101" spans="2:20" ht="19.5" customHeight="1" x14ac:dyDescent="0.25">
      <c r="B101" s="22"/>
      <c r="C101" s="22"/>
      <c r="D101" s="23"/>
      <c r="E101" s="23"/>
      <c r="F101" s="23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</row>
    <row r="102" spans="2:20" ht="19.5" customHeight="1" x14ac:dyDescent="0.25">
      <c r="B102" s="22"/>
      <c r="C102" s="22"/>
      <c r="D102" s="23"/>
      <c r="E102" s="23"/>
      <c r="F102" s="23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</row>
    <row r="103" spans="2:20" ht="19.5" customHeight="1" x14ac:dyDescent="0.25">
      <c r="B103" s="22"/>
      <c r="C103" s="22"/>
      <c r="D103" s="23"/>
      <c r="E103" s="23"/>
      <c r="F103" s="23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</row>
    <row r="104" spans="2:20" ht="19.5" customHeight="1" x14ac:dyDescent="0.25">
      <c r="B104" s="22"/>
      <c r="C104" s="22"/>
      <c r="D104" s="23"/>
      <c r="E104" s="23"/>
      <c r="F104" s="23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</row>
    <row r="105" spans="2:20" ht="19.5" customHeight="1" x14ac:dyDescent="0.25">
      <c r="B105" s="22"/>
      <c r="C105" s="22"/>
      <c r="D105" s="23"/>
      <c r="E105" s="23"/>
      <c r="F105" s="23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</row>
    <row r="106" spans="2:20" ht="19.5" customHeight="1" x14ac:dyDescent="0.25">
      <c r="B106" s="22"/>
      <c r="C106" s="22"/>
      <c r="D106" s="23"/>
      <c r="E106" s="23"/>
      <c r="F106" s="23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</row>
    <row r="107" spans="2:20" ht="19.5" customHeight="1" x14ac:dyDescent="0.25">
      <c r="B107" s="22"/>
      <c r="C107" s="22"/>
      <c r="D107" s="23"/>
      <c r="E107" s="23"/>
      <c r="F107" s="23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</row>
    <row r="108" spans="2:20" ht="19.5" customHeight="1" x14ac:dyDescent="0.25">
      <c r="B108" s="22"/>
      <c r="C108" s="22"/>
      <c r="D108" s="23"/>
      <c r="E108" s="23"/>
      <c r="F108" s="23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</row>
    <row r="109" spans="2:20" ht="19.5" customHeight="1" x14ac:dyDescent="0.25">
      <c r="B109" s="22"/>
      <c r="C109" s="22"/>
      <c r="D109" s="23"/>
      <c r="E109" s="23"/>
      <c r="F109" s="23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</row>
    <row r="110" spans="2:20" ht="19.5" customHeight="1" x14ac:dyDescent="0.25">
      <c r="B110" s="22"/>
      <c r="C110" s="22"/>
      <c r="D110" s="23"/>
      <c r="E110" s="23"/>
      <c r="F110" s="23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</row>
    <row r="111" spans="2:20" ht="19.5" customHeight="1" x14ac:dyDescent="0.25">
      <c r="B111" s="22"/>
      <c r="C111" s="22"/>
      <c r="D111" s="23"/>
      <c r="E111" s="23"/>
      <c r="F111" s="23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</row>
    <row r="112" spans="2:20" ht="19.5" customHeight="1" x14ac:dyDescent="0.25">
      <c r="B112" s="22"/>
      <c r="C112" s="22"/>
      <c r="D112" s="23"/>
      <c r="E112" s="23"/>
      <c r="F112" s="23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</row>
    <row r="113" spans="2:20" ht="19.5" customHeight="1" x14ac:dyDescent="0.25">
      <c r="B113" s="22"/>
      <c r="C113" s="22"/>
      <c r="D113" s="23"/>
      <c r="E113" s="23"/>
      <c r="F113" s="23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</row>
    <row r="114" spans="2:20" ht="19.5" customHeight="1" x14ac:dyDescent="0.25">
      <c r="B114" s="22"/>
      <c r="C114" s="22"/>
      <c r="D114" s="23"/>
      <c r="E114" s="23"/>
      <c r="F114" s="23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</row>
    <row r="115" spans="2:20" ht="19.5" customHeight="1" x14ac:dyDescent="0.25">
      <c r="B115" s="22"/>
      <c r="C115" s="22"/>
      <c r="D115" s="23"/>
      <c r="E115" s="23"/>
      <c r="F115" s="23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</row>
    <row r="116" spans="2:20" ht="19.5" customHeight="1" x14ac:dyDescent="0.25">
      <c r="B116" s="22"/>
      <c r="C116" s="22"/>
      <c r="D116" s="23"/>
      <c r="E116" s="23"/>
      <c r="F116" s="23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</row>
    <row r="117" spans="2:20" ht="19.5" customHeight="1" x14ac:dyDescent="0.25">
      <c r="B117" s="22"/>
      <c r="C117" s="22"/>
      <c r="D117" s="23"/>
      <c r="E117" s="23"/>
      <c r="F117" s="23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</row>
    <row r="118" spans="2:20" ht="19.5" customHeight="1" x14ac:dyDescent="0.25">
      <c r="B118" s="22"/>
      <c r="C118" s="22"/>
      <c r="D118" s="23"/>
      <c r="E118" s="23"/>
      <c r="F118" s="23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</row>
    <row r="119" spans="2:20" ht="19.5" customHeight="1" x14ac:dyDescent="0.25">
      <c r="B119" s="22"/>
      <c r="C119" s="22"/>
      <c r="D119" s="23"/>
      <c r="E119" s="23"/>
      <c r="F119" s="23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</row>
    <row r="120" spans="2:20" ht="19.5" customHeight="1" x14ac:dyDescent="0.25">
      <c r="B120" s="22"/>
      <c r="C120" s="22"/>
      <c r="D120" s="23"/>
      <c r="E120" s="23"/>
      <c r="F120" s="23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</row>
    <row r="121" spans="2:20" ht="19.5" customHeight="1" x14ac:dyDescent="0.25">
      <c r="B121" s="22"/>
      <c r="C121" s="22"/>
      <c r="D121" s="23"/>
      <c r="E121" s="23"/>
      <c r="F121" s="23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</row>
    <row r="122" spans="2:20" ht="19.5" customHeight="1" x14ac:dyDescent="0.25">
      <c r="B122" s="22"/>
      <c r="C122" s="22"/>
      <c r="D122" s="23"/>
      <c r="E122" s="23"/>
      <c r="F122" s="23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</row>
    <row r="123" spans="2:20" ht="19.5" customHeight="1" x14ac:dyDescent="0.25">
      <c r="B123" s="22"/>
      <c r="C123" s="22"/>
      <c r="D123" s="23"/>
      <c r="E123" s="23"/>
      <c r="F123" s="23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</row>
    <row r="124" spans="2:20" ht="19.5" customHeight="1" x14ac:dyDescent="0.25">
      <c r="B124" s="22"/>
      <c r="C124" s="22"/>
      <c r="D124" s="23"/>
      <c r="E124" s="23"/>
      <c r="F124" s="23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</row>
    <row r="125" spans="2:20" ht="19.5" customHeight="1" x14ac:dyDescent="0.25">
      <c r="B125" s="22"/>
      <c r="C125" s="22"/>
      <c r="D125" s="23"/>
      <c r="E125" s="23"/>
      <c r="F125" s="23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</row>
    <row r="126" spans="2:20" ht="19.5" customHeight="1" x14ac:dyDescent="0.25">
      <c r="B126" s="22"/>
      <c r="C126" s="22"/>
      <c r="D126" s="23"/>
      <c r="E126" s="23"/>
      <c r="F126" s="23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</row>
    <row r="127" spans="2:20" ht="19.5" customHeight="1" x14ac:dyDescent="0.25">
      <c r="B127" s="22"/>
      <c r="C127" s="22"/>
      <c r="D127" s="23"/>
      <c r="E127" s="23"/>
      <c r="F127" s="23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</row>
    <row r="128" spans="2:20" ht="19.5" customHeight="1" x14ac:dyDescent="0.25">
      <c r="B128" s="22"/>
      <c r="C128" s="22"/>
      <c r="D128" s="23"/>
      <c r="E128" s="23"/>
      <c r="F128" s="23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</row>
    <row r="129" spans="2:20" ht="19.5" customHeight="1" x14ac:dyDescent="0.25">
      <c r="B129" s="22"/>
      <c r="C129" s="22"/>
      <c r="D129" s="23"/>
      <c r="E129" s="23"/>
      <c r="F129" s="23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</row>
    <row r="130" spans="2:20" ht="19.5" customHeight="1" x14ac:dyDescent="0.25">
      <c r="B130" s="22"/>
      <c r="C130" s="22"/>
      <c r="D130" s="23"/>
      <c r="E130" s="23"/>
      <c r="F130" s="23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</row>
    <row r="131" spans="2:20" ht="19.5" customHeight="1" x14ac:dyDescent="0.25">
      <c r="B131" s="22"/>
      <c r="C131" s="22"/>
      <c r="D131" s="23"/>
      <c r="E131" s="23"/>
      <c r="F131" s="23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</row>
    <row r="132" spans="2:20" ht="19.5" customHeight="1" x14ac:dyDescent="0.25">
      <c r="B132" s="22"/>
      <c r="C132" s="22"/>
      <c r="D132" s="23"/>
      <c r="E132" s="23"/>
      <c r="F132" s="23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</row>
    <row r="133" spans="2:20" ht="19.5" customHeight="1" x14ac:dyDescent="0.25">
      <c r="B133" s="22"/>
      <c r="C133" s="22"/>
      <c r="D133" s="23"/>
      <c r="E133" s="23"/>
      <c r="F133" s="23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</row>
    <row r="134" spans="2:20" ht="19.5" customHeight="1" x14ac:dyDescent="0.25">
      <c r="B134" s="22"/>
      <c r="C134" s="22"/>
      <c r="D134" s="23"/>
      <c r="E134" s="23"/>
      <c r="F134" s="23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</row>
    <row r="135" spans="2:20" ht="19.5" customHeight="1" x14ac:dyDescent="0.25">
      <c r="B135" s="22"/>
      <c r="C135" s="22"/>
      <c r="D135" s="23"/>
      <c r="E135" s="23"/>
      <c r="F135" s="23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</row>
    <row r="136" spans="2:20" ht="19.5" customHeight="1" x14ac:dyDescent="0.25">
      <c r="B136" s="22"/>
      <c r="C136" s="22"/>
      <c r="D136" s="23"/>
      <c r="E136" s="23"/>
      <c r="F136" s="23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</row>
    <row r="137" spans="2:20" ht="19.5" customHeight="1" x14ac:dyDescent="0.25">
      <c r="B137" s="22"/>
      <c r="C137" s="22"/>
      <c r="D137" s="23"/>
      <c r="E137" s="23"/>
      <c r="F137" s="23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</row>
    <row r="138" spans="2:20" ht="19.5" customHeight="1" x14ac:dyDescent="0.25">
      <c r="B138" s="22"/>
      <c r="C138" s="22"/>
      <c r="D138" s="23"/>
      <c r="E138" s="23"/>
      <c r="F138" s="23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</row>
    <row r="139" spans="2:20" ht="19.5" customHeight="1" x14ac:dyDescent="0.25">
      <c r="B139" s="22"/>
      <c r="C139" s="22"/>
      <c r="D139" s="23"/>
      <c r="E139" s="23"/>
      <c r="F139" s="23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</row>
    <row r="140" spans="2:20" ht="19.5" customHeight="1" x14ac:dyDescent="0.25">
      <c r="B140" s="22"/>
      <c r="C140" s="22"/>
      <c r="D140" s="23"/>
      <c r="E140" s="23"/>
      <c r="F140" s="23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</row>
    <row r="141" spans="2:20" ht="19.5" customHeight="1" x14ac:dyDescent="0.25">
      <c r="B141" s="22"/>
      <c r="C141" s="22"/>
      <c r="D141" s="23"/>
      <c r="E141" s="23"/>
      <c r="F141" s="23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</row>
    <row r="142" spans="2:20" ht="19.5" customHeight="1" x14ac:dyDescent="0.25">
      <c r="B142" s="22"/>
      <c r="C142" s="22"/>
      <c r="D142" s="23"/>
      <c r="E142" s="23"/>
      <c r="F142" s="23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</row>
    <row r="143" spans="2:20" ht="19.5" customHeight="1" x14ac:dyDescent="0.25">
      <c r="B143" s="22"/>
      <c r="C143" s="22"/>
      <c r="D143" s="23"/>
      <c r="E143" s="23"/>
      <c r="F143" s="23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</row>
    <row r="144" spans="2:20" ht="19.5" customHeight="1" x14ac:dyDescent="0.25">
      <c r="B144" s="22"/>
      <c r="C144" s="22"/>
      <c r="D144" s="23"/>
      <c r="E144" s="23"/>
      <c r="F144" s="23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</row>
    <row r="145" spans="2:20" ht="19.5" customHeight="1" x14ac:dyDescent="0.25">
      <c r="B145" s="22"/>
      <c r="C145" s="22"/>
      <c r="D145" s="23"/>
      <c r="E145" s="23"/>
      <c r="F145" s="23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</row>
    <row r="146" spans="2:20" ht="19.5" customHeight="1" x14ac:dyDescent="0.25">
      <c r="B146" s="22"/>
      <c r="C146" s="22"/>
      <c r="D146" s="23"/>
      <c r="E146" s="23"/>
      <c r="F146" s="23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</row>
    <row r="147" spans="2:20" ht="19.5" customHeight="1" x14ac:dyDescent="0.25">
      <c r="B147" s="22"/>
      <c r="C147" s="22"/>
      <c r="D147" s="23"/>
      <c r="E147" s="23"/>
      <c r="F147" s="23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</row>
    <row r="148" spans="2:20" ht="19.5" customHeight="1" x14ac:dyDescent="0.25">
      <c r="B148" s="22"/>
      <c r="C148" s="22"/>
      <c r="D148" s="23"/>
      <c r="E148" s="23"/>
      <c r="F148" s="23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</row>
    <row r="149" spans="2:20" ht="19.5" customHeight="1" x14ac:dyDescent="0.25">
      <c r="B149" s="22"/>
      <c r="C149" s="22"/>
      <c r="D149" s="23"/>
      <c r="E149" s="23"/>
      <c r="F149" s="23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</row>
    <row r="150" spans="2:20" ht="19.5" customHeight="1" x14ac:dyDescent="0.25">
      <c r="B150" s="22"/>
      <c r="C150" s="22"/>
      <c r="D150" s="23"/>
      <c r="E150" s="23"/>
      <c r="F150" s="23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</row>
    <row r="151" spans="2:20" ht="19.5" customHeight="1" x14ac:dyDescent="0.25">
      <c r="B151" s="22"/>
      <c r="C151" s="22"/>
      <c r="D151" s="23"/>
      <c r="E151" s="23"/>
      <c r="F151" s="23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</row>
    <row r="152" spans="2:20" ht="19.5" customHeight="1" x14ac:dyDescent="0.25">
      <c r="B152" s="22"/>
      <c r="C152" s="22"/>
      <c r="D152" s="23"/>
      <c r="E152" s="23"/>
      <c r="F152" s="23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</row>
    <row r="153" spans="2:20" ht="19.5" customHeight="1" x14ac:dyDescent="0.25">
      <c r="B153" s="22"/>
      <c r="C153" s="22"/>
      <c r="D153" s="23"/>
      <c r="E153" s="23"/>
      <c r="F153" s="23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</row>
    <row r="154" spans="2:20" ht="19.5" customHeight="1" x14ac:dyDescent="0.25">
      <c r="B154" s="22"/>
      <c r="C154" s="22"/>
      <c r="D154" s="23"/>
      <c r="E154" s="23"/>
      <c r="F154" s="23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</row>
    <row r="155" spans="2:20" ht="19.5" customHeight="1" x14ac:dyDescent="0.25">
      <c r="B155" s="22"/>
      <c r="C155" s="22"/>
      <c r="D155" s="23"/>
      <c r="E155" s="23"/>
      <c r="F155" s="23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</row>
    <row r="156" spans="2:20" ht="19.5" customHeight="1" x14ac:dyDescent="0.25">
      <c r="B156" s="22"/>
      <c r="C156" s="22"/>
      <c r="D156" s="23"/>
      <c r="E156" s="23"/>
      <c r="F156" s="23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</row>
    <row r="157" spans="2:20" ht="19.5" customHeight="1" x14ac:dyDescent="0.25">
      <c r="B157" s="22"/>
      <c r="C157" s="22"/>
      <c r="D157" s="23"/>
      <c r="E157" s="23"/>
      <c r="F157" s="23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</row>
    <row r="158" spans="2:20" ht="19.5" customHeight="1" x14ac:dyDescent="0.25">
      <c r="B158" s="22"/>
      <c r="C158" s="22"/>
      <c r="D158" s="23"/>
      <c r="E158" s="23"/>
      <c r="F158" s="23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</row>
    <row r="159" spans="2:20" ht="19.5" customHeight="1" x14ac:dyDescent="0.25">
      <c r="B159" s="22"/>
      <c r="C159" s="22"/>
      <c r="D159" s="23"/>
      <c r="E159" s="23"/>
      <c r="F159" s="23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</row>
    <row r="160" spans="2:20" ht="19.5" customHeight="1" x14ac:dyDescent="0.25">
      <c r="B160" s="22"/>
      <c r="C160" s="22"/>
      <c r="D160" s="23"/>
      <c r="E160" s="23"/>
      <c r="F160" s="23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</row>
    <row r="161" spans="2:20" ht="19.5" customHeight="1" x14ac:dyDescent="0.25">
      <c r="B161" s="22"/>
      <c r="C161" s="22"/>
      <c r="D161" s="23"/>
      <c r="E161" s="23"/>
      <c r="F161" s="23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</row>
    <row r="162" spans="2:20" ht="19.5" customHeight="1" x14ac:dyDescent="0.25">
      <c r="B162" s="22"/>
      <c r="C162" s="22"/>
      <c r="D162" s="23"/>
      <c r="E162" s="23"/>
      <c r="F162" s="23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</row>
    <row r="163" spans="2:20" ht="19.5" customHeight="1" x14ac:dyDescent="0.25">
      <c r="B163" s="22"/>
      <c r="C163" s="22"/>
      <c r="D163" s="23"/>
      <c r="E163" s="23"/>
      <c r="F163" s="23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</row>
    <row r="164" spans="2:20" ht="19.5" customHeight="1" x14ac:dyDescent="0.25">
      <c r="B164" s="22"/>
      <c r="C164" s="22"/>
      <c r="D164" s="23"/>
      <c r="E164" s="23"/>
      <c r="F164" s="23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</row>
    <row r="165" spans="2:20" ht="19.5" customHeight="1" x14ac:dyDescent="0.25">
      <c r="B165" s="22"/>
      <c r="C165" s="22"/>
      <c r="D165" s="23"/>
      <c r="E165" s="23"/>
      <c r="F165" s="23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</row>
    <row r="166" spans="2:20" ht="19.5" customHeight="1" x14ac:dyDescent="0.25">
      <c r="B166" s="22"/>
      <c r="C166" s="22"/>
      <c r="D166" s="23"/>
      <c r="E166" s="23"/>
      <c r="F166" s="23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</row>
    <row r="167" spans="2:20" ht="19.5" customHeight="1" x14ac:dyDescent="0.25">
      <c r="B167" s="22"/>
      <c r="C167" s="22"/>
      <c r="D167" s="23"/>
      <c r="E167" s="23"/>
      <c r="F167" s="23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</row>
    <row r="168" spans="2:20" ht="19.5" customHeight="1" x14ac:dyDescent="0.25">
      <c r="B168" s="22"/>
      <c r="C168" s="22"/>
      <c r="D168" s="23"/>
      <c r="E168" s="23"/>
      <c r="F168" s="23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</row>
    <row r="169" spans="2:20" ht="19.5" customHeight="1" x14ac:dyDescent="0.25">
      <c r="B169" s="22"/>
      <c r="C169" s="22"/>
      <c r="D169" s="23"/>
      <c r="E169" s="23"/>
      <c r="F169" s="23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</row>
    <row r="170" spans="2:20" ht="19.5" customHeight="1" x14ac:dyDescent="0.25">
      <c r="B170" s="22"/>
      <c r="C170" s="22"/>
      <c r="D170" s="23"/>
      <c r="E170" s="23"/>
      <c r="F170" s="23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</row>
    <row r="171" spans="2:20" ht="19.5" customHeight="1" x14ac:dyDescent="0.25">
      <c r="B171" s="22"/>
      <c r="C171" s="22"/>
      <c r="D171" s="23"/>
      <c r="E171" s="23"/>
      <c r="F171" s="23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</row>
    <row r="172" spans="2:20" ht="19.5" customHeight="1" x14ac:dyDescent="0.25">
      <c r="B172" s="22"/>
      <c r="C172" s="22"/>
      <c r="D172" s="23"/>
      <c r="E172" s="23"/>
      <c r="F172" s="23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</row>
    <row r="173" spans="2:20" ht="19.5" customHeight="1" x14ac:dyDescent="0.25">
      <c r="B173" s="22"/>
      <c r="C173" s="22"/>
      <c r="D173" s="23"/>
      <c r="E173" s="23"/>
      <c r="F173" s="23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</row>
    <row r="174" spans="2:20" ht="19.5" customHeight="1" x14ac:dyDescent="0.25">
      <c r="B174" s="22"/>
      <c r="C174" s="22"/>
      <c r="D174" s="23"/>
      <c r="E174" s="23"/>
      <c r="F174" s="23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</row>
    <row r="175" spans="2:20" ht="19.5" customHeight="1" x14ac:dyDescent="0.25">
      <c r="B175" s="22"/>
      <c r="C175" s="22"/>
      <c r="D175" s="23"/>
      <c r="E175" s="23"/>
      <c r="F175" s="23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</row>
    <row r="176" spans="2:20" ht="19.5" customHeight="1" x14ac:dyDescent="0.25">
      <c r="B176" s="22"/>
      <c r="C176" s="22"/>
      <c r="D176" s="23"/>
      <c r="E176" s="23"/>
      <c r="F176" s="23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</row>
    <row r="177" spans="2:20" ht="19.5" customHeight="1" x14ac:dyDescent="0.25">
      <c r="B177" s="22"/>
      <c r="C177" s="22"/>
      <c r="D177" s="23"/>
      <c r="E177" s="23"/>
      <c r="F177" s="23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</row>
    <row r="178" spans="2:20" ht="19.5" customHeight="1" x14ac:dyDescent="0.25">
      <c r="B178" s="22"/>
      <c r="C178" s="22"/>
      <c r="D178" s="23"/>
      <c r="E178" s="23"/>
      <c r="F178" s="23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</row>
    <row r="179" spans="2:20" ht="19.5" customHeight="1" x14ac:dyDescent="0.25">
      <c r="B179" s="22"/>
      <c r="C179" s="22"/>
      <c r="D179" s="23"/>
      <c r="E179" s="23"/>
      <c r="F179" s="23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</row>
    <row r="180" spans="2:20" ht="19.5" customHeight="1" x14ac:dyDescent="0.25">
      <c r="B180" s="22"/>
      <c r="C180" s="22"/>
      <c r="D180" s="23"/>
      <c r="E180" s="23"/>
      <c r="F180" s="23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</row>
    <row r="181" spans="2:20" ht="19.5" customHeight="1" x14ac:dyDescent="0.25">
      <c r="B181" s="22"/>
      <c r="C181" s="22"/>
      <c r="D181" s="23"/>
      <c r="E181" s="23"/>
      <c r="F181" s="23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</row>
    <row r="182" spans="2:20" ht="19.5" customHeight="1" x14ac:dyDescent="0.25">
      <c r="B182" s="22"/>
      <c r="C182" s="22"/>
      <c r="D182" s="23"/>
      <c r="E182" s="23"/>
      <c r="F182" s="23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</row>
    <row r="183" spans="2:20" ht="19.5" customHeight="1" x14ac:dyDescent="0.25">
      <c r="B183" s="22"/>
      <c r="C183" s="22"/>
      <c r="D183" s="23"/>
      <c r="E183" s="23"/>
      <c r="F183" s="23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</row>
    <row r="184" spans="2:20" ht="19.5" customHeight="1" x14ac:dyDescent="0.25">
      <c r="B184" s="22"/>
      <c r="C184" s="22"/>
      <c r="D184" s="23"/>
      <c r="E184" s="23"/>
      <c r="F184" s="23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</row>
    <row r="185" spans="2:20" ht="19.5" customHeight="1" x14ac:dyDescent="0.25">
      <c r="B185" s="22"/>
      <c r="C185" s="22"/>
      <c r="D185" s="23"/>
      <c r="E185" s="23"/>
      <c r="F185" s="23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</row>
    <row r="186" spans="2:20" ht="19.5" customHeight="1" x14ac:dyDescent="0.25">
      <c r="B186" s="22"/>
      <c r="C186" s="22"/>
      <c r="D186" s="23"/>
      <c r="E186" s="23"/>
      <c r="F186" s="23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</row>
    <row r="187" spans="2:20" ht="19.5" customHeight="1" x14ac:dyDescent="0.25">
      <c r="B187" s="22"/>
      <c r="C187" s="22"/>
      <c r="D187" s="23"/>
      <c r="E187" s="23"/>
      <c r="F187" s="23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</row>
    <row r="188" spans="2:20" ht="19.5" customHeight="1" x14ac:dyDescent="0.25">
      <c r="B188" s="22"/>
      <c r="C188" s="22"/>
      <c r="D188" s="23"/>
      <c r="E188" s="23"/>
      <c r="F188" s="23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</row>
    <row r="189" spans="2:20" ht="19.5" customHeight="1" x14ac:dyDescent="0.25">
      <c r="B189" s="22"/>
      <c r="C189" s="22"/>
      <c r="D189" s="23"/>
      <c r="E189" s="23"/>
      <c r="F189" s="23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</row>
    <row r="190" spans="2:20" ht="19.5" customHeight="1" x14ac:dyDescent="0.25">
      <c r="B190" s="22"/>
      <c r="C190" s="22"/>
      <c r="D190" s="23"/>
      <c r="E190" s="23"/>
      <c r="F190" s="23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</row>
    <row r="191" spans="2:20" ht="19.5" customHeight="1" x14ac:dyDescent="0.25">
      <c r="B191" s="22"/>
      <c r="C191" s="22"/>
      <c r="D191" s="23"/>
      <c r="E191" s="23"/>
      <c r="F191" s="23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</row>
    <row r="192" spans="2:20" ht="19.5" customHeight="1" x14ac:dyDescent="0.25">
      <c r="B192" s="22"/>
      <c r="C192" s="22"/>
      <c r="D192" s="23"/>
      <c r="E192" s="23"/>
      <c r="F192" s="23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</row>
    <row r="193" spans="2:20" ht="19.5" customHeight="1" x14ac:dyDescent="0.25">
      <c r="B193" s="22"/>
      <c r="C193" s="22"/>
      <c r="D193" s="23"/>
      <c r="E193" s="23"/>
      <c r="F193" s="23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</row>
    <row r="194" spans="2:20" ht="19.5" customHeight="1" x14ac:dyDescent="0.25">
      <c r="B194" s="22"/>
      <c r="C194" s="22"/>
      <c r="D194" s="23"/>
      <c r="E194" s="23"/>
      <c r="F194" s="23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</row>
    <row r="195" spans="2:20" ht="19.5" customHeight="1" x14ac:dyDescent="0.25">
      <c r="B195" s="22"/>
      <c r="C195" s="22"/>
      <c r="D195" s="23"/>
      <c r="E195" s="23"/>
      <c r="F195" s="23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</row>
    <row r="196" spans="2:20" ht="19.5" customHeight="1" x14ac:dyDescent="0.25">
      <c r="B196" s="22"/>
      <c r="C196" s="22"/>
      <c r="D196" s="23"/>
      <c r="E196" s="23"/>
      <c r="F196" s="23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</row>
    <row r="197" spans="2:20" ht="19.5" customHeight="1" x14ac:dyDescent="0.25">
      <c r="B197" s="22"/>
      <c r="C197" s="22"/>
      <c r="D197" s="23"/>
      <c r="E197" s="23"/>
      <c r="F197" s="23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</row>
    <row r="198" spans="2:20" ht="19.5" customHeight="1" x14ac:dyDescent="0.25">
      <c r="B198" s="22"/>
      <c r="C198" s="22"/>
      <c r="D198" s="23"/>
      <c r="E198" s="23"/>
      <c r="F198" s="23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</row>
    <row r="199" spans="2:20" ht="19.5" customHeight="1" x14ac:dyDescent="0.25">
      <c r="B199" s="22"/>
      <c r="C199" s="22"/>
      <c r="D199" s="23"/>
      <c r="E199" s="23"/>
      <c r="F199" s="23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</row>
    <row r="200" spans="2:20" ht="19.5" customHeight="1" x14ac:dyDescent="0.25">
      <c r="B200" s="22"/>
      <c r="C200" s="22"/>
      <c r="D200" s="23"/>
      <c r="E200" s="23"/>
      <c r="F200" s="23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</row>
    <row r="201" spans="2:20" ht="19.5" customHeight="1" x14ac:dyDescent="0.25">
      <c r="B201" s="22"/>
      <c r="C201" s="22"/>
      <c r="D201" s="23"/>
      <c r="E201" s="23"/>
      <c r="F201" s="23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</row>
    <row r="202" spans="2:20" ht="19.5" customHeight="1" x14ac:dyDescent="0.25">
      <c r="B202" s="22"/>
      <c r="C202" s="22"/>
      <c r="D202" s="23"/>
      <c r="E202" s="23"/>
      <c r="F202" s="23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</row>
    <row r="203" spans="2:20" ht="19.5" customHeight="1" x14ac:dyDescent="0.25">
      <c r="B203" s="22"/>
      <c r="C203" s="22"/>
      <c r="D203" s="23"/>
      <c r="E203" s="23"/>
      <c r="F203" s="23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</row>
    <row r="204" spans="2:20" ht="19.5" customHeight="1" x14ac:dyDescent="0.25">
      <c r="B204" s="22"/>
      <c r="C204" s="22"/>
      <c r="D204" s="23"/>
      <c r="E204" s="23"/>
      <c r="F204" s="23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</row>
    <row r="205" spans="2:20" ht="19.5" customHeight="1" x14ac:dyDescent="0.25">
      <c r="B205" s="22"/>
      <c r="C205" s="22"/>
      <c r="D205" s="23"/>
      <c r="E205" s="23"/>
      <c r="F205" s="23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</row>
    <row r="206" spans="2:20" ht="19.5" customHeight="1" x14ac:dyDescent="0.25">
      <c r="B206" s="22"/>
      <c r="C206" s="22"/>
      <c r="D206" s="23"/>
      <c r="E206" s="23"/>
      <c r="F206" s="23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</row>
    <row r="207" spans="2:20" ht="19.5" customHeight="1" x14ac:dyDescent="0.25">
      <c r="B207" s="22"/>
      <c r="C207" s="22"/>
      <c r="D207" s="23"/>
      <c r="E207" s="23"/>
      <c r="F207" s="23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</row>
    <row r="208" spans="2:20" ht="19.5" customHeight="1" x14ac:dyDescent="0.25">
      <c r="B208" s="22"/>
      <c r="C208" s="22"/>
      <c r="D208" s="23"/>
      <c r="E208" s="23"/>
      <c r="F208" s="23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</row>
    <row r="209" spans="2:20" ht="19.5" customHeight="1" x14ac:dyDescent="0.25">
      <c r="B209" s="22"/>
      <c r="C209" s="22"/>
      <c r="D209" s="23"/>
      <c r="E209" s="23"/>
      <c r="F209" s="23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</row>
    <row r="210" spans="2:20" ht="19.5" customHeight="1" x14ac:dyDescent="0.25">
      <c r="B210" s="22"/>
      <c r="C210" s="22"/>
      <c r="D210" s="23"/>
      <c r="E210" s="23"/>
      <c r="F210" s="23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</row>
    <row r="211" spans="2:20" ht="19.5" customHeight="1" x14ac:dyDescent="0.25">
      <c r="B211" s="22"/>
      <c r="C211" s="22"/>
      <c r="D211" s="23"/>
      <c r="E211" s="23"/>
      <c r="F211" s="23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</row>
    <row r="212" spans="2:20" ht="19.5" customHeight="1" x14ac:dyDescent="0.25">
      <c r="B212" s="22"/>
      <c r="C212" s="22"/>
      <c r="D212" s="23"/>
      <c r="E212" s="23"/>
      <c r="F212" s="23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</row>
    <row r="213" spans="2:20" ht="19.5" customHeight="1" x14ac:dyDescent="0.25">
      <c r="B213" s="22"/>
      <c r="C213" s="22"/>
      <c r="D213" s="23"/>
      <c r="E213" s="23"/>
      <c r="F213" s="23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</row>
    <row r="214" spans="2:20" ht="19.5" customHeight="1" x14ac:dyDescent="0.25">
      <c r="B214" s="22"/>
      <c r="C214" s="22"/>
      <c r="D214" s="23"/>
      <c r="E214" s="23"/>
      <c r="F214" s="23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</row>
    <row r="215" spans="2:20" ht="19.5" customHeight="1" x14ac:dyDescent="0.25">
      <c r="B215" s="22"/>
      <c r="C215" s="22"/>
      <c r="D215" s="23"/>
      <c r="E215" s="23"/>
      <c r="F215" s="23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</row>
    <row r="216" spans="2:20" ht="19.5" customHeight="1" x14ac:dyDescent="0.25">
      <c r="B216" s="22"/>
      <c r="C216" s="22"/>
      <c r="D216" s="23"/>
      <c r="E216" s="23"/>
      <c r="F216" s="23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</row>
    <row r="217" spans="2:20" ht="19.5" customHeight="1" x14ac:dyDescent="0.25">
      <c r="B217" s="22"/>
      <c r="C217" s="22"/>
      <c r="D217" s="23"/>
      <c r="E217" s="23"/>
      <c r="F217" s="23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</row>
    <row r="218" spans="2:20" ht="19.5" customHeight="1" x14ac:dyDescent="0.25">
      <c r="B218" s="22"/>
      <c r="C218" s="22"/>
      <c r="D218" s="23"/>
      <c r="E218" s="23"/>
      <c r="F218" s="23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</row>
    <row r="219" spans="2:20" ht="19.5" customHeight="1" x14ac:dyDescent="0.25">
      <c r="B219" s="22"/>
      <c r="C219" s="22"/>
      <c r="D219" s="23"/>
      <c r="E219" s="23"/>
      <c r="F219" s="23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</row>
    <row r="220" spans="2:20" ht="19.5" customHeight="1" x14ac:dyDescent="0.25">
      <c r="B220" s="22"/>
      <c r="C220" s="22"/>
      <c r="D220" s="23"/>
      <c r="E220" s="23"/>
      <c r="F220" s="23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</row>
    <row r="221" spans="2:20" ht="19.5" customHeight="1" x14ac:dyDescent="0.25">
      <c r="B221" s="22"/>
      <c r="C221" s="22"/>
      <c r="D221" s="23"/>
      <c r="E221" s="23"/>
      <c r="F221" s="23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</row>
    <row r="222" spans="2:20" ht="19.5" customHeight="1" x14ac:dyDescent="0.25">
      <c r="B222" s="22"/>
      <c r="C222" s="22"/>
      <c r="D222" s="23"/>
      <c r="E222" s="23"/>
      <c r="F222" s="23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</row>
    <row r="223" spans="2:20" ht="19.5" customHeight="1" x14ac:dyDescent="0.25">
      <c r="B223" s="22"/>
      <c r="C223" s="22"/>
      <c r="D223" s="23"/>
      <c r="E223" s="23"/>
      <c r="F223" s="23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</row>
    <row r="224" spans="2:20" ht="19.5" customHeight="1" x14ac:dyDescent="0.25">
      <c r="B224" s="22"/>
      <c r="C224" s="22"/>
      <c r="D224" s="23"/>
      <c r="E224" s="23"/>
      <c r="F224" s="23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</row>
    <row r="225" spans="2:20" ht="19.5" customHeight="1" x14ac:dyDescent="0.25">
      <c r="B225" s="22"/>
      <c r="C225" s="22"/>
      <c r="D225" s="23"/>
      <c r="E225" s="23"/>
      <c r="F225" s="23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</row>
    <row r="226" spans="2:20" ht="19.5" customHeight="1" x14ac:dyDescent="0.25">
      <c r="B226" s="22"/>
      <c r="C226" s="22"/>
      <c r="D226" s="23"/>
      <c r="E226" s="23"/>
      <c r="F226" s="23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</row>
    <row r="227" spans="2:20" ht="19.5" customHeight="1" x14ac:dyDescent="0.25">
      <c r="B227" s="22"/>
      <c r="C227" s="22"/>
      <c r="D227" s="23"/>
      <c r="E227" s="23"/>
      <c r="F227" s="23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</row>
    <row r="228" spans="2:20" ht="19.5" customHeight="1" x14ac:dyDescent="0.25">
      <c r="B228" s="22"/>
      <c r="C228" s="22"/>
      <c r="D228" s="23"/>
      <c r="E228" s="23"/>
      <c r="F228" s="23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</row>
    <row r="229" spans="2:20" ht="19.5" customHeight="1" x14ac:dyDescent="0.25">
      <c r="B229" s="22"/>
      <c r="C229" s="22"/>
      <c r="D229" s="23"/>
      <c r="E229" s="23"/>
      <c r="F229" s="23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</row>
    <row r="230" spans="2:20" ht="19.5" customHeight="1" x14ac:dyDescent="0.25">
      <c r="B230" s="22"/>
      <c r="C230" s="22"/>
      <c r="D230" s="23"/>
      <c r="E230" s="23"/>
      <c r="F230" s="23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</row>
    <row r="231" spans="2:20" ht="19.5" customHeight="1" x14ac:dyDescent="0.25">
      <c r="B231" s="22"/>
      <c r="C231" s="22"/>
      <c r="D231" s="23"/>
      <c r="E231" s="23"/>
      <c r="F231" s="23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</row>
    <row r="232" spans="2:20" ht="19.5" customHeight="1" x14ac:dyDescent="0.25">
      <c r="B232" s="22"/>
      <c r="C232" s="22"/>
      <c r="D232" s="23"/>
      <c r="E232" s="23"/>
      <c r="F232" s="23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</row>
    <row r="233" spans="2:20" ht="19.5" customHeight="1" x14ac:dyDescent="0.25">
      <c r="B233" s="22"/>
      <c r="C233" s="22"/>
      <c r="D233" s="23"/>
      <c r="E233" s="23"/>
      <c r="F233" s="23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</row>
    <row r="234" spans="2:20" ht="19.5" customHeight="1" x14ac:dyDescent="0.25">
      <c r="B234" s="22"/>
      <c r="C234" s="22"/>
      <c r="D234" s="23"/>
      <c r="E234" s="23"/>
      <c r="F234" s="23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</row>
    <row r="235" spans="2:20" ht="19.5" customHeight="1" x14ac:dyDescent="0.25">
      <c r="B235" s="22"/>
      <c r="C235" s="22"/>
      <c r="D235" s="23"/>
      <c r="E235" s="23"/>
      <c r="F235" s="23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</row>
    <row r="236" spans="2:20" ht="19.5" customHeight="1" x14ac:dyDescent="0.25">
      <c r="B236" s="22"/>
      <c r="C236" s="22"/>
      <c r="D236" s="23"/>
      <c r="E236" s="23"/>
      <c r="F236" s="23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</row>
    <row r="237" spans="2:20" ht="19.5" customHeight="1" x14ac:dyDescent="0.25">
      <c r="B237" s="22"/>
      <c r="C237" s="22"/>
      <c r="D237" s="23"/>
      <c r="E237" s="23"/>
      <c r="F237" s="23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</row>
    <row r="238" spans="2:20" ht="19.5" customHeight="1" x14ac:dyDescent="0.25">
      <c r="B238" s="22"/>
      <c r="C238" s="22"/>
      <c r="D238" s="23"/>
      <c r="E238" s="23"/>
      <c r="F238" s="23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</row>
    <row r="239" spans="2:20" ht="19.5" customHeight="1" x14ac:dyDescent="0.25">
      <c r="B239" s="22"/>
      <c r="C239" s="22"/>
      <c r="D239" s="23"/>
      <c r="E239" s="23"/>
      <c r="F239" s="23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</row>
    <row r="240" spans="2:20" ht="19.5" customHeight="1" x14ac:dyDescent="0.25">
      <c r="B240" s="22"/>
      <c r="C240" s="22"/>
      <c r="D240" s="23"/>
      <c r="E240" s="23"/>
      <c r="F240" s="23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</row>
    <row r="241" spans="2:20" ht="19.5" customHeight="1" x14ac:dyDescent="0.25">
      <c r="B241" s="22"/>
      <c r="C241" s="22"/>
      <c r="D241" s="23"/>
      <c r="E241" s="23"/>
      <c r="F241" s="23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</row>
    <row r="242" spans="2:20" ht="19.5" customHeight="1" x14ac:dyDescent="0.25">
      <c r="B242" s="22"/>
      <c r="C242" s="22"/>
      <c r="D242" s="23"/>
      <c r="E242" s="23"/>
      <c r="F242" s="23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</row>
    <row r="243" spans="2:20" ht="19.5" customHeight="1" x14ac:dyDescent="0.25">
      <c r="B243" s="22"/>
      <c r="C243" s="22"/>
      <c r="D243" s="23"/>
      <c r="E243" s="23"/>
      <c r="F243" s="23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</row>
    <row r="244" spans="2:20" ht="19.5" customHeight="1" x14ac:dyDescent="0.25">
      <c r="B244" s="22"/>
      <c r="C244" s="22"/>
      <c r="D244" s="23"/>
      <c r="E244" s="23"/>
      <c r="F244" s="23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</row>
    <row r="245" spans="2:20" ht="19.5" customHeight="1" x14ac:dyDescent="0.25">
      <c r="B245" s="22"/>
      <c r="C245" s="22"/>
      <c r="D245" s="23"/>
      <c r="E245" s="23"/>
      <c r="F245" s="23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</row>
    <row r="246" spans="2:20" ht="19.5" customHeight="1" x14ac:dyDescent="0.25">
      <c r="B246" s="22"/>
      <c r="C246" s="22"/>
      <c r="D246" s="23"/>
      <c r="E246" s="23"/>
      <c r="F246" s="23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</row>
    <row r="247" spans="2:20" ht="19.5" customHeight="1" x14ac:dyDescent="0.25">
      <c r="B247" s="22"/>
      <c r="C247" s="22"/>
      <c r="D247" s="23"/>
      <c r="E247" s="23"/>
      <c r="F247" s="23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</row>
    <row r="248" spans="2:20" ht="19.5" customHeight="1" x14ac:dyDescent="0.25">
      <c r="B248" s="22"/>
      <c r="C248" s="22"/>
      <c r="D248" s="23"/>
      <c r="E248" s="23"/>
      <c r="F248" s="23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</row>
    <row r="249" spans="2:20" ht="19.5" customHeight="1" x14ac:dyDescent="0.25">
      <c r="B249" s="22"/>
      <c r="C249" s="22"/>
      <c r="D249" s="23"/>
      <c r="E249" s="23"/>
      <c r="F249" s="23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</row>
    <row r="250" spans="2:20" ht="19.5" customHeight="1" x14ac:dyDescent="0.25">
      <c r="B250" s="22"/>
      <c r="C250" s="22"/>
      <c r="D250" s="23"/>
      <c r="E250" s="23"/>
      <c r="F250" s="23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</row>
    <row r="251" spans="2:20" ht="19.5" customHeight="1" x14ac:dyDescent="0.25">
      <c r="B251" s="22"/>
      <c r="C251" s="22"/>
      <c r="D251" s="23"/>
      <c r="E251" s="23"/>
      <c r="F251" s="23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</row>
    <row r="252" spans="2:20" ht="19.5" customHeight="1" x14ac:dyDescent="0.25">
      <c r="B252" s="22"/>
      <c r="C252" s="22"/>
      <c r="D252" s="23"/>
      <c r="E252" s="23"/>
      <c r="F252" s="23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</row>
    <row r="253" spans="2:20" ht="19.5" customHeight="1" x14ac:dyDescent="0.25">
      <c r="B253" s="22"/>
      <c r="C253" s="22"/>
      <c r="D253" s="23"/>
      <c r="E253" s="23"/>
      <c r="F253" s="23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</row>
    <row r="254" spans="2:20" ht="19.5" customHeight="1" x14ac:dyDescent="0.25">
      <c r="B254" s="22"/>
      <c r="C254" s="22"/>
      <c r="D254" s="23"/>
      <c r="E254" s="23"/>
      <c r="F254" s="23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</row>
    <row r="255" spans="2:20" ht="19.5" customHeight="1" x14ac:dyDescent="0.25">
      <c r="B255" s="22"/>
      <c r="C255" s="22"/>
      <c r="D255" s="23"/>
      <c r="E255" s="23"/>
      <c r="F255" s="23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</row>
    <row r="256" spans="2:20" ht="19.5" customHeight="1" x14ac:dyDescent="0.25">
      <c r="B256" s="22"/>
      <c r="C256" s="22"/>
      <c r="D256" s="23"/>
      <c r="E256" s="23"/>
      <c r="F256" s="23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</row>
    <row r="257" spans="2:20" ht="19.5" customHeight="1" x14ac:dyDescent="0.25">
      <c r="B257" s="22"/>
      <c r="C257" s="22"/>
      <c r="D257" s="23"/>
      <c r="E257" s="23"/>
      <c r="F257" s="23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</row>
    <row r="258" spans="2:20" ht="19.5" customHeight="1" x14ac:dyDescent="0.25">
      <c r="B258" s="22"/>
      <c r="C258" s="22"/>
      <c r="D258" s="23"/>
      <c r="E258" s="23"/>
      <c r="F258" s="23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</row>
    <row r="259" spans="2:20" ht="19.5" customHeight="1" x14ac:dyDescent="0.25">
      <c r="B259" s="22"/>
      <c r="C259" s="22"/>
      <c r="D259" s="23"/>
      <c r="E259" s="23"/>
      <c r="F259" s="23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</row>
    <row r="260" spans="2:20" ht="19.5" customHeight="1" x14ac:dyDescent="0.25">
      <c r="B260" s="22"/>
      <c r="C260" s="22"/>
      <c r="D260" s="23"/>
      <c r="E260" s="23"/>
      <c r="F260" s="23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</row>
    <row r="261" spans="2:20" ht="19.5" customHeight="1" x14ac:dyDescent="0.25">
      <c r="B261" s="22"/>
      <c r="C261" s="22"/>
      <c r="D261" s="23"/>
      <c r="E261" s="23"/>
      <c r="F261" s="23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</row>
    <row r="262" spans="2:20" ht="19.5" customHeight="1" x14ac:dyDescent="0.25">
      <c r="B262" s="22"/>
      <c r="C262" s="22"/>
      <c r="D262" s="23"/>
      <c r="E262" s="23"/>
      <c r="F262" s="23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</row>
    <row r="263" spans="2:20" ht="19.5" customHeight="1" x14ac:dyDescent="0.25">
      <c r="B263" s="22"/>
      <c r="C263" s="22"/>
      <c r="D263" s="23"/>
      <c r="E263" s="23"/>
      <c r="F263" s="23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</row>
    <row r="264" spans="2:20" ht="19.5" customHeight="1" x14ac:dyDescent="0.25">
      <c r="B264" s="22"/>
      <c r="C264" s="22"/>
      <c r="D264" s="23"/>
      <c r="E264" s="23"/>
      <c r="F264" s="23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</row>
    <row r="265" spans="2:20" ht="19.5" customHeight="1" x14ac:dyDescent="0.25">
      <c r="B265" s="22"/>
      <c r="C265" s="22"/>
      <c r="D265" s="23"/>
      <c r="E265" s="23"/>
      <c r="F265" s="23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</row>
    <row r="266" spans="2:20" ht="19.5" customHeight="1" x14ac:dyDescent="0.25">
      <c r="B266" s="22"/>
      <c r="C266" s="22"/>
      <c r="D266" s="23"/>
      <c r="E266" s="23"/>
      <c r="F266" s="23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</row>
    <row r="267" spans="2:20" ht="19.5" customHeight="1" x14ac:dyDescent="0.25">
      <c r="B267" s="22"/>
      <c r="C267" s="22"/>
      <c r="D267" s="23"/>
      <c r="E267" s="23"/>
      <c r="F267" s="23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</row>
    <row r="268" spans="2:20" ht="19.5" customHeight="1" x14ac:dyDescent="0.25">
      <c r="B268" s="22"/>
      <c r="C268" s="22"/>
      <c r="D268" s="23"/>
      <c r="E268" s="23"/>
      <c r="F268" s="23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</row>
    <row r="269" spans="2:20" ht="19.5" customHeight="1" x14ac:dyDescent="0.25">
      <c r="B269" s="22"/>
      <c r="C269" s="22"/>
      <c r="D269" s="23"/>
      <c r="E269" s="23"/>
      <c r="F269" s="23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</row>
    <row r="270" spans="2:20" ht="19.5" customHeight="1" x14ac:dyDescent="0.25">
      <c r="B270" s="22"/>
      <c r="C270" s="22"/>
      <c r="D270" s="23"/>
      <c r="E270" s="23"/>
      <c r="F270" s="23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</row>
    <row r="271" spans="2:20" ht="19.5" customHeight="1" x14ac:dyDescent="0.25">
      <c r="B271" s="22"/>
      <c r="C271" s="22"/>
      <c r="D271" s="23"/>
      <c r="E271" s="23"/>
      <c r="F271" s="23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</row>
    <row r="272" spans="2:20" ht="19.5" customHeight="1" x14ac:dyDescent="0.25">
      <c r="B272" s="22"/>
      <c r="C272" s="22"/>
      <c r="D272" s="23"/>
      <c r="E272" s="23"/>
      <c r="F272" s="23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</row>
    <row r="273" spans="2:20" ht="19.5" customHeight="1" x14ac:dyDescent="0.25">
      <c r="B273" s="22"/>
      <c r="C273" s="22"/>
      <c r="D273" s="23"/>
      <c r="E273" s="23"/>
      <c r="F273" s="23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</row>
    <row r="274" spans="2:20" ht="19.5" customHeight="1" x14ac:dyDescent="0.25">
      <c r="B274" s="22"/>
      <c r="C274" s="22"/>
      <c r="D274" s="23"/>
      <c r="E274" s="23"/>
      <c r="F274" s="23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</row>
    <row r="275" spans="2:20" ht="19.5" customHeight="1" x14ac:dyDescent="0.25">
      <c r="B275" s="22"/>
      <c r="C275" s="22"/>
      <c r="D275" s="23"/>
      <c r="E275" s="23"/>
      <c r="F275" s="23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</row>
    <row r="276" spans="2:20" ht="19.5" customHeight="1" x14ac:dyDescent="0.25">
      <c r="B276" s="22"/>
      <c r="C276" s="22"/>
      <c r="D276" s="23"/>
      <c r="E276" s="23"/>
      <c r="F276" s="23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</row>
    <row r="277" spans="2:20" ht="19.5" customHeight="1" x14ac:dyDescent="0.25">
      <c r="B277" s="22"/>
      <c r="C277" s="22"/>
      <c r="D277" s="23"/>
      <c r="E277" s="23"/>
      <c r="F277" s="23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</row>
    <row r="278" spans="2:20" ht="19.5" customHeight="1" x14ac:dyDescent="0.25">
      <c r="B278" s="22"/>
      <c r="C278" s="22"/>
      <c r="D278" s="23"/>
      <c r="E278" s="23"/>
      <c r="F278" s="23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</row>
    <row r="279" spans="2:20" ht="19.5" customHeight="1" x14ac:dyDescent="0.25">
      <c r="B279" s="22"/>
      <c r="C279" s="22"/>
      <c r="D279" s="23"/>
      <c r="E279" s="23"/>
      <c r="F279" s="23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</row>
    <row r="280" spans="2:20" ht="19.5" customHeight="1" x14ac:dyDescent="0.25">
      <c r="B280" s="22"/>
      <c r="C280" s="22"/>
      <c r="D280" s="23"/>
      <c r="E280" s="23"/>
      <c r="F280" s="23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</row>
    <row r="281" spans="2:20" ht="19.5" customHeight="1" x14ac:dyDescent="0.25">
      <c r="B281" s="22"/>
      <c r="C281" s="22"/>
      <c r="D281" s="23"/>
      <c r="E281" s="23"/>
      <c r="F281" s="23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</row>
    <row r="282" spans="2:20" ht="19.5" customHeight="1" x14ac:dyDescent="0.25">
      <c r="B282" s="22"/>
      <c r="C282" s="22"/>
      <c r="D282" s="23"/>
      <c r="E282" s="23"/>
      <c r="F282" s="23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</row>
    <row r="283" spans="2:20" ht="19.5" customHeight="1" x14ac:dyDescent="0.25">
      <c r="B283" s="22"/>
      <c r="C283" s="22"/>
      <c r="D283" s="23"/>
      <c r="E283" s="23"/>
      <c r="F283" s="23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</row>
    <row r="284" spans="2:20" ht="19.5" customHeight="1" x14ac:dyDescent="0.25">
      <c r="B284" s="22"/>
      <c r="C284" s="22"/>
      <c r="D284" s="23"/>
      <c r="E284" s="23"/>
      <c r="F284" s="23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</row>
    <row r="285" spans="2:20" ht="19.5" customHeight="1" x14ac:dyDescent="0.25">
      <c r="B285" s="22"/>
      <c r="C285" s="22"/>
      <c r="D285" s="23"/>
      <c r="E285" s="23"/>
      <c r="F285" s="23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</row>
    <row r="286" spans="2:20" ht="19.5" customHeight="1" x14ac:dyDescent="0.25">
      <c r="B286" s="22"/>
      <c r="C286" s="22"/>
      <c r="D286" s="23"/>
      <c r="E286" s="23"/>
      <c r="F286" s="23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</row>
    <row r="287" spans="2:20" ht="19.5" customHeight="1" x14ac:dyDescent="0.25">
      <c r="B287" s="22"/>
      <c r="C287" s="22"/>
      <c r="D287" s="23"/>
      <c r="E287" s="23"/>
      <c r="F287" s="23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</row>
    <row r="288" spans="2:20" ht="19.5" customHeight="1" x14ac:dyDescent="0.25">
      <c r="B288" s="22"/>
      <c r="C288" s="22"/>
      <c r="D288" s="23"/>
      <c r="E288" s="23"/>
      <c r="F288" s="23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</row>
    <row r="289" spans="2:20" ht="19.5" customHeight="1" x14ac:dyDescent="0.25">
      <c r="B289" s="22"/>
      <c r="C289" s="22"/>
      <c r="D289" s="23"/>
      <c r="E289" s="23"/>
      <c r="F289" s="23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</row>
    <row r="290" spans="2:20" ht="19.5" customHeight="1" x14ac:dyDescent="0.25">
      <c r="B290" s="22"/>
      <c r="C290" s="22"/>
      <c r="D290" s="23"/>
      <c r="E290" s="23"/>
      <c r="F290" s="23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</row>
    <row r="291" spans="2:20" ht="19.5" customHeight="1" x14ac:dyDescent="0.25">
      <c r="B291" s="22"/>
      <c r="C291" s="22"/>
      <c r="D291" s="23"/>
      <c r="E291" s="23"/>
      <c r="F291" s="23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</row>
    <row r="292" spans="2:20" ht="19.5" customHeight="1" x14ac:dyDescent="0.25">
      <c r="B292" s="22"/>
      <c r="C292" s="22"/>
      <c r="D292" s="23"/>
      <c r="E292" s="23"/>
      <c r="F292" s="23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</row>
    <row r="293" spans="2:20" ht="19.5" customHeight="1" x14ac:dyDescent="0.25">
      <c r="B293" s="22"/>
      <c r="C293" s="22"/>
      <c r="D293" s="23"/>
      <c r="E293" s="23"/>
      <c r="F293" s="23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</row>
    <row r="294" spans="2:20" ht="19.5" customHeight="1" x14ac:dyDescent="0.25">
      <c r="B294" s="22"/>
      <c r="C294" s="22"/>
      <c r="D294" s="23"/>
      <c r="E294" s="23"/>
      <c r="F294" s="23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</row>
    <row r="295" spans="2:20" ht="19.5" customHeight="1" x14ac:dyDescent="0.25">
      <c r="B295" s="22"/>
      <c r="C295" s="22"/>
      <c r="D295" s="23"/>
      <c r="E295" s="23"/>
      <c r="F295" s="23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</row>
    <row r="296" spans="2:20" ht="19.5" customHeight="1" x14ac:dyDescent="0.25">
      <c r="B296" s="22"/>
      <c r="C296" s="22"/>
      <c r="D296" s="23"/>
      <c r="E296" s="23"/>
      <c r="F296" s="23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</row>
    <row r="297" spans="2:20" ht="19.5" customHeight="1" x14ac:dyDescent="0.25">
      <c r="B297" s="22"/>
      <c r="C297" s="22"/>
      <c r="D297" s="23"/>
      <c r="E297" s="23"/>
      <c r="F297" s="23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</row>
    <row r="298" spans="2:20" ht="19.5" customHeight="1" x14ac:dyDescent="0.25">
      <c r="B298" s="22"/>
      <c r="C298" s="22"/>
      <c r="D298" s="23"/>
      <c r="E298" s="23"/>
      <c r="F298" s="23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</row>
    <row r="299" spans="2:20" ht="19.5" customHeight="1" x14ac:dyDescent="0.25">
      <c r="B299" s="22"/>
      <c r="C299" s="22"/>
      <c r="D299" s="23"/>
      <c r="E299" s="23"/>
      <c r="F299" s="23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</row>
    <row r="300" spans="2:20" ht="19.5" customHeight="1" x14ac:dyDescent="0.25">
      <c r="B300" s="22"/>
      <c r="C300" s="22"/>
      <c r="D300" s="23"/>
      <c r="E300" s="23"/>
      <c r="F300" s="23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</row>
    <row r="301" spans="2:20" ht="19.5" customHeight="1" x14ac:dyDescent="0.25">
      <c r="B301" s="22"/>
      <c r="C301" s="22"/>
      <c r="D301" s="23"/>
      <c r="E301" s="23"/>
      <c r="F301" s="23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</row>
    <row r="302" spans="2:20" ht="19.5" customHeight="1" x14ac:dyDescent="0.25">
      <c r="B302" s="22"/>
      <c r="C302" s="22"/>
      <c r="D302" s="23"/>
      <c r="E302" s="23"/>
      <c r="F302" s="23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</row>
    <row r="303" spans="2:20" ht="19.5" customHeight="1" x14ac:dyDescent="0.25">
      <c r="B303" s="22"/>
      <c r="C303" s="22"/>
      <c r="D303" s="23"/>
      <c r="E303" s="23"/>
      <c r="F303" s="23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</row>
    <row r="304" spans="2:20" ht="19.5" customHeight="1" x14ac:dyDescent="0.25">
      <c r="B304" s="22"/>
      <c r="C304" s="22"/>
      <c r="D304" s="23"/>
      <c r="E304" s="23"/>
      <c r="F304" s="23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</row>
    <row r="305" spans="2:20" ht="19.5" customHeight="1" x14ac:dyDescent="0.25">
      <c r="B305" s="22"/>
      <c r="C305" s="22"/>
      <c r="D305" s="23"/>
      <c r="E305" s="23"/>
      <c r="F305" s="23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</row>
    <row r="306" spans="2:20" ht="19.5" customHeight="1" x14ac:dyDescent="0.25">
      <c r="B306" s="22"/>
      <c r="C306" s="22"/>
      <c r="D306" s="23"/>
      <c r="E306" s="23"/>
      <c r="F306" s="23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</row>
    <row r="307" spans="2:20" ht="19.5" customHeight="1" x14ac:dyDescent="0.25">
      <c r="B307" s="22"/>
      <c r="C307" s="22"/>
      <c r="D307" s="23"/>
      <c r="E307" s="23"/>
      <c r="F307" s="23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</row>
    <row r="308" spans="2:20" ht="19.5" customHeight="1" x14ac:dyDescent="0.25">
      <c r="B308" s="22"/>
      <c r="C308" s="22"/>
      <c r="D308" s="23"/>
      <c r="E308" s="23"/>
      <c r="F308" s="23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</row>
    <row r="309" spans="2:20" ht="19.5" customHeight="1" x14ac:dyDescent="0.25">
      <c r="B309" s="22"/>
      <c r="C309" s="22"/>
      <c r="D309" s="23"/>
      <c r="E309" s="23"/>
      <c r="F309" s="23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</row>
    <row r="310" spans="2:20" ht="19.5" customHeight="1" x14ac:dyDescent="0.25">
      <c r="B310" s="22"/>
      <c r="C310" s="22"/>
      <c r="D310" s="23"/>
      <c r="E310" s="23"/>
      <c r="F310" s="23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</row>
    <row r="311" spans="2:20" ht="19.5" customHeight="1" x14ac:dyDescent="0.25">
      <c r="B311" s="22"/>
      <c r="C311" s="22"/>
      <c r="D311" s="23"/>
      <c r="E311" s="23"/>
      <c r="F311" s="23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</row>
    <row r="312" spans="2:20" ht="19.5" customHeight="1" x14ac:dyDescent="0.25">
      <c r="B312" s="22"/>
      <c r="C312" s="22"/>
      <c r="D312" s="23"/>
      <c r="E312" s="23"/>
      <c r="F312" s="23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</row>
    <row r="313" spans="2:20" ht="19.5" customHeight="1" x14ac:dyDescent="0.25">
      <c r="B313" s="22"/>
      <c r="C313" s="22"/>
      <c r="D313" s="23"/>
      <c r="E313" s="23"/>
      <c r="F313" s="23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</row>
    <row r="314" spans="2:20" ht="19.5" customHeight="1" x14ac:dyDescent="0.25">
      <c r="B314" s="22"/>
      <c r="C314" s="22"/>
      <c r="D314" s="23"/>
      <c r="E314" s="23"/>
      <c r="F314" s="23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</row>
    <row r="315" spans="2:20" ht="19.5" customHeight="1" x14ac:dyDescent="0.25">
      <c r="B315" s="22"/>
      <c r="C315" s="22"/>
      <c r="D315" s="23"/>
      <c r="E315" s="23"/>
      <c r="F315" s="23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</row>
    <row r="316" spans="2:20" ht="19.5" customHeight="1" x14ac:dyDescent="0.25">
      <c r="B316" s="22"/>
      <c r="C316" s="22"/>
      <c r="D316" s="23"/>
      <c r="E316" s="23"/>
      <c r="F316" s="23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</row>
    <row r="317" spans="2:20" ht="19.5" customHeight="1" x14ac:dyDescent="0.25">
      <c r="B317" s="22"/>
      <c r="C317" s="22"/>
      <c r="D317" s="23"/>
      <c r="E317" s="23"/>
      <c r="F317" s="23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</row>
    <row r="318" spans="2:20" ht="19.5" customHeight="1" x14ac:dyDescent="0.25">
      <c r="B318" s="22"/>
      <c r="C318" s="22"/>
      <c r="D318" s="23"/>
      <c r="E318" s="23"/>
      <c r="F318" s="23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</row>
    <row r="319" spans="2:20" ht="19.5" customHeight="1" x14ac:dyDescent="0.25">
      <c r="B319" s="22"/>
      <c r="C319" s="22"/>
      <c r="D319" s="23"/>
      <c r="E319" s="23"/>
      <c r="F319" s="23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</row>
    <row r="320" spans="2:20" ht="19.5" customHeight="1" x14ac:dyDescent="0.25">
      <c r="B320" s="22"/>
      <c r="C320" s="22"/>
      <c r="D320" s="23"/>
      <c r="E320" s="23"/>
      <c r="F320" s="23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</row>
    <row r="321" spans="2:20" ht="19.5" customHeight="1" x14ac:dyDescent="0.25">
      <c r="B321" s="22"/>
      <c r="C321" s="22"/>
      <c r="D321" s="23"/>
      <c r="E321" s="23"/>
      <c r="F321" s="23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</row>
    <row r="322" spans="2:20" ht="19.5" customHeight="1" x14ac:dyDescent="0.25">
      <c r="B322" s="22"/>
      <c r="C322" s="22"/>
      <c r="D322" s="23"/>
      <c r="E322" s="23"/>
      <c r="F322" s="23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</row>
    <row r="323" spans="2:20" ht="19.5" customHeight="1" x14ac:dyDescent="0.25">
      <c r="B323" s="22"/>
      <c r="C323" s="22"/>
      <c r="D323" s="23"/>
      <c r="E323" s="23"/>
      <c r="F323" s="23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</row>
    <row r="324" spans="2:20" ht="19.5" customHeight="1" x14ac:dyDescent="0.25">
      <c r="B324" s="22"/>
      <c r="C324" s="22"/>
      <c r="D324" s="23"/>
      <c r="E324" s="23"/>
      <c r="F324" s="23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</row>
    <row r="325" spans="2:20" ht="19.5" customHeight="1" x14ac:dyDescent="0.25">
      <c r="B325" s="22"/>
      <c r="C325" s="22"/>
      <c r="D325" s="23"/>
      <c r="E325" s="23"/>
      <c r="F325" s="23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</row>
    <row r="326" spans="2:20" ht="19.5" customHeight="1" x14ac:dyDescent="0.25">
      <c r="B326" s="22"/>
      <c r="C326" s="22"/>
      <c r="D326" s="23"/>
      <c r="E326" s="23"/>
      <c r="F326" s="23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</row>
    <row r="327" spans="2:20" ht="19.5" customHeight="1" x14ac:dyDescent="0.25">
      <c r="B327" s="22"/>
      <c r="C327" s="22"/>
      <c r="D327" s="23"/>
      <c r="E327" s="23"/>
      <c r="F327" s="23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</row>
    <row r="328" spans="2:20" ht="19.5" customHeight="1" x14ac:dyDescent="0.25">
      <c r="B328" s="22"/>
      <c r="C328" s="22"/>
      <c r="D328" s="23"/>
      <c r="E328" s="23"/>
      <c r="F328" s="23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</row>
    <row r="329" spans="2:20" ht="19.5" customHeight="1" x14ac:dyDescent="0.25">
      <c r="B329" s="22"/>
      <c r="C329" s="22"/>
      <c r="D329" s="23"/>
      <c r="E329" s="23"/>
      <c r="F329" s="23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</row>
    <row r="330" spans="2:20" ht="19.5" customHeight="1" x14ac:dyDescent="0.25">
      <c r="B330" s="22"/>
      <c r="C330" s="22"/>
      <c r="D330" s="23"/>
      <c r="E330" s="23"/>
      <c r="F330" s="23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</row>
    <row r="331" spans="2:20" ht="19.5" customHeight="1" x14ac:dyDescent="0.25">
      <c r="B331" s="22"/>
      <c r="C331" s="22"/>
      <c r="D331" s="23"/>
      <c r="E331" s="23"/>
      <c r="F331" s="23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</row>
    <row r="332" spans="2:20" ht="19.5" customHeight="1" x14ac:dyDescent="0.25">
      <c r="B332" s="22"/>
      <c r="C332" s="22"/>
      <c r="D332" s="23"/>
      <c r="E332" s="23"/>
      <c r="F332" s="23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</row>
    <row r="333" spans="2:20" ht="19.5" customHeight="1" x14ac:dyDescent="0.25">
      <c r="B333" s="22"/>
      <c r="C333" s="22"/>
      <c r="D333" s="23"/>
      <c r="E333" s="23"/>
      <c r="F333" s="23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</row>
    <row r="334" spans="2:20" ht="19.5" customHeight="1" x14ac:dyDescent="0.25">
      <c r="B334" s="22"/>
      <c r="C334" s="22"/>
      <c r="D334" s="23"/>
      <c r="E334" s="23"/>
      <c r="F334" s="23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</row>
    <row r="335" spans="2:20" ht="19.5" customHeight="1" x14ac:dyDescent="0.25">
      <c r="B335" s="22"/>
      <c r="C335" s="22"/>
      <c r="D335" s="23"/>
      <c r="E335" s="23"/>
      <c r="F335" s="23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</row>
    <row r="336" spans="2:20" ht="19.5" customHeight="1" x14ac:dyDescent="0.25">
      <c r="B336" s="22"/>
      <c r="C336" s="22"/>
      <c r="D336" s="23"/>
      <c r="E336" s="23"/>
      <c r="F336" s="23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</row>
    <row r="337" spans="2:20" ht="19.5" customHeight="1" x14ac:dyDescent="0.25">
      <c r="B337" s="22"/>
      <c r="C337" s="22"/>
      <c r="D337" s="23"/>
      <c r="E337" s="23"/>
      <c r="F337" s="23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</row>
    <row r="338" spans="2:20" ht="19.5" customHeight="1" x14ac:dyDescent="0.25">
      <c r="B338" s="22"/>
      <c r="C338" s="22"/>
      <c r="D338" s="23"/>
      <c r="E338" s="23"/>
      <c r="F338" s="23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</row>
    <row r="339" spans="2:20" ht="19.5" customHeight="1" x14ac:dyDescent="0.25">
      <c r="B339" s="22"/>
      <c r="C339" s="22"/>
      <c r="D339" s="23"/>
      <c r="E339" s="23"/>
      <c r="F339" s="23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</row>
    <row r="340" spans="2:20" ht="19.5" customHeight="1" x14ac:dyDescent="0.25">
      <c r="B340" s="22"/>
      <c r="C340" s="22"/>
      <c r="D340" s="23"/>
      <c r="E340" s="23"/>
      <c r="F340" s="23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</row>
    <row r="341" spans="2:20" ht="19.5" customHeight="1" x14ac:dyDescent="0.25">
      <c r="B341" s="22"/>
      <c r="C341" s="22"/>
      <c r="D341" s="23"/>
      <c r="E341" s="23"/>
      <c r="F341" s="23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</row>
    <row r="342" spans="2:20" ht="19.5" customHeight="1" x14ac:dyDescent="0.25">
      <c r="B342" s="22"/>
      <c r="C342" s="22"/>
      <c r="D342" s="23"/>
      <c r="E342" s="23"/>
      <c r="F342" s="23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</row>
    <row r="343" spans="2:20" ht="19.5" customHeight="1" x14ac:dyDescent="0.25">
      <c r="B343" s="22"/>
      <c r="C343" s="22"/>
      <c r="D343" s="23"/>
      <c r="E343" s="23"/>
      <c r="F343" s="23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</row>
    <row r="344" spans="2:20" ht="19.5" customHeight="1" x14ac:dyDescent="0.25">
      <c r="B344" s="22"/>
      <c r="C344" s="22"/>
      <c r="D344" s="23"/>
      <c r="E344" s="23"/>
      <c r="F344" s="23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</row>
    <row r="345" spans="2:20" ht="19.5" customHeight="1" x14ac:dyDescent="0.25">
      <c r="B345" s="22"/>
      <c r="C345" s="22"/>
      <c r="D345" s="23"/>
      <c r="E345" s="23"/>
      <c r="F345" s="23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</row>
    <row r="346" spans="2:20" ht="19.5" customHeight="1" x14ac:dyDescent="0.25">
      <c r="B346" s="22"/>
      <c r="C346" s="22"/>
      <c r="D346" s="23"/>
      <c r="E346" s="23"/>
      <c r="F346" s="23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</row>
    <row r="347" spans="2:20" ht="19.5" customHeight="1" x14ac:dyDescent="0.25">
      <c r="B347" s="22"/>
      <c r="C347" s="22"/>
      <c r="D347" s="23"/>
      <c r="E347" s="23"/>
      <c r="F347" s="23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</row>
    <row r="348" spans="2:20" ht="19.5" customHeight="1" x14ac:dyDescent="0.25">
      <c r="B348" s="22"/>
      <c r="C348" s="22"/>
      <c r="D348" s="23"/>
      <c r="E348" s="23"/>
      <c r="F348" s="23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</row>
    <row r="349" spans="2:20" ht="19.5" customHeight="1" x14ac:dyDescent="0.25">
      <c r="B349" s="22"/>
      <c r="C349" s="22"/>
      <c r="D349" s="23"/>
      <c r="E349" s="23"/>
      <c r="F349" s="23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</row>
    <row r="350" spans="2:20" ht="19.5" customHeight="1" x14ac:dyDescent="0.25">
      <c r="B350" s="22"/>
      <c r="C350" s="22"/>
      <c r="D350" s="23"/>
      <c r="E350" s="23"/>
      <c r="F350" s="23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</row>
    <row r="351" spans="2:20" ht="19.5" customHeight="1" x14ac:dyDescent="0.25">
      <c r="B351" s="22"/>
      <c r="C351" s="22"/>
      <c r="D351" s="23"/>
      <c r="E351" s="23"/>
      <c r="F351" s="23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</row>
    <row r="352" spans="2:20" ht="19.5" customHeight="1" x14ac:dyDescent="0.25">
      <c r="B352" s="22"/>
      <c r="C352" s="22"/>
      <c r="D352" s="23"/>
      <c r="E352" s="23"/>
      <c r="F352" s="23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</row>
    <row r="353" spans="2:20" ht="19.5" customHeight="1" x14ac:dyDescent="0.25">
      <c r="B353" s="22"/>
      <c r="C353" s="22"/>
      <c r="D353" s="23"/>
      <c r="E353" s="23"/>
      <c r="F353" s="23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</row>
    <row r="354" spans="2:20" ht="19.5" customHeight="1" x14ac:dyDescent="0.25">
      <c r="B354" s="22"/>
      <c r="C354" s="22"/>
      <c r="D354" s="23"/>
      <c r="E354" s="23"/>
      <c r="F354" s="23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</row>
    <row r="355" spans="2:20" ht="19.5" customHeight="1" x14ac:dyDescent="0.25">
      <c r="B355" s="22"/>
      <c r="C355" s="22"/>
      <c r="D355" s="23"/>
      <c r="E355" s="23"/>
      <c r="F355" s="23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</row>
    <row r="356" spans="2:20" ht="19.5" customHeight="1" x14ac:dyDescent="0.25">
      <c r="B356" s="22"/>
      <c r="C356" s="22"/>
      <c r="D356" s="23"/>
      <c r="E356" s="23"/>
      <c r="F356" s="23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</row>
    <row r="357" spans="2:20" ht="19.5" customHeight="1" x14ac:dyDescent="0.25">
      <c r="B357" s="22"/>
      <c r="C357" s="22"/>
      <c r="D357" s="23"/>
      <c r="E357" s="23"/>
      <c r="F357" s="23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</row>
    <row r="358" spans="2:20" ht="19.5" customHeight="1" x14ac:dyDescent="0.25">
      <c r="B358" s="22"/>
      <c r="C358" s="22"/>
      <c r="D358" s="23"/>
      <c r="E358" s="23"/>
      <c r="F358" s="23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</row>
    <row r="359" spans="2:20" ht="19.5" customHeight="1" x14ac:dyDescent="0.25">
      <c r="B359" s="22"/>
      <c r="C359" s="22"/>
      <c r="D359" s="23"/>
      <c r="E359" s="23"/>
      <c r="F359" s="23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</row>
    <row r="360" spans="2:20" ht="19.5" customHeight="1" x14ac:dyDescent="0.25">
      <c r="B360" s="22"/>
      <c r="C360" s="22"/>
      <c r="D360" s="23"/>
      <c r="E360" s="23"/>
      <c r="F360" s="23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</row>
    <row r="361" spans="2:20" ht="19.5" customHeight="1" x14ac:dyDescent="0.25">
      <c r="B361" s="22"/>
      <c r="C361" s="22"/>
      <c r="D361" s="23"/>
      <c r="E361" s="23"/>
      <c r="F361" s="23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</row>
    <row r="362" spans="2:20" ht="19.5" customHeight="1" x14ac:dyDescent="0.25">
      <c r="B362" s="22"/>
      <c r="C362" s="22"/>
      <c r="D362" s="23"/>
      <c r="E362" s="23"/>
      <c r="F362" s="23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</row>
    <row r="363" spans="2:20" ht="19.5" customHeight="1" x14ac:dyDescent="0.25">
      <c r="B363" s="22"/>
      <c r="C363" s="22"/>
      <c r="D363" s="23"/>
      <c r="E363" s="23"/>
      <c r="F363" s="23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</row>
    <row r="364" spans="2:20" ht="19.5" customHeight="1" x14ac:dyDescent="0.25">
      <c r="B364" s="22"/>
      <c r="C364" s="22"/>
      <c r="D364" s="23"/>
      <c r="E364" s="23"/>
      <c r="F364" s="23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</row>
    <row r="365" spans="2:20" ht="19.5" customHeight="1" x14ac:dyDescent="0.25">
      <c r="B365" s="22"/>
      <c r="C365" s="22"/>
      <c r="D365" s="23"/>
      <c r="E365" s="23"/>
      <c r="F365" s="23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</row>
    <row r="366" spans="2:20" ht="19.5" customHeight="1" x14ac:dyDescent="0.25">
      <c r="B366" s="22"/>
      <c r="C366" s="22"/>
      <c r="D366" s="23"/>
      <c r="E366" s="23"/>
      <c r="F366" s="23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</row>
    <row r="367" spans="2:20" ht="19.5" customHeight="1" x14ac:dyDescent="0.25">
      <c r="B367" s="22"/>
      <c r="C367" s="22"/>
      <c r="D367" s="23"/>
      <c r="E367" s="23"/>
      <c r="F367" s="23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</row>
    <row r="368" spans="2:20" ht="19.5" customHeight="1" x14ac:dyDescent="0.25">
      <c r="B368" s="22"/>
      <c r="C368" s="22"/>
      <c r="D368" s="23"/>
      <c r="E368" s="23"/>
      <c r="F368" s="23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</row>
    <row r="369" spans="2:20" ht="19.5" customHeight="1" x14ac:dyDescent="0.25">
      <c r="B369" s="22"/>
      <c r="C369" s="22"/>
      <c r="D369" s="23"/>
      <c r="E369" s="23"/>
      <c r="F369" s="23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</row>
    <row r="370" spans="2:20" ht="19.5" customHeight="1" x14ac:dyDescent="0.25">
      <c r="B370" s="22"/>
      <c r="C370" s="22"/>
      <c r="D370" s="23"/>
      <c r="E370" s="23"/>
      <c r="F370" s="23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</row>
    <row r="371" spans="2:20" ht="19.5" customHeight="1" x14ac:dyDescent="0.25">
      <c r="B371" s="22"/>
      <c r="C371" s="22"/>
      <c r="D371" s="23"/>
      <c r="E371" s="23"/>
      <c r="F371" s="23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</row>
    <row r="372" spans="2:20" ht="19.5" customHeight="1" x14ac:dyDescent="0.25">
      <c r="B372" s="22"/>
      <c r="C372" s="22"/>
      <c r="D372" s="23"/>
      <c r="E372" s="23"/>
      <c r="F372" s="23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</row>
    <row r="373" spans="2:20" ht="19.5" customHeight="1" x14ac:dyDescent="0.25">
      <c r="B373" s="22"/>
      <c r="C373" s="22"/>
      <c r="D373" s="23"/>
      <c r="E373" s="23"/>
      <c r="F373" s="23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</row>
    <row r="374" spans="2:20" ht="19.5" customHeight="1" x14ac:dyDescent="0.25">
      <c r="B374" s="22"/>
      <c r="C374" s="22"/>
      <c r="D374" s="23"/>
      <c r="E374" s="23"/>
      <c r="F374" s="23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</row>
    <row r="375" spans="2:20" ht="19.5" customHeight="1" x14ac:dyDescent="0.25">
      <c r="B375" s="22"/>
      <c r="C375" s="22"/>
      <c r="D375" s="23"/>
      <c r="E375" s="23"/>
      <c r="F375" s="23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</row>
    <row r="376" spans="2:20" ht="19.5" customHeight="1" x14ac:dyDescent="0.25">
      <c r="B376" s="22"/>
      <c r="C376" s="22"/>
      <c r="D376" s="23"/>
      <c r="E376" s="23"/>
      <c r="F376" s="23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</row>
    <row r="377" spans="2:20" ht="19.5" customHeight="1" x14ac:dyDescent="0.25">
      <c r="B377" s="22"/>
      <c r="C377" s="22"/>
      <c r="D377" s="23"/>
      <c r="E377" s="23"/>
      <c r="F377" s="23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</row>
    <row r="378" spans="2:20" ht="19.5" customHeight="1" x14ac:dyDescent="0.25">
      <c r="B378" s="22"/>
      <c r="C378" s="22"/>
      <c r="D378" s="23"/>
      <c r="E378" s="23"/>
      <c r="F378" s="23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</row>
    <row r="379" spans="2:20" ht="19.5" customHeight="1" x14ac:dyDescent="0.25">
      <c r="B379" s="22"/>
      <c r="C379" s="22"/>
      <c r="D379" s="23"/>
      <c r="E379" s="23"/>
      <c r="F379" s="23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</row>
    <row r="380" spans="2:20" ht="19.5" customHeight="1" x14ac:dyDescent="0.25">
      <c r="B380" s="22"/>
      <c r="C380" s="22"/>
      <c r="D380" s="23"/>
      <c r="E380" s="23"/>
      <c r="F380" s="23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</row>
    <row r="381" spans="2:20" ht="19.5" customHeight="1" x14ac:dyDescent="0.25">
      <c r="B381" s="22"/>
      <c r="C381" s="22"/>
      <c r="D381" s="23"/>
      <c r="E381" s="23"/>
      <c r="F381" s="23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</row>
    <row r="382" spans="2:20" ht="19.5" customHeight="1" x14ac:dyDescent="0.25">
      <c r="B382" s="22"/>
      <c r="C382" s="22"/>
      <c r="D382" s="23"/>
      <c r="E382" s="23"/>
      <c r="F382" s="23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</row>
    <row r="383" spans="2:20" ht="19.5" customHeight="1" x14ac:dyDescent="0.25">
      <c r="B383" s="22"/>
      <c r="C383" s="22"/>
      <c r="D383" s="23"/>
      <c r="E383" s="23"/>
      <c r="F383" s="23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</row>
    <row r="384" spans="2:20" ht="19.5" customHeight="1" x14ac:dyDescent="0.25">
      <c r="B384" s="22"/>
      <c r="C384" s="22"/>
      <c r="D384" s="23"/>
      <c r="E384" s="23"/>
      <c r="F384" s="23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</row>
    <row r="385" spans="2:20" ht="19.5" customHeight="1" x14ac:dyDescent="0.25">
      <c r="B385" s="22"/>
      <c r="C385" s="22"/>
      <c r="D385" s="23"/>
      <c r="E385" s="23"/>
      <c r="F385" s="23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</row>
    <row r="386" spans="2:20" ht="19.5" customHeight="1" x14ac:dyDescent="0.25">
      <c r="B386" s="22"/>
      <c r="C386" s="22"/>
      <c r="D386" s="23"/>
      <c r="E386" s="23"/>
      <c r="F386" s="23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</row>
    <row r="387" spans="2:20" ht="19.5" customHeight="1" x14ac:dyDescent="0.25">
      <c r="B387" s="22"/>
      <c r="C387" s="22"/>
      <c r="D387" s="23"/>
      <c r="E387" s="23"/>
      <c r="F387" s="23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</row>
    <row r="388" spans="2:20" ht="19.5" customHeight="1" x14ac:dyDescent="0.25">
      <c r="B388" s="22"/>
      <c r="C388" s="22"/>
      <c r="D388" s="23"/>
      <c r="E388" s="23"/>
      <c r="F388" s="23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</row>
    <row r="389" spans="2:20" ht="19.5" customHeight="1" x14ac:dyDescent="0.25">
      <c r="B389" s="22"/>
      <c r="C389" s="22"/>
      <c r="D389" s="23"/>
      <c r="E389" s="23"/>
      <c r="F389" s="23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</row>
    <row r="390" spans="2:20" ht="19.5" customHeight="1" x14ac:dyDescent="0.25">
      <c r="B390" s="22"/>
      <c r="C390" s="22"/>
      <c r="D390" s="23"/>
      <c r="E390" s="23"/>
      <c r="F390" s="23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</row>
    <row r="391" spans="2:20" ht="19.5" customHeight="1" x14ac:dyDescent="0.25">
      <c r="B391" s="22"/>
      <c r="C391" s="22"/>
      <c r="D391" s="23"/>
      <c r="E391" s="23"/>
      <c r="F391" s="23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</row>
    <row r="392" spans="2:20" ht="19.5" customHeight="1" x14ac:dyDescent="0.25">
      <c r="B392" s="22"/>
      <c r="C392" s="22"/>
      <c r="D392" s="23"/>
      <c r="E392" s="23"/>
      <c r="F392" s="23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</row>
    <row r="393" spans="2:20" ht="19.5" customHeight="1" x14ac:dyDescent="0.25">
      <c r="B393" s="22"/>
      <c r="C393" s="22"/>
      <c r="D393" s="23"/>
      <c r="E393" s="23"/>
      <c r="F393" s="23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</row>
    <row r="394" spans="2:20" ht="19.5" customHeight="1" x14ac:dyDescent="0.25">
      <c r="B394" s="22"/>
      <c r="C394" s="22"/>
      <c r="D394" s="23"/>
      <c r="E394" s="23"/>
      <c r="F394" s="23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</row>
    <row r="395" spans="2:20" ht="19.5" customHeight="1" x14ac:dyDescent="0.25">
      <c r="B395" s="22"/>
      <c r="C395" s="22"/>
      <c r="D395" s="23"/>
      <c r="E395" s="23"/>
      <c r="F395" s="23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</row>
    <row r="396" spans="2:20" ht="19.5" customHeight="1" x14ac:dyDescent="0.25">
      <c r="B396" s="22"/>
      <c r="C396" s="22"/>
      <c r="D396" s="23"/>
      <c r="E396" s="23"/>
      <c r="F396" s="23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</row>
    <row r="397" spans="2:20" ht="19.5" customHeight="1" x14ac:dyDescent="0.25">
      <c r="B397" s="22"/>
      <c r="C397" s="22"/>
      <c r="D397" s="23"/>
      <c r="E397" s="23"/>
      <c r="F397" s="23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</row>
    <row r="398" spans="2:20" ht="19.5" customHeight="1" x14ac:dyDescent="0.25">
      <c r="B398" s="22"/>
      <c r="C398" s="22"/>
      <c r="D398" s="23"/>
      <c r="E398" s="23"/>
      <c r="F398" s="23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</row>
    <row r="399" spans="2:20" ht="19.5" customHeight="1" x14ac:dyDescent="0.25">
      <c r="B399" s="22"/>
      <c r="C399" s="22"/>
      <c r="D399" s="23"/>
      <c r="E399" s="23"/>
      <c r="F399" s="23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</row>
    <row r="400" spans="2:20" ht="19.5" customHeight="1" x14ac:dyDescent="0.25">
      <c r="B400" s="22"/>
      <c r="C400" s="22"/>
      <c r="D400" s="23"/>
      <c r="E400" s="23"/>
      <c r="F400" s="23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</row>
    <row r="401" spans="2:20" ht="19.5" customHeight="1" x14ac:dyDescent="0.25">
      <c r="B401" s="22"/>
      <c r="C401" s="22"/>
      <c r="D401" s="23"/>
      <c r="E401" s="23"/>
      <c r="F401" s="23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</row>
    <row r="402" spans="2:20" ht="19.5" customHeight="1" x14ac:dyDescent="0.25">
      <c r="B402" s="22"/>
      <c r="C402" s="22"/>
      <c r="D402" s="23"/>
      <c r="E402" s="23"/>
      <c r="F402" s="23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</row>
    <row r="403" spans="2:20" ht="19.5" customHeight="1" x14ac:dyDescent="0.25">
      <c r="B403" s="22"/>
      <c r="C403" s="22"/>
      <c r="D403" s="23"/>
      <c r="E403" s="23"/>
      <c r="F403" s="23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</row>
    <row r="404" spans="2:20" ht="19.5" customHeight="1" x14ac:dyDescent="0.25">
      <c r="B404" s="22"/>
      <c r="C404" s="22"/>
      <c r="D404" s="23"/>
      <c r="E404" s="23"/>
      <c r="F404" s="23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</row>
    <row r="405" spans="2:20" ht="19.5" customHeight="1" x14ac:dyDescent="0.25">
      <c r="B405" s="22"/>
      <c r="C405" s="22"/>
      <c r="D405" s="23"/>
      <c r="E405" s="23"/>
      <c r="F405" s="23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</row>
    <row r="406" spans="2:20" ht="19.5" customHeight="1" x14ac:dyDescent="0.25">
      <c r="B406" s="22"/>
      <c r="C406" s="22"/>
      <c r="D406" s="23"/>
      <c r="E406" s="23"/>
      <c r="F406" s="23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</row>
    <row r="407" spans="2:20" ht="19.5" customHeight="1" x14ac:dyDescent="0.25">
      <c r="B407" s="22"/>
      <c r="C407" s="22"/>
      <c r="D407" s="23"/>
      <c r="E407" s="23"/>
      <c r="F407" s="23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</row>
    <row r="408" spans="2:20" ht="19.5" customHeight="1" x14ac:dyDescent="0.25">
      <c r="B408" s="22"/>
      <c r="C408" s="22"/>
      <c r="D408" s="23"/>
      <c r="E408" s="23"/>
      <c r="F408" s="23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</row>
    <row r="409" spans="2:20" ht="19.5" customHeight="1" x14ac:dyDescent="0.25">
      <c r="B409" s="22"/>
      <c r="C409" s="22"/>
      <c r="D409" s="23"/>
      <c r="E409" s="23"/>
      <c r="F409" s="23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</row>
    <row r="410" spans="2:20" ht="19.5" customHeight="1" x14ac:dyDescent="0.25">
      <c r="B410" s="22"/>
      <c r="C410" s="22"/>
      <c r="D410" s="23"/>
      <c r="E410" s="23"/>
      <c r="F410" s="23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</row>
    <row r="411" spans="2:20" ht="19.5" customHeight="1" x14ac:dyDescent="0.25">
      <c r="B411" s="22"/>
      <c r="C411" s="22"/>
      <c r="D411" s="23"/>
      <c r="E411" s="23"/>
      <c r="F411" s="23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</row>
    <row r="412" spans="2:20" ht="19.5" customHeight="1" x14ac:dyDescent="0.25">
      <c r="B412" s="22"/>
      <c r="C412" s="22"/>
      <c r="D412" s="23"/>
      <c r="E412" s="23"/>
      <c r="F412" s="23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</row>
    <row r="413" spans="2:20" ht="19.5" customHeight="1" x14ac:dyDescent="0.25">
      <c r="B413" s="22"/>
      <c r="C413" s="22"/>
      <c r="D413" s="23"/>
      <c r="E413" s="23"/>
      <c r="F413" s="23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</row>
    <row r="414" spans="2:20" ht="19.5" customHeight="1" x14ac:dyDescent="0.25">
      <c r="B414" s="22"/>
      <c r="C414" s="22"/>
      <c r="D414" s="23"/>
      <c r="E414" s="23"/>
      <c r="F414" s="23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</row>
    <row r="415" spans="2:20" ht="19.5" customHeight="1" x14ac:dyDescent="0.25">
      <c r="B415" s="22"/>
      <c r="C415" s="22"/>
      <c r="D415" s="23"/>
      <c r="E415" s="23"/>
      <c r="F415" s="23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</row>
    <row r="416" spans="2:20" ht="19.5" customHeight="1" x14ac:dyDescent="0.25">
      <c r="B416" s="22"/>
      <c r="C416" s="22"/>
      <c r="D416" s="23"/>
      <c r="E416" s="23"/>
      <c r="F416" s="23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</row>
    <row r="417" spans="2:20" ht="19.5" customHeight="1" x14ac:dyDescent="0.25">
      <c r="B417" s="22"/>
      <c r="C417" s="22"/>
      <c r="D417" s="23"/>
      <c r="E417" s="23"/>
      <c r="F417" s="23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</row>
    <row r="418" spans="2:20" ht="19.5" customHeight="1" x14ac:dyDescent="0.25">
      <c r="B418" s="22"/>
      <c r="C418" s="22"/>
      <c r="D418" s="23"/>
      <c r="E418" s="23"/>
      <c r="F418" s="23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</row>
    <row r="419" spans="2:20" ht="19.5" customHeight="1" x14ac:dyDescent="0.25">
      <c r="B419" s="22"/>
      <c r="C419" s="22"/>
      <c r="D419" s="23"/>
      <c r="E419" s="23"/>
      <c r="F419" s="23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</row>
    <row r="420" spans="2:20" ht="19.5" customHeight="1" x14ac:dyDescent="0.25">
      <c r="B420" s="22"/>
      <c r="C420" s="22"/>
      <c r="D420" s="23"/>
      <c r="E420" s="23"/>
      <c r="F420" s="23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</row>
    <row r="421" spans="2:20" ht="19.5" customHeight="1" x14ac:dyDescent="0.25">
      <c r="B421" s="22"/>
      <c r="C421" s="22"/>
      <c r="D421" s="23"/>
      <c r="E421" s="23"/>
      <c r="F421" s="23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</row>
    <row r="422" spans="2:20" ht="19.5" customHeight="1" x14ac:dyDescent="0.25">
      <c r="B422" s="22"/>
      <c r="C422" s="22"/>
      <c r="D422" s="23"/>
      <c r="E422" s="23"/>
      <c r="F422" s="23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</row>
    <row r="423" spans="2:20" ht="19.5" customHeight="1" x14ac:dyDescent="0.25">
      <c r="B423" s="22"/>
      <c r="C423" s="22"/>
      <c r="D423" s="23"/>
      <c r="E423" s="23"/>
      <c r="F423" s="23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</row>
    <row r="424" spans="2:20" ht="19.5" customHeight="1" x14ac:dyDescent="0.25">
      <c r="B424" s="22"/>
      <c r="C424" s="22"/>
      <c r="D424" s="23"/>
      <c r="E424" s="23"/>
      <c r="F424" s="23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</row>
    <row r="425" spans="2:20" ht="19.5" customHeight="1" x14ac:dyDescent="0.25">
      <c r="B425" s="22"/>
      <c r="C425" s="22"/>
      <c r="D425" s="23"/>
      <c r="E425" s="23"/>
      <c r="F425" s="23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</row>
    <row r="426" spans="2:20" ht="19.5" customHeight="1" x14ac:dyDescent="0.25">
      <c r="B426" s="22"/>
      <c r="C426" s="22"/>
      <c r="D426" s="23"/>
      <c r="E426" s="23"/>
      <c r="F426" s="23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</row>
    <row r="427" spans="2:20" ht="19.5" customHeight="1" x14ac:dyDescent="0.25">
      <c r="B427" s="22"/>
      <c r="C427" s="22"/>
      <c r="D427" s="23"/>
      <c r="E427" s="23"/>
      <c r="F427" s="23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</row>
    <row r="428" spans="2:20" ht="19.5" customHeight="1" x14ac:dyDescent="0.25">
      <c r="B428" s="22"/>
      <c r="C428" s="22"/>
      <c r="D428" s="23"/>
      <c r="E428" s="23"/>
      <c r="F428" s="23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</row>
    <row r="429" spans="2:20" ht="19.5" customHeight="1" x14ac:dyDescent="0.25">
      <c r="B429" s="22"/>
      <c r="C429" s="22"/>
      <c r="D429" s="23"/>
      <c r="E429" s="23"/>
      <c r="F429" s="23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</row>
    <row r="430" spans="2:20" ht="19.5" customHeight="1" x14ac:dyDescent="0.25">
      <c r="B430" s="22"/>
      <c r="C430" s="22"/>
      <c r="D430" s="23"/>
      <c r="E430" s="23"/>
      <c r="F430" s="23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</row>
    <row r="431" spans="2:20" ht="19.5" customHeight="1" x14ac:dyDescent="0.25">
      <c r="B431" s="22"/>
      <c r="C431" s="22"/>
      <c r="D431" s="23"/>
      <c r="E431" s="23"/>
      <c r="F431" s="23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</row>
    <row r="432" spans="2:20" ht="19.5" customHeight="1" x14ac:dyDescent="0.25">
      <c r="B432" s="22"/>
      <c r="C432" s="22"/>
      <c r="D432" s="23"/>
      <c r="E432" s="23"/>
      <c r="F432" s="23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</row>
    <row r="433" spans="2:20" ht="19.5" customHeight="1" x14ac:dyDescent="0.25">
      <c r="B433" s="22"/>
      <c r="C433" s="22"/>
      <c r="D433" s="23"/>
      <c r="E433" s="23"/>
      <c r="F433" s="23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</row>
    <row r="434" spans="2:20" ht="19.5" customHeight="1" x14ac:dyDescent="0.25">
      <c r="B434" s="22"/>
      <c r="C434" s="22"/>
      <c r="D434" s="23"/>
      <c r="E434" s="23"/>
      <c r="F434" s="23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</row>
    <row r="435" spans="2:20" ht="19.5" customHeight="1" x14ac:dyDescent="0.25">
      <c r="B435" s="22"/>
      <c r="C435" s="22"/>
      <c r="D435" s="23"/>
      <c r="E435" s="23"/>
      <c r="F435" s="23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</row>
    <row r="436" spans="2:20" ht="19.5" customHeight="1" x14ac:dyDescent="0.25">
      <c r="B436" s="22"/>
      <c r="C436" s="22"/>
      <c r="D436" s="23"/>
      <c r="E436" s="23"/>
      <c r="F436" s="23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</row>
    <row r="437" spans="2:20" ht="19.5" customHeight="1" x14ac:dyDescent="0.25">
      <c r="B437" s="22"/>
      <c r="C437" s="22"/>
      <c r="D437" s="23"/>
      <c r="E437" s="23"/>
      <c r="F437" s="23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</row>
    <row r="438" spans="2:20" ht="19.5" customHeight="1" x14ac:dyDescent="0.25">
      <c r="B438" s="22"/>
      <c r="C438" s="22"/>
      <c r="D438" s="23"/>
      <c r="E438" s="23"/>
      <c r="F438" s="23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</row>
    <row r="439" spans="2:20" ht="19.5" customHeight="1" x14ac:dyDescent="0.25">
      <c r="B439" s="22"/>
      <c r="C439" s="22"/>
      <c r="D439" s="23"/>
      <c r="E439" s="23"/>
      <c r="F439" s="23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</row>
    <row r="440" spans="2:20" ht="19.5" customHeight="1" x14ac:dyDescent="0.25">
      <c r="B440" s="22"/>
      <c r="C440" s="22"/>
      <c r="D440" s="23"/>
      <c r="E440" s="23"/>
      <c r="F440" s="23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</row>
    <row r="441" spans="2:20" ht="19.5" customHeight="1" x14ac:dyDescent="0.25">
      <c r="B441" s="22"/>
      <c r="C441" s="22"/>
      <c r="D441" s="23"/>
      <c r="E441" s="23"/>
      <c r="F441" s="23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</row>
    <row r="442" spans="2:20" ht="19.5" customHeight="1" x14ac:dyDescent="0.25">
      <c r="B442" s="22"/>
      <c r="C442" s="22"/>
      <c r="D442" s="23"/>
      <c r="E442" s="23"/>
      <c r="F442" s="23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</row>
    <row r="443" spans="2:20" ht="19.5" customHeight="1" x14ac:dyDescent="0.25">
      <c r="B443" s="22"/>
      <c r="C443" s="22"/>
      <c r="D443" s="23"/>
      <c r="E443" s="23"/>
      <c r="F443" s="23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</row>
    <row r="444" spans="2:20" ht="19.5" customHeight="1" x14ac:dyDescent="0.25">
      <c r="B444" s="22"/>
      <c r="C444" s="22"/>
      <c r="D444" s="23"/>
      <c r="E444" s="23"/>
      <c r="F444" s="23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</row>
    <row r="445" spans="2:20" ht="19.5" customHeight="1" x14ac:dyDescent="0.25">
      <c r="B445" s="22"/>
      <c r="C445" s="22"/>
      <c r="D445" s="23"/>
      <c r="E445" s="23"/>
      <c r="F445" s="23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</row>
    <row r="446" spans="2:20" ht="19.5" customHeight="1" x14ac:dyDescent="0.25">
      <c r="B446" s="22"/>
      <c r="C446" s="22"/>
      <c r="D446" s="23"/>
      <c r="E446" s="23"/>
      <c r="F446" s="23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</row>
    <row r="447" spans="2:20" ht="19.5" customHeight="1" x14ac:dyDescent="0.25">
      <c r="B447" s="22"/>
      <c r="C447" s="22"/>
      <c r="D447" s="23"/>
      <c r="E447" s="23"/>
      <c r="F447" s="23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</row>
    <row r="448" spans="2:20" ht="19.5" customHeight="1" x14ac:dyDescent="0.25">
      <c r="B448" s="22"/>
      <c r="C448" s="22"/>
      <c r="D448" s="23"/>
      <c r="E448" s="23"/>
      <c r="F448" s="23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</row>
    <row r="449" spans="2:20" ht="19.5" customHeight="1" x14ac:dyDescent="0.25">
      <c r="B449" s="22"/>
      <c r="C449" s="22"/>
      <c r="D449" s="23"/>
      <c r="E449" s="23"/>
      <c r="F449" s="23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</row>
    <row r="450" spans="2:20" ht="19.5" customHeight="1" x14ac:dyDescent="0.25">
      <c r="B450" s="22"/>
      <c r="C450" s="22"/>
      <c r="D450" s="23"/>
      <c r="E450" s="23"/>
      <c r="F450" s="23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</row>
    <row r="451" spans="2:20" ht="19.5" customHeight="1" x14ac:dyDescent="0.25">
      <c r="B451" s="22"/>
      <c r="C451" s="22"/>
      <c r="D451" s="23"/>
      <c r="E451" s="23"/>
      <c r="F451" s="23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</row>
    <row r="452" spans="2:20" ht="19.5" customHeight="1" x14ac:dyDescent="0.25">
      <c r="B452" s="22"/>
      <c r="C452" s="22"/>
      <c r="D452" s="23"/>
      <c r="E452" s="23"/>
      <c r="F452" s="23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</row>
    <row r="453" spans="2:20" ht="19.5" customHeight="1" x14ac:dyDescent="0.25">
      <c r="B453" s="22"/>
      <c r="C453" s="22"/>
      <c r="D453" s="23"/>
      <c r="E453" s="23"/>
      <c r="F453" s="23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</row>
    <row r="454" spans="2:20" ht="19.5" customHeight="1" x14ac:dyDescent="0.25">
      <c r="B454" s="22"/>
      <c r="C454" s="22"/>
      <c r="D454" s="23"/>
      <c r="E454" s="23"/>
      <c r="F454" s="23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</row>
    <row r="455" spans="2:20" ht="19.5" customHeight="1" x14ac:dyDescent="0.25">
      <c r="B455" s="22"/>
      <c r="C455" s="22"/>
      <c r="D455" s="23"/>
      <c r="E455" s="23"/>
      <c r="F455" s="23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</row>
    <row r="456" spans="2:20" ht="19.5" customHeight="1" x14ac:dyDescent="0.25">
      <c r="B456" s="22"/>
      <c r="C456" s="22"/>
      <c r="D456" s="23"/>
      <c r="E456" s="23"/>
      <c r="F456" s="23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</row>
    <row r="457" spans="2:20" ht="19.5" customHeight="1" x14ac:dyDescent="0.25">
      <c r="B457" s="22"/>
      <c r="C457" s="22"/>
      <c r="D457" s="23"/>
      <c r="E457" s="23"/>
      <c r="F457" s="23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</row>
    <row r="458" spans="2:20" ht="19.5" customHeight="1" x14ac:dyDescent="0.25">
      <c r="B458" s="22"/>
      <c r="C458" s="22"/>
      <c r="D458" s="23"/>
      <c r="E458" s="23"/>
      <c r="F458" s="23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</row>
    <row r="459" spans="2:20" ht="19.5" customHeight="1" x14ac:dyDescent="0.25">
      <c r="B459" s="22"/>
      <c r="C459" s="22"/>
      <c r="D459" s="23"/>
      <c r="E459" s="23"/>
      <c r="F459" s="23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</row>
    <row r="460" spans="2:20" ht="19.5" customHeight="1" x14ac:dyDescent="0.25">
      <c r="B460" s="22"/>
      <c r="C460" s="22"/>
      <c r="D460" s="23"/>
      <c r="E460" s="23"/>
      <c r="F460" s="23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</row>
    <row r="461" spans="2:20" ht="19.5" customHeight="1" x14ac:dyDescent="0.25">
      <c r="B461" s="22"/>
      <c r="C461" s="22"/>
      <c r="D461" s="23"/>
      <c r="E461" s="23"/>
      <c r="F461" s="23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</row>
    <row r="462" spans="2:20" ht="19.5" customHeight="1" x14ac:dyDescent="0.25">
      <c r="B462" s="22"/>
      <c r="C462" s="22"/>
      <c r="D462" s="23"/>
      <c r="E462" s="23"/>
      <c r="F462" s="23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</row>
    <row r="463" spans="2:20" ht="19.5" customHeight="1" x14ac:dyDescent="0.25">
      <c r="B463" s="22"/>
      <c r="C463" s="22"/>
      <c r="D463" s="23"/>
      <c r="E463" s="23"/>
      <c r="F463" s="23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</row>
    <row r="464" spans="2:20" ht="19.5" customHeight="1" x14ac:dyDescent="0.25">
      <c r="B464" s="22"/>
      <c r="C464" s="22"/>
      <c r="D464" s="23"/>
      <c r="E464" s="23"/>
      <c r="F464" s="23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</row>
    <row r="465" spans="2:20" ht="19.5" customHeight="1" x14ac:dyDescent="0.25">
      <c r="B465" s="22"/>
      <c r="C465" s="22"/>
      <c r="D465" s="23"/>
      <c r="E465" s="23"/>
      <c r="F465" s="23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</row>
    <row r="466" spans="2:20" ht="19.5" customHeight="1" x14ac:dyDescent="0.25">
      <c r="B466" s="22"/>
      <c r="C466" s="22"/>
      <c r="D466" s="23"/>
      <c r="E466" s="23"/>
      <c r="F466" s="23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</row>
    <row r="467" spans="2:20" ht="19.5" customHeight="1" x14ac:dyDescent="0.25">
      <c r="B467" s="22"/>
      <c r="C467" s="22"/>
      <c r="D467" s="23"/>
      <c r="E467" s="23"/>
      <c r="F467" s="23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</row>
    <row r="468" spans="2:20" ht="19.5" customHeight="1" x14ac:dyDescent="0.25">
      <c r="B468" s="22"/>
      <c r="C468" s="22"/>
      <c r="D468" s="23"/>
      <c r="E468" s="23"/>
      <c r="F468" s="23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</row>
    <row r="469" spans="2:20" ht="19.5" customHeight="1" x14ac:dyDescent="0.25">
      <c r="B469" s="22"/>
      <c r="C469" s="22"/>
      <c r="D469" s="23"/>
      <c r="E469" s="23"/>
      <c r="F469" s="23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</row>
    <row r="470" spans="2:20" ht="19.5" customHeight="1" x14ac:dyDescent="0.25">
      <c r="B470" s="22"/>
      <c r="C470" s="22"/>
      <c r="D470" s="23"/>
      <c r="E470" s="23"/>
      <c r="F470" s="23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</row>
    <row r="471" spans="2:20" ht="19.5" customHeight="1" x14ac:dyDescent="0.25">
      <c r="B471" s="22"/>
      <c r="C471" s="22"/>
      <c r="D471" s="23"/>
      <c r="E471" s="23"/>
      <c r="F471" s="23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</row>
    <row r="472" spans="2:20" ht="19.5" customHeight="1" x14ac:dyDescent="0.25">
      <c r="B472" s="22"/>
      <c r="C472" s="22"/>
      <c r="D472" s="23"/>
      <c r="E472" s="23"/>
      <c r="F472" s="23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</row>
    <row r="473" spans="2:20" ht="19.5" customHeight="1" x14ac:dyDescent="0.25">
      <c r="B473" s="22"/>
      <c r="C473" s="22"/>
      <c r="D473" s="23"/>
      <c r="E473" s="23"/>
      <c r="F473" s="23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</row>
    <row r="474" spans="2:20" ht="19.5" customHeight="1" x14ac:dyDescent="0.25">
      <c r="B474" s="22"/>
      <c r="C474" s="22"/>
      <c r="D474" s="23"/>
      <c r="E474" s="23"/>
      <c r="F474" s="23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</row>
    <row r="475" spans="2:20" ht="19.5" customHeight="1" x14ac:dyDescent="0.25">
      <c r="B475" s="22"/>
      <c r="C475" s="22"/>
      <c r="D475" s="23"/>
      <c r="E475" s="23"/>
      <c r="F475" s="23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</row>
    <row r="476" spans="2:20" ht="19.5" customHeight="1" x14ac:dyDescent="0.25">
      <c r="B476" s="22"/>
      <c r="C476" s="22"/>
      <c r="D476" s="23"/>
      <c r="E476" s="23"/>
      <c r="F476" s="23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</row>
    <row r="477" spans="2:20" ht="19.5" customHeight="1" x14ac:dyDescent="0.25">
      <c r="B477" s="22"/>
      <c r="C477" s="22"/>
      <c r="D477" s="23"/>
      <c r="E477" s="23"/>
      <c r="F477" s="23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</row>
    <row r="478" spans="2:20" ht="19.5" customHeight="1" x14ac:dyDescent="0.25">
      <c r="B478" s="22"/>
      <c r="C478" s="22"/>
      <c r="D478" s="23"/>
      <c r="E478" s="23"/>
      <c r="F478" s="23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</row>
    <row r="479" spans="2:20" ht="19.5" customHeight="1" x14ac:dyDescent="0.25">
      <c r="B479" s="22"/>
      <c r="C479" s="22"/>
      <c r="D479" s="23"/>
      <c r="E479" s="23"/>
      <c r="F479" s="23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</row>
    <row r="480" spans="2:20" ht="19.5" customHeight="1" x14ac:dyDescent="0.25">
      <c r="B480" s="22"/>
      <c r="C480" s="22"/>
      <c r="D480" s="23"/>
      <c r="E480" s="23"/>
      <c r="F480" s="23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</row>
    <row r="481" spans="2:20" ht="19.5" customHeight="1" x14ac:dyDescent="0.25">
      <c r="B481" s="22"/>
      <c r="C481" s="22"/>
      <c r="D481" s="23"/>
      <c r="E481" s="23"/>
      <c r="F481" s="23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</row>
    <row r="482" spans="2:20" ht="19.5" customHeight="1" x14ac:dyDescent="0.25">
      <c r="B482" s="22"/>
      <c r="C482" s="22"/>
      <c r="D482" s="23"/>
      <c r="E482" s="23"/>
      <c r="F482" s="23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</row>
    <row r="483" spans="2:20" ht="19.5" customHeight="1" x14ac:dyDescent="0.25">
      <c r="B483" s="22"/>
      <c r="C483" s="22"/>
      <c r="D483" s="23"/>
      <c r="E483" s="23"/>
      <c r="F483" s="23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</row>
    <row r="484" spans="2:20" ht="19.5" customHeight="1" x14ac:dyDescent="0.25">
      <c r="B484" s="22"/>
      <c r="C484" s="22"/>
      <c r="D484" s="23"/>
      <c r="E484" s="23"/>
      <c r="F484" s="23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</row>
    <row r="485" spans="2:20" ht="19.5" customHeight="1" x14ac:dyDescent="0.25">
      <c r="B485" s="22"/>
      <c r="C485" s="22"/>
      <c r="D485" s="23"/>
      <c r="E485" s="23"/>
      <c r="F485" s="23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</row>
    <row r="486" spans="2:20" ht="19.5" customHeight="1" x14ac:dyDescent="0.25">
      <c r="B486" s="22"/>
      <c r="C486" s="22"/>
      <c r="D486" s="23"/>
      <c r="E486" s="23"/>
      <c r="F486" s="23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</row>
    <row r="487" spans="2:20" ht="19.5" customHeight="1" x14ac:dyDescent="0.25">
      <c r="B487" s="22"/>
      <c r="C487" s="22"/>
      <c r="D487" s="23"/>
      <c r="E487" s="23"/>
      <c r="F487" s="23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</row>
    <row r="488" spans="2:20" ht="19.5" customHeight="1" x14ac:dyDescent="0.25">
      <c r="B488" s="22"/>
      <c r="C488" s="22"/>
      <c r="D488" s="23"/>
      <c r="E488" s="23"/>
      <c r="F488" s="23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</row>
    <row r="489" spans="2:20" ht="19.5" customHeight="1" x14ac:dyDescent="0.25">
      <c r="B489" s="22"/>
      <c r="C489" s="22"/>
      <c r="D489" s="23"/>
      <c r="E489" s="23"/>
      <c r="F489" s="23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</row>
    <row r="490" spans="2:20" ht="19.5" customHeight="1" x14ac:dyDescent="0.25">
      <c r="B490" s="22"/>
      <c r="C490" s="22"/>
      <c r="D490" s="23"/>
      <c r="E490" s="23"/>
      <c r="F490" s="23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</row>
    <row r="491" spans="2:20" ht="19.5" customHeight="1" x14ac:dyDescent="0.25">
      <c r="B491" s="22"/>
      <c r="C491" s="22"/>
      <c r="D491" s="23"/>
      <c r="E491" s="23"/>
      <c r="F491" s="23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</row>
    <row r="492" spans="2:20" ht="19.5" customHeight="1" x14ac:dyDescent="0.25">
      <c r="B492" s="22"/>
      <c r="C492" s="22"/>
      <c r="D492" s="23"/>
      <c r="E492" s="23"/>
      <c r="F492" s="23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</row>
    <row r="493" spans="2:20" ht="19.5" customHeight="1" x14ac:dyDescent="0.25">
      <c r="B493" s="22"/>
      <c r="C493" s="22"/>
      <c r="D493" s="23"/>
      <c r="E493" s="23"/>
      <c r="F493" s="23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</row>
    <row r="494" spans="2:20" ht="19.5" customHeight="1" x14ac:dyDescent="0.25">
      <c r="B494" s="22"/>
      <c r="C494" s="22"/>
      <c r="D494" s="23"/>
      <c r="E494" s="23"/>
      <c r="F494" s="23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</row>
    <row r="495" spans="2:20" ht="19.5" customHeight="1" x14ac:dyDescent="0.25">
      <c r="B495" s="22"/>
      <c r="C495" s="22"/>
      <c r="D495" s="23"/>
      <c r="E495" s="23"/>
      <c r="F495" s="23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</row>
    <row r="496" spans="2:20" ht="19.5" customHeight="1" x14ac:dyDescent="0.25">
      <c r="B496" s="22"/>
      <c r="C496" s="22"/>
      <c r="D496" s="23"/>
      <c r="E496" s="23"/>
      <c r="F496" s="23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</row>
    <row r="497" spans="2:20" ht="19.5" customHeight="1" x14ac:dyDescent="0.25">
      <c r="B497" s="22"/>
      <c r="C497" s="22"/>
      <c r="D497" s="23"/>
      <c r="E497" s="23"/>
      <c r="F497" s="23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</row>
    <row r="498" spans="2:20" ht="19.5" customHeight="1" x14ac:dyDescent="0.25">
      <c r="B498" s="22"/>
      <c r="C498" s="22"/>
      <c r="D498" s="23"/>
      <c r="E498" s="23"/>
      <c r="F498" s="23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</row>
    <row r="499" spans="2:20" ht="19.5" customHeight="1" x14ac:dyDescent="0.25">
      <c r="B499" s="22"/>
      <c r="C499" s="22"/>
      <c r="D499" s="23"/>
      <c r="E499" s="23"/>
      <c r="F499" s="23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</row>
    <row r="500" spans="2:20" ht="19.5" customHeight="1" x14ac:dyDescent="0.25">
      <c r="B500" s="22"/>
      <c r="C500" s="22"/>
      <c r="D500" s="23"/>
      <c r="E500" s="23"/>
      <c r="F500" s="23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</row>
    <row r="501" spans="2:20" ht="19.5" customHeight="1" x14ac:dyDescent="0.25">
      <c r="B501" s="22"/>
      <c r="C501" s="22"/>
      <c r="D501" s="23"/>
      <c r="E501" s="23"/>
      <c r="F501" s="23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</row>
    <row r="502" spans="2:20" ht="19.5" customHeight="1" x14ac:dyDescent="0.25">
      <c r="B502" s="22"/>
      <c r="C502" s="22"/>
      <c r="D502" s="23"/>
      <c r="E502" s="23"/>
      <c r="F502" s="23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</row>
    <row r="503" spans="2:20" ht="19.5" customHeight="1" x14ac:dyDescent="0.25">
      <c r="B503" s="22"/>
      <c r="C503" s="22"/>
      <c r="D503" s="23"/>
      <c r="E503" s="23"/>
      <c r="F503" s="23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</row>
    <row r="504" spans="2:20" ht="19.5" customHeight="1" x14ac:dyDescent="0.25">
      <c r="B504" s="22"/>
      <c r="C504" s="22"/>
      <c r="D504" s="23"/>
      <c r="E504" s="23"/>
      <c r="F504" s="23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</row>
    <row r="505" spans="2:20" ht="19.5" customHeight="1" x14ac:dyDescent="0.25">
      <c r="B505" s="22"/>
      <c r="C505" s="22"/>
      <c r="D505" s="23"/>
      <c r="E505" s="23"/>
      <c r="F505" s="23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</row>
    <row r="506" spans="2:20" ht="19.5" customHeight="1" x14ac:dyDescent="0.25">
      <c r="B506" s="22"/>
      <c r="C506" s="22"/>
      <c r="D506" s="23"/>
      <c r="E506" s="23"/>
      <c r="F506" s="23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</row>
    <row r="507" spans="2:20" ht="19.5" customHeight="1" x14ac:dyDescent="0.25">
      <c r="B507" s="22"/>
      <c r="C507" s="22"/>
      <c r="D507" s="23"/>
      <c r="E507" s="23"/>
      <c r="F507" s="23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</row>
    <row r="508" spans="2:20" ht="19.5" customHeight="1" x14ac:dyDescent="0.25">
      <c r="B508" s="22"/>
      <c r="C508" s="22"/>
      <c r="D508" s="23"/>
      <c r="E508" s="23"/>
      <c r="F508" s="23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</row>
    <row r="509" spans="2:20" ht="19.5" customHeight="1" x14ac:dyDescent="0.25">
      <c r="B509" s="22"/>
      <c r="C509" s="22"/>
      <c r="D509" s="23"/>
      <c r="E509" s="23"/>
      <c r="F509" s="23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</row>
    <row r="510" spans="2:20" ht="19.5" customHeight="1" x14ac:dyDescent="0.25">
      <c r="B510" s="22"/>
      <c r="C510" s="22"/>
      <c r="D510" s="23"/>
      <c r="E510" s="23"/>
      <c r="F510" s="23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</row>
    <row r="511" spans="2:20" ht="19.5" customHeight="1" x14ac:dyDescent="0.25">
      <c r="B511" s="22"/>
      <c r="C511" s="22"/>
      <c r="D511" s="23"/>
      <c r="E511" s="23"/>
      <c r="F511" s="23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</row>
    <row r="512" spans="2:20" ht="19.5" customHeight="1" x14ac:dyDescent="0.25">
      <c r="B512" s="22"/>
      <c r="C512" s="22"/>
      <c r="D512" s="23"/>
      <c r="E512" s="23"/>
      <c r="F512" s="23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</row>
    <row r="513" spans="2:20" ht="19.5" customHeight="1" x14ac:dyDescent="0.25">
      <c r="B513" s="22"/>
      <c r="C513" s="22"/>
      <c r="D513" s="23"/>
      <c r="E513" s="23"/>
      <c r="F513" s="23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</row>
    <row r="514" spans="2:20" ht="19.5" customHeight="1" x14ac:dyDescent="0.25">
      <c r="B514" s="22"/>
      <c r="C514" s="22"/>
      <c r="D514" s="23"/>
      <c r="E514" s="23"/>
      <c r="F514" s="23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</row>
    <row r="515" spans="2:20" ht="19.5" customHeight="1" x14ac:dyDescent="0.25">
      <c r="B515" s="22"/>
      <c r="C515" s="22"/>
      <c r="D515" s="23"/>
      <c r="E515" s="23"/>
      <c r="F515" s="23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</row>
    <row r="516" spans="2:20" ht="19.5" customHeight="1" x14ac:dyDescent="0.25">
      <c r="B516" s="22"/>
      <c r="C516" s="22"/>
      <c r="D516" s="23"/>
      <c r="E516" s="23"/>
      <c r="F516" s="23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</row>
    <row r="517" spans="2:20" ht="19.5" customHeight="1" x14ac:dyDescent="0.25">
      <c r="B517" s="22"/>
      <c r="C517" s="22"/>
      <c r="D517" s="23"/>
      <c r="E517" s="23"/>
      <c r="F517" s="23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</row>
    <row r="518" spans="2:20" ht="19.5" customHeight="1" x14ac:dyDescent="0.25">
      <c r="B518" s="22"/>
      <c r="C518" s="22"/>
      <c r="D518" s="23"/>
      <c r="E518" s="23"/>
      <c r="F518" s="23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</row>
    <row r="519" spans="2:20" ht="19.5" customHeight="1" x14ac:dyDescent="0.25">
      <c r="B519" s="22"/>
      <c r="C519" s="22"/>
      <c r="D519" s="23"/>
      <c r="E519" s="23"/>
      <c r="F519" s="23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</row>
    <row r="520" spans="2:20" ht="19.5" customHeight="1" x14ac:dyDescent="0.25">
      <c r="B520" s="22"/>
      <c r="C520" s="22"/>
      <c r="D520" s="23"/>
      <c r="E520" s="23"/>
      <c r="F520" s="23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</row>
    <row r="521" spans="2:20" ht="19.5" customHeight="1" x14ac:dyDescent="0.25">
      <c r="B521" s="22"/>
      <c r="C521" s="22"/>
      <c r="D521" s="23"/>
      <c r="E521" s="23"/>
      <c r="F521" s="23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</row>
    <row r="522" spans="2:20" ht="19.5" customHeight="1" x14ac:dyDescent="0.25">
      <c r="B522" s="22"/>
      <c r="C522" s="22"/>
      <c r="D522" s="23"/>
      <c r="E522" s="23"/>
      <c r="F522" s="23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</row>
    <row r="523" spans="2:20" ht="19.5" customHeight="1" x14ac:dyDescent="0.25">
      <c r="B523" s="22"/>
      <c r="C523" s="22"/>
      <c r="D523" s="23"/>
      <c r="E523" s="23"/>
      <c r="F523" s="23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</row>
    <row r="524" spans="2:20" ht="19.5" customHeight="1" x14ac:dyDescent="0.25">
      <c r="B524" s="22"/>
      <c r="C524" s="22"/>
      <c r="D524" s="23"/>
      <c r="E524" s="23"/>
      <c r="F524" s="23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</row>
    <row r="525" spans="2:20" ht="19.5" customHeight="1" x14ac:dyDescent="0.25">
      <c r="B525" s="22"/>
      <c r="C525" s="22"/>
      <c r="D525" s="23"/>
      <c r="E525" s="23"/>
      <c r="F525" s="23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</row>
    <row r="526" spans="2:20" ht="19.5" customHeight="1" x14ac:dyDescent="0.25">
      <c r="B526" s="22"/>
      <c r="C526" s="22"/>
      <c r="D526" s="23"/>
      <c r="E526" s="23"/>
      <c r="F526" s="23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</row>
    <row r="527" spans="2:20" ht="19.5" customHeight="1" x14ac:dyDescent="0.25">
      <c r="B527" s="22"/>
      <c r="C527" s="22"/>
      <c r="D527" s="23"/>
      <c r="E527" s="23"/>
      <c r="F527" s="23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</row>
    <row r="528" spans="2:20" ht="19.5" customHeight="1" x14ac:dyDescent="0.25">
      <c r="B528" s="22"/>
      <c r="C528" s="22"/>
      <c r="D528" s="23"/>
      <c r="E528" s="23"/>
      <c r="F528" s="23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</row>
    <row r="529" spans="2:20" ht="19.5" customHeight="1" x14ac:dyDescent="0.25">
      <c r="B529" s="22"/>
      <c r="C529" s="22"/>
      <c r="D529" s="23"/>
      <c r="E529" s="23"/>
      <c r="F529" s="23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</row>
    <row r="530" spans="2:20" ht="19.5" customHeight="1" x14ac:dyDescent="0.25">
      <c r="B530" s="22"/>
      <c r="C530" s="22"/>
      <c r="D530" s="23"/>
      <c r="E530" s="23"/>
      <c r="F530" s="23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</row>
    <row r="531" spans="2:20" ht="19.5" customHeight="1" x14ac:dyDescent="0.25">
      <c r="B531" s="22"/>
      <c r="C531" s="22"/>
      <c r="D531" s="23"/>
      <c r="E531" s="23"/>
      <c r="F531" s="23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</row>
    <row r="532" spans="2:20" ht="19.5" customHeight="1" x14ac:dyDescent="0.25">
      <c r="B532" s="22"/>
      <c r="C532" s="22"/>
      <c r="D532" s="23"/>
      <c r="E532" s="23"/>
      <c r="F532" s="23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</row>
    <row r="533" spans="2:20" ht="19.5" customHeight="1" x14ac:dyDescent="0.25">
      <c r="B533" s="22"/>
      <c r="C533" s="22"/>
      <c r="D533" s="23"/>
      <c r="E533" s="23"/>
      <c r="F533" s="23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</row>
    <row r="534" spans="2:20" ht="19.5" customHeight="1" x14ac:dyDescent="0.25">
      <c r="B534" s="22"/>
      <c r="C534" s="22"/>
      <c r="D534" s="23"/>
      <c r="E534" s="23"/>
      <c r="F534" s="23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</row>
    <row r="535" spans="2:20" ht="19.5" customHeight="1" x14ac:dyDescent="0.25">
      <c r="B535" s="22"/>
      <c r="C535" s="22"/>
      <c r="D535" s="23"/>
      <c r="E535" s="23"/>
      <c r="F535" s="23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</row>
    <row r="536" spans="2:20" ht="19.5" customHeight="1" x14ac:dyDescent="0.25">
      <c r="B536" s="22"/>
      <c r="C536" s="22"/>
      <c r="D536" s="23"/>
      <c r="E536" s="23"/>
      <c r="F536" s="23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</row>
    <row r="537" spans="2:20" ht="19.5" customHeight="1" x14ac:dyDescent="0.25">
      <c r="B537" s="22"/>
      <c r="C537" s="22"/>
      <c r="D537" s="23"/>
      <c r="E537" s="23"/>
      <c r="F537" s="23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</row>
    <row r="538" spans="2:20" ht="19.5" customHeight="1" x14ac:dyDescent="0.25">
      <c r="B538" s="22"/>
      <c r="C538" s="22"/>
      <c r="D538" s="23"/>
      <c r="E538" s="23"/>
      <c r="F538" s="23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</row>
    <row r="539" spans="2:20" ht="19.5" customHeight="1" x14ac:dyDescent="0.25">
      <c r="B539" s="22"/>
      <c r="C539" s="22"/>
      <c r="D539" s="23"/>
      <c r="E539" s="23"/>
      <c r="F539" s="23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</row>
    <row r="540" spans="2:20" ht="19.5" customHeight="1" x14ac:dyDescent="0.25">
      <c r="B540" s="22"/>
      <c r="C540" s="22"/>
      <c r="D540" s="23"/>
      <c r="E540" s="23"/>
      <c r="F540" s="23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</row>
    <row r="541" spans="2:20" ht="19.5" customHeight="1" x14ac:dyDescent="0.25">
      <c r="B541" s="22"/>
      <c r="C541" s="22"/>
      <c r="D541" s="23"/>
      <c r="E541" s="23"/>
      <c r="F541" s="23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</row>
    <row r="542" spans="2:20" ht="19.5" customHeight="1" x14ac:dyDescent="0.25">
      <c r="B542" s="22"/>
      <c r="C542" s="22"/>
      <c r="D542" s="23"/>
      <c r="E542" s="23"/>
      <c r="F542" s="23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</row>
    <row r="543" spans="2:20" ht="19.5" customHeight="1" x14ac:dyDescent="0.25">
      <c r="B543" s="22"/>
      <c r="C543" s="22"/>
      <c r="D543" s="23"/>
      <c r="E543" s="23"/>
      <c r="F543" s="23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</row>
    <row r="544" spans="2:20" ht="19.5" customHeight="1" x14ac:dyDescent="0.25">
      <c r="B544" s="22"/>
      <c r="C544" s="22"/>
      <c r="D544" s="23"/>
      <c r="E544" s="23"/>
      <c r="F544" s="23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</row>
    <row r="545" spans="2:20" ht="19.5" customHeight="1" x14ac:dyDescent="0.25">
      <c r="B545" s="22"/>
      <c r="C545" s="22"/>
      <c r="D545" s="23"/>
      <c r="E545" s="23"/>
      <c r="F545" s="23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</row>
    <row r="546" spans="2:20" ht="19.5" customHeight="1" x14ac:dyDescent="0.25">
      <c r="B546" s="22"/>
      <c r="C546" s="22"/>
      <c r="D546" s="23"/>
      <c r="E546" s="23"/>
      <c r="F546" s="23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</row>
    <row r="547" spans="2:20" ht="19.5" customHeight="1" x14ac:dyDescent="0.25">
      <c r="B547" s="22"/>
      <c r="C547" s="22"/>
      <c r="D547" s="23"/>
      <c r="E547" s="23"/>
      <c r="F547" s="23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</row>
    <row r="548" spans="2:20" ht="19.5" customHeight="1" x14ac:dyDescent="0.25">
      <c r="B548" s="22"/>
      <c r="C548" s="22"/>
      <c r="D548" s="23"/>
      <c r="E548" s="23"/>
      <c r="F548" s="23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</row>
    <row r="549" spans="2:20" ht="19.5" customHeight="1" x14ac:dyDescent="0.25">
      <c r="B549" s="22"/>
      <c r="C549" s="22"/>
      <c r="D549" s="23"/>
      <c r="E549" s="23"/>
      <c r="F549" s="23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</row>
    <row r="550" spans="2:20" ht="19.5" customHeight="1" x14ac:dyDescent="0.25">
      <c r="B550" s="22"/>
      <c r="C550" s="22"/>
      <c r="D550" s="23"/>
      <c r="E550" s="23"/>
      <c r="F550" s="23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</row>
    <row r="551" spans="2:20" ht="19.5" customHeight="1" x14ac:dyDescent="0.25">
      <c r="B551" s="22"/>
      <c r="C551" s="22"/>
      <c r="D551" s="23"/>
      <c r="E551" s="23"/>
      <c r="F551" s="23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</row>
    <row r="552" spans="2:20" ht="19.5" customHeight="1" x14ac:dyDescent="0.25">
      <c r="B552" s="22"/>
      <c r="C552" s="22"/>
      <c r="D552" s="23"/>
      <c r="E552" s="23"/>
      <c r="F552" s="23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</row>
    <row r="553" spans="2:20" ht="19.5" customHeight="1" x14ac:dyDescent="0.25">
      <c r="B553" s="22"/>
      <c r="C553" s="22"/>
      <c r="D553" s="23"/>
      <c r="E553" s="23"/>
      <c r="F553" s="23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</row>
    <row r="554" spans="2:20" ht="19.5" customHeight="1" x14ac:dyDescent="0.25">
      <c r="B554" s="22"/>
      <c r="C554" s="22"/>
      <c r="D554" s="23"/>
      <c r="E554" s="23"/>
      <c r="F554" s="23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</row>
    <row r="555" spans="2:20" ht="19.5" customHeight="1" x14ac:dyDescent="0.25">
      <c r="B555" s="22"/>
      <c r="C555" s="22"/>
      <c r="D555" s="23"/>
      <c r="E555" s="23"/>
      <c r="F555" s="23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</row>
    <row r="556" spans="2:20" ht="19.5" customHeight="1" x14ac:dyDescent="0.25">
      <c r="B556" s="22"/>
      <c r="C556" s="22"/>
      <c r="D556" s="23"/>
      <c r="E556" s="23"/>
      <c r="F556" s="23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</row>
    <row r="557" spans="2:20" ht="19.5" customHeight="1" x14ac:dyDescent="0.25">
      <c r="B557" s="22"/>
      <c r="C557" s="22"/>
      <c r="D557" s="23"/>
      <c r="E557" s="23"/>
      <c r="F557" s="23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</row>
    <row r="558" spans="2:20" ht="19.5" customHeight="1" x14ac:dyDescent="0.25">
      <c r="B558" s="22"/>
      <c r="C558" s="22"/>
      <c r="D558" s="23"/>
      <c r="E558" s="23"/>
      <c r="F558" s="23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</row>
    <row r="559" spans="2:20" ht="19.5" customHeight="1" x14ac:dyDescent="0.25">
      <c r="B559" s="22"/>
      <c r="C559" s="22"/>
      <c r="D559" s="23"/>
      <c r="E559" s="23"/>
      <c r="F559" s="23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</row>
    <row r="560" spans="2:20" ht="19.5" customHeight="1" x14ac:dyDescent="0.25">
      <c r="B560" s="22"/>
      <c r="C560" s="22"/>
      <c r="D560" s="23"/>
      <c r="E560" s="23"/>
      <c r="F560" s="23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</row>
    <row r="561" spans="2:20" ht="19.5" customHeight="1" x14ac:dyDescent="0.25">
      <c r="B561" s="22"/>
      <c r="C561" s="22"/>
      <c r="D561" s="23"/>
      <c r="E561" s="23"/>
      <c r="F561" s="23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</row>
    <row r="562" spans="2:20" ht="19.5" customHeight="1" x14ac:dyDescent="0.25">
      <c r="B562" s="22"/>
      <c r="C562" s="22"/>
      <c r="D562" s="23"/>
      <c r="E562" s="23"/>
      <c r="F562" s="23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</row>
    <row r="563" spans="2:20" ht="19.5" customHeight="1" x14ac:dyDescent="0.25">
      <c r="B563" s="22"/>
      <c r="C563" s="22"/>
      <c r="D563" s="23"/>
      <c r="E563" s="23"/>
      <c r="F563" s="23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</row>
    <row r="564" spans="2:20" ht="19.5" customHeight="1" x14ac:dyDescent="0.25">
      <c r="B564" s="22"/>
      <c r="C564" s="22"/>
      <c r="D564" s="23"/>
      <c r="E564" s="23"/>
      <c r="F564" s="23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</row>
    <row r="565" spans="2:20" ht="19.5" customHeight="1" x14ac:dyDescent="0.25">
      <c r="B565" s="22"/>
      <c r="C565" s="22"/>
      <c r="D565" s="23"/>
      <c r="E565" s="23"/>
      <c r="F565" s="23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</row>
    <row r="566" spans="2:20" ht="19.5" customHeight="1" x14ac:dyDescent="0.25">
      <c r="B566" s="22"/>
      <c r="C566" s="22"/>
      <c r="D566" s="23"/>
      <c r="E566" s="23"/>
      <c r="F566" s="23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</row>
    <row r="567" spans="2:20" ht="19.5" customHeight="1" x14ac:dyDescent="0.25">
      <c r="B567" s="22"/>
      <c r="C567" s="22"/>
      <c r="D567" s="23"/>
      <c r="E567" s="23"/>
      <c r="F567" s="23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</row>
    <row r="568" spans="2:20" ht="19.5" customHeight="1" x14ac:dyDescent="0.25">
      <c r="B568" s="22"/>
      <c r="C568" s="22"/>
      <c r="D568" s="23"/>
      <c r="E568" s="23"/>
      <c r="F568" s="23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</row>
    <row r="569" spans="2:20" ht="19.5" customHeight="1" x14ac:dyDescent="0.25">
      <c r="B569" s="22"/>
      <c r="C569" s="22"/>
      <c r="D569" s="23"/>
      <c r="E569" s="23"/>
      <c r="F569" s="23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</row>
    <row r="570" spans="2:20" ht="19.5" customHeight="1" x14ac:dyDescent="0.25">
      <c r="B570" s="22"/>
      <c r="C570" s="22"/>
      <c r="D570" s="23"/>
      <c r="E570" s="23"/>
      <c r="F570" s="23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</row>
    <row r="571" spans="2:20" ht="19.5" customHeight="1" x14ac:dyDescent="0.25">
      <c r="B571" s="22"/>
      <c r="C571" s="22"/>
      <c r="D571" s="23"/>
      <c r="E571" s="23"/>
      <c r="F571" s="23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</row>
    <row r="572" spans="2:20" ht="19.5" customHeight="1" x14ac:dyDescent="0.25">
      <c r="B572" s="22"/>
      <c r="C572" s="22"/>
      <c r="D572" s="23"/>
      <c r="E572" s="23"/>
      <c r="F572" s="23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</row>
    <row r="573" spans="2:20" ht="19.5" customHeight="1" x14ac:dyDescent="0.25">
      <c r="B573" s="22"/>
      <c r="C573" s="22"/>
      <c r="D573" s="23"/>
      <c r="E573" s="23"/>
      <c r="F573" s="23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</row>
    <row r="574" spans="2:20" ht="19.5" customHeight="1" x14ac:dyDescent="0.25">
      <c r="B574" s="22"/>
      <c r="C574" s="22"/>
      <c r="D574" s="23"/>
      <c r="E574" s="23"/>
      <c r="F574" s="23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</row>
    <row r="575" spans="2:20" ht="19.5" customHeight="1" x14ac:dyDescent="0.25">
      <c r="B575" s="22"/>
      <c r="C575" s="22"/>
      <c r="D575" s="23"/>
      <c r="E575" s="23"/>
      <c r="F575" s="23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</row>
    <row r="576" spans="2:20" ht="19.5" customHeight="1" x14ac:dyDescent="0.25">
      <c r="B576" s="22"/>
      <c r="C576" s="22"/>
      <c r="D576" s="23"/>
      <c r="E576" s="23"/>
      <c r="F576" s="23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</row>
    <row r="577" spans="2:20" ht="19.5" customHeight="1" x14ac:dyDescent="0.25">
      <c r="B577" s="22"/>
      <c r="C577" s="22"/>
      <c r="D577" s="23"/>
      <c r="E577" s="23"/>
      <c r="F577" s="23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</row>
    <row r="578" spans="2:20" ht="19.5" customHeight="1" x14ac:dyDescent="0.25">
      <c r="B578" s="22"/>
      <c r="C578" s="22"/>
      <c r="D578" s="23"/>
      <c r="E578" s="23"/>
      <c r="F578" s="23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</row>
    <row r="579" spans="2:20" ht="19.5" customHeight="1" x14ac:dyDescent="0.25">
      <c r="B579" s="22"/>
      <c r="C579" s="22"/>
      <c r="D579" s="23"/>
      <c r="E579" s="23"/>
      <c r="F579" s="23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</row>
    <row r="580" spans="2:20" ht="19.5" customHeight="1" x14ac:dyDescent="0.25">
      <c r="B580" s="22"/>
      <c r="C580" s="22"/>
      <c r="D580" s="23"/>
      <c r="E580" s="23"/>
      <c r="F580" s="23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</row>
    <row r="581" spans="2:20" ht="19.5" customHeight="1" x14ac:dyDescent="0.25">
      <c r="B581" s="22"/>
      <c r="C581" s="22"/>
      <c r="D581" s="23"/>
      <c r="E581" s="23"/>
      <c r="F581" s="23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</row>
    <row r="582" spans="2:20" ht="19.5" customHeight="1" x14ac:dyDescent="0.25">
      <c r="B582" s="22"/>
      <c r="C582" s="22"/>
      <c r="D582" s="23"/>
      <c r="E582" s="23"/>
      <c r="F582" s="23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</row>
    <row r="583" spans="2:20" ht="19.5" customHeight="1" x14ac:dyDescent="0.25">
      <c r="B583" s="22"/>
      <c r="C583" s="22"/>
      <c r="D583" s="23"/>
      <c r="E583" s="23"/>
      <c r="F583" s="23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</row>
    <row r="584" spans="2:20" ht="19.5" customHeight="1" x14ac:dyDescent="0.25">
      <c r="B584" s="22"/>
      <c r="C584" s="22"/>
      <c r="D584" s="23"/>
      <c r="E584" s="23"/>
      <c r="F584" s="23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</row>
    <row r="585" spans="2:20" ht="19.5" customHeight="1" x14ac:dyDescent="0.25">
      <c r="B585" s="22"/>
      <c r="C585" s="22"/>
      <c r="D585" s="23"/>
      <c r="E585" s="23"/>
      <c r="F585" s="23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</row>
    <row r="586" spans="2:20" ht="19.5" customHeight="1" x14ac:dyDescent="0.25">
      <c r="B586" s="22"/>
      <c r="C586" s="22"/>
      <c r="D586" s="23"/>
      <c r="E586" s="23"/>
      <c r="F586" s="23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</row>
    <row r="587" spans="2:20" ht="19.5" customHeight="1" x14ac:dyDescent="0.25">
      <c r="B587" s="22"/>
      <c r="C587" s="22"/>
      <c r="D587" s="23"/>
      <c r="E587" s="23"/>
      <c r="F587" s="23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</row>
    <row r="588" spans="2:20" ht="19.5" customHeight="1" x14ac:dyDescent="0.25">
      <c r="B588" s="22"/>
      <c r="C588" s="22"/>
      <c r="D588" s="23"/>
      <c r="E588" s="23"/>
      <c r="F588" s="23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</row>
    <row r="589" spans="2:20" ht="19.5" customHeight="1" x14ac:dyDescent="0.25">
      <c r="B589" s="22"/>
      <c r="C589" s="22"/>
      <c r="D589" s="23"/>
      <c r="E589" s="23"/>
      <c r="F589" s="23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</row>
    <row r="590" spans="2:20" ht="19.5" customHeight="1" x14ac:dyDescent="0.25">
      <c r="B590" s="22"/>
      <c r="C590" s="22"/>
      <c r="D590" s="23"/>
      <c r="E590" s="23"/>
      <c r="F590" s="23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</row>
    <row r="591" spans="2:20" ht="19.5" customHeight="1" x14ac:dyDescent="0.25">
      <c r="B591" s="22"/>
      <c r="C591" s="22"/>
      <c r="D591" s="23"/>
      <c r="E591" s="23"/>
      <c r="F591" s="23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</row>
    <row r="592" spans="2:20" ht="19.5" customHeight="1" x14ac:dyDescent="0.25">
      <c r="B592" s="22"/>
      <c r="C592" s="22"/>
      <c r="D592" s="23"/>
      <c r="E592" s="23"/>
      <c r="F592" s="23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</row>
    <row r="593" spans="2:20" ht="19.5" customHeight="1" x14ac:dyDescent="0.25">
      <c r="B593" s="22"/>
      <c r="C593" s="22"/>
      <c r="D593" s="23"/>
      <c r="E593" s="23"/>
      <c r="F593" s="23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</row>
    <row r="594" spans="2:20" ht="19.5" customHeight="1" x14ac:dyDescent="0.25">
      <c r="B594" s="22"/>
      <c r="C594" s="22"/>
      <c r="D594" s="23"/>
      <c r="E594" s="23"/>
      <c r="F594" s="23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</row>
    <row r="595" spans="2:20" ht="19.5" customHeight="1" x14ac:dyDescent="0.25">
      <c r="B595" s="22"/>
      <c r="C595" s="22"/>
      <c r="D595" s="23"/>
      <c r="E595" s="23"/>
      <c r="F595" s="23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</row>
    <row r="596" spans="2:20" ht="19.5" customHeight="1" x14ac:dyDescent="0.25">
      <c r="B596" s="22"/>
      <c r="C596" s="22"/>
      <c r="D596" s="23"/>
      <c r="E596" s="23"/>
      <c r="F596" s="23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</row>
    <row r="597" spans="2:20" ht="19.5" customHeight="1" x14ac:dyDescent="0.25">
      <c r="B597" s="22"/>
      <c r="C597" s="22"/>
      <c r="D597" s="23"/>
      <c r="E597" s="23"/>
      <c r="F597" s="23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</row>
    <row r="598" spans="2:20" ht="19.5" customHeight="1" x14ac:dyDescent="0.25">
      <c r="B598" s="22"/>
      <c r="C598" s="22"/>
      <c r="D598" s="23"/>
      <c r="E598" s="23"/>
      <c r="F598" s="23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</row>
    <row r="599" spans="2:20" ht="19.5" customHeight="1" x14ac:dyDescent="0.25">
      <c r="B599" s="22"/>
      <c r="C599" s="22"/>
      <c r="D599" s="23"/>
      <c r="E599" s="23"/>
      <c r="F599" s="23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</row>
    <row r="600" spans="2:20" ht="19.5" customHeight="1" x14ac:dyDescent="0.25">
      <c r="B600" s="22"/>
      <c r="C600" s="22"/>
      <c r="D600" s="23"/>
      <c r="E600" s="23"/>
      <c r="F600" s="23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</row>
    <row r="601" spans="2:20" ht="19.5" customHeight="1" x14ac:dyDescent="0.25">
      <c r="B601" s="22"/>
      <c r="C601" s="22"/>
      <c r="D601" s="23"/>
      <c r="E601" s="23"/>
      <c r="F601" s="23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</row>
    <row r="602" spans="2:20" ht="19.5" customHeight="1" x14ac:dyDescent="0.25">
      <c r="B602" s="22"/>
      <c r="C602" s="22"/>
      <c r="D602" s="23"/>
      <c r="E602" s="23"/>
      <c r="F602" s="23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</row>
    <row r="603" spans="2:20" ht="19.5" customHeight="1" x14ac:dyDescent="0.25">
      <c r="B603" s="22"/>
      <c r="C603" s="22"/>
      <c r="D603" s="23"/>
      <c r="E603" s="23"/>
      <c r="F603" s="23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</row>
    <row r="604" spans="2:20" ht="19.5" customHeight="1" x14ac:dyDescent="0.25">
      <c r="B604" s="22"/>
      <c r="C604" s="22"/>
      <c r="D604" s="23"/>
      <c r="E604" s="23"/>
      <c r="F604" s="23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</row>
    <row r="605" spans="2:20" ht="19.5" customHeight="1" x14ac:dyDescent="0.25">
      <c r="B605" s="22"/>
      <c r="C605" s="22"/>
      <c r="D605" s="23"/>
      <c r="E605" s="23"/>
      <c r="F605" s="23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</row>
    <row r="606" spans="2:20" ht="19.5" customHeight="1" x14ac:dyDescent="0.25">
      <c r="B606" s="22"/>
      <c r="C606" s="22"/>
      <c r="D606" s="23"/>
      <c r="E606" s="23"/>
      <c r="F606" s="23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</row>
    <row r="607" spans="2:20" ht="19.5" customHeight="1" x14ac:dyDescent="0.25">
      <c r="B607" s="22"/>
      <c r="C607" s="22"/>
      <c r="D607" s="23"/>
      <c r="E607" s="23"/>
      <c r="F607" s="23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</row>
    <row r="608" spans="2:20" ht="19.5" customHeight="1" x14ac:dyDescent="0.25">
      <c r="B608" s="22"/>
      <c r="C608" s="22"/>
      <c r="D608" s="23"/>
      <c r="E608" s="23"/>
      <c r="F608" s="23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</row>
    <row r="609" spans="2:20" ht="19.5" customHeight="1" x14ac:dyDescent="0.25">
      <c r="B609" s="22"/>
      <c r="C609" s="22"/>
      <c r="D609" s="23"/>
      <c r="E609" s="23"/>
      <c r="F609" s="23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</row>
    <row r="610" spans="2:20" ht="19.5" customHeight="1" x14ac:dyDescent="0.25">
      <c r="B610" s="22"/>
      <c r="C610" s="22"/>
      <c r="D610" s="23"/>
      <c r="E610" s="23"/>
      <c r="F610" s="23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</row>
    <row r="611" spans="2:20" ht="19.5" customHeight="1" x14ac:dyDescent="0.25">
      <c r="B611" s="22"/>
      <c r="C611" s="22"/>
      <c r="D611" s="23"/>
      <c r="E611" s="23"/>
      <c r="F611" s="23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</row>
    <row r="612" spans="2:20" ht="19.5" customHeight="1" x14ac:dyDescent="0.25">
      <c r="B612" s="22"/>
      <c r="C612" s="22"/>
      <c r="D612" s="23"/>
      <c r="E612" s="23"/>
      <c r="F612" s="23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</row>
    <row r="613" spans="2:20" ht="19.5" customHeight="1" x14ac:dyDescent="0.25">
      <c r="B613" s="22"/>
      <c r="C613" s="22"/>
      <c r="D613" s="23"/>
      <c r="E613" s="23"/>
      <c r="F613" s="23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</row>
    <row r="614" spans="2:20" ht="19.5" customHeight="1" x14ac:dyDescent="0.25">
      <c r="B614" s="22"/>
      <c r="C614" s="22"/>
      <c r="D614" s="23"/>
      <c r="E614" s="23"/>
      <c r="F614" s="23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</row>
    <row r="615" spans="2:20" ht="19.5" customHeight="1" x14ac:dyDescent="0.25">
      <c r="B615" s="22"/>
      <c r="C615" s="22"/>
      <c r="D615" s="23"/>
      <c r="E615" s="23"/>
      <c r="F615" s="23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</row>
    <row r="616" spans="2:20" ht="19.5" customHeight="1" x14ac:dyDescent="0.25">
      <c r="B616" s="22"/>
      <c r="C616" s="22"/>
      <c r="D616" s="23"/>
      <c r="E616" s="23"/>
      <c r="F616" s="23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</row>
    <row r="617" spans="2:20" ht="19.5" customHeight="1" x14ac:dyDescent="0.25">
      <c r="B617" s="22"/>
      <c r="C617" s="22"/>
      <c r="D617" s="23"/>
      <c r="E617" s="23"/>
      <c r="F617" s="23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</row>
    <row r="618" spans="2:20" ht="19.5" customHeight="1" x14ac:dyDescent="0.25">
      <c r="B618" s="22"/>
      <c r="C618" s="22"/>
      <c r="D618" s="23"/>
      <c r="E618" s="23"/>
      <c r="F618" s="23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</row>
    <row r="619" spans="2:20" ht="19.5" customHeight="1" x14ac:dyDescent="0.25">
      <c r="B619" s="22"/>
      <c r="C619" s="22"/>
      <c r="D619" s="23"/>
      <c r="E619" s="23"/>
      <c r="F619" s="23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</row>
    <row r="620" spans="2:20" ht="19.5" customHeight="1" x14ac:dyDescent="0.25">
      <c r="B620" s="22"/>
      <c r="C620" s="22"/>
      <c r="D620" s="23"/>
      <c r="E620" s="23"/>
      <c r="F620" s="23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</row>
    <row r="621" spans="2:20" ht="19.5" customHeight="1" x14ac:dyDescent="0.25">
      <c r="B621" s="22"/>
      <c r="C621" s="22"/>
      <c r="D621" s="23"/>
      <c r="E621" s="23"/>
      <c r="F621" s="23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</row>
    <row r="622" spans="2:20" ht="19.5" customHeight="1" x14ac:dyDescent="0.25">
      <c r="B622" s="22"/>
      <c r="C622" s="22"/>
      <c r="D622" s="23"/>
      <c r="E622" s="23"/>
      <c r="F622" s="23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</row>
    <row r="623" spans="2:20" ht="19.5" customHeight="1" x14ac:dyDescent="0.25">
      <c r="B623" s="22"/>
      <c r="C623" s="22"/>
      <c r="D623" s="23"/>
      <c r="E623" s="23"/>
      <c r="F623" s="23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</row>
    <row r="624" spans="2:20" ht="19.5" customHeight="1" x14ac:dyDescent="0.25">
      <c r="B624" s="22"/>
      <c r="C624" s="22"/>
      <c r="D624" s="23"/>
      <c r="E624" s="23"/>
      <c r="F624" s="23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</row>
    <row r="625" spans="2:20" ht="19.5" customHeight="1" x14ac:dyDescent="0.25">
      <c r="B625" s="22"/>
      <c r="C625" s="22"/>
      <c r="D625" s="23"/>
      <c r="E625" s="23"/>
      <c r="F625" s="23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</row>
    <row r="626" spans="2:20" ht="19.5" customHeight="1" x14ac:dyDescent="0.25">
      <c r="B626" s="22"/>
      <c r="C626" s="22"/>
      <c r="D626" s="23"/>
      <c r="E626" s="23"/>
      <c r="F626" s="23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</row>
    <row r="627" spans="2:20" ht="19.5" customHeight="1" x14ac:dyDescent="0.25">
      <c r="B627" s="22"/>
      <c r="C627" s="22"/>
      <c r="D627" s="23"/>
      <c r="E627" s="23"/>
      <c r="F627" s="23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</row>
    <row r="628" spans="2:20" ht="19.5" customHeight="1" x14ac:dyDescent="0.25">
      <c r="B628" s="22"/>
      <c r="C628" s="22"/>
      <c r="D628" s="23"/>
      <c r="E628" s="23"/>
      <c r="F628" s="23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</row>
    <row r="629" spans="2:20" ht="19.5" customHeight="1" x14ac:dyDescent="0.25">
      <c r="B629" s="22"/>
      <c r="C629" s="22"/>
      <c r="D629" s="23"/>
      <c r="E629" s="23"/>
      <c r="F629" s="23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</row>
    <row r="630" spans="2:20" ht="19.5" customHeight="1" x14ac:dyDescent="0.25">
      <c r="B630" s="22"/>
      <c r="C630" s="22"/>
      <c r="D630" s="23"/>
      <c r="E630" s="23"/>
      <c r="F630" s="23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</row>
    <row r="631" spans="2:20" ht="19.5" customHeight="1" x14ac:dyDescent="0.25">
      <c r="B631" s="22"/>
      <c r="C631" s="22"/>
      <c r="D631" s="23"/>
      <c r="E631" s="23"/>
      <c r="F631" s="23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</row>
    <row r="632" spans="2:20" ht="19.5" customHeight="1" x14ac:dyDescent="0.25">
      <c r="B632" s="22"/>
      <c r="C632" s="22"/>
      <c r="D632" s="23"/>
      <c r="E632" s="23"/>
      <c r="F632" s="23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</row>
    <row r="633" spans="2:20" ht="19.5" customHeight="1" x14ac:dyDescent="0.25">
      <c r="B633" s="22"/>
      <c r="C633" s="22"/>
      <c r="D633" s="23"/>
      <c r="E633" s="23"/>
      <c r="F633" s="23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</row>
    <row r="634" spans="2:20" ht="19.5" customHeight="1" x14ac:dyDescent="0.25">
      <c r="B634" s="22"/>
      <c r="C634" s="22"/>
      <c r="D634" s="23"/>
      <c r="E634" s="23"/>
      <c r="F634" s="23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</row>
    <row r="635" spans="2:20" ht="19.5" customHeight="1" x14ac:dyDescent="0.25">
      <c r="B635" s="22"/>
      <c r="C635" s="22"/>
      <c r="D635" s="23"/>
      <c r="E635" s="23"/>
      <c r="F635" s="23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</row>
    <row r="636" spans="2:20" ht="19.5" customHeight="1" x14ac:dyDescent="0.25">
      <c r="B636" s="22"/>
      <c r="C636" s="22"/>
      <c r="D636" s="23"/>
      <c r="E636" s="23"/>
      <c r="F636" s="23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</row>
    <row r="637" spans="2:20" ht="19.5" customHeight="1" x14ac:dyDescent="0.25">
      <c r="B637" s="22"/>
      <c r="C637" s="22"/>
      <c r="D637" s="23"/>
      <c r="E637" s="23"/>
      <c r="F637" s="23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</row>
    <row r="638" spans="2:20" ht="19.5" customHeight="1" x14ac:dyDescent="0.25">
      <c r="B638" s="22"/>
      <c r="C638" s="22"/>
      <c r="D638" s="23"/>
      <c r="E638" s="23"/>
      <c r="F638" s="23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</row>
    <row r="639" spans="2:20" ht="19.5" customHeight="1" x14ac:dyDescent="0.25">
      <c r="B639" s="22"/>
      <c r="C639" s="22"/>
      <c r="D639" s="23"/>
      <c r="E639" s="23"/>
      <c r="F639" s="23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</row>
    <row r="640" spans="2:20" ht="19.5" customHeight="1" x14ac:dyDescent="0.25">
      <c r="B640" s="22"/>
      <c r="C640" s="22"/>
      <c r="D640" s="23"/>
      <c r="E640" s="23"/>
      <c r="F640" s="23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</row>
    <row r="641" spans="2:20" ht="19.5" customHeight="1" x14ac:dyDescent="0.25">
      <c r="B641" s="22"/>
      <c r="C641" s="22"/>
      <c r="D641" s="23"/>
      <c r="E641" s="23"/>
      <c r="F641" s="23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</row>
    <row r="642" spans="2:20" ht="19.5" customHeight="1" x14ac:dyDescent="0.25">
      <c r="B642" s="22"/>
      <c r="C642" s="22"/>
      <c r="D642" s="23"/>
      <c r="E642" s="23"/>
      <c r="F642" s="23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</row>
    <row r="643" spans="2:20" ht="19.5" customHeight="1" x14ac:dyDescent="0.25">
      <c r="B643" s="22"/>
      <c r="C643" s="22"/>
      <c r="D643" s="23"/>
      <c r="E643" s="23"/>
      <c r="F643" s="23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</row>
    <row r="644" spans="2:20" ht="19.5" customHeight="1" x14ac:dyDescent="0.25">
      <c r="B644" s="22"/>
      <c r="C644" s="22"/>
      <c r="D644" s="23"/>
      <c r="E644" s="23"/>
      <c r="F644" s="23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</row>
    <row r="645" spans="2:20" ht="19.5" customHeight="1" x14ac:dyDescent="0.25">
      <c r="B645" s="22"/>
      <c r="C645" s="22"/>
      <c r="D645" s="23"/>
      <c r="E645" s="23"/>
      <c r="F645" s="23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</row>
    <row r="646" spans="2:20" ht="19.5" customHeight="1" x14ac:dyDescent="0.25">
      <c r="B646" s="22"/>
      <c r="C646" s="22"/>
      <c r="D646" s="23"/>
      <c r="E646" s="23"/>
      <c r="F646" s="23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</row>
    <row r="647" spans="2:20" ht="19.5" customHeight="1" x14ac:dyDescent="0.25">
      <c r="B647" s="22"/>
      <c r="C647" s="22"/>
      <c r="D647" s="23"/>
      <c r="E647" s="23"/>
      <c r="F647" s="23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</row>
    <row r="648" spans="2:20" ht="19.5" customHeight="1" x14ac:dyDescent="0.25">
      <c r="B648" s="22"/>
      <c r="C648" s="22"/>
      <c r="D648" s="23"/>
      <c r="E648" s="23"/>
      <c r="F648" s="23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</row>
    <row r="649" spans="2:20" ht="19.5" customHeight="1" x14ac:dyDescent="0.25">
      <c r="B649" s="22"/>
      <c r="C649" s="22"/>
      <c r="D649" s="23"/>
      <c r="E649" s="23"/>
      <c r="F649" s="23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</row>
    <row r="650" spans="2:20" ht="19.5" customHeight="1" x14ac:dyDescent="0.25">
      <c r="B650" s="22"/>
      <c r="C650" s="22"/>
      <c r="D650" s="23"/>
      <c r="E650" s="23"/>
      <c r="F650" s="23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</row>
    <row r="651" spans="2:20" ht="19.5" customHeight="1" x14ac:dyDescent="0.25">
      <c r="B651" s="22"/>
      <c r="C651" s="22"/>
      <c r="D651" s="23"/>
      <c r="E651" s="23"/>
      <c r="F651" s="23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</row>
    <row r="652" spans="2:20" ht="19.5" customHeight="1" x14ac:dyDescent="0.25">
      <c r="B652" s="22"/>
      <c r="C652" s="22"/>
      <c r="D652" s="23"/>
      <c r="E652" s="23"/>
      <c r="F652" s="23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</row>
    <row r="653" spans="2:20" ht="19.5" customHeight="1" x14ac:dyDescent="0.25">
      <c r="B653" s="22"/>
      <c r="C653" s="22"/>
      <c r="D653" s="23"/>
      <c r="E653" s="23"/>
      <c r="F653" s="23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</row>
    <row r="654" spans="2:20" ht="19.5" customHeight="1" x14ac:dyDescent="0.25">
      <c r="B654" s="22"/>
      <c r="C654" s="22"/>
      <c r="D654" s="23"/>
      <c r="E654" s="23"/>
      <c r="F654" s="23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</row>
    <row r="655" spans="2:20" ht="19.5" customHeight="1" x14ac:dyDescent="0.25">
      <c r="B655" s="22"/>
      <c r="C655" s="22"/>
      <c r="D655" s="23"/>
      <c r="E655" s="23"/>
      <c r="F655" s="23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</row>
    <row r="656" spans="2:20" ht="19.5" customHeight="1" x14ac:dyDescent="0.25">
      <c r="B656" s="22"/>
      <c r="C656" s="22"/>
      <c r="D656" s="23"/>
      <c r="E656" s="23"/>
      <c r="F656" s="23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</row>
    <row r="657" spans="2:20" ht="19.5" customHeight="1" x14ac:dyDescent="0.25">
      <c r="B657" s="22"/>
      <c r="C657" s="22"/>
      <c r="D657" s="23"/>
      <c r="E657" s="23"/>
      <c r="F657" s="23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</row>
    <row r="658" spans="2:20" ht="19.5" customHeight="1" x14ac:dyDescent="0.25">
      <c r="B658" s="22"/>
      <c r="C658" s="22"/>
      <c r="D658" s="23"/>
      <c r="E658" s="23"/>
      <c r="F658" s="23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</row>
    <row r="659" spans="2:20" ht="19.5" customHeight="1" x14ac:dyDescent="0.25">
      <c r="B659" s="22"/>
      <c r="C659" s="22"/>
      <c r="D659" s="23"/>
      <c r="E659" s="23"/>
      <c r="F659" s="23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</row>
    <row r="660" spans="2:20" ht="19.5" customHeight="1" x14ac:dyDescent="0.25">
      <c r="B660" s="22"/>
      <c r="C660" s="22"/>
      <c r="D660" s="23"/>
      <c r="E660" s="23"/>
      <c r="F660" s="23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</row>
    <row r="661" spans="2:20" ht="19.5" customHeight="1" x14ac:dyDescent="0.25">
      <c r="B661" s="22"/>
      <c r="C661" s="22"/>
      <c r="D661" s="23"/>
      <c r="E661" s="23"/>
      <c r="F661" s="23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</row>
    <row r="662" spans="2:20" ht="19.5" customHeight="1" x14ac:dyDescent="0.25">
      <c r="B662" s="22"/>
      <c r="C662" s="22"/>
      <c r="D662" s="23"/>
      <c r="E662" s="23"/>
      <c r="F662" s="23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</row>
    <row r="663" spans="2:20" ht="19.5" customHeight="1" x14ac:dyDescent="0.25">
      <c r="B663" s="22"/>
      <c r="C663" s="22"/>
      <c r="D663" s="23"/>
      <c r="E663" s="23"/>
      <c r="F663" s="23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</row>
    <row r="664" spans="2:20" ht="19.5" customHeight="1" x14ac:dyDescent="0.25">
      <c r="B664" s="22"/>
      <c r="C664" s="22"/>
      <c r="D664" s="23"/>
      <c r="E664" s="23"/>
      <c r="F664" s="23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</row>
    <row r="665" spans="2:20" ht="19.5" customHeight="1" x14ac:dyDescent="0.25">
      <c r="B665" s="22"/>
      <c r="C665" s="22"/>
      <c r="D665" s="23"/>
      <c r="E665" s="23"/>
      <c r="F665" s="23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</row>
    <row r="666" spans="2:20" ht="19.5" customHeight="1" x14ac:dyDescent="0.25">
      <c r="B666" s="22"/>
      <c r="C666" s="22"/>
      <c r="D666" s="23"/>
      <c r="E666" s="23"/>
      <c r="F666" s="23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</row>
    <row r="667" spans="2:20" ht="19.5" customHeight="1" x14ac:dyDescent="0.25">
      <c r="B667" s="22"/>
      <c r="C667" s="22"/>
      <c r="D667" s="23"/>
      <c r="E667" s="23"/>
      <c r="F667" s="23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</row>
    <row r="668" spans="2:20" ht="19.5" customHeight="1" x14ac:dyDescent="0.25">
      <c r="B668" s="22"/>
      <c r="C668" s="22"/>
      <c r="D668" s="23"/>
      <c r="E668" s="23"/>
      <c r="F668" s="23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</row>
    <row r="669" spans="2:20" ht="19.5" customHeight="1" x14ac:dyDescent="0.25">
      <c r="B669" s="22"/>
      <c r="C669" s="22"/>
      <c r="D669" s="23"/>
      <c r="E669" s="23"/>
      <c r="F669" s="23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</row>
    <row r="670" spans="2:20" ht="19.5" customHeight="1" x14ac:dyDescent="0.25">
      <c r="B670" s="22"/>
      <c r="C670" s="22"/>
      <c r="D670" s="23"/>
      <c r="E670" s="23"/>
      <c r="F670" s="23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</row>
    <row r="671" spans="2:20" ht="19.5" customHeight="1" x14ac:dyDescent="0.25">
      <c r="B671" s="22"/>
      <c r="C671" s="22"/>
      <c r="D671" s="23"/>
      <c r="E671" s="23"/>
      <c r="F671" s="23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</row>
    <row r="672" spans="2:20" ht="19.5" customHeight="1" x14ac:dyDescent="0.25">
      <c r="B672" s="22"/>
      <c r="C672" s="22"/>
      <c r="D672" s="23"/>
      <c r="E672" s="23"/>
      <c r="F672" s="23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</row>
    <row r="673" spans="2:20" ht="19.5" customHeight="1" x14ac:dyDescent="0.25">
      <c r="B673" s="22"/>
      <c r="C673" s="22"/>
      <c r="D673" s="23"/>
      <c r="E673" s="23"/>
      <c r="F673" s="23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</row>
    <row r="674" spans="2:20" ht="19.5" customHeight="1" x14ac:dyDescent="0.25">
      <c r="B674" s="22"/>
      <c r="C674" s="22"/>
      <c r="D674" s="23"/>
      <c r="E674" s="23"/>
      <c r="F674" s="23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</row>
    <row r="675" spans="2:20" ht="19.5" customHeight="1" x14ac:dyDescent="0.25">
      <c r="B675" s="22"/>
      <c r="C675" s="22"/>
      <c r="D675" s="23"/>
      <c r="E675" s="23"/>
      <c r="F675" s="23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</row>
    <row r="676" spans="2:20" ht="19.5" customHeight="1" x14ac:dyDescent="0.25">
      <c r="B676" s="22"/>
      <c r="C676" s="22"/>
      <c r="D676" s="23"/>
      <c r="E676" s="23"/>
      <c r="F676" s="23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</row>
    <row r="677" spans="2:20" ht="19.5" customHeight="1" x14ac:dyDescent="0.25">
      <c r="B677" s="22"/>
      <c r="C677" s="22"/>
      <c r="D677" s="23"/>
      <c r="E677" s="23"/>
      <c r="F677" s="23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</row>
    <row r="678" spans="2:20" ht="19.5" customHeight="1" x14ac:dyDescent="0.25">
      <c r="B678" s="22"/>
      <c r="C678" s="22"/>
      <c r="D678" s="23"/>
      <c r="E678" s="23"/>
      <c r="F678" s="23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</row>
    <row r="679" spans="2:20" ht="19.5" customHeight="1" x14ac:dyDescent="0.25">
      <c r="B679" s="22"/>
      <c r="C679" s="22"/>
      <c r="D679" s="23"/>
      <c r="E679" s="23"/>
      <c r="F679" s="23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</row>
    <row r="680" spans="2:20" ht="19.5" customHeight="1" x14ac:dyDescent="0.25">
      <c r="B680" s="22"/>
      <c r="C680" s="22"/>
      <c r="D680" s="23"/>
      <c r="E680" s="23"/>
      <c r="F680" s="23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</row>
    <row r="681" spans="2:20" ht="19.5" customHeight="1" x14ac:dyDescent="0.25">
      <c r="B681" s="22"/>
      <c r="C681" s="22"/>
      <c r="D681" s="23"/>
      <c r="E681" s="23"/>
      <c r="F681" s="23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</row>
    <row r="682" spans="2:20" ht="19.5" customHeight="1" x14ac:dyDescent="0.25">
      <c r="B682" s="22"/>
      <c r="C682" s="22"/>
      <c r="D682" s="23"/>
      <c r="E682" s="23"/>
      <c r="F682" s="23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</row>
    <row r="683" spans="2:20" ht="19.5" customHeight="1" x14ac:dyDescent="0.25">
      <c r="B683" s="22"/>
      <c r="C683" s="22"/>
      <c r="D683" s="23"/>
      <c r="E683" s="23"/>
      <c r="F683" s="23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</row>
    <row r="684" spans="2:20" ht="19.5" customHeight="1" x14ac:dyDescent="0.25">
      <c r="B684" s="22"/>
      <c r="C684" s="22"/>
      <c r="D684" s="23"/>
      <c r="E684" s="23"/>
      <c r="F684" s="23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</row>
    <row r="685" spans="2:20" ht="19.5" customHeight="1" x14ac:dyDescent="0.25">
      <c r="B685" s="22"/>
      <c r="C685" s="22"/>
      <c r="D685" s="23"/>
      <c r="E685" s="23"/>
      <c r="F685" s="23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</row>
    <row r="686" spans="2:20" ht="19.5" customHeight="1" x14ac:dyDescent="0.25">
      <c r="B686" s="22"/>
      <c r="C686" s="22"/>
      <c r="D686" s="23"/>
      <c r="E686" s="23"/>
      <c r="F686" s="23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</row>
    <row r="687" spans="2:20" ht="19.5" customHeight="1" x14ac:dyDescent="0.25">
      <c r="B687" s="22"/>
      <c r="C687" s="22"/>
      <c r="D687" s="23"/>
      <c r="E687" s="23"/>
      <c r="F687" s="23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</row>
    <row r="688" spans="2:20" ht="19.5" customHeight="1" x14ac:dyDescent="0.25">
      <c r="B688" s="22"/>
      <c r="C688" s="22"/>
      <c r="D688" s="23"/>
      <c r="E688" s="23"/>
      <c r="F688" s="23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</row>
    <row r="689" spans="2:20" ht="19.5" customHeight="1" x14ac:dyDescent="0.25">
      <c r="B689" s="22"/>
      <c r="C689" s="22"/>
      <c r="D689" s="23"/>
      <c r="E689" s="23"/>
      <c r="F689" s="23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</row>
    <row r="690" spans="2:20" ht="19.5" customHeight="1" x14ac:dyDescent="0.25">
      <c r="B690" s="22"/>
      <c r="C690" s="22"/>
      <c r="D690" s="23"/>
      <c r="E690" s="23"/>
      <c r="F690" s="23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</row>
    <row r="691" spans="2:20" ht="19.5" customHeight="1" x14ac:dyDescent="0.25">
      <c r="B691" s="22"/>
      <c r="C691" s="22"/>
      <c r="D691" s="23"/>
      <c r="E691" s="23"/>
      <c r="F691" s="23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</row>
    <row r="692" spans="2:20" ht="19.5" customHeight="1" x14ac:dyDescent="0.25">
      <c r="B692" s="22"/>
      <c r="C692" s="22"/>
      <c r="D692" s="23"/>
      <c r="E692" s="23"/>
      <c r="F692" s="23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</row>
    <row r="693" spans="2:20" ht="19.5" customHeight="1" x14ac:dyDescent="0.25">
      <c r="B693" s="22"/>
      <c r="C693" s="22"/>
      <c r="D693" s="23"/>
      <c r="E693" s="23"/>
      <c r="F693" s="23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</row>
    <row r="694" spans="2:20" ht="19.5" customHeight="1" x14ac:dyDescent="0.25">
      <c r="B694" s="22"/>
      <c r="C694" s="22"/>
      <c r="D694" s="23"/>
      <c r="E694" s="23"/>
      <c r="F694" s="23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</row>
    <row r="695" spans="2:20" ht="19.5" customHeight="1" x14ac:dyDescent="0.25">
      <c r="B695" s="22"/>
      <c r="C695" s="22"/>
      <c r="D695" s="23"/>
      <c r="E695" s="23"/>
      <c r="F695" s="23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</row>
    <row r="696" spans="2:20" ht="19.5" customHeight="1" x14ac:dyDescent="0.25">
      <c r="B696" s="22"/>
      <c r="C696" s="22"/>
      <c r="D696" s="23"/>
      <c r="E696" s="23"/>
      <c r="F696" s="23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</row>
    <row r="697" spans="2:20" ht="19.5" customHeight="1" x14ac:dyDescent="0.25">
      <c r="B697" s="22"/>
      <c r="C697" s="22"/>
      <c r="D697" s="23"/>
      <c r="E697" s="23"/>
      <c r="F697" s="23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</row>
    <row r="698" spans="2:20" ht="19.5" customHeight="1" x14ac:dyDescent="0.25">
      <c r="B698" s="22"/>
      <c r="C698" s="22"/>
      <c r="D698" s="23"/>
      <c r="E698" s="23"/>
      <c r="F698" s="23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</row>
    <row r="699" spans="2:20" ht="19.5" customHeight="1" x14ac:dyDescent="0.25">
      <c r="B699" s="22"/>
      <c r="C699" s="22"/>
      <c r="D699" s="23"/>
      <c r="E699" s="23"/>
      <c r="F699" s="23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</row>
    <row r="700" spans="2:20" ht="19.5" customHeight="1" x14ac:dyDescent="0.25">
      <c r="B700" s="22"/>
      <c r="C700" s="22"/>
      <c r="D700" s="23"/>
      <c r="E700" s="23"/>
      <c r="F700" s="23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</row>
    <row r="701" spans="2:20" ht="19.5" customHeight="1" x14ac:dyDescent="0.25">
      <c r="B701" s="22"/>
      <c r="C701" s="22"/>
      <c r="D701" s="23"/>
      <c r="E701" s="23"/>
      <c r="F701" s="23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</row>
    <row r="702" spans="2:20" ht="19.5" customHeight="1" x14ac:dyDescent="0.25">
      <c r="B702" s="22"/>
      <c r="C702" s="22"/>
      <c r="D702" s="23"/>
      <c r="E702" s="23"/>
      <c r="F702" s="23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</row>
    <row r="703" spans="2:20" ht="19.5" customHeight="1" x14ac:dyDescent="0.25">
      <c r="B703" s="22"/>
      <c r="C703" s="22"/>
      <c r="D703" s="23"/>
      <c r="E703" s="23"/>
      <c r="F703" s="23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</row>
    <row r="704" spans="2:20" ht="19.5" customHeight="1" x14ac:dyDescent="0.25">
      <c r="B704" s="22"/>
      <c r="C704" s="22"/>
      <c r="D704" s="23"/>
      <c r="E704" s="23"/>
      <c r="F704" s="23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</row>
    <row r="705" spans="2:20" ht="19.5" customHeight="1" x14ac:dyDescent="0.25">
      <c r="B705" s="22"/>
      <c r="C705" s="22"/>
      <c r="D705" s="23"/>
      <c r="E705" s="23"/>
      <c r="F705" s="23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</row>
    <row r="706" spans="2:20" ht="19.5" customHeight="1" x14ac:dyDescent="0.25">
      <c r="B706" s="22"/>
      <c r="C706" s="22"/>
      <c r="D706" s="23"/>
      <c r="E706" s="23"/>
      <c r="F706" s="23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</row>
    <row r="707" spans="2:20" ht="19.5" customHeight="1" x14ac:dyDescent="0.25">
      <c r="B707" s="22"/>
      <c r="C707" s="22"/>
      <c r="D707" s="23"/>
      <c r="E707" s="23"/>
      <c r="F707" s="23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</row>
    <row r="708" spans="2:20" ht="19.5" customHeight="1" x14ac:dyDescent="0.25">
      <c r="B708" s="22"/>
      <c r="C708" s="22"/>
      <c r="D708" s="23"/>
      <c r="E708" s="23"/>
      <c r="F708" s="23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</row>
    <row r="709" spans="2:20" ht="19.5" customHeight="1" x14ac:dyDescent="0.25">
      <c r="B709" s="22"/>
      <c r="C709" s="22"/>
      <c r="D709" s="23"/>
      <c r="E709" s="23"/>
      <c r="F709" s="23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</row>
    <row r="710" spans="2:20" ht="19.5" customHeight="1" x14ac:dyDescent="0.25">
      <c r="B710" s="22"/>
      <c r="C710" s="22"/>
      <c r="D710" s="23"/>
      <c r="E710" s="23"/>
      <c r="F710" s="23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</row>
    <row r="711" spans="2:20" ht="19.5" customHeight="1" x14ac:dyDescent="0.25">
      <c r="B711" s="22"/>
      <c r="C711" s="22"/>
      <c r="D711" s="23"/>
      <c r="E711" s="23"/>
      <c r="F711" s="23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</row>
    <row r="712" spans="2:20" ht="19.5" customHeight="1" x14ac:dyDescent="0.25">
      <c r="B712" s="22"/>
      <c r="C712" s="22"/>
      <c r="D712" s="23"/>
      <c r="E712" s="23"/>
      <c r="F712" s="23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</row>
    <row r="713" spans="2:20" ht="19.5" customHeight="1" x14ac:dyDescent="0.25">
      <c r="B713" s="22"/>
      <c r="C713" s="22"/>
      <c r="D713" s="23"/>
      <c r="E713" s="23"/>
      <c r="F713" s="23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</row>
    <row r="714" spans="2:20" ht="19.5" customHeight="1" x14ac:dyDescent="0.25">
      <c r="B714" s="22"/>
      <c r="C714" s="22"/>
      <c r="D714" s="23"/>
      <c r="E714" s="23"/>
      <c r="F714" s="23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</row>
    <row r="715" spans="2:20" ht="19.5" customHeight="1" x14ac:dyDescent="0.25">
      <c r="B715" s="22"/>
      <c r="C715" s="22"/>
      <c r="D715" s="23"/>
      <c r="E715" s="23"/>
      <c r="F715" s="23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</row>
    <row r="716" spans="2:20" ht="19.5" customHeight="1" x14ac:dyDescent="0.25">
      <c r="B716" s="22"/>
      <c r="C716" s="22"/>
      <c r="D716" s="23"/>
      <c r="E716" s="23"/>
      <c r="F716" s="23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</row>
    <row r="717" spans="2:20" ht="19.5" customHeight="1" x14ac:dyDescent="0.25">
      <c r="B717" s="22"/>
      <c r="C717" s="22"/>
      <c r="D717" s="23"/>
      <c r="E717" s="23"/>
      <c r="F717" s="23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</row>
    <row r="718" spans="2:20" ht="19.5" customHeight="1" x14ac:dyDescent="0.25">
      <c r="B718" s="22"/>
      <c r="C718" s="22"/>
      <c r="D718" s="23"/>
      <c r="E718" s="23"/>
      <c r="F718" s="23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</row>
    <row r="719" spans="2:20" ht="19.5" customHeight="1" x14ac:dyDescent="0.25">
      <c r="B719" s="22"/>
      <c r="C719" s="22"/>
      <c r="D719" s="23"/>
      <c r="E719" s="23"/>
      <c r="F719" s="23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</row>
    <row r="720" spans="2:20" ht="19.5" customHeight="1" x14ac:dyDescent="0.25">
      <c r="B720" s="22"/>
      <c r="C720" s="22"/>
      <c r="D720" s="23"/>
      <c r="E720" s="23"/>
      <c r="F720" s="23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</row>
    <row r="721" spans="2:20" ht="19.5" customHeight="1" x14ac:dyDescent="0.25">
      <c r="B721" s="22"/>
      <c r="C721" s="22"/>
      <c r="D721" s="23"/>
      <c r="E721" s="23"/>
      <c r="F721" s="23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</row>
    <row r="722" spans="2:20" ht="19.5" customHeight="1" x14ac:dyDescent="0.25">
      <c r="B722" s="22"/>
      <c r="C722" s="22"/>
      <c r="D722" s="23"/>
      <c r="E722" s="23"/>
      <c r="F722" s="23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</row>
    <row r="723" spans="2:20" ht="19.5" customHeight="1" x14ac:dyDescent="0.25">
      <c r="B723" s="22"/>
      <c r="C723" s="22"/>
      <c r="D723" s="23"/>
      <c r="E723" s="23"/>
      <c r="F723" s="23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</row>
    <row r="724" spans="2:20" ht="19.5" customHeight="1" x14ac:dyDescent="0.25">
      <c r="B724" s="22"/>
      <c r="C724" s="22"/>
      <c r="D724" s="23"/>
      <c r="E724" s="23"/>
      <c r="F724" s="23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</row>
    <row r="725" spans="2:20" ht="19.5" customHeight="1" x14ac:dyDescent="0.25">
      <c r="B725" s="22"/>
      <c r="C725" s="22"/>
      <c r="D725" s="23"/>
      <c r="E725" s="23"/>
      <c r="F725" s="23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</row>
    <row r="726" spans="2:20" ht="19.5" customHeight="1" x14ac:dyDescent="0.25">
      <c r="B726" s="22"/>
      <c r="C726" s="22"/>
      <c r="D726" s="23"/>
      <c r="E726" s="23"/>
      <c r="F726" s="23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</row>
    <row r="727" spans="2:20" ht="19.5" customHeight="1" x14ac:dyDescent="0.25">
      <c r="B727" s="22"/>
      <c r="C727" s="22"/>
      <c r="D727" s="23"/>
      <c r="E727" s="23"/>
      <c r="F727" s="23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</row>
    <row r="728" spans="2:20" ht="19.5" customHeight="1" x14ac:dyDescent="0.25">
      <c r="B728" s="22"/>
      <c r="C728" s="22"/>
      <c r="D728" s="23"/>
      <c r="E728" s="23"/>
      <c r="F728" s="23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</row>
    <row r="729" spans="2:20" ht="19.5" customHeight="1" x14ac:dyDescent="0.25">
      <c r="B729" s="22"/>
      <c r="C729" s="22"/>
      <c r="D729" s="23"/>
      <c r="E729" s="23"/>
      <c r="F729" s="23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</row>
    <row r="730" spans="2:20" ht="19.5" customHeight="1" x14ac:dyDescent="0.25">
      <c r="B730" s="22"/>
      <c r="C730" s="22"/>
      <c r="D730" s="23"/>
      <c r="E730" s="23"/>
      <c r="F730" s="23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</row>
    <row r="731" spans="2:20" ht="19.5" customHeight="1" x14ac:dyDescent="0.25">
      <c r="B731" s="22"/>
      <c r="C731" s="22"/>
      <c r="D731" s="23"/>
      <c r="E731" s="23"/>
      <c r="F731" s="23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</row>
    <row r="732" spans="2:20" ht="19.5" customHeight="1" x14ac:dyDescent="0.25">
      <c r="B732" s="22"/>
      <c r="C732" s="22"/>
      <c r="D732" s="23"/>
      <c r="E732" s="23"/>
      <c r="F732" s="23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</row>
    <row r="733" spans="2:20" ht="19.5" customHeight="1" x14ac:dyDescent="0.25">
      <c r="B733" s="22"/>
      <c r="C733" s="22"/>
      <c r="D733" s="23"/>
      <c r="E733" s="23"/>
      <c r="F733" s="23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</row>
    <row r="734" spans="2:20" ht="19.5" customHeight="1" x14ac:dyDescent="0.25">
      <c r="B734" s="22"/>
      <c r="C734" s="22"/>
      <c r="D734" s="23"/>
      <c r="E734" s="23"/>
      <c r="F734" s="23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</row>
    <row r="735" spans="2:20" ht="19.5" customHeight="1" x14ac:dyDescent="0.25">
      <c r="B735" s="22"/>
      <c r="C735" s="22"/>
      <c r="D735" s="23"/>
      <c r="E735" s="23"/>
      <c r="F735" s="23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</row>
    <row r="736" spans="2:20" ht="19.5" customHeight="1" x14ac:dyDescent="0.25">
      <c r="B736" s="22"/>
      <c r="C736" s="22"/>
      <c r="D736" s="23"/>
      <c r="E736" s="23"/>
      <c r="F736" s="23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</row>
    <row r="737" spans="2:20" ht="19.5" customHeight="1" x14ac:dyDescent="0.25">
      <c r="B737" s="22"/>
      <c r="C737" s="22"/>
      <c r="D737" s="23"/>
      <c r="E737" s="23"/>
      <c r="F737" s="23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</row>
    <row r="738" spans="2:20" ht="19.5" customHeight="1" x14ac:dyDescent="0.25">
      <c r="B738" s="22"/>
      <c r="C738" s="22"/>
      <c r="D738" s="23"/>
      <c r="E738" s="23"/>
      <c r="F738" s="23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</row>
    <row r="739" spans="2:20" ht="19.5" customHeight="1" x14ac:dyDescent="0.25">
      <c r="B739" s="22"/>
      <c r="C739" s="22"/>
      <c r="D739" s="23"/>
      <c r="E739" s="23"/>
      <c r="F739" s="23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</row>
    <row r="740" spans="2:20" ht="19.5" customHeight="1" x14ac:dyDescent="0.25">
      <c r="B740" s="22"/>
      <c r="C740" s="22"/>
      <c r="D740" s="23"/>
      <c r="E740" s="23"/>
      <c r="F740" s="23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</row>
    <row r="741" spans="2:20" ht="19.5" customHeight="1" x14ac:dyDescent="0.25">
      <c r="B741" s="22"/>
      <c r="C741" s="22"/>
      <c r="D741" s="23"/>
      <c r="E741" s="23"/>
      <c r="F741" s="23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</row>
    <row r="742" spans="2:20" ht="19.5" customHeight="1" x14ac:dyDescent="0.25">
      <c r="B742" s="22"/>
      <c r="C742" s="22"/>
      <c r="D742" s="23"/>
      <c r="E742" s="23"/>
      <c r="F742" s="23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</row>
    <row r="743" spans="2:20" ht="19.5" customHeight="1" x14ac:dyDescent="0.25">
      <c r="B743" s="22"/>
      <c r="C743" s="22"/>
      <c r="D743" s="23"/>
      <c r="E743" s="23"/>
      <c r="F743" s="23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</row>
    <row r="744" spans="2:20" ht="19.5" customHeight="1" x14ac:dyDescent="0.25">
      <c r="B744" s="22"/>
      <c r="C744" s="22"/>
      <c r="D744" s="23"/>
      <c r="E744" s="23"/>
      <c r="F744" s="23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</row>
    <row r="745" spans="2:20" ht="19.5" customHeight="1" x14ac:dyDescent="0.25">
      <c r="B745" s="22"/>
      <c r="C745" s="22"/>
      <c r="D745" s="23"/>
      <c r="E745" s="23"/>
      <c r="F745" s="23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</row>
    <row r="746" spans="2:20" ht="19.5" customHeight="1" x14ac:dyDescent="0.25">
      <c r="B746" s="22"/>
      <c r="C746" s="22"/>
      <c r="D746" s="23"/>
      <c r="E746" s="23"/>
      <c r="F746" s="23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</row>
    <row r="747" spans="2:20" ht="19.5" customHeight="1" x14ac:dyDescent="0.25">
      <c r="B747" s="22"/>
      <c r="C747" s="22"/>
      <c r="D747" s="23"/>
      <c r="E747" s="23"/>
      <c r="F747" s="23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</row>
    <row r="748" spans="2:20" ht="19.5" customHeight="1" x14ac:dyDescent="0.25">
      <c r="B748" s="22"/>
      <c r="C748" s="22"/>
      <c r="D748" s="23"/>
      <c r="E748" s="23"/>
      <c r="F748" s="23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</row>
    <row r="749" spans="2:20" ht="19.5" customHeight="1" x14ac:dyDescent="0.25">
      <c r="B749" s="22"/>
      <c r="C749" s="22"/>
      <c r="D749" s="23"/>
      <c r="E749" s="23"/>
      <c r="F749" s="23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</row>
    <row r="750" spans="2:20" ht="19.5" customHeight="1" x14ac:dyDescent="0.25">
      <c r="B750" s="22"/>
      <c r="C750" s="22"/>
      <c r="D750" s="23"/>
      <c r="E750" s="23"/>
      <c r="F750" s="23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</row>
    <row r="751" spans="2:20" ht="19.5" customHeight="1" x14ac:dyDescent="0.25">
      <c r="B751" s="22"/>
      <c r="C751" s="22"/>
      <c r="D751" s="23"/>
      <c r="E751" s="23"/>
      <c r="F751" s="23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</row>
    <row r="752" spans="2:20" ht="19.5" customHeight="1" x14ac:dyDescent="0.25">
      <c r="B752" s="22"/>
      <c r="C752" s="22"/>
      <c r="D752" s="23"/>
      <c r="E752" s="23"/>
      <c r="F752" s="23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</row>
    <row r="753" spans="2:20" ht="19.5" customHeight="1" x14ac:dyDescent="0.25">
      <c r="B753" s="22"/>
      <c r="C753" s="22"/>
      <c r="D753" s="23"/>
      <c r="E753" s="23"/>
      <c r="F753" s="23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</row>
    <row r="754" spans="2:20" ht="19.5" customHeight="1" x14ac:dyDescent="0.25">
      <c r="B754" s="22"/>
      <c r="C754" s="22"/>
      <c r="D754" s="23"/>
      <c r="E754" s="23"/>
      <c r="F754" s="23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</row>
    <row r="755" spans="2:20" ht="19.5" customHeight="1" x14ac:dyDescent="0.25">
      <c r="B755" s="22"/>
      <c r="C755" s="22"/>
      <c r="D755" s="23"/>
      <c r="E755" s="23"/>
      <c r="F755" s="23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</row>
    <row r="756" spans="2:20" ht="19.5" customHeight="1" x14ac:dyDescent="0.25">
      <c r="B756" s="22"/>
      <c r="C756" s="22"/>
      <c r="D756" s="23"/>
      <c r="E756" s="23"/>
      <c r="F756" s="23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</row>
    <row r="757" spans="2:20" ht="19.5" customHeight="1" x14ac:dyDescent="0.25">
      <c r="B757" s="22"/>
      <c r="C757" s="22"/>
      <c r="D757" s="23"/>
      <c r="E757" s="23"/>
      <c r="F757" s="23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</row>
    <row r="758" spans="2:20" ht="19.5" customHeight="1" x14ac:dyDescent="0.25">
      <c r="B758" s="22"/>
      <c r="C758" s="22"/>
      <c r="D758" s="23"/>
      <c r="E758" s="23"/>
      <c r="F758" s="23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</row>
    <row r="759" spans="2:20" ht="19.5" customHeight="1" x14ac:dyDescent="0.25">
      <c r="B759" s="22"/>
      <c r="C759" s="22"/>
      <c r="D759" s="23"/>
      <c r="E759" s="23"/>
      <c r="F759" s="23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</row>
    <row r="760" spans="2:20" ht="19.5" customHeight="1" x14ac:dyDescent="0.25">
      <c r="B760" s="22"/>
      <c r="C760" s="22"/>
      <c r="D760" s="23"/>
      <c r="E760" s="23"/>
      <c r="F760" s="23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</row>
    <row r="761" spans="2:20" ht="19.5" customHeight="1" x14ac:dyDescent="0.25">
      <c r="B761" s="22"/>
      <c r="C761" s="22"/>
      <c r="D761" s="23"/>
      <c r="E761" s="23"/>
      <c r="F761" s="23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</row>
    <row r="762" spans="2:20" ht="19.5" customHeight="1" x14ac:dyDescent="0.25">
      <c r="B762" s="22"/>
      <c r="C762" s="22"/>
      <c r="D762" s="23"/>
      <c r="E762" s="23"/>
      <c r="F762" s="23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</row>
    <row r="763" spans="2:20" ht="19.5" customHeight="1" x14ac:dyDescent="0.25">
      <c r="B763" s="22"/>
      <c r="C763" s="22"/>
      <c r="D763" s="23"/>
      <c r="E763" s="23"/>
      <c r="F763" s="23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</row>
    <row r="764" spans="2:20" ht="19.5" customHeight="1" x14ac:dyDescent="0.25">
      <c r="B764" s="22"/>
      <c r="C764" s="22"/>
      <c r="D764" s="23"/>
      <c r="E764" s="23"/>
      <c r="F764" s="23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</row>
    <row r="765" spans="2:20" ht="19.5" customHeight="1" x14ac:dyDescent="0.25">
      <c r="B765" s="22"/>
      <c r="C765" s="22"/>
      <c r="D765" s="23"/>
      <c r="E765" s="23"/>
      <c r="F765" s="23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</row>
    <row r="766" spans="2:20" ht="19.5" customHeight="1" x14ac:dyDescent="0.25">
      <c r="B766" s="22"/>
      <c r="C766" s="22"/>
      <c r="D766" s="23"/>
      <c r="E766" s="23"/>
      <c r="F766" s="23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</row>
    <row r="767" spans="2:20" ht="19.5" customHeight="1" x14ac:dyDescent="0.25">
      <c r="B767" s="22"/>
      <c r="C767" s="22"/>
      <c r="D767" s="23"/>
      <c r="E767" s="23"/>
      <c r="F767" s="23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</row>
    <row r="768" spans="2:20" ht="19.5" customHeight="1" x14ac:dyDescent="0.25">
      <c r="B768" s="22"/>
      <c r="C768" s="22"/>
      <c r="D768" s="23"/>
      <c r="E768" s="23"/>
      <c r="F768" s="23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</row>
    <row r="769" spans="2:20" ht="19.5" customHeight="1" x14ac:dyDescent="0.25">
      <c r="B769" s="22"/>
      <c r="C769" s="22"/>
      <c r="D769" s="23"/>
      <c r="E769" s="23"/>
      <c r="F769" s="23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</row>
    <row r="770" spans="2:20" ht="19.5" customHeight="1" x14ac:dyDescent="0.25">
      <c r="B770" s="22"/>
      <c r="C770" s="22"/>
      <c r="D770" s="23"/>
      <c r="E770" s="23"/>
      <c r="F770" s="23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</row>
    <row r="771" spans="2:20" ht="19.5" customHeight="1" x14ac:dyDescent="0.25">
      <c r="B771" s="22"/>
      <c r="C771" s="22"/>
      <c r="D771" s="23"/>
      <c r="E771" s="23"/>
      <c r="F771" s="23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</row>
    <row r="772" spans="2:20" ht="19.5" customHeight="1" x14ac:dyDescent="0.25">
      <c r="B772" s="22"/>
      <c r="C772" s="22"/>
      <c r="D772" s="23"/>
      <c r="E772" s="23"/>
      <c r="F772" s="23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</row>
    <row r="773" spans="2:20" ht="19.5" customHeight="1" x14ac:dyDescent="0.25">
      <c r="B773" s="22"/>
      <c r="C773" s="22"/>
      <c r="D773" s="23"/>
      <c r="E773" s="23"/>
      <c r="F773" s="23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</row>
    <row r="774" spans="2:20" ht="19.5" customHeight="1" x14ac:dyDescent="0.25">
      <c r="B774" s="22"/>
      <c r="C774" s="22"/>
      <c r="D774" s="23"/>
      <c r="E774" s="23"/>
      <c r="F774" s="23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</row>
    <row r="775" spans="2:20" ht="19.5" customHeight="1" x14ac:dyDescent="0.25">
      <c r="B775" s="22"/>
      <c r="C775" s="22"/>
      <c r="D775" s="23"/>
      <c r="E775" s="23"/>
      <c r="F775" s="23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</row>
    <row r="776" spans="2:20" ht="19.5" customHeight="1" x14ac:dyDescent="0.25">
      <c r="B776" s="22"/>
      <c r="C776" s="22"/>
      <c r="D776" s="23"/>
      <c r="E776" s="23"/>
      <c r="F776" s="23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</row>
    <row r="777" spans="2:20" ht="19.5" customHeight="1" x14ac:dyDescent="0.25">
      <c r="B777" s="22"/>
      <c r="C777" s="22"/>
      <c r="D777" s="23"/>
      <c r="E777" s="23"/>
      <c r="F777" s="23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</row>
    <row r="778" spans="2:20" ht="19.5" customHeight="1" x14ac:dyDescent="0.25">
      <c r="B778" s="22"/>
      <c r="C778" s="22"/>
      <c r="D778" s="23"/>
      <c r="E778" s="23"/>
      <c r="F778" s="23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</row>
    <row r="779" spans="2:20" ht="19.5" customHeight="1" x14ac:dyDescent="0.25">
      <c r="B779" s="22"/>
      <c r="C779" s="22"/>
      <c r="D779" s="23"/>
      <c r="E779" s="23"/>
      <c r="F779" s="23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</row>
    <row r="780" spans="2:20" ht="19.5" customHeight="1" x14ac:dyDescent="0.25">
      <c r="B780" s="22"/>
      <c r="C780" s="22"/>
      <c r="D780" s="23"/>
      <c r="E780" s="23"/>
      <c r="F780" s="23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</row>
    <row r="781" spans="2:20" ht="19.5" customHeight="1" x14ac:dyDescent="0.25">
      <c r="B781" s="22"/>
      <c r="C781" s="22"/>
      <c r="D781" s="23"/>
      <c r="E781" s="23"/>
      <c r="F781" s="23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</row>
    <row r="782" spans="2:20" ht="19.5" customHeight="1" x14ac:dyDescent="0.25">
      <c r="B782" s="22"/>
      <c r="C782" s="22"/>
      <c r="D782" s="23"/>
      <c r="E782" s="23"/>
      <c r="F782" s="23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</row>
    <row r="783" spans="2:20" ht="19.5" customHeight="1" x14ac:dyDescent="0.25">
      <c r="B783" s="22"/>
      <c r="C783" s="22"/>
      <c r="D783" s="23"/>
      <c r="E783" s="23"/>
      <c r="F783" s="23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</row>
    <row r="784" spans="2:20" ht="19.5" customHeight="1" x14ac:dyDescent="0.25">
      <c r="B784" s="22"/>
      <c r="C784" s="22"/>
      <c r="D784" s="23"/>
      <c r="E784" s="23"/>
      <c r="F784" s="23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</row>
    <row r="785" spans="2:20" ht="19.5" customHeight="1" x14ac:dyDescent="0.25">
      <c r="B785" s="22"/>
      <c r="C785" s="22"/>
      <c r="D785" s="23"/>
      <c r="E785" s="23"/>
      <c r="F785" s="23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</row>
    <row r="786" spans="2:20" ht="19.5" customHeight="1" x14ac:dyDescent="0.25">
      <c r="B786" s="22"/>
      <c r="C786" s="22"/>
      <c r="D786" s="23"/>
      <c r="E786" s="23"/>
      <c r="F786" s="23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</row>
    <row r="787" spans="2:20" ht="19.5" customHeight="1" x14ac:dyDescent="0.25">
      <c r="B787" s="22"/>
      <c r="C787" s="22"/>
      <c r="D787" s="23"/>
      <c r="E787" s="23"/>
      <c r="F787" s="23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</row>
    <row r="788" spans="2:20" ht="19.5" customHeight="1" x14ac:dyDescent="0.25">
      <c r="B788" s="22"/>
      <c r="C788" s="22"/>
      <c r="D788" s="23"/>
      <c r="E788" s="23"/>
      <c r="F788" s="23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</row>
    <row r="789" spans="2:20" ht="19.5" customHeight="1" x14ac:dyDescent="0.25">
      <c r="B789" s="22"/>
      <c r="C789" s="22"/>
      <c r="D789" s="23"/>
      <c r="E789" s="23"/>
      <c r="F789" s="23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</row>
    <row r="790" spans="2:20" ht="19.5" customHeight="1" x14ac:dyDescent="0.25">
      <c r="B790" s="22"/>
      <c r="C790" s="22"/>
      <c r="D790" s="23"/>
      <c r="E790" s="23"/>
      <c r="F790" s="23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</row>
    <row r="791" spans="2:20" ht="19.5" customHeight="1" x14ac:dyDescent="0.25">
      <c r="B791" s="22"/>
      <c r="C791" s="22"/>
      <c r="D791" s="23"/>
      <c r="E791" s="23"/>
      <c r="F791" s="23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</row>
    <row r="792" spans="2:20" ht="19.5" customHeight="1" x14ac:dyDescent="0.25">
      <c r="B792" s="22"/>
      <c r="C792" s="22"/>
      <c r="D792" s="23"/>
      <c r="E792" s="23"/>
      <c r="F792" s="23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</row>
    <row r="793" spans="2:20" ht="19.5" customHeight="1" x14ac:dyDescent="0.25">
      <c r="B793" s="22"/>
      <c r="C793" s="22"/>
      <c r="D793" s="23"/>
      <c r="E793" s="23"/>
      <c r="F793" s="23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</row>
    <row r="794" spans="2:20" ht="19.5" customHeight="1" x14ac:dyDescent="0.25">
      <c r="B794" s="22"/>
      <c r="C794" s="22"/>
      <c r="D794" s="23"/>
      <c r="E794" s="23"/>
      <c r="F794" s="23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</row>
    <row r="795" spans="2:20" ht="19.5" customHeight="1" x14ac:dyDescent="0.25">
      <c r="B795" s="22"/>
      <c r="C795" s="22"/>
      <c r="D795" s="23"/>
      <c r="E795" s="23"/>
      <c r="F795" s="23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</row>
    <row r="796" spans="2:20" ht="19.5" customHeight="1" x14ac:dyDescent="0.25">
      <c r="B796" s="22"/>
      <c r="C796" s="22"/>
      <c r="D796" s="23"/>
      <c r="E796" s="23"/>
      <c r="F796" s="23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</row>
    <row r="797" spans="2:20" ht="19.5" customHeight="1" x14ac:dyDescent="0.25">
      <c r="B797" s="22"/>
      <c r="C797" s="22"/>
      <c r="D797" s="23"/>
      <c r="E797" s="23"/>
      <c r="F797" s="23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</row>
    <row r="798" spans="2:20" ht="19.5" customHeight="1" x14ac:dyDescent="0.25">
      <c r="B798" s="22"/>
      <c r="C798" s="22"/>
      <c r="D798" s="23"/>
      <c r="E798" s="23"/>
      <c r="F798" s="23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</row>
    <row r="799" spans="2:20" ht="19.5" customHeight="1" x14ac:dyDescent="0.25">
      <c r="B799" s="22"/>
      <c r="C799" s="22"/>
      <c r="D799" s="23"/>
      <c r="E799" s="23"/>
      <c r="F799" s="23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</row>
    <row r="800" spans="2:20" ht="19.5" customHeight="1" x14ac:dyDescent="0.25">
      <c r="B800" s="22"/>
      <c r="C800" s="22"/>
      <c r="D800" s="23"/>
      <c r="E800" s="23"/>
      <c r="F800" s="23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</row>
    <row r="801" spans="2:20" ht="19.5" customHeight="1" x14ac:dyDescent="0.25">
      <c r="B801" s="22"/>
      <c r="C801" s="22"/>
      <c r="D801" s="23"/>
      <c r="E801" s="23"/>
      <c r="F801" s="23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</row>
    <row r="802" spans="2:20" ht="19.5" customHeight="1" x14ac:dyDescent="0.25">
      <c r="B802" s="22"/>
      <c r="C802" s="22"/>
      <c r="D802" s="23"/>
      <c r="E802" s="23"/>
      <c r="F802" s="23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</row>
    <row r="803" spans="2:20" ht="19.5" customHeight="1" x14ac:dyDescent="0.25">
      <c r="B803" s="22"/>
      <c r="C803" s="22"/>
      <c r="D803" s="23"/>
      <c r="E803" s="23"/>
      <c r="F803" s="23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</row>
    <row r="804" spans="2:20" ht="19.5" customHeight="1" x14ac:dyDescent="0.25">
      <c r="B804" s="22"/>
      <c r="C804" s="22"/>
      <c r="D804" s="23"/>
      <c r="E804" s="23"/>
      <c r="F804" s="23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</row>
    <row r="805" spans="2:20" ht="19.5" customHeight="1" x14ac:dyDescent="0.25">
      <c r="B805" s="22"/>
      <c r="C805" s="22"/>
      <c r="D805" s="23"/>
      <c r="E805" s="23"/>
      <c r="F805" s="23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</row>
    <row r="806" spans="2:20" ht="19.5" customHeight="1" x14ac:dyDescent="0.25">
      <c r="B806" s="22"/>
      <c r="C806" s="22"/>
      <c r="D806" s="23"/>
      <c r="E806" s="23"/>
      <c r="F806" s="23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</row>
    <row r="807" spans="2:20" ht="19.5" customHeight="1" x14ac:dyDescent="0.25">
      <c r="B807" s="22"/>
      <c r="C807" s="22"/>
      <c r="D807" s="23"/>
      <c r="E807" s="23"/>
      <c r="F807" s="23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</row>
    <row r="808" spans="2:20" ht="19.5" customHeight="1" x14ac:dyDescent="0.25">
      <c r="B808" s="22"/>
      <c r="C808" s="22"/>
      <c r="D808" s="23"/>
      <c r="E808" s="23"/>
      <c r="F808" s="23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</row>
    <row r="809" spans="2:20" ht="19.5" customHeight="1" x14ac:dyDescent="0.25">
      <c r="B809" s="22"/>
      <c r="C809" s="22"/>
      <c r="D809" s="23"/>
      <c r="E809" s="23"/>
      <c r="F809" s="23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</row>
    <row r="810" spans="2:20" ht="19.5" customHeight="1" x14ac:dyDescent="0.25">
      <c r="B810" s="22"/>
      <c r="C810" s="22"/>
      <c r="D810" s="23"/>
      <c r="E810" s="23"/>
      <c r="F810" s="23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</row>
    <row r="811" spans="2:20" ht="19.5" customHeight="1" x14ac:dyDescent="0.25">
      <c r="B811" s="22"/>
      <c r="C811" s="22"/>
      <c r="D811" s="23"/>
      <c r="E811" s="23"/>
      <c r="F811" s="23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</row>
    <row r="812" spans="2:20" ht="19.5" customHeight="1" x14ac:dyDescent="0.25">
      <c r="B812" s="22"/>
      <c r="C812" s="22"/>
      <c r="D812" s="23"/>
      <c r="E812" s="23"/>
      <c r="F812" s="23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</row>
    <row r="813" spans="2:20" ht="19.5" customHeight="1" x14ac:dyDescent="0.25">
      <c r="B813" s="22"/>
      <c r="C813" s="22"/>
      <c r="D813" s="23"/>
      <c r="E813" s="23"/>
      <c r="F813" s="23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</row>
    <row r="814" spans="2:20" ht="19.5" customHeight="1" x14ac:dyDescent="0.25">
      <c r="B814" s="22"/>
      <c r="C814" s="22"/>
      <c r="D814" s="23"/>
      <c r="E814" s="23"/>
      <c r="F814" s="23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</row>
    <row r="815" spans="2:20" ht="19.5" customHeight="1" x14ac:dyDescent="0.25">
      <c r="B815" s="22"/>
      <c r="C815" s="22"/>
      <c r="D815" s="23"/>
      <c r="E815" s="23"/>
      <c r="F815" s="23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</row>
    <row r="816" spans="2:20" ht="19.5" customHeight="1" x14ac:dyDescent="0.25">
      <c r="B816" s="22"/>
      <c r="C816" s="22"/>
      <c r="D816" s="23"/>
      <c r="E816" s="23"/>
      <c r="F816" s="23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</row>
    <row r="817" spans="2:20" ht="19.5" customHeight="1" x14ac:dyDescent="0.25">
      <c r="B817" s="22"/>
      <c r="C817" s="22"/>
      <c r="D817" s="23"/>
      <c r="E817" s="23"/>
      <c r="F817" s="23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</row>
    <row r="818" spans="2:20" ht="19.5" customHeight="1" x14ac:dyDescent="0.25">
      <c r="B818" s="22"/>
      <c r="E818" s="23"/>
      <c r="F818" s="23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</row>
    <row r="819" spans="2:20" ht="19.5" customHeight="1" x14ac:dyDescent="0.25">
      <c r="B819" s="22"/>
      <c r="E819" s="23"/>
      <c r="F819" s="23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</row>
    <row r="820" spans="2:20" ht="19.5" customHeight="1" x14ac:dyDescent="0.25">
      <c r="B820" s="22"/>
      <c r="E820" s="23"/>
      <c r="F820" s="23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</row>
    <row r="821" spans="2:20" ht="19.5" customHeight="1" x14ac:dyDescent="0.25">
      <c r="B821" s="22"/>
      <c r="E821" s="23"/>
      <c r="F821" s="23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</row>
    <row r="822" spans="2:20" ht="19.5" customHeight="1" x14ac:dyDescent="0.25">
      <c r="B822" s="22"/>
      <c r="E822" s="23"/>
      <c r="F822" s="23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</row>
    <row r="823" spans="2:20" ht="19.5" customHeight="1" x14ac:dyDescent="0.25">
      <c r="B823" s="22"/>
      <c r="E823" s="23"/>
      <c r="F823" s="23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</row>
    <row r="824" spans="2:20" ht="19.5" customHeight="1" x14ac:dyDescent="0.25">
      <c r="B824" s="22"/>
      <c r="E824" s="23"/>
      <c r="F824" s="23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</row>
    <row r="825" spans="2:20" ht="19.5" customHeight="1" x14ac:dyDescent="0.25">
      <c r="B825" s="22"/>
      <c r="E825" s="23"/>
      <c r="F825" s="23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</row>
    <row r="826" spans="2:20" ht="19.5" customHeight="1" x14ac:dyDescent="0.25">
      <c r="B826" s="22"/>
      <c r="E826" s="23"/>
      <c r="F826" s="23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</row>
    <row r="827" spans="2:20" ht="19.5" customHeight="1" x14ac:dyDescent="0.25">
      <c r="B827" s="22"/>
      <c r="E827" s="23"/>
      <c r="F827" s="23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</row>
    <row r="828" spans="2:20" ht="19.5" customHeight="1" x14ac:dyDescent="0.25">
      <c r="B828" s="22"/>
      <c r="E828" s="23"/>
      <c r="F828" s="23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</row>
    <row r="829" spans="2:20" ht="19.5" customHeight="1" x14ac:dyDescent="0.25">
      <c r="B829" s="22"/>
      <c r="E829" s="23"/>
      <c r="F829" s="23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</row>
    <row r="830" spans="2:20" ht="19.5" customHeight="1" x14ac:dyDescent="0.25">
      <c r="B830" s="22"/>
      <c r="E830" s="23"/>
      <c r="F830" s="23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</row>
    <row r="831" spans="2:20" ht="19.5" customHeight="1" x14ac:dyDescent="0.25">
      <c r="B831" s="22"/>
      <c r="E831" s="23"/>
      <c r="F831" s="23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</row>
    <row r="832" spans="2:20" ht="19.5" customHeight="1" x14ac:dyDescent="0.25">
      <c r="B832" s="22"/>
      <c r="E832" s="23"/>
      <c r="F832" s="23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</row>
    <row r="833" spans="2:20" ht="19.5" customHeight="1" x14ac:dyDescent="0.25">
      <c r="B833" s="22"/>
      <c r="E833" s="23"/>
      <c r="F833" s="23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</row>
    <row r="834" spans="2:20" ht="19.5" customHeight="1" x14ac:dyDescent="0.25">
      <c r="B834" s="22"/>
      <c r="E834" s="23"/>
      <c r="F834" s="23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</row>
    <row r="835" spans="2:20" ht="19.5" customHeight="1" x14ac:dyDescent="0.25">
      <c r="B835" s="22"/>
      <c r="E835" s="23"/>
      <c r="F835" s="23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</row>
    <row r="836" spans="2:20" ht="19.5" customHeight="1" x14ac:dyDescent="0.25">
      <c r="B836" s="22"/>
      <c r="E836" s="23"/>
      <c r="F836" s="23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</row>
    <row r="837" spans="2:20" ht="19.5" customHeight="1" x14ac:dyDescent="0.25">
      <c r="B837" s="22"/>
      <c r="E837" s="23"/>
      <c r="F837" s="23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</row>
    <row r="838" spans="2:20" ht="19.5" customHeight="1" x14ac:dyDescent="0.25">
      <c r="B838" s="22"/>
      <c r="E838" s="23"/>
      <c r="F838" s="23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</row>
    <row r="839" spans="2:20" ht="19.5" customHeight="1" x14ac:dyDescent="0.25">
      <c r="B839" s="22"/>
      <c r="E839" s="23"/>
      <c r="F839" s="23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</row>
    <row r="840" spans="2:20" ht="19.5" customHeight="1" x14ac:dyDescent="0.25">
      <c r="B840" s="22"/>
      <c r="E840" s="23"/>
      <c r="F840" s="23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</row>
    <row r="841" spans="2:20" ht="19.5" customHeight="1" x14ac:dyDescent="0.25">
      <c r="B841" s="22"/>
      <c r="E841" s="23"/>
      <c r="F841" s="23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</row>
    <row r="842" spans="2:20" ht="19.5" customHeight="1" x14ac:dyDescent="0.25">
      <c r="B842" s="22"/>
      <c r="E842" s="23"/>
      <c r="F842" s="23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</row>
    <row r="843" spans="2:20" ht="19.5" customHeight="1" x14ac:dyDescent="0.25">
      <c r="B843" s="22"/>
      <c r="E843" s="23"/>
      <c r="F843" s="23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</row>
    <row r="844" spans="2:20" ht="19.5" customHeight="1" x14ac:dyDescent="0.25">
      <c r="B844" s="22"/>
      <c r="E844" s="23"/>
      <c r="F844" s="23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</row>
    <row r="845" spans="2:20" ht="19.5" customHeight="1" x14ac:dyDescent="0.25">
      <c r="B845" s="22"/>
      <c r="E845" s="23"/>
      <c r="F845" s="23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</row>
    <row r="846" spans="2:20" ht="19.5" customHeight="1" x14ac:dyDescent="0.25">
      <c r="B846" s="22"/>
      <c r="E846" s="23"/>
      <c r="F846" s="23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</row>
    <row r="847" spans="2:20" ht="19.5" customHeight="1" x14ac:dyDescent="0.25">
      <c r="B847" s="22"/>
      <c r="E847" s="23"/>
      <c r="F847" s="23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</row>
    <row r="848" spans="2:20" ht="19.5" customHeight="1" x14ac:dyDescent="0.25">
      <c r="B848" s="22"/>
      <c r="E848" s="23"/>
      <c r="F848" s="23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</row>
    <row r="849" spans="2:20" ht="19.5" customHeight="1" x14ac:dyDescent="0.25">
      <c r="B849" s="22"/>
      <c r="E849" s="23"/>
      <c r="F849" s="23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</row>
    <row r="850" spans="2:20" ht="19.5" customHeight="1" x14ac:dyDescent="0.25">
      <c r="B850" s="22"/>
      <c r="E850" s="23"/>
      <c r="F850" s="23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</row>
    <row r="851" spans="2:20" ht="19.5" customHeight="1" x14ac:dyDescent="0.25">
      <c r="B851" s="22"/>
      <c r="E851" s="23"/>
      <c r="F851" s="23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</row>
    <row r="852" spans="2:20" ht="19.5" customHeight="1" x14ac:dyDescent="0.25">
      <c r="B852" s="22"/>
      <c r="E852" s="23"/>
      <c r="F852" s="23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</row>
    <row r="853" spans="2:20" ht="19.5" customHeight="1" x14ac:dyDescent="0.25">
      <c r="B853" s="22"/>
      <c r="E853" s="23"/>
      <c r="F853" s="23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</row>
    <row r="854" spans="2:20" ht="19.5" customHeight="1" x14ac:dyDescent="0.25">
      <c r="B854" s="22"/>
      <c r="E854" s="23"/>
      <c r="F854" s="23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</row>
    <row r="855" spans="2:20" ht="19.5" customHeight="1" x14ac:dyDescent="0.25">
      <c r="B855" s="22"/>
      <c r="E855" s="23"/>
      <c r="F855" s="23"/>
    </row>
    <row r="856" spans="2:20" ht="19.5" customHeight="1" x14ac:dyDescent="0.25">
      <c r="B856" s="22"/>
      <c r="E856" s="23"/>
      <c r="F856" s="23"/>
    </row>
    <row r="857" spans="2:20" ht="19.5" customHeight="1" x14ac:dyDescent="0.25">
      <c r="B857" s="22"/>
      <c r="E857" s="23"/>
      <c r="F857" s="23"/>
    </row>
    <row r="858" spans="2:20" ht="15" customHeight="1" x14ac:dyDescent="0.25">
      <c r="B858" s="22"/>
      <c r="E858" s="23"/>
      <c r="F858" s="23"/>
    </row>
  </sheetData>
  <mergeCells count="62">
    <mergeCell ref="DD7:DE7"/>
    <mergeCell ref="DF7:DG7"/>
    <mergeCell ref="DH7:DI7"/>
    <mergeCell ref="CT7:CU7"/>
    <mergeCell ref="CV7:CW7"/>
    <mergeCell ref="CX7:CY7"/>
    <mergeCell ref="CZ7:DA7"/>
    <mergeCell ref="DB7:DC7"/>
    <mergeCell ref="C29:D29"/>
    <mergeCell ref="BP7:BQ7"/>
    <mergeCell ref="AT7:AU7"/>
    <mergeCell ref="AV7:AW7"/>
    <mergeCell ref="AX7:AY7"/>
    <mergeCell ref="AZ7:BA7"/>
    <mergeCell ref="BB7:BC7"/>
    <mergeCell ref="BD7:BE7"/>
    <mergeCell ref="BF7:BG7"/>
    <mergeCell ref="BH7:BI7"/>
    <mergeCell ref="BJ7:BK7"/>
    <mergeCell ref="BL7:BM7"/>
    <mergeCell ref="AR7:AS7"/>
    <mergeCell ref="V7:W7"/>
    <mergeCell ref="X7:Y7"/>
    <mergeCell ref="Z7:AA7"/>
    <mergeCell ref="CB7:CC7"/>
    <mergeCell ref="CD7:CE7"/>
    <mergeCell ref="CF7:CG7"/>
    <mergeCell ref="DJ7:DK7"/>
    <mergeCell ref="BN7:BO7"/>
    <mergeCell ref="BR7:BS7"/>
    <mergeCell ref="BT7:BU7"/>
    <mergeCell ref="BV7:BW7"/>
    <mergeCell ref="BX7:BY7"/>
    <mergeCell ref="BZ7:CA7"/>
    <mergeCell ref="CH7:CI7"/>
    <mergeCell ref="CJ7:CK7"/>
    <mergeCell ref="CL7:CM7"/>
    <mergeCell ref="CN7:CO7"/>
    <mergeCell ref="CP7:CQ7"/>
    <mergeCell ref="CR7:CS7"/>
    <mergeCell ref="J7:K7"/>
    <mergeCell ref="L7:M7"/>
    <mergeCell ref="N7:O7"/>
    <mergeCell ref="P7:Q7"/>
    <mergeCell ref="AB7:AC7"/>
    <mergeCell ref="R7:S7"/>
    <mergeCell ref="B2:H3"/>
    <mergeCell ref="B4:H4"/>
    <mergeCell ref="B7:B8"/>
    <mergeCell ref="C7:C8"/>
    <mergeCell ref="D7:D8"/>
    <mergeCell ref="E7:E8"/>
    <mergeCell ref="H7:I7"/>
    <mergeCell ref="F7:F8"/>
    <mergeCell ref="AL7:AM7"/>
    <mergeCell ref="AN7:AO7"/>
    <mergeCell ref="AP7:AQ7"/>
    <mergeCell ref="T7:U7"/>
    <mergeCell ref="AD7:AE7"/>
    <mergeCell ref="AF7:AG7"/>
    <mergeCell ref="AH7:AI7"/>
    <mergeCell ref="AJ7:AK7"/>
  </mergeCells>
  <phoneticPr fontId="23" type="noConversion"/>
  <pageMargins left="0.511811024" right="0.511811024" top="0.78740157499999996" bottom="0.78740157499999996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583FA-8A0B-4CE2-BF81-D795919A97B1}">
  <sheetPr>
    <pageSetUpPr fitToPage="1"/>
  </sheetPr>
  <dimension ref="B1:CH70"/>
  <sheetViews>
    <sheetView showGridLines="0" zoomScale="25" zoomScaleNormal="25" workbookViewId="0">
      <selection activeCell="CK18" sqref="CK18"/>
    </sheetView>
  </sheetViews>
  <sheetFormatPr defaultColWidth="9.140625" defaultRowHeight="15" x14ac:dyDescent="0.25"/>
  <cols>
    <col min="1" max="1" width="1.42578125" style="3" customWidth="1"/>
    <col min="2" max="2" width="11" style="2" bestFit="1" customWidth="1"/>
    <col min="3" max="3" width="15.28515625" style="3" bestFit="1" customWidth="1"/>
    <col min="4" max="4" width="24.7109375" style="3" bestFit="1" customWidth="1"/>
    <col min="5" max="5" width="25.28515625" style="4" bestFit="1" customWidth="1"/>
    <col min="6" max="6" width="41.85546875" style="4" bestFit="1" customWidth="1"/>
    <col min="7" max="7" width="15" style="3" bestFit="1" customWidth="1"/>
    <col min="8" max="8" width="13.140625" style="3" bestFit="1" customWidth="1"/>
    <col min="9" max="9" width="11" style="3" bestFit="1" customWidth="1"/>
    <col min="10" max="18" width="9.140625" style="3"/>
    <col min="19" max="24" width="7.42578125" style="3" customWidth="1"/>
    <col min="25" max="25" width="10.42578125" style="3" customWidth="1"/>
    <col min="26" max="30" width="9.140625" style="3"/>
    <col min="31" max="31" width="12.7109375" style="3" customWidth="1"/>
    <col min="32" max="33" width="9.140625" style="3"/>
    <col min="34" max="35" width="12.7109375" style="3" customWidth="1"/>
    <col min="36" max="36" width="8.42578125" style="3" customWidth="1"/>
    <col min="37" max="37" width="12.5703125" style="3" customWidth="1"/>
    <col min="38" max="85" width="9.140625" style="3"/>
    <col min="86" max="86" width="3.42578125" style="3" customWidth="1"/>
    <col min="87" max="16384" width="9.140625" style="3"/>
  </cols>
  <sheetData>
    <row r="1" spans="2:86" ht="5.25" customHeight="1" x14ac:dyDescent="0.25"/>
    <row r="2" spans="2:86" ht="14.25" customHeight="1" x14ac:dyDescent="0.25">
      <c r="B2" s="135" t="s">
        <v>46</v>
      </c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6"/>
      <c r="AD2" s="136"/>
      <c r="AE2" s="136"/>
      <c r="AF2" s="136"/>
      <c r="AG2" s="136"/>
      <c r="AH2" s="136"/>
      <c r="AI2" s="136"/>
      <c r="AJ2" s="136"/>
      <c r="AK2" s="136"/>
      <c r="AL2" s="136"/>
      <c r="AM2" s="136"/>
      <c r="AN2" s="136"/>
      <c r="AO2" s="136"/>
      <c r="AP2" s="136"/>
      <c r="AQ2" s="136"/>
      <c r="AR2" s="136"/>
      <c r="AS2" s="136"/>
      <c r="AT2" s="136"/>
      <c r="AU2" s="136"/>
      <c r="AV2" s="136"/>
      <c r="AW2" s="136"/>
      <c r="AX2" s="136"/>
      <c r="AY2" s="136"/>
      <c r="AZ2" s="136"/>
      <c r="BA2" s="136"/>
      <c r="BB2" s="136"/>
      <c r="BC2" s="136"/>
      <c r="BD2" s="136"/>
      <c r="BE2" s="136"/>
      <c r="BF2" s="136"/>
      <c r="BG2" s="136"/>
      <c r="BH2" s="136"/>
      <c r="BI2" s="136"/>
      <c r="BJ2" s="136"/>
      <c r="BK2" s="136"/>
      <c r="BL2" s="136"/>
      <c r="BM2" s="136"/>
      <c r="BN2" s="136"/>
      <c r="BO2" s="136"/>
      <c r="BP2" s="136"/>
      <c r="BQ2" s="136"/>
      <c r="BR2" s="136"/>
      <c r="BS2" s="136"/>
      <c r="BT2" s="136"/>
      <c r="BU2" s="136"/>
      <c r="BV2" s="136"/>
      <c r="BW2" s="136"/>
      <c r="BX2" s="136"/>
      <c r="BY2" s="136"/>
      <c r="BZ2" s="136"/>
      <c r="CA2" s="136"/>
      <c r="CB2" s="136"/>
      <c r="CC2" s="136"/>
      <c r="CD2" s="136"/>
      <c r="CE2" s="136"/>
      <c r="CF2" s="136"/>
      <c r="CG2" s="136"/>
      <c r="CH2" s="137"/>
    </row>
    <row r="3" spans="2:86" ht="10.5" customHeight="1" x14ac:dyDescent="0.25">
      <c r="B3" s="138"/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  <c r="Z3" s="139"/>
      <c r="AA3" s="139"/>
      <c r="AB3" s="139"/>
      <c r="AC3" s="139"/>
      <c r="AD3" s="139"/>
      <c r="AE3" s="139"/>
      <c r="AF3" s="139"/>
      <c r="AG3" s="139"/>
      <c r="AH3" s="139"/>
      <c r="AI3" s="139"/>
      <c r="AJ3" s="139"/>
      <c r="AK3" s="139"/>
      <c r="AL3" s="139"/>
      <c r="AM3" s="139"/>
      <c r="AN3" s="139"/>
      <c r="AO3" s="139"/>
      <c r="AP3" s="139"/>
      <c r="AQ3" s="139"/>
      <c r="AR3" s="139"/>
      <c r="AS3" s="139"/>
      <c r="AT3" s="139"/>
      <c r="AU3" s="139"/>
      <c r="AV3" s="139"/>
      <c r="AW3" s="139"/>
      <c r="AX3" s="139"/>
      <c r="AY3" s="139"/>
      <c r="AZ3" s="139"/>
      <c r="BA3" s="139"/>
      <c r="BB3" s="139"/>
      <c r="BC3" s="139"/>
      <c r="BD3" s="139"/>
      <c r="BE3" s="139"/>
      <c r="BF3" s="139"/>
      <c r="BG3" s="139"/>
      <c r="BH3" s="139"/>
      <c r="BI3" s="139"/>
      <c r="BJ3" s="139"/>
      <c r="BK3" s="139"/>
      <c r="BL3" s="139"/>
      <c r="BM3" s="139"/>
      <c r="BN3" s="139"/>
      <c r="BO3" s="139"/>
      <c r="BP3" s="139"/>
      <c r="BQ3" s="139"/>
      <c r="BR3" s="139"/>
      <c r="BS3" s="139"/>
      <c r="BT3" s="139"/>
      <c r="BU3" s="139"/>
      <c r="BV3" s="139"/>
      <c r="BW3" s="139"/>
      <c r="BX3" s="139"/>
      <c r="BY3" s="139"/>
      <c r="BZ3" s="139"/>
      <c r="CA3" s="139"/>
      <c r="CB3" s="139"/>
      <c r="CC3" s="139"/>
      <c r="CD3" s="139"/>
      <c r="CE3" s="139"/>
      <c r="CF3" s="139"/>
      <c r="CG3" s="139"/>
      <c r="CH3" s="140"/>
    </row>
    <row r="4" spans="2:86" ht="51.75" customHeight="1" x14ac:dyDescent="0.25">
      <c r="B4" s="138"/>
      <c r="C4" s="139"/>
      <c r="D4" s="139"/>
      <c r="E4" s="139"/>
      <c r="F4" s="139"/>
      <c r="G4" s="139"/>
      <c r="H4" s="139"/>
      <c r="I4" s="139"/>
      <c r="J4" s="139"/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139"/>
      <c r="AN4" s="139"/>
      <c r="AO4" s="139"/>
      <c r="AP4" s="139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39"/>
      <c r="BC4" s="139"/>
      <c r="BD4" s="139"/>
      <c r="BE4" s="139"/>
      <c r="BF4" s="139"/>
      <c r="BG4" s="139"/>
      <c r="BH4" s="139"/>
      <c r="BI4" s="139"/>
      <c r="BJ4" s="139"/>
      <c r="BK4" s="139"/>
      <c r="BL4" s="139"/>
      <c r="BM4" s="139"/>
      <c r="BN4" s="139"/>
      <c r="BO4" s="139"/>
      <c r="BP4" s="139"/>
      <c r="BQ4" s="139"/>
      <c r="BR4" s="139"/>
      <c r="BS4" s="139"/>
      <c r="BT4" s="139"/>
      <c r="BU4" s="139"/>
      <c r="BV4" s="139"/>
      <c r="BW4" s="139"/>
      <c r="BX4" s="139"/>
      <c r="BY4" s="139"/>
      <c r="BZ4" s="139"/>
      <c r="CA4" s="139"/>
      <c r="CB4" s="139"/>
      <c r="CC4" s="139"/>
      <c r="CD4" s="139"/>
      <c r="CE4" s="139"/>
      <c r="CF4" s="139"/>
      <c r="CG4" s="139"/>
      <c r="CH4" s="140"/>
    </row>
    <row r="5" spans="2:86" ht="49.5" customHeight="1" x14ac:dyDescent="0.25">
      <c r="B5" s="141" t="s">
        <v>105</v>
      </c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  <c r="BE5" s="142"/>
      <c r="BF5" s="142"/>
      <c r="BG5" s="142"/>
      <c r="BH5" s="142"/>
      <c r="BI5" s="142"/>
      <c r="BJ5" s="142"/>
      <c r="BK5" s="142"/>
      <c r="BL5" s="142"/>
      <c r="BM5" s="142"/>
      <c r="BN5" s="142"/>
      <c r="BO5" s="142"/>
      <c r="BP5" s="142"/>
      <c r="BQ5" s="142"/>
      <c r="BR5" s="142"/>
      <c r="BS5" s="142"/>
      <c r="BT5" s="142"/>
      <c r="BU5" s="142"/>
      <c r="BV5" s="142"/>
      <c r="BW5" s="142"/>
      <c r="BX5" s="142"/>
      <c r="BY5" s="142"/>
      <c r="BZ5" s="142"/>
      <c r="CA5" s="142"/>
      <c r="CB5" s="142"/>
      <c r="CC5" s="142"/>
      <c r="CD5" s="142"/>
      <c r="CE5" s="142"/>
      <c r="CF5" s="142"/>
      <c r="CG5" s="142"/>
      <c r="CH5" s="143"/>
    </row>
    <row r="6" spans="2:86" ht="17.25" customHeight="1" x14ac:dyDescent="0.25">
      <c r="E6" s="5"/>
      <c r="F6" s="5"/>
    </row>
    <row r="7" spans="2:86" ht="15.75" customHeight="1" x14ac:dyDescent="0.25">
      <c r="E7" s="5"/>
      <c r="F7" s="5"/>
    </row>
    <row r="8" spans="2:86" ht="65.099999999999994" customHeight="1" x14ac:dyDescent="0.25">
      <c r="B8" s="6" t="s">
        <v>0</v>
      </c>
      <c r="C8" s="6" t="s">
        <v>41</v>
      </c>
      <c r="D8" s="6" t="s">
        <v>42</v>
      </c>
      <c r="E8" s="7" t="s">
        <v>43</v>
      </c>
      <c r="F8" s="7" t="s">
        <v>44</v>
      </c>
      <c r="G8" s="2"/>
    </row>
    <row r="9" spans="2:86" ht="27" customHeight="1" x14ac:dyDescent="0.25">
      <c r="B9" s="8">
        <v>1</v>
      </c>
      <c r="C9" s="9">
        <f>'DISTRIBUIÇÃO CUSTO'!D32</f>
        <v>1.1365458611036609E-2</v>
      </c>
      <c r="D9" s="10">
        <f>C9</f>
        <v>1.1365458611036609E-2</v>
      </c>
      <c r="E9" s="11">
        <f t="shared" ref="E9:E47" si="0">C9*$F$63</f>
        <v>354631.19111320982</v>
      </c>
      <c r="F9" s="11">
        <f>E9</f>
        <v>354631.19111320982</v>
      </c>
      <c r="G9" s="2"/>
    </row>
    <row r="10" spans="2:86" ht="27" customHeight="1" x14ac:dyDescent="0.25">
      <c r="B10" s="8">
        <v>2</v>
      </c>
      <c r="C10" s="9">
        <f>'DISTRIBUIÇÃO CUSTO'!D33</f>
        <v>2.1022663852110116E-2</v>
      </c>
      <c r="D10" s="10">
        <f>C10+D9</f>
        <v>3.2388122463146721E-2</v>
      </c>
      <c r="E10" s="11">
        <f t="shared" si="0"/>
        <v>655960.53598812548</v>
      </c>
      <c r="F10" s="11">
        <f>F9+E10</f>
        <v>1010591.7271013353</v>
      </c>
      <c r="G10" s="2"/>
    </row>
    <row r="11" spans="2:86" ht="27" customHeight="1" x14ac:dyDescent="0.25">
      <c r="B11" s="8">
        <v>3</v>
      </c>
      <c r="C11" s="9">
        <f>'DISTRIBUIÇÃO CUSTO'!D34</f>
        <v>2.1022663852110116E-2</v>
      </c>
      <c r="D11" s="10">
        <f t="shared" ref="D11:D62" si="1">C11+D10</f>
        <v>5.3410786315256836E-2</v>
      </c>
      <c r="E11" s="11">
        <f t="shared" si="0"/>
        <v>655960.53598812548</v>
      </c>
      <c r="F11" s="11">
        <f>F10+E11</f>
        <v>1666552.2630894608</v>
      </c>
      <c r="G11" s="2"/>
    </row>
    <row r="12" spans="2:86" ht="27" customHeight="1" x14ac:dyDescent="0.25">
      <c r="B12" s="8">
        <v>4</v>
      </c>
      <c r="C12" s="9">
        <f>'DISTRIBUIÇÃO CUSTO'!D35</f>
        <v>2.0141492981150109E-2</v>
      </c>
      <c r="D12" s="10">
        <f t="shared" si="1"/>
        <v>7.3552279296406953E-2</v>
      </c>
      <c r="E12" s="11">
        <f t="shared" si="0"/>
        <v>628465.76554046734</v>
      </c>
      <c r="F12" s="11">
        <f t="shared" ref="F12:F42" si="2">F11+E12</f>
        <v>2295018.0286299279</v>
      </c>
      <c r="G12" s="2"/>
    </row>
    <row r="13" spans="2:86" ht="27" customHeight="1" x14ac:dyDescent="0.25">
      <c r="B13" s="8">
        <v>5</v>
      </c>
      <c r="C13" s="9">
        <f>'DISTRIBUIÇÃO CUSTO'!D36</f>
        <v>1.8898223539735397E-2</v>
      </c>
      <c r="D13" s="10">
        <f t="shared" si="1"/>
        <v>9.2450502836142354E-2</v>
      </c>
      <c r="E13" s="11">
        <f t="shared" si="0"/>
        <v>589672.59951235738</v>
      </c>
      <c r="F13" s="11">
        <f t="shared" si="2"/>
        <v>2884690.6281422852</v>
      </c>
      <c r="G13" s="2"/>
    </row>
    <row r="14" spans="2:86" ht="27" customHeight="1" x14ac:dyDescent="0.25">
      <c r="B14" s="8">
        <v>6</v>
      </c>
      <c r="C14" s="9">
        <f>'DISTRIBUIÇÃO CUSTO'!D37</f>
        <v>1.8898223539735397E-2</v>
      </c>
      <c r="D14" s="10">
        <f t="shared" si="1"/>
        <v>0.11134872637587775</v>
      </c>
      <c r="E14" s="11">
        <f t="shared" si="0"/>
        <v>589672.59951235738</v>
      </c>
      <c r="F14" s="11">
        <f t="shared" si="2"/>
        <v>3474363.2276546424</v>
      </c>
      <c r="G14" s="2"/>
    </row>
    <row r="15" spans="2:86" ht="27" customHeight="1" x14ac:dyDescent="0.25">
      <c r="B15" s="8">
        <v>7</v>
      </c>
      <c r="C15" s="9">
        <f>'DISTRIBUIÇÃO CUSTO'!D38</f>
        <v>1.3527502014789215E-2</v>
      </c>
      <c r="D15" s="10">
        <f t="shared" si="1"/>
        <v>0.12487622839066698</v>
      </c>
      <c r="E15" s="11">
        <f t="shared" si="0"/>
        <v>422092.43959874846</v>
      </c>
      <c r="F15" s="11">
        <f t="shared" si="2"/>
        <v>3896455.6672533909</v>
      </c>
      <c r="G15" s="2"/>
    </row>
    <row r="16" spans="2:86" ht="27" customHeight="1" x14ac:dyDescent="0.25">
      <c r="B16" s="8">
        <v>8</v>
      </c>
      <c r="C16" s="9">
        <f>'DISTRIBUIÇÃO CUSTO'!D39</f>
        <v>1.0755546455153045E-2</v>
      </c>
      <c r="D16" s="10">
        <f t="shared" si="1"/>
        <v>0.13563177484582001</v>
      </c>
      <c r="E16" s="11">
        <f t="shared" si="0"/>
        <v>335600.38191160152</v>
      </c>
      <c r="F16" s="11">
        <f t="shared" si="2"/>
        <v>4232056.0491649928</v>
      </c>
      <c r="G16" s="2"/>
    </row>
    <row r="17" spans="2:7" ht="27" customHeight="1" x14ac:dyDescent="0.25">
      <c r="B17" s="8">
        <v>9</v>
      </c>
      <c r="C17" s="9">
        <f>'DISTRIBUIÇÃO CUSTO'!D40</f>
        <v>1.0755546455153045E-2</v>
      </c>
      <c r="D17" s="10">
        <f t="shared" si="1"/>
        <v>0.14638732130097304</v>
      </c>
      <c r="E17" s="11">
        <f t="shared" si="0"/>
        <v>335600.38191160152</v>
      </c>
      <c r="F17" s="11">
        <f t="shared" si="2"/>
        <v>4567656.4310765946</v>
      </c>
      <c r="G17" s="2"/>
    </row>
    <row r="18" spans="2:7" ht="27" customHeight="1" x14ac:dyDescent="0.25">
      <c r="B18" s="8">
        <v>10</v>
      </c>
      <c r="C18" s="9">
        <f>'DISTRIBUIÇÃO CUSTO'!D41</f>
        <v>1.0755546455153045E-2</v>
      </c>
      <c r="D18" s="10">
        <f t="shared" si="1"/>
        <v>0.15714286775612607</v>
      </c>
      <c r="E18" s="11">
        <f t="shared" si="0"/>
        <v>335600.38191160152</v>
      </c>
      <c r="F18" s="11">
        <f t="shared" si="2"/>
        <v>4903256.8129881965</v>
      </c>
      <c r="G18" s="2"/>
    </row>
    <row r="19" spans="2:7" ht="27" customHeight="1" x14ac:dyDescent="0.25">
      <c r="B19" s="8">
        <v>11</v>
      </c>
      <c r="C19" s="9">
        <f>'DISTRIBUIÇÃO CUSTO'!D42</f>
        <v>1.0755546455153045E-2</v>
      </c>
      <c r="D19" s="10">
        <f t="shared" si="1"/>
        <v>0.1678984142112791</v>
      </c>
      <c r="E19" s="11">
        <f t="shared" si="0"/>
        <v>335600.38191160152</v>
      </c>
      <c r="F19" s="11">
        <f t="shared" si="2"/>
        <v>5238857.1948997984</v>
      </c>
      <c r="G19" s="2"/>
    </row>
    <row r="20" spans="2:7" ht="27" customHeight="1" x14ac:dyDescent="0.25">
      <c r="B20" s="8">
        <v>12</v>
      </c>
      <c r="C20" s="9">
        <f>'DISTRIBUIÇÃO CUSTO'!D43</f>
        <v>1.2753975871033465E-2</v>
      </c>
      <c r="D20" s="10">
        <f t="shared" si="1"/>
        <v>0.18065239008231257</v>
      </c>
      <c r="E20" s="11">
        <f t="shared" si="0"/>
        <v>397956.45819180983</v>
      </c>
      <c r="F20" s="11">
        <f t="shared" si="2"/>
        <v>5636813.6530916085</v>
      </c>
      <c r="G20" s="2"/>
    </row>
    <row r="21" spans="2:7" ht="27" customHeight="1" x14ac:dyDescent="0.25">
      <c r="B21" s="8">
        <v>13</v>
      </c>
      <c r="C21" s="9">
        <f>'DISTRIBUIÇÃO CUSTO'!D44</f>
        <v>1.2753975871033465E-2</v>
      </c>
      <c r="D21" s="10">
        <f t="shared" si="1"/>
        <v>0.19340636595334604</v>
      </c>
      <c r="E21" s="11">
        <f t="shared" si="0"/>
        <v>397956.45819180983</v>
      </c>
      <c r="F21" s="11">
        <f t="shared" si="2"/>
        <v>6034770.1112834187</v>
      </c>
      <c r="G21" s="2"/>
    </row>
    <row r="22" spans="2:7" ht="27" customHeight="1" x14ac:dyDescent="0.25">
      <c r="B22" s="8">
        <v>14</v>
      </c>
      <c r="C22" s="9">
        <f>'DISTRIBUIÇÃO CUSTO'!D45</f>
        <v>1.7295208708811419E-2</v>
      </c>
      <c r="D22" s="10">
        <f t="shared" si="1"/>
        <v>0.21070157466215744</v>
      </c>
      <c r="E22" s="11">
        <f t="shared" si="0"/>
        <v>539654.46312930994</v>
      </c>
      <c r="F22" s="11">
        <f t="shared" si="2"/>
        <v>6574424.5744127287</v>
      </c>
      <c r="G22" s="2"/>
    </row>
    <row r="23" spans="2:7" ht="27" customHeight="1" x14ac:dyDescent="0.25">
      <c r="B23" s="8">
        <v>15</v>
      </c>
      <c r="C23" s="9">
        <f>'DISTRIBUIÇÃO CUSTO'!D46</f>
        <v>1.925799731513823E-2</v>
      </c>
      <c r="D23" s="10">
        <f t="shared" si="1"/>
        <v>0.22995957197729566</v>
      </c>
      <c r="E23" s="11">
        <f t="shared" si="0"/>
        <v>600898.45557930996</v>
      </c>
      <c r="F23" s="11">
        <f t="shared" si="2"/>
        <v>7175323.0299920384</v>
      </c>
      <c r="G23" s="2"/>
    </row>
    <row r="24" spans="2:7" ht="27" customHeight="1" x14ac:dyDescent="0.25">
      <c r="B24" s="8">
        <v>16</v>
      </c>
      <c r="C24" s="9">
        <f>'DISTRIBUIÇÃO CUSTO'!D47</f>
        <v>1.9792079541952775E-2</v>
      </c>
      <c r="D24" s="10">
        <f t="shared" si="1"/>
        <v>0.24975165151924844</v>
      </c>
      <c r="E24" s="11">
        <f t="shared" si="0"/>
        <v>617563.17829130997</v>
      </c>
      <c r="F24" s="11">
        <f t="shared" si="2"/>
        <v>7792886.208283348</v>
      </c>
      <c r="G24" s="2"/>
    </row>
    <row r="25" spans="2:7" ht="27" customHeight="1" x14ac:dyDescent="0.25">
      <c r="B25" s="8">
        <v>17</v>
      </c>
      <c r="C25" s="9">
        <f>'DISTRIBUIÇÃO CUSTO'!D48</f>
        <v>2.1266800504384308E-2</v>
      </c>
      <c r="D25" s="10">
        <f t="shared" si="1"/>
        <v>0.27101845202363273</v>
      </c>
      <c r="E25" s="11">
        <f t="shared" si="0"/>
        <v>663578.21995085757</v>
      </c>
      <c r="F25" s="11">
        <f t="shared" si="2"/>
        <v>8456464.4282342046</v>
      </c>
      <c r="G25" s="2"/>
    </row>
    <row r="26" spans="2:7" ht="27" customHeight="1" x14ac:dyDescent="0.25">
      <c r="B26" s="8">
        <v>18</v>
      </c>
      <c r="C26" s="9">
        <f>'DISTRIBUIÇÃO CUSTO'!D49</f>
        <v>2.1819113760931645E-2</v>
      </c>
      <c r="D26" s="10">
        <f t="shared" si="1"/>
        <v>0.29283756578456438</v>
      </c>
      <c r="E26" s="11">
        <f t="shared" si="0"/>
        <v>680811.79712008836</v>
      </c>
      <c r="F26" s="11">
        <f t="shared" si="2"/>
        <v>9137276.2253542934</v>
      </c>
      <c r="G26" s="2"/>
    </row>
    <row r="27" spans="2:7" ht="27" customHeight="1" x14ac:dyDescent="0.25">
      <c r="B27" s="8">
        <v>19</v>
      </c>
      <c r="C27" s="9">
        <f>'DISTRIBUIÇÃO CUSTO'!D50</f>
        <v>2.2891913547462089E-2</v>
      </c>
      <c r="D27" s="10">
        <f t="shared" si="1"/>
        <v>0.31572947933202644</v>
      </c>
      <c r="E27" s="11">
        <f t="shared" si="0"/>
        <v>714285.87671014096</v>
      </c>
      <c r="F27" s="11">
        <f>F26+E27</f>
        <v>9851562.1020644344</v>
      </c>
      <c r="G27" s="2"/>
    </row>
    <row r="28" spans="2:7" ht="27" customHeight="1" x14ac:dyDescent="0.25">
      <c r="B28" s="8">
        <v>20</v>
      </c>
      <c r="C28" s="9">
        <f>'DISTRIBUIÇÃO CUSTO'!D51</f>
        <v>2.2891913547462089E-2</v>
      </c>
      <c r="D28" s="10">
        <f t="shared" si="1"/>
        <v>0.33862139287948856</v>
      </c>
      <c r="E28" s="11">
        <f t="shared" si="0"/>
        <v>714285.87671014096</v>
      </c>
      <c r="F28" s="11">
        <f t="shared" si="2"/>
        <v>10565847.978774576</v>
      </c>
      <c r="G28" s="2"/>
    </row>
    <row r="29" spans="2:7" ht="27" customHeight="1" x14ac:dyDescent="0.25">
      <c r="B29" s="8">
        <v>21</v>
      </c>
      <c r="C29" s="9">
        <f>'DISTRIBUIÇÃO CUSTO'!D52</f>
        <v>2.2891913547462089E-2</v>
      </c>
      <c r="D29" s="10">
        <f t="shared" si="1"/>
        <v>0.36151330642695068</v>
      </c>
      <c r="E29" s="11">
        <f t="shared" si="0"/>
        <v>714285.87671014096</v>
      </c>
      <c r="F29" s="11">
        <f t="shared" si="2"/>
        <v>11280133.855484717</v>
      </c>
      <c r="G29" s="2"/>
    </row>
    <row r="30" spans="2:7" ht="27" customHeight="1" x14ac:dyDescent="0.25">
      <c r="B30" s="8">
        <v>22</v>
      </c>
      <c r="C30" s="9">
        <f>'DISTRIBUIÇÃO CUSTO'!D53</f>
        <v>2.2891913547462089E-2</v>
      </c>
      <c r="D30" s="10">
        <f t="shared" si="1"/>
        <v>0.38440521997441279</v>
      </c>
      <c r="E30" s="11">
        <f t="shared" si="0"/>
        <v>714285.87671014096</v>
      </c>
      <c r="F30" s="11">
        <f t="shared" si="2"/>
        <v>11994419.732194858</v>
      </c>
      <c r="G30" s="2"/>
    </row>
    <row r="31" spans="2:7" ht="27" customHeight="1" x14ac:dyDescent="0.25">
      <c r="B31" s="8">
        <v>23</v>
      </c>
      <c r="C31" s="9">
        <f>'DISTRIBUIÇÃO CUSTO'!D54</f>
        <v>2.2891913547462089E-2</v>
      </c>
      <c r="D31" s="10">
        <f t="shared" si="1"/>
        <v>0.40729713352187491</v>
      </c>
      <c r="E31" s="11">
        <f t="shared" si="0"/>
        <v>714285.87671014096</v>
      </c>
      <c r="F31" s="11">
        <f t="shared" si="2"/>
        <v>12708705.608904999</v>
      </c>
      <c r="G31" s="2"/>
    </row>
    <row r="32" spans="2:7" ht="27" customHeight="1" x14ac:dyDescent="0.25">
      <c r="B32" s="8">
        <v>24</v>
      </c>
      <c r="C32" s="9">
        <f>'DISTRIBUIÇÃO CUSTO'!D55</f>
        <v>2.2891913547462089E-2</v>
      </c>
      <c r="D32" s="10">
        <f t="shared" si="1"/>
        <v>0.43018904706933703</v>
      </c>
      <c r="E32" s="11">
        <f t="shared" si="0"/>
        <v>714285.87671014096</v>
      </c>
      <c r="F32" s="11">
        <f t="shared" si="2"/>
        <v>13422991.48561514</v>
      </c>
      <c r="G32" s="2"/>
    </row>
    <row r="33" spans="2:7" ht="27" customHeight="1" x14ac:dyDescent="0.25">
      <c r="B33" s="8">
        <v>25</v>
      </c>
      <c r="C33" s="9">
        <f>'DISTRIBUIÇÃO CUSTO'!D56</f>
        <v>2.2891913547462089E-2</v>
      </c>
      <c r="D33" s="10">
        <f t="shared" si="1"/>
        <v>0.45308096061679914</v>
      </c>
      <c r="E33" s="11">
        <f t="shared" si="0"/>
        <v>714285.87671014096</v>
      </c>
      <c r="F33" s="11">
        <f t="shared" si="2"/>
        <v>14137277.362325281</v>
      </c>
      <c r="G33" s="2"/>
    </row>
    <row r="34" spans="2:7" ht="27" customHeight="1" x14ac:dyDescent="0.25">
      <c r="B34" s="8">
        <v>26</v>
      </c>
      <c r="C34" s="9">
        <f>'DISTRIBUIÇÃO CUSTO'!D57</f>
        <v>2.2891913547462089E-2</v>
      </c>
      <c r="D34" s="10">
        <f t="shared" si="1"/>
        <v>0.47597287416426126</v>
      </c>
      <c r="E34" s="11">
        <f t="shared" si="0"/>
        <v>714285.87671014096</v>
      </c>
      <c r="F34" s="11">
        <f t="shared" si="2"/>
        <v>14851563.239035422</v>
      </c>
      <c r="G34" s="2"/>
    </row>
    <row r="35" spans="2:7" ht="27" customHeight="1" x14ac:dyDescent="0.25">
      <c r="B35" s="8">
        <v>27</v>
      </c>
      <c r="C35" s="9">
        <f>'DISTRIBUIÇÃO CUSTO'!D58</f>
        <v>2.2891913547462089E-2</v>
      </c>
      <c r="D35" s="10">
        <f t="shared" si="1"/>
        <v>0.49886478771172338</v>
      </c>
      <c r="E35" s="11">
        <f t="shared" si="0"/>
        <v>714285.87671014096</v>
      </c>
      <c r="F35" s="11">
        <f t="shared" si="2"/>
        <v>15565849.115745563</v>
      </c>
      <c r="G35" s="2"/>
    </row>
    <row r="36" spans="2:7" ht="27" customHeight="1" x14ac:dyDescent="0.25">
      <c r="B36" s="8">
        <v>28</v>
      </c>
      <c r="C36" s="9">
        <f>'DISTRIBUIÇÃO CUSTO'!D59</f>
        <v>2.2891913547462089E-2</v>
      </c>
      <c r="D36" s="10">
        <f t="shared" si="1"/>
        <v>0.5217567012591855</v>
      </c>
      <c r="E36" s="11">
        <f t="shared" si="0"/>
        <v>714285.87671014096</v>
      </c>
      <c r="F36" s="11">
        <f t="shared" si="2"/>
        <v>16280134.992455704</v>
      </c>
      <c r="G36" s="2"/>
    </row>
    <row r="37" spans="2:7" ht="27" customHeight="1" x14ac:dyDescent="0.25">
      <c r="B37" s="8">
        <v>29</v>
      </c>
      <c r="C37" s="9">
        <f>'DISTRIBUIÇÃO CUSTO'!D60</f>
        <v>2.2891913547462089E-2</v>
      </c>
      <c r="D37" s="10">
        <f t="shared" si="1"/>
        <v>0.54464861480664761</v>
      </c>
      <c r="E37" s="11">
        <f t="shared" si="0"/>
        <v>714285.87671014096</v>
      </c>
      <c r="F37" s="11">
        <f t="shared" si="2"/>
        <v>16994420.869165845</v>
      </c>
      <c r="G37" s="2"/>
    </row>
    <row r="38" spans="2:7" ht="27" customHeight="1" x14ac:dyDescent="0.25">
      <c r="B38" s="8">
        <v>30</v>
      </c>
      <c r="C38" s="9">
        <f>'DISTRIBUIÇÃO CUSTO'!D61</f>
        <v>2.2891913547462089E-2</v>
      </c>
      <c r="D38" s="10">
        <f t="shared" si="1"/>
        <v>0.56754052835410973</v>
      </c>
      <c r="E38" s="11">
        <f t="shared" si="0"/>
        <v>714285.87671014096</v>
      </c>
      <c r="F38" s="11">
        <f t="shared" si="2"/>
        <v>17708706.745875984</v>
      </c>
      <c r="G38" s="2"/>
    </row>
    <row r="39" spans="2:7" ht="27" customHeight="1" x14ac:dyDescent="0.25">
      <c r="B39" s="8">
        <v>31</v>
      </c>
      <c r="C39" s="9">
        <f>'DISTRIBUIÇÃO CUSTO'!D62</f>
        <v>2.2891913547462089E-2</v>
      </c>
      <c r="D39" s="10">
        <f t="shared" si="1"/>
        <v>0.59043244190157185</v>
      </c>
      <c r="E39" s="11">
        <f t="shared" si="0"/>
        <v>714285.87671014096</v>
      </c>
      <c r="F39" s="11">
        <f t="shared" si="2"/>
        <v>18422992.622586124</v>
      </c>
      <c r="G39" s="2"/>
    </row>
    <row r="40" spans="2:7" ht="27" customHeight="1" x14ac:dyDescent="0.25">
      <c r="B40" s="8">
        <v>32</v>
      </c>
      <c r="C40" s="9">
        <f>'DISTRIBUIÇÃO CUSTO'!D63</f>
        <v>2.2891913547462089E-2</v>
      </c>
      <c r="D40" s="10">
        <f t="shared" si="1"/>
        <v>0.61332435544903396</v>
      </c>
      <c r="E40" s="11">
        <f t="shared" si="0"/>
        <v>714285.87671014096</v>
      </c>
      <c r="F40" s="11">
        <f t="shared" si="2"/>
        <v>19137278.499296263</v>
      </c>
      <c r="G40" s="2"/>
    </row>
    <row r="41" spans="2:7" ht="27" customHeight="1" x14ac:dyDescent="0.25">
      <c r="B41" s="8">
        <v>33</v>
      </c>
      <c r="C41" s="9">
        <f>'DISTRIBUIÇÃO CUSTO'!D64</f>
        <v>1.7227841429229899E-2</v>
      </c>
      <c r="D41" s="10">
        <f t="shared" si="1"/>
        <v>0.63055219687826392</v>
      </c>
      <c r="E41" s="11">
        <f t="shared" si="0"/>
        <v>537552.43280940258</v>
      </c>
      <c r="F41" s="11">
        <f t="shared" si="2"/>
        <v>19674830.932105664</v>
      </c>
      <c r="G41" s="2"/>
    </row>
    <row r="42" spans="2:7" ht="27" customHeight="1" x14ac:dyDescent="0.25">
      <c r="B42" s="8">
        <v>34</v>
      </c>
      <c r="C42" s="9">
        <f>'DISTRIBUIÇÃO CUSTO'!D65</f>
        <v>1.7227841429229899E-2</v>
      </c>
      <c r="D42" s="10">
        <f t="shared" si="1"/>
        <v>0.64778003830749387</v>
      </c>
      <c r="E42" s="11">
        <f t="shared" si="0"/>
        <v>537552.43280940258</v>
      </c>
      <c r="F42" s="11">
        <f t="shared" si="2"/>
        <v>20212383.364915065</v>
      </c>
      <c r="G42" s="2"/>
    </row>
    <row r="43" spans="2:7" ht="27" customHeight="1" x14ac:dyDescent="0.25">
      <c r="B43" s="8">
        <v>35</v>
      </c>
      <c r="C43" s="9">
        <f>'DISTRIBUIÇÃO CUSTO'!D66</f>
        <v>1.7227841429229899E-2</v>
      </c>
      <c r="D43" s="10">
        <f t="shared" si="1"/>
        <v>0.66500787973672382</v>
      </c>
      <c r="E43" s="11">
        <f t="shared" si="0"/>
        <v>537552.43280940258</v>
      </c>
      <c r="F43" s="11">
        <f t="shared" ref="F43:F62" si="3">F42+E43</f>
        <v>20749935.797724467</v>
      </c>
      <c r="G43" s="2"/>
    </row>
    <row r="44" spans="2:7" ht="27" customHeight="1" x14ac:dyDescent="0.25">
      <c r="B44" s="8">
        <v>36</v>
      </c>
      <c r="C44" s="9">
        <f>'DISTRIBUIÇÃO CUSTO'!D67</f>
        <v>1.8383482751547039E-2</v>
      </c>
      <c r="D44" s="10">
        <f t="shared" si="1"/>
        <v>0.68339136248827081</v>
      </c>
      <c r="E44" s="11">
        <f t="shared" si="0"/>
        <v>573611.37883688649</v>
      </c>
      <c r="F44" s="11">
        <f t="shared" si="3"/>
        <v>21323547.176561352</v>
      </c>
      <c r="G44" s="2"/>
    </row>
    <row r="45" spans="2:7" ht="27" customHeight="1" x14ac:dyDescent="0.25">
      <c r="B45" s="8">
        <v>37</v>
      </c>
      <c r="C45" s="9">
        <f>'DISTRIBUIÇÃO CUSTO'!D68</f>
        <v>1.8383482751547039E-2</v>
      </c>
      <c r="D45" s="10">
        <f t="shared" si="1"/>
        <v>0.70177484523981781</v>
      </c>
      <c r="E45" s="11">
        <f t="shared" si="0"/>
        <v>573611.37883688649</v>
      </c>
      <c r="F45" s="11">
        <f t="shared" si="3"/>
        <v>21897158.555398237</v>
      </c>
      <c r="G45" s="2"/>
    </row>
    <row r="46" spans="2:7" ht="27" customHeight="1" x14ac:dyDescent="0.25">
      <c r="B46" s="8">
        <v>38</v>
      </c>
      <c r="C46" s="9">
        <f>'DISTRIBUIÇÃO CUSTO'!D69</f>
        <v>2.1495765328384195E-2</v>
      </c>
      <c r="D46" s="10">
        <f t="shared" si="1"/>
        <v>0.72327061056820197</v>
      </c>
      <c r="E46" s="11">
        <f t="shared" si="0"/>
        <v>670722.50431605312</v>
      </c>
      <c r="F46" s="11">
        <f t="shared" si="3"/>
        <v>22567881.059714291</v>
      </c>
      <c r="G46" s="2"/>
    </row>
    <row r="47" spans="2:7" ht="27" customHeight="1" x14ac:dyDescent="0.25">
      <c r="B47" s="8">
        <v>39</v>
      </c>
      <c r="C47" s="9">
        <f>'DISTRIBUIÇÃO CUSTO'!D70</f>
        <v>2.1495765328384195E-2</v>
      </c>
      <c r="D47" s="10">
        <f t="shared" si="1"/>
        <v>0.74476637589658612</v>
      </c>
      <c r="E47" s="11">
        <f t="shared" si="0"/>
        <v>670722.50431605312</v>
      </c>
      <c r="F47" s="11">
        <f t="shared" si="3"/>
        <v>23238603.564030346</v>
      </c>
      <c r="G47" s="2"/>
    </row>
    <row r="48" spans="2:7" ht="27" customHeight="1" x14ac:dyDescent="0.25">
      <c r="B48" s="8">
        <v>40</v>
      </c>
      <c r="C48" s="9">
        <f>'DISTRIBUIÇÃO CUSTO'!D71</f>
        <v>1.9532976722057383E-2</v>
      </c>
      <c r="D48" s="10">
        <f t="shared" si="1"/>
        <v>0.76429935261864346</v>
      </c>
      <c r="E48" s="11">
        <f t="shared" ref="E48:E61" si="4">C48*$F$63</f>
        <v>609478.5118660531</v>
      </c>
      <c r="F48" s="11">
        <f t="shared" si="3"/>
        <v>23848082.075896397</v>
      </c>
      <c r="G48" s="2"/>
    </row>
    <row r="49" spans="2:7" ht="27" customHeight="1" x14ac:dyDescent="0.25">
      <c r="B49" s="8">
        <v>41</v>
      </c>
      <c r="C49" s="9">
        <f>'DISTRIBUIÇÃO CUSTO'!D72</f>
        <v>1.8998894495242839E-2</v>
      </c>
      <c r="D49" s="10">
        <f t="shared" si="1"/>
        <v>0.78329824711388629</v>
      </c>
      <c r="E49" s="11">
        <f t="shared" si="4"/>
        <v>592813.78915405308</v>
      </c>
      <c r="F49" s="11">
        <f t="shared" si="3"/>
        <v>24440895.86505045</v>
      </c>
      <c r="G49" s="2"/>
    </row>
    <row r="50" spans="2:7" ht="27" customHeight="1" x14ac:dyDescent="0.25">
      <c r="B50" s="8">
        <v>42</v>
      </c>
      <c r="C50" s="9">
        <f>'DISTRIBUIÇÃO CUSTO'!D73</f>
        <v>1.8998894495242839E-2</v>
      </c>
      <c r="D50" s="10">
        <f t="shared" si="1"/>
        <v>0.80229714160912913</v>
      </c>
      <c r="E50" s="11">
        <f t="shared" si="4"/>
        <v>592813.78915405308</v>
      </c>
      <c r="F50" s="11">
        <f t="shared" si="3"/>
        <v>25033709.654204503</v>
      </c>
      <c r="G50" s="2"/>
    </row>
    <row r="51" spans="2:7" ht="27" customHeight="1" x14ac:dyDescent="0.25">
      <c r="B51" s="8">
        <v>43</v>
      </c>
      <c r="C51" s="9">
        <f>'DISTRIBUIÇÃO CUSTO'!D74</f>
        <v>1.8998894495242839E-2</v>
      </c>
      <c r="D51" s="10">
        <f t="shared" si="1"/>
        <v>0.82129603610437196</v>
      </c>
      <c r="E51" s="11">
        <f t="shared" si="4"/>
        <v>592813.78915405308</v>
      </c>
      <c r="F51" s="11">
        <f t="shared" si="3"/>
        <v>25626523.443358555</v>
      </c>
      <c r="G51" s="2"/>
    </row>
    <row r="52" spans="2:7" ht="27" customHeight="1" x14ac:dyDescent="0.25">
      <c r="B52" s="8">
        <v>44</v>
      </c>
      <c r="C52" s="9">
        <f>'DISTRIBUIÇÃO CUSTO'!D75</f>
        <v>2.3077715122917095E-2</v>
      </c>
      <c r="D52" s="10">
        <f t="shared" si="1"/>
        <v>0.84437375122728908</v>
      </c>
      <c r="E52" s="11">
        <f t="shared" si="4"/>
        <v>720083.3580322176</v>
      </c>
      <c r="F52" s="11">
        <f t="shared" si="3"/>
        <v>26346606.801390775</v>
      </c>
      <c r="G52" s="2"/>
    </row>
    <row r="53" spans="2:7" ht="27" customHeight="1" x14ac:dyDescent="0.25">
      <c r="B53" s="8">
        <v>45</v>
      </c>
      <c r="C53" s="9">
        <f>'DISTRIBUIÇÃO CUSTO'!D76</f>
        <v>2.3077715122917095E-2</v>
      </c>
      <c r="D53" s="10">
        <f t="shared" si="1"/>
        <v>0.8674514663502062</v>
      </c>
      <c r="E53" s="11">
        <f t="shared" si="4"/>
        <v>720083.3580322176</v>
      </c>
      <c r="F53" s="11">
        <f t="shared" si="3"/>
        <v>27066690.159422994</v>
      </c>
      <c r="G53" s="2"/>
    </row>
    <row r="54" spans="2:7" ht="27" customHeight="1" x14ac:dyDescent="0.25">
      <c r="B54" s="8">
        <v>46</v>
      </c>
      <c r="C54" s="9">
        <f>'DISTRIBUIÇÃO CUSTO'!D77</f>
        <v>2.3077715122917095E-2</v>
      </c>
      <c r="D54" s="10">
        <f t="shared" si="1"/>
        <v>0.89052918147312332</v>
      </c>
      <c r="E54" s="11">
        <f t="shared" si="4"/>
        <v>720083.3580322176</v>
      </c>
      <c r="F54" s="11">
        <f t="shared" si="3"/>
        <v>27786773.517455213</v>
      </c>
      <c r="G54" s="2"/>
    </row>
    <row r="55" spans="2:7" ht="27" customHeight="1" x14ac:dyDescent="0.25">
      <c r="B55" s="8">
        <v>47</v>
      </c>
      <c r="C55" s="9">
        <f>'DISTRIBUIÇÃO CUSTO'!D78</f>
        <v>2.3077715122917095E-2</v>
      </c>
      <c r="D55" s="10">
        <f t="shared" si="1"/>
        <v>0.91360689659604044</v>
      </c>
      <c r="E55" s="11">
        <f t="shared" si="4"/>
        <v>720083.3580322176</v>
      </c>
      <c r="F55" s="11">
        <f t="shared" si="3"/>
        <v>28506856.875487432</v>
      </c>
      <c r="G55" s="2"/>
    </row>
    <row r="56" spans="2:7" ht="27" customHeight="1" x14ac:dyDescent="0.25">
      <c r="B56" s="8">
        <v>48</v>
      </c>
      <c r="C56" s="9">
        <f>'DISTRIBUIÇÃO CUSTO'!D79</f>
        <v>2.3077715122917095E-2</v>
      </c>
      <c r="D56" s="10">
        <f t="shared" si="1"/>
        <v>0.93668461171895756</v>
      </c>
      <c r="E56" s="11">
        <f t="shared" si="4"/>
        <v>720083.3580322176</v>
      </c>
      <c r="F56" s="11">
        <f t="shared" si="3"/>
        <v>29226940.233519651</v>
      </c>
      <c r="G56" s="2"/>
    </row>
    <row r="57" spans="2:7" ht="27" customHeight="1" x14ac:dyDescent="0.25">
      <c r="B57" s="8">
        <v>49</v>
      </c>
      <c r="C57" s="9">
        <f>'DISTRIBUIÇÃO CUSTO'!D80</f>
        <v>1.9923644384719535E-2</v>
      </c>
      <c r="D57" s="10">
        <f t="shared" si="1"/>
        <v>0.95660825610367706</v>
      </c>
      <c r="E57" s="11">
        <f t="shared" si="4"/>
        <v>621668.33572452527</v>
      </c>
      <c r="F57" s="11">
        <f t="shared" si="3"/>
        <v>29848608.569244176</v>
      </c>
      <c r="G57" s="2"/>
    </row>
    <row r="58" spans="2:7" ht="27" customHeight="1" x14ac:dyDescent="0.25">
      <c r="B58" s="8">
        <v>50</v>
      </c>
      <c r="C58" s="9">
        <f>'DISTRIBUIÇÃO CUSTO'!D81</f>
        <v>1.2270128970104422E-2</v>
      </c>
      <c r="D58" s="10">
        <f t="shared" si="1"/>
        <v>0.96887838507378143</v>
      </c>
      <c r="E58" s="11">
        <f t="shared" si="4"/>
        <v>382859.20530785853</v>
      </c>
      <c r="F58" s="11">
        <f t="shared" si="3"/>
        <v>30231467.774552036</v>
      </c>
      <c r="G58" s="2"/>
    </row>
    <row r="59" spans="2:7" ht="27" customHeight="1" x14ac:dyDescent="0.25">
      <c r="B59" s="8">
        <v>51</v>
      </c>
      <c r="C59" s="9">
        <f>'DISTRIBUIÇÃO CUSTO'!D82</f>
        <v>1.0795408007672889E-2</v>
      </c>
      <c r="D59" s="10">
        <f t="shared" si="1"/>
        <v>0.9796737930814543</v>
      </c>
      <c r="E59" s="11">
        <f t="shared" si="4"/>
        <v>336844.16364831093</v>
      </c>
      <c r="F59" s="11">
        <f t="shared" si="3"/>
        <v>30568311.938200347</v>
      </c>
      <c r="G59" s="2"/>
    </row>
    <row r="60" spans="2:7" ht="27" customHeight="1" x14ac:dyDescent="0.25">
      <c r="B60" s="8">
        <v>52</v>
      </c>
      <c r="C60" s="9">
        <f>'DISTRIBUIÇÃO CUSTO'!D83</f>
        <v>7.4906021638689825E-3</v>
      </c>
      <c r="D60" s="10">
        <f t="shared" si="1"/>
        <v>0.98716439524532329</v>
      </c>
      <c r="E60" s="11">
        <f t="shared" si="4"/>
        <v>233725.82299041623</v>
      </c>
      <c r="F60" s="11">
        <f t="shared" si="3"/>
        <v>30802037.761190765</v>
      </c>
      <c r="G60" s="2"/>
    </row>
    <row r="61" spans="2:7" ht="27" customHeight="1" x14ac:dyDescent="0.25">
      <c r="B61" s="8">
        <v>53</v>
      </c>
      <c r="C61" s="9">
        <f>'DISTRIBUIÇÃO CUSTO'!D84</f>
        <v>6.4178023773385417E-3</v>
      </c>
      <c r="D61" s="10">
        <f t="shared" si="1"/>
        <v>0.99358219762266187</v>
      </c>
      <c r="E61" s="11">
        <f t="shared" si="4"/>
        <v>200251.74340036369</v>
      </c>
      <c r="F61" s="11">
        <f t="shared" si="3"/>
        <v>31002289.50459113</v>
      </c>
      <c r="G61" s="2"/>
    </row>
    <row r="62" spans="2:7" ht="28.5" customHeight="1" x14ac:dyDescent="0.25">
      <c r="B62" s="8">
        <v>54</v>
      </c>
      <c r="C62" s="9">
        <f>'DISTRIBUIÇÃO CUSTO'!D85</f>
        <v>6.4178023773385417E-3</v>
      </c>
      <c r="D62" s="10">
        <f t="shared" si="1"/>
        <v>1.0000000000000004</v>
      </c>
      <c r="E62" s="11">
        <f>C62*$F$63</f>
        <v>200251.74340036369</v>
      </c>
      <c r="F62" s="12">
        <f t="shared" si="3"/>
        <v>31202541.247991495</v>
      </c>
    </row>
    <row r="63" spans="2:7" ht="27" customHeight="1" x14ac:dyDescent="0.25">
      <c r="B63" s="13"/>
      <c r="C63" s="14"/>
      <c r="D63" s="15"/>
      <c r="E63" s="16" t="s">
        <v>45</v>
      </c>
      <c r="F63" s="12">
        <f>'DISTRIBUIÇÃO CUSTO'!C26</f>
        <v>31202541.247991487</v>
      </c>
    </row>
    <row r="64" spans="2:7" ht="15" customHeight="1" x14ac:dyDescent="0.25">
      <c r="B64" s="17"/>
    </row>
    <row r="65" spans="2:86" ht="15" customHeight="1" x14ac:dyDescent="0.25">
      <c r="B65" s="144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4"/>
      <c r="U65" s="144"/>
      <c r="V65" s="144"/>
      <c r="W65" s="144"/>
      <c r="X65" s="144"/>
      <c r="Y65" s="144"/>
      <c r="Z65" s="144"/>
      <c r="AA65" s="144"/>
      <c r="AB65" s="144"/>
      <c r="AC65" s="144"/>
      <c r="AD65" s="144"/>
      <c r="AE65" s="144"/>
      <c r="AF65" s="144"/>
      <c r="AG65" s="144"/>
      <c r="AH65" s="144"/>
      <c r="AI65" s="144"/>
      <c r="AJ65" s="144"/>
      <c r="AK65" s="144"/>
      <c r="AL65" s="144"/>
      <c r="AM65" s="144"/>
      <c r="AN65" s="144"/>
      <c r="AO65" s="144"/>
      <c r="AP65" s="144"/>
      <c r="AQ65" s="144"/>
      <c r="AR65" s="144"/>
      <c r="AS65" s="144"/>
      <c r="AT65" s="144"/>
      <c r="AU65" s="144"/>
      <c r="AV65" s="144"/>
      <c r="AW65" s="144"/>
      <c r="AX65" s="144"/>
      <c r="AY65" s="144"/>
      <c r="AZ65" s="144"/>
      <c r="BA65" s="144"/>
      <c r="BB65" s="144"/>
      <c r="BC65" s="144"/>
      <c r="BD65" s="144"/>
      <c r="BE65" s="144"/>
      <c r="BF65" s="144"/>
      <c r="BG65" s="144"/>
      <c r="BH65" s="144"/>
      <c r="BI65" s="144"/>
      <c r="BJ65" s="144"/>
      <c r="BK65" s="144"/>
      <c r="BL65" s="144"/>
      <c r="BM65" s="144"/>
      <c r="BN65" s="144"/>
      <c r="BO65" s="144"/>
      <c r="BP65" s="144"/>
      <c r="BQ65" s="144"/>
      <c r="BR65" s="144"/>
      <c r="BS65" s="144"/>
      <c r="BT65" s="144"/>
      <c r="BU65" s="144"/>
      <c r="BV65" s="144"/>
      <c r="BW65" s="144"/>
      <c r="BX65" s="144"/>
      <c r="BY65" s="144"/>
      <c r="BZ65" s="144"/>
      <c r="CA65" s="144"/>
      <c r="CB65" s="144"/>
      <c r="CC65" s="144"/>
      <c r="CD65" s="144"/>
      <c r="CE65" s="144"/>
      <c r="CF65" s="144"/>
      <c r="CG65" s="144"/>
      <c r="CH65" s="144"/>
    </row>
    <row r="66" spans="2:86" ht="9.9499999999999993" customHeight="1" x14ac:dyDescent="0.25">
      <c r="H66" s="18"/>
      <c r="I66" s="18"/>
    </row>
    <row r="67" spans="2:86" x14ac:dyDescent="0.25">
      <c r="H67" s="18"/>
    </row>
    <row r="70" spans="2:86" ht="65.45" customHeight="1" x14ac:dyDescent="0.25"/>
  </sheetData>
  <mergeCells count="3">
    <mergeCell ref="B2:CH4"/>
    <mergeCell ref="B5:CH5"/>
    <mergeCell ref="B65:CH65"/>
  </mergeCells>
  <printOptions horizontalCentered="1" verticalCentered="1"/>
  <pageMargins left="3.937007874015748E-2" right="3.937007874015748E-2" top="0.15748031496062992" bottom="0.15748031496062992" header="0" footer="0"/>
  <pageSetup paperSize="66" orientation="landscape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PRAZO</vt:lpstr>
      <vt:lpstr>DISTRIBUIÇÃO CUSTO</vt:lpstr>
      <vt:lpstr>CURVA TEÓRICA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n</dc:creator>
  <cp:lastModifiedBy>valquiria vansquelhe de oliveira</cp:lastModifiedBy>
  <dcterms:created xsi:type="dcterms:W3CDTF">2023-09-12T11:23:37Z</dcterms:created>
  <dcterms:modified xsi:type="dcterms:W3CDTF">2025-12-09T18:46:41Z</dcterms:modified>
</cp:coreProperties>
</file>