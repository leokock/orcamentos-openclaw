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6 - Aquos Oasis Home\04. Custo\03.0 Custo - Orçamento Paramétrico\R01\Entregável\"/>
    </mc:Choice>
  </mc:AlternateContent>
  <xr:revisionPtr revIDLastSave="0" documentId="13_ncr:1_{392A142D-860F-40B9-97C3-8A8830705385}" xr6:coauthVersionLast="47" xr6:coauthVersionMax="47" xr10:uidLastSave="{00000000-0000-0000-0000-000000000000}"/>
  <bookViews>
    <workbookView xWindow="-23148" yWindow="-48" windowWidth="23256" windowHeight="12456" xr2:uid="{7D576F2E-51A1-4758-9615-AD65E0C3CC56}"/>
  </bookViews>
  <sheets>
    <sheet name="PRAZO" sheetId="15" r:id="rId1"/>
    <sheet name="DISTRIBUIÇÃO CUSTO" sheetId="16" r:id="rId2"/>
    <sheet name="CURVA TEÓRICA" sheetId="13" r:id="rId3"/>
  </sheets>
  <definedNames>
    <definedName name="_xlnm._FilterDatabase" localSheetId="1" hidden="1">'DISTRIBUIÇÃO CUSTO'!$B$29:$E$31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6" l="1"/>
  <c r="M11" i="16" s="1"/>
  <c r="N11" i="16"/>
  <c r="O11" i="16"/>
  <c r="P11" i="16"/>
  <c r="Q11" i="16" s="1"/>
  <c r="R11" i="16"/>
  <c r="S11" i="16" s="1"/>
  <c r="T11" i="16"/>
  <c r="U11" i="16" s="1"/>
  <c r="V11" i="16"/>
  <c r="W11" i="16"/>
  <c r="BJ16" i="16"/>
  <c r="BK16" i="16" s="1"/>
  <c r="BH16" i="16"/>
  <c r="BI16" i="16" s="1"/>
  <c r="BF16" i="16"/>
  <c r="BG16" i="16" s="1"/>
  <c r="BD16" i="16"/>
  <c r="BE16" i="16" s="1"/>
  <c r="BB16" i="16"/>
  <c r="BC16" i="16" s="1"/>
  <c r="AZ16" i="16"/>
  <c r="BA16" i="16" s="1"/>
  <c r="AX16" i="16"/>
  <c r="AY16" i="16" s="1"/>
  <c r="AV16" i="16"/>
  <c r="AW16" i="16" s="1"/>
  <c r="AT16" i="16"/>
  <c r="CA24" i="16"/>
  <c r="BZ24" i="16"/>
  <c r="BX24" i="16"/>
  <c r="BY24" i="16" s="1"/>
  <c r="BV24" i="16"/>
  <c r="BW24" i="16" s="1"/>
  <c r="BT24" i="16"/>
  <c r="BU24" i="16" s="1"/>
  <c r="BR24" i="16"/>
  <c r="BS24" i="16" s="1"/>
  <c r="BP24" i="16"/>
  <c r="BQ24" i="16" s="1"/>
  <c r="BN24" i="16"/>
  <c r="BO24" i="16" s="1"/>
  <c r="BL24" i="16"/>
  <c r="BP23" i="16"/>
  <c r="BQ23" i="16" s="1"/>
  <c r="BN23" i="16"/>
  <c r="BO23" i="16" s="1"/>
  <c r="BL23" i="16"/>
  <c r="BM23" i="16" s="1"/>
  <c r="BJ23" i="16"/>
  <c r="BK23" i="16" s="1"/>
  <c r="BH23" i="16"/>
  <c r="BI23" i="16" s="1"/>
  <c r="BF23" i="16"/>
  <c r="BG23" i="16" s="1"/>
  <c r="BD23" i="16"/>
  <c r="BE23" i="16" s="1"/>
  <c r="BB23" i="16"/>
  <c r="BC23" i="16" s="1"/>
  <c r="AZ23" i="16"/>
  <c r="BV22" i="16"/>
  <c r="BW22" i="16" s="1"/>
  <c r="BT22" i="16"/>
  <c r="BU22" i="16" s="1"/>
  <c r="BR22" i="16"/>
  <c r="BS22" i="16" s="1"/>
  <c r="BP22" i="16"/>
  <c r="BQ22" i="16" s="1"/>
  <c r="BN22" i="16"/>
  <c r="BO22" i="16" s="1"/>
  <c r="BL22" i="16"/>
  <c r="BM22" i="16" s="1"/>
  <c r="BK22" i="16"/>
  <c r="BJ22" i="16"/>
  <c r="BH22" i="16"/>
  <c r="BI22" i="16" s="1"/>
  <c r="BF22" i="16"/>
  <c r="BX21" i="16"/>
  <c r="BY21" i="16" s="1"/>
  <c r="BV21" i="16"/>
  <c r="BW21" i="16" s="1"/>
  <c r="BT21" i="16"/>
  <c r="BU21" i="16" s="1"/>
  <c r="BR21" i="16"/>
  <c r="BS21" i="16" s="1"/>
  <c r="BP21" i="16"/>
  <c r="BQ21" i="16" s="1"/>
  <c r="BN21" i="16"/>
  <c r="BO21" i="16" s="1"/>
  <c r="BL21" i="16"/>
  <c r="BM21" i="16" s="1"/>
  <c r="BJ21" i="16"/>
  <c r="BK21" i="16" s="1"/>
  <c r="BH21" i="16"/>
  <c r="BI21" i="16" s="1"/>
  <c r="BF21" i="16"/>
  <c r="BG21" i="16" s="1"/>
  <c r="BD21" i="16"/>
  <c r="BE21" i="16" s="1"/>
  <c r="BC21" i="16"/>
  <c r="BB21" i="16"/>
  <c r="AZ21" i="16"/>
  <c r="BA21" i="16" s="1"/>
  <c r="AX21" i="16"/>
  <c r="AY21" i="16" s="1"/>
  <c r="AV21" i="16"/>
  <c r="AW21" i="16" s="1"/>
  <c r="AT21" i="16"/>
  <c r="AU21" i="16" s="1"/>
  <c r="AR21" i="16"/>
  <c r="BR20" i="16"/>
  <c r="BS20" i="16" s="1"/>
  <c r="BP20" i="16"/>
  <c r="BQ20" i="16" s="1"/>
  <c r="BN20" i="16"/>
  <c r="BO20" i="16" s="1"/>
  <c r="BL20" i="16"/>
  <c r="BM20" i="16" s="1"/>
  <c r="BJ20" i="16"/>
  <c r="BK20" i="16" s="1"/>
  <c r="BH20" i="16"/>
  <c r="BI20" i="16" s="1"/>
  <c r="BF20" i="16"/>
  <c r="BG20" i="16" s="1"/>
  <c r="BD20" i="16"/>
  <c r="BE20" i="16" s="1"/>
  <c r="BB20" i="16"/>
  <c r="BC20" i="16" s="1"/>
  <c r="AZ20" i="16"/>
  <c r="BA20" i="16" s="1"/>
  <c r="AX20" i="16"/>
  <c r="AY20" i="16" s="1"/>
  <c r="AV20" i="16"/>
  <c r="AW20" i="16" s="1"/>
  <c r="AT20" i="16"/>
  <c r="AU20" i="16" s="1"/>
  <c r="AR20" i="16"/>
  <c r="AS20" i="16" s="1"/>
  <c r="AP20" i="16"/>
  <c r="AQ20" i="16" s="1"/>
  <c r="AN20" i="16"/>
  <c r="BN19" i="16"/>
  <c r="BO19" i="16" s="1"/>
  <c r="BL19" i="16"/>
  <c r="BM19" i="16" s="1"/>
  <c r="BJ19" i="16"/>
  <c r="BK19" i="16" s="1"/>
  <c r="BH19" i="16"/>
  <c r="BI19" i="16" s="1"/>
  <c r="BF19" i="16"/>
  <c r="BG19" i="16" s="1"/>
  <c r="BD19" i="16"/>
  <c r="BE19" i="16" s="1"/>
  <c r="BB19" i="16"/>
  <c r="BC19" i="16" s="1"/>
  <c r="AZ19" i="16"/>
  <c r="BA19" i="16" s="1"/>
  <c r="AX19" i="16"/>
  <c r="AY19" i="16" s="1"/>
  <c r="AV19" i="16"/>
  <c r="AW19" i="16" s="1"/>
  <c r="AT19" i="16"/>
  <c r="AU19" i="16" s="1"/>
  <c r="AR19" i="16"/>
  <c r="AS19" i="16" s="1"/>
  <c r="AP19" i="16"/>
  <c r="BQ18" i="16"/>
  <c r="BO18" i="16"/>
  <c r="BM18" i="16"/>
  <c r="BK18" i="16"/>
  <c r="BF18" i="16"/>
  <c r="BG18" i="16" s="1"/>
  <c r="BD18" i="16"/>
  <c r="BE18" i="16" s="1"/>
  <c r="BB18" i="16"/>
  <c r="BC18" i="16" s="1"/>
  <c r="AZ18" i="16"/>
  <c r="BA18" i="16" s="1"/>
  <c r="AX18" i="16"/>
  <c r="AY18" i="16" s="1"/>
  <c r="AV18" i="16"/>
  <c r="AW18" i="16" s="1"/>
  <c r="AT18" i="16"/>
  <c r="AU18" i="16" s="1"/>
  <c r="AR18" i="16"/>
  <c r="AS18" i="16" s="1"/>
  <c r="AP18" i="16"/>
  <c r="AQ18" i="16" s="1"/>
  <c r="AN18" i="16"/>
  <c r="AO18" i="16" s="1"/>
  <c r="AL18" i="16"/>
  <c r="AM18" i="16" s="1"/>
  <c r="AJ18" i="16"/>
  <c r="AK18" i="16" s="1"/>
  <c r="AH18" i="16"/>
  <c r="BJ17" i="16" l="1"/>
  <c r="BK17" i="16" s="1"/>
  <c r="BH17" i="16"/>
  <c r="BI17" i="16" s="1"/>
  <c r="BF17" i="16"/>
  <c r="BG17" i="16" s="1"/>
  <c r="BD17" i="16"/>
  <c r="BE17" i="16" s="1"/>
  <c r="BB17" i="16"/>
  <c r="BC17" i="16" s="1"/>
  <c r="AZ17" i="16"/>
  <c r="BA17" i="16" s="1"/>
  <c r="AX17" i="16"/>
  <c r="AY17" i="16" s="1"/>
  <c r="AV17" i="16"/>
  <c r="AW17" i="16" s="1"/>
  <c r="AT17" i="16"/>
  <c r="AU17" i="16" s="1"/>
  <c r="AR17" i="16"/>
  <c r="AS17" i="16" s="1"/>
  <c r="AP17" i="16"/>
  <c r="AQ17" i="16" s="1"/>
  <c r="AN17" i="16"/>
  <c r="AO17" i="16" s="1"/>
  <c r="AL17" i="16"/>
  <c r="AM17" i="16" s="1"/>
  <c r="BQ19" i="16"/>
  <c r="AQ19" i="16"/>
  <c r="BI18" i="16"/>
  <c r="AI18" i="16"/>
  <c r="BM17" i="16"/>
  <c r="BM24" i="16"/>
  <c r="BK24" i="16"/>
  <c r="BI24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CA23" i="16"/>
  <c r="BY23" i="16"/>
  <c r="BW23" i="16"/>
  <c r="BU23" i="16"/>
  <c r="BS23" i="16"/>
  <c r="BA23" i="16"/>
  <c r="AY23" i="16"/>
  <c r="AW23" i="16"/>
  <c r="AU23" i="16"/>
  <c r="AS23" i="16"/>
  <c r="AQ23" i="16"/>
  <c r="AO23" i="16"/>
  <c r="AM23" i="16"/>
  <c r="AK23" i="16"/>
  <c r="AI23" i="16"/>
  <c r="CA22" i="16"/>
  <c r="BY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CA21" i="16"/>
  <c r="AS21" i="16"/>
  <c r="AQ21" i="16"/>
  <c r="AO21" i="16"/>
  <c r="AM21" i="16"/>
  <c r="AK21" i="16"/>
  <c r="AI21" i="16"/>
  <c r="CA20" i="16"/>
  <c r="BY20" i="16"/>
  <c r="BW20" i="16"/>
  <c r="BU20" i="16"/>
  <c r="AO20" i="16"/>
  <c r="AM20" i="16"/>
  <c r="AK20" i="16"/>
  <c r="AI20" i="16"/>
  <c r="CA19" i="16"/>
  <c r="BY19" i="16"/>
  <c r="BW19" i="16"/>
  <c r="BU19" i="16"/>
  <c r="BS19" i="16"/>
  <c r="AO19" i="16"/>
  <c r="AM19" i="16"/>
  <c r="AK19" i="16"/>
  <c r="AI19" i="16"/>
  <c r="CA18" i="16"/>
  <c r="BY18" i="16"/>
  <c r="BW18" i="16"/>
  <c r="BU18" i="16"/>
  <c r="BS18" i="16"/>
  <c r="CA17" i="16"/>
  <c r="BY17" i="16"/>
  <c r="BW17" i="16"/>
  <c r="BU17" i="16"/>
  <c r="BS17" i="16"/>
  <c r="BQ17" i="16"/>
  <c r="BO17" i="16"/>
  <c r="AK17" i="16"/>
  <c r="AI17" i="16"/>
  <c r="CA16" i="16"/>
  <c r="BY16" i="16"/>
  <c r="BW16" i="16"/>
  <c r="BU16" i="16"/>
  <c r="BS16" i="16"/>
  <c r="BQ16" i="16"/>
  <c r="BO16" i="16"/>
  <c r="BM16" i="16"/>
  <c r="AU16" i="16"/>
  <c r="AS16" i="16"/>
  <c r="AQ16" i="16"/>
  <c r="AO16" i="16"/>
  <c r="AM16" i="16"/>
  <c r="AK16" i="16"/>
  <c r="AI16" i="16"/>
  <c r="BF15" i="16"/>
  <c r="BG15" i="16" s="1"/>
  <c r="BD15" i="16"/>
  <c r="BE15" i="16" s="1"/>
  <c r="BB15" i="16"/>
  <c r="BC15" i="16" s="1"/>
  <c r="AZ15" i="16"/>
  <c r="BA15" i="16" s="1"/>
  <c r="AX15" i="16"/>
  <c r="AY15" i="16" s="1"/>
  <c r="AV15" i="16"/>
  <c r="AW15" i="16" s="1"/>
  <c r="AU15" i="16"/>
  <c r="AT15" i="16"/>
  <c r="AR15" i="16"/>
  <c r="AS15" i="16" s="1"/>
  <c r="AP15" i="16"/>
  <c r="AQ15" i="16" s="1"/>
  <c r="AN15" i="16"/>
  <c r="AO15" i="16" s="1"/>
  <c r="AL15" i="16"/>
  <c r="AM15" i="16" s="1"/>
  <c r="AJ15" i="16"/>
  <c r="AK15" i="16" s="1"/>
  <c r="AH15" i="16"/>
  <c r="AI15" i="16" s="1"/>
  <c r="AF15" i="16"/>
  <c r="BH14" i="16"/>
  <c r="BI14" i="16" s="1"/>
  <c r="BF14" i="16"/>
  <c r="BG14" i="16" s="1"/>
  <c r="BD14" i="16"/>
  <c r="BE14" i="16" s="1"/>
  <c r="BB14" i="16"/>
  <c r="BC14" i="16" s="1"/>
  <c r="AZ14" i="16"/>
  <c r="BA14" i="16" s="1"/>
  <c r="AX14" i="16"/>
  <c r="AY14" i="16" s="1"/>
  <c r="AV14" i="16"/>
  <c r="AW14" i="16" s="1"/>
  <c r="AT14" i="16"/>
  <c r="AU14" i="16" s="1"/>
  <c r="AR14" i="16"/>
  <c r="AS14" i="16" s="1"/>
  <c r="AP14" i="16"/>
  <c r="AQ14" i="16" s="1"/>
  <c r="AN14" i="16"/>
  <c r="AO14" i="16" s="1"/>
  <c r="AL14" i="16"/>
  <c r="AM14" i="16" s="1"/>
  <c r="AJ14" i="16"/>
  <c r="AK14" i="16" s="1"/>
  <c r="AH14" i="16"/>
  <c r="AI14" i="16" s="1"/>
  <c r="AF14" i="16"/>
  <c r="AG14" i="16" s="1"/>
  <c r="AD14" i="16"/>
  <c r="AS13" i="16"/>
  <c r="AR13" i="16"/>
  <c r="AP13" i="16"/>
  <c r="AQ13" i="16" s="1"/>
  <c r="AN13" i="16"/>
  <c r="AO13" i="16" s="1"/>
  <c r="AL13" i="16"/>
  <c r="AM13" i="16" s="1"/>
  <c r="AJ13" i="16"/>
  <c r="AK13" i="16" s="1"/>
  <c r="AH13" i="16"/>
  <c r="AI13" i="16" s="1"/>
  <c r="AF13" i="16"/>
  <c r="AG13" i="16" s="1"/>
  <c r="AD13" i="16"/>
  <c r="AE13" i="16" s="1"/>
  <c r="AB13" i="16"/>
  <c r="AC13" i="16" s="1"/>
  <c r="Z13" i="16"/>
  <c r="AA13" i="16" s="1"/>
  <c r="X13" i="16"/>
  <c r="N12" i="16"/>
  <c r="O12" i="16" s="1"/>
  <c r="L12" i="16"/>
  <c r="M12" i="16" s="1"/>
  <c r="J12" i="16"/>
  <c r="K12" i="16" s="1"/>
  <c r="H12" i="16"/>
  <c r="I11" i="16"/>
  <c r="BZ9" i="16" l="1"/>
  <c r="CA9" i="16" s="1"/>
  <c r="BX9" i="16"/>
  <c r="BY9" i="16" s="1"/>
  <c r="BV9" i="16"/>
  <c r="BW9" i="16" s="1"/>
  <c r="BT9" i="16"/>
  <c r="BU9" i="16" s="1"/>
  <c r="BR9" i="16"/>
  <c r="BS9" i="16" s="1"/>
  <c r="BP9" i="16"/>
  <c r="BQ9" i="16" s="1"/>
  <c r="BN9" i="16"/>
  <c r="BO9" i="16" s="1"/>
  <c r="BL9" i="16"/>
  <c r="BM9" i="16" s="1"/>
  <c r="BJ9" i="16"/>
  <c r="BK9" i="16" s="1"/>
  <c r="BH9" i="16"/>
  <c r="BI9" i="16" s="1"/>
  <c r="BG9" i="16"/>
  <c r="BF9" i="16"/>
  <c r="BD9" i="16"/>
  <c r="BE9" i="16" s="1"/>
  <c r="BB9" i="16"/>
  <c r="BC9" i="16" s="1"/>
  <c r="AZ9" i="16"/>
  <c r="BA9" i="16" s="1"/>
  <c r="AX9" i="16"/>
  <c r="AY9" i="16" s="1"/>
  <c r="AV9" i="16"/>
  <c r="AW9" i="16" s="1"/>
  <c r="AT9" i="16"/>
  <c r="AU9" i="16" s="1"/>
  <c r="AR9" i="16"/>
  <c r="AS9" i="16" s="1"/>
  <c r="AP9" i="16"/>
  <c r="AQ9" i="16" s="1"/>
  <c r="AN9" i="16"/>
  <c r="AO9" i="16" s="1"/>
  <c r="AL9" i="16"/>
  <c r="AM9" i="16" s="1"/>
  <c r="AJ9" i="16"/>
  <c r="AK9" i="16" s="1"/>
  <c r="AH9" i="16"/>
  <c r="AI9" i="16" s="1"/>
  <c r="AF9" i="16"/>
  <c r="AG9" i="16" s="1"/>
  <c r="AD9" i="16"/>
  <c r="AE9" i="16" s="1"/>
  <c r="AB9" i="16"/>
  <c r="AC9" i="16" s="1"/>
  <c r="Z9" i="16"/>
  <c r="AA9" i="16" s="1"/>
  <c r="X9" i="16"/>
  <c r="Y9" i="16" s="1"/>
  <c r="V9" i="16"/>
  <c r="W9" i="16" s="1"/>
  <c r="T9" i="16"/>
  <c r="F22" i="16"/>
  <c r="F9" i="16"/>
  <c r="S9" i="16"/>
  <c r="Q9" i="16"/>
  <c r="O9" i="16"/>
  <c r="M9" i="16"/>
  <c r="F16" i="16" l="1"/>
  <c r="BZ25" i="16"/>
  <c r="CA25" i="16" s="1"/>
  <c r="BX25" i="16"/>
  <c r="BY25" i="16" s="1"/>
  <c r="BV25" i="16"/>
  <c r="BW25" i="16" s="1"/>
  <c r="BT25" i="16"/>
  <c r="BU25" i="16" s="1"/>
  <c r="BR25" i="16"/>
  <c r="BS25" i="16" s="1"/>
  <c r="BP25" i="16"/>
  <c r="BQ25" i="16" s="1"/>
  <c r="BN25" i="16"/>
  <c r="BO25" i="16" s="1"/>
  <c r="BL25" i="16"/>
  <c r="BM25" i="16" s="1"/>
  <c r="BJ25" i="16"/>
  <c r="BK25" i="16" s="1"/>
  <c r="BH25" i="16"/>
  <c r="BI25" i="16" s="1"/>
  <c r="BF25" i="16"/>
  <c r="BG25" i="16" s="1"/>
  <c r="BD25" i="16"/>
  <c r="BE25" i="16" s="1"/>
  <c r="BB25" i="16"/>
  <c r="BC25" i="16" s="1"/>
  <c r="AZ25" i="16"/>
  <c r="BA25" i="16" s="1"/>
  <c r="AX25" i="16"/>
  <c r="AY25" i="16" s="1"/>
  <c r="AV25" i="16"/>
  <c r="AW25" i="16" s="1"/>
  <c r="AT25" i="16"/>
  <c r="AU25" i="16" s="1"/>
  <c r="AR25" i="16"/>
  <c r="AS25" i="16" s="1"/>
  <c r="AP25" i="16"/>
  <c r="AQ25" i="16" s="1"/>
  <c r="AN25" i="16"/>
  <c r="AO25" i="16" s="1"/>
  <c r="AL25" i="16"/>
  <c r="AM25" i="16" s="1"/>
  <c r="AJ25" i="16"/>
  <c r="AK25" i="16" s="1"/>
  <c r="AH25" i="16"/>
  <c r="AI25" i="16" s="1"/>
  <c r="AF25" i="16"/>
  <c r="AG25" i="16" s="1"/>
  <c r="AD25" i="16"/>
  <c r="AE25" i="16" s="1"/>
  <c r="AB25" i="16"/>
  <c r="AC25" i="16" s="1"/>
  <c r="Z25" i="16"/>
  <c r="AA25" i="16" s="1"/>
  <c r="X25" i="16"/>
  <c r="Y25" i="16" s="1"/>
  <c r="V25" i="16"/>
  <c r="W25" i="16" s="1"/>
  <c r="T25" i="16"/>
  <c r="U25" i="16" s="1"/>
  <c r="R25" i="16"/>
  <c r="S25" i="16" s="1"/>
  <c r="P25" i="16"/>
  <c r="Q25" i="16" s="1"/>
  <c r="N25" i="16"/>
  <c r="O25" i="16" s="1"/>
  <c r="L25" i="16"/>
  <c r="M25" i="16" s="1"/>
  <c r="J25" i="16"/>
  <c r="K25" i="16" s="1"/>
  <c r="H25" i="16"/>
  <c r="F23" i="16"/>
  <c r="F20" i="16"/>
  <c r="F19" i="16"/>
  <c r="BI15" i="16"/>
  <c r="AY13" i="16"/>
  <c r="AW13" i="16"/>
  <c r="AU13" i="16"/>
  <c r="F15" i="16"/>
  <c r="F14" i="16"/>
  <c r="Q12" i="16"/>
  <c r="K11" i="16"/>
  <c r="F11" i="16"/>
  <c r="N10" i="16"/>
  <c r="O10" i="16" s="1"/>
  <c r="L10" i="16"/>
  <c r="M10" i="16" s="1"/>
  <c r="J10" i="16"/>
  <c r="K10" i="16" s="1"/>
  <c r="H10" i="16"/>
  <c r="F18" i="16" l="1"/>
  <c r="F17" i="16"/>
  <c r="F21" i="16"/>
  <c r="F12" i="16"/>
  <c r="F10" i="16"/>
  <c r="F13" i="16"/>
  <c r="F24" i="16"/>
  <c r="F25" i="16"/>
  <c r="C26" i="16" l="1"/>
  <c r="I25" i="16"/>
  <c r="E25" i="16"/>
  <c r="AG24" i="16"/>
  <c r="AE24" i="16"/>
  <c r="AC24" i="16"/>
  <c r="AA24" i="16"/>
  <c r="Y24" i="16"/>
  <c r="W24" i="16"/>
  <c r="U24" i="16"/>
  <c r="S24" i="16"/>
  <c r="Q24" i="16"/>
  <c r="O24" i="16"/>
  <c r="M24" i="16"/>
  <c r="K24" i="16"/>
  <c r="I24" i="16"/>
  <c r="E24" i="16"/>
  <c r="AG23" i="16"/>
  <c r="AE23" i="16"/>
  <c r="AC23" i="16"/>
  <c r="AA23" i="16"/>
  <c r="Y23" i="16"/>
  <c r="W23" i="16"/>
  <c r="U23" i="16"/>
  <c r="S23" i="16"/>
  <c r="Q23" i="16"/>
  <c r="O23" i="16"/>
  <c r="M23" i="16"/>
  <c r="K23" i="16"/>
  <c r="I23" i="16"/>
  <c r="E23" i="16"/>
  <c r="AG22" i="16"/>
  <c r="AE22" i="16"/>
  <c r="AC22" i="16"/>
  <c r="AA22" i="16"/>
  <c r="Y22" i="16"/>
  <c r="W22" i="16"/>
  <c r="U22" i="16"/>
  <c r="S22" i="16"/>
  <c r="Q22" i="16"/>
  <c r="O22" i="16"/>
  <c r="M22" i="16"/>
  <c r="K22" i="16"/>
  <c r="I22" i="16"/>
  <c r="E22" i="16"/>
  <c r="AG21" i="16"/>
  <c r="AE21" i="16"/>
  <c r="AC21" i="16"/>
  <c r="AA21" i="16"/>
  <c r="Y21" i="16"/>
  <c r="W21" i="16"/>
  <c r="U21" i="16"/>
  <c r="S21" i="16"/>
  <c r="Q21" i="16"/>
  <c r="O21" i="16"/>
  <c r="M21" i="16"/>
  <c r="K21" i="16"/>
  <c r="I21" i="16"/>
  <c r="E21" i="16"/>
  <c r="AG20" i="16"/>
  <c r="AE20" i="16"/>
  <c r="AC20" i="16"/>
  <c r="AA20" i="16"/>
  <c r="Y20" i="16"/>
  <c r="W20" i="16"/>
  <c r="U20" i="16"/>
  <c r="S20" i="16"/>
  <c r="Q20" i="16"/>
  <c r="O20" i="16"/>
  <c r="M20" i="16"/>
  <c r="K20" i="16"/>
  <c r="I20" i="16"/>
  <c r="E20" i="16"/>
  <c r="AG19" i="16"/>
  <c r="AE19" i="16"/>
  <c r="AC19" i="16"/>
  <c r="AA19" i="16"/>
  <c r="Y19" i="16"/>
  <c r="W19" i="16"/>
  <c r="U19" i="16"/>
  <c r="S19" i="16"/>
  <c r="Q19" i="16"/>
  <c r="O19" i="16"/>
  <c r="M19" i="16"/>
  <c r="K19" i="16"/>
  <c r="I19" i="16"/>
  <c r="E19" i="16"/>
  <c r="AG18" i="16"/>
  <c r="AE18" i="16"/>
  <c r="AC18" i="16"/>
  <c r="AA18" i="16"/>
  <c r="Y18" i="16"/>
  <c r="W18" i="16"/>
  <c r="U18" i="16"/>
  <c r="S18" i="16"/>
  <c r="Q18" i="16"/>
  <c r="O18" i="16"/>
  <c r="M18" i="16"/>
  <c r="K18" i="16"/>
  <c r="I18" i="16"/>
  <c r="E18" i="16"/>
  <c r="AG17" i="16"/>
  <c r="AE17" i="16"/>
  <c r="AC17" i="16"/>
  <c r="AA17" i="16"/>
  <c r="Y17" i="16"/>
  <c r="W17" i="16"/>
  <c r="U17" i="16"/>
  <c r="S17" i="16"/>
  <c r="Q17" i="16"/>
  <c r="O17" i="16"/>
  <c r="M17" i="16"/>
  <c r="K17" i="16"/>
  <c r="I17" i="16"/>
  <c r="E17" i="16"/>
  <c r="AG16" i="16"/>
  <c r="AE16" i="16"/>
  <c r="AC16" i="16"/>
  <c r="AA16" i="16"/>
  <c r="Y16" i="16"/>
  <c r="W16" i="16"/>
  <c r="U16" i="16"/>
  <c r="S16" i="16"/>
  <c r="Q16" i="16"/>
  <c r="O16" i="16"/>
  <c r="M16" i="16"/>
  <c r="K16" i="16"/>
  <c r="I16" i="16"/>
  <c r="E16" i="16"/>
  <c r="CA15" i="16"/>
  <c r="BY15" i="16"/>
  <c r="BW15" i="16"/>
  <c r="BU15" i="16"/>
  <c r="BS15" i="16"/>
  <c r="BQ15" i="16"/>
  <c r="BO15" i="16"/>
  <c r="BM15" i="16"/>
  <c r="BK15" i="16"/>
  <c r="AG15" i="16"/>
  <c r="AE15" i="16"/>
  <c r="AC15" i="16"/>
  <c r="AA15" i="16"/>
  <c r="Y15" i="16"/>
  <c r="W15" i="16"/>
  <c r="U15" i="16"/>
  <c r="S15" i="16"/>
  <c r="Q15" i="16"/>
  <c r="O15" i="16"/>
  <c r="M15" i="16"/>
  <c r="K15" i="16"/>
  <c r="I15" i="16"/>
  <c r="E15" i="16"/>
  <c r="CA14" i="16"/>
  <c r="BY14" i="16"/>
  <c r="BW14" i="16"/>
  <c r="BU14" i="16"/>
  <c r="BS14" i="16"/>
  <c r="BQ14" i="16"/>
  <c r="BO14" i="16"/>
  <c r="BM14" i="16"/>
  <c r="BK14" i="16"/>
  <c r="AE14" i="16"/>
  <c r="AC14" i="16"/>
  <c r="AA14" i="16"/>
  <c r="Y14" i="16"/>
  <c r="W14" i="16"/>
  <c r="U14" i="16"/>
  <c r="S14" i="16"/>
  <c r="Q14" i="16"/>
  <c r="O14" i="16"/>
  <c r="M14" i="16"/>
  <c r="K14" i="16"/>
  <c r="I14" i="16"/>
  <c r="E14" i="16"/>
  <c r="CA13" i="16"/>
  <c r="BY13" i="16"/>
  <c r="BW13" i="16"/>
  <c r="BU13" i="16"/>
  <c r="BS13" i="16"/>
  <c r="BQ13" i="16"/>
  <c r="BO13" i="16"/>
  <c r="BM13" i="16"/>
  <c r="BK13" i="16"/>
  <c r="BI13" i="16"/>
  <c r="BG13" i="16"/>
  <c r="BE13" i="16"/>
  <c r="BC13" i="16"/>
  <c r="BA13" i="16"/>
  <c r="Y13" i="16"/>
  <c r="W13" i="16"/>
  <c r="U13" i="16"/>
  <c r="S13" i="16"/>
  <c r="Q13" i="16"/>
  <c r="O13" i="16"/>
  <c r="M13" i="16"/>
  <c r="K13" i="16"/>
  <c r="I13" i="16"/>
  <c r="E13" i="16"/>
  <c r="CA12" i="16"/>
  <c r="BY12" i="16"/>
  <c r="BW12" i="16"/>
  <c r="BU12" i="16"/>
  <c r="BS12" i="16"/>
  <c r="BQ12" i="16"/>
  <c r="BO12" i="16"/>
  <c r="BM12" i="16"/>
  <c r="BK12" i="16"/>
  <c r="BI12" i="16"/>
  <c r="BG12" i="16"/>
  <c r="BE12" i="16"/>
  <c r="BC12" i="16"/>
  <c r="BA12" i="16"/>
  <c r="AY12" i="16"/>
  <c r="AW12" i="16"/>
  <c r="AU12" i="16"/>
  <c r="AS12" i="16"/>
  <c r="AQ12" i="16"/>
  <c r="AO12" i="16"/>
  <c r="AM12" i="16"/>
  <c r="AK12" i="16"/>
  <c r="AI12" i="16"/>
  <c r="AG12" i="16"/>
  <c r="AE12" i="16"/>
  <c r="AC12" i="16"/>
  <c r="AA12" i="16"/>
  <c r="Y12" i="16"/>
  <c r="W12" i="16"/>
  <c r="U12" i="16"/>
  <c r="S12" i="16"/>
  <c r="I12" i="16"/>
  <c r="E12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AC11" i="16"/>
  <c r="AA11" i="16"/>
  <c r="Y11" i="16"/>
  <c r="E11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AC10" i="16"/>
  <c r="AA10" i="16"/>
  <c r="Y10" i="16"/>
  <c r="W10" i="16"/>
  <c r="U10" i="16"/>
  <c r="S10" i="16"/>
  <c r="Q10" i="16"/>
  <c r="I10" i="16"/>
  <c r="E10" i="16"/>
  <c r="U9" i="16"/>
  <c r="K9" i="16"/>
  <c r="I9" i="16"/>
  <c r="E9" i="16"/>
  <c r="D9" i="16" l="1"/>
  <c r="D10" i="16"/>
  <c r="D18" i="16"/>
  <c r="D22" i="16"/>
  <c r="D17" i="16"/>
  <c r="D11" i="16"/>
  <c r="D19" i="16"/>
  <c r="D14" i="16"/>
  <c r="D12" i="16"/>
  <c r="D20" i="16"/>
  <c r="D13" i="16"/>
  <c r="D21" i="16"/>
  <c r="D25" i="16"/>
  <c r="D15" i="16"/>
  <c r="D23" i="16"/>
  <c r="D24" i="16"/>
  <c r="D16" i="16"/>
  <c r="F45" i="13"/>
  <c r="U26" i="16"/>
  <c r="U27" i="16" s="1"/>
  <c r="D38" i="16" s="1"/>
  <c r="C15" i="13" s="1"/>
  <c r="AK26" i="16"/>
  <c r="AK27" i="16" s="1"/>
  <c r="D46" i="16" s="1"/>
  <c r="C23" i="13" s="1"/>
  <c r="BA26" i="16"/>
  <c r="BA27" i="16" s="1"/>
  <c r="D54" i="16" s="1"/>
  <c r="C31" i="13" s="1"/>
  <c r="BQ26" i="16"/>
  <c r="BQ27" i="16" s="1"/>
  <c r="D62" i="16" s="1"/>
  <c r="C39" i="13" s="1"/>
  <c r="E26" i="16"/>
  <c r="E27" i="16" s="1"/>
  <c r="W26" i="16"/>
  <c r="W27" i="16" s="1"/>
  <c r="D39" i="16" s="1"/>
  <c r="C16" i="13" s="1"/>
  <c r="AM26" i="16"/>
  <c r="AM27" i="16" s="1"/>
  <c r="D47" i="16" s="1"/>
  <c r="C24" i="13" s="1"/>
  <c r="BC26" i="16"/>
  <c r="BC27" i="16" s="1"/>
  <c r="D55" i="16" s="1"/>
  <c r="C32" i="13" s="1"/>
  <c r="BS26" i="16"/>
  <c r="BS27" i="16" s="1"/>
  <c r="D63" i="16" s="1"/>
  <c r="C40" i="13" s="1"/>
  <c r="I26" i="16"/>
  <c r="Y26" i="16"/>
  <c r="Y27" i="16" s="1"/>
  <c r="D40" i="16" s="1"/>
  <c r="C17" i="13" s="1"/>
  <c r="AO26" i="16"/>
  <c r="AO27" i="16" s="1"/>
  <c r="D48" i="16" s="1"/>
  <c r="C25" i="13" s="1"/>
  <c r="BE26" i="16"/>
  <c r="BE27" i="16" s="1"/>
  <c r="D56" i="16" s="1"/>
  <c r="C33" i="13" s="1"/>
  <c r="BU26" i="16"/>
  <c r="BU27" i="16" s="1"/>
  <c r="D64" i="16" s="1"/>
  <c r="C41" i="13" s="1"/>
  <c r="E41" i="13" s="1"/>
  <c r="O26" i="16"/>
  <c r="O27" i="16" s="1"/>
  <c r="D35" i="16" s="1"/>
  <c r="C12" i="13" s="1"/>
  <c r="BK26" i="16"/>
  <c r="BK27" i="16" s="1"/>
  <c r="D59" i="16" s="1"/>
  <c r="C36" i="13" s="1"/>
  <c r="Q26" i="16"/>
  <c r="Q27" i="16" s="1"/>
  <c r="D36" i="16" s="1"/>
  <c r="C13" i="13" s="1"/>
  <c r="AW26" i="16"/>
  <c r="AW27" i="16" s="1"/>
  <c r="D52" i="16" s="1"/>
  <c r="C29" i="13" s="1"/>
  <c r="S26" i="16"/>
  <c r="S27" i="16" s="1"/>
  <c r="D37" i="16" s="1"/>
  <c r="C14" i="13" s="1"/>
  <c r="AI26" i="16"/>
  <c r="AI27" i="16" s="1"/>
  <c r="D45" i="16" s="1"/>
  <c r="C22" i="13" s="1"/>
  <c r="AY26" i="16"/>
  <c r="AY27" i="16" s="1"/>
  <c r="D53" i="16" s="1"/>
  <c r="C30" i="13" s="1"/>
  <c r="BO26" i="16"/>
  <c r="BO27" i="16" s="1"/>
  <c r="D61" i="16" s="1"/>
  <c r="C38" i="13" s="1"/>
  <c r="K26" i="16"/>
  <c r="K27" i="16" s="1"/>
  <c r="D33" i="16" s="1"/>
  <c r="C10" i="13" s="1"/>
  <c r="AA26" i="16"/>
  <c r="AA27" i="16" s="1"/>
  <c r="D41" i="16" s="1"/>
  <c r="C18" i="13" s="1"/>
  <c r="AQ26" i="16"/>
  <c r="AQ27" i="16" s="1"/>
  <c r="D49" i="16" s="1"/>
  <c r="C26" i="13" s="1"/>
  <c r="BG26" i="16"/>
  <c r="BG27" i="16" s="1"/>
  <c r="D57" i="16" s="1"/>
  <c r="C34" i="13" s="1"/>
  <c r="BW26" i="16"/>
  <c r="BW27" i="16" s="1"/>
  <c r="D65" i="16" s="1"/>
  <c r="C42" i="13" s="1"/>
  <c r="E42" i="13" s="1"/>
  <c r="M26" i="16"/>
  <c r="M27" i="16" s="1"/>
  <c r="D34" i="16" s="1"/>
  <c r="C11" i="13" s="1"/>
  <c r="AC26" i="16"/>
  <c r="AC27" i="16" s="1"/>
  <c r="D42" i="16" s="1"/>
  <c r="C19" i="13" s="1"/>
  <c r="AS26" i="16"/>
  <c r="AS27" i="16" s="1"/>
  <c r="D50" i="16" s="1"/>
  <c r="C27" i="13" s="1"/>
  <c r="BI26" i="16"/>
  <c r="BI27" i="16" s="1"/>
  <c r="D58" i="16" s="1"/>
  <c r="C35" i="13" s="1"/>
  <c r="BY26" i="16"/>
  <c r="BY27" i="16" s="1"/>
  <c r="D66" i="16" s="1"/>
  <c r="C43" i="13" s="1"/>
  <c r="AU26" i="16"/>
  <c r="AU27" i="16" s="1"/>
  <c r="D51" i="16" s="1"/>
  <c r="C28" i="13" s="1"/>
  <c r="CA26" i="16"/>
  <c r="CA27" i="16" s="1"/>
  <c r="D67" i="16" s="1"/>
  <c r="C44" i="13" s="1"/>
  <c r="E44" i="13" s="1"/>
  <c r="AE26" i="16"/>
  <c r="AE27" i="16" s="1"/>
  <c r="D43" i="16" s="1"/>
  <c r="C20" i="13" s="1"/>
  <c r="AG26" i="16"/>
  <c r="AG27" i="16" s="1"/>
  <c r="D44" i="16" s="1"/>
  <c r="C21" i="13" s="1"/>
  <c r="BM26" i="16"/>
  <c r="BM27" i="16" s="1"/>
  <c r="D60" i="16" s="1"/>
  <c r="C37" i="13" s="1"/>
  <c r="E39" i="13" l="1"/>
  <c r="E38" i="13"/>
  <c r="E40" i="13"/>
  <c r="E43" i="13"/>
  <c r="D26" i="16"/>
  <c r="I27" i="16"/>
  <c r="D32" i="16" s="1"/>
  <c r="C9" i="13" s="1"/>
  <c r="E9" i="13" s="1"/>
  <c r="CB27" i="16"/>
  <c r="E17" i="13" l="1"/>
  <c r="E25" i="13"/>
  <c r="E33" i="13"/>
  <c r="E10" i="13"/>
  <c r="E18" i="13"/>
  <c r="E26" i="13"/>
  <c r="E34" i="13"/>
  <c r="E11" i="13"/>
  <c r="E19" i="13"/>
  <c r="E27" i="13"/>
  <c r="E35" i="13"/>
  <c r="E13" i="13"/>
  <c r="E21" i="13"/>
  <c r="E29" i="13"/>
  <c r="E37" i="13"/>
  <c r="E14" i="13"/>
  <c r="E22" i="13"/>
  <c r="E30" i="13"/>
  <c r="E15" i="13"/>
  <c r="E23" i="13"/>
  <c r="E31" i="13"/>
  <c r="E16" i="13"/>
  <c r="E24" i="13"/>
  <c r="E32" i="13"/>
  <c r="E12" i="13"/>
  <c r="E20" i="13"/>
  <c r="E28" i="13"/>
  <c r="E36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</calcChain>
</file>

<file path=xl/sharedStrings.xml><?xml version="1.0" encoding="utf-8"?>
<sst xmlns="http://schemas.openxmlformats.org/spreadsheetml/2006/main" count="238" uniqueCount="76">
  <si>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</si>
  <si>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</si>
  <si>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</si>
  <si>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</si>
  <si>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</si>
  <si>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</si>
  <si>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</si>
  <si>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</si>
  <si>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</si>
  <si>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</si>
  <si>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</si>
  <si>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</si>
  <si>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</si>
  <si>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</si>
  <si>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</si>
  <si>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</si>
  <si>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</si>
  <si>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</si>
  <si>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</si>
  <si>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</si>
  <si>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</si>
  <si>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</si>
  <si>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</si>
  <si>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</si>
  <si>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</si>
  <si>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</si>
  <si>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</si>
  <si>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</si>
  <si>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</si>
  <si>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</si>
  <si>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</si>
  <si>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</si>
  <si>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</si>
  <si>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</si>
  <si>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</si>
  <si>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</si>
  <si>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</si>
  <si>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%  AVANÇO</t>
  </si>
  <si>
    <t>% AVANÇO Acumulado</t>
  </si>
  <si>
    <t>Valor Planejado</t>
  </si>
  <si>
    <t>Valor Planejado Acumulado</t>
  </si>
  <si>
    <t>Total</t>
  </si>
  <si>
    <t>CURVA S | % TEÓRICA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</si>
  <si>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</si>
  <si>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</si>
  <si>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</si>
  <si>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</si>
  <si>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</si>
  <si>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</si>
  <si>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</si>
  <si>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</si>
  <si>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</si>
  <si>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</si>
  <si>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INSTALAÇÕES ELÉTRICAS, HIDRÁULICAS, GLP E PREVENTIVAS</t>
  </si>
  <si>
    <t>EQUIPAMENTOS E SISTEMAS ESPECIAIS</t>
  </si>
  <si>
    <t>IMPERMEABILIZAÇÃO</t>
  </si>
  <si>
    <t>REVESTIMENTOS E ACABAMENTOS INTERNOS EM TETO</t>
  </si>
  <si>
    <t>PINTURA INTERNA</t>
  </si>
  <si>
    <t>ESQUADRIAS, VIDROS E FERRAGENS</t>
  </si>
  <si>
    <t>REVESTIMENTOS E ACABAMENTOS DE FACHADA</t>
  </si>
  <si>
    <t>SERVIÇOS COMPLEMENTARES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</si>
  <si>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</si>
  <si>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</si>
  <si>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</si>
  <si>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</si>
  <si>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</si>
  <si>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</si>
  <si>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</si>
  <si>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SERVIÇOS</t>
  </si>
  <si>
    <t>% Distribuído</t>
  </si>
  <si>
    <t>Blue Heaven - Aquos Oasis Home</t>
  </si>
  <si>
    <t>CONTENÇÕES</t>
  </si>
  <si>
    <t>ALVENARIA</t>
  </si>
  <si>
    <t>REVESTIMENTOS INTERNOS EM PISO E PAREDE</t>
  </si>
  <si>
    <t>ACABAMENTOS EM PISO E PAREDE</t>
  </si>
  <si>
    <t>IMPREVISTOS E CONTINGENCIAS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</si>
</sst>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20"/>
      <name val="Calibri Light"/>
      <family val="2"/>
      <scheme val="major"/>
    </font>
    <font>
      <sz val="16"/>
      <name val="Calibri Light"/>
      <family val="2"/>
      <scheme val="major"/>
    </font>
    <font>
      <sz val="36"/>
      <name val="Calibri Light"/>
      <family val="2"/>
      <scheme val="maj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47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0" tint="-0.34998626667073579"/>
      </left>
      <right style="thin">
        <color theme="2" tint="-0.249977111117893"/>
      </right>
      <top style="medium">
        <color theme="0" tint="-0.34998626667073579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34998626667073579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2" tint="-0.249977111117893"/>
      </bottom>
      <diagonal/>
    </border>
    <border>
      <left style="medium">
        <color theme="0" tint="-0.34998626667073579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0" tint="-0.34998626667073579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 tint="-0.34998626667073579"/>
      </left>
      <right style="thin">
        <color theme="2" tint="-0.249977111117893"/>
      </right>
      <top style="thin">
        <color theme="2" tint="-0.249977111117893"/>
      </top>
      <bottom style="medium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34998626667073579"/>
      </bottom>
      <diagonal/>
    </border>
    <border>
      <left style="thin">
        <color theme="2" tint="-0.249977111117893"/>
      </left>
      <right style="medium">
        <color theme="0" tint="-0.34998626667073579"/>
      </right>
      <top style="thin">
        <color theme="2" tint="-0.249977111117893"/>
      </top>
      <bottom style="medium">
        <color theme="0" tint="-0.34998626667073579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/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/>
      <diagonal/>
    </border>
    <border>
      <left style="medium">
        <color theme="0" tint="-0.34998626667073579"/>
      </left>
      <right style="thin">
        <color rgb="FFAEABAB"/>
      </right>
      <top style="medium">
        <color theme="0" tint="-0.34998626667073579"/>
      </top>
      <bottom style="thin">
        <color rgb="FFAEABAB"/>
      </bottom>
      <diagonal/>
    </border>
    <border>
      <left style="thin">
        <color rgb="FFAEABAB"/>
      </left>
      <right style="medium">
        <color theme="0" tint="-0.34998626667073579"/>
      </right>
      <top style="medium">
        <color theme="0" tint="-0.34998626667073579"/>
      </top>
      <bottom style="thin">
        <color rgb="FFAEABAB"/>
      </bottom>
      <diagonal/>
    </border>
    <border>
      <left style="medium">
        <color theme="0" tint="-0.34998626667073579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theme="0" tint="-0.34998626667073579"/>
      </right>
      <top style="thin">
        <color rgb="FFAEABAB"/>
      </top>
      <bottom style="thin">
        <color rgb="FFAEABAB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10" fontId="11" fillId="5" borderId="10" xfId="0" applyNumberFormat="1" applyFont="1" applyFill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1" xfId="2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lef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left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7" borderId="12" xfId="2" applyNumberFormat="1" applyFont="1" applyFill="1" applyBorder="1" applyAlignment="1">
      <alignment horizontal="center" vertical="center"/>
    </xf>
    <xf numFmtId="44" fontId="11" fillId="7" borderId="10" xfId="0" applyNumberFormat="1" applyFont="1" applyFill="1" applyBorder="1" applyAlignment="1">
      <alignment horizontal="center" vertical="center"/>
    </xf>
    <xf numFmtId="10" fontId="11" fillId="7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3" fillId="0" borderId="28" xfId="0" applyFont="1" applyBorder="1" applyAlignment="1">
      <alignment vertical="center"/>
    </xf>
    <xf numFmtId="164" fontId="12" fillId="4" borderId="26" xfId="0" applyNumberFormat="1" applyFont="1" applyFill="1" applyBorder="1" applyAlignment="1">
      <alignment horizontal="center" vertical="center"/>
    </xf>
    <xf numFmtId="44" fontId="16" fillId="7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6" fillId="6" borderId="10" xfId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1" fillId="7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44" fontId="11" fillId="6" borderId="13" xfId="1" applyFont="1" applyFill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1" fillId="0" borderId="0" xfId="0" applyFont="1"/>
    <xf numFmtId="9" fontId="11" fillId="7" borderId="31" xfId="2" applyFont="1" applyFill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7" borderId="32" xfId="2" applyFont="1" applyFill="1" applyBorder="1" applyAlignment="1">
      <alignment horizontal="center" vertical="center"/>
    </xf>
    <xf numFmtId="164" fontId="12" fillId="4" borderId="21" xfId="0" applyNumberFormat="1" applyFont="1" applyFill="1" applyBorder="1" applyAlignment="1">
      <alignment horizontal="center" vertical="center"/>
    </xf>
    <xf numFmtId="17" fontId="12" fillId="4" borderId="21" xfId="0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8" borderId="36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2" fillId="4" borderId="41" xfId="0" applyNumberFormat="1" applyFont="1" applyFill="1" applyBorder="1" applyAlignment="1">
      <alignment horizontal="center" vertical="center"/>
    </xf>
    <xf numFmtId="164" fontId="12" fillId="4" borderId="42" xfId="0" applyNumberFormat="1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10" fontId="13" fillId="0" borderId="44" xfId="0" applyNumberFormat="1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10" fontId="13" fillId="0" borderId="46" xfId="0" applyNumberFormat="1" applyFont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17" fillId="0" borderId="3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64" fontId="12" fillId="4" borderId="27" xfId="0" applyNumberFormat="1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5" xfId="0" applyFont="1" applyBorder="1" applyAlignment="1">
      <alignment horizontal="center"/>
    </xf>
    <xf numFmtId="0" fontId="12" fillId="4" borderId="2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0.1379021598203839"/>
          <c:w val="0.92942280724322901"/>
          <c:h val="0.799473800714669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TEÓRICA'!$B$9:$B$44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'CURVA TEÓRICA'!$D$9:$D$44</c:f>
              <c:numCache>
                <c:formatCode>0.00%</c:formatCode>
                <c:ptCount val="36"/>
                <c:pt idx="0">
                  <c:v>3.1033619560899756E-2</c:v>
                </c:pt>
                <c:pt idx="1">
                  <c:v>5.7904811003861897E-2</c:v>
                </c:pt>
                <c:pt idx="2">
                  <c:v>9.2344530532232127E-2</c:v>
                </c:pt>
                <c:pt idx="3">
                  <c:v>0.12366242897214914</c:v>
                </c:pt>
                <c:pt idx="4">
                  <c:v>0.14140548181158999</c:v>
                </c:pt>
                <c:pt idx="5">
                  <c:v>0.15914853465103082</c:v>
                </c:pt>
                <c:pt idx="6">
                  <c:v>0.17213948205582622</c:v>
                </c:pt>
                <c:pt idx="7">
                  <c:v>0.18513042946062161</c:v>
                </c:pt>
                <c:pt idx="8">
                  <c:v>0.2086883731399965</c:v>
                </c:pt>
                <c:pt idx="9">
                  <c:v>0.23224631681937138</c:v>
                </c:pt>
                <c:pt idx="10">
                  <c:v>0.25580426049874627</c:v>
                </c:pt>
                <c:pt idx="11">
                  <c:v>0.28148882937163555</c:v>
                </c:pt>
                <c:pt idx="12">
                  <c:v>0.31033810954808233</c:v>
                </c:pt>
                <c:pt idx="13">
                  <c:v>0.34054968697809151</c:v>
                </c:pt>
                <c:pt idx="14">
                  <c:v>0.3707612644081007</c:v>
                </c:pt>
                <c:pt idx="15">
                  <c:v>0.40172835242055882</c:v>
                </c:pt>
                <c:pt idx="16">
                  <c:v>0.43531600747497168</c:v>
                </c:pt>
                <c:pt idx="17">
                  <c:v>0.47012047881064423</c:v>
                </c:pt>
                <c:pt idx="18">
                  <c:v>0.50604888431113848</c:v>
                </c:pt>
                <c:pt idx="19">
                  <c:v>0.53255842907021178</c:v>
                </c:pt>
                <c:pt idx="20">
                  <c:v>0.55906797382928508</c:v>
                </c:pt>
                <c:pt idx="21">
                  <c:v>0.58557751858835838</c:v>
                </c:pt>
                <c:pt idx="22">
                  <c:v>0.61845371302493213</c:v>
                </c:pt>
                <c:pt idx="23">
                  <c:v>0.65132990746150587</c:v>
                </c:pt>
                <c:pt idx="24">
                  <c:v>0.68420610189807962</c:v>
                </c:pt>
                <c:pt idx="25">
                  <c:v>0.72675432862050382</c:v>
                </c:pt>
                <c:pt idx="26">
                  <c:v>0.76477554678580817</c:v>
                </c:pt>
                <c:pt idx="27">
                  <c:v>0.80067013975759815</c:v>
                </c:pt>
                <c:pt idx="28">
                  <c:v>0.83434692391032361</c:v>
                </c:pt>
                <c:pt idx="29">
                  <c:v>0.86802370806304907</c:v>
                </c:pt>
                <c:pt idx="30">
                  <c:v>0.90048367593451484</c:v>
                </c:pt>
                <c:pt idx="31">
                  <c:v>0.92657699412848016</c:v>
                </c:pt>
                <c:pt idx="32">
                  <c:v>0.9500497452804908</c:v>
                </c:pt>
                <c:pt idx="33">
                  <c:v>0.97352249643250144</c:v>
                </c:pt>
                <c:pt idx="34">
                  <c:v>0.98732321529866152</c:v>
                </c:pt>
                <c:pt idx="3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TEÓRICA'!$C$8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TEÓRICA'!$B$9:$B$44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'CURVA TEÓRICA'!$C$9:$C$44</c:f>
              <c:numCache>
                <c:formatCode>0.00%</c:formatCode>
                <c:ptCount val="36"/>
                <c:pt idx="0">
                  <c:v>3.1033619560899756E-2</c:v>
                </c:pt>
                <c:pt idx="1">
                  <c:v>2.6871191442962142E-2</c:v>
                </c:pt>
                <c:pt idx="2">
                  <c:v>3.4439719528370223E-2</c:v>
                </c:pt>
                <c:pt idx="3">
                  <c:v>3.1317898439917016E-2</c:v>
                </c:pt>
                <c:pt idx="4">
                  <c:v>1.7743052839440842E-2</c:v>
                </c:pt>
                <c:pt idx="5">
                  <c:v>1.7743052839440842E-2</c:v>
                </c:pt>
                <c:pt idx="6">
                  <c:v>1.2990947404795403E-2</c:v>
                </c:pt>
                <c:pt idx="7">
                  <c:v>1.2990947404795403E-2</c:v>
                </c:pt>
                <c:pt idx="8">
                  <c:v>2.3557943679374881E-2</c:v>
                </c:pt>
                <c:pt idx="9">
                  <c:v>2.3557943679374881E-2</c:v>
                </c:pt>
                <c:pt idx="10">
                  <c:v>2.3557943679374881E-2</c:v>
                </c:pt>
                <c:pt idx="11">
                  <c:v>2.5684568872889252E-2</c:v>
                </c:pt>
                <c:pt idx="12">
                  <c:v>2.88492801764468E-2</c:v>
                </c:pt>
                <c:pt idx="13">
                  <c:v>3.0211577430009195E-2</c:v>
                </c:pt>
                <c:pt idx="14">
                  <c:v>3.0211577430009195E-2</c:v>
                </c:pt>
                <c:pt idx="15">
                  <c:v>3.0967088012458125E-2</c:v>
                </c:pt>
                <c:pt idx="16">
                  <c:v>3.3587655054412836E-2</c:v>
                </c:pt>
                <c:pt idx="17">
                  <c:v>3.4804471335672528E-2</c:v>
                </c:pt>
                <c:pt idx="18">
                  <c:v>3.5928405500494219E-2</c:v>
                </c:pt>
                <c:pt idx="19">
                  <c:v>2.6509544759073331E-2</c:v>
                </c:pt>
                <c:pt idx="20">
                  <c:v>2.6509544759073331E-2</c:v>
                </c:pt>
                <c:pt idx="21">
                  <c:v>2.6509544759073331E-2</c:v>
                </c:pt>
                <c:pt idx="22">
                  <c:v>3.2876194436573768E-2</c:v>
                </c:pt>
                <c:pt idx="23">
                  <c:v>3.2876194436573768E-2</c:v>
                </c:pt>
                <c:pt idx="24">
                  <c:v>3.2876194436573768E-2</c:v>
                </c:pt>
                <c:pt idx="25">
                  <c:v>4.2548226722424254E-2</c:v>
                </c:pt>
                <c:pt idx="26">
                  <c:v>3.80212181653043E-2</c:v>
                </c:pt>
                <c:pt idx="27">
                  <c:v>3.5894592971789929E-2</c:v>
                </c:pt>
                <c:pt idx="28">
                  <c:v>3.3676784152725438E-2</c:v>
                </c:pt>
                <c:pt idx="29">
                  <c:v>3.3676784152725438E-2</c:v>
                </c:pt>
                <c:pt idx="30">
                  <c:v>3.2459967871465753E-2</c:v>
                </c:pt>
                <c:pt idx="31">
                  <c:v>2.6093318193965313E-2</c:v>
                </c:pt>
                <c:pt idx="32">
                  <c:v>2.3472751152010599E-2</c:v>
                </c:pt>
                <c:pt idx="33">
                  <c:v>2.3472751152010599E-2</c:v>
                </c:pt>
                <c:pt idx="34">
                  <c:v>1.3800718866160121E-2</c:v>
                </c:pt>
                <c:pt idx="35">
                  <c:v>1.2676784701338427E-2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23534027777777775"/>
          <c:w val="0.96438538147088393"/>
          <c:h val="0.71465063131313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TEÓRICA'!$E$8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TEÓRICA'!$B$9:$B$44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'CURVA TEÓRICA'!$E$9:$E$44</c:f>
              <c:numCache>
                <c:formatCode>_("R$"* #,##0.00_);_("R$"* \(#,##0.00\);_("R$"* "-"??_);_(@_)</c:formatCode>
                <c:ptCount val="36"/>
                <c:pt idx="0">
                  <c:v>2127757.5820187037</c:v>
                </c:pt>
                <c:pt idx="1">
                  <c:v>1842369.0868040379</c:v>
                </c:pt>
                <c:pt idx="2">
                  <c:v>2361289.9618520285</c:v>
                </c:pt>
                <c:pt idx="3">
                  <c:v>2147248.5904410295</c:v>
                </c:pt>
                <c:pt idx="4">
                  <c:v>1216516.659721022</c:v>
                </c:pt>
                <c:pt idx="5">
                  <c:v>1216516.659721022</c:v>
                </c:pt>
                <c:pt idx="6">
                  <c:v>890698.12768427876</c:v>
                </c:pt>
                <c:pt idx="7">
                  <c:v>890698.12768427876</c:v>
                </c:pt>
                <c:pt idx="8">
                  <c:v>1615202.9312015646</c:v>
                </c:pt>
                <c:pt idx="9">
                  <c:v>1615202.9312015646</c:v>
                </c:pt>
                <c:pt idx="10">
                  <c:v>1615202.9312015646</c:v>
                </c:pt>
                <c:pt idx="11">
                  <c:v>1761010.7017303146</c:v>
                </c:pt>
                <c:pt idx="12">
                  <c:v>1977992.7543017431</c:v>
                </c:pt>
                <c:pt idx="13">
                  <c:v>2071395.9200053897</c:v>
                </c:pt>
                <c:pt idx="14">
                  <c:v>2071395.9200053897</c:v>
                </c:pt>
                <c:pt idx="15">
                  <c:v>2123195.9804832358</c:v>
                </c:pt>
                <c:pt idx="16">
                  <c:v>2302869.8783914503</c:v>
                </c:pt>
                <c:pt idx="17">
                  <c:v>2386298.4344222196</c:v>
                </c:pt>
                <c:pt idx="18">
                  <c:v>2463358.715328102</c:v>
                </c:pt>
                <c:pt idx="19">
                  <c:v>1817573.5107628256</c:v>
                </c:pt>
                <c:pt idx="20">
                  <c:v>1817573.5107628256</c:v>
                </c:pt>
                <c:pt idx="21">
                  <c:v>1817573.5107628256</c:v>
                </c:pt>
                <c:pt idx="22">
                  <c:v>2254090.0149615943</c:v>
                </c:pt>
                <c:pt idx="23">
                  <c:v>2254090.0149615943</c:v>
                </c:pt>
                <c:pt idx="24">
                  <c:v>2254090.0149615943</c:v>
                </c:pt>
                <c:pt idx="25">
                  <c:v>2917233.4162449283</c:v>
                </c:pt>
                <c:pt idx="26">
                  <c:v>2606848.1979698525</c:v>
                </c:pt>
                <c:pt idx="27">
                  <c:v>2461040.4274411025</c:v>
                </c:pt>
                <c:pt idx="28">
                  <c:v>2308980.8353921627</c:v>
                </c:pt>
                <c:pt idx="29">
                  <c:v>2308980.8353921627</c:v>
                </c:pt>
                <c:pt idx="30">
                  <c:v>2225552.2793613933</c:v>
                </c:pt>
                <c:pt idx="31">
                  <c:v>1789035.7751626247</c:v>
                </c:pt>
                <c:pt idx="32">
                  <c:v>1609361.8772544102</c:v>
                </c:pt>
                <c:pt idx="33">
                  <c:v>1609361.8772544102</c:v>
                </c:pt>
                <c:pt idx="34">
                  <c:v>946218.47597107687</c:v>
                </c:pt>
                <c:pt idx="35">
                  <c:v>869158.19506519451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6618050156762712E-2"/>
          <c:w val="0.88651647654049381"/>
          <c:h val="0.870984922312131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TEÓRICA'!$B$9:$B$44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'CURVA TEÓRICA'!$F$9:$F$44</c:f>
              <c:numCache>
                <c:formatCode>_("R$"* #,##0.00_);_("R$"* \(#,##0.00\);_("R$"* "-"??_);_(@_)</c:formatCode>
                <c:ptCount val="36"/>
                <c:pt idx="0">
                  <c:v>2127757.5820187037</c:v>
                </c:pt>
                <c:pt idx="1">
                  <c:v>3970126.6688227416</c:v>
                </c:pt>
                <c:pt idx="2">
                  <c:v>6331416.6306747701</c:v>
                </c:pt>
                <c:pt idx="3">
                  <c:v>8478665.2211157996</c:v>
                </c:pt>
                <c:pt idx="4">
                  <c:v>9695181.8808368221</c:v>
                </c:pt>
                <c:pt idx="5">
                  <c:v>10911698.540557845</c:v>
                </c:pt>
                <c:pt idx="6">
                  <c:v>11802396.668242123</c:v>
                </c:pt>
                <c:pt idx="7">
                  <c:v>12693094.795926401</c:v>
                </c:pt>
                <c:pt idx="8">
                  <c:v>14308297.727127966</c:v>
                </c:pt>
                <c:pt idx="9">
                  <c:v>15923500.65832953</c:v>
                </c:pt>
                <c:pt idx="10">
                  <c:v>17538703.589531094</c:v>
                </c:pt>
                <c:pt idx="11">
                  <c:v>19299714.291261408</c:v>
                </c:pt>
                <c:pt idx="12">
                  <c:v>21277707.04556315</c:v>
                </c:pt>
                <c:pt idx="13">
                  <c:v>23349102.965568539</c:v>
                </c:pt>
                <c:pt idx="14">
                  <c:v>25420498.885573927</c:v>
                </c:pt>
                <c:pt idx="15">
                  <c:v>27543694.866057165</c:v>
                </c:pt>
                <c:pt idx="16">
                  <c:v>29846564.744448617</c:v>
                </c:pt>
                <c:pt idx="17">
                  <c:v>32232863.178870838</c:v>
                </c:pt>
                <c:pt idx="18">
                  <c:v>34696221.894198939</c:v>
                </c:pt>
                <c:pt idx="19">
                  <c:v>36513795.404961765</c:v>
                </c:pt>
                <c:pt idx="20">
                  <c:v>38331368.91572459</c:v>
                </c:pt>
                <c:pt idx="21">
                  <c:v>40148942.426487416</c:v>
                </c:pt>
                <c:pt idx="22">
                  <c:v>42403032.441449009</c:v>
                </c:pt>
                <c:pt idx="23">
                  <c:v>44657122.456410602</c:v>
                </c:pt>
                <c:pt idx="24">
                  <c:v>46911212.471372195</c:v>
                </c:pt>
                <c:pt idx="25">
                  <c:v>49828445.887617126</c:v>
                </c:pt>
                <c:pt idx="26">
                  <c:v>52435294.08558698</c:v>
                </c:pt>
                <c:pt idx="27">
                  <c:v>54896334.513028085</c:v>
                </c:pt>
                <c:pt idx="28">
                  <c:v>57205315.348420247</c:v>
                </c:pt>
                <c:pt idx="29">
                  <c:v>59514296.18381241</c:v>
                </c:pt>
                <c:pt idx="30">
                  <c:v>61739848.463173807</c:v>
                </c:pt>
                <c:pt idx="31">
                  <c:v>63528884.238336429</c:v>
                </c:pt>
                <c:pt idx="32">
                  <c:v>65138246.115590841</c:v>
                </c:pt>
                <c:pt idx="33">
                  <c:v>66747607.992845252</c:v>
                </c:pt>
                <c:pt idx="34">
                  <c:v>67693826.468816325</c:v>
                </c:pt>
                <c:pt idx="35">
                  <c:v>68562984.663881525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29</xdr:row>
      <xdr:rowOff>38100</xdr:rowOff>
    </xdr:from>
    <xdr:to>
      <xdr:col>34</xdr:col>
      <xdr:colOff>659821</xdr:colOff>
      <xdr:row>44</xdr:row>
      <xdr:rowOff>324900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34</xdr:col>
      <xdr:colOff>661037</xdr:colOff>
      <xdr:row>28</xdr:row>
      <xdr:rowOff>272290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814551</xdr:colOff>
      <xdr:row>7</xdr:row>
      <xdr:rowOff>46431</xdr:rowOff>
    </xdr:from>
    <xdr:to>
      <xdr:col>64</xdr:col>
      <xdr:colOff>0</xdr:colOff>
      <xdr:row>28</xdr:row>
      <xdr:rowOff>270231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781378</xdr:colOff>
      <xdr:row>29</xdr:row>
      <xdr:rowOff>71434</xdr:rowOff>
    </xdr:from>
    <xdr:to>
      <xdr:col>64</xdr:col>
      <xdr:colOff>74278</xdr:colOff>
      <xdr:row>45</xdr:row>
      <xdr:rowOff>24859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AQ1005"/>
  <sheetViews>
    <sheetView showGridLines="0" tabSelected="1" zoomScale="55" zoomScaleNormal="55" workbookViewId="0">
      <selection activeCell="H15" sqref="H15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38" width="6.28515625" customWidth="1"/>
    <col min="39" max="43" width="4.85546875" customWidth="1"/>
    <col min="44" max="44" width="6.5703125" bestFit="1" customWidth="1"/>
  </cols>
  <sheetData>
    <row r="1" spans="1:43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43" ht="9.75" customHeight="1" x14ac:dyDescent="0.6">
      <c r="A2" s="19"/>
      <c r="B2" s="99" t="s">
        <v>66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1"/>
      <c r="AM2" s="69"/>
      <c r="AN2" s="69"/>
      <c r="AO2" s="69"/>
      <c r="AP2" s="69"/>
      <c r="AQ2" s="69"/>
    </row>
    <row r="3" spans="1:43" ht="19.5" customHeight="1" x14ac:dyDescent="0.6">
      <c r="A3" s="19"/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4"/>
      <c r="AM3" s="69"/>
      <c r="AN3" s="69"/>
      <c r="AO3" s="69"/>
      <c r="AP3" s="69"/>
      <c r="AQ3" s="69"/>
    </row>
    <row r="4" spans="1:43" ht="19.5" customHeight="1" x14ac:dyDescent="0.6">
      <c r="A4" s="19"/>
      <c r="B4" s="105" t="s">
        <v>70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7"/>
      <c r="AM4" s="69"/>
      <c r="AN4" s="69"/>
      <c r="AO4" s="69"/>
      <c r="AP4" s="69"/>
      <c r="AQ4" s="69"/>
    </row>
    <row r="5" spans="1:43" ht="9.75" customHeight="1" x14ac:dyDescent="0.6">
      <c r="A5" s="19"/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70"/>
      <c r="AM5" s="69"/>
      <c r="AN5" s="69"/>
      <c r="AO5" s="69"/>
      <c r="AP5" s="69"/>
      <c r="AQ5" s="69"/>
    </row>
    <row r="6" spans="1:43" ht="21.75" customHeight="1" thickBot="1" x14ac:dyDescent="0.65">
      <c r="A6" s="19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</row>
    <row r="7" spans="1:43" ht="21.75" customHeight="1" x14ac:dyDescent="0.6">
      <c r="A7" s="19"/>
      <c r="B7" s="80" t="s">
        <v>68</v>
      </c>
      <c r="C7" s="81" t="s">
        <v>1</v>
      </c>
      <c r="D7" s="81" t="s">
        <v>2</v>
      </c>
      <c r="E7" s="81" t="s">
        <v>3</v>
      </c>
      <c r="F7" s="81" t="s">
        <v>4</v>
      </c>
      <c r="G7" s="81" t="s">
        <v>5</v>
      </c>
      <c r="H7" s="81" t="s">
        <v>6</v>
      </c>
      <c r="I7" s="81" t="s">
        <v>7</v>
      </c>
      <c r="J7" s="81" t="s">
        <v>8</v>
      </c>
      <c r="K7" s="81" t="s">
        <v>9</v>
      </c>
      <c r="L7" s="81" t="s">
        <v>10</v>
      </c>
      <c r="M7" s="81" t="s">
        <v>11</v>
      </c>
      <c r="N7" s="81" t="s">
        <v>12</v>
      </c>
      <c r="O7" s="81" t="s">
        <v>13</v>
      </c>
      <c r="P7" s="81" t="s">
        <v>14</v>
      </c>
      <c r="Q7" s="81" t="s">
        <v>15</v>
      </c>
      <c r="R7" s="81" t="s">
        <v>16</v>
      </c>
      <c r="S7" s="81" t="s">
        <v>17</v>
      </c>
      <c r="T7" s="81" t="s">
        <v>18</v>
      </c>
      <c r="U7" s="81" t="s">
        <v>19</v>
      </c>
      <c r="V7" s="81" t="s">
        <v>20</v>
      </c>
      <c r="W7" s="81" t="s">
        <v>21</v>
      </c>
      <c r="X7" s="81" t="s">
        <v>22</v>
      </c>
      <c r="Y7" s="81" t="s">
        <v>23</v>
      </c>
      <c r="Z7" s="81" t="s">
        <v>24</v>
      </c>
      <c r="AA7" s="81" t="s">
        <v>25</v>
      </c>
      <c r="AB7" s="81" t="s">
        <v>26</v>
      </c>
      <c r="AC7" s="81" t="s">
        <v>27</v>
      </c>
      <c r="AD7" s="81" t="s">
        <v>28</v>
      </c>
      <c r="AE7" s="81" t="s">
        <v>29</v>
      </c>
      <c r="AF7" s="81" t="s">
        <v>30</v>
      </c>
      <c r="AG7" s="81" t="s">
        <v>31</v>
      </c>
      <c r="AH7" s="81" t="s">
        <v>32</v>
      </c>
      <c r="AI7" s="81" t="s">
        <v>33</v>
      </c>
      <c r="AJ7" s="81" t="s">
        <v>34</v>
      </c>
      <c r="AK7" s="81" t="s">
        <v>35</v>
      </c>
      <c r="AL7" s="82" t="s">
        <v>36</v>
      </c>
    </row>
    <row r="8" spans="1:43" ht="21.75" customHeight="1" x14ac:dyDescent="0.6">
      <c r="A8" s="19"/>
      <c r="B8" s="83" t="s">
        <v>50</v>
      </c>
      <c r="C8" s="71">
        <v>1</v>
      </c>
      <c r="D8" s="71">
        <v>2</v>
      </c>
      <c r="E8" s="71">
        <v>3</v>
      </c>
      <c r="F8" s="71">
        <v>4</v>
      </c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7"/>
    </row>
    <row r="9" spans="1:43" ht="21.75" customHeight="1" x14ac:dyDescent="0.6">
      <c r="A9" s="19"/>
      <c r="B9" s="84" t="s">
        <v>51</v>
      </c>
      <c r="C9" s="96"/>
      <c r="D9" s="96"/>
      <c r="E9" s="71">
        <v>1</v>
      </c>
      <c r="F9" s="71">
        <v>2</v>
      </c>
      <c r="G9" s="71">
        <v>3</v>
      </c>
      <c r="H9" s="71">
        <v>4</v>
      </c>
      <c r="I9" s="71">
        <v>5</v>
      </c>
      <c r="J9" s="71">
        <v>6</v>
      </c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7"/>
    </row>
    <row r="10" spans="1:43" ht="21.75" customHeight="1" x14ac:dyDescent="0.6">
      <c r="A10" s="19"/>
      <c r="B10" s="83" t="s">
        <v>71</v>
      </c>
      <c r="C10" s="71">
        <v>1</v>
      </c>
      <c r="D10" s="71">
        <v>2</v>
      </c>
      <c r="E10" s="71">
        <v>3</v>
      </c>
      <c r="F10" s="71">
        <v>4</v>
      </c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7"/>
    </row>
    <row r="11" spans="1:43" ht="21.75" customHeight="1" x14ac:dyDescent="0.6">
      <c r="A11" s="19"/>
      <c r="B11" s="85" t="s">
        <v>52</v>
      </c>
      <c r="C11" s="96"/>
      <c r="D11" s="96"/>
      <c r="E11" s="96"/>
      <c r="F11" s="96"/>
      <c r="G11" s="96"/>
      <c r="H11" s="96"/>
      <c r="I11" s="96"/>
      <c r="J11" s="96"/>
      <c r="K11" s="71">
        <v>1</v>
      </c>
      <c r="L11" s="71">
        <v>2</v>
      </c>
      <c r="M11" s="71">
        <v>3</v>
      </c>
      <c r="N11" s="71">
        <v>4</v>
      </c>
      <c r="O11" s="71">
        <v>5</v>
      </c>
      <c r="P11" s="71">
        <v>6</v>
      </c>
      <c r="Q11" s="71">
        <v>7</v>
      </c>
      <c r="R11" s="71">
        <v>8</v>
      </c>
      <c r="S11" s="71">
        <v>9</v>
      </c>
      <c r="T11" s="71">
        <v>10</v>
      </c>
      <c r="U11" s="71">
        <v>11</v>
      </c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7"/>
    </row>
    <row r="12" spans="1:43" ht="21.75" customHeight="1" x14ac:dyDescent="0.6">
      <c r="A12" s="19"/>
      <c r="B12" s="83" t="s">
        <v>72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71">
        <v>1</v>
      </c>
      <c r="O12" s="71">
        <v>2</v>
      </c>
      <c r="P12" s="71">
        <v>3</v>
      </c>
      <c r="Q12" s="71">
        <v>4</v>
      </c>
      <c r="R12" s="71">
        <v>5</v>
      </c>
      <c r="S12" s="71">
        <v>6</v>
      </c>
      <c r="T12" s="71">
        <v>7</v>
      </c>
      <c r="U12" s="71">
        <v>8</v>
      </c>
      <c r="V12" s="71">
        <v>9</v>
      </c>
      <c r="W12" s="71">
        <v>10</v>
      </c>
      <c r="X12" s="71">
        <v>11</v>
      </c>
      <c r="Y12" s="71">
        <v>12</v>
      </c>
      <c r="Z12" s="71">
        <v>13</v>
      </c>
      <c r="AA12" s="71">
        <v>14</v>
      </c>
      <c r="AB12" s="71">
        <v>15</v>
      </c>
      <c r="AC12" s="71">
        <v>16</v>
      </c>
      <c r="AD12" s="96"/>
      <c r="AE12" s="96"/>
      <c r="AF12" s="96"/>
      <c r="AG12" s="96"/>
      <c r="AH12" s="96"/>
      <c r="AI12" s="96"/>
      <c r="AJ12" s="96"/>
      <c r="AK12" s="96"/>
      <c r="AL12" s="97"/>
    </row>
    <row r="13" spans="1:43" ht="21.75" customHeight="1" x14ac:dyDescent="0.6">
      <c r="A13" s="19"/>
      <c r="B13" s="85" t="s">
        <v>53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71">
        <v>1</v>
      </c>
      <c r="P13" s="71">
        <v>2</v>
      </c>
      <c r="Q13" s="71">
        <v>3</v>
      </c>
      <c r="R13" s="71">
        <v>4</v>
      </c>
      <c r="S13" s="71">
        <v>5</v>
      </c>
      <c r="T13" s="71">
        <v>6</v>
      </c>
      <c r="U13" s="71">
        <v>7</v>
      </c>
      <c r="V13" s="71">
        <v>8</v>
      </c>
      <c r="W13" s="71">
        <v>9</v>
      </c>
      <c r="X13" s="71">
        <v>10</v>
      </c>
      <c r="Y13" s="71">
        <v>11</v>
      </c>
      <c r="Z13" s="71">
        <v>12</v>
      </c>
      <c r="AA13" s="71">
        <v>13</v>
      </c>
      <c r="AB13" s="71">
        <v>14</v>
      </c>
      <c r="AC13" s="96"/>
      <c r="AD13" s="96"/>
      <c r="AE13" s="96"/>
      <c r="AF13" s="96"/>
      <c r="AG13" s="96"/>
      <c r="AH13" s="96"/>
      <c r="AI13" s="96"/>
      <c r="AJ13" s="96"/>
      <c r="AK13" s="96"/>
      <c r="AL13" s="97"/>
    </row>
    <row r="14" spans="1:43" ht="21.75" customHeight="1" x14ac:dyDescent="0.6">
      <c r="A14" s="19"/>
      <c r="B14" s="83" t="s">
        <v>54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71">
        <v>1</v>
      </c>
      <c r="W14" s="71">
        <v>2</v>
      </c>
      <c r="X14" s="71">
        <v>3</v>
      </c>
      <c r="Y14" s="71">
        <v>4</v>
      </c>
      <c r="Z14" s="71">
        <v>5</v>
      </c>
      <c r="AA14" s="71">
        <v>6</v>
      </c>
      <c r="AB14" s="71">
        <v>7</v>
      </c>
      <c r="AC14" s="71">
        <v>8</v>
      </c>
      <c r="AD14" s="71">
        <v>9</v>
      </c>
      <c r="AE14" s="96"/>
      <c r="AF14" s="96"/>
      <c r="AG14" s="96"/>
      <c r="AH14" s="96"/>
      <c r="AI14" s="96"/>
      <c r="AJ14" s="96"/>
      <c r="AK14" s="96"/>
      <c r="AL14" s="97"/>
    </row>
    <row r="15" spans="1:43" ht="23.25" customHeight="1" x14ac:dyDescent="0.6">
      <c r="A15" s="19"/>
      <c r="B15" s="85" t="s">
        <v>55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71">
        <v>1</v>
      </c>
      <c r="S15" s="71">
        <v>2</v>
      </c>
      <c r="T15" s="71">
        <v>3</v>
      </c>
      <c r="U15" s="71">
        <v>4</v>
      </c>
      <c r="V15" s="71">
        <v>5</v>
      </c>
      <c r="W15" s="71">
        <v>6</v>
      </c>
      <c r="X15" s="71">
        <v>7</v>
      </c>
      <c r="Y15" s="71">
        <v>8</v>
      </c>
      <c r="Z15" s="71">
        <v>9</v>
      </c>
      <c r="AA15" s="71">
        <v>10</v>
      </c>
      <c r="AB15" s="71">
        <v>11</v>
      </c>
      <c r="AC15" s="71">
        <v>12</v>
      </c>
      <c r="AD15" s="71">
        <v>13</v>
      </c>
      <c r="AE15" s="96"/>
      <c r="AF15" s="96"/>
      <c r="AG15" s="96"/>
      <c r="AH15" s="96"/>
      <c r="AI15" s="96"/>
      <c r="AJ15" s="96"/>
      <c r="AK15" s="96"/>
      <c r="AL15" s="97"/>
    </row>
    <row r="16" spans="1:43" ht="23.25" customHeight="1" x14ac:dyDescent="0.6">
      <c r="A16" s="19"/>
      <c r="B16" s="83" t="s">
        <v>73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71">
        <v>1</v>
      </c>
      <c r="Q16" s="71">
        <v>2</v>
      </c>
      <c r="R16" s="71">
        <v>3</v>
      </c>
      <c r="S16" s="71">
        <v>4</v>
      </c>
      <c r="T16" s="71">
        <v>5</v>
      </c>
      <c r="U16" s="71">
        <v>6</v>
      </c>
      <c r="V16" s="71">
        <v>7</v>
      </c>
      <c r="W16" s="71">
        <v>8</v>
      </c>
      <c r="X16" s="71">
        <v>9</v>
      </c>
      <c r="Y16" s="71">
        <v>10</v>
      </c>
      <c r="Z16" s="71">
        <v>11</v>
      </c>
      <c r="AA16" s="71">
        <v>12</v>
      </c>
      <c r="AB16" s="71">
        <v>13</v>
      </c>
      <c r="AC16" s="96"/>
      <c r="AD16" s="96"/>
      <c r="AE16" s="96"/>
      <c r="AF16" s="96"/>
      <c r="AG16" s="96"/>
      <c r="AH16" s="96"/>
      <c r="AI16" s="96"/>
      <c r="AJ16" s="96"/>
      <c r="AK16" s="96"/>
      <c r="AL16" s="97"/>
    </row>
    <row r="17" spans="1:38" ht="23.25" customHeight="1" x14ac:dyDescent="0.6">
      <c r="A17" s="19"/>
      <c r="B17" s="85" t="s">
        <v>56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71">
        <v>1</v>
      </c>
      <c r="U17" s="71">
        <v>2</v>
      </c>
      <c r="V17" s="71">
        <v>3</v>
      </c>
      <c r="W17" s="71">
        <v>4</v>
      </c>
      <c r="X17" s="71">
        <v>5</v>
      </c>
      <c r="Y17" s="71">
        <v>6</v>
      </c>
      <c r="Z17" s="71">
        <v>7</v>
      </c>
      <c r="AA17" s="71">
        <v>8</v>
      </c>
      <c r="AB17" s="71">
        <v>9</v>
      </c>
      <c r="AC17" s="71">
        <v>10</v>
      </c>
      <c r="AD17" s="71">
        <v>11</v>
      </c>
      <c r="AE17" s="71">
        <v>12</v>
      </c>
      <c r="AF17" s="71">
        <v>13</v>
      </c>
      <c r="AG17" s="96"/>
      <c r="AH17" s="96"/>
      <c r="AI17" s="96"/>
      <c r="AJ17" s="96"/>
      <c r="AK17" s="96"/>
      <c r="AL17" s="97"/>
    </row>
    <row r="18" spans="1:38" ht="23.25" customHeight="1" x14ac:dyDescent="0.6">
      <c r="A18" s="19"/>
      <c r="B18" s="83" t="s">
        <v>74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71">
        <v>1</v>
      </c>
      <c r="T18" s="71">
        <v>2</v>
      </c>
      <c r="U18" s="71">
        <v>3</v>
      </c>
      <c r="V18" s="71">
        <v>4</v>
      </c>
      <c r="W18" s="71">
        <v>5</v>
      </c>
      <c r="X18" s="71">
        <v>6</v>
      </c>
      <c r="Y18" s="71">
        <v>7</v>
      </c>
      <c r="Z18" s="71">
        <v>8</v>
      </c>
      <c r="AA18" s="71">
        <v>9</v>
      </c>
      <c r="AB18" s="71">
        <v>10</v>
      </c>
      <c r="AC18" s="71">
        <v>11</v>
      </c>
      <c r="AD18" s="71">
        <v>12</v>
      </c>
      <c r="AE18" s="71">
        <v>13</v>
      </c>
      <c r="AF18" s="71">
        <v>14</v>
      </c>
      <c r="AG18" s="71">
        <v>15</v>
      </c>
      <c r="AH18" s="71">
        <v>16</v>
      </c>
      <c r="AI18" s="96"/>
      <c r="AJ18" s="96"/>
      <c r="AK18" s="96"/>
      <c r="AL18" s="97"/>
    </row>
    <row r="19" spans="1:38" ht="23.25" customHeight="1" x14ac:dyDescent="0.6">
      <c r="A19" s="19"/>
      <c r="B19" s="85" t="s">
        <v>57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71">
        <v>1</v>
      </c>
      <c r="V19" s="71">
        <v>2</v>
      </c>
      <c r="W19" s="71">
        <v>3</v>
      </c>
      <c r="X19" s="71">
        <v>4</v>
      </c>
      <c r="Y19" s="71">
        <v>5</v>
      </c>
      <c r="Z19" s="71">
        <v>6</v>
      </c>
      <c r="AA19" s="71">
        <v>7</v>
      </c>
      <c r="AB19" s="71">
        <v>8</v>
      </c>
      <c r="AC19" s="71">
        <v>9</v>
      </c>
      <c r="AD19" s="71">
        <v>10</v>
      </c>
      <c r="AE19" s="71">
        <v>11</v>
      </c>
      <c r="AF19" s="71">
        <v>12</v>
      </c>
      <c r="AG19" s="71">
        <v>13</v>
      </c>
      <c r="AH19" s="71">
        <v>14</v>
      </c>
      <c r="AI19" s="71">
        <v>15</v>
      </c>
      <c r="AJ19" s="71">
        <v>16</v>
      </c>
      <c r="AK19" s="71">
        <v>17</v>
      </c>
      <c r="AL19" s="97"/>
    </row>
    <row r="20" spans="1:38" ht="23.25" customHeight="1" x14ac:dyDescent="0.6">
      <c r="A20" s="19"/>
      <c r="B20" s="83" t="s">
        <v>58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71">
        <v>1</v>
      </c>
      <c r="AC20" s="71">
        <v>2</v>
      </c>
      <c r="AD20" s="71">
        <v>3</v>
      </c>
      <c r="AE20" s="71">
        <v>4</v>
      </c>
      <c r="AF20" s="71">
        <v>5</v>
      </c>
      <c r="AG20" s="71">
        <v>6</v>
      </c>
      <c r="AH20" s="71">
        <v>7</v>
      </c>
      <c r="AI20" s="71">
        <v>8</v>
      </c>
      <c r="AJ20" s="71">
        <v>9</v>
      </c>
      <c r="AK20" s="96"/>
      <c r="AL20" s="97"/>
    </row>
    <row r="21" spans="1:38" ht="23.25" customHeight="1" x14ac:dyDescent="0.6">
      <c r="A21" s="19"/>
      <c r="B21" s="85" t="s">
        <v>59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71">
        <v>1</v>
      </c>
      <c r="Z21" s="71">
        <v>2</v>
      </c>
      <c r="AA21" s="71">
        <v>3</v>
      </c>
      <c r="AB21" s="71">
        <v>4</v>
      </c>
      <c r="AC21" s="71">
        <v>5</v>
      </c>
      <c r="AD21" s="71">
        <v>6</v>
      </c>
      <c r="AE21" s="71">
        <v>7</v>
      </c>
      <c r="AF21" s="71">
        <v>8</v>
      </c>
      <c r="AG21" s="71">
        <v>9</v>
      </c>
      <c r="AH21" s="96"/>
      <c r="AI21" s="96"/>
      <c r="AJ21" s="96"/>
      <c r="AK21" s="96"/>
      <c r="AL21" s="97"/>
    </row>
    <row r="22" spans="1:38" ht="23.25" customHeight="1" thickBot="1" x14ac:dyDescent="0.65">
      <c r="A22" s="19"/>
      <c r="B22" s="86" t="s">
        <v>60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87">
        <v>1</v>
      </c>
      <c r="AF22" s="87">
        <v>2</v>
      </c>
      <c r="AG22" s="87">
        <v>3</v>
      </c>
      <c r="AH22" s="87">
        <v>4</v>
      </c>
      <c r="AI22" s="87">
        <v>5</v>
      </c>
      <c r="AJ22" s="87">
        <v>6</v>
      </c>
      <c r="AK22" s="87">
        <v>7</v>
      </c>
      <c r="AL22" s="88">
        <v>8</v>
      </c>
    </row>
    <row r="23" spans="1:38" ht="21.75" customHeight="1" x14ac:dyDescent="0.6">
      <c r="A23" s="19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</row>
    <row r="24" spans="1:38" ht="21.75" customHeight="1" x14ac:dyDescent="0.6">
      <c r="A24" s="19"/>
    </row>
    <row r="25" spans="1:38" ht="21.75" customHeight="1" x14ac:dyDescent="0.6">
      <c r="A25" s="19"/>
    </row>
    <row r="26" spans="1:38" ht="21.75" customHeight="1" x14ac:dyDescent="0.6">
      <c r="A26" s="19"/>
    </row>
    <row r="27" spans="1:38" ht="21.75" customHeight="1" x14ac:dyDescent="0.6">
      <c r="A27" s="19"/>
    </row>
    <row r="28" spans="1:38" ht="21.75" customHeight="1" x14ac:dyDescent="0.6">
      <c r="A28" s="19"/>
    </row>
    <row r="29" spans="1:38" ht="21.75" customHeight="1" x14ac:dyDescent="0.6">
      <c r="A29" s="19"/>
    </row>
    <row r="30" spans="1:38" ht="21.75" customHeight="1" x14ac:dyDescent="0.6">
      <c r="A30" s="19"/>
    </row>
    <row r="31" spans="1:38" ht="21.75" customHeight="1" x14ac:dyDescent="0.6">
      <c r="A31" s="19"/>
    </row>
    <row r="32" spans="1:38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21"/>
      <c r="N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/>
      <c r="O113" s="21"/>
      <c r="P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1"/>
      <c r="R229" s="21"/>
      <c r="S229" s="21"/>
    </row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</sheetData>
  <mergeCells count="2">
    <mergeCell ref="B2:AL3"/>
    <mergeCell ref="B4:AL4"/>
  </mergeCells>
  <phoneticPr fontId="25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B829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I36" sqref="I36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6" width="20" style="1" customWidth="1"/>
    <col min="7" max="7" width="3.7109375" customWidth="1"/>
    <col min="8" max="8" width="9.7109375" bestFit="1" customWidth="1"/>
    <col min="9" max="9" width="22.28515625" bestFit="1" customWidth="1"/>
    <col min="10" max="10" width="8.42578125" bestFit="1" customWidth="1"/>
    <col min="11" max="11" width="20.85546875" bestFit="1" customWidth="1"/>
    <col min="12" max="12" width="8" bestFit="1" customWidth="1"/>
    <col min="13" max="13" width="20.85546875" bestFit="1" customWidth="1"/>
    <col min="14" max="14" width="8" bestFit="1" customWidth="1"/>
    <col min="15" max="15" width="20.85546875" bestFit="1" customWidth="1"/>
    <col min="16" max="16" width="8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8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8.140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8" bestFit="1" customWidth="1"/>
    <col min="65" max="65" width="23.28515625" bestFit="1" customWidth="1"/>
    <col min="66" max="66" width="8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8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19.42578125" bestFit="1" customWidth="1"/>
  </cols>
  <sheetData>
    <row r="2" spans="2:79" ht="15" customHeight="1" x14ac:dyDescent="0.25">
      <c r="B2" s="111" t="s">
        <v>67</v>
      </c>
      <c r="C2" s="112"/>
      <c r="D2" s="112"/>
      <c r="E2" s="112"/>
      <c r="F2" s="112"/>
      <c r="G2" s="112"/>
      <c r="H2" s="113"/>
    </row>
    <row r="3" spans="2:79" ht="22.5" customHeight="1" x14ac:dyDescent="0.25">
      <c r="B3" s="114"/>
      <c r="C3" s="115"/>
      <c r="D3" s="115"/>
      <c r="E3" s="115"/>
      <c r="F3" s="115"/>
      <c r="G3" s="115"/>
      <c r="H3" s="116"/>
    </row>
    <row r="4" spans="2:79" ht="26.25" customHeight="1" x14ac:dyDescent="0.4">
      <c r="B4" s="117" t="s">
        <v>70</v>
      </c>
      <c r="C4" s="118"/>
      <c r="D4" s="118"/>
      <c r="E4" s="118"/>
      <c r="F4" s="118"/>
      <c r="G4" s="118"/>
      <c r="H4" s="119"/>
    </row>
    <row r="5" spans="2:79" ht="13.5" customHeight="1" x14ac:dyDescent="0.25">
      <c r="B5" s="54"/>
      <c r="C5" s="55"/>
      <c r="D5" s="55"/>
      <c r="E5" s="55"/>
      <c r="F5" s="55"/>
      <c r="G5" s="57"/>
      <c r="H5" s="58"/>
    </row>
    <row r="6" spans="2:79" ht="15" customHeight="1" thickBot="1" x14ac:dyDescent="0.3"/>
    <row r="7" spans="2:79" ht="19.5" customHeight="1" x14ac:dyDescent="0.25">
      <c r="B7" s="120" t="s">
        <v>43</v>
      </c>
      <c r="C7" s="122" t="s">
        <v>44</v>
      </c>
      <c r="D7" s="122" t="s">
        <v>45</v>
      </c>
      <c r="E7" s="124" t="s">
        <v>46</v>
      </c>
      <c r="F7" s="127" t="s">
        <v>69</v>
      </c>
      <c r="H7" s="126" t="s">
        <v>1</v>
      </c>
      <c r="I7" s="108"/>
      <c r="J7" s="108" t="s">
        <v>2</v>
      </c>
      <c r="K7" s="108"/>
      <c r="L7" s="108" t="s">
        <v>3</v>
      </c>
      <c r="M7" s="108"/>
      <c r="N7" s="108" t="s">
        <v>4</v>
      </c>
      <c r="O7" s="108"/>
      <c r="P7" s="108" t="s">
        <v>5</v>
      </c>
      <c r="Q7" s="108"/>
      <c r="R7" s="108" t="s">
        <v>6</v>
      </c>
      <c r="S7" s="108"/>
      <c r="T7" s="108" t="s">
        <v>7</v>
      </c>
      <c r="U7" s="108"/>
      <c r="V7" s="108" t="s">
        <v>8</v>
      </c>
      <c r="W7" s="108"/>
      <c r="X7" s="108" t="s">
        <v>9</v>
      </c>
      <c r="Y7" s="108"/>
      <c r="Z7" s="108" t="s">
        <v>10</v>
      </c>
      <c r="AA7" s="108"/>
      <c r="AB7" s="108" t="s">
        <v>11</v>
      </c>
      <c r="AC7" s="108"/>
      <c r="AD7" s="108" t="s">
        <v>12</v>
      </c>
      <c r="AE7" s="108"/>
      <c r="AF7" s="108" t="s">
        <v>13</v>
      </c>
      <c r="AG7" s="108"/>
      <c r="AH7" s="108" t="s">
        <v>14</v>
      </c>
      <c r="AI7" s="108"/>
      <c r="AJ7" s="108" t="s">
        <v>15</v>
      </c>
      <c r="AK7" s="108"/>
      <c r="AL7" s="108" t="s">
        <v>16</v>
      </c>
      <c r="AM7" s="108"/>
      <c r="AN7" s="108" t="s">
        <v>17</v>
      </c>
      <c r="AO7" s="108"/>
      <c r="AP7" s="108" t="s">
        <v>18</v>
      </c>
      <c r="AQ7" s="108"/>
      <c r="AR7" s="108" t="s">
        <v>19</v>
      </c>
      <c r="AS7" s="108"/>
      <c r="AT7" s="108" t="s">
        <v>20</v>
      </c>
      <c r="AU7" s="108"/>
      <c r="AV7" s="108" t="s">
        <v>21</v>
      </c>
      <c r="AW7" s="108"/>
      <c r="AX7" s="108" t="s">
        <v>22</v>
      </c>
      <c r="AY7" s="108"/>
      <c r="AZ7" s="108" t="s">
        <v>23</v>
      </c>
      <c r="BA7" s="108"/>
      <c r="BB7" s="108" t="s">
        <v>24</v>
      </c>
      <c r="BC7" s="108"/>
      <c r="BD7" s="108" t="s">
        <v>25</v>
      </c>
      <c r="BE7" s="108"/>
      <c r="BF7" s="108" t="s">
        <v>26</v>
      </c>
      <c r="BG7" s="108"/>
      <c r="BH7" s="108" t="s">
        <v>27</v>
      </c>
      <c r="BI7" s="108"/>
      <c r="BJ7" s="108" t="s">
        <v>28</v>
      </c>
      <c r="BK7" s="108"/>
      <c r="BL7" s="108" t="s">
        <v>29</v>
      </c>
      <c r="BM7" s="108"/>
      <c r="BN7" s="108" t="s">
        <v>30</v>
      </c>
      <c r="BO7" s="108"/>
      <c r="BP7" s="108" t="s">
        <v>31</v>
      </c>
      <c r="BQ7" s="108"/>
      <c r="BR7" s="108" t="s">
        <v>32</v>
      </c>
      <c r="BS7" s="108"/>
      <c r="BT7" s="108" t="s">
        <v>33</v>
      </c>
      <c r="BU7" s="108"/>
      <c r="BV7" s="108" t="s">
        <v>34</v>
      </c>
      <c r="BW7" s="108"/>
      <c r="BX7" s="108" t="s">
        <v>35</v>
      </c>
      <c r="BY7" s="108"/>
      <c r="BZ7" s="108" t="s">
        <v>36</v>
      </c>
      <c r="CA7" s="108"/>
    </row>
    <row r="8" spans="2:79" ht="19.5" customHeight="1" x14ac:dyDescent="0.25">
      <c r="B8" s="121"/>
      <c r="C8" s="123"/>
      <c r="D8" s="123"/>
      <c r="E8" s="125"/>
      <c r="F8" s="128"/>
      <c r="H8" s="25" t="s">
        <v>45</v>
      </c>
      <c r="I8" s="33" t="s">
        <v>63</v>
      </c>
      <c r="J8" s="33" t="s">
        <v>45</v>
      </c>
      <c r="K8" s="33" t="s">
        <v>63</v>
      </c>
      <c r="L8" s="33" t="s">
        <v>45</v>
      </c>
      <c r="M8" s="33" t="s">
        <v>63</v>
      </c>
      <c r="N8" s="33" t="s">
        <v>45</v>
      </c>
      <c r="O8" s="33" t="s">
        <v>63</v>
      </c>
      <c r="P8" s="33" t="s">
        <v>45</v>
      </c>
      <c r="Q8" s="33" t="s">
        <v>63</v>
      </c>
      <c r="R8" s="33" t="s">
        <v>45</v>
      </c>
      <c r="S8" s="33" t="s">
        <v>63</v>
      </c>
      <c r="T8" s="33" t="s">
        <v>45</v>
      </c>
      <c r="U8" s="33" t="s">
        <v>63</v>
      </c>
      <c r="V8" s="33" t="s">
        <v>45</v>
      </c>
      <c r="W8" s="33" t="s">
        <v>63</v>
      </c>
      <c r="X8" s="33" t="s">
        <v>45</v>
      </c>
      <c r="Y8" s="33" t="s">
        <v>63</v>
      </c>
      <c r="Z8" s="33" t="s">
        <v>45</v>
      </c>
      <c r="AA8" s="33" t="s">
        <v>63</v>
      </c>
      <c r="AB8" s="33" t="s">
        <v>45</v>
      </c>
      <c r="AC8" s="33" t="s">
        <v>63</v>
      </c>
      <c r="AD8" s="33" t="s">
        <v>45</v>
      </c>
      <c r="AE8" s="33" t="s">
        <v>63</v>
      </c>
      <c r="AF8" s="33" t="s">
        <v>45</v>
      </c>
      <c r="AG8" s="33" t="s">
        <v>63</v>
      </c>
      <c r="AH8" s="33" t="s">
        <v>45</v>
      </c>
      <c r="AI8" s="33" t="s">
        <v>63</v>
      </c>
      <c r="AJ8" s="33" t="s">
        <v>45</v>
      </c>
      <c r="AK8" s="33" t="s">
        <v>63</v>
      </c>
      <c r="AL8" s="33" t="s">
        <v>45</v>
      </c>
      <c r="AM8" s="33" t="s">
        <v>63</v>
      </c>
      <c r="AN8" s="33" t="s">
        <v>45</v>
      </c>
      <c r="AO8" s="33" t="s">
        <v>63</v>
      </c>
      <c r="AP8" s="33" t="s">
        <v>45</v>
      </c>
      <c r="AQ8" s="33" t="s">
        <v>63</v>
      </c>
      <c r="AR8" s="33" t="s">
        <v>45</v>
      </c>
      <c r="AS8" s="33" t="s">
        <v>63</v>
      </c>
      <c r="AT8" s="33" t="s">
        <v>45</v>
      </c>
      <c r="AU8" s="33" t="s">
        <v>63</v>
      </c>
      <c r="AV8" s="33" t="s">
        <v>45</v>
      </c>
      <c r="AW8" s="33" t="s">
        <v>63</v>
      </c>
      <c r="AX8" s="33" t="s">
        <v>45</v>
      </c>
      <c r="AY8" s="33" t="s">
        <v>63</v>
      </c>
      <c r="AZ8" s="33" t="s">
        <v>45</v>
      </c>
      <c r="BA8" s="33" t="s">
        <v>63</v>
      </c>
      <c r="BB8" s="33" t="s">
        <v>45</v>
      </c>
      <c r="BC8" s="33" t="s">
        <v>63</v>
      </c>
      <c r="BD8" s="33" t="s">
        <v>45</v>
      </c>
      <c r="BE8" s="33" t="s">
        <v>63</v>
      </c>
      <c r="BF8" s="33" t="s">
        <v>45</v>
      </c>
      <c r="BG8" s="33" t="s">
        <v>63</v>
      </c>
      <c r="BH8" s="33" t="s">
        <v>45</v>
      </c>
      <c r="BI8" s="33" t="s">
        <v>63</v>
      </c>
      <c r="BJ8" s="33" t="s">
        <v>45</v>
      </c>
      <c r="BK8" s="33" t="s">
        <v>63</v>
      </c>
      <c r="BL8" s="33" t="s">
        <v>45</v>
      </c>
      <c r="BM8" s="33" t="s">
        <v>63</v>
      </c>
      <c r="BN8" s="33" t="s">
        <v>45</v>
      </c>
      <c r="BO8" s="33" t="s">
        <v>63</v>
      </c>
      <c r="BP8" s="33" t="s">
        <v>45</v>
      </c>
      <c r="BQ8" s="33" t="s">
        <v>63</v>
      </c>
      <c r="BR8" s="33" t="s">
        <v>45</v>
      </c>
      <c r="BS8" s="33" t="s">
        <v>63</v>
      </c>
      <c r="BT8" s="33" t="s">
        <v>45</v>
      </c>
      <c r="BU8" s="33" t="s">
        <v>63</v>
      </c>
      <c r="BV8" s="33" t="s">
        <v>45</v>
      </c>
      <c r="BW8" s="33" t="s">
        <v>63</v>
      </c>
      <c r="BX8" s="33" t="s">
        <v>45</v>
      </c>
      <c r="BY8" s="33" t="s">
        <v>63</v>
      </c>
      <c r="BZ8" s="33" t="s">
        <v>45</v>
      </c>
      <c r="CA8" s="33" t="s">
        <v>63</v>
      </c>
    </row>
    <row r="9" spans="2:79" ht="19.5" customHeight="1" x14ac:dyDescent="0.25">
      <c r="B9" s="49" t="s">
        <v>47</v>
      </c>
      <c r="C9" s="61">
        <v>14269424.76073329</v>
      </c>
      <c r="D9" s="50">
        <f>C9/$C$26</f>
        <v>0.20812140589688063</v>
      </c>
      <c r="E9" s="65">
        <f>C9/'DISTRIBUIÇÃO CUSTO'!C$30</f>
        <v>1984.1683900658666</v>
      </c>
      <c r="F9" s="73">
        <f>SUM(H9,J9,L9,N9,P9,R9,T9,V9,X9,Z9,AB9,AD9,AF9,AH9,AJ9,AL9,,AN9,AP9,AR9,AT9,AV9,AX9,AZ9,BB9,BD9,BF9,BH9,BJ9,BL9,BN9,BP9,BR9,BT9,BV9,BX9,BZ9)</f>
        <v>1</v>
      </c>
      <c r="H9" s="51">
        <v>0.08</v>
      </c>
      <c r="I9" s="52">
        <f t="shared" ref="I9:I25" si="0">$C9*H9</f>
        <v>1141553.9808586631</v>
      </c>
      <c r="J9" s="51">
        <v>0.06</v>
      </c>
      <c r="K9" s="52">
        <f t="shared" ref="K9:K25" si="1">$C9*J9</f>
        <v>856165.48564399732</v>
      </c>
      <c r="L9" s="51">
        <v>0.06</v>
      </c>
      <c r="M9" s="52">
        <f t="shared" ref="M9" si="2">$C9*L9</f>
        <v>856165.48564399732</v>
      </c>
      <c r="N9" s="51">
        <v>4.4999999999999998E-2</v>
      </c>
      <c r="O9" s="52">
        <f t="shared" ref="O9" si="3">$C9*N9</f>
        <v>642124.11423299799</v>
      </c>
      <c r="P9" s="51">
        <v>4.4999999999999998E-2</v>
      </c>
      <c r="Q9" s="52">
        <f t="shared" ref="Q9" si="4">$C9*P9</f>
        <v>642124.11423299799</v>
      </c>
      <c r="R9" s="51">
        <v>4.4999999999999998E-2</v>
      </c>
      <c r="S9" s="52">
        <f t="shared" ref="S9" si="5">$C9*R9</f>
        <v>642124.11423299799</v>
      </c>
      <c r="T9" s="53">
        <f>66.5%/30</f>
        <v>2.2166666666666668E-2</v>
      </c>
      <c r="U9" s="52">
        <f t="shared" ref="U9:U25" si="6">$C9*T9</f>
        <v>316305.58219625463</v>
      </c>
      <c r="V9" s="53">
        <f t="shared" ref="V9" si="7">66.5%/30</f>
        <v>2.2166666666666668E-2</v>
      </c>
      <c r="W9" s="52">
        <f t="shared" ref="W9" si="8">$C9*V9</f>
        <v>316305.58219625463</v>
      </c>
      <c r="X9" s="53">
        <f t="shared" ref="X9" si="9">66.5%/30</f>
        <v>2.2166666666666668E-2</v>
      </c>
      <c r="Y9" s="52">
        <f t="shared" ref="Y9" si="10">$C9*X9</f>
        <v>316305.58219625463</v>
      </c>
      <c r="Z9" s="53">
        <f t="shared" ref="Z9" si="11">66.5%/30</f>
        <v>2.2166666666666668E-2</v>
      </c>
      <c r="AA9" s="52">
        <f t="shared" ref="AA9" si="12">$C9*Z9</f>
        <v>316305.58219625463</v>
      </c>
      <c r="AB9" s="53">
        <f t="shared" ref="AB9" si="13">66.5%/30</f>
        <v>2.2166666666666668E-2</v>
      </c>
      <c r="AC9" s="52">
        <f t="shared" ref="AC9" si="14">$C9*AB9</f>
        <v>316305.58219625463</v>
      </c>
      <c r="AD9" s="53">
        <f t="shared" ref="AD9" si="15">66.5%/30</f>
        <v>2.2166666666666668E-2</v>
      </c>
      <c r="AE9" s="52">
        <f t="shared" ref="AE9" si="16">$C9*AD9</f>
        <v>316305.58219625463</v>
      </c>
      <c r="AF9" s="53">
        <f t="shared" ref="AF9" si="17">66.5%/30</f>
        <v>2.2166666666666668E-2</v>
      </c>
      <c r="AG9" s="52">
        <f t="shared" ref="AG9" si="18">$C9*AF9</f>
        <v>316305.58219625463</v>
      </c>
      <c r="AH9" s="53">
        <f t="shared" ref="AH9" si="19">66.5%/30</f>
        <v>2.2166666666666668E-2</v>
      </c>
      <c r="AI9" s="52">
        <f t="shared" ref="AI9" si="20">$C9*AH9</f>
        <v>316305.58219625463</v>
      </c>
      <c r="AJ9" s="53">
        <f t="shared" ref="AJ9" si="21">66.5%/30</f>
        <v>2.2166666666666668E-2</v>
      </c>
      <c r="AK9" s="52">
        <f t="shared" ref="AK9" si="22">$C9*AJ9</f>
        <v>316305.58219625463</v>
      </c>
      <c r="AL9" s="53">
        <f t="shared" ref="AL9" si="23">66.5%/30</f>
        <v>2.2166666666666668E-2</v>
      </c>
      <c r="AM9" s="52">
        <f t="shared" ref="AM9" si="24">$C9*AL9</f>
        <v>316305.58219625463</v>
      </c>
      <c r="AN9" s="53">
        <f t="shared" ref="AN9" si="25">66.5%/30</f>
        <v>2.2166666666666668E-2</v>
      </c>
      <c r="AO9" s="52">
        <f t="shared" ref="AO9" si="26">$C9*AN9</f>
        <v>316305.58219625463</v>
      </c>
      <c r="AP9" s="53">
        <f t="shared" ref="AP9" si="27">66.5%/30</f>
        <v>2.2166666666666668E-2</v>
      </c>
      <c r="AQ9" s="52">
        <f t="shared" ref="AQ9" si="28">$C9*AP9</f>
        <v>316305.58219625463</v>
      </c>
      <c r="AR9" s="53">
        <f t="shared" ref="AR9" si="29">66.5%/30</f>
        <v>2.2166666666666668E-2</v>
      </c>
      <c r="AS9" s="52">
        <f t="shared" ref="AS9" si="30">$C9*AR9</f>
        <v>316305.58219625463</v>
      </c>
      <c r="AT9" s="53">
        <f t="shared" ref="AT9" si="31">66.5%/30</f>
        <v>2.2166666666666668E-2</v>
      </c>
      <c r="AU9" s="52">
        <f t="shared" ref="AU9" si="32">$C9*AT9</f>
        <v>316305.58219625463</v>
      </c>
      <c r="AV9" s="53">
        <f t="shared" ref="AV9" si="33">66.5%/30</f>
        <v>2.2166666666666668E-2</v>
      </c>
      <c r="AW9" s="52">
        <f t="shared" ref="AW9" si="34">$C9*AV9</f>
        <v>316305.58219625463</v>
      </c>
      <c r="AX9" s="53">
        <f t="shared" ref="AX9" si="35">66.5%/30</f>
        <v>2.2166666666666668E-2</v>
      </c>
      <c r="AY9" s="52">
        <f t="shared" ref="AY9" si="36">$C9*AX9</f>
        <v>316305.58219625463</v>
      </c>
      <c r="AZ9" s="53">
        <f t="shared" ref="AZ9" si="37">66.5%/30</f>
        <v>2.2166666666666668E-2</v>
      </c>
      <c r="BA9" s="52">
        <f t="shared" ref="BA9" si="38">$C9*AZ9</f>
        <v>316305.58219625463</v>
      </c>
      <c r="BB9" s="53">
        <f t="shared" ref="BB9" si="39">66.5%/30</f>
        <v>2.2166666666666668E-2</v>
      </c>
      <c r="BC9" s="52">
        <f t="shared" ref="BC9" si="40">$C9*BB9</f>
        <v>316305.58219625463</v>
      </c>
      <c r="BD9" s="53">
        <f t="shared" ref="BD9" si="41">66.5%/30</f>
        <v>2.2166666666666668E-2</v>
      </c>
      <c r="BE9" s="52">
        <f t="shared" ref="BE9" si="42">$C9*BD9</f>
        <v>316305.58219625463</v>
      </c>
      <c r="BF9" s="53">
        <f t="shared" ref="BF9" si="43">66.5%/30</f>
        <v>2.2166666666666668E-2</v>
      </c>
      <c r="BG9" s="52">
        <f t="shared" ref="BG9" si="44">$C9*BF9</f>
        <v>316305.58219625463</v>
      </c>
      <c r="BH9" s="53">
        <f t="shared" ref="BH9" si="45">66.5%/30</f>
        <v>2.2166666666666668E-2</v>
      </c>
      <c r="BI9" s="52">
        <f t="shared" ref="BI9" si="46">$C9*BH9</f>
        <v>316305.58219625463</v>
      </c>
      <c r="BJ9" s="53">
        <f t="shared" ref="BJ9" si="47">66.5%/30</f>
        <v>2.2166666666666668E-2</v>
      </c>
      <c r="BK9" s="52">
        <f t="shared" ref="BK9" si="48">$C9*BJ9</f>
        <v>316305.58219625463</v>
      </c>
      <c r="BL9" s="53">
        <f t="shared" ref="BL9" si="49">66.5%/30</f>
        <v>2.2166666666666668E-2</v>
      </c>
      <c r="BM9" s="52">
        <f t="shared" ref="BM9" si="50">$C9*BL9</f>
        <v>316305.58219625463</v>
      </c>
      <c r="BN9" s="53">
        <f t="shared" ref="BN9" si="51">66.5%/30</f>
        <v>2.2166666666666668E-2</v>
      </c>
      <c r="BO9" s="52">
        <f t="shared" ref="BO9" si="52">$C9*BN9</f>
        <v>316305.58219625463</v>
      </c>
      <c r="BP9" s="53">
        <f t="shared" ref="BP9" si="53">66.5%/30</f>
        <v>2.2166666666666668E-2</v>
      </c>
      <c r="BQ9" s="52">
        <f t="shared" ref="BQ9" si="54">$C9*BP9</f>
        <v>316305.58219625463</v>
      </c>
      <c r="BR9" s="53">
        <f t="shared" ref="BR9" si="55">66.5%/30</f>
        <v>2.2166666666666668E-2</v>
      </c>
      <c r="BS9" s="52">
        <f t="shared" ref="BS9" si="56">$C9*BR9</f>
        <v>316305.58219625463</v>
      </c>
      <c r="BT9" s="53">
        <f t="shared" ref="BT9" si="57">66.5%/30</f>
        <v>2.2166666666666668E-2</v>
      </c>
      <c r="BU9" s="52">
        <f t="shared" ref="BU9" si="58">$C9*BT9</f>
        <v>316305.58219625463</v>
      </c>
      <c r="BV9" s="53">
        <f t="shared" ref="BV9" si="59">66.5%/30</f>
        <v>2.2166666666666668E-2</v>
      </c>
      <c r="BW9" s="52">
        <f t="shared" ref="BW9" si="60">$C9*BV9</f>
        <v>316305.58219625463</v>
      </c>
      <c r="BX9" s="53">
        <f t="shared" ref="BX9" si="61">66.5%/30</f>
        <v>2.2166666666666668E-2</v>
      </c>
      <c r="BY9" s="52">
        <f t="shared" ref="BY9" si="62">$C9*BX9</f>
        <v>316305.58219625463</v>
      </c>
      <c r="BZ9" s="53">
        <f t="shared" ref="BZ9" si="63">66.5%/30</f>
        <v>2.2166666666666668E-2</v>
      </c>
      <c r="CA9" s="52">
        <f t="shared" ref="CA9" si="64">$C9*BZ9</f>
        <v>316305.58219625463</v>
      </c>
    </row>
    <row r="10" spans="2:79" ht="19.5" customHeight="1" x14ac:dyDescent="0.25">
      <c r="B10" s="42" t="s">
        <v>50</v>
      </c>
      <c r="C10" s="62">
        <v>1578343.0962098623</v>
      </c>
      <c r="D10" s="27">
        <f t="shared" ref="D10:D25" si="65">C10/$C$26</f>
        <v>2.3020338218171559E-2</v>
      </c>
      <c r="E10" s="66">
        <f>C10/'DISTRIBUIÇÃO CUSTO'!C$30</f>
        <v>219.46914698314461</v>
      </c>
      <c r="F10" s="74">
        <f t="shared" ref="F10:F25" si="66">SUM(H10,J10,L10,N10,P10,R10,T10,V10,X10,Z10,AB10,AD10,AF10,AH10,AJ10,AL10,,AN10,AP10,AR10,AT10,AV10,AX10,AZ10,BB10,BD10,BF10,BH10,BJ10,BL10,BN10,BP10,BR10,BT10,BV10,BX10,BZ10)</f>
        <v>1</v>
      </c>
      <c r="H10" s="26">
        <f>100%/4</f>
        <v>0.25</v>
      </c>
      <c r="I10" s="35">
        <f t="shared" si="0"/>
        <v>394585.77405246557</v>
      </c>
      <c r="J10" s="26">
        <f t="shared" ref="J10" si="67">100%/4</f>
        <v>0.25</v>
      </c>
      <c r="K10" s="35">
        <f t="shared" si="1"/>
        <v>394585.77405246557</v>
      </c>
      <c r="L10" s="26">
        <f t="shared" ref="L10" si="68">100%/4</f>
        <v>0.25</v>
      </c>
      <c r="M10" s="35">
        <f t="shared" ref="M10:M25" si="69">$C10*L10</f>
        <v>394585.77405246557</v>
      </c>
      <c r="N10" s="26">
        <f t="shared" ref="N10" si="70">100%/4</f>
        <v>0.25</v>
      </c>
      <c r="O10" s="35">
        <f t="shared" ref="O10:O25" si="71">$C10*N10</f>
        <v>394585.77405246557</v>
      </c>
      <c r="P10" s="34"/>
      <c r="Q10" s="35">
        <f t="shared" ref="Q10:Q25" si="72">$C10*P10</f>
        <v>0</v>
      </c>
      <c r="R10" s="34"/>
      <c r="S10" s="35">
        <f t="shared" ref="S10:S25" si="73">$C10*R10</f>
        <v>0</v>
      </c>
      <c r="T10" s="34"/>
      <c r="U10" s="35">
        <f t="shared" si="6"/>
        <v>0</v>
      </c>
      <c r="V10" s="34"/>
      <c r="W10" s="35">
        <f t="shared" ref="W10:W25" si="74">$C10*V10</f>
        <v>0</v>
      </c>
      <c r="X10" s="34"/>
      <c r="Y10" s="35">
        <f t="shared" ref="Y10:Y25" si="75">$C10*X10</f>
        <v>0</v>
      </c>
      <c r="Z10" s="34"/>
      <c r="AA10" s="35">
        <f t="shared" ref="AA10:AA25" si="76">$C10*Z10</f>
        <v>0</v>
      </c>
      <c r="AB10" s="34"/>
      <c r="AC10" s="35">
        <f t="shared" ref="AC10:AC25" si="77">$C10*AB10</f>
        <v>0</v>
      </c>
      <c r="AD10" s="34"/>
      <c r="AE10" s="35">
        <f t="shared" ref="AE10:AE25" si="78">$C10*AD10</f>
        <v>0</v>
      </c>
      <c r="AF10" s="34"/>
      <c r="AG10" s="35">
        <f t="shared" ref="AG10:AG25" si="79">$C10*AF10</f>
        <v>0</v>
      </c>
      <c r="AH10" s="34"/>
      <c r="AI10" s="35">
        <f t="shared" ref="AI10:AI25" si="80">$C10*AH10</f>
        <v>0</v>
      </c>
      <c r="AJ10" s="34"/>
      <c r="AK10" s="35">
        <f t="shared" ref="AK10:AK25" si="81">$C10*AJ10</f>
        <v>0</v>
      </c>
      <c r="AL10" s="34"/>
      <c r="AM10" s="35">
        <f t="shared" ref="AM10:AM25" si="82">$C10*AL10</f>
        <v>0</v>
      </c>
      <c r="AN10" s="34"/>
      <c r="AO10" s="35">
        <f t="shared" ref="AO10:AO25" si="83">$C10*AN10</f>
        <v>0</v>
      </c>
      <c r="AP10" s="34"/>
      <c r="AQ10" s="35">
        <f t="shared" ref="AQ10:AQ25" si="84">$C10*AP10</f>
        <v>0</v>
      </c>
      <c r="AR10" s="34"/>
      <c r="AS10" s="35">
        <f t="shared" ref="AS10:AS25" si="85">$C10*AR10</f>
        <v>0</v>
      </c>
      <c r="AT10" s="34"/>
      <c r="AU10" s="35">
        <f t="shared" ref="AU10:AU25" si="86">$C10*AT10</f>
        <v>0</v>
      </c>
      <c r="AV10" s="34"/>
      <c r="AW10" s="35">
        <f t="shared" ref="AW10:AW25" si="87">$C10*AV10</f>
        <v>0</v>
      </c>
      <c r="AX10" s="34"/>
      <c r="AY10" s="35">
        <f t="shared" ref="AY10:AY25" si="88">$C10*AX10</f>
        <v>0</v>
      </c>
      <c r="AZ10" s="34"/>
      <c r="BA10" s="35">
        <f t="shared" ref="BA10:BA25" si="89">$C10*AZ10</f>
        <v>0</v>
      </c>
      <c r="BB10" s="34"/>
      <c r="BC10" s="35">
        <f t="shared" ref="BC10:BC25" si="90">$C10*BB10</f>
        <v>0</v>
      </c>
      <c r="BD10" s="34"/>
      <c r="BE10" s="35">
        <f t="shared" ref="BE10:BE25" si="91">$C10*BD10</f>
        <v>0</v>
      </c>
      <c r="BF10" s="34"/>
      <c r="BG10" s="35">
        <f t="shared" ref="BG10:BG25" si="92">$C10*BF10</f>
        <v>0</v>
      </c>
      <c r="BH10" s="34"/>
      <c r="BI10" s="35">
        <f t="shared" ref="BI10:BI25" si="93">$C10*BH10</f>
        <v>0</v>
      </c>
      <c r="BJ10" s="34"/>
      <c r="BK10" s="35">
        <f t="shared" ref="BK10:BK25" si="94">$C10*BJ10</f>
        <v>0</v>
      </c>
      <c r="BL10" s="34"/>
      <c r="BM10" s="35">
        <f t="shared" ref="BM10:BM25" si="95">$C10*BL10</f>
        <v>0</v>
      </c>
      <c r="BN10" s="34"/>
      <c r="BO10" s="35">
        <f t="shared" ref="BO10:BO25" si="96">$C10*BN10</f>
        <v>0</v>
      </c>
      <c r="BP10" s="34"/>
      <c r="BQ10" s="35">
        <f t="shared" ref="BQ10:BQ25" si="97">$C10*BP10</f>
        <v>0</v>
      </c>
      <c r="BR10" s="34"/>
      <c r="BS10" s="35">
        <f t="shared" ref="BS10:BS25" si="98">$C10*BR10</f>
        <v>0</v>
      </c>
      <c r="BT10" s="34"/>
      <c r="BU10" s="35">
        <f t="shared" ref="BU10:BU25" si="99">$C10*BT10</f>
        <v>0</v>
      </c>
      <c r="BV10" s="34"/>
      <c r="BW10" s="35">
        <f t="shared" ref="BW10:BW25" si="100">$C10*BV10</f>
        <v>0</v>
      </c>
      <c r="BX10" s="34"/>
      <c r="BY10" s="35">
        <f t="shared" ref="BY10:BY25" si="101">$C10*BX10</f>
        <v>0</v>
      </c>
      <c r="BZ10" s="34"/>
      <c r="CA10" s="35">
        <f t="shared" ref="CA10:CA25" si="102">$C10*BZ10</f>
        <v>0</v>
      </c>
    </row>
    <row r="11" spans="2:79" ht="19.5" customHeight="1" x14ac:dyDescent="0.25">
      <c r="B11" s="49" t="s">
        <v>51</v>
      </c>
      <c r="C11" s="61">
        <v>3113525.2502879435</v>
      </c>
      <c r="D11" s="50">
        <f t="shared" si="65"/>
        <v>4.541116851244846E-2</v>
      </c>
      <c r="E11" s="65">
        <f>C11/'DISTRIBUIÇÃO CUSTO'!C$30</f>
        <v>432.93675021107055</v>
      </c>
      <c r="F11" s="73">
        <f t="shared" si="66"/>
        <v>0.99999999999999989</v>
      </c>
      <c r="H11" s="51"/>
      <c r="I11" s="52">
        <f t="shared" si="0"/>
        <v>0</v>
      </c>
      <c r="J11" s="51"/>
      <c r="K11" s="52">
        <f t="shared" si="1"/>
        <v>0</v>
      </c>
      <c r="L11" s="51">
        <f>100%/6</f>
        <v>0.16666666666666666</v>
      </c>
      <c r="M11" s="52">
        <f t="shared" si="69"/>
        <v>518920.87504799059</v>
      </c>
      <c r="N11" s="51">
        <f t="shared" ref="N11" si="103">100%/6</f>
        <v>0.16666666666666666</v>
      </c>
      <c r="O11" s="52">
        <f t="shared" si="71"/>
        <v>518920.87504799059</v>
      </c>
      <c r="P11" s="51">
        <f t="shared" ref="P11" si="104">100%/6</f>
        <v>0.16666666666666666</v>
      </c>
      <c r="Q11" s="52">
        <f t="shared" si="72"/>
        <v>518920.87504799059</v>
      </c>
      <c r="R11" s="51">
        <f t="shared" ref="R11" si="105">100%/6</f>
        <v>0.16666666666666666</v>
      </c>
      <c r="S11" s="52">
        <f t="shared" si="73"/>
        <v>518920.87504799059</v>
      </c>
      <c r="T11" s="51">
        <f t="shared" ref="T11" si="106">100%/6</f>
        <v>0.16666666666666666</v>
      </c>
      <c r="U11" s="52">
        <f t="shared" si="6"/>
        <v>518920.87504799059</v>
      </c>
      <c r="V11" s="51">
        <f t="shared" ref="V11" si="107">100%/6</f>
        <v>0.16666666666666666</v>
      </c>
      <c r="W11" s="52">
        <f t="shared" si="74"/>
        <v>518920.87504799059</v>
      </c>
      <c r="X11" s="53"/>
      <c r="Y11" s="52">
        <f t="shared" si="75"/>
        <v>0</v>
      </c>
      <c r="Z11" s="53"/>
      <c r="AA11" s="52">
        <f t="shared" si="76"/>
        <v>0</v>
      </c>
      <c r="AB11" s="53"/>
      <c r="AC11" s="52">
        <f t="shared" si="77"/>
        <v>0</v>
      </c>
      <c r="AD11" s="53"/>
      <c r="AE11" s="52">
        <f t="shared" si="78"/>
        <v>0</v>
      </c>
      <c r="AF11" s="53"/>
      <c r="AG11" s="52">
        <f t="shared" si="79"/>
        <v>0</v>
      </c>
      <c r="AH11" s="53"/>
      <c r="AI11" s="52">
        <f t="shared" si="80"/>
        <v>0</v>
      </c>
      <c r="AJ11" s="53"/>
      <c r="AK11" s="52">
        <f t="shared" si="81"/>
        <v>0</v>
      </c>
      <c r="AL11" s="53"/>
      <c r="AM11" s="52">
        <f t="shared" si="82"/>
        <v>0</v>
      </c>
      <c r="AN11" s="53"/>
      <c r="AO11" s="52">
        <f t="shared" si="83"/>
        <v>0</v>
      </c>
      <c r="AP11" s="53"/>
      <c r="AQ11" s="52">
        <f t="shared" si="84"/>
        <v>0</v>
      </c>
      <c r="AR11" s="53"/>
      <c r="AS11" s="52">
        <f t="shared" si="85"/>
        <v>0</v>
      </c>
      <c r="AT11" s="53"/>
      <c r="AU11" s="52">
        <f t="shared" si="86"/>
        <v>0</v>
      </c>
      <c r="AV11" s="53"/>
      <c r="AW11" s="52">
        <f t="shared" si="87"/>
        <v>0</v>
      </c>
      <c r="AX11" s="53"/>
      <c r="AY11" s="52">
        <f t="shared" si="88"/>
        <v>0</v>
      </c>
      <c r="AZ11" s="53"/>
      <c r="BA11" s="52">
        <f t="shared" si="89"/>
        <v>0</v>
      </c>
      <c r="BB11" s="53"/>
      <c r="BC11" s="52">
        <f t="shared" si="90"/>
        <v>0</v>
      </c>
      <c r="BD11" s="53"/>
      <c r="BE11" s="52">
        <f t="shared" si="91"/>
        <v>0</v>
      </c>
      <c r="BF11" s="53"/>
      <c r="BG11" s="52">
        <f t="shared" si="92"/>
        <v>0</v>
      </c>
      <c r="BH11" s="53"/>
      <c r="BI11" s="52">
        <f t="shared" si="93"/>
        <v>0</v>
      </c>
      <c r="BJ11" s="53"/>
      <c r="BK11" s="52">
        <f t="shared" si="94"/>
        <v>0</v>
      </c>
      <c r="BL11" s="53"/>
      <c r="BM11" s="52">
        <f t="shared" si="95"/>
        <v>0</v>
      </c>
      <c r="BN11" s="53"/>
      <c r="BO11" s="52">
        <f t="shared" si="96"/>
        <v>0</v>
      </c>
      <c r="BP11" s="53"/>
      <c r="BQ11" s="52">
        <f t="shared" si="97"/>
        <v>0</v>
      </c>
      <c r="BR11" s="53"/>
      <c r="BS11" s="52">
        <f t="shared" si="98"/>
        <v>0</v>
      </c>
      <c r="BT11" s="53"/>
      <c r="BU11" s="52">
        <f t="shared" si="99"/>
        <v>0</v>
      </c>
      <c r="BV11" s="53"/>
      <c r="BW11" s="52">
        <f t="shared" si="100"/>
        <v>0</v>
      </c>
      <c r="BX11" s="53"/>
      <c r="BY11" s="52">
        <f t="shared" si="101"/>
        <v>0</v>
      </c>
      <c r="BZ11" s="53"/>
      <c r="CA11" s="52">
        <f t="shared" si="102"/>
        <v>0</v>
      </c>
    </row>
    <row r="12" spans="2:79" ht="19.5" customHeight="1" x14ac:dyDescent="0.25">
      <c r="B12" s="42" t="s">
        <v>71</v>
      </c>
      <c r="C12" s="62">
        <v>2144584.6266701659</v>
      </c>
      <c r="D12" s="27">
        <f t="shared" si="65"/>
        <v>3.1279044183733111E-2</v>
      </c>
      <c r="E12" s="66">
        <f>C12/'DISTRIBUIÇÃO CUSTO'!C$30</f>
        <v>298.20522532693042</v>
      </c>
      <c r="F12" s="74">
        <f t="shared" si="66"/>
        <v>1</v>
      </c>
      <c r="H12" s="26">
        <f>100%/4</f>
        <v>0.25</v>
      </c>
      <c r="I12" s="35">
        <f t="shared" si="0"/>
        <v>536146.15666754148</v>
      </c>
      <c r="J12" s="26">
        <f t="shared" ref="J12" si="108">100%/4</f>
        <v>0.25</v>
      </c>
      <c r="K12" s="35">
        <f t="shared" si="1"/>
        <v>536146.15666754148</v>
      </c>
      <c r="L12" s="26">
        <f t="shared" ref="L12" si="109">100%/4</f>
        <v>0.25</v>
      </c>
      <c r="M12" s="35">
        <f t="shared" si="69"/>
        <v>536146.15666754148</v>
      </c>
      <c r="N12" s="26">
        <f t="shared" ref="N12" si="110">100%/4</f>
        <v>0.25</v>
      </c>
      <c r="O12" s="35">
        <f t="shared" si="71"/>
        <v>536146.15666754148</v>
      </c>
      <c r="P12" s="26"/>
      <c r="Q12" s="35">
        <f t="shared" si="72"/>
        <v>0</v>
      </c>
      <c r="R12" s="34"/>
      <c r="S12" s="35">
        <f t="shared" si="73"/>
        <v>0</v>
      </c>
      <c r="T12" s="34"/>
      <c r="U12" s="35">
        <f t="shared" si="6"/>
        <v>0</v>
      </c>
      <c r="V12" s="34"/>
      <c r="W12" s="35">
        <f t="shared" si="74"/>
        <v>0</v>
      </c>
      <c r="X12" s="34"/>
      <c r="Y12" s="35">
        <f t="shared" si="75"/>
        <v>0</v>
      </c>
      <c r="Z12" s="34"/>
      <c r="AA12" s="35">
        <f t="shared" si="76"/>
        <v>0</v>
      </c>
      <c r="AB12" s="34"/>
      <c r="AC12" s="35">
        <f t="shared" si="77"/>
        <v>0</v>
      </c>
      <c r="AD12" s="34"/>
      <c r="AE12" s="35">
        <f t="shared" si="78"/>
        <v>0</v>
      </c>
      <c r="AF12" s="34"/>
      <c r="AG12" s="35">
        <f t="shared" si="79"/>
        <v>0</v>
      </c>
      <c r="AH12" s="34"/>
      <c r="AI12" s="35">
        <f t="shared" si="80"/>
        <v>0</v>
      </c>
      <c r="AJ12" s="34"/>
      <c r="AK12" s="35">
        <f t="shared" si="81"/>
        <v>0</v>
      </c>
      <c r="AL12" s="34"/>
      <c r="AM12" s="35">
        <f t="shared" si="82"/>
        <v>0</v>
      </c>
      <c r="AN12" s="34"/>
      <c r="AO12" s="35">
        <f t="shared" si="83"/>
        <v>0</v>
      </c>
      <c r="AP12" s="34"/>
      <c r="AQ12" s="35">
        <f t="shared" si="84"/>
        <v>0</v>
      </c>
      <c r="AR12" s="34"/>
      <c r="AS12" s="35">
        <f t="shared" si="85"/>
        <v>0</v>
      </c>
      <c r="AT12" s="34"/>
      <c r="AU12" s="35">
        <f t="shared" si="86"/>
        <v>0</v>
      </c>
      <c r="AV12" s="34"/>
      <c r="AW12" s="35">
        <f t="shared" si="87"/>
        <v>0</v>
      </c>
      <c r="AX12" s="34"/>
      <c r="AY12" s="35">
        <f t="shared" si="88"/>
        <v>0</v>
      </c>
      <c r="AZ12" s="34"/>
      <c r="BA12" s="35">
        <f t="shared" si="89"/>
        <v>0</v>
      </c>
      <c r="BB12" s="34"/>
      <c r="BC12" s="35">
        <f t="shared" si="90"/>
        <v>0</v>
      </c>
      <c r="BD12" s="34"/>
      <c r="BE12" s="35">
        <f t="shared" si="91"/>
        <v>0</v>
      </c>
      <c r="BF12" s="34"/>
      <c r="BG12" s="35">
        <f t="shared" si="92"/>
        <v>0</v>
      </c>
      <c r="BH12" s="34"/>
      <c r="BI12" s="35">
        <f t="shared" si="93"/>
        <v>0</v>
      </c>
      <c r="BJ12" s="34"/>
      <c r="BK12" s="35">
        <f t="shared" si="94"/>
        <v>0</v>
      </c>
      <c r="BL12" s="34"/>
      <c r="BM12" s="35">
        <f t="shared" si="95"/>
        <v>0</v>
      </c>
      <c r="BN12" s="34"/>
      <c r="BO12" s="35">
        <f t="shared" si="96"/>
        <v>0</v>
      </c>
      <c r="BP12" s="34"/>
      <c r="BQ12" s="35">
        <f t="shared" si="97"/>
        <v>0</v>
      </c>
      <c r="BR12" s="34"/>
      <c r="BS12" s="35">
        <f t="shared" si="98"/>
        <v>0</v>
      </c>
      <c r="BT12" s="34"/>
      <c r="BU12" s="35">
        <f t="shared" si="99"/>
        <v>0</v>
      </c>
      <c r="BV12" s="34"/>
      <c r="BW12" s="35">
        <f t="shared" si="100"/>
        <v>0</v>
      </c>
      <c r="BX12" s="34"/>
      <c r="BY12" s="35">
        <f t="shared" si="101"/>
        <v>0</v>
      </c>
      <c r="BZ12" s="34"/>
      <c r="CA12" s="35">
        <f t="shared" si="102"/>
        <v>0</v>
      </c>
    </row>
    <row r="13" spans="2:79" ht="19.5" customHeight="1" x14ac:dyDescent="0.25">
      <c r="B13" s="49" t="s">
        <v>52</v>
      </c>
      <c r="C13" s="61">
        <v>13677682.464218041</v>
      </c>
      <c r="D13" s="50">
        <f t="shared" si="65"/>
        <v>0.19949076795986309</v>
      </c>
      <c r="E13" s="65">
        <f>C13/'DISTRIBUIÇÃO CUSTO'!C$30</f>
        <v>1901.8864214863424</v>
      </c>
      <c r="F13" s="73">
        <f t="shared" si="66"/>
        <v>1.0000000000000002</v>
      </c>
      <c r="H13" s="51"/>
      <c r="I13" s="52">
        <f t="shared" si="0"/>
        <v>0</v>
      </c>
      <c r="J13" s="53"/>
      <c r="K13" s="52">
        <f t="shared" si="1"/>
        <v>0</v>
      </c>
      <c r="L13" s="53"/>
      <c r="M13" s="52">
        <f t="shared" si="69"/>
        <v>0</v>
      </c>
      <c r="N13" s="53"/>
      <c r="O13" s="52">
        <f t="shared" si="71"/>
        <v>0</v>
      </c>
      <c r="P13" s="53"/>
      <c r="Q13" s="52">
        <f t="shared" si="72"/>
        <v>0</v>
      </c>
      <c r="R13" s="53"/>
      <c r="S13" s="52">
        <f t="shared" si="73"/>
        <v>0</v>
      </c>
      <c r="T13" s="53"/>
      <c r="U13" s="52">
        <f t="shared" si="6"/>
        <v>0</v>
      </c>
      <c r="V13" s="53"/>
      <c r="W13" s="52">
        <f t="shared" si="74"/>
        <v>0</v>
      </c>
      <c r="X13" s="53">
        <f>100%/11</f>
        <v>9.0909090909090912E-2</v>
      </c>
      <c r="Y13" s="52">
        <f t="shared" si="75"/>
        <v>1243425.6785652766</v>
      </c>
      <c r="Z13" s="53">
        <f t="shared" ref="Z13" si="111">100%/11</f>
        <v>9.0909090909090912E-2</v>
      </c>
      <c r="AA13" s="52">
        <f t="shared" si="76"/>
        <v>1243425.6785652766</v>
      </c>
      <c r="AB13" s="53">
        <f t="shared" ref="AB13" si="112">100%/11</f>
        <v>9.0909090909090912E-2</v>
      </c>
      <c r="AC13" s="52">
        <f t="shared" si="77"/>
        <v>1243425.6785652766</v>
      </c>
      <c r="AD13" s="53">
        <f t="shared" ref="AD13" si="113">100%/11</f>
        <v>9.0909090909090912E-2</v>
      </c>
      <c r="AE13" s="52">
        <f t="shared" si="78"/>
        <v>1243425.6785652766</v>
      </c>
      <c r="AF13" s="53">
        <f t="shared" ref="AF13" si="114">100%/11</f>
        <v>9.0909090909090912E-2</v>
      </c>
      <c r="AG13" s="52">
        <f t="shared" si="79"/>
        <v>1243425.6785652766</v>
      </c>
      <c r="AH13" s="53">
        <f t="shared" ref="AH13" si="115">100%/11</f>
        <v>9.0909090909090912E-2</v>
      </c>
      <c r="AI13" s="52">
        <f t="shared" si="80"/>
        <v>1243425.6785652766</v>
      </c>
      <c r="AJ13" s="53">
        <f t="shared" ref="AJ13" si="116">100%/11</f>
        <v>9.0909090909090912E-2</v>
      </c>
      <c r="AK13" s="52">
        <f t="shared" si="81"/>
        <v>1243425.6785652766</v>
      </c>
      <c r="AL13" s="53">
        <f t="shared" ref="AL13" si="117">100%/11</f>
        <v>9.0909090909090912E-2</v>
      </c>
      <c r="AM13" s="52">
        <f t="shared" si="82"/>
        <v>1243425.6785652766</v>
      </c>
      <c r="AN13" s="53">
        <f t="shared" ref="AN13" si="118">100%/11</f>
        <v>9.0909090909090912E-2</v>
      </c>
      <c r="AO13" s="52">
        <f t="shared" si="83"/>
        <v>1243425.6785652766</v>
      </c>
      <c r="AP13" s="53">
        <f t="shared" ref="AP13" si="119">100%/11</f>
        <v>9.0909090909090912E-2</v>
      </c>
      <c r="AQ13" s="52">
        <f t="shared" si="84"/>
        <v>1243425.6785652766</v>
      </c>
      <c r="AR13" s="53">
        <f t="shared" ref="AR13" si="120">100%/11</f>
        <v>9.0909090909090912E-2</v>
      </c>
      <c r="AS13" s="52">
        <f t="shared" si="85"/>
        <v>1243425.6785652766</v>
      </c>
      <c r="AT13" s="53"/>
      <c r="AU13" s="52">
        <f t="shared" si="86"/>
        <v>0</v>
      </c>
      <c r="AV13" s="53"/>
      <c r="AW13" s="52">
        <f t="shared" si="87"/>
        <v>0</v>
      </c>
      <c r="AX13" s="53"/>
      <c r="AY13" s="52">
        <f t="shared" si="88"/>
        <v>0</v>
      </c>
      <c r="AZ13" s="53"/>
      <c r="BA13" s="52">
        <f t="shared" si="89"/>
        <v>0</v>
      </c>
      <c r="BB13" s="53"/>
      <c r="BC13" s="52">
        <f t="shared" si="90"/>
        <v>0</v>
      </c>
      <c r="BD13" s="53"/>
      <c r="BE13" s="52">
        <f t="shared" si="91"/>
        <v>0</v>
      </c>
      <c r="BF13" s="53"/>
      <c r="BG13" s="52">
        <f t="shared" si="92"/>
        <v>0</v>
      </c>
      <c r="BH13" s="53"/>
      <c r="BI13" s="52">
        <f t="shared" si="93"/>
        <v>0</v>
      </c>
      <c r="BJ13" s="53"/>
      <c r="BK13" s="52">
        <f t="shared" si="94"/>
        <v>0</v>
      </c>
      <c r="BL13" s="53"/>
      <c r="BM13" s="52">
        <f t="shared" si="95"/>
        <v>0</v>
      </c>
      <c r="BN13" s="53"/>
      <c r="BO13" s="52">
        <f t="shared" si="96"/>
        <v>0</v>
      </c>
      <c r="BP13" s="53"/>
      <c r="BQ13" s="52">
        <f t="shared" si="97"/>
        <v>0</v>
      </c>
      <c r="BR13" s="53"/>
      <c r="BS13" s="52">
        <f t="shared" si="98"/>
        <v>0</v>
      </c>
      <c r="BT13" s="53"/>
      <c r="BU13" s="52">
        <f t="shared" si="99"/>
        <v>0</v>
      </c>
      <c r="BV13" s="53"/>
      <c r="BW13" s="52">
        <f t="shared" si="100"/>
        <v>0</v>
      </c>
      <c r="BX13" s="53"/>
      <c r="BY13" s="52">
        <f t="shared" si="101"/>
        <v>0</v>
      </c>
      <c r="BZ13" s="53"/>
      <c r="CA13" s="52">
        <f t="shared" si="102"/>
        <v>0</v>
      </c>
    </row>
    <row r="14" spans="2:79" ht="19.5" customHeight="1" x14ac:dyDescent="0.25">
      <c r="B14" s="42" t="s">
        <v>72</v>
      </c>
      <c r="C14" s="62">
        <v>2332924.32846</v>
      </c>
      <c r="D14" s="27">
        <f t="shared" si="65"/>
        <v>3.4026003096229961E-2</v>
      </c>
      <c r="E14" s="66">
        <f>C14/'DISTRIBUIÇÃO CUSTO'!C$30</f>
        <v>324.3939252326312</v>
      </c>
      <c r="F14" s="74">
        <f t="shared" si="66"/>
        <v>1</v>
      </c>
      <c r="H14" s="26"/>
      <c r="I14" s="35">
        <f t="shared" si="0"/>
        <v>0</v>
      </c>
      <c r="J14" s="34"/>
      <c r="K14" s="35">
        <f t="shared" si="1"/>
        <v>0</v>
      </c>
      <c r="L14" s="34"/>
      <c r="M14" s="35">
        <f t="shared" si="69"/>
        <v>0</v>
      </c>
      <c r="N14" s="34"/>
      <c r="O14" s="35">
        <f t="shared" si="71"/>
        <v>0</v>
      </c>
      <c r="P14" s="34"/>
      <c r="Q14" s="35">
        <f t="shared" si="72"/>
        <v>0</v>
      </c>
      <c r="R14" s="34"/>
      <c r="S14" s="35">
        <f t="shared" si="73"/>
        <v>0</v>
      </c>
      <c r="T14" s="34"/>
      <c r="U14" s="35">
        <f t="shared" si="6"/>
        <v>0</v>
      </c>
      <c r="V14" s="34"/>
      <c r="W14" s="35">
        <f t="shared" si="74"/>
        <v>0</v>
      </c>
      <c r="X14" s="34"/>
      <c r="Y14" s="35">
        <f t="shared" si="75"/>
        <v>0</v>
      </c>
      <c r="Z14" s="34"/>
      <c r="AA14" s="35">
        <f t="shared" si="76"/>
        <v>0</v>
      </c>
      <c r="AB14" s="34"/>
      <c r="AC14" s="35">
        <f t="shared" si="77"/>
        <v>0</v>
      </c>
      <c r="AD14" s="34">
        <f>100%/16</f>
        <v>6.25E-2</v>
      </c>
      <c r="AE14" s="35">
        <f t="shared" si="78"/>
        <v>145807.77052875</v>
      </c>
      <c r="AF14" s="34">
        <f t="shared" ref="AF14" si="121">100%/16</f>
        <v>6.25E-2</v>
      </c>
      <c r="AG14" s="35">
        <f t="shared" si="79"/>
        <v>145807.77052875</v>
      </c>
      <c r="AH14" s="34">
        <f t="shared" ref="AH14" si="122">100%/16</f>
        <v>6.25E-2</v>
      </c>
      <c r="AI14" s="35">
        <f t="shared" si="80"/>
        <v>145807.77052875</v>
      </c>
      <c r="AJ14" s="34">
        <f t="shared" ref="AJ14" si="123">100%/16</f>
        <v>6.25E-2</v>
      </c>
      <c r="AK14" s="35">
        <f t="shared" si="81"/>
        <v>145807.77052875</v>
      </c>
      <c r="AL14" s="34">
        <f t="shared" ref="AL14" si="124">100%/16</f>
        <v>6.25E-2</v>
      </c>
      <c r="AM14" s="35">
        <f t="shared" si="82"/>
        <v>145807.77052875</v>
      </c>
      <c r="AN14" s="34">
        <f t="shared" ref="AN14" si="125">100%/16</f>
        <v>6.25E-2</v>
      </c>
      <c r="AO14" s="35">
        <f t="shared" si="83"/>
        <v>145807.77052875</v>
      </c>
      <c r="AP14" s="34">
        <f t="shared" ref="AP14" si="126">100%/16</f>
        <v>6.25E-2</v>
      </c>
      <c r="AQ14" s="35">
        <f t="shared" si="84"/>
        <v>145807.77052875</v>
      </c>
      <c r="AR14" s="34">
        <f t="shared" ref="AR14" si="127">100%/16</f>
        <v>6.25E-2</v>
      </c>
      <c r="AS14" s="35">
        <f t="shared" si="85"/>
        <v>145807.77052875</v>
      </c>
      <c r="AT14" s="34">
        <f t="shared" ref="AT14" si="128">100%/16</f>
        <v>6.25E-2</v>
      </c>
      <c r="AU14" s="35">
        <f t="shared" si="86"/>
        <v>145807.77052875</v>
      </c>
      <c r="AV14" s="34">
        <f t="shared" ref="AV14" si="129">100%/16</f>
        <v>6.25E-2</v>
      </c>
      <c r="AW14" s="35">
        <f t="shared" si="87"/>
        <v>145807.77052875</v>
      </c>
      <c r="AX14" s="34">
        <f t="shared" ref="AX14" si="130">100%/16</f>
        <v>6.25E-2</v>
      </c>
      <c r="AY14" s="35">
        <f t="shared" si="88"/>
        <v>145807.77052875</v>
      </c>
      <c r="AZ14" s="34">
        <f t="shared" ref="AZ14" si="131">100%/16</f>
        <v>6.25E-2</v>
      </c>
      <c r="BA14" s="35">
        <f t="shared" si="89"/>
        <v>145807.77052875</v>
      </c>
      <c r="BB14" s="34">
        <f t="shared" ref="BB14" si="132">100%/16</f>
        <v>6.25E-2</v>
      </c>
      <c r="BC14" s="35">
        <f t="shared" si="90"/>
        <v>145807.77052875</v>
      </c>
      <c r="BD14" s="34">
        <f t="shared" ref="BD14" si="133">100%/16</f>
        <v>6.25E-2</v>
      </c>
      <c r="BE14" s="35">
        <f t="shared" si="91"/>
        <v>145807.77052875</v>
      </c>
      <c r="BF14" s="34">
        <f t="shared" ref="BF14" si="134">100%/16</f>
        <v>6.25E-2</v>
      </c>
      <c r="BG14" s="35">
        <f t="shared" si="92"/>
        <v>145807.77052875</v>
      </c>
      <c r="BH14" s="34">
        <f t="shared" ref="BH14" si="135">100%/16</f>
        <v>6.25E-2</v>
      </c>
      <c r="BI14" s="35">
        <f t="shared" si="93"/>
        <v>145807.77052875</v>
      </c>
      <c r="BJ14" s="34"/>
      <c r="BK14" s="35">
        <f t="shared" si="94"/>
        <v>0</v>
      </c>
      <c r="BL14" s="34"/>
      <c r="BM14" s="35">
        <f t="shared" si="95"/>
        <v>0</v>
      </c>
      <c r="BN14" s="34"/>
      <c r="BO14" s="35">
        <f t="shared" si="96"/>
        <v>0</v>
      </c>
      <c r="BP14" s="34"/>
      <c r="BQ14" s="35">
        <f t="shared" si="97"/>
        <v>0</v>
      </c>
      <c r="BR14" s="34"/>
      <c r="BS14" s="35">
        <f t="shared" si="98"/>
        <v>0</v>
      </c>
      <c r="BT14" s="34"/>
      <c r="BU14" s="35">
        <f t="shared" si="99"/>
        <v>0</v>
      </c>
      <c r="BV14" s="34"/>
      <c r="BW14" s="35">
        <f t="shared" si="100"/>
        <v>0</v>
      </c>
      <c r="BX14" s="34"/>
      <c r="BY14" s="35">
        <f t="shared" si="101"/>
        <v>0</v>
      </c>
      <c r="BZ14" s="34"/>
      <c r="CA14" s="35">
        <f t="shared" si="102"/>
        <v>0</v>
      </c>
    </row>
    <row r="15" spans="2:79" ht="19.5" customHeight="1" x14ac:dyDescent="0.25">
      <c r="B15" s="49" t="s">
        <v>53</v>
      </c>
      <c r="C15" s="61">
        <v>3037748.7360000005</v>
      </c>
      <c r="D15" s="50">
        <f t="shared" si="65"/>
        <v>4.4305958249805662E-2</v>
      </c>
      <c r="E15" s="65">
        <f>C15/'DISTRIBUIÇÃO CUSTO'!C$30</f>
        <v>422.40000000000003</v>
      </c>
      <c r="F15" s="73">
        <f t="shared" si="66"/>
        <v>0.99999999999999967</v>
      </c>
      <c r="H15" s="51"/>
      <c r="I15" s="52">
        <f t="shared" si="0"/>
        <v>0</v>
      </c>
      <c r="J15" s="53"/>
      <c r="K15" s="52">
        <f t="shared" si="1"/>
        <v>0</v>
      </c>
      <c r="L15" s="53"/>
      <c r="M15" s="52">
        <f t="shared" si="69"/>
        <v>0</v>
      </c>
      <c r="N15" s="53"/>
      <c r="O15" s="52">
        <f t="shared" si="71"/>
        <v>0</v>
      </c>
      <c r="P15" s="53"/>
      <c r="Q15" s="52">
        <f t="shared" si="72"/>
        <v>0</v>
      </c>
      <c r="R15" s="53"/>
      <c r="S15" s="52">
        <f t="shared" si="73"/>
        <v>0</v>
      </c>
      <c r="T15" s="53"/>
      <c r="U15" s="52">
        <f t="shared" si="6"/>
        <v>0</v>
      </c>
      <c r="V15" s="53"/>
      <c r="W15" s="52">
        <f t="shared" si="74"/>
        <v>0</v>
      </c>
      <c r="X15" s="53"/>
      <c r="Y15" s="52">
        <f t="shared" si="75"/>
        <v>0</v>
      </c>
      <c r="Z15" s="53"/>
      <c r="AA15" s="52">
        <f t="shared" si="76"/>
        <v>0</v>
      </c>
      <c r="AB15" s="53"/>
      <c r="AC15" s="52">
        <f t="shared" si="77"/>
        <v>0</v>
      </c>
      <c r="AD15" s="53"/>
      <c r="AE15" s="52">
        <f t="shared" si="78"/>
        <v>0</v>
      </c>
      <c r="AF15" s="53">
        <f>100%/14</f>
        <v>7.1428571428571425E-2</v>
      </c>
      <c r="AG15" s="52">
        <f t="shared" si="79"/>
        <v>216982.05257142859</v>
      </c>
      <c r="AH15" s="53">
        <f t="shared" ref="AH15" si="136">100%/14</f>
        <v>7.1428571428571425E-2</v>
      </c>
      <c r="AI15" s="52">
        <f t="shared" si="80"/>
        <v>216982.05257142859</v>
      </c>
      <c r="AJ15" s="53">
        <f t="shared" ref="AJ15" si="137">100%/14</f>
        <v>7.1428571428571425E-2</v>
      </c>
      <c r="AK15" s="52">
        <f t="shared" si="81"/>
        <v>216982.05257142859</v>
      </c>
      <c r="AL15" s="53">
        <f t="shared" ref="AL15" si="138">100%/14</f>
        <v>7.1428571428571425E-2</v>
      </c>
      <c r="AM15" s="52">
        <f t="shared" si="82"/>
        <v>216982.05257142859</v>
      </c>
      <c r="AN15" s="53">
        <f t="shared" ref="AN15" si="139">100%/14</f>
        <v>7.1428571428571425E-2</v>
      </c>
      <c r="AO15" s="52">
        <f t="shared" si="83"/>
        <v>216982.05257142859</v>
      </c>
      <c r="AP15" s="53">
        <f t="shared" ref="AP15" si="140">100%/14</f>
        <v>7.1428571428571425E-2</v>
      </c>
      <c r="AQ15" s="52">
        <f t="shared" si="84"/>
        <v>216982.05257142859</v>
      </c>
      <c r="AR15" s="53">
        <f t="shared" ref="AR15" si="141">100%/14</f>
        <v>7.1428571428571425E-2</v>
      </c>
      <c r="AS15" s="52">
        <f t="shared" si="85"/>
        <v>216982.05257142859</v>
      </c>
      <c r="AT15" s="53">
        <f t="shared" ref="AT15" si="142">100%/14</f>
        <v>7.1428571428571425E-2</v>
      </c>
      <c r="AU15" s="52">
        <f t="shared" si="86"/>
        <v>216982.05257142859</v>
      </c>
      <c r="AV15" s="53">
        <f t="shared" ref="AV15" si="143">100%/14</f>
        <v>7.1428571428571425E-2</v>
      </c>
      <c r="AW15" s="52">
        <f t="shared" si="87"/>
        <v>216982.05257142859</v>
      </c>
      <c r="AX15" s="53">
        <f t="shared" ref="AX15" si="144">100%/14</f>
        <v>7.1428571428571425E-2</v>
      </c>
      <c r="AY15" s="52">
        <f t="shared" si="88"/>
        <v>216982.05257142859</v>
      </c>
      <c r="AZ15" s="53">
        <f t="shared" ref="AZ15" si="145">100%/14</f>
        <v>7.1428571428571425E-2</v>
      </c>
      <c r="BA15" s="52">
        <f t="shared" si="89"/>
        <v>216982.05257142859</v>
      </c>
      <c r="BB15" s="53">
        <f t="shared" ref="BB15" si="146">100%/14</f>
        <v>7.1428571428571425E-2</v>
      </c>
      <c r="BC15" s="52">
        <f t="shared" si="90"/>
        <v>216982.05257142859</v>
      </c>
      <c r="BD15" s="53">
        <f t="shared" ref="BD15" si="147">100%/14</f>
        <v>7.1428571428571425E-2</v>
      </c>
      <c r="BE15" s="52">
        <f t="shared" si="91"/>
        <v>216982.05257142859</v>
      </c>
      <c r="BF15" s="53">
        <f t="shared" ref="BF15" si="148">100%/14</f>
        <v>7.1428571428571425E-2</v>
      </c>
      <c r="BG15" s="52">
        <f t="shared" si="92"/>
        <v>216982.05257142859</v>
      </c>
      <c r="BH15" s="53"/>
      <c r="BI15" s="52">
        <f t="shared" si="93"/>
        <v>0</v>
      </c>
      <c r="BJ15" s="53"/>
      <c r="BK15" s="52">
        <f t="shared" si="94"/>
        <v>0</v>
      </c>
      <c r="BL15" s="53"/>
      <c r="BM15" s="52">
        <f t="shared" si="95"/>
        <v>0</v>
      </c>
      <c r="BN15" s="53"/>
      <c r="BO15" s="52">
        <f t="shared" si="96"/>
        <v>0</v>
      </c>
      <c r="BP15" s="53"/>
      <c r="BQ15" s="52">
        <f t="shared" si="97"/>
        <v>0</v>
      </c>
      <c r="BR15" s="53"/>
      <c r="BS15" s="52">
        <f t="shared" si="98"/>
        <v>0</v>
      </c>
      <c r="BT15" s="53"/>
      <c r="BU15" s="52">
        <f t="shared" si="99"/>
        <v>0</v>
      </c>
      <c r="BV15" s="53"/>
      <c r="BW15" s="52">
        <f t="shared" si="100"/>
        <v>0</v>
      </c>
      <c r="BX15" s="53"/>
      <c r="BY15" s="52">
        <f t="shared" si="101"/>
        <v>0</v>
      </c>
      <c r="BZ15" s="53"/>
      <c r="CA15" s="52">
        <f t="shared" si="102"/>
        <v>0</v>
      </c>
    </row>
    <row r="16" spans="2:79" ht="19.5" customHeight="1" x14ac:dyDescent="0.25">
      <c r="B16" s="42" t="s">
        <v>54</v>
      </c>
      <c r="C16" s="62">
        <v>5378764.2659999998</v>
      </c>
      <c r="D16" s="27">
        <f t="shared" si="65"/>
        <v>7.8449972567099943E-2</v>
      </c>
      <c r="E16" s="66">
        <f>C16/'DISTRIBUIÇÃO CUSTO'!C$30</f>
        <v>747.91900957222549</v>
      </c>
      <c r="F16" s="74">
        <f t="shared" si="66"/>
        <v>1.0000000000000002</v>
      </c>
      <c r="H16" s="26"/>
      <c r="I16" s="35">
        <f t="shared" si="0"/>
        <v>0</v>
      </c>
      <c r="J16" s="34"/>
      <c r="K16" s="35">
        <f t="shared" si="1"/>
        <v>0</v>
      </c>
      <c r="L16" s="34"/>
      <c r="M16" s="35">
        <f t="shared" si="69"/>
        <v>0</v>
      </c>
      <c r="N16" s="34"/>
      <c r="O16" s="35">
        <f t="shared" si="71"/>
        <v>0</v>
      </c>
      <c r="P16" s="34"/>
      <c r="Q16" s="35">
        <f t="shared" si="72"/>
        <v>0</v>
      </c>
      <c r="R16" s="34"/>
      <c r="S16" s="35">
        <f t="shared" si="73"/>
        <v>0</v>
      </c>
      <c r="T16" s="34"/>
      <c r="U16" s="35">
        <f t="shared" si="6"/>
        <v>0</v>
      </c>
      <c r="V16" s="34"/>
      <c r="W16" s="35">
        <f t="shared" si="74"/>
        <v>0</v>
      </c>
      <c r="X16" s="34"/>
      <c r="Y16" s="35">
        <f t="shared" si="75"/>
        <v>0</v>
      </c>
      <c r="Z16" s="34"/>
      <c r="AA16" s="35">
        <f t="shared" si="76"/>
        <v>0</v>
      </c>
      <c r="AB16" s="34"/>
      <c r="AC16" s="35">
        <f t="shared" si="77"/>
        <v>0</v>
      </c>
      <c r="AD16" s="34"/>
      <c r="AE16" s="35">
        <f t="shared" si="78"/>
        <v>0</v>
      </c>
      <c r="AF16" s="34"/>
      <c r="AG16" s="35">
        <f t="shared" si="79"/>
        <v>0</v>
      </c>
      <c r="AH16" s="34"/>
      <c r="AI16" s="35">
        <f t="shared" si="80"/>
        <v>0</v>
      </c>
      <c r="AJ16" s="34"/>
      <c r="AK16" s="35">
        <f t="shared" si="81"/>
        <v>0</v>
      </c>
      <c r="AL16" s="34"/>
      <c r="AM16" s="35">
        <f t="shared" si="82"/>
        <v>0</v>
      </c>
      <c r="AN16" s="34"/>
      <c r="AO16" s="35">
        <f t="shared" si="83"/>
        <v>0</v>
      </c>
      <c r="AP16" s="34"/>
      <c r="AQ16" s="35">
        <f t="shared" si="84"/>
        <v>0</v>
      </c>
      <c r="AR16" s="34"/>
      <c r="AS16" s="35">
        <f t="shared" si="85"/>
        <v>0</v>
      </c>
      <c r="AT16" s="34">
        <f>100%/9</f>
        <v>0.1111111111111111</v>
      </c>
      <c r="AU16" s="35">
        <f t="shared" si="86"/>
        <v>597640.47399999993</v>
      </c>
      <c r="AV16" s="34">
        <f t="shared" ref="AV16" si="149">100%/9</f>
        <v>0.1111111111111111</v>
      </c>
      <c r="AW16" s="35">
        <f t="shared" si="87"/>
        <v>597640.47399999993</v>
      </c>
      <c r="AX16" s="34">
        <f t="shared" ref="AX16" si="150">100%/9</f>
        <v>0.1111111111111111</v>
      </c>
      <c r="AY16" s="35">
        <f t="shared" si="88"/>
        <v>597640.47399999993</v>
      </c>
      <c r="AZ16" s="34">
        <f t="shared" ref="AZ16" si="151">100%/9</f>
        <v>0.1111111111111111</v>
      </c>
      <c r="BA16" s="35">
        <f t="shared" si="89"/>
        <v>597640.47399999993</v>
      </c>
      <c r="BB16" s="34">
        <f t="shared" ref="BB16" si="152">100%/9</f>
        <v>0.1111111111111111</v>
      </c>
      <c r="BC16" s="35">
        <f t="shared" si="90"/>
        <v>597640.47399999993</v>
      </c>
      <c r="BD16" s="34">
        <f t="shared" ref="BD16" si="153">100%/9</f>
        <v>0.1111111111111111</v>
      </c>
      <c r="BE16" s="35">
        <f t="shared" si="91"/>
        <v>597640.47399999993</v>
      </c>
      <c r="BF16" s="34">
        <f t="shared" ref="BF16" si="154">100%/9</f>
        <v>0.1111111111111111</v>
      </c>
      <c r="BG16" s="35">
        <f t="shared" si="92"/>
        <v>597640.47399999993</v>
      </c>
      <c r="BH16" s="34">
        <f t="shared" ref="BH16" si="155">100%/9</f>
        <v>0.1111111111111111</v>
      </c>
      <c r="BI16" s="35">
        <f t="shared" si="93"/>
        <v>597640.47399999993</v>
      </c>
      <c r="BJ16" s="34">
        <f t="shared" ref="BJ16" si="156">100%/9</f>
        <v>0.1111111111111111</v>
      </c>
      <c r="BK16" s="35">
        <f t="shared" si="94"/>
        <v>597640.47399999993</v>
      </c>
      <c r="BL16" s="34"/>
      <c r="BM16" s="35">
        <f t="shared" si="95"/>
        <v>0</v>
      </c>
      <c r="BN16" s="34"/>
      <c r="BO16" s="35">
        <f t="shared" si="96"/>
        <v>0</v>
      </c>
      <c r="BP16" s="34"/>
      <c r="BQ16" s="35">
        <f t="shared" si="97"/>
        <v>0</v>
      </c>
      <c r="BR16" s="34"/>
      <c r="BS16" s="35">
        <f t="shared" si="98"/>
        <v>0</v>
      </c>
      <c r="BT16" s="34"/>
      <c r="BU16" s="35">
        <f t="shared" si="99"/>
        <v>0</v>
      </c>
      <c r="BV16" s="34"/>
      <c r="BW16" s="35">
        <f t="shared" si="100"/>
        <v>0</v>
      </c>
      <c r="BX16" s="34"/>
      <c r="BY16" s="35">
        <f t="shared" si="101"/>
        <v>0</v>
      </c>
      <c r="BZ16" s="34"/>
      <c r="CA16" s="35">
        <f t="shared" si="102"/>
        <v>0</v>
      </c>
    </row>
    <row r="17" spans="2:80" ht="19.5" customHeight="1" x14ac:dyDescent="0.25">
      <c r="B17" s="47" t="s">
        <v>55</v>
      </c>
      <c r="C17" s="63">
        <v>673400.78621200006</v>
      </c>
      <c r="D17" s="48">
        <f t="shared" si="65"/>
        <v>9.8216375718360848E-3</v>
      </c>
      <c r="E17" s="67">
        <f>C17/'DISTRIBUIÇÃO CUSTO'!C$30</f>
        <v>93.636609481564705</v>
      </c>
      <c r="F17" s="73">
        <f t="shared" si="66"/>
        <v>0.99999999999999978</v>
      </c>
      <c r="H17" s="51"/>
      <c r="I17" s="52">
        <f t="shared" si="0"/>
        <v>0</v>
      </c>
      <c r="J17" s="53"/>
      <c r="K17" s="52">
        <f t="shared" si="1"/>
        <v>0</v>
      </c>
      <c r="L17" s="53"/>
      <c r="M17" s="52">
        <f t="shared" si="69"/>
        <v>0</v>
      </c>
      <c r="N17" s="53"/>
      <c r="O17" s="52">
        <f t="shared" si="71"/>
        <v>0</v>
      </c>
      <c r="P17" s="53"/>
      <c r="Q17" s="52">
        <f t="shared" si="72"/>
        <v>0</v>
      </c>
      <c r="R17" s="53"/>
      <c r="S17" s="52">
        <f t="shared" si="73"/>
        <v>0</v>
      </c>
      <c r="T17" s="53"/>
      <c r="U17" s="52">
        <f t="shared" si="6"/>
        <v>0</v>
      </c>
      <c r="V17" s="53"/>
      <c r="W17" s="52">
        <f t="shared" si="74"/>
        <v>0</v>
      </c>
      <c r="X17" s="53"/>
      <c r="Y17" s="52">
        <f t="shared" si="75"/>
        <v>0</v>
      </c>
      <c r="Z17" s="53"/>
      <c r="AA17" s="52">
        <f t="shared" si="76"/>
        <v>0</v>
      </c>
      <c r="AB17" s="53"/>
      <c r="AC17" s="52">
        <f t="shared" si="77"/>
        <v>0</v>
      </c>
      <c r="AD17" s="53"/>
      <c r="AE17" s="52">
        <f t="shared" si="78"/>
        <v>0</v>
      </c>
      <c r="AF17" s="53"/>
      <c r="AG17" s="52">
        <f t="shared" si="79"/>
        <v>0</v>
      </c>
      <c r="AH17" s="53"/>
      <c r="AI17" s="52">
        <f t="shared" si="80"/>
        <v>0</v>
      </c>
      <c r="AJ17" s="53"/>
      <c r="AK17" s="52">
        <f t="shared" si="81"/>
        <v>0</v>
      </c>
      <c r="AL17" s="53">
        <f>100%/13</f>
        <v>7.6923076923076927E-2</v>
      </c>
      <c r="AM17" s="52">
        <f t="shared" si="82"/>
        <v>51800.060477846164</v>
      </c>
      <c r="AN17" s="53">
        <f t="shared" ref="AN17:AN18" si="157">100%/13</f>
        <v>7.6923076923076927E-2</v>
      </c>
      <c r="AO17" s="52">
        <f t="shared" si="83"/>
        <v>51800.060477846164</v>
      </c>
      <c r="AP17" s="53">
        <f t="shared" ref="AP17:AP18" si="158">100%/13</f>
        <v>7.6923076923076927E-2</v>
      </c>
      <c r="AQ17" s="52">
        <f t="shared" si="84"/>
        <v>51800.060477846164</v>
      </c>
      <c r="AR17" s="53">
        <f t="shared" ref="AR17:AR19" si="159">100%/13</f>
        <v>7.6923076923076927E-2</v>
      </c>
      <c r="AS17" s="52">
        <f t="shared" si="85"/>
        <v>51800.060477846164</v>
      </c>
      <c r="AT17" s="53">
        <f t="shared" ref="AT17:AT19" si="160">100%/13</f>
        <v>7.6923076923076927E-2</v>
      </c>
      <c r="AU17" s="52">
        <f t="shared" si="86"/>
        <v>51800.060477846164</v>
      </c>
      <c r="AV17" s="53">
        <f t="shared" ref="AV17:AV19" si="161">100%/13</f>
        <v>7.6923076923076927E-2</v>
      </c>
      <c r="AW17" s="52">
        <f t="shared" si="87"/>
        <v>51800.060477846164</v>
      </c>
      <c r="AX17" s="53">
        <f t="shared" ref="AX17:AX19" si="162">100%/13</f>
        <v>7.6923076923076927E-2</v>
      </c>
      <c r="AY17" s="52">
        <f t="shared" si="88"/>
        <v>51800.060477846164</v>
      </c>
      <c r="AZ17" s="53">
        <f t="shared" ref="AZ17:AZ19" si="163">100%/13</f>
        <v>7.6923076923076927E-2</v>
      </c>
      <c r="BA17" s="52">
        <f t="shared" si="89"/>
        <v>51800.060477846164</v>
      </c>
      <c r="BB17" s="53">
        <f t="shared" ref="BB17:BB19" si="164">100%/13</f>
        <v>7.6923076923076927E-2</v>
      </c>
      <c r="BC17" s="52">
        <f t="shared" si="90"/>
        <v>51800.060477846164</v>
      </c>
      <c r="BD17" s="53">
        <f t="shared" ref="BD17:BD19" si="165">100%/13</f>
        <v>7.6923076923076927E-2</v>
      </c>
      <c r="BE17" s="52">
        <f t="shared" si="91"/>
        <v>51800.060477846164</v>
      </c>
      <c r="BF17" s="53">
        <f t="shared" ref="BF17:BF19" si="166">100%/13</f>
        <v>7.6923076923076927E-2</v>
      </c>
      <c r="BG17" s="52">
        <f t="shared" si="92"/>
        <v>51800.060477846164</v>
      </c>
      <c r="BH17" s="53">
        <f t="shared" ref="BH17" si="167">100%/13</f>
        <v>7.6923076923076927E-2</v>
      </c>
      <c r="BI17" s="52">
        <f t="shared" si="93"/>
        <v>51800.060477846164</v>
      </c>
      <c r="BJ17" s="53">
        <f t="shared" ref="BJ17" si="168">100%/13</f>
        <v>7.6923076923076927E-2</v>
      </c>
      <c r="BK17" s="52">
        <f t="shared" si="94"/>
        <v>51800.060477846164</v>
      </c>
      <c r="BL17" s="53"/>
      <c r="BM17" s="52">
        <f t="shared" si="95"/>
        <v>0</v>
      </c>
      <c r="BN17" s="53"/>
      <c r="BO17" s="52">
        <f t="shared" si="96"/>
        <v>0</v>
      </c>
      <c r="BP17" s="53"/>
      <c r="BQ17" s="52">
        <f t="shared" si="97"/>
        <v>0</v>
      </c>
      <c r="BR17" s="53"/>
      <c r="BS17" s="52">
        <f t="shared" si="98"/>
        <v>0</v>
      </c>
      <c r="BT17" s="53"/>
      <c r="BU17" s="52">
        <f t="shared" si="99"/>
        <v>0</v>
      </c>
      <c r="BV17" s="53"/>
      <c r="BW17" s="52">
        <f t="shared" si="100"/>
        <v>0</v>
      </c>
      <c r="BX17" s="53"/>
      <c r="BY17" s="52">
        <f t="shared" si="101"/>
        <v>0</v>
      </c>
      <c r="BZ17" s="53"/>
      <c r="CA17" s="52">
        <f t="shared" si="102"/>
        <v>0</v>
      </c>
    </row>
    <row r="18" spans="2:80" ht="19.5" customHeight="1" x14ac:dyDescent="0.25">
      <c r="B18" s="43" t="s">
        <v>73</v>
      </c>
      <c r="C18" s="64">
        <v>1214241.1541474061</v>
      </c>
      <c r="D18" s="28">
        <f t="shared" si="65"/>
        <v>1.7709864296311176E-2</v>
      </c>
      <c r="E18" s="68">
        <f>C18/'DISTRIBUIÇÃO CUSTO'!C$30</f>
        <v>168.84064749450835</v>
      </c>
      <c r="F18" s="74">
        <f t="shared" si="66"/>
        <v>0.99999999999999978</v>
      </c>
      <c r="H18" s="26"/>
      <c r="I18" s="35">
        <f t="shared" si="0"/>
        <v>0</v>
      </c>
      <c r="J18" s="34"/>
      <c r="K18" s="35">
        <f t="shared" si="1"/>
        <v>0</v>
      </c>
      <c r="L18" s="34"/>
      <c r="M18" s="35">
        <f t="shared" si="69"/>
        <v>0</v>
      </c>
      <c r="N18" s="34"/>
      <c r="O18" s="35">
        <f t="shared" si="71"/>
        <v>0</v>
      </c>
      <c r="P18" s="34"/>
      <c r="Q18" s="35">
        <f t="shared" si="72"/>
        <v>0</v>
      </c>
      <c r="R18" s="34"/>
      <c r="S18" s="35">
        <f t="shared" si="73"/>
        <v>0</v>
      </c>
      <c r="T18" s="34"/>
      <c r="U18" s="35">
        <f t="shared" si="6"/>
        <v>0</v>
      </c>
      <c r="V18" s="34"/>
      <c r="W18" s="35">
        <f t="shared" si="74"/>
        <v>0</v>
      </c>
      <c r="X18" s="34"/>
      <c r="Y18" s="35">
        <f t="shared" si="75"/>
        <v>0</v>
      </c>
      <c r="Z18" s="34"/>
      <c r="AA18" s="35">
        <f t="shared" si="76"/>
        <v>0</v>
      </c>
      <c r="AB18" s="34"/>
      <c r="AC18" s="35">
        <f t="shared" si="77"/>
        <v>0</v>
      </c>
      <c r="AD18" s="34"/>
      <c r="AE18" s="35">
        <f t="shared" si="78"/>
        <v>0</v>
      </c>
      <c r="AF18" s="34"/>
      <c r="AG18" s="35">
        <f t="shared" si="79"/>
        <v>0</v>
      </c>
      <c r="AH18" s="34">
        <f>100%/13</f>
        <v>7.6923076923076927E-2</v>
      </c>
      <c r="AI18" s="35">
        <f t="shared" si="80"/>
        <v>93403.165703646635</v>
      </c>
      <c r="AJ18" s="34">
        <f t="shared" ref="AJ18" si="169">100%/13</f>
        <v>7.6923076923076927E-2</v>
      </c>
      <c r="AK18" s="35">
        <f t="shared" si="81"/>
        <v>93403.165703646635</v>
      </c>
      <c r="AL18" s="34">
        <f t="shared" ref="AL18" si="170">100%/13</f>
        <v>7.6923076923076927E-2</v>
      </c>
      <c r="AM18" s="35">
        <f t="shared" si="82"/>
        <v>93403.165703646635</v>
      </c>
      <c r="AN18" s="34">
        <f t="shared" si="157"/>
        <v>7.6923076923076927E-2</v>
      </c>
      <c r="AO18" s="35">
        <f t="shared" si="83"/>
        <v>93403.165703646635</v>
      </c>
      <c r="AP18" s="34">
        <f t="shared" si="158"/>
        <v>7.6923076923076927E-2</v>
      </c>
      <c r="AQ18" s="35">
        <f t="shared" si="84"/>
        <v>93403.165703646635</v>
      </c>
      <c r="AR18" s="34">
        <f t="shared" si="159"/>
        <v>7.6923076923076927E-2</v>
      </c>
      <c r="AS18" s="35">
        <f t="shared" si="85"/>
        <v>93403.165703646635</v>
      </c>
      <c r="AT18" s="34">
        <f t="shared" si="160"/>
        <v>7.6923076923076927E-2</v>
      </c>
      <c r="AU18" s="35">
        <f t="shared" si="86"/>
        <v>93403.165703646635</v>
      </c>
      <c r="AV18" s="34">
        <f t="shared" si="161"/>
        <v>7.6923076923076927E-2</v>
      </c>
      <c r="AW18" s="35">
        <f t="shared" si="87"/>
        <v>93403.165703646635</v>
      </c>
      <c r="AX18" s="34">
        <f t="shared" si="162"/>
        <v>7.6923076923076927E-2</v>
      </c>
      <c r="AY18" s="35">
        <f t="shared" si="88"/>
        <v>93403.165703646635</v>
      </c>
      <c r="AZ18" s="34">
        <f t="shared" si="163"/>
        <v>7.6923076923076927E-2</v>
      </c>
      <c r="BA18" s="35">
        <f t="shared" si="89"/>
        <v>93403.165703646635</v>
      </c>
      <c r="BB18" s="34">
        <f t="shared" si="164"/>
        <v>7.6923076923076927E-2</v>
      </c>
      <c r="BC18" s="35">
        <f t="shared" si="90"/>
        <v>93403.165703646635</v>
      </c>
      <c r="BD18" s="34">
        <f t="shared" si="165"/>
        <v>7.6923076923076927E-2</v>
      </c>
      <c r="BE18" s="35">
        <f t="shared" si="91"/>
        <v>93403.165703646635</v>
      </c>
      <c r="BF18" s="34">
        <f t="shared" si="166"/>
        <v>7.6923076923076927E-2</v>
      </c>
      <c r="BG18" s="35">
        <f t="shared" si="92"/>
        <v>93403.165703646635</v>
      </c>
      <c r="BH18" s="34"/>
      <c r="BI18" s="35">
        <f t="shared" si="93"/>
        <v>0</v>
      </c>
      <c r="BJ18" s="34"/>
      <c r="BK18" s="35">
        <f t="shared" si="94"/>
        <v>0</v>
      </c>
      <c r="BL18" s="34"/>
      <c r="BM18" s="35">
        <f t="shared" si="95"/>
        <v>0</v>
      </c>
      <c r="BN18" s="34"/>
      <c r="BO18" s="35">
        <f t="shared" si="96"/>
        <v>0</v>
      </c>
      <c r="BP18" s="34"/>
      <c r="BQ18" s="35">
        <f t="shared" si="97"/>
        <v>0</v>
      </c>
      <c r="BR18" s="34"/>
      <c r="BS18" s="35">
        <f t="shared" si="98"/>
        <v>0</v>
      </c>
      <c r="BT18" s="34"/>
      <c r="BU18" s="35">
        <f t="shared" si="99"/>
        <v>0</v>
      </c>
      <c r="BV18" s="34"/>
      <c r="BW18" s="35">
        <f t="shared" si="100"/>
        <v>0</v>
      </c>
      <c r="BX18" s="34"/>
      <c r="BY18" s="35">
        <f t="shared" si="101"/>
        <v>0</v>
      </c>
      <c r="BZ18" s="34"/>
      <c r="CA18" s="35">
        <f t="shared" si="102"/>
        <v>0</v>
      </c>
    </row>
    <row r="19" spans="2:80" ht="19.5" customHeight="1" x14ac:dyDescent="0.25">
      <c r="B19" s="47" t="s">
        <v>56</v>
      </c>
      <c r="C19" s="63">
        <v>1084571.2284000001</v>
      </c>
      <c r="D19" s="48">
        <f t="shared" si="65"/>
        <v>1.5818611656375926E-2</v>
      </c>
      <c r="E19" s="67">
        <f>C19/'DISTRIBUIÇÃO CUSTO'!C$30</f>
        <v>150.81</v>
      </c>
      <c r="F19" s="73">
        <f t="shared" si="66"/>
        <v>0.99999999999999978</v>
      </c>
      <c r="H19" s="51"/>
      <c r="I19" s="52">
        <f t="shared" si="0"/>
        <v>0</v>
      </c>
      <c r="J19" s="53"/>
      <c r="K19" s="52">
        <f t="shared" si="1"/>
        <v>0</v>
      </c>
      <c r="L19" s="53"/>
      <c r="M19" s="52">
        <f t="shared" si="69"/>
        <v>0</v>
      </c>
      <c r="N19" s="53"/>
      <c r="O19" s="52">
        <f t="shared" si="71"/>
        <v>0</v>
      </c>
      <c r="P19" s="53"/>
      <c r="Q19" s="52">
        <f t="shared" si="72"/>
        <v>0</v>
      </c>
      <c r="R19" s="53"/>
      <c r="S19" s="52">
        <f t="shared" si="73"/>
        <v>0</v>
      </c>
      <c r="T19" s="53"/>
      <c r="U19" s="52">
        <f t="shared" si="6"/>
        <v>0</v>
      </c>
      <c r="V19" s="53"/>
      <c r="W19" s="52">
        <f t="shared" si="74"/>
        <v>0</v>
      </c>
      <c r="X19" s="53"/>
      <c r="Y19" s="52">
        <f t="shared" si="75"/>
        <v>0</v>
      </c>
      <c r="Z19" s="53"/>
      <c r="AA19" s="52">
        <f t="shared" si="76"/>
        <v>0</v>
      </c>
      <c r="AB19" s="53"/>
      <c r="AC19" s="52">
        <f t="shared" si="77"/>
        <v>0</v>
      </c>
      <c r="AD19" s="53"/>
      <c r="AE19" s="52">
        <f t="shared" si="78"/>
        <v>0</v>
      </c>
      <c r="AF19" s="53"/>
      <c r="AG19" s="52">
        <f t="shared" si="79"/>
        <v>0</v>
      </c>
      <c r="AH19" s="53"/>
      <c r="AI19" s="52">
        <f t="shared" si="80"/>
        <v>0</v>
      </c>
      <c r="AJ19" s="53"/>
      <c r="AK19" s="52">
        <f t="shared" si="81"/>
        <v>0</v>
      </c>
      <c r="AL19" s="53"/>
      <c r="AM19" s="52">
        <f t="shared" si="82"/>
        <v>0</v>
      </c>
      <c r="AN19" s="53"/>
      <c r="AO19" s="52">
        <f t="shared" si="83"/>
        <v>0</v>
      </c>
      <c r="AP19" s="53">
        <f>100%/13</f>
        <v>7.6923076923076927E-2</v>
      </c>
      <c r="AQ19" s="52">
        <f t="shared" si="84"/>
        <v>83428.55603076925</v>
      </c>
      <c r="AR19" s="53">
        <f t="shared" si="159"/>
        <v>7.6923076923076927E-2</v>
      </c>
      <c r="AS19" s="52">
        <f t="shared" si="85"/>
        <v>83428.55603076925</v>
      </c>
      <c r="AT19" s="53">
        <f t="shared" si="160"/>
        <v>7.6923076923076927E-2</v>
      </c>
      <c r="AU19" s="52">
        <f t="shared" si="86"/>
        <v>83428.55603076925</v>
      </c>
      <c r="AV19" s="53">
        <f t="shared" si="161"/>
        <v>7.6923076923076927E-2</v>
      </c>
      <c r="AW19" s="52">
        <f t="shared" si="87"/>
        <v>83428.55603076925</v>
      </c>
      <c r="AX19" s="53">
        <f t="shared" si="162"/>
        <v>7.6923076923076927E-2</v>
      </c>
      <c r="AY19" s="52">
        <f t="shared" si="88"/>
        <v>83428.55603076925</v>
      </c>
      <c r="AZ19" s="53">
        <f t="shared" si="163"/>
        <v>7.6923076923076927E-2</v>
      </c>
      <c r="BA19" s="52">
        <f t="shared" si="89"/>
        <v>83428.55603076925</v>
      </c>
      <c r="BB19" s="53">
        <f t="shared" si="164"/>
        <v>7.6923076923076927E-2</v>
      </c>
      <c r="BC19" s="52">
        <f t="shared" si="90"/>
        <v>83428.55603076925</v>
      </c>
      <c r="BD19" s="53">
        <f t="shared" si="165"/>
        <v>7.6923076923076927E-2</v>
      </c>
      <c r="BE19" s="52">
        <f t="shared" si="91"/>
        <v>83428.55603076925</v>
      </c>
      <c r="BF19" s="53">
        <f t="shared" si="166"/>
        <v>7.6923076923076927E-2</v>
      </c>
      <c r="BG19" s="52">
        <f t="shared" si="92"/>
        <v>83428.55603076925</v>
      </c>
      <c r="BH19" s="53">
        <f t="shared" ref="BH19" si="171">100%/13</f>
        <v>7.6923076923076927E-2</v>
      </c>
      <c r="BI19" s="52">
        <f t="shared" si="93"/>
        <v>83428.55603076925</v>
      </c>
      <c r="BJ19" s="53">
        <f t="shared" ref="BJ19" si="172">100%/13</f>
        <v>7.6923076923076927E-2</v>
      </c>
      <c r="BK19" s="52">
        <f t="shared" si="94"/>
        <v>83428.55603076925</v>
      </c>
      <c r="BL19" s="53">
        <f t="shared" ref="BL19" si="173">100%/13</f>
        <v>7.6923076923076927E-2</v>
      </c>
      <c r="BM19" s="52">
        <f t="shared" si="95"/>
        <v>83428.55603076925</v>
      </c>
      <c r="BN19" s="53">
        <f t="shared" ref="BN19" si="174">100%/13</f>
        <v>7.6923076923076927E-2</v>
      </c>
      <c r="BO19" s="52">
        <f t="shared" si="96"/>
        <v>83428.55603076925</v>
      </c>
      <c r="BP19" s="53"/>
      <c r="BQ19" s="52">
        <f t="shared" si="97"/>
        <v>0</v>
      </c>
      <c r="BR19" s="53"/>
      <c r="BS19" s="52">
        <f t="shared" si="98"/>
        <v>0</v>
      </c>
      <c r="BT19" s="53"/>
      <c r="BU19" s="52">
        <f t="shared" si="99"/>
        <v>0</v>
      </c>
      <c r="BV19" s="53"/>
      <c r="BW19" s="52">
        <f t="shared" si="100"/>
        <v>0</v>
      </c>
      <c r="BX19" s="53"/>
      <c r="BY19" s="52">
        <f t="shared" si="101"/>
        <v>0</v>
      </c>
      <c r="BZ19" s="53"/>
      <c r="CA19" s="52">
        <f t="shared" si="102"/>
        <v>0</v>
      </c>
    </row>
    <row r="20" spans="2:80" ht="19.5" customHeight="1" x14ac:dyDescent="0.25">
      <c r="B20" s="43" t="s">
        <v>74</v>
      </c>
      <c r="C20" s="64">
        <v>2874782.3665314298</v>
      </c>
      <c r="D20" s="28">
        <f t="shared" si="65"/>
        <v>4.1929072671275408E-2</v>
      </c>
      <c r="E20" s="68">
        <f>C20/'DISTRIBUIÇÃO CUSTO'!C$30</f>
        <v>399.73947062581408</v>
      </c>
      <c r="F20" s="74">
        <f t="shared" si="66"/>
        <v>1</v>
      </c>
      <c r="H20" s="26"/>
      <c r="I20" s="35">
        <f t="shared" si="0"/>
        <v>0</v>
      </c>
      <c r="J20" s="34"/>
      <c r="K20" s="35">
        <f t="shared" si="1"/>
        <v>0</v>
      </c>
      <c r="L20" s="34"/>
      <c r="M20" s="35">
        <f t="shared" si="69"/>
        <v>0</v>
      </c>
      <c r="N20" s="34"/>
      <c r="O20" s="35">
        <f t="shared" si="71"/>
        <v>0</v>
      </c>
      <c r="P20" s="34"/>
      <c r="Q20" s="35">
        <f t="shared" si="72"/>
        <v>0</v>
      </c>
      <c r="R20" s="34"/>
      <c r="S20" s="35">
        <f t="shared" si="73"/>
        <v>0</v>
      </c>
      <c r="T20" s="34"/>
      <c r="U20" s="35">
        <f t="shared" si="6"/>
        <v>0</v>
      </c>
      <c r="V20" s="34"/>
      <c r="W20" s="35">
        <f t="shared" si="74"/>
        <v>0</v>
      </c>
      <c r="X20" s="34"/>
      <c r="Y20" s="35">
        <f t="shared" si="75"/>
        <v>0</v>
      </c>
      <c r="Z20" s="34"/>
      <c r="AA20" s="35">
        <f t="shared" si="76"/>
        <v>0</v>
      </c>
      <c r="AB20" s="34"/>
      <c r="AC20" s="35">
        <f t="shared" si="77"/>
        <v>0</v>
      </c>
      <c r="AD20" s="34"/>
      <c r="AE20" s="35">
        <f t="shared" si="78"/>
        <v>0</v>
      </c>
      <c r="AF20" s="34"/>
      <c r="AG20" s="35">
        <f t="shared" si="79"/>
        <v>0</v>
      </c>
      <c r="AH20" s="34"/>
      <c r="AI20" s="35">
        <f t="shared" si="80"/>
        <v>0</v>
      </c>
      <c r="AJ20" s="34"/>
      <c r="AK20" s="35">
        <f t="shared" si="81"/>
        <v>0</v>
      </c>
      <c r="AL20" s="34"/>
      <c r="AM20" s="35">
        <f t="shared" si="82"/>
        <v>0</v>
      </c>
      <c r="AN20" s="34">
        <f>100%/16</f>
        <v>6.25E-2</v>
      </c>
      <c r="AO20" s="35">
        <f t="shared" si="83"/>
        <v>179673.89790821436</v>
      </c>
      <c r="AP20" s="34">
        <f t="shared" ref="AP20" si="175">100%/16</f>
        <v>6.25E-2</v>
      </c>
      <c r="AQ20" s="35">
        <f t="shared" si="84"/>
        <v>179673.89790821436</v>
      </c>
      <c r="AR20" s="34">
        <f t="shared" ref="AR20" si="176">100%/16</f>
        <v>6.25E-2</v>
      </c>
      <c r="AS20" s="35">
        <f t="shared" si="85"/>
        <v>179673.89790821436</v>
      </c>
      <c r="AT20" s="34">
        <f t="shared" ref="AT20" si="177">100%/16</f>
        <v>6.25E-2</v>
      </c>
      <c r="AU20" s="35">
        <f t="shared" si="86"/>
        <v>179673.89790821436</v>
      </c>
      <c r="AV20" s="34">
        <f t="shared" ref="AV20" si="178">100%/16</f>
        <v>6.25E-2</v>
      </c>
      <c r="AW20" s="35">
        <f t="shared" si="87"/>
        <v>179673.89790821436</v>
      </c>
      <c r="AX20" s="34">
        <f t="shared" ref="AX20" si="179">100%/16</f>
        <v>6.25E-2</v>
      </c>
      <c r="AY20" s="35">
        <f t="shared" si="88"/>
        <v>179673.89790821436</v>
      </c>
      <c r="AZ20" s="34">
        <f t="shared" ref="AZ20" si="180">100%/16</f>
        <v>6.25E-2</v>
      </c>
      <c r="BA20" s="35">
        <f t="shared" si="89"/>
        <v>179673.89790821436</v>
      </c>
      <c r="BB20" s="34">
        <f t="shared" ref="BB20" si="181">100%/16</f>
        <v>6.25E-2</v>
      </c>
      <c r="BC20" s="35">
        <f t="shared" si="90"/>
        <v>179673.89790821436</v>
      </c>
      <c r="BD20" s="34">
        <f t="shared" ref="BD20" si="182">100%/16</f>
        <v>6.25E-2</v>
      </c>
      <c r="BE20" s="35">
        <f t="shared" si="91"/>
        <v>179673.89790821436</v>
      </c>
      <c r="BF20" s="34">
        <f t="shared" ref="BF20" si="183">100%/16</f>
        <v>6.25E-2</v>
      </c>
      <c r="BG20" s="35">
        <f t="shared" si="92"/>
        <v>179673.89790821436</v>
      </c>
      <c r="BH20" s="34">
        <f t="shared" ref="BH20" si="184">100%/16</f>
        <v>6.25E-2</v>
      </c>
      <c r="BI20" s="35">
        <f t="shared" si="93"/>
        <v>179673.89790821436</v>
      </c>
      <c r="BJ20" s="34">
        <f t="shared" ref="BJ20" si="185">100%/16</f>
        <v>6.25E-2</v>
      </c>
      <c r="BK20" s="35">
        <f t="shared" si="94"/>
        <v>179673.89790821436</v>
      </c>
      <c r="BL20" s="34">
        <f t="shared" ref="BL20" si="186">100%/16</f>
        <v>6.25E-2</v>
      </c>
      <c r="BM20" s="35">
        <f t="shared" si="95"/>
        <v>179673.89790821436</v>
      </c>
      <c r="BN20" s="34">
        <f t="shared" ref="BN20" si="187">100%/16</f>
        <v>6.25E-2</v>
      </c>
      <c r="BO20" s="35">
        <f t="shared" si="96"/>
        <v>179673.89790821436</v>
      </c>
      <c r="BP20" s="34">
        <f t="shared" ref="BP20" si="188">100%/16</f>
        <v>6.25E-2</v>
      </c>
      <c r="BQ20" s="35">
        <f t="shared" si="97"/>
        <v>179673.89790821436</v>
      </c>
      <c r="BR20" s="34">
        <f t="shared" ref="BR20" si="189">100%/16</f>
        <v>6.25E-2</v>
      </c>
      <c r="BS20" s="35">
        <f t="shared" si="98"/>
        <v>179673.89790821436</v>
      </c>
      <c r="BT20" s="34"/>
      <c r="BU20" s="35">
        <f t="shared" si="99"/>
        <v>0</v>
      </c>
      <c r="BV20" s="34"/>
      <c r="BW20" s="35">
        <f t="shared" si="100"/>
        <v>0</v>
      </c>
      <c r="BX20" s="34"/>
      <c r="BY20" s="35">
        <f t="shared" si="101"/>
        <v>0</v>
      </c>
      <c r="BZ20" s="34"/>
      <c r="CA20" s="35">
        <f t="shared" si="102"/>
        <v>0</v>
      </c>
    </row>
    <row r="21" spans="2:80" ht="19.5" customHeight="1" x14ac:dyDescent="0.25">
      <c r="B21" s="47" t="s">
        <v>57</v>
      </c>
      <c r="C21" s="63">
        <v>1310024.7753999999</v>
      </c>
      <c r="D21" s="48">
        <f t="shared" si="65"/>
        <v>1.9106880801968811E-2</v>
      </c>
      <c r="E21" s="67">
        <f>C21/'DISTRIBUIÇÃO CUSTO'!C$30</f>
        <v>182.15939276715741</v>
      </c>
      <c r="F21" s="73">
        <f t="shared" si="66"/>
        <v>1</v>
      </c>
      <c r="H21" s="51"/>
      <c r="I21" s="52">
        <f t="shared" si="0"/>
        <v>0</v>
      </c>
      <c r="J21" s="53"/>
      <c r="K21" s="52">
        <f t="shared" si="1"/>
        <v>0</v>
      </c>
      <c r="L21" s="53"/>
      <c r="M21" s="52">
        <f t="shared" si="69"/>
        <v>0</v>
      </c>
      <c r="N21" s="53"/>
      <c r="O21" s="52">
        <f t="shared" si="71"/>
        <v>0</v>
      </c>
      <c r="P21" s="53"/>
      <c r="Q21" s="52">
        <f t="shared" si="72"/>
        <v>0</v>
      </c>
      <c r="R21" s="53"/>
      <c r="S21" s="52">
        <f t="shared" si="73"/>
        <v>0</v>
      </c>
      <c r="T21" s="53"/>
      <c r="U21" s="52">
        <f t="shared" si="6"/>
        <v>0</v>
      </c>
      <c r="V21" s="53"/>
      <c r="W21" s="52">
        <f t="shared" si="74"/>
        <v>0</v>
      </c>
      <c r="X21" s="53"/>
      <c r="Y21" s="52">
        <f t="shared" si="75"/>
        <v>0</v>
      </c>
      <c r="Z21" s="53"/>
      <c r="AA21" s="52">
        <f t="shared" si="76"/>
        <v>0</v>
      </c>
      <c r="AB21" s="53"/>
      <c r="AC21" s="52">
        <f t="shared" si="77"/>
        <v>0</v>
      </c>
      <c r="AD21" s="53"/>
      <c r="AE21" s="52">
        <f t="shared" si="78"/>
        <v>0</v>
      </c>
      <c r="AF21" s="53"/>
      <c r="AG21" s="52">
        <f t="shared" si="79"/>
        <v>0</v>
      </c>
      <c r="AH21" s="53"/>
      <c r="AI21" s="52">
        <f t="shared" si="80"/>
        <v>0</v>
      </c>
      <c r="AJ21" s="53"/>
      <c r="AK21" s="52">
        <f t="shared" si="81"/>
        <v>0</v>
      </c>
      <c r="AL21" s="53"/>
      <c r="AM21" s="52">
        <f t="shared" si="82"/>
        <v>0</v>
      </c>
      <c r="AN21" s="53"/>
      <c r="AO21" s="52">
        <f t="shared" si="83"/>
        <v>0</v>
      </c>
      <c r="AP21" s="53"/>
      <c r="AQ21" s="52">
        <f t="shared" si="84"/>
        <v>0</v>
      </c>
      <c r="AR21" s="53">
        <f>100%/17</f>
        <v>5.8823529411764705E-2</v>
      </c>
      <c r="AS21" s="52">
        <f t="shared" si="85"/>
        <v>77060.280905882348</v>
      </c>
      <c r="AT21" s="53">
        <f t="shared" ref="AT21" si="190">100%/17</f>
        <v>5.8823529411764705E-2</v>
      </c>
      <c r="AU21" s="52">
        <f t="shared" si="86"/>
        <v>77060.280905882348</v>
      </c>
      <c r="AV21" s="53">
        <f t="shared" ref="AV21" si="191">100%/17</f>
        <v>5.8823529411764705E-2</v>
      </c>
      <c r="AW21" s="52">
        <f t="shared" si="87"/>
        <v>77060.280905882348</v>
      </c>
      <c r="AX21" s="53">
        <f t="shared" ref="AX21" si="192">100%/17</f>
        <v>5.8823529411764705E-2</v>
      </c>
      <c r="AY21" s="52">
        <f t="shared" si="88"/>
        <v>77060.280905882348</v>
      </c>
      <c r="AZ21" s="53">
        <f t="shared" ref="AZ21" si="193">100%/17</f>
        <v>5.8823529411764705E-2</v>
      </c>
      <c r="BA21" s="52">
        <f t="shared" si="89"/>
        <v>77060.280905882348</v>
      </c>
      <c r="BB21" s="53">
        <f t="shared" ref="BB21" si="194">100%/17</f>
        <v>5.8823529411764705E-2</v>
      </c>
      <c r="BC21" s="52">
        <f t="shared" si="90"/>
        <v>77060.280905882348</v>
      </c>
      <c r="BD21" s="53">
        <f t="shared" ref="BD21" si="195">100%/17</f>
        <v>5.8823529411764705E-2</v>
      </c>
      <c r="BE21" s="52">
        <f t="shared" si="91"/>
        <v>77060.280905882348</v>
      </c>
      <c r="BF21" s="53">
        <f t="shared" ref="BF21" si="196">100%/17</f>
        <v>5.8823529411764705E-2</v>
      </c>
      <c r="BG21" s="52">
        <f t="shared" si="92"/>
        <v>77060.280905882348</v>
      </c>
      <c r="BH21" s="53">
        <f t="shared" ref="BH21" si="197">100%/17</f>
        <v>5.8823529411764705E-2</v>
      </c>
      <c r="BI21" s="52">
        <f t="shared" si="93"/>
        <v>77060.280905882348</v>
      </c>
      <c r="BJ21" s="53">
        <f t="shared" ref="BJ21" si="198">100%/17</f>
        <v>5.8823529411764705E-2</v>
      </c>
      <c r="BK21" s="52">
        <f t="shared" si="94"/>
        <v>77060.280905882348</v>
      </c>
      <c r="BL21" s="53">
        <f t="shared" ref="BL21" si="199">100%/17</f>
        <v>5.8823529411764705E-2</v>
      </c>
      <c r="BM21" s="52">
        <f t="shared" si="95"/>
        <v>77060.280905882348</v>
      </c>
      <c r="BN21" s="53">
        <f t="shared" ref="BN21" si="200">100%/17</f>
        <v>5.8823529411764705E-2</v>
      </c>
      <c r="BO21" s="52">
        <f t="shared" si="96"/>
        <v>77060.280905882348</v>
      </c>
      <c r="BP21" s="53">
        <f t="shared" ref="BP21" si="201">100%/17</f>
        <v>5.8823529411764705E-2</v>
      </c>
      <c r="BQ21" s="52">
        <f t="shared" si="97"/>
        <v>77060.280905882348</v>
      </c>
      <c r="BR21" s="53">
        <f t="shared" ref="BR21" si="202">100%/17</f>
        <v>5.8823529411764705E-2</v>
      </c>
      <c r="BS21" s="52">
        <f t="shared" si="98"/>
        <v>77060.280905882348</v>
      </c>
      <c r="BT21" s="53">
        <f t="shared" ref="BT21" si="203">100%/17</f>
        <v>5.8823529411764705E-2</v>
      </c>
      <c r="BU21" s="52">
        <f t="shared" si="99"/>
        <v>77060.280905882348</v>
      </c>
      <c r="BV21" s="53">
        <f t="shared" ref="BV21" si="204">100%/17</f>
        <v>5.8823529411764705E-2</v>
      </c>
      <c r="BW21" s="52">
        <f t="shared" si="100"/>
        <v>77060.280905882348</v>
      </c>
      <c r="BX21" s="53">
        <f t="shared" ref="BX21" si="205">100%/17</f>
        <v>5.8823529411764705E-2</v>
      </c>
      <c r="BY21" s="52">
        <f t="shared" si="101"/>
        <v>77060.280905882348</v>
      </c>
      <c r="BZ21" s="53"/>
      <c r="CA21" s="52">
        <f t="shared" si="102"/>
        <v>0</v>
      </c>
    </row>
    <row r="22" spans="2:80" ht="19.5" customHeight="1" x14ac:dyDescent="0.25">
      <c r="B22" s="43" t="s">
        <v>58</v>
      </c>
      <c r="C22" s="64">
        <v>5968290.6115500005</v>
      </c>
      <c r="D22" s="28">
        <f t="shared" si="65"/>
        <v>8.7048290572654313E-2</v>
      </c>
      <c r="E22" s="68">
        <f>C22/'DISTRIBUIÇÃO CUSTO'!C$30</f>
        <v>829.89284941265134</v>
      </c>
      <c r="F22" s="74">
        <f t="shared" si="66"/>
        <v>1.0000000000000002</v>
      </c>
      <c r="H22" s="26"/>
      <c r="I22" s="35">
        <f t="shared" si="0"/>
        <v>0</v>
      </c>
      <c r="J22" s="34"/>
      <c r="K22" s="35">
        <f t="shared" si="1"/>
        <v>0</v>
      </c>
      <c r="L22" s="34"/>
      <c r="M22" s="35">
        <f t="shared" si="69"/>
        <v>0</v>
      </c>
      <c r="N22" s="34"/>
      <c r="O22" s="35">
        <f t="shared" si="71"/>
        <v>0</v>
      </c>
      <c r="P22" s="34"/>
      <c r="Q22" s="35">
        <f t="shared" si="72"/>
        <v>0</v>
      </c>
      <c r="R22" s="34"/>
      <c r="S22" s="35">
        <f t="shared" si="73"/>
        <v>0</v>
      </c>
      <c r="T22" s="34"/>
      <c r="U22" s="35">
        <f t="shared" si="6"/>
        <v>0</v>
      </c>
      <c r="V22" s="34"/>
      <c r="W22" s="35">
        <f t="shared" si="74"/>
        <v>0</v>
      </c>
      <c r="X22" s="34"/>
      <c r="Y22" s="35">
        <f t="shared" si="75"/>
        <v>0</v>
      </c>
      <c r="Z22" s="34"/>
      <c r="AA22" s="35">
        <f t="shared" si="76"/>
        <v>0</v>
      </c>
      <c r="AB22" s="34"/>
      <c r="AC22" s="35">
        <f t="shared" si="77"/>
        <v>0</v>
      </c>
      <c r="AD22" s="34"/>
      <c r="AE22" s="35">
        <f t="shared" si="78"/>
        <v>0</v>
      </c>
      <c r="AF22" s="34"/>
      <c r="AG22" s="35">
        <f t="shared" si="79"/>
        <v>0</v>
      </c>
      <c r="AH22" s="34"/>
      <c r="AI22" s="35">
        <f t="shared" si="80"/>
        <v>0</v>
      </c>
      <c r="AJ22" s="34"/>
      <c r="AK22" s="35">
        <f t="shared" si="81"/>
        <v>0</v>
      </c>
      <c r="AL22" s="34"/>
      <c r="AM22" s="35">
        <f t="shared" si="82"/>
        <v>0</v>
      </c>
      <c r="AN22" s="34"/>
      <c r="AO22" s="35">
        <f t="shared" si="83"/>
        <v>0</v>
      </c>
      <c r="AP22" s="34"/>
      <c r="AQ22" s="35">
        <f t="shared" si="84"/>
        <v>0</v>
      </c>
      <c r="AR22" s="34"/>
      <c r="AS22" s="35">
        <f t="shared" si="85"/>
        <v>0</v>
      </c>
      <c r="AT22" s="34"/>
      <c r="AU22" s="35">
        <f t="shared" si="86"/>
        <v>0</v>
      </c>
      <c r="AV22" s="34"/>
      <c r="AW22" s="35">
        <f t="shared" si="87"/>
        <v>0</v>
      </c>
      <c r="AX22" s="34"/>
      <c r="AY22" s="35">
        <f t="shared" si="88"/>
        <v>0</v>
      </c>
      <c r="AZ22" s="34"/>
      <c r="BA22" s="35">
        <f t="shared" si="89"/>
        <v>0</v>
      </c>
      <c r="BB22" s="34"/>
      <c r="BC22" s="35">
        <f t="shared" si="90"/>
        <v>0</v>
      </c>
      <c r="BD22" s="34"/>
      <c r="BE22" s="35">
        <f t="shared" si="91"/>
        <v>0</v>
      </c>
      <c r="BF22" s="34">
        <f>100%/9</f>
        <v>0.1111111111111111</v>
      </c>
      <c r="BG22" s="35">
        <f t="shared" si="92"/>
        <v>663143.40128333331</v>
      </c>
      <c r="BH22" s="34">
        <f t="shared" ref="BH22:BH23" si="206">100%/9</f>
        <v>0.1111111111111111</v>
      </c>
      <c r="BI22" s="35">
        <f t="shared" si="93"/>
        <v>663143.40128333331</v>
      </c>
      <c r="BJ22" s="34">
        <f t="shared" ref="BJ22:BJ23" si="207">100%/9</f>
        <v>0.1111111111111111</v>
      </c>
      <c r="BK22" s="35">
        <f t="shared" si="94"/>
        <v>663143.40128333331</v>
      </c>
      <c r="BL22" s="34">
        <f t="shared" ref="BL22:BL23" si="208">100%/9</f>
        <v>0.1111111111111111</v>
      </c>
      <c r="BM22" s="35">
        <f t="shared" si="95"/>
        <v>663143.40128333331</v>
      </c>
      <c r="BN22" s="34">
        <f t="shared" ref="BN22:BN23" si="209">100%/9</f>
        <v>0.1111111111111111</v>
      </c>
      <c r="BO22" s="35">
        <f t="shared" si="96"/>
        <v>663143.40128333331</v>
      </c>
      <c r="BP22" s="34">
        <f t="shared" ref="BP22:BP23" si="210">100%/9</f>
        <v>0.1111111111111111</v>
      </c>
      <c r="BQ22" s="35">
        <f t="shared" si="97"/>
        <v>663143.40128333331</v>
      </c>
      <c r="BR22" s="34">
        <f t="shared" ref="BR22" si="211">100%/9</f>
        <v>0.1111111111111111</v>
      </c>
      <c r="BS22" s="35">
        <f t="shared" si="98"/>
        <v>663143.40128333331</v>
      </c>
      <c r="BT22" s="34">
        <f t="shared" ref="BT22" si="212">100%/9</f>
        <v>0.1111111111111111</v>
      </c>
      <c r="BU22" s="35">
        <f t="shared" si="99"/>
        <v>663143.40128333331</v>
      </c>
      <c r="BV22" s="34">
        <f t="shared" ref="BV22" si="213">100%/9</f>
        <v>0.1111111111111111</v>
      </c>
      <c r="BW22" s="35">
        <f t="shared" si="100"/>
        <v>663143.40128333331</v>
      </c>
      <c r="BX22" s="34"/>
      <c r="BY22" s="35">
        <f t="shared" si="101"/>
        <v>0</v>
      </c>
      <c r="BZ22" s="34"/>
      <c r="CA22" s="35">
        <f t="shared" si="102"/>
        <v>0</v>
      </c>
    </row>
    <row r="23" spans="2:80" ht="19.5" customHeight="1" x14ac:dyDescent="0.25">
      <c r="B23" s="47" t="s">
        <v>59</v>
      </c>
      <c r="C23" s="63">
        <v>3928648.5377889201</v>
      </c>
      <c r="D23" s="48">
        <f t="shared" si="65"/>
        <v>5.7299847097503957E-2</v>
      </c>
      <c r="E23" s="67">
        <f>C23/'DISTRIBUIÇÃO CUSTO'!C$30</f>
        <v>546.27992193559749</v>
      </c>
      <c r="F23" s="73">
        <f t="shared" si="66"/>
        <v>1.0000000000000002</v>
      </c>
      <c r="H23" s="51"/>
      <c r="I23" s="52">
        <f t="shared" si="0"/>
        <v>0</v>
      </c>
      <c r="J23" s="53"/>
      <c r="K23" s="52">
        <f t="shared" si="1"/>
        <v>0</v>
      </c>
      <c r="L23" s="53"/>
      <c r="M23" s="52">
        <f t="shared" si="69"/>
        <v>0</v>
      </c>
      <c r="N23" s="53"/>
      <c r="O23" s="52">
        <f t="shared" si="71"/>
        <v>0</v>
      </c>
      <c r="P23" s="53"/>
      <c r="Q23" s="52">
        <f t="shared" si="72"/>
        <v>0</v>
      </c>
      <c r="R23" s="53"/>
      <c r="S23" s="52">
        <f t="shared" si="73"/>
        <v>0</v>
      </c>
      <c r="T23" s="53"/>
      <c r="U23" s="52">
        <f t="shared" si="6"/>
        <v>0</v>
      </c>
      <c r="V23" s="53"/>
      <c r="W23" s="52">
        <f t="shared" si="74"/>
        <v>0</v>
      </c>
      <c r="X23" s="53"/>
      <c r="Y23" s="52">
        <f t="shared" si="75"/>
        <v>0</v>
      </c>
      <c r="Z23" s="53"/>
      <c r="AA23" s="52">
        <f t="shared" si="76"/>
        <v>0</v>
      </c>
      <c r="AB23" s="53"/>
      <c r="AC23" s="52">
        <f t="shared" si="77"/>
        <v>0</v>
      </c>
      <c r="AD23" s="53"/>
      <c r="AE23" s="52">
        <f t="shared" si="78"/>
        <v>0</v>
      </c>
      <c r="AF23" s="53"/>
      <c r="AG23" s="52">
        <f t="shared" si="79"/>
        <v>0</v>
      </c>
      <c r="AH23" s="53"/>
      <c r="AI23" s="52">
        <f t="shared" si="80"/>
        <v>0</v>
      </c>
      <c r="AJ23" s="53"/>
      <c r="AK23" s="52">
        <f t="shared" si="81"/>
        <v>0</v>
      </c>
      <c r="AL23" s="53"/>
      <c r="AM23" s="52">
        <f t="shared" si="82"/>
        <v>0</v>
      </c>
      <c r="AN23" s="53"/>
      <c r="AO23" s="52">
        <f t="shared" si="83"/>
        <v>0</v>
      </c>
      <c r="AP23" s="53"/>
      <c r="AQ23" s="52">
        <f t="shared" si="84"/>
        <v>0</v>
      </c>
      <c r="AR23" s="53"/>
      <c r="AS23" s="52">
        <f t="shared" si="85"/>
        <v>0</v>
      </c>
      <c r="AT23" s="53"/>
      <c r="AU23" s="52">
        <f t="shared" si="86"/>
        <v>0</v>
      </c>
      <c r="AV23" s="53"/>
      <c r="AW23" s="52">
        <f t="shared" si="87"/>
        <v>0</v>
      </c>
      <c r="AX23" s="53"/>
      <c r="AY23" s="52">
        <f t="shared" si="88"/>
        <v>0</v>
      </c>
      <c r="AZ23" s="53">
        <f>100%/9</f>
        <v>0.1111111111111111</v>
      </c>
      <c r="BA23" s="52">
        <f t="shared" si="89"/>
        <v>436516.50419876887</v>
      </c>
      <c r="BB23" s="53">
        <f t="shared" ref="BB23" si="214">100%/9</f>
        <v>0.1111111111111111</v>
      </c>
      <c r="BC23" s="52">
        <f t="shared" si="90"/>
        <v>436516.50419876887</v>
      </c>
      <c r="BD23" s="53">
        <f t="shared" ref="BD23" si="215">100%/9</f>
        <v>0.1111111111111111</v>
      </c>
      <c r="BE23" s="52">
        <f t="shared" si="91"/>
        <v>436516.50419876887</v>
      </c>
      <c r="BF23" s="53">
        <f t="shared" ref="BF23" si="216">100%/9</f>
        <v>0.1111111111111111</v>
      </c>
      <c r="BG23" s="52">
        <f t="shared" si="92"/>
        <v>436516.50419876887</v>
      </c>
      <c r="BH23" s="53">
        <f t="shared" si="206"/>
        <v>0.1111111111111111</v>
      </c>
      <c r="BI23" s="52">
        <f t="shared" si="93"/>
        <v>436516.50419876887</v>
      </c>
      <c r="BJ23" s="53">
        <f t="shared" si="207"/>
        <v>0.1111111111111111</v>
      </c>
      <c r="BK23" s="52">
        <f t="shared" si="94"/>
        <v>436516.50419876887</v>
      </c>
      <c r="BL23" s="53">
        <f t="shared" si="208"/>
        <v>0.1111111111111111</v>
      </c>
      <c r="BM23" s="52">
        <f t="shared" si="95"/>
        <v>436516.50419876887</v>
      </c>
      <c r="BN23" s="53">
        <f t="shared" si="209"/>
        <v>0.1111111111111111</v>
      </c>
      <c r="BO23" s="52">
        <f t="shared" si="96"/>
        <v>436516.50419876887</v>
      </c>
      <c r="BP23" s="53">
        <f t="shared" si="210"/>
        <v>0.1111111111111111</v>
      </c>
      <c r="BQ23" s="52">
        <f t="shared" si="97"/>
        <v>436516.50419876887</v>
      </c>
      <c r="BR23" s="53"/>
      <c r="BS23" s="52">
        <f t="shared" si="98"/>
        <v>0</v>
      </c>
      <c r="BT23" s="53"/>
      <c r="BU23" s="52">
        <f t="shared" si="99"/>
        <v>0</v>
      </c>
      <c r="BV23" s="53"/>
      <c r="BW23" s="52">
        <f t="shared" si="100"/>
        <v>0</v>
      </c>
      <c r="BX23" s="53"/>
      <c r="BY23" s="52">
        <f t="shared" si="101"/>
        <v>0</v>
      </c>
      <c r="BZ23" s="53"/>
      <c r="CA23" s="52">
        <f t="shared" si="102"/>
        <v>0</v>
      </c>
    </row>
    <row r="24" spans="2:80" ht="19.5" customHeight="1" x14ac:dyDescent="0.25">
      <c r="B24" s="43" t="s">
        <v>60</v>
      </c>
      <c r="C24" s="64">
        <v>3979047.5394312507</v>
      </c>
      <c r="D24" s="28">
        <f t="shared" si="65"/>
        <v>5.8034923055608804E-2</v>
      </c>
      <c r="E24" s="68">
        <f>C24/'DISTRIBUIÇÃO CUSTO'!C$30</f>
        <v>553.28792033962361</v>
      </c>
      <c r="F24" s="74">
        <f t="shared" si="66"/>
        <v>1</v>
      </c>
      <c r="H24" s="26"/>
      <c r="I24" s="35">
        <f t="shared" si="0"/>
        <v>0</v>
      </c>
      <c r="J24" s="34"/>
      <c r="K24" s="35">
        <f t="shared" si="1"/>
        <v>0</v>
      </c>
      <c r="L24" s="34"/>
      <c r="M24" s="35">
        <f t="shared" si="69"/>
        <v>0</v>
      </c>
      <c r="N24" s="34"/>
      <c r="O24" s="35">
        <f t="shared" si="71"/>
        <v>0</v>
      </c>
      <c r="P24" s="34"/>
      <c r="Q24" s="35">
        <f t="shared" si="72"/>
        <v>0</v>
      </c>
      <c r="R24" s="34"/>
      <c r="S24" s="35">
        <f t="shared" si="73"/>
        <v>0</v>
      </c>
      <c r="T24" s="34"/>
      <c r="U24" s="35">
        <f t="shared" si="6"/>
        <v>0</v>
      </c>
      <c r="V24" s="34"/>
      <c r="W24" s="35">
        <f t="shared" si="74"/>
        <v>0</v>
      </c>
      <c r="X24" s="34"/>
      <c r="Y24" s="35">
        <f t="shared" si="75"/>
        <v>0</v>
      </c>
      <c r="Z24" s="34"/>
      <c r="AA24" s="35">
        <f t="shared" si="76"/>
        <v>0</v>
      </c>
      <c r="AB24" s="34"/>
      <c r="AC24" s="35">
        <f t="shared" si="77"/>
        <v>0</v>
      </c>
      <c r="AD24" s="34"/>
      <c r="AE24" s="35">
        <f t="shared" si="78"/>
        <v>0</v>
      </c>
      <c r="AF24" s="34"/>
      <c r="AG24" s="35">
        <f t="shared" si="79"/>
        <v>0</v>
      </c>
      <c r="AH24" s="34"/>
      <c r="AI24" s="35">
        <f t="shared" si="80"/>
        <v>0</v>
      </c>
      <c r="AJ24" s="34"/>
      <c r="AK24" s="35">
        <f t="shared" si="81"/>
        <v>0</v>
      </c>
      <c r="AL24" s="34"/>
      <c r="AM24" s="35">
        <f t="shared" si="82"/>
        <v>0</v>
      </c>
      <c r="AN24" s="34"/>
      <c r="AO24" s="35">
        <f t="shared" si="83"/>
        <v>0</v>
      </c>
      <c r="AP24" s="34"/>
      <c r="AQ24" s="35">
        <f t="shared" si="84"/>
        <v>0</v>
      </c>
      <c r="AR24" s="34"/>
      <c r="AS24" s="35">
        <f t="shared" si="85"/>
        <v>0</v>
      </c>
      <c r="AT24" s="34"/>
      <c r="AU24" s="35">
        <f t="shared" si="86"/>
        <v>0</v>
      </c>
      <c r="AV24" s="34"/>
      <c r="AW24" s="35">
        <f t="shared" si="87"/>
        <v>0</v>
      </c>
      <c r="AX24" s="34"/>
      <c r="AY24" s="35">
        <f t="shared" si="88"/>
        <v>0</v>
      </c>
      <c r="AZ24" s="34"/>
      <c r="BA24" s="35">
        <f t="shared" si="89"/>
        <v>0</v>
      </c>
      <c r="BB24" s="34"/>
      <c r="BC24" s="35">
        <f t="shared" si="90"/>
        <v>0</v>
      </c>
      <c r="BD24" s="34"/>
      <c r="BE24" s="35">
        <f t="shared" si="91"/>
        <v>0</v>
      </c>
      <c r="BF24" s="34"/>
      <c r="BG24" s="35">
        <f t="shared" si="92"/>
        <v>0</v>
      </c>
      <c r="BH24" s="34"/>
      <c r="BI24" s="35">
        <f t="shared" si="93"/>
        <v>0</v>
      </c>
      <c r="BJ24" s="34"/>
      <c r="BK24" s="35">
        <f t="shared" si="94"/>
        <v>0</v>
      </c>
      <c r="BL24" s="34">
        <f>100%/8</f>
        <v>0.125</v>
      </c>
      <c r="BM24" s="35">
        <f t="shared" si="95"/>
        <v>497380.94242890633</v>
      </c>
      <c r="BN24" s="34">
        <f t="shared" ref="BN24" si="217">100%/8</f>
        <v>0.125</v>
      </c>
      <c r="BO24" s="35">
        <f t="shared" si="96"/>
        <v>497380.94242890633</v>
      </c>
      <c r="BP24" s="34">
        <f t="shared" ref="BP24" si="218">100%/8</f>
        <v>0.125</v>
      </c>
      <c r="BQ24" s="35">
        <f t="shared" si="97"/>
        <v>497380.94242890633</v>
      </c>
      <c r="BR24" s="34">
        <f t="shared" ref="BR24" si="219">100%/8</f>
        <v>0.125</v>
      </c>
      <c r="BS24" s="35">
        <f t="shared" si="98"/>
        <v>497380.94242890633</v>
      </c>
      <c r="BT24" s="34">
        <f t="shared" ref="BT24" si="220">100%/8</f>
        <v>0.125</v>
      </c>
      <c r="BU24" s="35">
        <f t="shared" si="99"/>
        <v>497380.94242890633</v>
      </c>
      <c r="BV24" s="34">
        <f t="shared" ref="BV24" si="221">100%/8</f>
        <v>0.125</v>
      </c>
      <c r="BW24" s="35">
        <f t="shared" si="100"/>
        <v>497380.94242890633</v>
      </c>
      <c r="BX24" s="34">
        <f t="shared" ref="BX24" si="222">100%/8</f>
        <v>0.125</v>
      </c>
      <c r="BY24" s="35">
        <f t="shared" si="101"/>
        <v>497380.94242890633</v>
      </c>
      <c r="BZ24" s="34">
        <f t="shared" ref="BZ24" si="223">100%/8</f>
        <v>0.125</v>
      </c>
      <c r="CA24" s="35">
        <f t="shared" si="102"/>
        <v>497380.94242890633</v>
      </c>
    </row>
    <row r="25" spans="2:80" ht="19.5" customHeight="1" thickBot="1" x14ac:dyDescent="0.3">
      <c r="B25" s="47" t="s">
        <v>75</v>
      </c>
      <c r="C25" s="63">
        <v>1996980.1358412094</v>
      </c>
      <c r="D25" s="48">
        <f t="shared" si="65"/>
        <v>2.9126213592233011E-2</v>
      </c>
      <c r="E25" s="67">
        <f>C25/'DISTRIBUIÇÃO CUSTO'!C$30</f>
        <v>277.68077042805385</v>
      </c>
      <c r="F25" s="75">
        <f t="shared" si="66"/>
        <v>1.0000000000000002</v>
      </c>
      <c r="H25" s="51">
        <f>100%/$E$30</f>
        <v>2.7777777777777776E-2</v>
      </c>
      <c r="I25" s="52">
        <f t="shared" si="0"/>
        <v>55471.670440033595</v>
      </c>
      <c r="J25" s="51">
        <f t="shared" ref="J25" si="224">100%/$E$30</f>
        <v>2.7777777777777776E-2</v>
      </c>
      <c r="K25" s="52">
        <f t="shared" si="1"/>
        <v>55471.670440033595</v>
      </c>
      <c r="L25" s="51">
        <f t="shared" ref="L25" si="225">100%/$E$30</f>
        <v>2.7777777777777776E-2</v>
      </c>
      <c r="M25" s="52">
        <f t="shared" si="69"/>
        <v>55471.670440033595</v>
      </c>
      <c r="N25" s="51">
        <f t="shared" ref="N25" si="226">100%/$E$30</f>
        <v>2.7777777777777776E-2</v>
      </c>
      <c r="O25" s="52">
        <f t="shared" si="71"/>
        <v>55471.670440033595</v>
      </c>
      <c r="P25" s="51">
        <f t="shared" ref="P25" si="227">100%/$E$30</f>
        <v>2.7777777777777776E-2</v>
      </c>
      <c r="Q25" s="52">
        <f t="shared" si="72"/>
        <v>55471.670440033595</v>
      </c>
      <c r="R25" s="51">
        <f t="shared" ref="R25" si="228">100%/$E$30</f>
        <v>2.7777777777777776E-2</v>
      </c>
      <c r="S25" s="52">
        <f t="shared" si="73"/>
        <v>55471.670440033595</v>
      </c>
      <c r="T25" s="51">
        <f t="shared" ref="T25" si="229">100%/$E$30</f>
        <v>2.7777777777777776E-2</v>
      </c>
      <c r="U25" s="52">
        <f t="shared" si="6"/>
        <v>55471.670440033595</v>
      </c>
      <c r="V25" s="51">
        <f t="shared" ref="V25" si="230">100%/$E$30</f>
        <v>2.7777777777777776E-2</v>
      </c>
      <c r="W25" s="52">
        <f t="shared" si="74"/>
        <v>55471.670440033595</v>
      </c>
      <c r="X25" s="51">
        <f t="shared" ref="X25" si="231">100%/$E$30</f>
        <v>2.7777777777777776E-2</v>
      </c>
      <c r="Y25" s="52">
        <f t="shared" si="75"/>
        <v>55471.670440033595</v>
      </c>
      <c r="Z25" s="51">
        <f t="shared" ref="Z25" si="232">100%/$E$30</f>
        <v>2.7777777777777776E-2</v>
      </c>
      <c r="AA25" s="52">
        <f t="shared" si="76"/>
        <v>55471.670440033595</v>
      </c>
      <c r="AB25" s="51">
        <f t="shared" ref="AB25" si="233">100%/$E$30</f>
        <v>2.7777777777777776E-2</v>
      </c>
      <c r="AC25" s="52">
        <f t="shared" si="77"/>
        <v>55471.670440033595</v>
      </c>
      <c r="AD25" s="51">
        <f t="shared" ref="AD25" si="234">100%/$E$30</f>
        <v>2.7777777777777776E-2</v>
      </c>
      <c r="AE25" s="52">
        <f t="shared" si="78"/>
        <v>55471.670440033595</v>
      </c>
      <c r="AF25" s="51">
        <f t="shared" ref="AF25" si="235">100%/$E$30</f>
        <v>2.7777777777777776E-2</v>
      </c>
      <c r="AG25" s="52">
        <f t="shared" si="79"/>
        <v>55471.670440033595</v>
      </c>
      <c r="AH25" s="51">
        <f t="shared" ref="AH25" si="236">100%/$E$30</f>
        <v>2.7777777777777776E-2</v>
      </c>
      <c r="AI25" s="52">
        <f t="shared" si="80"/>
        <v>55471.670440033595</v>
      </c>
      <c r="AJ25" s="51">
        <f t="shared" ref="AJ25" si="237">100%/$E$30</f>
        <v>2.7777777777777776E-2</v>
      </c>
      <c r="AK25" s="52">
        <f t="shared" si="81"/>
        <v>55471.670440033595</v>
      </c>
      <c r="AL25" s="51">
        <f t="shared" ref="AL25" si="238">100%/$E$30</f>
        <v>2.7777777777777776E-2</v>
      </c>
      <c r="AM25" s="52">
        <f t="shared" si="82"/>
        <v>55471.670440033595</v>
      </c>
      <c r="AN25" s="51">
        <f t="shared" ref="AN25" si="239">100%/$E$30</f>
        <v>2.7777777777777776E-2</v>
      </c>
      <c r="AO25" s="52">
        <f t="shared" si="83"/>
        <v>55471.670440033595</v>
      </c>
      <c r="AP25" s="51">
        <f t="shared" ref="AP25" si="240">100%/$E$30</f>
        <v>2.7777777777777776E-2</v>
      </c>
      <c r="AQ25" s="52">
        <f t="shared" si="84"/>
        <v>55471.670440033595</v>
      </c>
      <c r="AR25" s="51">
        <f t="shared" ref="AR25" si="241">100%/$E$30</f>
        <v>2.7777777777777776E-2</v>
      </c>
      <c r="AS25" s="52">
        <f t="shared" si="85"/>
        <v>55471.670440033595</v>
      </c>
      <c r="AT25" s="51">
        <f t="shared" ref="AT25" si="242">100%/$E$30</f>
        <v>2.7777777777777776E-2</v>
      </c>
      <c r="AU25" s="52">
        <f t="shared" si="86"/>
        <v>55471.670440033595</v>
      </c>
      <c r="AV25" s="51">
        <f t="shared" ref="AV25" si="243">100%/$E$30</f>
        <v>2.7777777777777776E-2</v>
      </c>
      <c r="AW25" s="52">
        <f t="shared" si="87"/>
        <v>55471.670440033595</v>
      </c>
      <c r="AX25" s="51">
        <f t="shared" ref="AX25" si="244">100%/$E$30</f>
        <v>2.7777777777777776E-2</v>
      </c>
      <c r="AY25" s="52">
        <f t="shared" si="88"/>
        <v>55471.670440033595</v>
      </c>
      <c r="AZ25" s="51">
        <f t="shared" ref="AZ25" si="245">100%/$E$30</f>
        <v>2.7777777777777776E-2</v>
      </c>
      <c r="BA25" s="52">
        <f t="shared" si="89"/>
        <v>55471.670440033595</v>
      </c>
      <c r="BB25" s="51">
        <f t="shared" ref="BB25" si="246">100%/$E$30</f>
        <v>2.7777777777777776E-2</v>
      </c>
      <c r="BC25" s="52">
        <f t="shared" si="90"/>
        <v>55471.670440033595</v>
      </c>
      <c r="BD25" s="51">
        <f t="shared" ref="BD25" si="247">100%/$E$30</f>
        <v>2.7777777777777776E-2</v>
      </c>
      <c r="BE25" s="52">
        <f t="shared" si="91"/>
        <v>55471.670440033595</v>
      </c>
      <c r="BF25" s="51">
        <f t="shared" ref="BF25" si="248">100%/$E$30</f>
        <v>2.7777777777777776E-2</v>
      </c>
      <c r="BG25" s="52">
        <f t="shared" si="92"/>
        <v>55471.670440033595</v>
      </c>
      <c r="BH25" s="51">
        <f t="shared" ref="BH25" si="249">100%/$E$30</f>
        <v>2.7777777777777776E-2</v>
      </c>
      <c r="BI25" s="52">
        <f t="shared" si="93"/>
        <v>55471.670440033595</v>
      </c>
      <c r="BJ25" s="51">
        <f t="shared" ref="BJ25" si="250">100%/$E$30</f>
        <v>2.7777777777777776E-2</v>
      </c>
      <c r="BK25" s="52">
        <f t="shared" si="94"/>
        <v>55471.670440033595</v>
      </c>
      <c r="BL25" s="51">
        <f t="shared" ref="BL25" si="251">100%/$E$30</f>
        <v>2.7777777777777776E-2</v>
      </c>
      <c r="BM25" s="52">
        <f t="shared" si="95"/>
        <v>55471.670440033595</v>
      </c>
      <c r="BN25" s="51">
        <f t="shared" ref="BN25" si="252">100%/$E$30</f>
        <v>2.7777777777777776E-2</v>
      </c>
      <c r="BO25" s="52">
        <f t="shared" si="96"/>
        <v>55471.670440033595</v>
      </c>
      <c r="BP25" s="51">
        <f t="shared" ref="BP25" si="253">100%/$E$30</f>
        <v>2.7777777777777776E-2</v>
      </c>
      <c r="BQ25" s="52">
        <f t="shared" si="97"/>
        <v>55471.670440033595</v>
      </c>
      <c r="BR25" s="51">
        <f t="shared" ref="BR25" si="254">100%/$E$30</f>
        <v>2.7777777777777776E-2</v>
      </c>
      <c r="BS25" s="52">
        <f t="shared" si="98"/>
        <v>55471.670440033595</v>
      </c>
      <c r="BT25" s="51">
        <f t="shared" ref="BT25" si="255">100%/$E$30</f>
        <v>2.7777777777777776E-2</v>
      </c>
      <c r="BU25" s="52">
        <f t="shared" si="99"/>
        <v>55471.670440033595</v>
      </c>
      <c r="BV25" s="51">
        <f t="shared" ref="BV25" si="256">100%/$E$30</f>
        <v>2.7777777777777776E-2</v>
      </c>
      <c r="BW25" s="52">
        <f t="shared" si="100"/>
        <v>55471.670440033595</v>
      </c>
      <c r="BX25" s="51">
        <f t="shared" ref="BX25" si="257">100%/$E$30</f>
        <v>2.7777777777777776E-2</v>
      </c>
      <c r="BY25" s="52">
        <f t="shared" si="101"/>
        <v>55471.670440033595</v>
      </c>
      <c r="BZ25" s="51">
        <f t="shared" ref="BZ25" si="258">100%/$E$30</f>
        <v>2.7777777777777776E-2</v>
      </c>
      <c r="CA25" s="52">
        <f t="shared" si="102"/>
        <v>55471.670440033595</v>
      </c>
    </row>
    <row r="26" spans="2:80" ht="19.5" customHeight="1" x14ac:dyDescent="0.25">
      <c r="B26" s="41" t="s">
        <v>61</v>
      </c>
      <c r="C26" s="29">
        <f>SUM(C9:C25)</f>
        <v>68562984.663881525</v>
      </c>
      <c r="D26" s="30">
        <f t="shared" ref="D26" si="259">SUM(D9:D25)</f>
        <v>0.99999999999999967</v>
      </c>
      <c r="E26" s="44">
        <f>SUM(E9:E25)</f>
        <v>9533.7064513631831</v>
      </c>
      <c r="F26"/>
      <c r="H26" s="25"/>
      <c r="I26" s="36">
        <f>SUM(I9:I25)</f>
        <v>2127757.5820187037</v>
      </c>
      <c r="J26" s="33"/>
      <c r="K26" s="36">
        <f>SUM(K9:K25)</f>
        <v>1842369.0868040379</v>
      </c>
      <c r="L26" s="33"/>
      <c r="M26" s="36">
        <f>SUM(M9:M25)</f>
        <v>2361289.9618520285</v>
      </c>
      <c r="N26" s="33"/>
      <c r="O26" s="36">
        <f>SUM(O9:O25)</f>
        <v>2147248.5904410295</v>
      </c>
      <c r="P26" s="33"/>
      <c r="Q26" s="36">
        <f>SUM(Q9:Q25)</f>
        <v>1216516.659721022</v>
      </c>
      <c r="R26" s="33"/>
      <c r="S26" s="36">
        <f>SUM(S9:S25)</f>
        <v>1216516.659721022</v>
      </c>
      <c r="T26" s="33"/>
      <c r="U26" s="36">
        <f>SUM(U9:U25)</f>
        <v>890698.12768427876</v>
      </c>
      <c r="V26" s="33"/>
      <c r="W26" s="36">
        <f>SUM(W9:W25)</f>
        <v>890698.12768427876</v>
      </c>
      <c r="X26" s="33"/>
      <c r="Y26" s="36">
        <f>SUM(Y9:Y25)</f>
        <v>1615202.9312015646</v>
      </c>
      <c r="Z26" s="33"/>
      <c r="AA26" s="36">
        <f>SUM(AA9:AA25)</f>
        <v>1615202.9312015646</v>
      </c>
      <c r="AB26" s="33"/>
      <c r="AC26" s="36">
        <f>SUM(AC9:AC25)</f>
        <v>1615202.9312015646</v>
      </c>
      <c r="AD26" s="33"/>
      <c r="AE26" s="36">
        <f>SUM(AE9:AE25)</f>
        <v>1761010.7017303146</v>
      </c>
      <c r="AF26" s="33"/>
      <c r="AG26" s="36">
        <f>SUM(AG9:AG25)</f>
        <v>1977992.7543017431</v>
      </c>
      <c r="AH26" s="33"/>
      <c r="AI26" s="36">
        <f>SUM(AI9:AI25)</f>
        <v>2071395.9200053897</v>
      </c>
      <c r="AJ26" s="33"/>
      <c r="AK26" s="36">
        <f>SUM(AK9:AK25)</f>
        <v>2071395.9200053897</v>
      </c>
      <c r="AL26" s="33"/>
      <c r="AM26" s="36">
        <f>SUM(AM9:AM25)</f>
        <v>2123195.9804832358</v>
      </c>
      <c r="AN26" s="33"/>
      <c r="AO26" s="36">
        <f>SUM(AO9:AO25)</f>
        <v>2302869.8783914503</v>
      </c>
      <c r="AP26" s="33"/>
      <c r="AQ26" s="36">
        <f>SUM(AQ9:AQ25)</f>
        <v>2386298.4344222196</v>
      </c>
      <c r="AR26" s="33"/>
      <c r="AS26" s="36">
        <f>SUM(AS9:AS25)</f>
        <v>2463358.715328102</v>
      </c>
      <c r="AT26" s="33"/>
      <c r="AU26" s="36">
        <f>SUM(AU9:AU25)</f>
        <v>1817573.5107628256</v>
      </c>
      <c r="AV26" s="33"/>
      <c r="AW26" s="36">
        <f>SUM(AW9:AW25)</f>
        <v>1817573.5107628256</v>
      </c>
      <c r="AX26" s="33"/>
      <c r="AY26" s="36">
        <f>SUM(AY9:AY25)</f>
        <v>1817573.5107628256</v>
      </c>
      <c r="AZ26" s="33"/>
      <c r="BA26" s="36">
        <f>SUM(BA9:BA25)</f>
        <v>2254090.0149615943</v>
      </c>
      <c r="BB26" s="33"/>
      <c r="BC26" s="36">
        <f>SUM(BC9:BC25)</f>
        <v>2254090.0149615943</v>
      </c>
      <c r="BD26" s="33"/>
      <c r="BE26" s="36">
        <f>SUM(BE9:BE25)</f>
        <v>2254090.0149615943</v>
      </c>
      <c r="BF26" s="33"/>
      <c r="BG26" s="36">
        <f>SUM(BG9:BG25)</f>
        <v>2917233.4162449283</v>
      </c>
      <c r="BH26" s="33"/>
      <c r="BI26" s="36">
        <f>SUM(BI9:BI25)</f>
        <v>2606848.1979698525</v>
      </c>
      <c r="BJ26" s="33"/>
      <c r="BK26" s="36">
        <f>SUM(BK9:BK25)</f>
        <v>2461040.4274411025</v>
      </c>
      <c r="BL26" s="33"/>
      <c r="BM26" s="36">
        <f>SUM(BM9:BM25)</f>
        <v>2308980.8353921627</v>
      </c>
      <c r="BN26" s="33"/>
      <c r="BO26" s="36">
        <f>SUM(BO9:BO25)</f>
        <v>2308980.8353921627</v>
      </c>
      <c r="BP26" s="33"/>
      <c r="BQ26" s="36">
        <f>SUM(BQ9:BQ25)</f>
        <v>2225552.2793613933</v>
      </c>
      <c r="BR26" s="33"/>
      <c r="BS26" s="36">
        <f>SUM(BS9:BS25)</f>
        <v>1789035.7751626247</v>
      </c>
      <c r="BT26" s="33"/>
      <c r="BU26" s="36">
        <f>SUM(BU9:BU25)</f>
        <v>1609361.8772544102</v>
      </c>
      <c r="BV26" s="33"/>
      <c r="BW26" s="36">
        <f>SUM(BW9:BW25)</f>
        <v>1609361.8772544102</v>
      </c>
      <c r="BX26" s="33"/>
      <c r="BY26" s="36">
        <f>SUM(BY9:BY25)</f>
        <v>946218.47597107687</v>
      </c>
      <c r="BZ26" s="33"/>
      <c r="CA26" s="36">
        <f>SUM(CA9:CA25)</f>
        <v>869158.19506519451</v>
      </c>
      <c r="CB26" s="31" t="s">
        <v>64</v>
      </c>
    </row>
    <row r="27" spans="2:80" ht="22.5" customHeight="1" thickBot="1" x14ac:dyDescent="0.3">
      <c r="B27" s="45" t="s">
        <v>62</v>
      </c>
      <c r="C27" s="76">
        <v>2811.86</v>
      </c>
      <c r="D27" s="77">
        <v>45505</v>
      </c>
      <c r="E27" s="46">
        <f>+E26/C27</f>
        <v>3.3905338286270235</v>
      </c>
      <c r="F27"/>
      <c r="H27" s="37"/>
      <c r="I27" s="38">
        <f>I26/$C$26</f>
        <v>3.1033619560899756E-2</v>
      </c>
      <c r="J27" s="39"/>
      <c r="K27" s="38">
        <f>K26/$C$26</f>
        <v>2.6871191442962142E-2</v>
      </c>
      <c r="L27" s="39"/>
      <c r="M27" s="38">
        <f>M26/$C$26</f>
        <v>3.4439719528370223E-2</v>
      </c>
      <c r="N27" s="39"/>
      <c r="O27" s="38">
        <f>O26/$C$26</f>
        <v>3.1317898439917016E-2</v>
      </c>
      <c r="P27" s="39"/>
      <c r="Q27" s="38">
        <f>Q26/$C$26</f>
        <v>1.7743052839440842E-2</v>
      </c>
      <c r="R27" s="39"/>
      <c r="S27" s="38">
        <f>S26/$C$26</f>
        <v>1.7743052839440842E-2</v>
      </c>
      <c r="T27" s="39"/>
      <c r="U27" s="38">
        <f>U26/$C$26</f>
        <v>1.2990947404795403E-2</v>
      </c>
      <c r="V27" s="40"/>
      <c r="W27" s="38">
        <f>W26/$C$26</f>
        <v>1.2990947404795403E-2</v>
      </c>
      <c r="X27" s="40"/>
      <c r="Y27" s="38">
        <f>Y26/$C$26</f>
        <v>2.3557943679374881E-2</v>
      </c>
      <c r="Z27" s="40"/>
      <c r="AA27" s="38">
        <f>AA26/$C$26</f>
        <v>2.3557943679374881E-2</v>
      </c>
      <c r="AB27" s="40"/>
      <c r="AC27" s="38">
        <f>AC26/$C$26</f>
        <v>2.3557943679374881E-2</v>
      </c>
      <c r="AD27" s="40"/>
      <c r="AE27" s="38">
        <f>AE26/$C$26</f>
        <v>2.5684568872889252E-2</v>
      </c>
      <c r="AF27" s="40"/>
      <c r="AG27" s="38">
        <f>AG26/$C$26</f>
        <v>2.88492801764468E-2</v>
      </c>
      <c r="AH27" s="40"/>
      <c r="AI27" s="38">
        <f>AI26/$C$26</f>
        <v>3.0211577430009195E-2</v>
      </c>
      <c r="AJ27" s="40"/>
      <c r="AK27" s="38">
        <f>AK26/$C$26</f>
        <v>3.0211577430009195E-2</v>
      </c>
      <c r="AL27" s="40"/>
      <c r="AM27" s="38">
        <f>AM26/$C$26</f>
        <v>3.0967088012458125E-2</v>
      </c>
      <c r="AN27" s="40"/>
      <c r="AO27" s="38">
        <f>AO26/$C$26</f>
        <v>3.3587655054412836E-2</v>
      </c>
      <c r="AP27" s="40"/>
      <c r="AQ27" s="38">
        <f>AQ26/$C$26</f>
        <v>3.4804471335672528E-2</v>
      </c>
      <c r="AR27" s="40"/>
      <c r="AS27" s="38">
        <f>AS26/$C$26</f>
        <v>3.5928405500494219E-2</v>
      </c>
      <c r="AT27" s="40"/>
      <c r="AU27" s="38">
        <f>AU26/$C$26</f>
        <v>2.6509544759073331E-2</v>
      </c>
      <c r="AV27" s="40"/>
      <c r="AW27" s="38">
        <f>AW26/$C$26</f>
        <v>2.6509544759073331E-2</v>
      </c>
      <c r="AX27" s="40"/>
      <c r="AY27" s="38">
        <f>AY26/$C$26</f>
        <v>2.6509544759073331E-2</v>
      </c>
      <c r="AZ27" s="40"/>
      <c r="BA27" s="38">
        <f>BA26/$C$26</f>
        <v>3.2876194436573768E-2</v>
      </c>
      <c r="BB27" s="40"/>
      <c r="BC27" s="38">
        <f>BC26/$C$26</f>
        <v>3.2876194436573768E-2</v>
      </c>
      <c r="BD27" s="40"/>
      <c r="BE27" s="38">
        <f>BE26/$C$26</f>
        <v>3.2876194436573768E-2</v>
      </c>
      <c r="BF27" s="40"/>
      <c r="BG27" s="38">
        <f>BG26/$C$26</f>
        <v>4.2548226722424254E-2</v>
      </c>
      <c r="BH27" s="40"/>
      <c r="BI27" s="38">
        <f>BI26/$C$26</f>
        <v>3.80212181653043E-2</v>
      </c>
      <c r="BJ27" s="40"/>
      <c r="BK27" s="38">
        <f>BK26/$C$26</f>
        <v>3.5894592971789929E-2</v>
      </c>
      <c r="BL27" s="40"/>
      <c r="BM27" s="38">
        <f>BM26/$C$26</f>
        <v>3.3676784152725438E-2</v>
      </c>
      <c r="BN27" s="40"/>
      <c r="BO27" s="38">
        <f>BO26/$C$26</f>
        <v>3.3676784152725438E-2</v>
      </c>
      <c r="BP27" s="40"/>
      <c r="BQ27" s="38">
        <f>BQ26/$C$26</f>
        <v>3.2459967871465753E-2</v>
      </c>
      <c r="BR27" s="40"/>
      <c r="BS27" s="38">
        <f>BS26/$C$26</f>
        <v>2.6093318193965313E-2</v>
      </c>
      <c r="BT27" s="40"/>
      <c r="BU27" s="38">
        <f>BU26/$C$26</f>
        <v>2.3472751152010599E-2</v>
      </c>
      <c r="BV27" s="40"/>
      <c r="BW27" s="38">
        <f>BW26/$C$26</f>
        <v>2.3472751152010599E-2</v>
      </c>
      <c r="BX27" s="40"/>
      <c r="BY27" s="38">
        <f>BY26/$C$26</f>
        <v>1.3800718866160121E-2</v>
      </c>
      <c r="BZ27" s="40"/>
      <c r="CA27" s="38">
        <f>CA26/$C$26</f>
        <v>1.2676784701338427E-2</v>
      </c>
      <c r="CB27" s="32">
        <f>SUM(I26:CA26)</f>
        <v>68562984.663881525</v>
      </c>
    </row>
    <row r="28" spans="2:80" ht="10.5" customHeight="1" thickBot="1" x14ac:dyDescent="0.3">
      <c r="B28" s="22"/>
      <c r="C28" s="22"/>
      <c r="D28" s="23"/>
      <c r="E28" s="23"/>
      <c r="F28"/>
      <c r="H28" s="24"/>
      <c r="I28" s="24"/>
      <c r="J28" s="22"/>
      <c r="K28" s="22"/>
      <c r="L28" s="22"/>
      <c r="M28" s="24"/>
      <c r="N28" s="22"/>
      <c r="O28" s="22"/>
      <c r="P28" s="24"/>
      <c r="Q28" s="24"/>
      <c r="R28" s="22"/>
      <c r="S28" s="22"/>
      <c r="T28" s="24"/>
      <c r="U28" s="24"/>
      <c r="V28" s="22"/>
      <c r="W28" s="22"/>
      <c r="X28" s="24"/>
      <c r="Y28" s="24"/>
      <c r="Z28" s="22"/>
      <c r="AA28" s="22"/>
      <c r="AB28" s="24"/>
      <c r="AC28" s="24"/>
      <c r="AD28" s="22"/>
      <c r="AE28" s="22"/>
      <c r="AF28" s="24"/>
      <c r="AG28" s="24"/>
      <c r="AH28" s="22"/>
      <c r="AI28" s="22"/>
      <c r="AJ28" s="24"/>
      <c r="AK28" s="24"/>
      <c r="AL28" s="22"/>
      <c r="AM28" s="22"/>
      <c r="AN28" s="24"/>
      <c r="AO28" s="24"/>
      <c r="AP28" s="22"/>
      <c r="AQ28" s="22"/>
      <c r="AR28" s="24"/>
      <c r="AS28" s="24"/>
      <c r="AT28" s="22"/>
      <c r="AU28" s="22"/>
      <c r="AV28" s="24"/>
      <c r="AW28" s="24"/>
      <c r="AX28" s="22"/>
      <c r="AY28" s="22"/>
      <c r="AZ28" s="24"/>
      <c r="BA28" s="24"/>
      <c r="BB28" s="22"/>
      <c r="BC28" s="22"/>
      <c r="BD28" s="24"/>
      <c r="BE28" s="24"/>
      <c r="BF28" s="22"/>
      <c r="BG28" s="22"/>
      <c r="BH28" s="24"/>
      <c r="BI28" s="24"/>
      <c r="BJ28" s="22"/>
      <c r="BK28" s="22"/>
      <c r="BL28" s="24"/>
      <c r="BM28" s="24"/>
      <c r="BN28" s="22"/>
      <c r="BO28" s="22"/>
      <c r="BP28" s="24"/>
      <c r="BQ28" s="24"/>
      <c r="BR28" s="22"/>
      <c r="BS28" s="22"/>
      <c r="BT28" s="24"/>
      <c r="BU28" s="24"/>
      <c r="BV28" s="22"/>
      <c r="BW28" s="22"/>
      <c r="BX28" s="24"/>
      <c r="BY28" s="24"/>
      <c r="BZ28" s="22"/>
      <c r="CA28" s="22"/>
    </row>
    <row r="29" spans="2:80" ht="22.5" thickBot="1" x14ac:dyDescent="0.3">
      <c r="B29" s="22"/>
      <c r="C29" s="109" t="s">
        <v>48</v>
      </c>
      <c r="D29" s="110"/>
      <c r="E29" s="60" t="s">
        <v>65</v>
      </c>
      <c r="F29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</row>
    <row r="30" spans="2:80" ht="19.5" customHeight="1" thickBot="1" x14ac:dyDescent="0.3">
      <c r="C30" s="78">
        <v>7191.64</v>
      </c>
      <c r="D30" s="59" t="s">
        <v>49</v>
      </c>
      <c r="E30" s="79">
        <v>36</v>
      </c>
      <c r="F30" s="89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80" ht="19.5" customHeight="1" thickBot="1" x14ac:dyDescent="0.3">
      <c r="C31" s="90" t="s">
        <v>0</v>
      </c>
      <c r="D31" s="91" t="s">
        <v>45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80" ht="19.5" customHeight="1" x14ac:dyDescent="0.25">
      <c r="B32" s="22"/>
      <c r="C32" s="92" t="s">
        <v>1</v>
      </c>
      <c r="D32" s="93">
        <f>I27</f>
        <v>3.1033619560899756E-2</v>
      </c>
      <c r="E32" s="23"/>
      <c r="F32" s="2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94" t="s">
        <v>2</v>
      </c>
      <c r="D33" s="95">
        <f>K27</f>
        <v>2.6871191442962142E-2</v>
      </c>
      <c r="E33" s="23"/>
      <c r="F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94" t="s">
        <v>3</v>
      </c>
      <c r="D34" s="95">
        <f>M27</f>
        <v>3.4439719528370223E-2</v>
      </c>
      <c r="E34" s="23"/>
      <c r="F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94" t="s">
        <v>4</v>
      </c>
      <c r="D35" s="95">
        <f>O27</f>
        <v>3.1317898439917016E-2</v>
      </c>
      <c r="E35" s="23"/>
      <c r="F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94" t="s">
        <v>5</v>
      </c>
      <c r="D36" s="95">
        <f>Q27</f>
        <v>1.7743052839440842E-2</v>
      </c>
      <c r="E36" s="23"/>
      <c r="F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94" t="s">
        <v>6</v>
      </c>
      <c r="D37" s="95">
        <f>S27</f>
        <v>1.7743052839440842E-2</v>
      </c>
      <c r="E37" s="23"/>
      <c r="F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94" t="s">
        <v>7</v>
      </c>
      <c r="D38" s="95">
        <f>U27</f>
        <v>1.2990947404795403E-2</v>
      </c>
      <c r="E38" s="23"/>
      <c r="F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94" t="s">
        <v>8</v>
      </c>
      <c r="D39" s="95">
        <f>W27</f>
        <v>1.2990947404795403E-2</v>
      </c>
      <c r="E39" s="23"/>
      <c r="F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94" t="s">
        <v>9</v>
      </c>
      <c r="D40" s="95">
        <f>Y27</f>
        <v>2.3557943679374881E-2</v>
      </c>
      <c r="E40" s="23"/>
      <c r="F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94" t="s">
        <v>10</v>
      </c>
      <c r="D41" s="95">
        <f>AA27</f>
        <v>2.3557943679374881E-2</v>
      </c>
      <c r="E41" s="23"/>
      <c r="F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94" t="s">
        <v>11</v>
      </c>
      <c r="D42" s="95">
        <f>AC27</f>
        <v>2.3557943679374881E-2</v>
      </c>
      <c r="E42" s="23"/>
      <c r="F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94" t="s">
        <v>12</v>
      </c>
      <c r="D43" s="95">
        <f>AE27</f>
        <v>2.5684568872889252E-2</v>
      </c>
      <c r="E43" s="23"/>
      <c r="F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94" t="s">
        <v>13</v>
      </c>
      <c r="D44" s="95">
        <f>AG27</f>
        <v>2.88492801764468E-2</v>
      </c>
      <c r="E44" s="23"/>
      <c r="F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94" t="s">
        <v>14</v>
      </c>
      <c r="D45" s="95">
        <f>AI27</f>
        <v>3.0211577430009195E-2</v>
      </c>
      <c r="E45" s="23"/>
      <c r="F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94" t="s">
        <v>15</v>
      </c>
      <c r="D46" s="95">
        <f>AK27</f>
        <v>3.0211577430009195E-2</v>
      </c>
      <c r="E46" s="23"/>
      <c r="F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94" t="s">
        <v>16</v>
      </c>
      <c r="D47" s="95">
        <f>AM27</f>
        <v>3.0967088012458125E-2</v>
      </c>
      <c r="E47" s="23"/>
      <c r="F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94" t="s">
        <v>17</v>
      </c>
      <c r="D48" s="95">
        <f>AO27</f>
        <v>3.3587655054412836E-2</v>
      </c>
      <c r="E48" s="23"/>
      <c r="F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94" t="s">
        <v>18</v>
      </c>
      <c r="D49" s="95">
        <f>AQ27</f>
        <v>3.4804471335672528E-2</v>
      </c>
      <c r="E49" s="23"/>
      <c r="F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94" t="s">
        <v>19</v>
      </c>
      <c r="D50" s="95">
        <f>AS27</f>
        <v>3.5928405500494219E-2</v>
      </c>
      <c r="E50" s="23"/>
      <c r="F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94" t="s">
        <v>20</v>
      </c>
      <c r="D51" s="95">
        <f>AU27</f>
        <v>2.6509544759073331E-2</v>
      </c>
      <c r="E51" s="23"/>
      <c r="F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94" t="s">
        <v>21</v>
      </c>
      <c r="D52" s="95">
        <f>AW27</f>
        <v>2.6509544759073331E-2</v>
      </c>
      <c r="E52" s="23"/>
      <c r="F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94" t="s">
        <v>22</v>
      </c>
      <c r="D53" s="95">
        <f>AY27</f>
        <v>2.6509544759073331E-2</v>
      </c>
      <c r="E53" s="23"/>
      <c r="F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94" t="s">
        <v>23</v>
      </c>
      <c r="D54" s="95">
        <f>BA27</f>
        <v>3.2876194436573768E-2</v>
      </c>
      <c r="E54" s="23"/>
      <c r="F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94" t="s">
        <v>24</v>
      </c>
      <c r="D55" s="95">
        <f>BC27</f>
        <v>3.2876194436573768E-2</v>
      </c>
      <c r="E55" s="23"/>
      <c r="F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94" t="s">
        <v>25</v>
      </c>
      <c r="D56" s="95">
        <f>BE27</f>
        <v>3.2876194436573768E-2</v>
      </c>
      <c r="E56" s="23"/>
      <c r="F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94" t="s">
        <v>26</v>
      </c>
      <c r="D57" s="95">
        <f>BG27</f>
        <v>4.2548226722424254E-2</v>
      </c>
      <c r="E57" s="23"/>
      <c r="F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94" t="s">
        <v>27</v>
      </c>
      <c r="D58" s="95">
        <f>BI27</f>
        <v>3.80212181653043E-2</v>
      </c>
      <c r="E58" s="23"/>
      <c r="F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94" t="s">
        <v>28</v>
      </c>
      <c r="D59" s="95">
        <f>BK27</f>
        <v>3.5894592971789929E-2</v>
      </c>
      <c r="E59" s="23"/>
      <c r="F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94" t="s">
        <v>29</v>
      </c>
      <c r="D60" s="95">
        <f>BM27</f>
        <v>3.3676784152725438E-2</v>
      </c>
      <c r="E60" s="23"/>
      <c r="F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94" t="s">
        <v>30</v>
      </c>
      <c r="D61" s="95">
        <f>BO27</f>
        <v>3.3676784152725438E-2</v>
      </c>
      <c r="E61" s="23"/>
      <c r="F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94" t="s">
        <v>31</v>
      </c>
      <c r="D62" s="95">
        <f>BQ27</f>
        <v>3.2459967871465753E-2</v>
      </c>
      <c r="E62" s="23"/>
      <c r="F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94" t="s">
        <v>32</v>
      </c>
      <c r="D63" s="95">
        <f>BS27</f>
        <v>2.6093318193965313E-2</v>
      </c>
      <c r="E63" s="23"/>
      <c r="F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94" t="s">
        <v>33</v>
      </c>
      <c r="D64" s="95">
        <f>BU27</f>
        <v>2.3472751152010599E-2</v>
      </c>
      <c r="E64" s="23"/>
      <c r="F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94" t="s">
        <v>34</v>
      </c>
      <c r="D65" s="95">
        <f>BW27</f>
        <v>2.3472751152010599E-2</v>
      </c>
      <c r="E65" s="23"/>
      <c r="F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94" t="s">
        <v>35</v>
      </c>
      <c r="D66" s="95">
        <f>BY27</f>
        <v>1.3800718866160121E-2</v>
      </c>
      <c r="E66" s="23"/>
      <c r="F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94" t="s">
        <v>36</v>
      </c>
      <c r="D67" s="95">
        <f>CA27</f>
        <v>1.2676784701338427E-2</v>
      </c>
      <c r="E67" s="23"/>
      <c r="F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22"/>
      <c r="D68" s="23"/>
      <c r="E68" s="23"/>
      <c r="F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22"/>
      <c r="D69" s="23"/>
      <c r="E69" s="23"/>
      <c r="F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22"/>
      <c r="D70" s="23"/>
      <c r="E70" s="23"/>
      <c r="F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22"/>
      <c r="D71" s="23"/>
      <c r="E71" s="23"/>
      <c r="F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22"/>
      <c r="D72" s="23"/>
      <c r="E72" s="23"/>
      <c r="F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22"/>
      <c r="D73" s="23"/>
      <c r="E73" s="23"/>
      <c r="F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22"/>
      <c r="D74" s="23"/>
      <c r="E74" s="23"/>
      <c r="F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22"/>
      <c r="D75" s="23"/>
      <c r="E75" s="23"/>
      <c r="F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22"/>
      <c r="D76" s="23"/>
      <c r="E76" s="23"/>
      <c r="F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22"/>
      <c r="D77" s="23"/>
      <c r="E77" s="23"/>
      <c r="F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22"/>
      <c r="D78" s="23"/>
      <c r="E78" s="23"/>
      <c r="F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22"/>
      <c r="D79" s="23"/>
      <c r="E79" s="23"/>
      <c r="F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22"/>
      <c r="D80" s="23"/>
      <c r="E80" s="23"/>
      <c r="F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22"/>
      <c r="D81" s="23"/>
      <c r="E81" s="23"/>
      <c r="F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22"/>
      <c r="D82" s="23"/>
      <c r="E82" s="23"/>
      <c r="F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22"/>
      <c r="D83" s="23"/>
      <c r="E83" s="23"/>
      <c r="F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22"/>
      <c r="D84" s="23"/>
      <c r="E84" s="23"/>
      <c r="F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22"/>
      <c r="D85" s="23"/>
      <c r="E85" s="23"/>
      <c r="F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22"/>
      <c r="D86" s="23"/>
      <c r="E86" s="23"/>
      <c r="F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22"/>
      <c r="D87" s="23"/>
      <c r="E87" s="23"/>
      <c r="F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22"/>
      <c r="D88" s="23"/>
      <c r="E88" s="23"/>
      <c r="F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22"/>
      <c r="D89" s="23"/>
      <c r="E89" s="23"/>
      <c r="F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22"/>
      <c r="D90" s="23"/>
      <c r="E90" s="23"/>
      <c r="F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22"/>
      <c r="D91" s="23"/>
      <c r="E91" s="23"/>
      <c r="F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22"/>
      <c r="D92" s="23"/>
      <c r="E92" s="23"/>
      <c r="F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22"/>
      <c r="D93" s="23"/>
      <c r="E93" s="23"/>
      <c r="F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22"/>
      <c r="D94" s="23"/>
      <c r="E94" s="23"/>
      <c r="F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22"/>
      <c r="D95" s="23"/>
      <c r="E95" s="23"/>
      <c r="F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x14ac:dyDescent="0.25">
      <c r="B96" s="22"/>
      <c r="C96" s="22"/>
      <c r="D96" s="23"/>
      <c r="E96" s="23"/>
      <c r="F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F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F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F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F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F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F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F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F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F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F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F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F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F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F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F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F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F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F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F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F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F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F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F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F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F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F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F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F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F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F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F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F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F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F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F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F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F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F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F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F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F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F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F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F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F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F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F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F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F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F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F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F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F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F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F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F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F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F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F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F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F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F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F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F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F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F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F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F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F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F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F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F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F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F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F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F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F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F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F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F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F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F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F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F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F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F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F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F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F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F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F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F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F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F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F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F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F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F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F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F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F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F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F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F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F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F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F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F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F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F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F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F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F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F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F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F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F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F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F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F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F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F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F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F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F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F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F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F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F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F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F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F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F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F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F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F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F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F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F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F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F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F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F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F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F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F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F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F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F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F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F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F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F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F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F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F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F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F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F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F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F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F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F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F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F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F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F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F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F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F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F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F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F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F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F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F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F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F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F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F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F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F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F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F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F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F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F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F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F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F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F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F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F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F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F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F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F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F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F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F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F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F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F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F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F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F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F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F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F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F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F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F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F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F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F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F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F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F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F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F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F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F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F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F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F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F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F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F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F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F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F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F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F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F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F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F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F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F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F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F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F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F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F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F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F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F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F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F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F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F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F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F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F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F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F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F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F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F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F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F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F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F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F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F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F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F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F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F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F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F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F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F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F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F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F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F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F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F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F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F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F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F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F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F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F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F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F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F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F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F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F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F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F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F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F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F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F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F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F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F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F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F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F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F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F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F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F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F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F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F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F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F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F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F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F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F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F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F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F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F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F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F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F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F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F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F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F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F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F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F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F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F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F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F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F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F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F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F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F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F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F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F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F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F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F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F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F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F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F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F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F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F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F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F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F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F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F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F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F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F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F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F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F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F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F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F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F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F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F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F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F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F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F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F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F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F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F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F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F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F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F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F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F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F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F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F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F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F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F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F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F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F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F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F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F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F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F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F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F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F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F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F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F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F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F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F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F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F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F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F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F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F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F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F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F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F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F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F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F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F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F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F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F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F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F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F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F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F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F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F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F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F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F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F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F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F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F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F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F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F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F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F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F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F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F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F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F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F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F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F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F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F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F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F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F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F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F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F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F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F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F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F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F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F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F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F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F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F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F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F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F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F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F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F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F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F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F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F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F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F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F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F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F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F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F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F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F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F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F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F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F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F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F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F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F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F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F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F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F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F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F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F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F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F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F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F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F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F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F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F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F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F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F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F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F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F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F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F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F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F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F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F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F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F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F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F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F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F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F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F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F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F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F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F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F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F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F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F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F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F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F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F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F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F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F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F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F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F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F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F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F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F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F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F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F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F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F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F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F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F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F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F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F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F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F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F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F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F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F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F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F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F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F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F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F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F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F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F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F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F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F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F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F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F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F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F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F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F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F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F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F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F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F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F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F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F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F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F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F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F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F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F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F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F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F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F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F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F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F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F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F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F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F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F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F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F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F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F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F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F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F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F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F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F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F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F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F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F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F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F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F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F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F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F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F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F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F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F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F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F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F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F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F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F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F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F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F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F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F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F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F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F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F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F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F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F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F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F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F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F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F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F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F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F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F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F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F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F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F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F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F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F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F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F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F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F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F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F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F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F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F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F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F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F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F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F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F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F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F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F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F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F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E789" s="23"/>
      <c r="F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E790" s="23"/>
      <c r="F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E791" s="23"/>
      <c r="F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E792" s="23"/>
      <c r="F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E793" s="23"/>
      <c r="F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E794" s="23"/>
      <c r="F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E795" s="23"/>
      <c r="F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E796" s="23"/>
      <c r="F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E797" s="23"/>
      <c r="F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E798" s="23"/>
      <c r="F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E799" s="23"/>
      <c r="F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E800" s="23"/>
      <c r="F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E801" s="23"/>
      <c r="F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E802" s="23"/>
      <c r="F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E803" s="23"/>
      <c r="F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E804" s="23"/>
      <c r="F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E805" s="23"/>
      <c r="F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E806" s="23"/>
      <c r="F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E807" s="23"/>
      <c r="F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E808" s="23"/>
      <c r="F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E809" s="23"/>
      <c r="F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E810" s="23"/>
      <c r="F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E811" s="23"/>
      <c r="F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E812" s="23"/>
      <c r="F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E813" s="23"/>
      <c r="F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E814" s="23"/>
      <c r="F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E815" s="23"/>
      <c r="F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E816" s="23"/>
      <c r="F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E817" s="23"/>
      <c r="F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F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F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F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F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F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F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F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F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F826" s="23"/>
    </row>
    <row r="827" spans="2:20" ht="19.5" customHeight="1" x14ac:dyDescent="0.25">
      <c r="B827" s="22"/>
      <c r="E827" s="23"/>
      <c r="F827" s="23"/>
    </row>
    <row r="828" spans="2:20" ht="19.5" customHeight="1" x14ac:dyDescent="0.25">
      <c r="B828" s="22"/>
      <c r="E828" s="23"/>
      <c r="F828" s="23"/>
    </row>
    <row r="829" spans="2:20" ht="15" customHeight="1" x14ac:dyDescent="0.25">
      <c r="B829" s="22"/>
      <c r="E829" s="23"/>
      <c r="F829" s="23"/>
    </row>
  </sheetData>
  <mergeCells count="44"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  <mergeCell ref="C29:D29"/>
    <mergeCell ref="BR7:BS7"/>
    <mergeCell ref="BT7:BU7"/>
    <mergeCell ref="BN7:BO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BV7:BW7"/>
    <mergeCell ref="BX7:BY7"/>
    <mergeCell ref="BZ7:CA7"/>
    <mergeCell ref="BP7:BQ7"/>
    <mergeCell ref="AT7:AU7"/>
    <mergeCell ref="AV7:AW7"/>
    <mergeCell ref="AX7:AY7"/>
    <mergeCell ref="AZ7:BA7"/>
    <mergeCell ref="BB7:BC7"/>
    <mergeCell ref="BJ7:BK7"/>
    <mergeCell ref="BL7:BM7"/>
    <mergeCell ref="BD7:BE7"/>
    <mergeCell ref="BF7:BG7"/>
    <mergeCell ref="BH7:BI7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BN52"/>
  <sheetViews>
    <sheetView showGridLines="0" zoomScale="46" zoomScaleNormal="46" workbookViewId="0">
      <selection activeCell="B5" sqref="B5:BN5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65" width="9.140625" style="3"/>
    <col min="66" max="66" width="3.42578125" style="3" customWidth="1"/>
    <col min="67" max="16384" width="9.140625" style="3"/>
  </cols>
  <sheetData>
    <row r="1" spans="2:66" ht="5.25" customHeight="1" x14ac:dyDescent="0.25"/>
    <row r="2" spans="2:66" ht="14.25" customHeight="1" x14ac:dyDescent="0.25">
      <c r="B2" s="129" t="s">
        <v>42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1"/>
    </row>
    <row r="3" spans="2:66" ht="10.5" customHeight="1" x14ac:dyDescent="0.25">
      <c r="B3" s="132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4"/>
    </row>
    <row r="4" spans="2:66" ht="51.75" customHeight="1" x14ac:dyDescent="0.25"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4"/>
    </row>
    <row r="5" spans="2:66" ht="64.5" customHeight="1" x14ac:dyDescent="0.25">
      <c r="B5" s="135" t="s">
        <v>70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7"/>
    </row>
    <row r="6" spans="2:66" ht="17.25" customHeight="1" x14ac:dyDescent="0.25">
      <c r="E6" s="5"/>
      <c r="F6" s="5"/>
    </row>
    <row r="7" spans="2:66" ht="15.75" customHeight="1" x14ac:dyDescent="0.25">
      <c r="E7" s="5"/>
      <c r="F7" s="5"/>
    </row>
    <row r="8" spans="2:66" ht="65.099999999999994" customHeight="1" x14ac:dyDescent="0.25">
      <c r="B8" s="6" t="s">
        <v>0</v>
      </c>
      <c r="C8" s="6" t="s">
        <v>37</v>
      </c>
      <c r="D8" s="6" t="s">
        <v>38</v>
      </c>
      <c r="E8" s="7" t="s">
        <v>39</v>
      </c>
      <c r="F8" s="7" t="s">
        <v>40</v>
      </c>
      <c r="G8" s="2"/>
    </row>
    <row r="9" spans="2:66" ht="27" customHeight="1" x14ac:dyDescent="0.25">
      <c r="B9" s="8">
        <v>1</v>
      </c>
      <c r="C9" s="9">
        <f>'DISTRIBUIÇÃO CUSTO'!D32</f>
        <v>3.1033619560899756E-2</v>
      </c>
      <c r="D9" s="10">
        <f>C9</f>
        <v>3.1033619560899756E-2</v>
      </c>
      <c r="E9" s="11">
        <f t="shared" ref="E9:E37" si="0">C9*$F$45</f>
        <v>2127757.5820187037</v>
      </c>
      <c r="F9" s="11">
        <f>E9</f>
        <v>2127757.5820187037</v>
      </c>
      <c r="G9" s="2"/>
    </row>
    <row r="10" spans="2:66" ht="27" customHeight="1" x14ac:dyDescent="0.25">
      <c r="B10" s="8">
        <v>2</v>
      </c>
      <c r="C10" s="9">
        <f>'DISTRIBUIÇÃO CUSTO'!D33</f>
        <v>2.6871191442962142E-2</v>
      </c>
      <c r="D10" s="10">
        <f>C10+D9</f>
        <v>5.7904811003861897E-2</v>
      </c>
      <c r="E10" s="11">
        <f t="shared" si="0"/>
        <v>1842369.0868040379</v>
      </c>
      <c r="F10" s="11">
        <f>F9+E10</f>
        <v>3970126.6688227416</v>
      </c>
      <c r="G10" s="2"/>
    </row>
    <row r="11" spans="2:66" ht="27" customHeight="1" x14ac:dyDescent="0.25">
      <c r="B11" s="8">
        <v>3</v>
      </c>
      <c r="C11" s="9">
        <f>'DISTRIBUIÇÃO CUSTO'!D34</f>
        <v>3.4439719528370223E-2</v>
      </c>
      <c r="D11" s="10">
        <f t="shared" ref="D11:D37" si="1">C11+D10</f>
        <v>9.2344530532232127E-2</v>
      </c>
      <c r="E11" s="11">
        <f t="shared" si="0"/>
        <v>2361289.9618520285</v>
      </c>
      <c r="F11" s="11">
        <f>F10+E11</f>
        <v>6331416.6306747701</v>
      </c>
      <c r="G11" s="2"/>
    </row>
    <row r="12" spans="2:66" ht="27" customHeight="1" x14ac:dyDescent="0.25">
      <c r="B12" s="8">
        <v>4</v>
      </c>
      <c r="C12" s="9">
        <f>'DISTRIBUIÇÃO CUSTO'!D35</f>
        <v>3.1317898439917016E-2</v>
      </c>
      <c r="D12" s="10">
        <f t="shared" si="1"/>
        <v>0.12366242897214914</v>
      </c>
      <c r="E12" s="11">
        <f t="shared" si="0"/>
        <v>2147248.5904410295</v>
      </c>
      <c r="F12" s="11">
        <f t="shared" ref="F12:F37" si="2">F11+E12</f>
        <v>8478665.2211157996</v>
      </c>
      <c r="G12" s="2"/>
    </row>
    <row r="13" spans="2:66" ht="27" customHeight="1" x14ac:dyDescent="0.25">
      <c r="B13" s="8">
        <v>5</v>
      </c>
      <c r="C13" s="9">
        <f>'DISTRIBUIÇÃO CUSTO'!D36</f>
        <v>1.7743052839440842E-2</v>
      </c>
      <c r="D13" s="10">
        <f t="shared" si="1"/>
        <v>0.14140548181158999</v>
      </c>
      <c r="E13" s="11">
        <f t="shared" si="0"/>
        <v>1216516.659721022</v>
      </c>
      <c r="F13" s="11">
        <f t="shared" si="2"/>
        <v>9695181.8808368221</v>
      </c>
      <c r="G13" s="2"/>
    </row>
    <row r="14" spans="2:66" ht="27" customHeight="1" x14ac:dyDescent="0.25">
      <c r="B14" s="8">
        <v>6</v>
      </c>
      <c r="C14" s="9">
        <f>'DISTRIBUIÇÃO CUSTO'!D37</f>
        <v>1.7743052839440842E-2</v>
      </c>
      <c r="D14" s="10">
        <f t="shared" si="1"/>
        <v>0.15914853465103082</v>
      </c>
      <c r="E14" s="11">
        <f t="shared" si="0"/>
        <v>1216516.659721022</v>
      </c>
      <c r="F14" s="11">
        <f t="shared" si="2"/>
        <v>10911698.540557845</v>
      </c>
      <c r="G14" s="2"/>
    </row>
    <row r="15" spans="2:66" ht="27" customHeight="1" x14ac:dyDescent="0.25">
      <c r="B15" s="8">
        <v>7</v>
      </c>
      <c r="C15" s="9">
        <f>'DISTRIBUIÇÃO CUSTO'!D38</f>
        <v>1.2990947404795403E-2</v>
      </c>
      <c r="D15" s="10">
        <f t="shared" si="1"/>
        <v>0.17213948205582622</v>
      </c>
      <c r="E15" s="11">
        <f t="shared" si="0"/>
        <v>890698.12768427876</v>
      </c>
      <c r="F15" s="11">
        <f t="shared" si="2"/>
        <v>11802396.668242123</v>
      </c>
      <c r="G15" s="2"/>
    </row>
    <row r="16" spans="2:66" ht="27" customHeight="1" x14ac:dyDescent="0.25">
      <c r="B16" s="8">
        <v>8</v>
      </c>
      <c r="C16" s="9">
        <f>'DISTRIBUIÇÃO CUSTO'!D39</f>
        <v>1.2990947404795403E-2</v>
      </c>
      <c r="D16" s="10">
        <f t="shared" si="1"/>
        <v>0.18513042946062161</v>
      </c>
      <c r="E16" s="11">
        <f t="shared" si="0"/>
        <v>890698.12768427876</v>
      </c>
      <c r="F16" s="11">
        <f t="shared" si="2"/>
        <v>12693094.795926401</v>
      </c>
      <c r="G16" s="2"/>
    </row>
    <row r="17" spans="2:7" ht="27" customHeight="1" x14ac:dyDescent="0.25">
      <c r="B17" s="8">
        <v>9</v>
      </c>
      <c r="C17" s="9">
        <f>'DISTRIBUIÇÃO CUSTO'!D40</f>
        <v>2.3557943679374881E-2</v>
      </c>
      <c r="D17" s="10">
        <f t="shared" si="1"/>
        <v>0.2086883731399965</v>
      </c>
      <c r="E17" s="11">
        <f t="shared" si="0"/>
        <v>1615202.9312015646</v>
      </c>
      <c r="F17" s="11">
        <f t="shared" si="2"/>
        <v>14308297.727127966</v>
      </c>
      <c r="G17" s="2"/>
    </row>
    <row r="18" spans="2:7" ht="27" customHeight="1" x14ac:dyDescent="0.25">
      <c r="B18" s="8">
        <v>10</v>
      </c>
      <c r="C18" s="9">
        <f>'DISTRIBUIÇÃO CUSTO'!D41</f>
        <v>2.3557943679374881E-2</v>
      </c>
      <c r="D18" s="10">
        <f t="shared" si="1"/>
        <v>0.23224631681937138</v>
      </c>
      <c r="E18" s="11">
        <f t="shared" si="0"/>
        <v>1615202.9312015646</v>
      </c>
      <c r="F18" s="11">
        <f t="shared" si="2"/>
        <v>15923500.65832953</v>
      </c>
      <c r="G18" s="2"/>
    </row>
    <row r="19" spans="2:7" ht="27" customHeight="1" x14ac:dyDescent="0.25">
      <c r="B19" s="8">
        <v>11</v>
      </c>
      <c r="C19" s="9">
        <f>'DISTRIBUIÇÃO CUSTO'!D42</f>
        <v>2.3557943679374881E-2</v>
      </c>
      <c r="D19" s="10">
        <f t="shared" si="1"/>
        <v>0.25580426049874627</v>
      </c>
      <c r="E19" s="11">
        <f t="shared" si="0"/>
        <v>1615202.9312015646</v>
      </c>
      <c r="F19" s="11">
        <f t="shared" si="2"/>
        <v>17538703.589531094</v>
      </c>
      <c r="G19" s="2"/>
    </row>
    <row r="20" spans="2:7" ht="27" customHeight="1" x14ac:dyDescent="0.25">
      <c r="B20" s="8">
        <v>12</v>
      </c>
      <c r="C20" s="9">
        <f>'DISTRIBUIÇÃO CUSTO'!D43</f>
        <v>2.5684568872889252E-2</v>
      </c>
      <c r="D20" s="10">
        <f t="shared" si="1"/>
        <v>0.28148882937163555</v>
      </c>
      <c r="E20" s="11">
        <f t="shared" si="0"/>
        <v>1761010.7017303146</v>
      </c>
      <c r="F20" s="11">
        <f t="shared" si="2"/>
        <v>19299714.291261408</v>
      </c>
      <c r="G20" s="2"/>
    </row>
    <row r="21" spans="2:7" ht="27" customHeight="1" x14ac:dyDescent="0.25">
      <c r="B21" s="8">
        <v>13</v>
      </c>
      <c r="C21" s="9">
        <f>'DISTRIBUIÇÃO CUSTO'!D44</f>
        <v>2.88492801764468E-2</v>
      </c>
      <c r="D21" s="10">
        <f t="shared" si="1"/>
        <v>0.31033810954808233</v>
      </c>
      <c r="E21" s="11">
        <f t="shared" si="0"/>
        <v>1977992.7543017431</v>
      </c>
      <c r="F21" s="11">
        <f t="shared" si="2"/>
        <v>21277707.04556315</v>
      </c>
      <c r="G21" s="2"/>
    </row>
    <row r="22" spans="2:7" ht="27" customHeight="1" x14ac:dyDescent="0.25">
      <c r="B22" s="8">
        <v>14</v>
      </c>
      <c r="C22" s="9">
        <f>'DISTRIBUIÇÃO CUSTO'!D45</f>
        <v>3.0211577430009195E-2</v>
      </c>
      <c r="D22" s="10">
        <f t="shared" si="1"/>
        <v>0.34054968697809151</v>
      </c>
      <c r="E22" s="11">
        <f t="shared" si="0"/>
        <v>2071395.9200053897</v>
      </c>
      <c r="F22" s="11">
        <f t="shared" si="2"/>
        <v>23349102.965568539</v>
      </c>
      <c r="G22" s="2"/>
    </row>
    <row r="23" spans="2:7" ht="27" customHeight="1" x14ac:dyDescent="0.25">
      <c r="B23" s="8">
        <v>15</v>
      </c>
      <c r="C23" s="9">
        <f>'DISTRIBUIÇÃO CUSTO'!D46</f>
        <v>3.0211577430009195E-2</v>
      </c>
      <c r="D23" s="10">
        <f t="shared" si="1"/>
        <v>0.3707612644081007</v>
      </c>
      <c r="E23" s="11">
        <f t="shared" si="0"/>
        <v>2071395.9200053897</v>
      </c>
      <c r="F23" s="11">
        <f t="shared" si="2"/>
        <v>25420498.885573927</v>
      </c>
      <c r="G23" s="2"/>
    </row>
    <row r="24" spans="2:7" ht="27" customHeight="1" x14ac:dyDescent="0.25">
      <c r="B24" s="8">
        <v>16</v>
      </c>
      <c r="C24" s="9">
        <f>'DISTRIBUIÇÃO CUSTO'!D47</f>
        <v>3.0967088012458125E-2</v>
      </c>
      <c r="D24" s="10">
        <f t="shared" si="1"/>
        <v>0.40172835242055882</v>
      </c>
      <c r="E24" s="11">
        <f t="shared" si="0"/>
        <v>2123195.9804832358</v>
      </c>
      <c r="F24" s="11">
        <f t="shared" si="2"/>
        <v>27543694.866057165</v>
      </c>
      <c r="G24" s="2"/>
    </row>
    <row r="25" spans="2:7" ht="27" customHeight="1" x14ac:dyDescent="0.25">
      <c r="B25" s="8">
        <v>17</v>
      </c>
      <c r="C25" s="9">
        <f>'DISTRIBUIÇÃO CUSTO'!D48</f>
        <v>3.3587655054412836E-2</v>
      </c>
      <c r="D25" s="10">
        <f t="shared" si="1"/>
        <v>0.43531600747497168</v>
      </c>
      <c r="E25" s="11">
        <f t="shared" si="0"/>
        <v>2302869.8783914503</v>
      </c>
      <c r="F25" s="11">
        <f t="shared" si="2"/>
        <v>29846564.744448617</v>
      </c>
      <c r="G25" s="2"/>
    </row>
    <row r="26" spans="2:7" ht="27" customHeight="1" x14ac:dyDescent="0.25">
      <c r="B26" s="8">
        <v>18</v>
      </c>
      <c r="C26" s="9">
        <f>'DISTRIBUIÇÃO CUSTO'!D49</f>
        <v>3.4804471335672528E-2</v>
      </c>
      <c r="D26" s="10">
        <f t="shared" si="1"/>
        <v>0.47012047881064423</v>
      </c>
      <c r="E26" s="11">
        <f t="shared" si="0"/>
        <v>2386298.4344222196</v>
      </c>
      <c r="F26" s="11">
        <f t="shared" si="2"/>
        <v>32232863.178870838</v>
      </c>
      <c r="G26" s="2"/>
    </row>
    <row r="27" spans="2:7" ht="27" customHeight="1" x14ac:dyDescent="0.25">
      <c r="B27" s="8">
        <v>19</v>
      </c>
      <c r="C27" s="9">
        <f>'DISTRIBUIÇÃO CUSTO'!D50</f>
        <v>3.5928405500494219E-2</v>
      </c>
      <c r="D27" s="10">
        <f t="shared" si="1"/>
        <v>0.50604888431113848</v>
      </c>
      <c r="E27" s="11">
        <f t="shared" si="0"/>
        <v>2463358.715328102</v>
      </c>
      <c r="F27" s="11">
        <f>F26+E27</f>
        <v>34696221.894198939</v>
      </c>
      <c r="G27" s="2"/>
    </row>
    <row r="28" spans="2:7" ht="27" customHeight="1" x14ac:dyDescent="0.25">
      <c r="B28" s="8">
        <v>20</v>
      </c>
      <c r="C28" s="9">
        <f>'DISTRIBUIÇÃO CUSTO'!D51</f>
        <v>2.6509544759073331E-2</v>
      </c>
      <c r="D28" s="10">
        <f t="shared" si="1"/>
        <v>0.53255842907021178</v>
      </c>
      <c r="E28" s="11">
        <f t="shared" si="0"/>
        <v>1817573.5107628256</v>
      </c>
      <c r="F28" s="11">
        <f t="shared" si="2"/>
        <v>36513795.404961765</v>
      </c>
      <c r="G28" s="2"/>
    </row>
    <row r="29" spans="2:7" ht="27" customHeight="1" x14ac:dyDescent="0.25">
      <c r="B29" s="8">
        <v>21</v>
      </c>
      <c r="C29" s="9">
        <f>'DISTRIBUIÇÃO CUSTO'!D52</f>
        <v>2.6509544759073331E-2</v>
      </c>
      <c r="D29" s="10">
        <f t="shared" si="1"/>
        <v>0.55906797382928508</v>
      </c>
      <c r="E29" s="11">
        <f t="shared" si="0"/>
        <v>1817573.5107628256</v>
      </c>
      <c r="F29" s="11">
        <f t="shared" si="2"/>
        <v>38331368.91572459</v>
      </c>
      <c r="G29" s="2"/>
    </row>
    <row r="30" spans="2:7" ht="27" customHeight="1" x14ac:dyDescent="0.25">
      <c r="B30" s="8">
        <v>22</v>
      </c>
      <c r="C30" s="9">
        <f>'DISTRIBUIÇÃO CUSTO'!D53</f>
        <v>2.6509544759073331E-2</v>
      </c>
      <c r="D30" s="10">
        <f t="shared" si="1"/>
        <v>0.58557751858835838</v>
      </c>
      <c r="E30" s="11">
        <f t="shared" si="0"/>
        <v>1817573.5107628256</v>
      </c>
      <c r="F30" s="11">
        <f t="shared" si="2"/>
        <v>40148942.426487416</v>
      </c>
      <c r="G30" s="2"/>
    </row>
    <row r="31" spans="2:7" ht="27" customHeight="1" x14ac:dyDescent="0.25">
      <c r="B31" s="8">
        <v>23</v>
      </c>
      <c r="C31" s="9">
        <f>'DISTRIBUIÇÃO CUSTO'!D54</f>
        <v>3.2876194436573768E-2</v>
      </c>
      <c r="D31" s="10">
        <f t="shared" si="1"/>
        <v>0.61845371302493213</v>
      </c>
      <c r="E31" s="11">
        <f t="shared" si="0"/>
        <v>2254090.0149615943</v>
      </c>
      <c r="F31" s="11">
        <f t="shared" si="2"/>
        <v>42403032.441449009</v>
      </c>
      <c r="G31" s="2"/>
    </row>
    <row r="32" spans="2:7" ht="27" customHeight="1" x14ac:dyDescent="0.25">
      <c r="B32" s="8">
        <v>24</v>
      </c>
      <c r="C32" s="9">
        <f>'DISTRIBUIÇÃO CUSTO'!D55</f>
        <v>3.2876194436573768E-2</v>
      </c>
      <c r="D32" s="10">
        <f t="shared" si="1"/>
        <v>0.65132990746150587</v>
      </c>
      <c r="E32" s="11">
        <f t="shared" si="0"/>
        <v>2254090.0149615943</v>
      </c>
      <c r="F32" s="11">
        <f t="shared" si="2"/>
        <v>44657122.456410602</v>
      </c>
      <c r="G32" s="2"/>
    </row>
    <row r="33" spans="2:66" ht="27" customHeight="1" x14ac:dyDescent="0.25">
      <c r="B33" s="8">
        <v>25</v>
      </c>
      <c r="C33" s="9">
        <f>'DISTRIBUIÇÃO CUSTO'!D56</f>
        <v>3.2876194436573768E-2</v>
      </c>
      <c r="D33" s="10">
        <f t="shared" si="1"/>
        <v>0.68420610189807962</v>
      </c>
      <c r="E33" s="11">
        <f t="shared" si="0"/>
        <v>2254090.0149615943</v>
      </c>
      <c r="F33" s="11">
        <f t="shared" si="2"/>
        <v>46911212.471372195</v>
      </c>
      <c r="G33" s="2"/>
    </row>
    <row r="34" spans="2:66" ht="27" customHeight="1" x14ac:dyDescent="0.25">
      <c r="B34" s="8">
        <v>26</v>
      </c>
      <c r="C34" s="9">
        <f>'DISTRIBUIÇÃO CUSTO'!D57</f>
        <v>4.2548226722424254E-2</v>
      </c>
      <c r="D34" s="10">
        <f t="shared" si="1"/>
        <v>0.72675432862050382</v>
      </c>
      <c r="E34" s="11">
        <f t="shared" si="0"/>
        <v>2917233.4162449283</v>
      </c>
      <c r="F34" s="11">
        <f t="shared" si="2"/>
        <v>49828445.887617126</v>
      </c>
      <c r="G34" s="2"/>
    </row>
    <row r="35" spans="2:66" ht="27" customHeight="1" x14ac:dyDescent="0.25">
      <c r="B35" s="8">
        <v>27</v>
      </c>
      <c r="C35" s="9">
        <f>'DISTRIBUIÇÃO CUSTO'!D58</f>
        <v>3.80212181653043E-2</v>
      </c>
      <c r="D35" s="10">
        <f t="shared" si="1"/>
        <v>0.76477554678580817</v>
      </c>
      <c r="E35" s="11">
        <f t="shared" si="0"/>
        <v>2606848.1979698525</v>
      </c>
      <c r="F35" s="11">
        <f t="shared" si="2"/>
        <v>52435294.08558698</v>
      </c>
      <c r="G35" s="2"/>
    </row>
    <row r="36" spans="2:66" ht="27" customHeight="1" x14ac:dyDescent="0.25">
      <c r="B36" s="8">
        <v>28</v>
      </c>
      <c r="C36" s="9">
        <f>'DISTRIBUIÇÃO CUSTO'!D59</f>
        <v>3.5894592971789929E-2</v>
      </c>
      <c r="D36" s="10">
        <f t="shared" si="1"/>
        <v>0.80067013975759815</v>
      </c>
      <c r="E36" s="11">
        <f t="shared" si="0"/>
        <v>2461040.4274411025</v>
      </c>
      <c r="F36" s="11">
        <f t="shared" si="2"/>
        <v>54896334.513028085</v>
      </c>
      <c r="G36" s="2"/>
    </row>
    <row r="37" spans="2:66" ht="27" customHeight="1" x14ac:dyDescent="0.25">
      <c r="B37" s="8">
        <v>29</v>
      </c>
      <c r="C37" s="9">
        <f>'DISTRIBUIÇÃO CUSTO'!D60</f>
        <v>3.3676784152725438E-2</v>
      </c>
      <c r="D37" s="10">
        <f t="shared" si="1"/>
        <v>0.83434692391032361</v>
      </c>
      <c r="E37" s="11">
        <f t="shared" si="0"/>
        <v>2308980.8353921627</v>
      </c>
      <c r="F37" s="11">
        <f t="shared" si="2"/>
        <v>57205315.348420247</v>
      </c>
      <c r="G37" s="2"/>
    </row>
    <row r="38" spans="2:66" ht="27" customHeight="1" x14ac:dyDescent="0.25">
      <c r="B38" s="8">
        <v>30</v>
      </c>
      <c r="C38" s="9">
        <f>'DISTRIBUIÇÃO CUSTO'!D61</f>
        <v>3.3676784152725438E-2</v>
      </c>
      <c r="D38" s="10">
        <f t="shared" ref="D38:D44" si="3">C38+D37</f>
        <v>0.86802370806304907</v>
      </c>
      <c r="E38" s="11">
        <f t="shared" ref="E38:E44" si="4">C38*$F$45</f>
        <v>2308980.8353921627</v>
      </c>
      <c r="F38" s="11">
        <f t="shared" ref="F38:F44" si="5">F37+E38</f>
        <v>59514296.18381241</v>
      </c>
      <c r="G38" s="2"/>
    </row>
    <row r="39" spans="2:66" ht="27" customHeight="1" x14ac:dyDescent="0.25">
      <c r="B39" s="8">
        <v>31</v>
      </c>
      <c r="C39" s="9">
        <f>'DISTRIBUIÇÃO CUSTO'!D62</f>
        <v>3.2459967871465753E-2</v>
      </c>
      <c r="D39" s="10">
        <f t="shared" si="3"/>
        <v>0.90048367593451484</v>
      </c>
      <c r="E39" s="11">
        <f t="shared" si="4"/>
        <v>2225552.2793613933</v>
      </c>
      <c r="F39" s="11">
        <f t="shared" si="5"/>
        <v>61739848.463173807</v>
      </c>
      <c r="G39" s="2"/>
    </row>
    <row r="40" spans="2:66" ht="27" customHeight="1" x14ac:dyDescent="0.25">
      <c r="B40" s="8">
        <v>32</v>
      </c>
      <c r="C40" s="9">
        <f>'DISTRIBUIÇÃO CUSTO'!D63</f>
        <v>2.6093318193965313E-2</v>
      </c>
      <c r="D40" s="10">
        <f t="shared" si="3"/>
        <v>0.92657699412848016</v>
      </c>
      <c r="E40" s="11">
        <f t="shared" si="4"/>
        <v>1789035.7751626247</v>
      </c>
      <c r="F40" s="11">
        <f t="shared" si="5"/>
        <v>63528884.238336429</v>
      </c>
      <c r="G40" s="2"/>
    </row>
    <row r="41" spans="2:66" ht="27" customHeight="1" x14ac:dyDescent="0.25">
      <c r="B41" s="8">
        <v>33</v>
      </c>
      <c r="C41" s="9">
        <f>'DISTRIBUIÇÃO CUSTO'!D64</f>
        <v>2.3472751152010599E-2</v>
      </c>
      <c r="D41" s="10">
        <f t="shared" si="3"/>
        <v>0.9500497452804908</v>
      </c>
      <c r="E41" s="11">
        <f t="shared" si="4"/>
        <v>1609361.8772544102</v>
      </c>
      <c r="F41" s="11">
        <f t="shared" si="5"/>
        <v>65138246.115590841</v>
      </c>
      <c r="G41" s="2"/>
    </row>
    <row r="42" spans="2:66" ht="27" customHeight="1" x14ac:dyDescent="0.25">
      <c r="B42" s="8">
        <v>34</v>
      </c>
      <c r="C42" s="9">
        <f>'DISTRIBUIÇÃO CUSTO'!D65</f>
        <v>2.3472751152010599E-2</v>
      </c>
      <c r="D42" s="10">
        <f t="shared" si="3"/>
        <v>0.97352249643250144</v>
      </c>
      <c r="E42" s="11">
        <f t="shared" si="4"/>
        <v>1609361.8772544102</v>
      </c>
      <c r="F42" s="11">
        <f t="shared" si="5"/>
        <v>66747607.992845252</v>
      </c>
      <c r="G42" s="2"/>
    </row>
    <row r="43" spans="2:66" ht="27" customHeight="1" x14ac:dyDescent="0.25">
      <c r="B43" s="8">
        <v>35</v>
      </c>
      <c r="C43" s="9">
        <f>'DISTRIBUIÇÃO CUSTO'!D66</f>
        <v>1.3800718866160121E-2</v>
      </c>
      <c r="D43" s="10">
        <f t="shared" si="3"/>
        <v>0.98732321529866152</v>
      </c>
      <c r="E43" s="11">
        <f t="shared" si="4"/>
        <v>946218.47597107687</v>
      </c>
      <c r="F43" s="11">
        <f t="shared" si="5"/>
        <v>67693826.468816325</v>
      </c>
      <c r="G43" s="2"/>
    </row>
    <row r="44" spans="2:66" ht="28.5" customHeight="1" x14ac:dyDescent="0.25">
      <c r="B44" s="8">
        <v>36</v>
      </c>
      <c r="C44" s="9">
        <f>'DISTRIBUIÇÃO CUSTO'!D67</f>
        <v>1.2676784701338427E-2</v>
      </c>
      <c r="D44" s="10">
        <f t="shared" si="3"/>
        <v>0.99999999999999989</v>
      </c>
      <c r="E44" s="11">
        <f t="shared" si="4"/>
        <v>869158.19506519451</v>
      </c>
      <c r="F44" s="12">
        <f t="shared" si="5"/>
        <v>68562984.663881525</v>
      </c>
    </row>
    <row r="45" spans="2:66" ht="27" customHeight="1" x14ac:dyDescent="0.25">
      <c r="B45" s="13"/>
      <c r="C45" s="14"/>
      <c r="D45" s="15"/>
      <c r="E45" s="16" t="s">
        <v>41</v>
      </c>
      <c r="F45" s="12">
        <f>'DISTRIBUIÇÃO CUSTO'!C26</f>
        <v>68562984.663881525</v>
      </c>
    </row>
    <row r="46" spans="2:66" ht="15" customHeight="1" x14ac:dyDescent="0.25">
      <c r="B46" s="17"/>
    </row>
    <row r="47" spans="2:66" ht="15" customHeight="1" x14ac:dyDescent="0.25"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</row>
    <row r="48" spans="2:66" ht="9.9499999999999993" customHeight="1" x14ac:dyDescent="0.25">
      <c r="H48" s="18"/>
      <c r="I48" s="18"/>
    </row>
    <row r="49" spans="8:8" x14ac:dyDescent="0.25">
      <c r="H49" s="18"/>
    </row>
    <row r="52" spans="8:8" ht="65.45" customHeight="1" x14ac:dyDescent="0.25"/>
  </sheetData>
  <mergeCells count="3">
    <mergeCell ref="B2:BN4"/>
    <mergeCell ref="B5:BN5"/>
    <mergeCell ref="B47:BN47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TEÓRICA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2024-10-25T11:57:04Z</dcterms:modified>
</cp:coreProperties>
</file>