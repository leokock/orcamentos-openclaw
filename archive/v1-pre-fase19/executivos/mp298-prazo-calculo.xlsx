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Meia Praia Empreendimentos Imobiliários\2024\298\04. Custo\03.0 Custo - Orçamento Paramétrico\2. Custos Indiretos\"/>
    </mc:Choice>
  </mc:AlternateContent>
  <xr:revisionPtr revIDLastSave="0" documentId="13_ncr:1_{58B51DB5-8987-4F16-88AA-52358E12AE5F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a. COMPARATIVOS OBRAS" sheetId="1" r:id="rId1"/>
    <sheet name="b. Fundação" sheetId="2" r:id="rId2"/>
    <sheet name="c. Supraestrutura" sheetId="3" r:id="rId3"/>
    <sheet name="d. Fachada" sheetId="4" r:id="rId4"/>
    <sheet name="e. ESTIMATIVA PRAZO" sheetId="5" r:id="rId5"/>
  </sheets>
  <calcPr calcId="191029"/>
  <extLst>
    <ext uri="GoogleSheetsCustomDataVersion2">
      <go:sheetsCustomData xmlns:go="http://customooxmlschemas.google.com/" r:id="rId12" roundtripDataChecksum="Fhjvcmofzwoce+/jnzGIlyvsyChDav/KbJyQcqYgtgM="/>
    </ext>
  </extLst>
</workbook>
</file>

<file path=xl/calcChain.xml><?xml version="1.0" encoding="utf-8"?>
<calcChain xmlns="http://schemas.openxmlformats.org/spreadsheetml/2006/main">
  <c r="C8" i="3" l="1"/>
  <c r="C9" i="3"/>
  <c r="F10" i="3" l="1"/>
  <c r="F11" i="3"/>
  <c r="F12" i="3"/>
  <c r="F13" i="3"/>
  <c r="F14" i="3"/>
  <c r="F15" i="3"/>
  <c r="F16" i="3"/>
  <c r="F17" i="3"/>
  <c r="F18" i="3"/>
  <c r="D17" i="3"/>
  <c r="H17" i="3" s="1"/>
  <c r="J17" i="3" s="1"/>
  <c r="D16" i="3"/>
  <c r="H16" i="3" s="1"/>
  <c r="I16" i="3" s="1"/>
  <c r="D15" i="3"/>
  <c r="H15" i="3" s="1"/>
  <c r="J15" i="3" s="1"/>
  <c r="D14" i="3"/>
  <c r="H14" i="3" s="1"/>
  <c r="J14" i="3" s="1"/>
  <c r="D13" i="3"/>
  <c r="H13" i="3" s="1"/>
  <c r="I13" i="3" s="1"/>
  <c r="D12" i="3"/>
  <c r="H12" i="3" s="1"/>
  <c r="I12" i="3" s="1"/>
  <c r="D11" i="3"/>
  <c r="H11" i="3" s="1"/>
  <c r="J11" i="3" s="1"/>
  <c r="D10" i="3"/>
  <c r="H10" i="3" s="1"/>
  <c r="I10" i="3" s="1"/>
  <c r="D29" i="3"/>
  <c r="H29" i="3" s="1"/>
  <c r="I29" i="3" s="1"/>
  <c r="D28" i="3"/>
  <c r="H28" i="3" s="1"/>
  <c r="D27" i="3"/>
  <c r="H27" i="3" s="1"/>
  <c r="J27" i="3" s="1"/>
  <c r="D26" i="3"/>
  <c r="H26" i="3" s="1"/>
  <c r="D25" i="3"/>
  <c r="H25" i="3" s="1"/>
  <c r="I25" i="3" s="1"/>
  <c r="D24" i="3"/>
  <c r="H24" i="3" s="1"/>
  <c r="D23" i="3"/>
  <c r="H23" i="3" s="1"/>
  <c r="J23" i="3" s="1"/>
  <c r="D22" i="3"/>
  <c r="H22" i="3" s="1"/>
  <c r="D21" i="3"/>
  <c r="H21" i="3" s="1"/>
  <c r="I21" i="3" s="1"/>
  <c r="D20" i="3"/>
  <c r="H20" i="3" s="1"/>
  <c r="D19" i="3"/>
  <c r="H19" i="3" s="1"/>
  <c r="J19" i="3" s="1"/>
  <c r="D18" i="3"/>
  <c r="H18" i="3" s="1"/>
  <c r="J18" i="3" s="1"/>
  <c r="D30" i="3"/>
  <c r="H30" i="3" s="1"/>
  <c r="C19" i="5"/>
  <c r="C21" i="5" s="1"/>
  <c r="B21" i="5" s="1"/>
  <c r="D13" i="5"/>
  <c r="D12" i="5"/>
  <c r="D10" i="5"/>
  <c r="D7" i="5"/>
  <c r="E13" i="4"/>
  <c r="E12" i="4"/>
  <c r="F11" i="4"/>
  <c r="G11" i="4" s="1"/>
  <c r="F10" i="4"/>
  <c r="G10" i="4" s="1"/>
  <c r="F9" i="4"/>
  <c r="G9" i="4" s="1"/>
  <c r="F8" i="4"/>
  <c r="G8" i="4" s="1"/>
  <c r="F7" i="4"/>
  <c r="G7" i="4" s="1"/>
  <c r="G37" i="3"/>
  <c r="I37" i="3" s="1"/>
  <c r="C9" i="5" s="1"/>
  <c r="F35" i="3"/>
  <c r="D35" i="3"/>
  <c r="H35" i="3" s="1"/>
  <c r="J35" i="3" s="1"/>
  <c r="F34" i="3"/>
  <c r="D34" i="3"/>
  <c r="H34" i="3" s="1"/>
  <c r="F33" i="3"/>
  <c r="D33" i="3"/>
  <c r="H33" i="3" s="1"/>
  <c r="I33" i="3" s="1"/>
  <c r="F32" i="3"/>
  <c r="D32" i="3"/>
  <c r="H32" i="3" s="1"/>
  <c r="F31" i="3"/>
  <c r="D31" i="3"/>
  <c r="H31" i="3" s="1"/>
  <c r="J31" i="3" s="1"/>
  <c r="F30" i="3"/>
  <c r="F29" i="3"/>
  <c r="F28" i="3"/>
  <c r="F27" i="3"/>
  <c r="F26" i="3"/>
  <c r="F25" i="3"/>
  <c r="F24" i="3"/>
  <c r="F23" i="3"/>
  <c r="F22" i="3"/>
  <c r="F21" i="3"/>
  <c r="F20" i="3"/>
  <c r="F19" i="3"/>
  <c r="F9" i="3"/>
  <c r="D9" i="3"/>
  <c r="H9" i="3" s="1"/>
  <c r="I9" i="3" s="1"/>
  <c r="F8" i="3"/>
  <c r="D8" i="3"/>
  <c r="H8" i="3" s="1"/>
  <c r="J17" i="2"/>
  <c r="I17" i="2"/>
  <c r="H17" i="2"/>
  <c r="E10" i="2"/>
  <c r="F10" i="2" s="1"/>
  <c r="G10" i="2" s="1"/>
  <c r="H10" i="2" s="1"/>
  <c r="I18" i="3" l="1"/>
  <c r="J13" i="3"/>
  <c r="K13" i="3" s="1"/>
  <c r="J12" i="3"/>
  <c r="K12" i="3" s="1"/>
  <c r="I15" i="3"/>
  <c r="K15" i="3" s="1"/>
  <c r="I14" i="3"/>
  <c r="K14" i="3" s="1"/>
  <c r="I11" i="3"/>
  <c r="K11" i="3" s="1"/>
  <c r="J10" i="3"/>
  <c r="K10" i="3" s="1"/>
  <c r="J16" i="3"/>
  <c r="K16" i="3" s="1"/>
  <c r="I17" i="3"/>
  <c r="K17" i="3" s="1"/>
  <c r="C17" i="5"/>
  <c r="C36" i="3"/>
  <c r="K17" i="2"/>
  <c r="K18" i="2" s="1"/>
  <c r="L18" i="2" s="1"/>
  <c r="C8" i="5" s="1"/>
  <c r="E14" i="4"/>
  <c r="G14" i="4" s="1"/>
  <c r="C11" i="5" s="1"/>
  <c r="C16" i="5" s="1"/>
  <c r="J24" i="3"/>
  <c r="I24" i="3"/>
  <c r="I34" i="3"/>
  <c r="J34" i="3"/>
  <c r="I28" i="3"/>
  <c r="J28" i="3"/>
  <c r="I22" i="3"/>
  <c r="J22" i="3"/>
  <c r="J8" i="3"/>
  <c r="I8" i="3"/>
  <c r="J32" i="3"/>
  <c r="I32" i="3"/>
  <c r="I26" i="3"/>
  <c r="J26" i="3"/>
  <c r="J20" i="3"/>
  <c r="I20" i="3"/>
  <c r="I30" i="3"/>
  <c r="J30" i="3"/>
  <c r="C15" i="5"/>
  <c r="J9" i="3"/>
  <c r="K9" i="3" s="1"/>
  <c r="J21" i="3"/>
  <c r="K21" i="3" s="1"/>
  <c r="J25" i="3"/>
  <c r="K25" i="3" s="1"/>
  <c r="J29" i="3"/>
  <c r="K29" i="3" s="1"/>
  <c r="J33" i="3"/>
  <c r="K33" i="3" s="1"/>
  <c r="I19" i="3"/>
  <c r="K19" i="3" s="1"/>
  <c r="I23" i="3"/>
  <c r="K23" i="3" s="1"/>
  <c r="I27" i="3"/>
  <c r="K27" i="3" s="1"/>
  <c r="I31" i="3"/>
  <c r="K31" i="3" s="1"/>
  <c r="I35" i="3"/>
  <c r="K35" i="3" s="1"/>
  <c r="K28" i="3" l="1"/>
  <c r="K18" i="3"/>
  <c r="L17" i="2"/>
  <c r="K22" i="3"/>
  <c r="K32" i="3"/>
  <c r="K30" i="3"/>
  <c r="K8" i="3"/>
  <c r="K20" i="3"/>
  <c r="K26" i="3"/>
  <c r="K34" i="3"/>
  <c r="K24" i="3"/>
</calcChain>
</file>

<file path=xl/sharedStrings.xml><?xml version="1.0" encoding="utf-8"?>
<sst xmlns="http://schemas.openxmlformats.org/spreadsheetml/2006/main" count="388" uniqueCount="179">
  <si>
    <t>COMPARATIVO DE PRAZO DE OBRAS SEMELHANTES</t>
  </si>
  <si>
    <t>OBRA 1</t>
  </si>
  <si>
    <t>OBRA 2</t>
  </si>
  <si>
    <t>OBRA 3</t>
  </si>
  <si>
    <t>OBRA PARAMÉTRICO</t>
  </si>
  <si>
    <t>DURAÇÃO</t>
  </si>
  <si>
    <t xml:space="preserve">Linha de base: </t>
  </si>
  <si>
    <t>-- meses</t>
  </si>
  <si>
    <t>Meta:</t>
  </si>
  <si>
    <t>ESPECIFICAÇÕES DE PROJETO</t>
  </si>
  <si>
    <t>Área Total</t>
  </si>
  <si>
    <t xml:space="preserve">área/pav embasamento = </t>
  </si>
  <si>
    <t>aprox --- m²</t>
  </si>
  <si>
    <t xml:space="preserve">área/pav tipo = </t>
  </si>
  <si>
    <t xml:space="preserve"> Nº PAVIMENTOS</t>
  </si>
  <si>
    <t>--</t>
  </si>
  <si>
    <t>ESPECIFICAÇÕES DE PAVIMENTOS</t>
  </si>
  <si>
    <t>1º - térreo</t>
  </si>
  <si>
    <t>2º ao 4º - 3 pavs garagem</t>
  </si>
  <si>
    <t>5º Lazer</t>
  </si>
  <si>
    <t xml:space="preserve">6º  - Tipo Dif </t>
  </si>
  <si>
    <t>7º ao 20º - Tipo</t>
  </si>
  <si>
    <t>Técnicos</t>
  </si>
  <si>
    <t>DIMENSIONAMENTO DE PRAZO - FUNDAÇÃO PROFUNDA, BLOCOS E BALDRAMES</t>
  </si>
  <si>
    <t>Estacas Hélice Contínua</t>
  </si>
  <si>
    <t>Estacas</t>
  </si>
  <si>
    <t>Etapa</t>
  </si>
  <si>
    <t>Quantidade</t>
  </si>
  <si>
    <t>Profundidade (m)</t>
  </si>
  <si>
    <t>Total (m)</t>
  </si>
  <si>
    <t>Duração (Dias)</t>
  </si>
  <si>
    <t>Total (dias)</t>
  </si>
  <si>
    <t>Meses</t>
  </si>
  <si>
    <t>Fase 1</t>
  </si>
  <si>
    <t>Índice (m/dia)</t>
  </si>
  <si>
    <t>Coeficiente de chuva</t>
  </si>
  <si>
    <t>Forma (m²)</t>
  </si>
  <si>
    <t>Concreto (m³)</t>
  </si>
  <si>
    <t>Aço (Kg)</t>
  </si>
  <si>
    <t>Armador</t>
  </si>
  <si>
    <t>Carpinteiro</t>
  </si>
  <si>
    <t>Formas (Dias)</t>
  </si>
  <si>
    <t>Armação (dias)</t>
  </si>
  <si>
    <t>Concreto (dias)</t>
  </si>
  <si>
    <t>Duração Total</t>
  </si>
  <si>
    <t>Blocos e Baldrames</t>
  </si>
  <si>
    <t>Montagem de formas (Hh/m²):</t>
  </si>
  <si>
    <t>Concretagem (h/m³):</t>
  </si>
  <si>
    <t>RUP Armação (Hh/kg)</t>
  </si>
  <si>
    <t>DIMENSIONAMENTO DE PRAZO - SUPRAESTRUTURA</t>
  </si>
  <si>
    <t>Pavimento</t>
  </si>
  <si>
    <t>Área do Pavimento</t>
  </si>
  <si>
    <t>RUP (Hh/m²)</t>
  </si>
  <si>
    <t>RUP (m²/dia)</t>
  </si>
  <si>
    <t>Duração</t>
  </si>
  <si>
    <t>Servente</t>
  </si>
  <si>
    <t>Total Equipe</t>
  </si>
  <si>
    <t>FATOR MULT (X)</t>
  </si>
  <si>
    <t>Total Dias</t>
  </si>
  <si>
    <t>Total Meses</t>
  </si>
  <si>
    <t>RUP</t>
  </si>
  <si>
    <t>Garagens</t>
  </si>
  <si>
    <t>Lazer</t>
  </si>
  <si>
    <t>Tipo Dif</t>
  </si>
  <si>
    <t>Tipo</t>
  </si>
  <si>
    <t>DIMENSIONAMENTO DE PRAZO - FACHADA</t>
  </si>
  <si>
    <t>Serviço</t>
  </si>
  <si>
    <t>Quant (m²)</t>
  </si>
  <si>
    <t>Dias</t>
  </si>
  <si>
    <t>Profissional</t>
  </si>
  <si>
    <t>Chapisco</t>
  </si>
  <si>
    <t>Reboco</t>
  </si>
  <si>
    <t>Selador</t>
  </si>
  <si>
    <t>Textura</t>
  </si>
  <si>
    <t>Pastilha Cerâmica</t>
  </si>
  <si>
    <t>Preparação</t>
  </si>
  <si>
    <t>-</t>
  </si>
  <si>
    <t>Balancim</t>
  </si>
  <si>
    <t>ESTIMATIVA DE PRAZO</t>
  </si>
  <si>
    <t>DIVISÃO DE CUSTOS PARA CURVAS</t>
  </si>
  <si>
    <t>Prazo</t>
  </si>
  <si>
    <t>SERVIÇOS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</si>
  <si>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</si>
  <si>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</si>
  <si>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</si>
  <si>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</si>
  <si>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</si>
  <si>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</si>
  <si>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</si>
  <si>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</si>
  <si>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</si>
  <si>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</si>
  <si>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</si>
  <si>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</si>
  <si>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</si>
  <si>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</si>
  <si>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</si>
  <si>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</si>
  <si>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</si>
  <si>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</si>
  <si>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</si>
  <si>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</si>
  <si>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</si>
  <si>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</si>
  <si>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</si>
  <si>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</si>
  <si>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</si>
  <si>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</si>
  <si>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</si>
  <si>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</si>
  <si>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</si>
  <si>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</si>
  <si>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</si>
  <si>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</si>
  <si>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</si>
  <si>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</si>
  <si>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</si>
  <si>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</si>
  <si>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</si>
  <si>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</si>
  <si>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</si>
  <si>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</si>
  <si>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SERVIÇOS ORÇAMENTO</t>
  </si>
  <si>
    <t>SERVIÇO PLANEJAMENTO</t>
  </si>
  <si>
    <t>Iniciais</t>
  </si>
  <si>
    <t>MOVIMENTAÇÃO DE TERRA</t>
  </si>
  <si>
    <t>Infra</t>
  </si>
  <si>
    <t>Dimensionamento de Fundações</t>
  </si>
  <si>
    <t>INFRAESTRUTURA</t>
  </si>
  <si>
    <t>Supra</t>
  </si>
  <si>
    <t>Dimensionamento de Supraestrutura</t>
  </si>
  <si>
    <t>SUPRAESTRUTURA</t>
  </si>
  <si>
    <t>Alvenaria (3 meses após supra)</t>
  </si>
  <si>
    <t>Alvenaria</t>
  </si>
  <si>
    <t>ALVENARIA</t>
  </si>
  <si>
    <t>Fachada</t>
  </si>
  <si>
    <t>Dimensionamento de fachada</t>
  </si>
  <si>
    <t>INSTALAÇÕES ELÉTRICAS, HIDRÁULICAS, GLP E PREVENTIVAS</t>
  </si>
  <si>
    <t>Acabamentos</t>
  </si>
  <si>
    <t>EQUIPAMENTOS E SISTEMAS ESPECIAIS</t>
  </si>
  <si>
    <t>Serviços Finais</t>
  </si>
  <si>
    <t>IMPERMEABILIZAÇÃO</t>
  </si>
  <si>
    <t>REVESTIMENTOS INTERNOS EM PISO E PAREDE</t>
  </si>
  <si>
    <t>Grua</t>
  </si>
  <si>
    <t>Prazo de supra + 1 mês</t>
  </si>
  <si>
    <t>REVESTIMENTOS E ACABAMENTOS INTERNOS EM TETO</t>
  </si>
  <si>
    <t>Prazo de Fachada + 1 mês</t>
  </si>
  <si>
    <t>Cremalheira</t>
  </si>
  <si>
    <t>Montada no 3º pavimento de supraestrutura, desmontada após a instalação do elevador da obra</t>
  </si>
  <si>
    <t>ACABAMENTOS EM PISO E PAREDE</t>
  </si>
  <si>
    <t>PINTURA INTERNA</t>
  </si>
  <si>
    <t>Preparação do Fosso do elevador</t>
  </si>
  <si>
    <t>ESQUADRIAS, VIDROS E FERRAGENS</t>
  </si>
  <si>
    <t>Montagem Elevador</t>
  </si>
  <si>
    <t>COBERTURA</t>
  </si>
  <si>
    <t>REVESTIMENTOS E ACABAMENTOS DE FACHADA</t>
  </si>
  <si>
    <t>SERVIÇOS COMPLEMENTARES</t>
  </si>
  <si>
    <t>Terreo</t>
  </si>
  <si>
    <t>Garagem1</t>
  </si>
  <si>
    <t>Garagem 2</t>
  </si>
  <si>
    <t>Garagem 3</t>
  </si>
  <si>
    <t>Casa de maquinas</t>
  </si>
  <si>
    <t>Reservatorio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</si>
  <si>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</si>
  <si>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</si>
  <si>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</si>
  <si>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</si>
  <si>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</si>
  <si>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</si>
  <si>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</si>
  <si>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</si>
  <si>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</si>
  <si>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</si>
  <si>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</si>
  <si>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</si>
  <si>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</si>
  <si>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</si>
  <si>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Garagem 4</t>
  </si>
  <si>
    <t>Garagem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</si>
</sst>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17" x14ac:knownFonts="1">
    <font>
      <sz val="11"/>
      <color theme="1"/>
      <name val="Calibri"/>
      <scheme val="minor"/>
    </font>
    <font>
      <b/>
      <sz val="14"/>
      <color rgb="FFFFFFFF"/>
      <name val="Poppins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Poppins"/>
    </font>
    <font>
      <b/>
      <sz val="10"/>
      <color rgb="FFFFFFFF"/>
      <name val="Poppins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Poppins"/>
    </font>
    <font>
      <sz val="11"/>
      <color theme="1"/>
      <name val="Arial"/>
      <family val="2"/>
    </font>
    <font>
      <sz val="12"/>
      <color theme="1"/>
      <name val="Poppins"/>
    </font>
    <font>
      <sz val="9"/>
      <color theme="1"/>
      <name val="Poppins"/>
    </font>
    <font>
      <b/>
      <sz val="9"/>
      <color theme="1"/>
      <name val="Poppins"/>
    </font>
    <font>
      <b/>
      <sz val="11"/>
      <color theme="1"/>
      <name val="Poppins"/>
    </font>
    <font>
      <sz val="9"/>
      <color rgb="FF000000"/>
      <name val="Poppins"/>
    </font>
    <font>
      <sz val="9"/>
      <color rgb="FFFF0000"/>
      <name val="Poppins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C3400"/>
        <bgColor rgb="FFFC3400"/>
      </patternFill>
    </fill>
    <fill>
      <patternFill patternType="solid">
        <fgColor theme="1"/>
        <bgColor theme="1"/>
      </patternFill>
    </fill>
    <fill>
      <patternFill patternType="solid">
        <fgColor rgb="FF255AE5"/>
        <bgColor rgb="FF255AE5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DCDCDC"/>
        <bgColor rgb="FFDCDCDC"/>
      </patternFill>
    </fill>
  </fills>
  <borders count="34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AEABAB"/>
      </left>
      <right/>
      <top style="thin">
        <color rgb="FFBFBFBF"/>
      </top>
      <bottom/>
      <diagonal/>
    </border>
    <border>
      <left style="thin">
        <color rgb="FFAEABAB"/>
      </left>
      <right/>
      <top/>
      <bottom/>
      <diagonal/>
    </border>
    <border>
      <left style="thin">
        <color rgb="FFAEABAB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medium">
        <color indexed="64"/>
      </left>
      <right/>
      <top/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AEABAB"/>
      </left>
      <right/>
      <top style="thin">
        <color rgb="FFAEABAB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4" xfId="0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right"/>
    </xf>
    <xf numFmtId="0" fontId="5" fillId="4" borderId="4" xfId="0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12" xfId="0" applyFont="1" applyBorder="1"/>
    <xf numFmtId="0" fontId="11" fillId="0" borderId="0" xfId="0" applyFont="1"/>
    <xf numFmtId="0" fontId="12" fillId="0" borderId="0" xfId="0" applyFont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1" fillId="0" borderId="11" xfId="0" applyFont="1" applyBorder="1"/>
    <xf numFmtId="0" fontId="11" fillId="5" borderId="11" xfId="0" applyFont="1" applyFill="1" applyBorder="1" applyAlignment="1">
      <alignment horizontal="center"/>
    </xf>
    <xf numFmtId="0" fontId="12" fillId="0" borderId="11" xfId="0" applyFont="1" applyBorder="1" applyAlignment="1">
      <alignment horizontal="center"/>
    </xf>
    <xf numFmtId="2" fontId="12" fillId="6" borderId="16" xfId="0" applyNumberFormat="1" applyFont="1" applyFill="1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2" fontId="11" fillId="0" borderId="14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10" xfId="0" applyFont="1" applyBorder="1"/>
    <xf numFmtId="0" fontId="11" fillId="5" borderId="1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12" fillId="6" borderId="17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0" fontId="12" fillId="0" borderId="13" xfId="0" applyFont="1" applyBorder="1"/>
    <xf numFmtId="2" fontId="11" fillId="0" borderId="15" xfId="0" applyNumberFormat="1" applyFont="1" applyBorder="1" applyAlignment="1">
      <alignment horizontal="center"/>
    </xf>
    <xf numFmtId="2" fontId="11" fillId="0" borderId="11" xfId="0" applyNumberFormat="1" applyFont="1" applyBorder="1" applyAlignment="1">
      <alignment horizontal="center"/>
    </xf>
    <xf numFmtId="2" fontId="11" fillId="0" borderId="12" xfId="0" applyNumberFormat="1" applyFont="1" applyBorder="1" applyAlignment="1">
      <alignment horizontal="center"/>
    </xf>
    <xf numFmtId="10" fontId="11" fillId="0" borderId="0" xfId="0" applyNumberFormat="1" applyFont="1"/>
    <xf numFmtId="0" fontId="8" fillId="0" borderId="0" xfId="0" applyFont="1" applyAlignment="1">
      <alignment vertical="center"/>
    </xf>
    <xf numFmtId="0" fontId="13" fillId="0" borderId="0" xfId="0" applyFont="1"/>
    <xf numFmtId="0" fontId="8" fillId="0" borderId="19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3" fillId="0" borderId="6" xfId="0" applyFont="1" applyBorder="1"/>
    <xf numFmtId="0" fontId="8" fillId="0" borderId="20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13" fillId="0" borderId="11" xfId="0" applyFont="1" applyBorder="1"/>
    <xf numFmtId="0" fontId="11" fillId="0" borderId="0" xfId="0" applyFont="1" applyAlignment="1">
      <alignment vertical="center"/>
    </xf>
    <xf numFmtId="0" fontId="12" fillId="0" borderId="0" xfId="0" applyFont="1"/>
    <xf numFmtId="0" fontId="14" fillId="0" borderId="1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2" fontId="11" fillId="0" borderId="11" xfId="0" applyNumberFormat="1" applyFont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/>
    </xf>
    <xf numFmtId="164" fontId="12" fillId="0" borderId="22" xfId="0" applyNumberFormat="1" applyFont="1" applyBorder="1" applyAlignment="1">
      <alignment horizontal="center"/>
    </xf>
    <xf numFmtId="2" fontId="12" fillId="6" borderId="23" xfId="0" applyNumberFormat="1" applyFont="1" applyFill="1" applyBorder="1" applyAlignment="1">
      <alignment horizontal="center"/>
    </xf>
    <xf numFmtId="0" fontId="11" fillId="0" borderId="22" xfId="0" applyFont="1" applyBorder="1" applyAlignment="1">
      <alignment horizontal="center"/>
    </xf>
    <xf numFmtId="164" fontId="8" fillId="0" borderId="0" xfId="0" applyNumberFormat="1" applyFont="1"/>
    <xf numFmtId="0" fontId="11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2" fontId="12" fillId="0" borderId="15" xfId="0" applyNumberFormat="1" applyFont="1" applyBorder="1" applyAlignment="1">
      <alignment horizontal="center"/>
    </xf>
    <xf numFmtId="2" fontId="12" fillId="6" borderId="24" xfId="0" applyNumberFormat="1" applyFont="1" applyFill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2" fillId="7" borderId="26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8" borderId="26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2" fillId="9" borderId="26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center" vertical="center"/>
    </xf>
    <xf numFmtId="0" fontId="12" fillId="10" borderId="26" xfId="0" applyFont="1" applyFill="1" applyBorder="1" applyAlignment="1">
      <alignment horizontal="center" vertical="center"/>
    </xf>
    <xf numFmtId="0" fontId="11" fillId="10" borderId="26" xfId="0" applyFont="1" applyFill="1" applyBorder="1" applyAlignment="1">
      <alignment horizontal="center" vertical="center"/>
    </xf>
    <xf numFmtId="2" fontId="11" fillId="5" borderId="11" xfId="0" applyNumberFormat="1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/>
    </xf>
    <xf numFmtId="2" fontId="12" fillId="0" borderId="6" xfId="0" applyNumberFormat="1" applyFont="1" applyBorder="1" applyAlignment="1">
      <alignment horizontal="center"/>
    </xf>
    <xf numFmtId="164" fontId="12" fillId="0" borderId="4" xfId="0" applyNumberFormat="1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/>
    </xf>
    <xf numFmtId="0" fontId="11" fillId="5" borderId="26" xfId="0" applyFont="1" applyFill="1" applyBorder="1" applyAlignment="1">
      <alignment horizontal="center" vertical="center"/>
    </xf>
    <xf numFmtId="2" fontId="12" fillId="0" borderId="26" xfId="0" applyNumberFormat="1" applyFont="1" applyBorder="1" applyAlignment="1">
      <alignment horizontal="center" vertical="center"/>
    </xf>
    <xf numFmtId="0" fontId="6" fillId="0" borderId="0" xfId="0" applyFont="1"/>
    <xf numFmtId="0" fontId="15" fillId="0" borderId="0" xfId="0" applyFont="1" applyAlignment="1">
      <alignment horizontal="center"/>
    </xf>
    <xf numFmtId="0" fontId="8" fillId="11" borderId="27" xfId="0" applyFont="1" applyFill="1" applyBorder="1" applyAlignment="1">
      <alignment horizontal="left" vertical="center"/>
    </xf>
    <xf numFmtId="0" fontId="8" fillId="7" borderId="28" xfId="0" applyFont="1" applyFill="1" applyBorder="1" applyAlignment="1">
      <alignment horizontal="left" vertical="center"/>
    </xf>
    <xf numFmtId="0" fontId="8" fillId="11" borderId="28" xfId="0" applyFont="1" applyFill="1" applyBorder="1" applyAlignment="1">
      <alignment horizontal="left" vertical="center"/>
    </xf>
    <xf numFmtId="0" fontId="8" fillId="11" borderId="29" xfId="0" applyFont="1" applyFill="1" applyBorder="1" applyAlignment="1">
      <alignment horizontal="left" vertical="center"/>
    </xf>
    <xf numFmtId="0" fontId="12" fillId="7" borderId="30" xfId="0" applyFont="1" applyFill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8" fillId="11" borderId="31" xfId="0" applyFont="1" applyFill="1" applyBorder="1" applyAlignment="1">
      <alignment horizontal="left" vertical="center"/>
    </xf>
    <xf numFmtId="0" fontId="8" fillId="7" borderId="31" xfId="0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1" fillId="9" borderId="30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/>
    </xf>
    <xf numFmtId="0" fontId="8" fillId="0" borderId="33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4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4" fillId="3" borderId="0" xfId="0" applyFont="1" applyFill="1" applyAlignment="1">
      <alignment horizontal="center"/>
    </xf>
    <xf numFmtId="0" fontId="0" fillId="0" borderId="0" xfId="0"/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12" fillId="0" borderId="13" xfId="0" applyFont="1" applyBorder="1" applyAlignment="1">
      <alignment horizontal="left"/>
    </xf>
    <xf numFmtId="0" fontId="2" fillId="0" borderId="15" xfId="0" applyFont="1" applyBorder="1"/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13" xfId="0" applyFont="1" applyBorder="1" applyAlignment="1">
      <alignment horizontal="center"/>
    </xf>
    <xf numFmtId="0" fontId="2" fillId="0" borderId="14" xfId="0" applyFont="1" applyBorder="1"/>
    <xf numFmtId="0" fontId="12" fillId="0" borderId="13" xfId="0" applyFont="1" applyBorder="1" applyAlignment="1">
      <alignment horizontal="center"/>
    </xf>
    <xf numFmtId="164" fontId="12" fillId="0" borderId="13" xfId="0" applyNumberFormat="1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2" fillId="0" borderId="9" xfId="0" applyFont="1" applyBorder="1"/>
    <xf numFmtId="0" fontId="2" fillId="0" borderId="21" xfId="0" applyFont="1" applyBorder="1"/>
    <xf numFmtId="0" fontId="2" fillId="0" borderId="11" xfId="0" applyFont="1" applyBorder="1"/>
    <xf numFmtId="0" fontId="2" fillId="0" borderId="12" xfId="0" applyFont="1" applyBorder="1"/>
    <xf numFmtId="164" fontId="12" fillId="0" borderId="0" xfId="0" applyNumberFormat="1" applyFont="1" applyAlignment="1">
      <alignment horizontal="center"/>
    </xf>
    <xf numFmtId="0" fontId="8" fillId="0" borderId="25" xfId="0" applyFont="1" applyBorder="1" applyAlignment="1">
      <alignment horizontal="center"/>
    </xf>
    <xf numFmtId="0" fontId="2" fillId="0" borderId="25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114300</xdr:rowOff>
    </xdr:from>
    <xdr:ext cx="18383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114300</xdr:rowOff>
    </xdr:from>
    <xdr:ext cx="18383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47625</xdr:rowOff>
    </xdr:from>
    <xdr:ext cx="118110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47625</xdr:rowOff>
    </xdr:from>
    <xdr:ext cx="118110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>
      <selection sqref="A1:K1"/>
    </sheetView>
  </sheetViews>
  <sheetFormatPr defaultColWidth="14.42578125" defaultRowHeight="15" customHeight="1" x14ac:dyDescent="0.25"/>
  <cols>
    <col min="1" max="1" width="24.28515625" customWidth="1"/>
    <col min="2" max="2" width="15.5703125" customWidth="1"/>
    <col min="3" max="3" width="8.7109375" customWidth="1"/>
    <col min="4" max="4" width="24.28515625" customWidth="1"/>
    <col min="5" max="5" width="15.5703125" customWidth="1"/>
    <col min="6" max="6" width="8.7109375" customWidth="1"/>
    <col min="7" max="7" width="24.28515625" customWidth="1"/>
    <col min="8" max="8" width="14.5703125" customWidth="1"/>
    <col min="9" max="9" width="8.7109375" customWidth="1"/>
    <col min="10" max="10" width="33" customWidth="1"/>
    <col min="11" max="11" width="11.140625" customWidth="1"/>
    <col min="12" max="26" width="8.7109375" customWidth="1"/>
  </cols>
  <sheetData>
    <row r="1" spans="1:13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2"/>
      <c r="L1" s="1"/>
      <c r="M1" s="1"/>
    </row>
    <row r="2" spans="1:13" ht="21.75" x14ac:dyDescent="0.6">
      <c r="A2" s="116" t="s">
        <v>1</v>
      </c>
      <c r="B2" s="117"/>
      <c r="C2" s="2"/>
      <c r="D2" s="113" t="s">
        <v>2</v>
      </c>
      <c r="E2" s="112"/>
      <c r="F2" s="2"/>
      <c r="G2" s="113" t="s">
        <v>3</v>
      </c>
      <c r="H2" s="112"/>
      <c r="J2" s="113" t="s">
        <v>4</v>
      </c>
      <c r="K2" s="112"/>
    </row>
    <row r="3" spans="1:13" ht="19.5" x14ac:dyDescent="0.25">
      <c r="A3" s="111" t="s">
        <v>5</v>
      </c>
      <c r="B3" s="112"/>
      <c r="D3" s="111" t="s">
        <v>5</v>
      </c>
      <c r="E3" s="112"/>
      <c r="G3" s="111" t="s">
        <v>5</v>
      </c>
      <c r="H3" s="112"/>
      <c r="J3" s="111" t="s">
        <v>5</v>
      </c>
      <c r="K3" s="112"/>
    </row>
    <row r="4" spans="1:13" x14ac:dyDescent="0.25">
      <c r="A4" s="3" t="s">
        <v>6</v>
      </c>
      <c r="B4" s="4" t="s">
        <v>7</v>
      </c>
      <c r="D4" s="3" t="s">
        <v>6</v>
      </c>
      <c r="E4" s="4" t="s">
        <v>7</v>
      </c>
      <c r="G4" s="3" t="s">
        <v>6</v>
      </c>
      <c r="H4" s="4" t="s">
        <v>7</v>
      </c>
      <c r="J4" s="3" t="s">
        <v>6</v>
      </c>
      <c r="K4" s="4" t="s">
        <v>7</v>
      </c>
    </row>
    <row r="5" spans="1:13" x14ac:dyDescent="0.25">
      <c r="A5" s="3" t="s">
        <v>8</v>
      </c>
      <c r="B5" s="4" t="s">
        <v>7</v>
      </c>
      <c r="D5" s="3" t="s">
        <v>8</v>
      </c>
      <c r="E5" s="4" t="s">
        <v>7</v>
      </c>
      <c r="G5" s="3" t="s">
        <v>8</v>
      </c>
      <c r="H5" s="4" t="s">
        <v>7</v>
      </c>
      <c r="J5" s="3" t="s">
        <v>8</v>
      </c>
      <c r="K5" s="4" t="s">
        <v>7</v>
      </c>
    </row>
    <row r="6" spans="1:13" ht="19.5" x14ac:dyDescent="0.25">
      <c r="A6" s="111" t="s">
        <v>9</v>
      </c>
      <c r="B6" s="112"/>
      <c r="D6" s="111" t="s">
        <v>9</v>
      </c>
      <c r="E6" s="112"/>
      <c r="G6" s="111" t="s">
        <v>9</v>
      </c>
      <c r="H6" s="112"/>
      <c r="J6" s="111" t="s">
        <v>9</v>
      </c>
      <c r="K6" s="112"/>
    </row>
    <row r="7" spans="1:13" x14ac:dyDescent="0.25">
      <c r="A7" s="4" t="s">
        <v>10</v>
      </c>
      <c r="B7" s="4"/>
      <c r="D7" s="4" t="s">
        <v>10</v>
      </c>
      <c r="E7" s="4"/>
      <c r="G7" s="4" t="s">
        <v>10</v>
      </c>
      <c r="H7" s="4"/>
      <c r="J7" s="4" t="s">
        <v>10</v>
      </c>
      <c r="K7" s="4"/>
    </row>
    <row r="8" spans="1:13" x14ac:dyDescent="0.25">
      <c r="A8" s="5" t="s">
        <v>11</v>
      </c>
      <c r="B8" s="4" t="s">
        <v>12</v>
      </c>
      <c r="D8" s="5" t="s">
        <v>11</v>
      </c>
      <c r="E8" s="4" t="s">
        <v>12</v>
      </c>
      <c r="G8" s="5" t="s">
        <v>11</v>
      </c>
      <c r="H8" s="4" t="s">
        <v>12</v>
      </c>
      <c r="J8" s="5" t="s">
        <v>11</v>
      </c>
      <c r="K8" s="4" t="s">
        <v>12</v>
      </c>
    </row>
    <row r="9" spans="1:13" x14ac:dyDescent="0.25">
      <c r="A9" s="5" t="s">
        <v>13</v>
      </c>
      <c r="B9" s="4" t="s">
        <v>12</v>
      </c>
      <c r="D9" s="5" t="s">
        <v>13</v>
      </c>
      <c r="E9" s="4" t="s">
        <v>12</v>
      </c>
      <c r="G9" s="5" t="s">
        <v>13</v>
      </c>
      <c r="H9" s="4" t="s">
        <v>12</v>
      </c>
      <c r="J9" s="5" t="s">
        <v>13</v>
      </c>
      <c r="K9" s="4" t="s">
        <v>12</v>
      </c>
    </row>
    <row r="10" spans="1:13" ht="19.5" x14ac:dyDescent="0.55000000000000004">
      <c r="A10" s="6" t="s">
        <v>14</v>
      </c>
      <c r="B10" s="4" t="s">
        <v>15</v>
      </c>
      <c r="D10" s="6" t="s">
        <v>14</v>
      </c>
      <c r="E10" s="4" t="s">
        <v>15</v>
      </c>
      <c r="G10" s="6" t="s">
        <v>14</v>
      </c>
      <c r="H10" s="4" t="s">
        <v>15</v>
      </c>
      <c r="J10" s="6" t="s">
        <v>14</v>
      </c>
      <c r="K10" s="4" t="s">
        <v>15</v>
      </c>
    </row>
    <row r="11" spans="1:13" ht="19.5" x14ac:dyDescent="0.25">
      <c r="A11" s="111" t="s">
        <v>16</v>
      </c>
      <c r="B11" s="112"/>
      <c r="D11" s="111" t="s">
        <v>16</v>
      </c>
      <c r="E11" s="112"/>
      <c r="G11" s="111" t="s">
        <v>16</v>
      </c>
      <c r="H11" s="112"/>
      <c r="J11" s="111" t="s">
        <v>16</v>
      </c>
      <c r="K11" s="112"/>
    </row>
    <row r="12" spans="1:13" x14ac:dyDescent="0.25">
      <c r="A12" s="118" t="s">
        <v>17</v>
      </c>
      <c r="B12" s="112"/>
      <c r="D12" s="118"/>
      <c r="E12" s="112"/>
      <c r="G12" s="118"/>
      <c r="H12" s="112"/>
      <c r="J12" s="119"/>
      <c r="K12" s="112"/>
    </row>
    <row r="13" spans="1:13" x14ac:dyDescent="0.25">
      <c r="A13" s="118" t="s">
        <v>18</v>
      </c>
      <c r="B13" s="112"/>
      <c r="D13" s="118"/>
      <c r="E13" s="112"/>
      <c r="G13" s="118"/>
      <c r="H13" s="112"/>
      <c r="J13" s="119"/>
      <c r="K13" s="112"/>
    </row>
    <row r="14" spans="1:13" x14ac:dyDescent="0.25">
      <c r="A14" s="118" t="s">
        <v>19</v>
      </c>
      <c r="B14" s="112"/>
      <c r="D14" s="118"/>
      <c r="E14" s="112"/>
      <c r="G14" s="118"/>
      <c r="H14" s="112"/>
      <c r="J14" s="119"/>
      <c r="K14" s="112"/>
    </row>
    <row r="15" spans="1:13" x14ac:dyDescent="0.25">
      <c r="A15" s="118" t="s">
        <v>20</v>
      </c>
      <c r="B15" s="112"/>
      <c r="D15" s="118"/>
      <c r="E15" s="112"/>
      <c r="G15" s="118"/>
      <c r="H15" s="112"/>
      <c r="J15" s="119"/>
      <c r="K15" s="112"/>
    </row>
    <row r="16" spans="1:13" x14ac:dyDescent="0.25">
      <c r="A16" s="118" t="s">
        <v>21</v>
      </c>
      <c r="B16" s="112"/>
      <c r="D16" s="118"/>
      <c r="E16" s="112"/>
      <c r="G16" s="118"/>
      <c r="H16" s="112"/>
      <c r="J16" s="119"/>
      <c r="K16" s="112"/>
    </row>
    <row r="17" spans="1:11" x14ac:dyDescent="0.25">
      <c r="A17" s="118" t="s">
        <v>22</v>
      </c>
      <c r="B17" s="112"/>
      <c r="D17" s="118"/>
      <c r="E17" s="112"/>
      <c r="G17" s="118"/>
      <c r="H17" s="112"/>
      <c r="J17" s="119"/>
      <c r="K17" s="112"/>
    </row>
    <row r="18" spans="1:11" x14ac:dyDescent="0.25">
      <c r="A18" s="118"/>
      <c r="B18" s="112"/>
      <c r="D18" s="118"/>
      <c r="E18" s="112"/>
      <c r="G18" s="118"/>
      <c r="H18" s="112"/>
      <c r="J18" s="119"/>
      <c r="K18" s="112"/>
    </row>
    <row r="19" spans="1:11" x14ac:dyDescent="0.25">
      <c r="A19" s="118"/>
      <c r="B19" s="112"/>
      <c r="D19" s="118"/>
      <c r="E19" s="112"/>
      <c r="G19" s="118"/>
      <c r="H19" s="112"/>
      <c r="J19" s="119"/>
      <c r="K19" s="112"/>
    </row>
    <row r="22" spans="1:11" ht="15.75" customHeight="1" x14ac:dyDescent="0.25"/>
    <row r="23" spans="1:11" ht="15.75" customHeight="1" x14ac:dyDescent="0.25"/>
    <row r="24" spans="1:11" ht="15.75" customHeight="1" x14ac:dyDescent="0.25"/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49">
    <mergeCell ref="A18:B18"/>
    <mergeCell ref="A19:B19"/>
    <mergeCell ref="G18:H18"/>
    <mergeCell ref="G19:H19"/>
    <mergeCell ref="J13:K13"/>
    <mergeCell ref="J14:K14"/>
    <mergeCell ref="G13:H13"/>
    <mergeCell ref="J16:K16"/>
    <mergeCell ref="J17:K17"/>
    <mergeCell ref="J18:K18"/>
    <mergeCell ref="J19:K19"/>
    <mergeCell ref="D17:E17"/>
    <mergeCell ref="D18:E18"/>
    <mergeCell ref="D19:E19"/>
    <mergeCell ref="A17:B17"/>
    <mergeCell ref="G17:H17"/>
    <mergeCell ref="G12:H12"/>
    <mergeCell ref="G15:H15"/>
    <mergeCell ref="J15:K15"/>
    <mergeCell ref="G11:H11"/>
    <mergeCell ref="A11:B11"/>
    <mergeCell ref="D11:E11"/>
    <mergeCell ref="J11:K11"/>
    <mergeCell ref="J12:K12"/>
    <mergeCell ref="G14:H14"/>
    <mergeCell ref="D16:E16"/>
    <mergeCell ref="D15:E15"/>
    <mergeCell ref="D14:E14"/>
    <mergeCell ref="A16:B16"/>
    <mergeCell ref="G16:H16"/>
    <mergeCell ref="D6:E6"/>
    <mergeCell ref="A6:B6"/>
    <mergeCell ref="A15:B15"/>
    <mergeCell ref="A14:B14"/>
    <mergeCell ref="A12:B12"/>
    <mergeCell ref="D12:E12"/>
    <mergeCell ref="A13:B13"/>
    <mergeCell ref="D13:E13"/>
    <mergeCell ref="D3:E3"/>
    <mergeCell ref="D2:E2"/>
    <mergeCell ref="A3:B3"/>
    <mergeCell ref="A1:K1"/>
    <mergeCell ref="A2:B2"/>
    <mergeCell ref="G6:H6"/>
    <mergeCell ref="J2:K2"/>
    <mergeCell ref="J3:K3"/>
    <mergeCell ref="G2:H2"/>
    <mergeCell ref="G3:H3"/>
    <mergeCell ref="J6:K6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opLeftCell="A7" workbookViewId="0">
      <selection activeCell="H10" activeCellId="1" sqref="L18 H10"/>
    </sheetView>
  </sheetViews>
  <sheetFormatPr defaultColWidth="14.42578125" defaultRowHeight="15" customHeight="1" x14ac:dyDescent="0.25"/>
  <cols>
    <col min="1" max="1" width="2.28515625" customWidth="1"/>
    <col min="2" max="2" width="29.42578125" customWidth="1"/>
    <col min="3" max="3" width="15.7109375" customWidth="1"/>
    <col min="4" max="5" width="15.28515625" customWidth="1"/>
    <col min="6" max="6" width="18.28515625" customWidth="1"/>
    <col min="7" max="7" width="10.42578125" customWidth="1"/>
    <col min="8" max="12" width="14.85546875" customWidth="1"/>
    <col min="13" max="13" width="12.85546875" customWidth="1"/>
    <col min="14" max="14" width="8.5703125" customWidth="1"/>
    <col min="15" max="25" width="8.7109375" customWidth="1"/>
  </cols>
  <sheetData>
    <row r="1" spans="1:26" ht="7.5" customHeight="1" x14ac:dyDescent="0.6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</row>
    <row r="2" spans="1:26" ht="12.75" customHeight="1" x14ac:dyDescent="0.6">
      <c r="A2" s="7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 spans="1:26" ht="12.75" customHeight="1" x14ac:dyDescent="0.6">
      <c r="A3" s="7"/>
      <c r="B3" s="12"/>
      <c r="C3" s="7"/>
      <c r="D3" s="122" t="s">
        <v>23</v>
      </c>
      <c r="E3" s="117"/>
      <c r="F3" s="117"/>
      <c r="G3" s="117"/>
      <c r="H3" s="117"/>
      <c r="I3" s="117"/>
      <c r="J3" s="117"/>
      <c r="K3" s="117"/>
      <c r="L3" s="117"/>
      <c r="M3" s="7"/>
      <c r="N3" s="13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</row>
    <row r="4" spans="1:26" ht="12.75" customHeight="1" x14ac:dyDescent="0.6">
      <c r="A4" s="7"/>
      <c r="B4" s="12"/>
      <c r="C4" s="7"/>
      <c r="D4" s="117"/>
      <c r="E4" s="117"/>
      <c r="F4" s="117"/>
      <c r="G4" s="117"/>
      <c r="H4" s="117"/>
      <c r="I4" s="117"/>
      <c r="J4" s="117"/>
      <c r="K4" s="117"/>
      <c r="L4" s="117"/>
      <c r="M4" s="7"/>
      <c r="N4" s="13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8"/>
    </row>
    <row r="5" spans="1:26" ht="12.75" customHeight="1" x14ac:dyDescent="0.6">
      <c r="A5" s="7"/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8"/>
    </row>
    <row r="6" spans="1:26" ht="21.75" customHeight="1" x14ac:dyDescent="0.6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8"/>
    </row>
    <row r="7" spans="1:26" ht="21.75" customHeight="1" x14ac:dyDescent="0.6">
      <c r="A7" s="7"/>
      <c r="B7" s="123" t="s">
        <v>24</v>
      </c>
      <c r="C7" s="117"/>
      <c r="D7" s="117"/>
      <c r="E7" s="117"/>
      <c r="F7" s="117"/>
      <c r="G7" s="117"/>
      <c r="H7" s="117"/>
      <c r="I7" s="17"/>
      <c r="J7" s="17"/>
      <c r="K7" s="17"/>
      <c r="L7" s="1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</row>
    <row r="8" spans="1:26" ht="21.75" customHeight="1" x14ac:dyDescent="0.6">
      <c r="A8" s="7"/>
      <c r="B8" s="18"/>
      <c r="C8" s="124" t="s">
        <v>25</v>
      </c>
      <c r="D8" s="125"/>
      <c r="E8" s="18"/>
      <c r="F8" s="18"/>
      <c r="G8" s="18"/>
      <c r="H8" s="18"/>
      <c r="I8" s="17"/>
      <c r="J8" s="17"/>
      <c r="K8" s="17"/>
      <c r="L8" s="1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</row>
    <row r="9" spans="1:26" ht="21.75" customHeight="1" x14ac:dyDescent="0.6">
      <c r="A9" s="7"/>
      <c r="B9" s="20" t="s">
        <v>26</v>
      </c>
      <c r="C9" s="19" t="s">
        <v>27</v>
      </c>
      <c r="D9" s="21" t="s">
        <v>28</v>
      </c>
      <c r="E9" s="19" t="s">
        <v>29</v>
      </c>
      <c r="F9" s="22" t="s">
        <v>30</v>
      </c>
      <c r="G9" s="23" t="s">
        <v>31</v>
      </c>
      <c r="H9" s="24" t="s">
        <v>32</v>
      </c>
      <c r="I9" s="17"/>
      <c r="J9" s="17"/>
      <c r="K9" s="17"/>
      <c r="L9" s="1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</row>
    <row r="10" spans="1:26" ht="21.75" customHeight="1" x14ac:dyDescent="0.6">
      <c r="A10" s="7"/>
      <c r="B10" s="25" t="s">
        <v>33</v>
      </c>
      <c r="C10" s="26">
        <v>93</v>
      </c>
      <c r="D10" s="26">
        <v>28</v>
      </c>
      <c r="E10" s="20">
        <f>C10*D10</f>
        <v>2604</v>
      </c>
      <c r="F10" s="20">
        <f>ROUNDUP((E10/$D$12),0)</f>
        <v>22</v>
      </c>
      <c r="G10" s="27">
        <f>F10*D13</f>
        <v>26.4</v>
      </c>
      <c r="H10" s="28">
        <f>G10/22</f>
        <v>1.2</v>
      </c>
      <c r="I10" s="17"/>
      <c r="J10" s="17"/>
      <c r="K10" s="17"/>
      <c r="L10" s="1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</row>
    <row r="11" spans="1:26" ht="21.75" customHeight="1" x14ac:dyDescent="0.6">
      <c r="A11" s="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</row>
    <row r="12" spans="1:26" ht="21.75" customHeight="1" x14ac:dyDescent="0.6">
      <c r="A12" s="7"/>
      <c r="B12" s="126" t="s">
        <v>34</v>
      </c>
      <c r="C12" s="121"/>
      <c r="D12" s="29">
        <v>120</v>
      </c>
      <c r="E12" s="17"/>
      <c r="F12" s="17"/>
      <c r="G12" s="17"/>
      <c r="H12" s="17"/>
      <c r="I12" s="17"/>
      <c r="J12" s="17"/>
      <c r="K12" s="17"/>
      <c r="L12" s="1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</row>
    <row r="13" spans="1:26" ht="21.75" customHeight="1" x14ac:dyDescent="0.6">
      <c r="A13" s="7"/>
      <c r="B13" s="126" t="s">
        <v>35</v>
      </c>
      <c r="C13" s="121"/>
      <c r="D13" s="30">
        <v>1.2</v>
      </c>
      <c r="E13" s="17"/>
      <c r="F13" s="17"/>
      <c r="G13" s="17"/>
      <c r="H13" s="17"/>
      <c r="I13" s="17"/>
      <c r="J13" s="17"/>
      <c r="K13" s="17"/>
      <c r="L13" s="1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</row>
    <row r="14" spans="1:26" ht="21.75" customHeight="1" x14ac:dyDescent="0.6">
      <c r="A14" s="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8"/>
    </row>
    <row r="15" spans="1:26" ht="21.75" customHeight="1" x14ac:dyDescent="0.6">
      <c r="A15" s="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</row>
    <row r="16" spans="1:26" ht="21.75" customHeight="1" x14ac:dyDescent="0.25">
      <c r="A16" s="31"/>
      <c r="B16" s="32" t="s">
        <v>26</v>
      </c>
      <c r="C16" s="33" t="s">
        <v>36</v>
      </c>
      <c r="D16" s="33" t="s">
        <v>37</v>
      </c>
      <c r="E16" s="33" t="s">
        <v>38</v>
      </c>
      <c r="F16" s="33" t="s">
        <v>39</v>
      </c>
      <c r="G16" s="33" t="s">
        <v>40</v>
      </c>
      <c r="H16" s="33" t="s">
        <v>41</v>
      </c>
      <c r="I16" s="33" t="s">
        <v>42</v>
      </c>
      <c r="J16" s="33" t="s">
        <v>43</v>
      </c>
      <c r="K16" s="33" t="s">
        <v>44</v>
      </c>
      <c r="L16" s="34" t="s">
        <v>32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5"/>
      <c r="Y16" s="35"/>
      <c r="Z16" s="35"/>
    </row>
    <row r="17" spans="1:26" ht="21.75" customHeight="1" x14ac:dyDescent="0.55000000000000004">
      <c r="A17" s="31"/>
      <c r="B17" s="36" t="s">
        <v>45</v>
      </c>
      <c r="C17" s="37">
        <v>966.84</v>
      </c>
      <c r="D17" s="37">
        <v>368.32</v>
      </c>
      <c r="E17" s="37">
        <v>40515.199999999997</v>
      </c>
      <c r="F17" s="37">
        <v>7</v>
      </c>
      <c r="G17" s="37">
        <v>8</v>
      </c>
      <c r="H17" s="38">
        <f>ROUNDUP((C17*$D$19)/(8.8*G17),0)</f>
        <v>29</v>
      </c>
      <c r="I17" s="38">
        <f>ROUNDUP((E17*$D$21)/(8.8*F17),0)</f>
        <v>29</v>
      </c>
      <c r="J17" s="38">
        <f>ROUNDUP((D17*$D$20)/8.8,0)</f>
        <v>1</v>
      </c>
      <c r="K17" s="39">
        <f>I17+J17+H17</f>
        <v>59</v>
      </c>
      <c r="L17" s="40">
        <f t="shared" ref="L17:L18" si="0">K17/22</f>
        <v>2.6818181818181817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5"/>
      <c r="Y17" s="35"/>
      <c r="Z17" s="35"/>
    </row>
    <row r="18" spans="1:26" ht="21.75" customHeight="1" x14ac:dyDescent="0.6">
      <c r="A18" s="7"/>
      <c r="B18" s="17"/>
      <c r="C18" s="17"/>
      <c r="D18" s="17"/>
      <c r="E18" s="17"/>
      <c r="F18" s="17"/>
      <c r="G18" s="17"/>
      <c r="H18" s="17"/>
      <c r="I18" s="41"/>
      <c r="J18" s="41"/>
      <c r="K18" s="42">
        <f>K17*D22</f>
        <v>70.8</v>
      </c>
      <c r="L18" s="43">
        <f t="shared" si="0"/>
        <v>3.2181818181818183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8"/>
    </row>
    <row r="19" spans="1:26" ht="21.75" customHeight="1" x14ac:dyDescent="0.6">
      <c r="A19" s="7"/>
      <c r="B19" s="44" t="s">
        <v>46</v>
      </c>
      <c r="C19" s="45"/>
      <c r="D19" s="30">
        <v>2.08</v>
      </c>
      <c r="E19" s="17"/>
      <c r="F19" s="17"/>
      <c r="G19" s="17"/>
      <c r="H19" s="17"/>
      <c r="I19" s="17"/>
      <c r="J19" s="8"/>
      <c r="K19" s="8"/>
      <c r="L19" s="1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</row>
    <row r="20" spans="1:26" ht="21.75" customHeight="1" x14ac:dyDescent="0.6">
      <c r="A20" s="7"/>
      <c r="B20" s="44" t="s">
        <v>47</v>
      </c>
      <c r="C20" s="46"/>
      <c r="D20" s="47">
        <v>1.32530120481928E-2</v>
      </c>
      <c r="E20" s="7"/>
      <c r="F20" s="7"/>
      <c r="G20" s="17"/>
      <c r="H20" s="17"/>
      <c r="I20" s="17"/>
      <c r="J20" s="17"/>
      <c r="K20" s="17"/>
      <c r="L20" s="48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8"/>
    </row>
    <row r="21" spans="1:26" ht="21.75" customHeight="1" x14ac:dyDescent="0.6">
      <c r="A21" s="7"/>
      <c r="B21" s="44" t="s">
        <v>48</v>
      </c>
      <c r="C21" s="46"/>
      <c r="D21" s="47">
        <v>4.3999999999999997E-2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8"/>
    </row>
    <row r="22" spans="1:26" ht="21.75" customHeight="1" x14ac:dyDescent="0.6">
      <c r="A22" s="7"/>
      <c r="B22" s="120" t="s">
        <v>35</v>
      </c>
      <c r="C22" s="121"/>
      <c r="D22" s="30">
        <v>1.2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/>
    </row>
    <row r="23" spans="1:26" ht="21.75" customHeight="1" x14ac:dyDescent="0.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8"/>
    </row>
    <row r="24" spans="1:26" ht="21.75" customHeight="1" x14ac:dyDescent="0.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8"/>
    </row>
    <row r="25" spans="1:26" ht="21.75" customHeight="1" x14ac:dyDescent="0.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8"/>
    </row>
    <row r="26" spans="1:26" ht="21.75" customHeight="1" x14ac:dyDescent="0.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8"/>
    </row>
    <row r="27" spans="1:26" ht="21.75" customHeight="1" x14ac:dyDescent="0.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8"/>
    </row>
    <row r="28" spans="1:26" ht="21.75" customHeight="1" x14ac:dyDescent="0.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8"/>
    </row>
    <row r="29" spans="1:26" ht="21.75" customHeight="1" x14ac:dyDescent="0.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8"/>
    </row>
    <row r="30" spans="1:26" ht="21.75" customHeight="1" x14ac:dyDescent="0.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8"/>
    </row>
    <row r="31" spans="1:26" ht="21.75" customHeight="1" x14ac:dyDescent="0.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8"/>
    </row>
    <row r="32" spans="1:26" ht="21.75" customHeight="1" x14ac:dyDescent="0.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8"/>
    </row>
    <row r="33" spans="1:26" ht="21.75" customHeight="1" x14ac:dyDescent="0.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8"/>
    </row>
    <row r="34" spans="1:26" ht="21.75" customHeight="1" x14ac:dyDescent="0.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8"/>
    </row>
    <row r="35" spans="1:26" ht="21.75" customHeight="1" x14ac:dyDescent="0.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8"/>
    </row>
    <row r="36" spans="1:26" ht="21.75" customHeight="1" x14ac:dyDescent="0.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8"/>
    </row>
    <row r="37" spans="1:26" ht="21.75" customHeight="1" x14ac:dyDescent="0.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8"/>
    </row>
    <row r="38" spans="1:26" ht="21.75" customHeight="1" x14ac:dyDescent="0.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8"/>
    </row>
    <row r="39" spans="1:26" ht="21.75" customHeight="1" x14ac:dyDescent="0.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8"/>
    </row>
    <row r="40" spans="1:26" ht="21.75" customHeight="1" x14ac:dyDescent="0.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8"/>
    </row>
    <row r="41" spans="1:26" ht="21.75" customHeight="1" x14ac:dyDescent="0.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8"/>
    </row>
    <row r="42" spans="1:26" ht="21.75" customHeight="1" x14ac:dyDescent="0.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8"/>
    </row>
    <row r="43" spans="1:26" ht="21.75" customHeight="1" x14ac:dyDescent="0.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8"/>
    </row>
    <row r="44" spans="1:26" ht="21.75" customHeight="1" x14ac:dyDescent="0.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8"/>
    </row>
    <row r="45" spans="1:26" ht="21.75" customHeight="1" x14ac:dyDescent="0.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8"/>
    </row>
    <row r="46" spans="1:26" ht="21.75" customHeight="1" x14ac:dyDescent="0.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8"/>
    </row>
    <row r="47" spans="1:26" ht="21.75" customHeight="1" x14ac:dyDescent="0.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8"/>
    </row>
    <row r="48" spans="1:26" ht="21.75" customHeight="1" x14ac:dyDescent="0.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8"/>
    </row>
    <row r="49" spans="1:26" ht="21.75" customHeight="1" x14ac:dyDescent="0.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8"/>
    </row>
    <row r="50" spans="1:26" ht="21.75" customHeight="1" x14ac:dyDescent="0.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8"/>
    </row>
    <row r="51" spans="1:26" ht="21.75" customHeight="1" x14ac:dyDescent="0.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8"/>
    </row>
    <row r="52" spans="1:26" ht="21.75" customHeight="1" x14ac:dyDescent="0.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8"/>
    </row>
    <row r="53" spans="1:26" ht="21.75" customHeight="1" x14ac:dyDescent="0.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8"/>
    </row>
    <row r="54" spans="1:26" ht="21.75" customHeight="1" x14ac:dyDescent="0.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8"/>
    </row>
    <row r="55" spans="1:26" ht="21.75" customHeight="1" x14ac:dyDescent="0.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8"/>
    </row>
    <row r="56" spans="1:26" ht="21.75" customHeight="1" x14ac:dyDescent="0.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8"/>
    </row>
    <row r="57" spans="1:26" ht="21.75" customHeight="1" x14ac:dyDescent="0.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8"/>
    </row>
    <row r="58" spans="1:26" ht="21.75" customHeight="1" x14ac:dyDescent="0.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8"/>
    </row>
    <row r="59" spans="1:26" ht="21.75" customHeight="1" x14ac:dyDescent="0.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8"/>
    </row>
    <row r="60" spans="1:26" ht="21.75" customHeight="1" x14ac:dyDescent="0.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8"/>
    </row>
    <row r="61" spans="1:26" ht="21.75" customHeight="1" x14ac:dyDescent="0.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8"/>
    </row>
    <row r="62" spans="1:26" ht="21.75" customHeight="1" x14ac:dyDescent="0.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8"/>
    </row>
    <row r="63" spans="1:26" ht="21.75" customHeight="1" x14ac:dyDescent="0.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8"/>
    </row>
    <row r="64" spans="1:26" ht="21.75" customHeight="1" x14ac:dyDescent="0.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8"/>
    </row>
    <row r="65" spans="1:26" ht="21.75" customHeight="1" x14ac:dyDescent="0.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8"/>
    </row>
    <row r="66" spans="1:26" ht="21.75" customHeight="1" x14ac:dyDescent="0.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8"/>
    </row>
    <row r="67" spans="1:26" ht="21.75" customHeight="1" x14ac:dyDescent="0.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8"/>
    </row>
    <row r="68" spans="1:26" ht="21.75" customHeight="1" x14ac:dyDescent="0.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8"/>
    </row>
    <row r="69" spans="1:26" ht="21.75" customHeight="1" x14ac:dyDescent="0.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8"/>
    </row>
    <row r="70" spans="1:26" ht="21.75" customHeight="1" x14ac:dyDescent="0.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8"/>
    </row>
    <row r="71" spans="1:26" ht="21.75" customHeight="1" x14ac:dyDescent="0.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8"/>
    </row>
    <row r="72" spans="1:26" ht="21.75" customHeight="1" x14ac:dyDescent="0.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8"/>
    </row>
    <row r="73" spans="1:26" ht="21.75" customHeight="1" x14ac:dyDescent="0.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8"/>
    </row>
    <row r="74" spans="1:26" ht="21.75" customHeight="1" x14ac:dyDescent="0.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8"/>
    </row>
    <row r="75" spans="1:26" ht="21.75" customHeight="1" x14ac:dyDescent="0.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8"/>
    </row>
    <row r="76" spans="1:26" ht="21.75" customHeight="1" x14ac:dyDescent="0.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8"/>
    </row>
    <row r="77" spans="1:26" ht="21.75" customHeight="1" x14ac:dyDescent="0.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8"/>
    </row>
    <row r="78" spans="1:26" ht="21.75" customHeight="1" x14ac:dyDescent="0.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8"/>
    </row>
    <row r="79" spans="1:26" ht="21.75" customHeight="1" x14ac:dyDescent="0.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8"/>
    </row>
    <row r="80" spans="1:26" ht="21.75" customHeight="1" x14ac:dyDescent="0.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8"/>
    </row>
    <row r="81" spans="1:26" ht="21.75" customHeight="1" x14ac:dyDescent="0.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8"/>
    </row>
    <row r="82" spans="1:26" ht="21.75" customHeight="1" x14ac:dyDescent="0.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8"/>
    </row>
    <row r="83" spans="1:26" ht="21.75" customHeight="1" x14ac:dyDescent="0.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8"/>
    </row>
    <row r="84" spans="1:26" ht="21.75" customHeight="1" x14ac:dyDescent="0.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8"/>
    </row>
    <row r="85" spans="1:26" ht="21.75" customHeight="1" x14ac:dyDescent="0.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8"/>
    </row>
    <row r="86" spans="1:26" ht="21.75" customHeight="1" x14ac:dyDescent="0.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8"/>
    </row>
    <row r="87" spans="1:26" ht="21.75" customHeight="1" x14ac:dyDescent="0.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8"/>
    </row>
    <row r="88" spans="1:26" ht="21.75" customHeight="1" x14ac:dyDescent="0.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8"/>
    </row>
    <row r="89" spans="1:26" ht="21.75" customHeight="1" x14ac:dyDescent="0.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8"/>
    </row>
    <row r="90" spans="1:26" ht="21.75" customHeight="1" x14ac:dyDescent="0.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8"/>
    </row>
    <row r="91" spans="1:26" ht="21.75" customHeight="1" x14ac:dyDescent="0.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8"/>
    </row>
    <row r="92" spans="1:26" ht="21.75" customHeight="1" x14ac:dyDescent="0.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8"/>
    </row>
    <row r="93" spans="1:26" ht="21.75" customHeight="1" x14ac:dyDescent="0.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8"/>
    </row>
    <row r="94" spans="1:26" ht="21.75" customHeight="1" x14ac:dyDescent="0.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8"/>
    </row>
    <row r="95" spans="1:26" ht="21.75" customHeight="1" x14ac:dyDescent="0.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8"/>
    </row>
    <row r="96" spans="1:26" ht="21.75" customHeight="1" x14ac:dyDescent="0.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8"/>
    </row>
    <row r="97" spans="1:26" ht="21.75" customHeight="1" x14ac:dyDescent="0.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8"/>
    </row>
    <row r="98" spans="1:26" ht="21.75" customHeight="1" x14ac:dyDescent="0.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8"/>
    </row>
    <row r="99" spans="1:26" ht="21.75" customHeight="1" x14ac:dyDescent="0.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8"/>
    </row>
    <row r="100" spans="1:26" ht="21.75" customHeight="1" x14ac:dyDescent="0.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8"/>
    </row>
    <row r="101" spans="1:26" ht="21.75" customHeight="1" x14ac:dyDescent="0.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8"/>
    </row>
    <row r="102" spans="1:26" ht="21.75" customHeight="1" x14ac:dyDescent="0.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8"/>
    </row>
    <row r="103" spans="1:26" ht="21.75" customHeight="1" x14ac:dyDescent="0.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8"/>
    </row>
    <row r="104" spans="1:26" ht="21.75" customHeight="1" x14ac:dyDescent="0.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8"/>
    </row>
    <row r="105" spans="1:26" ht="21.75" customHeight="1" x14ac:dyDescent="0.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8"/>
    </row>
    <row r="106" spans="1:26" ht="21.75" customHeight="1" x14ac:dyDescent="0.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8"/>
    </row>
    <row r="107" spans="1:26" ht="21.75" customHeight="1" x14ac:dyDescent="0.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8"/>
    </row>
    <row r="108" spans="1:26" ht="21.75" customHeight="1" x14ac:dyDescent="0.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8"/>
    </row>
    <row r="109" spans="1:26" ht="21.75" customHeight="1" x14ac:dyDescent="0.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8"/>
    </row>
    <row r="110" spans="1:26" ht="21.75" customHeight="1" x14ac:dyDescent="0.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8"/>
    </row>
    <row r="111" spans="1:26" ht="21.75" customHeight="1" x14ac:dyDescent="0.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8"/>
    </row>
    <row r="112" spans="1:26" ht="21.75" customHeight="1" x14ac:dyDescent="0.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8"/>
    </row>
    <row r="113" spans="1:26" ht="21.75" customHeight="1" x14ac:dyDescent="0.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8"/>
    </row>
    <row r="114" spans="1:26" ht="21.75" customHeight="1" x14ac:dyDescent="0.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8"/>
    </row>
    <row r="115" spans="1:26" ht="21.75" customHeight="1" x14ac:dyDescent="0.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8"/>
    </row>
    <row r="116" spans="1:26" ht="21.75" customHeight="1" x14ac:dyDescent="0.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8"/>
    </row>
    <row r="117" spans="1:26" ht="21.75" customHeight="1" x14ac:dyDescent="0.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8"/>
    </row>
    <row r="118" spans="1:26" ht="21.75" customHeight="1" x14ac:dyDescent="0.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8"/>
    </row>
    <row r="119" spans="1:26" ht="21.75" customHeight="1" x14ac:dyDescent="0.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8"/>
    </row>
    <row r="120" spans="1:26" ht="21.75" customHeight="1" x14ac:dyDescent="0.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8"/>
    </row>
    <row r="121" spans="1:26" ht="21.75" customHeight="1" x14ac:dyDescent="0.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8"/>
    </row>
    <row r="122" spans="1:26" ht="21.75" customHeight="1" x14ac:dyDescent="0.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8"/>
    </row>
    <row r="123" spans="1:26" ht="21.75" customHeight="1" x14ac:dyDescent="0.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8"/>
    </row>
    <row r="124" spans="1:26" ht="21.75" customHeight="1" x14ac:dyDescent="0.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8"/>
    </row>
    <row r="125" spans="1:26" ht="21.75" customHeight="1" x14ac:dyDescent="0.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8"/>
    </row>
    <row r="126" spans="1:26" ht="21.75" customHeight="1" x14ac:dyDescent="0.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8"/>
    </row>
    <row r="127" spans="1:26" ht="21.75" customHeight="1" x14ac:dyDescent="0.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8"/>
    </row>
    <row r="128" spans="1:26" ht="21.75" customHeight="1" x14ac:dyDescent="0.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8"/>
    </row>
    <row r="129" spans="1:26" ht="21.75" customHeight="1" x14ac:dyDescent="0.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8"/>
    </row>
    <row r="130" spans="1:26" ht="21.75" customHeight="1" x14ac:dyDescent="0.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8"/>
    </row>
    <row r="131" spans="1:26" ht="21.75" customHeight="1" x14ac:dyDescent="0.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8"/>
    </row>
    <row r="132" spans="1:26" ht="21.75" customHeight="1" x14ac:dyDescent="0.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8"/>
    </row>
    <row r="133" spans="1:26" ht="21.75" customHeight="1" x14ac:dyDescent="0.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8"/>
    </row>
    <row r="134" spans="1:26" ht="21.75" customHeight="1" x14ac:dyDescent="0.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8"/>
    </row>
    <row r="135" spans="1:26" ht="21.75" customHeight="1" x14ac:dyDescent="0.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8"/>
    </row>
    <row r="136" spans="1:26" ht="21.75" customHeight="1" x14ac:dyDescent="0.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8"/>
    </row>
    <row r="137" spans="1:26" ht="21.75" customHeight="1" x14ac:dyDescent="0.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8"/>
    </row>
    <row r="138" spans="1:26" ht="21.75" customHeight="1" x14ac:dyDescent="0.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8"/>
    </row>
    <row r="139" spans="1:26" ht="21.75" customHeight="1" x14ac:dyDescent="0.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8"/>
    </row>
    <row r="140" spans="1:26" ht="21.75" customHeight="1" x14ac:dyDescent="0.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8"/>
    </row>
    <row r="141" spans="1:26" ht="21.75" customHeight="1" x14ac:dyDescent="0.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8"/>
    </row>
    <row r="142" spans="1:26" ht="21.75" customHeight="1" x14ac:dyDescent="0.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8"/>
    </row>
    <row r="143" spans="1:26" ht="21.75" customHeight="1" x14ac:dyDescent="0.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8"/>
    </row>
    <row r="144" spans="1:26" ht="21.75" customHeight="1" x14ac:dyDescent="0.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8"/>
    </row>
    <row r="145" spans="1:26" ht="21.75" customHeight="1" x14ac:dyDescent="0.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8"/>
    </row>
    <row r="146" spans="1:26" ht="21.75" customHeight="1" x14ac:dyDescent="0.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8"/>
    </row>
    <row r="147" spans="1:26" ht="21.75" customHeight="1" x14ac:dyDescent="0.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8"/>
    </row>
    <row r="148" spans="1:26" ht="21.75" customHeight="1" x14ac:dyDescent="0.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8"/>
    </row>
    <row r="149" spans="1:26" ht="21.75" customHeight="1" x14ac:dyDescent="0.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8"/>
    </row>
    <row r="150" spans="1:26" ht="21.75" customHeight="1" x14ac:dyDescent="0.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8"/>
    </row>
    <row r="151" spans="1:26" ht="21.75" customHeight="1" x14ac:dyDescent="0.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8"/>
    </row>
    <row r="152" spans="1:26" ht="21.75" customHeight="1" x14ac:dyDescent="0.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8"/>
    </row>
    <row r="153" spans="1:26" ht="21.75" customHeight="1" x14ac:dyDescent="0.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8"/>
    </row>
    <row r="154" spans="1:26" ht="21.75" customHeight="1" x14ac:dyDescent="0.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8"/>
    </row>
    <row r="155" spans="1:26" ht="21.75" customHeight="1" x14ac:dyDescent="0.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8"/>
    </row>
    <row r="156" spans="1:26" ht="21.75" customHeight="1" x14ac:dyDescent="0.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8"/>
    </row>
    <row r="157" spans="1:26" ht="21.75" customHeight="1" x14ac:dyDescent="0.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8"/>
    </row>
    <row r="158" spans="1:26" ht="21.75" customHeight="1" x14ac:dyDescent="0.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8"/>
    </row>
    <row r="159" spans="1:26" ht="21.75" customHeight="1" x14ac:dyDescent="0.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8"/>
    </row>
    <row r="160" spans="1:26" ht="21.75" customHeight="1" x14ac:dyDescent="0.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8"/>
    </row>
    <row r="161" spans="1:26" ht="21.75" customHeight="1" x14ac:dyDescent="0.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8"/>
    </row>
    <row r="162" spans="1:26" ht="21.75" customHeight="1" x14ac:dyDescent="0.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8"/>
    </row>
    <row r="163" spans="1:26" ht="21.75" customHeight="1" x14ac:dyDescent="0.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8"/>
    </row>
    <row r="164" spans="1:26" ht="21.75" customHeight="1" x14ac:dyDescent="0.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8"/>
    </row>
    <row r="165" spans="1:26" ht="21.75" customHeight="1" x14ac:dyDescent="0.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8"/>
    </row>
    <row r="166" spans="1:26" ht="21.75" customHeight="1" x14ac:dyDescent="0.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8"/>
    </row>
    <row r="167" spans="1:26" ht="21.75" customHeight="1" x14ac:dyDescent="0.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8"/>
    </row>
    <row r="168" spans="1:26" ht="21.75" customHeight="1" x14ac:dyDescent="0.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8"/>
    </row>
    <row r="169" spans="1:26" ht="21.75" customHeight="1" x14ac:dyDescent="0.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8"/>
    </row>
    <row r="170" spans="1:26" ht="21.75" customHeight="1" x14ac:dyDescent="0.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8"/>
    </row>
    <row r="171" spans="1:26" ht="21.75" customHeight="1" x14ac:dyDescent="0.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8"/>
    </row>
    <row r="172" spans="1:26" ht="21.75" customHeight="1" x14ac:dyDescent="0.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8"/>
    </row>
    <row r="173" spans="1:26" ht="21.75" customHeight="1" x14ac:dyDescent="0.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8"/>
    </row>
    <row r="174" spans="1:26" ht="21.75" customHeight="1" x14ac:dyDescent="0.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8"/>
    </row>
    <row r="175" spans="1:26" ht="21.75" customHeight="1" x14ac:dyDescent="0.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8"/>
    </row>
    <row r="176" spans="1:26" ht="21.75" customHeight="1" x14ac:dyDescent="0.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8"/>
    </row>
    <row r="177" spans="1:26" ht="21.75" customHeight="1" x14ac:dyDescent="0.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8"/>
    </row>
    <row r="178" spans="1:26" ht="21.75" customHeight="1" x14ac:dyDescent="0.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8"/>
    </row>
    <row r="179" spans="1:26" ht="21.75" customHeight="1" x14ac:dyDescent="0.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8"/>
    </row>
    <row r="180" spans="1:26" ht="21.75" customHeight="1" x14ac:dyDescent="0.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8"/>
    </row>
    <row r="181" spans="1:26" ht="21.75" customHeight="1" x14ac:dyDescent="0.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8"/>
    </row>
    <row r="182" spans="1:26" ht="21.75" customHeight="1" x14ac:dyDescent="0.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8"/>
    </row>
    <row r="183" spans="1:26" ht="21.75" customHeight="1" x14ac:dyDescent="0.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8"/>
    </row>
    <row r="184" spans="1:26" ht="21.75" customHeight="1" x14ac:dyDescent="0.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8"/>
    </row>
    <row r="185" spans="1:26" ht="21.75" customHeight="1" x14ac:dyDescent="0.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8"/>
    </row>
    <row r="186" spans="1:26" ht="21.75" customHeight="1" x14ac:dyDescent="0.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8"/>
    </row>
    <row r="187" spans="1:26" ht="21.75" customHeight="1" x14ac:dyDescent="0.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8"/>
    </row>
    <row r="188" spans="1:26" ht="21.75" customHeight="1" x14ac:dyDescent="0.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8"/>
    </row>
    <row r="189" spans="1:26" ht="21.75" customHeight="1" x14ac:dyDescent="0.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8"/>
    </row>
    <row r="190" spans="1:26" ht="21.75" customHeight="1" x14ac:dyDescent="0.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8"/>
    </row>
    <row r="191" spans="1:26" ht="21.75" customHeight="1" x14ac:dyDescent="0.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8"/>
    </row>
    <row r="192" spans="1:26" ht="21.75" customHeight="1" x14ac:dyDescent="0.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8"/>
    </row>
    <row r="193" spans="1:26" ht="21.75" customHeight="1" x14ac:dyDescent="0.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8"/>
    </row>
    <row r="194" spans="1:26" ht="21.75" customHeight="1" x14ac:dyDescent="0.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8"/>
    </row>
    <row r="195" spans="1:26" ht="21.75" customHeight="1" x14ac:dyDescent="0.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8"/>
    </row>
    <row r="196" spans="1:26" ht="21.75" customHeight="1" x14ac:dyDescent="0.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8"/>
    </row>
    <row r="197" spans="1:26" ht="21.75" customHeight="1" x14ac:dyDescent="0.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8"/>
    </row>
    <row r="198" spans="1:26" ht="21.75" customHeight="1" x14ac:dyDescent="0.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8"/>
    </row>
    <row r="199" spans="1:26" ht="21.75" customHeight="1" x14ac:dyDescent="0.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8"/>
    </row>
    <row r="200" spans="1:26" ht="21.75" customHeight="1" x14ac:dyDescent="0.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8"/>
    </row>
    <row r="201" spans="1:26" ht="21.75" customHeight="1" x14ac:dyDescent="0.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8"/>
    </row>
    <row r="202" spans="1:26" ht="21.75" customHeight="1" x14ac:dyDescent="0.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8"/>
    </row>
    <row r="203" spans="1:26" ht="21.75" customHeight="1" x14ac:dyDescent="0.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8"/>
    </row>
    <row r="204" spans="1:26" ht="21.75" customHeight="1" x14ac:dyDescent="0.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8"/>
    </row>
    <row r="205" spans="1:26" ht="21.75" customHeight="1" x14ac:dyDescent="0.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8"/>
    </row>
    <row r="206" spans="1:26" ht="21.75" customHeight="1" x14ac:dyDescent="0.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8"/>
    </row>
    <row r="207" spans="1:26" ht="21.75" customHeight="1" x14ac:dyDescent="0.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8"/>
    </row>
    <row r="208" spans="1:26" ht="21.75" customHeight="1" x14ac:dyDescent="0.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8"/>
    </row>
    <row r="209" spans="1:26" ht="21.75" customHeight="1" x14ac:dyDescent="0.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8"/>
    </row>
    <row r="210" spans="1:26" ht="21.75" customHeight="1" x14ac:dyDescent="0.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8"/>
    </row>
    <row r="211" spans="1:26" ht="21.75" customHeight="1" x14ac:dyDescent="0.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8"/>
    </row>
    <row r="212" spans="1:26" ht="21.75" customHeight="1" x14ac:dyDescent="0.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8"/>
    </row>
    <row r="213" spans="1:26" ht="21.75" customHeight="1" x14ac:dyDescent="0.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8"/>
    </row>
    <row r="214" spans="1:26" ht="21.75" customHeight="1" x14ac:dyDescent="0.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8"/>
    </row>
    <row r="215" spans="1:26" ht="21.75" customHeight="1" x14ac:dyDescent="0.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8"/>
    </row>
    <row r="216" spans="1:26" ht="21.75" customHeight="1" x14ac:dyDescent="0.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8"/>
    </row>
    <row r="217" spans="1:26" ht="21.75" customHeight="1" x14ac:dyDescent="0.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8"/>
    </row>
    <row r="218" spans="1:26" ht="21.75" customHeight="1" x14ac:dyDescent="0.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8"/>
    </row>
    <row r="219" spans="1:26" ht="21.75" customHeight="1" x14ac:dyDescent="0.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8"/>
    </row>
    <row r="220" spans="1:26" ht="21.75" customHeight="1" x14ac:dyDescent="0.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8"/>
    </row>
    <row r="221" spans="1:26" ht="21.75" customHeight="1" x14ac:dyDescent="0.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8"/>
    </row>
    <row r="222" spans="1:26" ht="21.75" customHeight="1" x14ac:dyDescent="0.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8"/>
    </row>
    <row r="223" spans="1:26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B22:C22"/>
    <mergeCell ref="D3:L4"/>
    <mergeCell ref="B7:H7"/>
    <mergeCell ref="C8:D8"/>
    <mergeCell ref="B12:C12"/>
    <mergeCell ref="B13:C13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8"/>
  <sheetViews>
    <sheetView showGridLines="0" topLeftCell="A23" workbookViewId="0">
      <selection activeCell="G30" sqref="G30"/>
    </sheetView>
  </sheetViews>
  <sheetFormatPr defaultColWidth="14.42578125" defaultRowHeight="15" customHeight="1" x14ac:dyDescent="0.25"/>
  <cols>
    <col min="1" max="1" width="2.28515625" customWidth="1"/>
    <col min="2" max="3" width="18" customWidth="1"/>
    <col min="4" max="4" width="17.85546875" customWidth="1"/>
    <col min="5" max="5" width="11.42578125" customWidth="1"/>
    <col min="6" max="6" width="11.85546875" customWidth="1"/>
    <col min="7" max="7" width="10.7109375" customWidth="1"/>
    <col min="8" max="8" width="14.85546875" customWidth="1"/>
    <col min="9" max="9" width="10.7109375" customWidth="1"/>
    <col min="10" max="11" width="14.140625" customWidth="1"/>
    <col min="12" max="12" width="9.140625" customWidth="1"/>
    <col min="13" max="23" width="8.7109375" customWidth="1"/>
  </cols>
  <sheetData>
    <row r="1" spans="1:26" ht="7.5" customHeight="1" x14ac:dyDescent="0.6">
      <c r="A1" s="7"/>
      <c r="B1" s="49"/>
      <c r="C1" s="49"/>
      <c r="D1" s="7"/>
      <c r="E1" s="7"/>
      <c r="F1" s="7"/>
      <c r="G1" s="50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8"/>
      <c r="Y1" s="8"/>
      <c r="Z1" s="8"/>
    </row>
    <row r="2" spans="1:26" ht="12.75" customHeight="1" x14ac:dyDescent="0.6">
      <c r="A2" s="7"/>
      <c r="B2" s="51"/>
      <c r="C2" s="52"/>
      <c r="D2" s="10"/>
      <c r="E2" s="10"/>
      <c r="F2" s="10"/>
      <c r="G2" s="53"/>
      <c r="H2" s="10"/>
      <c r="I2" s="10"/>
      <c r="J2" s="10"/>
      <c r="K2" s="11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  <c r="Y2" s="8"/>
      <c r="Z2" s="8"/>
    </row>
    <row r="3" spans="1:26" ht="12.75" customHeight="1" x14ac:dyDescent="0.6">
      <c r="A3" s="7"/>
      <c r="B3" s="54"/>
      <c r="C3" s="49"/>
      <c r="D3" s="122" t="s">
        <v>49</v>
      </c>
      <c r="E3" s="117"/>
      <c r="F3" s="117"/>
      <c r="G3" s="117"/>
      <c r="H3" s="117"/>
      <c r="I3" s="117"/>
      <c r="J3" s="7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8"/>
    </row>
    <row r="4" spans="1:26" ht="12.75" customHeight="1" x14ac:dyDescent="0.6">
      <c r="A4" s="7"/>
      <c r="B4" s="54"/>
      <c r="C4" s="49"/>
      <c r="D4" s="117"/>
      <c r="E4" s="117"/>
      <c r="F4" s="117"/>
      <c r="G4" s="117"/>
      <c r="H4" s="117"/>
      <c r="I4" s="117"/>
      <c r="J4" s="7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  <c r="Y4" s="8"/>
      <c r="Z4" s="8"/>
    </row>
    <row r="5" spans="1:26" ht="12.75" customHeight="1" x14ac:dyDescent="0.6">
      <c r="A5" s="7"/>
      <c r="B5" s="55"/>
      <c r="C5" s="56"/>
      <c r="D5" s="15"/>
      <c r="E5" s="15"/>
      <c r="F5" s="15"/>
      <c r="G5" s="57"/>
      <c r="H5" s="15"/>
      <c r="I5" s="15"/>
      <c r="J5" s="15"/>
      <c r="K5" s="1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  <c r="Y5" s="8"/>
      <c r="Z5" s="8"/>
    </row>
    <row r="6" spans="1:26" ht="21.75" customHeight="1" x14ac:dyDescent="0.6">
      <c r="A6" s="7"/>
      <c r="B6" s="58"/>
      <c r="C6" s="58"/>
      <c r="D6" s="17"/>
      <c r="E6" s="17"/>
      <c r="F6" s="17"/>
      <c r="G6" s="59"/>
      <c r="H6" s="17"/>
      <c r="I6" s="17"/>
      <c r="J6" s="17"/>
      <c r="K6" s="1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/>
      <c r="Y6" s="8"/>
      <c r="Z6" s="8"/>
    </row>
    <row r="7" spans="1:26" ht="21.75" customHeight="1" x14ac:dyDescent="0.6">
      <c r="A7" s="7"/>
      <c r="B7" s="32" t="s">
        <v>50</v>
      </c>
      <c r="C7" s="33" t="s">
        <v>51</v>
      </c>
      <c r="D7" s="60" t="s">
        <v>36</v>
      </c>
      <c r="E7" s="33" t="s">
        <v>52</v>
      </c>
      <c r="F7" s="33" t="s">
        <v>53</v>
      </c>
      <c r="G7" s="61" t="s">
        <v>54</v>
      </c>
      <c r="H7" s="33" t="s">
        <v>40</v>
      </c>
      <c r="I7" s="33" t="s">
        <v>39</v>
      </c>
      <c r="J7" s="33" t="s">
        <v>55</v>
      </c>
      <c r="K7" s="29" t="s">
        <v>56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8"/>
      <c r="Y7" s="8"/>
      <c r="Z7" s="8"/>
    </row>
    <row r="8" spans="1:26" ht="21.75" customHeight="1" x14ac:dyDescent="0.6">
      <c r="A8" s="7"/>
      <c r="B8" s="62" t="s">
        <v>162</v>
      </c>
      <c r="C8" s="37">
        <f>82.62/2</f>
        <v>41.31</v>
      </c>
      <c r="D8" s="63">
        <f t="shared" ref="D8:D18" si="0">C8*$C$37</f>
        <v>103.27500000000001</v>
      </c>
      <c r="E8" s="63">
        <v>1.6</v>
      </c>
      <c r="F8" s="63">
        <f t="shared" ref="F8:F35" si="1">8.8/E8</f>
        <v>5.5</v>
      </c>
      <c r="G8" s="64">
        <v>5</v>
      </c>
      <c r="H8" s="38">
        <f t="shared" ref="H8:H35" si="2">ROUNDUP((D8*E8)/(G8*8.8),0)</f>
        <v>4</v>
      </c>
      <c r="I8" s="38">
        <f t="shared" ref="I8:I35" si="3">ROUNDUP(H8/2,0)</f>
        <v>2</v>
      </c>
      <c r="J8" s="38">
        <f t="shared" ref="J8:J35" si="4">ROUNDUP(H8/4,0)</f>
        <v>1</v>
      </c>
      <c r="K8" s="65">
        <f t="shared" ref="K8:K35" si="5">J8+I8+H8</f>
        <v>7</v>
      </c>
      <c r="L8" s="41"/>
      <c r="M8" s="7"/>
      <c r="N8" s="8"/>
      <c r="O8" s="8"/>
      <c r="P8" s="7"/>
      <c r="Q8" s="7"/>
      <c r="R8" s="7"/>
      <c r="S8" s="7"/>
      <c r="T8" s="7"/>
      <c r="U8" s="7"/>
      <c r="V8" s="7"/>
      <c r="W8" s="7"/>
      <c r="X8" s="8"/>
      <c r="Y8" s="8"/>
      <c r="Z8" s="8"/>
    </row>
    <row r="9" spans="1:26" ht="21.75" customHeight="1" x14ac:dyDescent="0.6">
      <c r="A9" s="7"/>
      <c r="B9" s="62" t="s">
        <v>161</v>
      </c>
      <c r="C9" s="37">
        <f>82.62/2</f>
        <v>41.31</v>
      </c>
      <c r="D9" s="63">
        <f t="shared" si="0"/>
        <v>103.27500000000001</v>
      </c>
      <c r="E9" s="63">
        <v>1.6</v>
      </c>
      <c r="F9" s="63">
        <f t="shared" si="1"/>
        <v>5.5</v>
      </c>
      <c r="G9" s="64">
        <v>5</v>
      </c>
      <c r="H9" s="38">
        <f t="shared" si="2"/>
        <v>4</v>
      </c>
      <c r="I9" s="38">
        <f t="shared" si="3"/>
        <v>2</v>
      </c>
      <c r="J9" s="38">
        <f t="shared" si="4"/>
        <v>1</v>
      </c>
      <c r="K9" s="65">
        <f t="shared" si="5"/>
        <v>7</v>
      </c>
      <c r="L9" s="41"/>
      <c r="M9" s="7"/>
      <c r="N9" s="8"/>
      <c r="O9" s="8"/>
      <c r="P9" s="7"/>
      <c r="Q9" s="7"/>
      <c r="R9" s="7"/>
      <c r="S9" s="7"/>
      <c r="T9" s="7"/>
      <c r="U9" s="7"/>
      <c r="V9" s="7"/>
      <c r="W9" s="7"/>
      <c r="X9" s="8"/>
      <c r="Y9" s="8"/>
      <c r="Z9" s="8"/>
    </row>
    <row r="10" spans="1:26" ht="21.75" customHeight="1" x14ac:dyDescent="0.6">
      <c r="A10" s="7"/>
      <c r="B10" s="62" t="s">
        <v>62</v>
      </c>
      <c r="C10" s="37">
        <v>353.75</v>
      </c>
      <c r="D10" s="63">
        <f t="shared" si="0"/>
        <v>884.375</v>
      </c>
      <c r="E10" s="63">
        <v>2.0099999999999998</v>
      </c>
      <c r="F10" s="63">
        <f t="shared" si="1"/>
        <v>4.3781094527363189</v>
      </c>
      <c r="G10" s="64">
        <v>23</v>
      </c>
      <c r="H10" s="38">
        <f t="shared" si="2"/>
        <v>9</v>
      </c>
      <c r="I10" s="38">
        <f t="shared" si="3"/>
        <v>5</v>
      </c>
      <c r="J10" s="38">
        <f t="shared" si="4"/>
        <v>3</v>
      </c>
      <c r="K10" s="65">
        <f t="shared" si="5"/>
        <v>17</v>
      </c>
      <c r="L10" s="41"/>
      <c r="M10" s="7"/>
      <c r="N10" s="8"/>
      <c r="O10" s="8"/>
      <c r="P10" s="7"/>
      <c r="Q10" s="7"/>
      <c r="R10" s="7"/>
      <c r="S10" s="7"/>
      <c r="T10" s="7"/>
      <c r="U10" s="7"/>
      <c r="V10" s="7"/>
      <c r="W10" s="7"/>
      <c r="X10" s="8"/>
      <c r="Y10" s="8"/>
      <c r="Z10" s="8"/>
    </row>
    <row r="11" spans="1:26" ht="21.75" customHeight="1" x14ac:dyDescent="0.6">
      <c r="A11" s="7"/>
      <c r="B11" s="62" t="s">
        <v>64</v>
      </c>
      <c r="C11" s="37">
        <v>353.75</v>
      </c>
      <c r="D11" s="63">
        <f t="shared" si="0"/>
        <v>884.375</v>
      </c>
      <c r="E11" s="63">
        <v>1.17</v>
      </c>
      <c r="F11" s="63">
        <f t="shared" si="1"/>
        <v>7.5213675213675222</v>
      </c>
      <c r="G11" s="64">
        <v>14</v>
      </c>
      <c r="H11" s="38">
        <f t="shared" si="2"/>
        <v>9</v>
      </c>
      <c r="I11" s="38">
        <f t="shared" si="3"/>
        <v>5</v>
      </c>
      <c r="J11" s="38">
        <f t="shared" si="4"/>
        <v>3</v>
      </c>
      <c r="K11" s="65">
        <f t="shared" si="5"/>
        <v>17</v>
      </c>
      <c r="L11" s="41"/>
      <c r="M11" s="7"/>
      <c r="N11" s="8"/>
      <c r="O11" s="8"/>
      <c r="P11" s="7"/>
      <c r="Q11" s="7"/>
      <c r="R11" s="7"/>
      <c r="S11" s="7"/>
      <c r="T11" s="7"/>
      <c r="U11" s="7"/>
      <c r="V11" s="7"/>
      <c r="W11" s="7"/>
      <c r="X11" s="8"/>
      <c r="Y11" s="8"/>
      <c r="Z11" s="8"/>
    </row>
    <row r="12" spans="1:26" ht="21.75" customHeight="1" x14ac:dyDescent="0.6">
      <c r="A12" s="7"/>
      <c r="B12" s="62" t="s">
        <v>64</v>
      </c>
      <c r="C12" s="37">
        <v>353.75</v>
      </c>
      <c r="D12" s="63">
        <f t="shared" si="0"/>
        <v>884.375</v>
      </c>
      <c r="E12" s="63">
        <v>1.17</v>
      </c>
      <c r="F12" s="63">
        <f t="shared" si="1"/>
        <v>7.5213675213675222</v>
      </c>
      <c r="G12" s="64">
        <v>14</v>
      </c>
      <c r="H12" s="38">
        <f t="shared" si="2"/>
        <v>9</v>
      </c>
      <c r="I12" s="38">
        <f t="shared" si="3"/>
        <v>5</v>
      </c>
      <c r="J12" s="38">
        <f t="shared" si="4"/>
        <v>3</v>
      </c>
      <c r="K12" s="65">
        <f t="shared" si="5"/>
        <v>17</v>
      </c>
      <c r="L12" s="41"/>
      <c r="M12" s="7"/>
      <c r="N12" s="8"/>
      <c r="O12" s="8"/>
      <c r="P12" s="7"/>
      <c r="Q12" s="7"/>
      <c r="R12" s="7"/>
      <c r="S12" s="7"/>
      <c r="T12" s="7"/>
      <c r="U12" s="7"/>
      <c r="V12" s="7"/>
      <c r="W12" s="7"/>
      <c r="X12" s="8"/>
      <c r="Y12" s="8"/>
      <c r="Z12" s="8"/>
    </row>
    <row r="13" spans="1:26" ht="21.75" customHeight="1" x14ac:dyDescent="0.6">
      <c r="A13" s="7"/>
      <c r="B13" s="62" t="s">
        <v>64</v>
      </c>
      <c r="C13" s="37">
        <v>353.75</v>
      </c>
      <c r="D13" s="63">
        <f t="shared" si="0"/>
        <v>884.375</v>
      </c>
      <c r="E13" s="63">
        <v>1.17</v>
      </c>
      <c r="F13" s="63">
        <f t="shared" si="1"/>
        <v>7.5213675213675222</v>
      </c>
      <c r="G13" s="64">
        <v>14</v>
      </c>
      <c r="H13" s="38">
        <f t="shared" si="2"/>
        <v>9</v>
      </c>
      <c r="I13" s="38">
        <f t="shared" si="3"/>
        <v>5</v>
      </c>
      <c r="J13" s="38">
        <f t="shared" si="4"/>
        <v>3</v>
      </c>
      <c r="K13" s="65">
        <f t="shared" si="5"/>
        <v>17</v>
      </c>
      <c r="L13" s="41"/>
      <c r="M13" s="7"/>
      <c r="N13" s="8"/>
      <c r="O13" s="8"/>
      <c r="P13" s="7"/>
      <c r="Q13" s="7"/>
      <c r="R13" s="7"/>
      <c r="S13" s="7"/>
      <c r="T13" s="7"/>
      <c r="U13" s="7"/>
      <c r="V13" s="7"/>
      <c r="W13" s="7"/>
      <c r="X13" s="8"/>
      <c r="Y13" s="8"/>
      <c r="Z13" s="8"/>
    </row>
    <row r="14" spans="1:26" ht="21.75" customHeight="1" x14ac:dyDescent="0.6">
      <c r="A14" s="7"/>
      <c r="B14" s="62" t="s">
        <v>64</v>
      </c>
      <c r="C14" s="37">
        <v>353.75</v>
      </c>
      <c r="D14" s="63">
        <f t="shared" si="0"/>
        <v>884.375</v>
      </c>
      <c r="E14" s="63">
        <v>1.17</v>
      </c>
      <c r="F14" s="63">
        <f t="shared" si="1"/>
        <v>7.5213675213675222</v>
      </c>
      <c r="G14" s="64">
        <v>14</v>
      </c>
      <c r="H14" s="38">
        <f t="shared" si="2"/>
        <v>9</v>
      </c>
      <c r="I14" s="38">
        <f t="shared" si="3"/>
        <v>5</v>
      </c>
      <c r="J14" s="38">
        <f t="shared" si="4"/>
        <v>3</v>
      </c>
      <c r="K14" s="65">
        <f t="shared" si="5"/>
        <v>17</v>
      </c>
      <c r="L14" s="41"/>
      <c r="M14" s="7"/>
      <c r="N14" s="8"/>
      <c r="O14" s="8"/>
      <c r="P14" s="7"/>
      <c r="Q14" s="7"/>
      <c r="R14" s="7"/>
      <c r="S14" s="7"/>
      <c r="T14" s="7"/>
      <c r="U14" s="7"/>
      <c r="V14" s="7"/>
      <c r="W14" s="7"/>
      <c r="X14" s="8"/>
      <c r="Y14" s="8"/>
      <c r="Z14" s="8"/>
    </row>
    <row r="15" spans="1:26" ht="21.75" customHeight="1" x14ac:dyDescent="0.6">
      <c r="A15" s="7"/>
      <c r="B15" s="62" t="s">
        <v>64</v>
      </c>
      <c r="C15" s="37">
        <v>353.75</v>
      </c>
      <c r="D15" s="63">
        <f t="shared" si="0"/>
        <v>884.375</v>
      </c>
      <c r="E15" s="63">
        <v>1.17</v>
      </c>
      <c r="F15" s="63">
        <f t="shared" si="1"/>
        <v>7.5213675213675222</v>
      </c>
      <c r="G15" s="64">
        <v>14</v>
      </c>
      <c r="H15" s="38">
        <f t="shared" si="2"/>
        <v>9</v>
      </c>
      <c r="I15" s="38">
        <f t="shared" si="3"/>
        <v>5</v>
      </c>
      <c r="J15" s="38">
        <f t="shared" si="4"/>
        <v>3</v>
      </c>
      <c r="K15" s="65">
        <f t="shared" si="5"/>
        <v>17</v>
      </c>
      <c r="L15" s="41"/>
      <c r="M15" s="7"/>
      <c r="N15" s="8"/>
      <c r="O15" s="8"/>
      <c r="P15" s="7"/>
      <c r="Q15" s="7"/>
      <c r="R15" s="7"/>
      <c r="S15" s="7"/>
      <c r="T15" s="7"/>
      <c r="U15" s="7"/>
      <c r="V15" s="7"/>
      <c r="W15" s="7"/>
      <c r="X15" s="8"/>
      <c r="Y15" s="8"/>
      <c r="Z15" s="8"/>
    </row>
    <row r="16" spans="1:26" ht="21.75" customHeight="1" x14ac:dyDescent="0.6">
      <c r="A16" s="7"/>
      <c r="B16" s="62" t="s">
        <v>64</v>
      </c>
      <c r="C16" s="37">
        <v>353.75</v>
      </c>
      <c r="D16" s="63">
        <f t="shared" si="0"/>
        <v>884.375</v>
      </c>
      <c r="E16" s="63">
        <v>1.17</v>
      </c>
      <c r="F16" s="63">
        <f t="shared" si="1"/>
        <v>7.5213675213675222</v>
      </c>
      <c r="G16" s="64">
        <v>14</v>
      </c>
      <c r="H16" s="38">
        <f t="shared" si="2"/>
        <v>9</v>
      </c>
      <c r="I16" s="38">
        <f t="shared" si="3"/>
        <v>5</v>
      </c>
      <c r="J16" s="38">
        <f t="shared" si="4"/>
        <v>3</v>
      </c>
      <c r="K16" s="65">
        <f t="shared" si="5"/>
        <v>17</v>
      </c>
      <c r="L16" s="41"/>
      <c r="M16" s="7"/>
      <c r="N16" s="8"/>
      <c r="O16" s="8"/>
      <c r="P16" s="7"/>
      <c r="Q16" s="7"/>
      <c r="R16" s="7"/>
      <c r="S16" s="7"/>
      <c r="T16" s="7"/>
      <c r="U16" s="7"/>
      <c r="V16" s="7"/>
      <c r="W16" s="7"/>
      <c r="X16" s="8"/>
      <c r="Y16" s="8"/>
      <c r="Z16" s="8"/>
    </row>
    <row r="17" spans="1:26" ht="21.75" customHeight="1" x14ac:dyDescent="0.6">
      <c r="A17" s="7"/>
      <c r="B17" s="62" t="s">
        <v>64</v>
      </c>
      <c r="C17" s="37">
        <v>353.75</v>
      </c>
      <c r="D17" s="63">
        <f t="shared" si="0"/>
        <v>884.375</v>
      </c>
      <c r="E17" s="63">
        <v>1.17</v>
      </c>
      <c r="F17" s="63">
        <f t="shared" si="1"/>
        <v>7.5213675213675222</v>
      </c>
      <c r="G17" s="64">
        <v>14</v>
      </c>
      <c r="H17" s="38">
        <f t="shared" si="2"/>
        <v>9</v>
      </c>
      <c r="I17" s="38">
        <f t="shared" si="3"/>
        <v>5</v>
      </c>
      <c r="J17" s="38">
        <f t="shared" si="4"/>
        <v>3</v>
      </c>
      <c r="K17" s="65">
        <f t="shared" si="5"/>
        <v>17</v>
      </c>
      <c r="L17" s="41"/>
      <c r="M17" s="7"/>
      <c r="N17" s="8"/>
      <c r="O17" s="8"/>
      <c r="P17" s="7"/>
      <c r="Q17" s="7"/>
      <c r="R17" s="7"/>
      <c r="S17" s="7"/>
      <c r="T17" s="7"/>
      <c r="U17" s="7"/>
      <c r="V17" s="7"/>
      <c r="W17" s="7"/>
      <c r="X17" s="8"/>
      <c r="Y17" s="8"/>
      <c r="Z17" s="8"/>
    </row>
    <row r="18" spans="1:26" ht="21.75" customHeight="1" x14ac:dyDescent="0.6">
      <c r="A18" s="7"/>
      <c r="B18" s="62" t="s">
        <v>64</v>
      </c>
      <c r="C18" s="37">
        <v>353.75</v>
      </c>
      <c r="D18" s="63">
        <f t="shared" si="0"/>
        <v>884.375</v>
      </c>
      <c r="E18" s="63">
        <v>1.17</v>
      </c>
      <c r="F18" s="63">
        <f t="shared" si="1"/>
        <v>7.5213675213675222</v>
      </c>
      <c r="G18" s="64">
        <v>14</v>
      </c>
      <c r="H18" s="38">
        <f t="shared" si="2"/>
        <v>9</v>
      </c>
      <c r="I18" s="38">
        <f t="shared" si="3"/>
        <v>5</v>
      </c>
      <c r="J18" s="38">
        <f t="shared" si="4"/>
        <v>3</v>
      </c>
      <c r="K18" s="65">
        <f t="shared" si="5"/>
        <v>17</v>
      </c>
      <c r="L18" s="41"/>
      <c r="M18" s="7"/>
      <c r="N18" s="8"/>
      <c r="O18" s="8"/>
      <c r="P18" s="7"/>
      <c r="Q18" s="7"/>
      <c r="R18" s="7"/>
      <c r="S18" s="7"/>
      <c r="T18" s="7"/>
      <c r="U18" s="7"/>
      <c r="V18" s="7"/>
      <c r="W18" s="7"/>
      <c r="X18" s="8"/>
      <c r="Y18" s="8"/>
      <c r="Z18" s="8"/>
    </row>
    <row r="19" spans="1:26" ht="21.75" customHeight="1" x14ac:dyDescent="0.6">
      <c r="A19" s="7"/>
      <c r="B19" s="62" t="s">
        <v>64</v>
      </c>
      <c r="C19" s="37">
        <v>353.75</v>
      </c>
      <c r="D19" s="63">
        <f t="shared" ref="D19:D35" si="6">C19*$C$37</f>
        <v>884.375</v>
      </c>
      <c r="E19" s="63">
        <v>1.17</v>
      </c>
      <c r="F19" s="63">
        <f t="shared" si="1"/>
        <v>7.5213675213675222</v>
      </c>
      <c r="G19" s="64">
        <v>14</v>
      </c>
      <c r="H19" s="38">
        <f t="shared" si="2"/>
        <v>9</v>
      </c>
      <c r="I19" s="38">
        <f t="shared" si="3"/>
        <v>5</v>
      </c>
      <c r="J19" s="38">
        <f t="shared" si="4"/>
        <v>3</v>
      </c>
      <c r="K19" s="65">
        <f t="shared" si="5"/>
        <v>17</v>
      </c>
      <c r="L19" s="41"/>
      <c r="M19" s="7"/>
      <c r="N19" s="8"/>
      <c r="O19" s="8"/>
      <c r="P19" s="7"/>
      <c r="Q19" s="7"/>
      <c r="R19" s="7"/>
      <c r="S19" s="7"/>
      <c r="T19" s="7"/>
      <c r="U19" s="7"/>
      <c r="V19" s="7"/>
      <c r="W19" s="7"/>
      <c r="X19" s="8"/>
      <c r="Y19" s="8"/>
      <c r="Z19" s="8"/>
    </row>
    <row r="20" spans="1:26" ht="21.75" customHeight="1" x14ac:dyDescent="0.6">
      <c r="A20" s="7"/>
      <c r="B20" s="62" t="s">
        <v>64</v>
      </c>
      <c r="C20" s="37">
        <v>353.75</v>
      </c>
      <c r="D20" s="63">
        <f t="shared" si="6"/>
        <v>884.375</v>
      </c>
      <c r="E20" s="63">
        <v>1.17</v>
      </c>
      <c r="F20" s="63">
        <f t="shared" si="1"/>
        <v>7.5213675213675222</v>
      </c>
      <c r="G20" s="64">
        <v>14</v>
      </c>
      <c r="H20" s="38">
        <f t="shared" si="2"/>
        <v>9</v>
      </c>
      <c r="I20" s="38">
        <f t="shared" si="3"/>
        <v>5</v>
      </c>
      <c r="J20" s="38">
        <f t="shared" si="4"/>
        <v>3</v>
      </c>
      <c r="K20" s="65">
        <f t="shared" si="5"/>
        <v>17</v>
      </c>
      <c r="L20" s="41"/>
      <c r="M20" s="7"/>
      <c r="N20" s="8"/>
      <c r="O20" s="8"/>
      <c r="P20" s="7"/>
      <c r="Q20" s="7"/>
      <c r="R20" s="7"/>
      <c r="S20" s="7"/>
      <c r="T20" s="7"/>
      <c r="U20" s="7"/>
      <c r="V20" s="7"/>
      <c r="W20" s="7"/>
      <c r="X20" s="8"/>
      <c r="Y20" s="8"/>
      <c r="Z20" s="8"/>
    </row>
    <row r="21" spans="1:26" ht="21.75" customHeight="1" x14ac:dyDescent="0.6">
      <c r="A21" s="7"/>
      <c r="B21" s="62" t="s">
        <v>64</v>
      </c>
      <c r="C21" s="37">
        <v>353.75</v>
      </c>
      <c r="D21" s="63">
        <f t="shared" si="6"/>
        <v>884.375</v>
      </c>
      <c r="E21" s="63">
        <v>1.17</v>
      </c>
      <c r="F21" s="63">
        <f t="shared" si="1"/>
        <v>7.5213675213675222</v>
      </c>
      <c r="G21" s="64">
        <v>14</v>
      </c>
      <c r="H21" s="38">
        <f t="shared" si="2"/>
        <v>9</v>
      </c>
      <c r="I21" s="38">
        <f t="shared" si="3"/>
        <v>5</v>
      </c>
      <c r="J21" s="38">
        <f t="shared" si="4"/>
        <v>3</v>
      </c>
      <c r="K21" s="65">
        <f t="shared" si="5"/>
        <v>17</v>
      </c>
      <c r="L21" s="41"/>
      <c r="M21" s="7"/>
      <c r="N21" s="8"/>
      <c r="O21" s="8"/>
      <c r="P21" s="7"/>
      <c r="Q21" s="7"/>
      <c r="R21" s="7"/>
      <c r="S21" s="7"/>
      <c r="T21" s="7"/>
      <c r="U21" s="7"/>
      <c r="V21" s="7"/>
      <c r="W21" s="7"/>
      <c r="X21" s="8"/>
      <c r="Y21" s="8"/>
      <c r="Z21" s="8"/>
    </row>
    <row r="22" spans="1:26" ht="21.75" customHeight="1" x14ac:dyDescent="0.6">
      <c r="A22" s="7"/>
      <c r="B22" s="62" t="s">
        <v>64</v>
      </c>
      <c r="C22" s="37">
        <v>353.75</v>
      </c>
      <c r="D22" s="63">
        <f t="shared" si="6"/>
        <v>884.375</v>
      </c>
      <c r="E22" s="63">
        <v>1.17</v>
      </c>
      <c r="F22" s="63">
        <f t="shared" si="1"/>
        <v>7.5213675213675222</v>
      </c>
      <c r="G22" s="64">
        <v>14</v>
      </c>
      <c r="H22" s="38">
        <f t="shared" si="2"/>
        <v>9</v>
      </c>
      <c r="I22" s="38">
        <f t="shared" si="3"/>
        <v>5</v>
      </c>
      <c r="J22" s="38">
        <f t="shared" si="4"/>
        <v>3</v>
      </c>
      <c r="K22" s="65">
        <f t="shared" si="5"/>
        <v>17</v>
      </c>
      <c r="L22" s="41"/>
      <c r="M22" s="7"/>
      <c r="N22" s="8"/>
      <c r="O22" s="8"/>
      <c r="P22" s="7"/>
      <c r="Q22" s="7"/>
      <c r="R22" s="7"/>
      <c r="S22" s="7"/>
      <c r="T22" s="7"/>
      <c r="U22" s="7"/>
      <c r="V22" s="7"/>
      <c r="W22" s="7"/>
      <c r="X22" s="8"/>
      <c r="Y22" s="8"/>
      <c r="Z22" s="8"/>
    </row>
    <row r="23" spans="1:26" ht="21.75" customHeight="1" x14ac:dyDescent="0.6">
      <c r="A23" s="7"/>
      <c r="B23" s="62" t="s">
        <v>64</v>
      </c>
      <c r="C23" s="37">
        <v>353.75</v>
      </c>
      <c r="D23" s="63">
        <f t="shared" si="6"/>
        <v>884.375</v>
      </c>
      <c r="E23" s="63">
        <v>1.17</v>
      </c>
      <c r="F23" s="63">
        <f t="shared" si="1"/>
        <v>7.5213675213675222</v>
      </c>
      <c r="G23" s="64">
        <v>14</v>
      </c>
      <c r="H23" s="38">
        <f t="shared" si="2"/>
        <v>9</v>
      </c>
      <c r="I23" s="38">
        <f t="shared" si="3"/>
        <v>5</v>
      </c>
      <c r="J23" s="38">
        <f t="shared" si="4"/>
        <v>3</v>
      </c>
      <c r="K23" s="65">
        <f t="shared" si="5"/>
        <v>17</v>
      </c>
      <c r="L23" s="41"/>
      <c r="M23" s="7"/>
      <c r="N23" s="8"/>
      <c r="O23" s="8"/>
      <c r="P23" s="7"/>
      <c r="Q23" s="7"/>
      <c r="R23" s="7"/>
      <c r="S23" s="7"/>
      <c r="T23" s="7"/>
      <c r="U23" s="7"/>
      <c r="V23" s="7"/>
      <c r="W23" s="7"/>
      <c r="X23" s="8"/>
      <c r="Y23" s="8"/>
      <c r="Z23" s="8"/>
    </row>
    <row r="24" spans="1:26" ht="21.75" customHeight="1" x14ac:dyDescent="0.6">
      <c r="A24" s="7"/>
      <c r="B24" s="62" t="s">
        <v>64</v>
      </c>
      <c r="C24" s="37">
        <v>353.75</v>
      </c>
      <c r="D24" s="63">
        <f t="shared" si="6"/>
        <v>884.375</v>
      </c>
      <c r="E24" s="63">
        <v>1.17</v>
      </c>
      <c r="F24" s="63">
        <f t="shared" si="1"/>
        <v>7.5213675213675222</v>
      </c>
      <c r="G24" s="64">
        <v>14</v>
      </c>
      <c r="H24" s="38">
        <f t="shared" si="2"/>
        <v>9</v>
      </c>
      <c r="I24" s="38">
        <f t="shared" si="3"/>
        <v>5</v>
      </c>
      <c r="J24" s="38">
        <f t="shared" si="4"/>
        <v>3</v>
      </c>
      <c r="K24" s="65">
        <f t="shared" si="5"/>
        <v>17</v>
      </c>
      <c r="L24" s="41"/>
      <c r="M24" s="7"/>
      <c r="N24" s="8"/>
      <c r="O24" s="8"/>
      <c r="P24" s="7"/>
      <c r="Q24" s="7"/>
      <c r="R24" s="7"/>
      <c r="S24" s="7"/>
      <c r="T24" s="7"/>
      <c r="U24" s="7"/>
      <c r="V24" s="7"/>
      <c r="W24" s="7"/>
      <c r="X24" s="8"/>
      <c r="Y24" s="8"/>
      <c r="Z24" s="8"/>
    </row>
    <row r="25" spans="1:26" ht="21.75" customHeight="1" x14ac:dyDescent="0.6">
      <c r="A25" s="7"/>
      <c r="B25" s="62" t="s">
        <v>64</v>
      </c>
      <c r="C25" s="37">
        <v>353.75</v>
      </c>
      <c r="D25" s="63">
        <f t="shared" si="6"/>
        <v>884.375</v>
      </c>
      <c r="E25" s="63">
        <v>1.17</v>
      </c>
      <c r="F25" s="63">
        <f t="shared" si="1"/>
        <v>7.5213675213675222</v>
      </c>
      <c r="G25" s="64">
        <v>14</v>
      </c>
      <c r="H25" s="38">
        <f t="shared" si="2"/>
        <v>9</v>
      </c>
      <c r="I25" s="38">
        <f t="shared" si="3"/>
        <v>5</v>
      </c>
      <c r="J25" s="38">
        <f t="shared" si="4"/>
        <v>3</v>
      </c>
      <c r="K25" s="65">
        <f t="shared" si="5"/>
        <v>17</v>
      </c>
      <c r="L25" s="41"/>
      <c r="M25" s="7"/>
      <c r="N25" s="8"/>
      <c r="O25" s="8"/>
      <c r="P25" s="7"/>
      <c r="Q25" s="7"/>
      <c r="R25" s="7"/>
      <c r="S25" s="7"/>
      <c r="T25" s="7"/>
      <c r="U25" s="7"/>
      <c r="V25" s="7"/>
      <c r="W25" s="7"/>
      <c r="X25" s="8"/>
      <c r="Y25" s="8"/>
      <c r="Z25" s="8"/>
    </row>
    <row r="26" spans="1:26" ht="21.75" customHeight="1" x14ac:dyDescent="0.6">
      <c r="A26" s="7"/>
      <c r="B26" s="62" t="s">
        <v>64</v>
      </c>
      <c r="C26" s="37">
        <v>353.75</v>
      </c>
      <c r="D26" s="63">
        <f t="shared" si="6"/>
        <v>884.375</v>
      </c>
      <c r="E26" s="63">
        <v>1.17</v>
      </c>
      <c r="F26" s="63">
        <f t="shared" si="1"/>
        <v>7.5213675213675222</v>
      </c>
      <c r="G26" s="64">
        <v>14</v>
      </c>
      <c r="H26" s="38">
        <f t="shared" si="2"/>
        <v>9</v>
      </c>
      <c r="I26" s="38">
        <f t="shared" si="3"/>
        <v>5</v>
      </c>
      <c r="J26" s="38">
        <f t="shared" si="4"/>
        <v>3</v>
      </c>
      <c r="K26" s="65">
        <f t="shared" si="5"/>
        <v>17</v>
      </c>
      <c r="L26" s="41"/>
      <c r="M26" s="7"/>
      <c r="N26" s="8"/>
      <c r="O26" s="8"/>
      <c r="P26" s="7"/>
      <c r="Q26" s="7"/>
      <c r="R26" s="7"/>
      <c r="S26" s="7"/>
      <c r="T26" s="7"/>
      <c r="U26" s="7"/>
      <c r="V26" s="7"/>
      <c r="W26" s="7"/>
      <c r="X26" s="8"/>
      <c r="Y26" s="8"/>
      <c r="Z26" s="8"/>
    </row>
    <row r="27" spans="1:26" ht="21.75" customHeight="1" x14ac:dyDescent="0.6">
      <c r="A27" s="7"/>
      <c r="B27" s="62" t="s">
        <v>64</v>
      </c>
      <c r="C27" s="37">
        <v>353.75</v>
      </c>
      <c r="D27" s="63">
        <f t="shared" si="6"/>
        <v>884.375</v>
      </c>
      <c r="E27" s="63">
        <v>1.17</v>
      </c>
      <c r="F27" s="63">
        <f t="shared" si="1"/>
        <v>7.5213675213675222</v>
      </c>
      <c r="G27" s="64">
        <v>14</v>
      </c>
      <c r="H27" s="38">
        <f t="shared" si="2"/>
        <v>9</v>
      </c>
      <c r="I27" s="38">
        <f t="shared" si="3"/>
        <v>5</v>
      </c>
      <c r="J27" s="38">
        <f t="shared" si="4"/>
        <v>3</v>
      </c>
      <c r="K27" s="65">
        <f t="shared" si="5"/>
        <v>17</v>
      </c>
      <c r="L27" s="41"/>
      <c r="M27" s="7"/>
      <c r="N27" s="8"/>
      <c r="O27" s="8"/>
      <c r="P27" s="7"/>
      <c r="Q27" s="7"/>
      <c r="R27" s="7"/>
      <c r="S27" s="7"/>
      <c r="T27" s="7"/>
      <c r="U27" s="7"/>
      <c r="V27" s="7"/>
      <c r="W27" s="7"/>
      <c r="X27" s="8"/>
      <c r="Y27" s="8"/>
      <c r="Z27" s="8"/>
    </row>
    <row r="28" spans="1:26" ht="21.75" customHeight="1" x14ac:dyDescent="0.6">
      <c r="A28" s="7"/>
      <c r="B28" s="62" t="s">
        <v>64</v>
      </c>
      <c r="C28" s="37">
        <v>353.75</v>
      </c>
      <c r="D28" s="63">
        <f t="shared" si="6"/>
        <v>884.375</v>
      </c>
      <c r="E28" s="63">
        <v>1.17</v>
      </c>
      <c r="F28" s="63">
        <f t="shared" si="1"/>
        <v>7.5213675213675222</v>
      </c>
      <c r="G28" s="64">
        <v>14</v>
      </c>
      <c r="H28" s="38">
        <f t="shared" si="2"/>
        <v>9</v>
      </c>
      <c r="I28" s="38">
        <f t="shared" si="3"/>
        <v>5</v>
      </c>
      <c r="J28" s="38">
        <f t="shared" si="4"/>
        <v>3</v>
      </c>
      <c r="K28" s="65">
        <f t="shared" si="5"/>
        <v>17</v>
      </c>
      <c r="L28" s="41"/>
      <c r="M28" s="7"/>
      <c r="N28" s="8"/>
      <c r="O28" s="8"/>
      <c r="P28" s="7"/>
      <c r="Q28" s="7"/>
      <c r="R28" s="7"/>
      <c r="S28" s="7"/>
      <c r="T28" s="7"/>
      <c r="U28" s="7"/>
      <c r="V28" s="7"/>
      <c r="W28" s="7"/>
      <c r="X28" s="8"/>
      <c r="Y28" s="8"/>
      <c r="Z28" s="8"/>
    </row>
    <row r="29" spans="1:26" ht="21.75" customHeight="1" x14ac:dyDescent="0.6">
      <c r="A29" s="7"/>
      <c r="B29" s="62" t="s">
        <v>62</v>
      </c>
      <c r="C29" s="37">
        <v>461.5</v>
      </c>
      <c r="D29" s="63">
        <f t="shared" si="6"/>
        <v>1153.75</v>
      </c>
      <c r="E29" s="63">
        <v>2.0099999999999998</v>
      </c>
      <c r="F29" s="63">
        <f t="shared" si="1"/>
        <v>4.3781094527363189</v>
      </c>
      <c r="G29" s="64">
        <v>22</v>
      </c>
      <c r="H29" s="38">
        <f t="shared" si="2"/>
        <v>12</v>
      </c>
      <c r="I29" s="38">
        <f t="shared" si="3"/>
        <v>6</v>
      </c>
      <c r="J29" s="38">
        <f t="shared" si="4"/>
        <v>3</v>
      </c>
      <c r="K29" s="65">
        <f t="shared" si="5"/>
        <v>21</v>
      </c>
      <c r="L29" s="41"/>
      <c r="M29" s="7"/>
      <c r="N29" s="8"/>
      <c r="O29" s="8"/>
      <c r="P29" s="7"/>
      <c r="Q29" s="7"/>
      <c r="R29" s="7"/>
      <c r="S29" s="7"/>
      <c r="T29" s="7"/>
      <c r="U29" s="7"/>
      <c r="V29" s="7"/>
      <c r="W29" s="7"/>
      <c r="X29" s="8"/>
      <c r="Y29" s="8"/>
      <c r="Z29" s="8"/>
    </row>
    <row r="30" spans="1:26" ht="21.75" customHeight="1" x14ac:dyDescent="0.6">
      <c r="A30" s="7"/>
      <c r="B30" s="62" t="s">
        <v>178</v>
      </c>
      <c r="C30" s="37">
        <v>578.47</v>
      </c>
      <c r="D30" s="63">
        <f t="shared" si="6"/>
        <v>1446.1750000000002</v>
      </c>
      <c r="E30" s="63">
        <v>2.2000000000000002</v>
      </c>
      <c r="F30" s="63">
        <f t="shared" si="1"/>
        <v>4</v>
      </c>
      <c r="G30" s="64">
        <v>31</v>
      </c>
      <c r="H30" s="38">
        <f t="shared" si="2"/>
        <v>12</v>
      </c>
      <c r="I30" s="38">
        <f t="shared" si="3"/>
        <v>6</v>
      </c>
      <c r="J30" s="38">
        <f t="shared" si="4"/>
        <v>3</v>
      </c>
      <c r="K30" s="65">
        <f t="shared" si="5"/>
        <v>21</v>
      </c>
      <c r="L30" s="41"/>
      <c r="M30" s="7"/>
      <c r="N30" s="8"/>
      <c r="O30" s="8"/>
      <c r="P30" s="7"/>
      <c r="Q30" s="7"/>
      <c r="R30" s="7"/>
      <c r="S30" s="7"/>
      <c r="T30" s="7"/>
      <c r="U30" s="7"/>
      <c r="V30" s="7"/>
      <c r="W30" s="7"/>
      <c r="X30" s="8"/>
      <c r="Y30" s="8"/>
      <c r="Z30" s="8"/>
    </row>
    <row r="31" spans="1:26" ht="21.75" customHeight="1" x14ac:dyDescent="0.6">
      <c r="A31" s="7"/>
      <c r="B31" s="62" t="s">
        <v>177</v>
      </c>
      <c r="C31" s="37">
        <v>578.47</v>
      </c>
      <c r="D31" s="63">
        <f t="shared" si="6"/>
        <v>1446.1750000000002</v>
      </c>
      <c r="E31" s="63">
        <v>2.2000000000000002</v>
      </c>
      <c r="F31" s="63">
        <f t="shared" si="1"/>
        <v>4</v>
      </c>
      <c r="G31" s="64">
        <v>31</v>
      </c>
      <c r="H31" s="38">
        <f t="shared" si="2"/>
        <v>12</v>
      </c>
      <c r="I31" s="38">
        <f t="shared" si="3"/>
        <v>6</v>
      </c>
      <c r="J31" s="38">
        <f t="shared" si="4"/>
        <v>3</v>
      </c>
      <c r="K31" s="65">
        <f t="shared" si="5"/>
        <v>21</v>
      </c>
      <c r="L31" s="41"/>
      <c r="M31" s="7"/>
      <c r="N31" s="8"/>
      <c r="O31" s="8"/>
      <c r="P31" s="7"/>
      <c r="Q31" s="7"/>
      <c r="R31" s="7"/>
      <c r="S31" s="7"/>
      <c r="T31" s="7"/>
      <c r="U31" s="7"/>
      <c r="V31" s="7"/>
      <c r="W31" s="7"/>
      <c r="X31" s="8"/>
      <c r="Y31" s="8"/>
      <c r="Z31" s="8"/>
    </row>
    <row r="32" spans="1:26" ht="21.75" customHeight="1" x14ac:dyDescent="0.6">
      <c r="A32" s="7"/>
      <c r="B32" s="62" t="s">
        <v>160</v>
      </c>
      <c r="C32" s="37">
        <v>578.47</v>
      </c>
      <c r="D32" s="63">
        <f t="shared" si="6"/>
        <v>1446.1750000000002</v>
      </c>
      <c r="E32" s="63">
        <v>2.2000000000000002</v>
      </c>
      <c r="F32" s="63">
        <f t="shared" si="1"/>
        <v>4</v>
      </c>
      <c r="G32" s="64">
        <v>31</v>
      </c>
      <c r="H32" s="38">
        <f t="shared" si="2"/>
        <v>12</v>
      </c>
      <c r="I32" s="38">
        <f t="shared" si="3"/>
        <v>6</v>
      </c>
      <c r="J32" s="38">
        <f t="shared" si="4"/>
        <v>3</v>
      </c>
      <c r="K32" s="65">
        <f t="shared" si="5"/>
        <v>21</v>
      </c>
      <c r="L32" s="41"/>
      <c r="M32" s="7"/>
      <c r="N32" s="8"/>
      <c r="O32" s="8"/>
      <c r="P32" s="7"/>
      <c r="Q32" s="7"/>
      <c r="R32" s="7"/>
      <c r="S32" s="7"/>
      <c r="T32" s="7"/>
      <c r="U32" s="7"/>
      <c r="V32" s="7"/>
      <c r="W32" s="7"/>
      <c r="X32" s="8"/>
      <c r="Y32" s="8"/>
      <c r="Z32" s="8"/>
    </row>
    <row r="33" spans="1:26" ht="21.75" customHeight="1" x14ac:dyDescent="0.6">
      <c r="A33" s="7"/>
      <c r="B33" s="62" t="s">
        <v>159</v>
      </c>
      <c r="C33" s="37">
        <v>578.47</v>
      </c>
      <c r="D33" s="63">
        <f t="shared" si="6"/>
        <v>1446.1750000000002</v>
      </c>
      <c r="E33" s="63">
        <v>2.2000000000000002</v>
      </c>
      <c r="F33" s="63">
        <f t="shared" si="1"/>
        <v>4</v>
      </c>
      <c r="G33" s="64">
        <v>31</v>
      </c>
      <c r="H33" s="38">
        <f t="shared" si="2"/>
        <v>12</v>
      </c>
      <c r="I33" s="38">
        <f t="shared" si="3"/>
        <v>6</v>
      </c>
      <c r="J33" s="38">
        <f t="shared" si="4"/>
        <v>3</v>
      </c>
      <c r="K33" s="65">
        <f t="shared" si="5"/>
        <v>21</v>
      </c>
      <c r="L33" s="41"/>
      <c r="M33" s="7"/>
      <c r="N33" s="8"/>
      <c r="O33" s="8"/>
      <c r="P33" s="7"/>
      <c r="Q33" s="7"/>
      <c r="R33" s="7"/>
      <c r="S33" s="7"/>
      <c r="T33" s="7"/>
      <c r="U33" s="7"/>
      <c r="V33" s="7"/>
      <c r="W33" s="7"/>
      <c r="X33" s="8"/>
      <c r="Y33" s="8"/>
      <c r="Z33" s="8"/>
    </row>
    <row r="34" spans="1:26" ht="21.75" customHeight="1" x14ac:dyDescent="0.6">
      <c r="A34" s="7"/>
      <c r="B34" s="62" t="s">
        <v>158</v>
      </c>
      <c r="C34" s="37">
        <v>578.47</v>
      </c>
      <c r="D34" s="63">
        <f t="shared" si="6"/>
        <v>1446.1750000000002</v>
      </c>
      <c r="E34" s="63">
        <v>2.2000000000000002</v>
      </c>
      <c r="F34" s="63">
        <f t="shared" si="1"/>
        <v>4</v>
      </c>
      <c r="G34" s="64">
        <v>31</v>
      </c>
      <c r="H34" s="38">
        <f t="shared" si="2"/>
        <v>12</v>
      </c>
      <c r="I34" s="38">
        <f t="shared" si="3"/>
        <v>6</v>
      </c>
      <c r="J34" s="38">
        <f t="shared" si="4"/>
        <v>3</v>
      </c>
      <c r="K34" s="65">
        <f t="shared" si="5"/>
        <v>21</v>
      </c>
      <c r="L34" s="41"/>
      <c r="M34" s="7"/>
      <c r="N34" s="8"/>
      <c r="O34" s="8"/>
      <c r="P34" s="7"/>
      <c r="Q34" s="7"/>
      <c r="R34" s="7"/>
      <c r="S34" s="7"/>
      <c r="T34" s="7"/>
      <c r="U34" s="7"/>
      <c r="V34" s="7"/>
      <c r="W34" s="7"/>
      <c r="X34" s="8"/>
      <c r="Y34" s="8"/>
      <c r="Z34" s="8"/>
    </row>
    <row r="35" spans="1:26" ht="21.75" customHeight="1" x14ac:dyDescent="0.6">
      <c r="A35" s="7"/>
      <c r="B35" s="62" t="s">
        <v>157</v>
      </c>
      <c r="C35" s="37">
        <v>460.63</v>
      </c>
      <c r="D35" s="63">
        <f t="shared" si="6"/>
        <v>1151.575</v>
      </c>
      <c r="E35" s="63">
        <v>2.0099999999999998</v>
      </c>
      <c r="F35" s="63">
        <f t="shared" si="1"/>
        <v>4.3781094527363189</v>
      </c>
      <c r="G35" s="64">
        <v>22</v>
      </c>
      <c r="H35" s="38">
        <f t="shared" si="2"/>
        <v>12</v>
      </c>
      <c r="I35" s="38">
        <f t="shared" si="3"/>
        <v>6</v>
      </c>
      <c r="J35" s="38">
        <f t="shared" si="4"/>
        <v>3</v>
      </c>
      <c r="K35" s="65">
        <f t="shared" si="5"/>
        <v>21</v>
      </c>
      <c r="L35" s="41"/>
      <c r="M35" s="7"/>
      <c r="N35" s="8"/>
      <c r="O35" s="8"/>
      <c r="P35" s="7"/>
      <c r="Q35" s="7"/>
      <c r="R35" s="7"/>
      <c r="S35" s="7"/>
      <c r="T35" s="7"/>
      <c r="U35" s="7"/>
      <c r="V35" s="7"/>
      <c r="W35" s="7"/>
      <c r="X35" s="8"/>
      <c r="Y35" s="8"/>
      <c r="Z35" s="8"/>
    </row>
    <row r="36" spans="1:26" ht="30.75" customHeight="1" x14ac:dyDescent="0.6">
      <c r="A36" s="7"/>
      <c r="B36" s="49"/>
      <c r="C36" s="38">
        <f>SUM(C8:C35)</f>
        <v>10618.349999999997</v>
      </c>
      <c r="D36" s="63"/>
      <c r="E36" s="63"/>
      <c r="F36" s="63"/>
      <c r="G36" s="66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/>
      <c r="Y36" s="8"/>
      <c r="Z36" s="8"/>
    </row>
    <row r="37" spans="1:26" ht="21.75" customHeight="1" x14ac:dyDescent="0.6">
      <c r="A37" s="7"/>
      <c r="B37" s="67" t="s">
        <v>57</v>
      </c>
      <c r="C37" s="67">
        <v>2.5</v>
      </c>
      <c r="D37" s="68"/>
      <c r="E37" s="45"/>
      <c r="F37" s="45" t="s">
        <v>58</v>
      </c>
      <c r="G37" s="23">
        <f>SUM(G8:G35)</f>
        <v>484</v>
      </c>
      <c r="H37" s="22" t="s">
        <v>59</v>
      </c>
      <c r="I37" s="69">
        <f>G37/22</f>
        <v>22</v>
      </c>
      <c r="J37" s="22"/>
      <c r="K37" s="21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8"/>
      <c r="Y37" s="8"/>
      <c r="Z37" s="8"/>
    </row>
    <row r="38" spans="1:26" ht="21.75" customHeight="1" x14ac:dyDescent="0.6">
      <c r="A38" s="7"/>
      <c r="B38" s="127" t="s">
        <v>60</v>
      </c>
      <c r="C38" s="125"/>
      <c r="D38" s="7"/>
      <c r="E38" s="7"/>
      <c r="F38" s="7"/>
      <c r="G38" s="5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/>
      <c r="Y38" s="8"/>
      <c r="Z38" s="8"/>
    </row>
    <row r="39" spans="1:26" ht="21.75" customHeight="1" x14ac:dyDescent="0.6">
      <c r="A39" s="7"/>
      <c r="B39" s="70" t="s">
        <v>61</v>
      </c>
      <c r="C39" s="70">
        <v>2.2000000000000002</v>
      </c>
      <c r="D39" s="71"/>
      <c r="E39" s="7"/>
      <c r="F39" s="7"/>
      <c r="G39" s="5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8"/>
      <c r="Y39" s="8"/>
      <c r="Z39" s="8"/>
    </row>
    <row r="40" spans="1:26" ht="21.75" customHeight="1" x14ac:dyDescent="0.6">
      <c r="A40" s="7"/>
      <c r="B40" s="70" t="s">
        <v>62</v>
      </c>
      <c r="C40" s="70">
        <v>2.0099999999999998</v>
      </c>
      <c r="D40" s="7"/>
      <c r="E40" s="7"/>
      <c r="F40" s="7"/>
      <c r="G40" s="5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/>
      <c r="Y40" s="8"/>
      <c r="Z40" s="8"/>
    </row>
    <row r="41" spans="1:26" ht="21.75" customHeight="1" x14ac:dyDescent="0.6">
      <c r="A41" s="7"/>
      <c r="B41" s="70" t="s">
        <v>63</v>
      </c>
      <c r="C41" s="70">
        <v>1.21</v>
      </c>
      <c r="D41" s="7"/>
      <c r="E41" s="7"/>
      <c r="F41" s="7"/>
      <c r="G41" s="5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8"/>
      <c r="Y41" s="8"/>
      <c r="Z41" s="8"/>
    </row>
    <row r="42" spans="1:26" ht="21.75" customHeight="1" x14ac:dyDescent="0.6">
      <c r="A42" s="7"/>
      <c r="B42" s="70" t="s">
        <v>64</v>
      </c>
      <c r="C42" s="70">
        <v>1.17</v>
      </c>
      <c r="D42" s="7"/>
      <c r="E42" s="7"/>
      <c r="F42" s="7"/>
      <c r="G42" s="5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/>
      <c r="Y42" s="8"/>
      <c r="Z42" s="8"/>
    </row>
    <row r="43" spans="1:26" ht="21.75" customHeight="1" x14ac:dyDescent="0.6">
      <c r="A43" s="7"/>
      <c r="B43" s="70" t="s">
        <v>22</v>
      </c>
      <c r="C43" s="70">
        <v>1.6</v>
      </c>
      <c r="D43" s="7"/>
      <c r="E43" s="7"/>
      <c r="F43" s="7"/>
      <c r="G43" s="5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8"/>
      <c r="Y43" s="8"/>
      <c r="Z43" s="8"/>
    </row>
    <row r="44" spans="1:26" ht="21.75" customHeight="1" x14ac:dyDescent="0.6">
      <c r="A44" s="7"/>
      <c r="B44" s="49"/>
      <c r="C44" s="49"/>
      <c r="D44" s="7"/>
      <c r="E44" s="7"/>
      <c r="F44" s="7"/>
      <c r="G44" s="5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/>
      <c r="Y44" s="8"/>
      <c r="Z44" s="8"/>
    </row>
    <row r="45" spans="1:26" ht="21.75" customHeight="1" x14ac:dyDescent="0.6">
      <c r="A45" s="7"/>
      <c r="B45" s="49"/>
      <c r="C45" s="49"/>
      <c r="D45" s="7"/>
      <c r="E45" s="7"/>
      <c r="F45" s="7"/>
      <c r="G45" s="5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8"/>
      <c r="Y45" s="8"/>
      <c r="Z45" s="8"/>
    </row>
    <row r="46" spans="1:26" ht="21.75" customHeight="1" x14ac:dyDescent="0.6">
      <c r="A46" s="7"/>
      <c r="B46" s="49"/>
      <c r="C46" s="49"/>
      <c r="D46" s="7"/>
      <c r="E46" s="7"/>
      <c r="F46" s="7"/>
      <c r="G46" s="5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/>
      <c r="Y46" s="8"/>
      <c r="Z46" s="8"/>
    </row>
    <row r="47" spans="1:26" ht="21.75" customHeight="1" x14ac:dyDescent="0.6">
      <c r="A47" s="7"/>
      <c r="B47" s="49"/>
      <c r="C47" s="49"/>
      <c r="D47" s="7"/>
      <c r="E47" s="7"/>
      <c r="F47" s="7"/>
      <c r="G47" s="5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8"/>
      <c r="Y47" s="8"/>
      <c r="Z47" s="8"/>
    </row>
    <row r="48" spans="1:26" ht="21.75" customHeight="1" x14ac:dyDescent="0.6">
      <c r="A48" s="7"/>
      <c r="B48" s="49"/>
      <c r="C48" s="49"/>
      <c r="D48" s="7"/>
      <c r="E48" s="7"/>
      <c r="F48" s="7"/>
      <c r="G48" s="5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/>
      <c r="Y48" s="8"/>
      <c r="Z48" s="8"/>
    </row>
    <row r="49" spans="1:26" ht="21.75" customHeight="1" x14ac:dyDescent="0.6">
      <c r="A49" s="7"/>
      <c r="B49" s="49"/>
      <c r="C49" s="49"/>
      <c r="D49" s="7"/>
      <c r="E49" s="7"/>
      <c r="F49" s="7"/>
      <c r="G49" s="5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8"/>
      <c r="Y49" s="8"/>
      <c r="Z49" s="8"/>
    </row>
    <row r="50" spans="1:26" ht="21.75" customHeight="1" x14ac:dyDescent="0.6">
      <c r="A50" s="7"/>
      <c r="B50" s="49"/>
      <c r="C50" s="49"/>
      <c r="D50" s="7"/>
      <c r="E50" s="7"/>
      <c r="F50" s="7"/>
      <c r="G50" s="5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/>
      <c r="Y50" s="8"/>
      <c r="Z50" s="8"/>
    </row>
    <row r="51" spans="1:26" ht="21.75" customHeight="1" x14ac:dyDescent="0.6">
      <c r="A51" s="7"/>
      <c r="B51" s="49"/>
      <c r="C51" s="49"/>
      <c r="D51" s="7"/>
      <c r="E51" s="7"/>
      <c r="F51" s="7"/>
      <c r="G51" s="5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8"/>
      <c r="Y51" s="8"/>
      <c r="Z51" s="8"/>
    </row>
    <row r="52" spans="1:26" ht="21.75" customHeight="1" x14ac:dyDescent="0.6">
      <c r="A52" s="7"/>
      <c r="B52" s="49"/>
      <c r="C52" s="49"/>
      <c r="D52" s="7"/>
      <c r="E52" s="7"/>
      <c r="F52" s="7"/>
      <c r="G52" s="5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/>
      <c r="Y52" s="8"/>
      <c r="Z52" s="8"/>
    </row>
    <row r="53" spans="1:26" ht="21.75" customHeight="1" x14ac:dyDescent="0.6">
      <c r="A53" s="7"/>
      <c r="B53" s="49"/>
      <c r="C53" s="49"/>
      <c r="D53" s="7"/>
      <c r="E53" s="7"/>
      <c r="F53" s="7"/>
      <c r="G53" s="5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8"/>
      <c r="Y53" s="8"/>
      <c r="Z53" s="8"/>
    </row>
    <row r="54" spans="1:26" ht="21.75" customHeight="1" x14ac:dyDescent="0.6">
      <c r="A54" s="7"/>
      <c r="B54" s="49"/>
      <c r="C54" s="49"/>
      <c r="D54" s="7"/>
      <c r="E54" s="7"/>
      <c r="F54" s="7"/>
      <c r="G54" s="5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/>
      <c r="Y54" s="8"/>
      <c r="Z54" s="8"/>
    </row>
    <row r="55" spans="1:26" ht="21.75" customHeight="1" x14ac:dyDescent="0.6">
      <c r="A55" s="7"/>
      <c r="B55" s="49"/>
      <c r="C55" s="49"/>
      <c r="D55" s="7"/>
      <c r="E55" s="7"/>
      <c r="F55" s="7"/>
      <c r="G55" s="5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8"/>
      <c r="Y55" s="8"/>
      <c r="Z55" s="8"/>
    </row>
    <row r="56" spans="1:26" ht="21.75" customHeight="1" x14ac:dyDescent="0.6">
      <c r="A56" s="7"/>
      <c r="B56" s="49"/>
      <c r="C56" s="49"/>
      <c r="D56" s="7"/>
      <c r="E56" s="7"/>
      <c r="F56" s="7"/>
      <c r="G56" s="5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/>
      <c r="Y56" s="8"/>
      <c r="Z56" s="8"/>
    </row>
    <row r="57" spans="1:26" ht="21.75" customHeight="1" x14ac:dyDescent="0.6">
      <c r="A57" s="7"/>
      <c r="B57" s="49"/>
      <c r="C57" s="49"/>
      <c r="D57" s="7"/>
      <c r="E57" s="7"/>
      <c r="F57" s="7"/>
      <c r="G57" s="5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8"/>
      <c r="Y57" s="8"/>
      <c r="Z57" s="8"/>
    </row>
    <row r="58" spans="1:26" ht="21.75" customHeight="1" x14ac:dyDescent="0.6">
      <c r="A58" s="7"/>
      <c r="B58" s="49"/>
      <c r="C58" s="49"/>
      <c r="D58" s="7"/>
      <c r="E58" s="7"/>
      <c r="F58" s="7"/>
      <c r="G58" s="5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/>
      <c r="Y58" s="8"/>
      <c r="Z58" s="8"/>
    </row>
    <row r="59" spans="1:26" ht="21.75" customHeight="1" x14ac:dyDescent="0.6">
      <c r="A59" s="7"/>
      <c r="B59" s="49"/>
      <c r="C59" s="49"/>
      <c r="D59" s="7"/>
      <c r="E59" s="7"/>
      <c r="F59" s="7"/>
      <c r="G59" s="5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8"/>
      <c r="Y59" s="8"/>
      <c r="Z59" s="8"/>
    </row>
    <row r="60" spans="1:26" ht="21.75" customHeight="1" x14ac:dyDescent="0.6">
      <c r="A60" s="7"/>
      <c r="B60" s="49"/>
      <c r="C60" s="49"/>
      <c r="D60" s="7"/>
      <c r="E60" s="7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/>
      <c r="Y60" s="8"/>
      <c r="Z60" s="8"/>
    </row>
    <row r="61" spans="1:26" ht="21.75" customHeight="1" x14ac:dyDescent="0.6">
      <c r="A61" s="7"/>
      <c r="B61" s="49"/>
      <c r="C61" s="49"/>
      <c r="D61" s="7"/>
      <c r="E61" s="7"/>
      <c r="F61" s="7"/>
      <c r="G61" s="5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8"/>
      <c r="Y61" s="8"/>
      <c r="Z61" s="8"/>
    </row>
    <row r="62" spans="1:26" ht="21.75" customHeight="1" x14ac:dyDescent="0.6">
      <c r="A62" s="7"/>
      <c r="B62" s="49"/>
      <c r="C62" s="49"/>
      <c r="D62" s="7"/>
      <c r="E62" s="7"/>
      <c r="F62" s="7"/>
      <c r="G62" s="5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/>
      <c r="Y62" s="8"/>
      <c r="Z62" s="8"/>
    </row>
    <row r="63" spans="1:26" ht="21.75" customHeight="1" x14ac:dyDescent="0.6">
      <c r="A63" s="7"/>
      <c r="B63" s="49"/>
      <c r="C63" s="49"/>
      <c r="D63" s="7"/>
      <c r="E63" s="7"/>
      <c r="F63" s="7"/>
      <c r="G63" s="5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8"/>
      <c r="Y63" s="8"/>
      <c r="Z63" s="8"/>
    </row>
    <row r="64" spans="1:26" ht="21.75" customHeight="1" x14ac:dyDescent="0.6">
      <c r="A64" s="7"/>
      <c r="B64" s="49"/>
      <c r="C64" s="49"/>
      <c r="D64" s="7"/>
      <c r="E64" s="7"/>
      <c r="F64" s="7"/>
      <c r="G64" s="5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/>
      <c r="Y64" s="8"/>
      <c r="Z64" s="8"/>
    </row>
    <row r="65" spans="1:26" ht="21.75" customHeight="1" x14ac:dyDescent="0.6">
      <c r="A65" s="7"/>
      <c r="B65" s="49"/>
      <c r="C65" s="49"/>
      <c r="D65" s="7"/>
      <c r="E65" s="7"/>
      <c r="F65" s="7"/>
      <c r="G65" s="5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8"/>
      <c r="Y65" s="8"/>
      <c r="Z65" s="8"/>
    </row>
    <row r="66" spans="1:26" ht="21.75" customHeight="1" x14ac:dyDescent="0.6">
      <c r="A66" s="7"/>
      <c r="B66" s="49"/>
      <c r="C66" s="49"/>
      <c r="D66" s="7"/>
      <c r="E66" s="7"/>
      <c r="F66" s="7"/>
      <c r="G66" s="5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/>
      <c r="Y66" s="8"/>
      <c r="Z66" s="8"/>
    </row>
    <row r="67" spans="1:26" ht="21.75" customHeight="1" x14ac:dyDescent="0.6">
      <c r="A67" s="7"/>
      <c r="B67" s="49"/>
      <c r="C67" s="49"/>
      <c r="D67" s="7"/>
      <c r="E67" s="7"/>
      <c r="F67" s="7"/>
      <c r="G67" s="5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8"/>
      <c r="Y67" s="8"/>
      <c r="Z67" s="8"/>
    </row>
    <row r="68" spans="1:26" ht="21.75" customHeight="1" x14ac:dyDescent="0.6">
      <c r="A68" s="7"/>
      <c r="B68" s="49"/>
      <c r="C68" s="49"/>
      <c r="D68" s="7"/>
      <c r="E68" s="7"/>
      <c r="F68" s="7"/>
      <c r="G68" s="5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/>
      <c r="Y68" s="8"/>
      <c r="Z68" s="8"/>
    </row>
    <row r="69" spans="1:26" ht="21.75" customHeight="1" x14ac:dyDescent="0.6">
      <c r="A69" s="7"/>
      <c r="B69" s="49"/>
      <c r="C69" s="49"/>
      <c r="D69" s="7"/>
      <c r="E69" s="7"/>
      <c r="F69" s="7"/>
      <c r="G69" s="5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8"/>
      <c r="Y69" s="8"/>
      <c r="Z69" s="8"/>
    </row>
    <row r="70" spans="1:26" ht="21.75" customHeight="1" x14ac:dyDescent="0.6">
      <c r="A70" s="7"/>
      <c r="B70" s="49"/>
      <c r="C70" s="49"/>
      <c r="D70" s="7"/>
      <c r="E70" s="7"/>
      <c r="F70" s="7"/>
      <c r="G70" s="5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/>
      <c r="Y70" s="8"/>
      <c r="Z70" s="8"/>
    </row>
    <row r="71" spans="1:26" ht="21.75" customHeight="1" x14ac:dyDescent="0.6">
      <c r="A71" s="7"/>
      <c r="B71" s="49"/>
      <c r="C71" s="49"/>
      <c r="D71" s="7"/>
      <c r="E71" s="7"/>
      <c r="F71" s="7"/>
      <c r="G71" s="5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8"/>
      <c r="Y71" s="8"/>
      <c r="Z71" s="8"/>
    </row>
    <row r="72" spans="1:26" ht="21.75" customHeight="1" x14ac:dyDescent="0.6">
      <c r="A72" s="7"/>
      <c r="B72" s="49"/>
      <c r="C72" s="49"/>
      <c r="D72" s="7"/>
      <c r="E72" s="7"/>
      <c r="F72" s="7"/>
      <c r="G72" s="5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/>
      <c r="Y72" s="8"/>
      <c r="Z72" s="8"/>
    </row>
    <row r="73" spans="1:26" ht="21.75" customHeight="1" x14ac:dyDescent="0.6">
      <c r="A73" s="7"/>
      <c r="B73" s="49"/>
      <c r="C73" s="49"/>
      <c r="D73" s="7"/>
      <c r="E73" s="7"/>
      <c r="F73" s="7"/>
      <c r="G73" s="5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8"/>
      <c r="Y73" s="8"/>
      <c r="Z73" s="8"/>
    </row>
    <row r="74" spans="1:26" ht="21.75" customHeight="1" x14ac:dyDescent="0.6">
      <c r="A74" s="7"/>
      <c r="B74" s="49"/>
      <c r="C74" s="49"/>
      <c r="D74" s="7"/>
      <c r="E74" s="7"/>
      <c r="F74" s="7"/>
      <c r="G74" s="5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/>
      <c r="Y74" s="8"/>
      <c r="Z74" s="8"/>
    </row>
    <row r="75" spans="1:26" ht="21.75" customHeight="1" x14ac:dyDescent="0.6">
      <c r="A75" s="7"/>
      <c r="B75" s="49"/>
      <c r="C75" s="49"/>
      <c r="D75" s="7"/>
      <c r="E75" s="7"/>
      <c r="F75" s="7"/>
      <c r="G75" s="5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8"/>
      <c r="Y75" s="8"/>
      <c r="Z75" s="8"/>
    </row>
    <row r="76" spans="1:26" ht="21.75" customHeight="1" x14ac:dyDescent="0.6">
      <c r="A76" s="7"/>
      <c r="B76" s="49"/>
      <c r="C76" s="49"/>
      <c r="D76" s="7"/>
      <c r="E76" s="7"/>
      <c r="F76" s="7"/>
      <c r="G76" s="5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/>
      <c r="Y76" s="8"/>
      <c r="Z76" s="8"/>
    </row>
    <row r="77" spans="1:26" ht="21.75" customHeight="1" x14ac:dyDescent="0.6">
      <c r="A77" s="7"/>
      <c r="B77" s="49"/>
      <c r="C77" s="49"/>
      <c r="D77" s="7"/>
      <c r="E77" s="7"/>
      <c r="F77" s="7"/>
      <c r="G77" s="5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8"/>
      <c r="Y77" s="8"/>
      <c r="Z77" s="8"/>
    </row>
    <row r="78" spans="1:26" ht="21.75" customHeight="1" x14ac:dyDescent="0.6">
      <c r="A78" s="7"/>
      <c r="B78" s="49"/>
      <c r="C78" s="49"/>
      <c r="D78" s="7"/>
      <c r="E78" s="7"/>
      <c r="F78" s="7"/>
      <c r="G78" s="5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/>
      <c r="Y78" s="8"/>
      <c r="Z78" s="8"/>
    </row>
    <row r="79" spans="1:26" ht="21.75" customHeight="1" x14ac:dyDescent="0.6">
      <c r="A79" s="7"/>
      <c r="B79" s="49"/>
      <c r="C79" s="49"/>
      <c r="D79" s="7"/>
      <c r="E79" s="7"/>
      <c r="F79" s="7"/>
      <c r="G79" s="5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8"/>
      <c r="Y79" s="8"/>
      <c r="Z79" s="8"/>
    </row>
    <row r="80" spans="1:26" ht="21.75" customHeight="1" x14ac:dyDescent="0.6">
      <c r="A80" s="7"/>
      <c r="B80" s="49"/>
      <c r="C80" s="49"/>
      <c r="D80" s="7"/>
      <c r="E80" s="7"/>
      <c r="F80" s="7"/>
      <c r="G80" s="5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/>
      <c r="Y80" s="8"/>
      <c r="Z80" s="8"/>
    </row>
    <row r="81" spans="1:26" ht="21.75" customHeight="1" x14ac:dyDescent="0.6">
      <c r="A81" s="7"/>
      <c r="B81" s="49"/>
      <c r="C81" s="49"/>
      <c r="D81" s="7"/>
      <c r="E81" s="7"/>
      <c r="F81" s="7"/>
      <c r="G81" s="5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8"/>
      <c r="Y81" s="8"/>
      <c r="Z81" s="8"/>
    </row>
    <row r="82" spans="1:26" ht="21.75" customHeight="1" x14ac:dyDescent="0.6">
      <c r="A82" s="7"/>
      <c r="B82" s="49"/>
      <c r="C82" s="49"/>
      <c r="D82" s="7"/>
      <c r="E82" s="7"/>
      <c r="F82" s="7"/>
      <c r="G82" s="5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8"/>
      <c r="Y82" s="8"/>
      <c r="Z82" s="8"/>
    </row>
    <row r="83" spans="1:26" ht="21.75" customHeight="1" x14ac:dyDescent="0.6">
      <c r="A83" s="7"/>
      <c r="B83" s="49"/>
      <c r="C83" s="49"/>
      <c r="D83" s="7"/>
      <c r="E83" s="7"/>
      <c r="F83" s="7"/>
      <c r="G83" s="5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8"/>
      <c r="Y83" s="8"/>
      <c r="Z83" s="8"/>
    </row>
    <row r="84" spans="1:26" ht="21.75" customHeight="1" x14ac:dyDescent="0.6">
      <c r="A84" s="7"/>
      <c r="B84" s="49"/>
      <c r="C84" s="49"/>
      <c r="D84" s="7"/>
      <c r="E84" s="7"/>
      <c r="F84" s="7"/>
      <c r="G84" s="5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8"/>
      <c r="Y84" s="8"/>
      <c r="Z84" s="8"/>
    </row>
    <row r="85" spans="1:26" ht="21.75" customHeight="1" x14ac:dyDescent="0.6">
      <c r="A85" s="7"/>
      <c r="B85" s="49"/>
      <c r="C85" s="49"/>
      <c r="D85" s="7"/>
      <c r="E85" s="7"/>
      <c r="F85" s="7"/>
      <c r="G85" s="5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8"/>
      <c r="Y85" s="8"/>
      <c r="Z85" s="8"/>
    </row>
    <row r="86" spans="1:26" ht="21.75" customHeight="1" x14ac:dyDescent="0.6">
      <c r="A86" s="7"/>
      <c r="B86" s="49"/>
      <c r="C86" s="49"/>
      <c r="D86" s="7"/>
      <c r="E86" s="7"/>
      <c r="F86" s="7"/>
      <c r="G86" s="5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8"/>
      <c r="Y86" s="8"/>
      <c r="Z86" s="8"/>
    </row>
    <row r="87" spans="1:26" ht="21.75" customHeight="1" x14ac:dyDescent="0.6">
      <c r="A87" s="7"/>
      <c r="B87" s="49"/>
      <c r="C87" s="49"/>
      <c r="D87" s="7"/>
      <c r="E87" s="7"/>
      <c r="F87" s="7"/>
      <c r="G87" s="5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8"/>
      <c r="Y87" s="8"/>
      <c r="Z87" s="8"/>
    </row>
    <row r="88" spans="1:26" ht="21.75" customHeight="1" x14ac:dyDescent="0.6">
      <c r="A88" s="7"/>
      <c r="B88" s="49"/>
      <c r="C88" s="49"/>
      <c r="D88" s="7"/>
      <c r="E88" s="7"/>
      <c r="F88" s="7"/>
      <c r="G88" s="5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8"/>
      <c r="Y88" s="8"/>
      <c r="Z88" s="8"/>
    </row>
    <row r="89" spans="1:26" ht="21.75" customHeight="1" x14ac:dyDescent="0.6">
      <c r="A89" s="7"/>
      <c r="B89" s="49"/>
      <c r="C89" s="49"/>
      <c r="D89" s="7"/>
      <c r="E89" s="7"/>
      <c r="F89" s="7"/>
      <c r="G89" s="5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8"/>
      <c r="Y89" s="8"/>
      <c r="Z89" s="8"/>
    </row>
    <row r="90" spans="1:26" ht="21.75" customHeight="1" x14ac:dyDescent="0.6">
      <c r="A90" s="7"/>
      <c r="B90" s="49"/>
      <c r="C90" s="49"/>
      <c r="D90" s="7"/>
      <c r="E90" s="7"/>
      <c r="F90" s="7"/>
      <c r="G90" s="5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8"/>
      <c r="Y90" s="8"/>
      <c r="Z90" s="8"/>
    </row>
    <row r="91" spans="1:26" ht="21.75" customHeight="1" x14ac:dyDescent="0.6">
      <c r="A91" s="7"/>
      <c r="B91" s="49"/>
      <c r="C91" s="49"/>
      <c r="D91" s="7"/>
      <c r="E91" s="7"/>
      <c r="F91" s="7"/>
      <c r="G91" s="5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8"/>
      <c r="Y91" s="8"/>
      <c r="Z91" s="8"/>
    </row>
    <row r="92" spans="1:26" ht="21.75" customHeight="1" x14ac:dyDescent="0.6">
      <c r="A92" s="7"/>
      <c r="B92" s="49"/>
      <c r="C92" s="49"/>
      <c r="D92" s="7"/>
      <c r="E92" s="7"/>
      <c r="F92" s="7"/>
      <c r="G92" s="5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8"/>
      <c r="Y92" s="8"/>
      <c r="Z92" s="8"/>
    </row>
    <row r="93" spans="1:26" ht="21.75" customHeight="1" x14ac:dyDescent="0.6">
      <c r="A93" s="7"/>
      <c r="B93" s="49"/>
      <c r="C93" s="49"/>
      <c r="D93" s="7"/>
      <c r="E93" s="7"/>
      <c r="F93" s="7"/>
      <c r="G93" s="5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8"/>
      <c r="Y93" s="8"/>
      <c r="Z93" s="8"/>
    </row>
    <row r="94" spans="1:26" ht="21.75" customHeight="1" x14ac:dyDescent="0.6">
      <c r="A94" s="7"/>
      <c r="B94" s="49"/>
      <c r="C94" s="49"/>
      <c r="D94" s="7"/>
      <c r="E94" s="7"/>
      <c r="F94" s="7"/>
      <c r="G94" s="5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8"/>
      <c r="Y94" s="8"/>
      <c r="Z94" s="8"/>
    </row>
    <row r="95" spans="1:26" ht="21.75" customHeight="1" x14ac:dyDescent="0.6">
      <c r="A95" s="7"/>
      <c r="B95" s="49"/>
      <c r="C95" s="49"/>
      <c r="D95" s="7"/>
      <c r="E95" s="7"/>
      <c r="F95" s="7"/>
      <c r="G95" s="5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8"/>
      <c r="Y95" s="8"/>
      <c r="Z95" s="8"/>
    </row>
    <row r="96" spans="1:26" ht="21.75" customHeight="1" x14ac:dyDescent="0.6">
      <c r="A96" s="7"/>
      <c r="B96" s="49"/>
      <c r="C96" s="49"/>
      <c r="D96" s="7"/>
      <c r="E96" s="7"/>
      <c r="F96" s="7"/>
      <c r="G96" s="5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8"/>
      <c r="Y96" s="8"/>
      <c r="Z96" s="8"/>
    </row>
    <row r="97" spans="1:26" ht="21.75" customHeight="1" x14ac:dyDescent="0.6">
      <c r="A97" s="7"/>
      <c r="B97" s="49"/>
      <c r="C97" s="49"/>
      <c r="D97" s="7"/>
      <c r="E97" s="7"/>
      <c r="F97" s="7"/>
      <c r="G97" s="5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8"/>
      <c r="Y97" s="8"/>
      <c r="Z97" s="8"/>
    </row>
    <row r="98" spans="1:26" ht="21.75" customHeight="1" x14ac:dyDescent="0.6">
      <c r="A98" s="7"/>
      <c r="B98" s="49"/>
      <c r="C98" s="49"/>
      <c r="D98" s="7"/>
      <c r="E98" s="7"/>
      <c r="F98" s="7"/>
      <c r="G98" s="5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8"/>
      <c r="Y98" s="8"/>
      <c r="Z98" s="8"/>
    </row>
    <row r="99" spans="1:26" ht="21.75" customHeight="1" x14ac:dyDescent="0.6">
      <c r="A99" s="7"/>
      <c r="B99" s="49"/>
      <c r="C99" s="49"/>
      <c r="D99" s="7"/>
      <c r="E99" s="7"/>
      <c r="F99" s="7"/>
      <c r="G99" s="5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8"/>
      <c r="Y99" s="8"/>
      <c r="Z99" s="8"/>
    </row>
    <row r="100" spans="1:26" ht="21.75" customHeight="1" x14ac:dyDescent="0.6">
      <c r="A100" s="7"/>
      <c r="B100" s="49"/>
      <c r="C100" s="49"/>
      <c r="D100" s="7"/>
      <c r="E100" s="7"/>
      <c r="F100" s="7"/>
      <c r="G100" s="5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8"/>
      <c r="Y100" s="8"/>
      <c r="Z100" s="8"/>
    </row>
    <row r="101" spans="1:26" ht="21.75" customHeight="1" x14ac:dyDescent="0.6">
      <c r="A101" s="7"/>
      <c r="B101" s="49"/>
      <c r="C101" s="49"/>
      <c r="D101" s="7"/>
      <c r="E101" s="7"/>
      <c r="F101" s="7"/>
      <c r="G101" s="5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8"/>
      <c r="Y101" s="8"/>
      <c r="Z101" s="8"/>
    </row>
    <row r="102" spans="1:26" ht="21.75" customHeight="1" x14ac:dyDescent="0.6">
      <c r="A102" s="7"/>
      <c r="B102" s="49"/>
      <c r="C102" s="49"/>
      <c r="D102" s="7"/>
      <c r="E102" s="7"/>
      <c r="F102" s="7"/>
      <c r="G102" s="5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8"/>
      <c r="Y102" s="8"/>
      <c r="Z102" s="8"/>
    </row>
    <row r="103" spans="1:26" ht="21.75" customHeight="1" x14ac:dyDescent="0.6">
      <c r="A103" s="7"/>
      <c r="B103" s="49"/>
      <c r="C103" s="49"/>
      <c r="D103" s="7"/>
      <c r="E103" s="7"/>
      <c r="F103" s="7"/>
      <c r="G103" s="5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8"/>
      <c r="Y103" s="8"/>
      <c r="Z103" s="8"/>
    </row>
    <row r="104" spans="1:26" ht="21.75" customHeight="1" x14ac:dyDescent="0.6">
      <c r="A104" s="7"/>
      <c r="B104" s="49"/>
      <c r="C104" s="49"/>
      <c r="D104" s="7"/>
      <c r="E104" s="7"/>
      <c r="F104" s="7"/>
      <c r="G104" s="5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8"/>
      <c r="Y104" s="8"/>
      <c r="Z104" s="8"/>
    </row>
    <row r="105" spans="1:26" ht="21.75" customHeight="1" x14ac:dyDescent="0.6">
      <c r="A105" s="7"/>
      <c r="B105" s="49"/>
      <c r="C105" s="49"/>
      <c r="D105" s="7"/>
      <c r="E105" s="7"/>
      <c r="F105" s="7"/>
      <c r="G105" s="5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8"/>
      <c r="Y105" s="8"/>
      <c r="Z105" s="8"/>
    </row>
    <row r="106" spans="1:26" ht="21.75" customHeight="1" x14ac:dyDescent="0.6">
      <c r="A106" s="7"/>
      <c r="B106" s="49"/>
      <c r="C106" s="49"/>
      <c r="D106" s="7"/>
      <c r="E106" s="7"/>
      <c r="F106" s="7"/>
      <c r="G106" s="5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8"/>
      <c r="Y106" s="8"/>
      <c r="Z106" s="8"/>
    </row>
    <row r="107" spans="1:26" ht="21.75" customHeight="1" x14ac:dyDescent="0.6">
      <c r="A107" s="7"/>
      <c r="B107" s="49"/>
      <c r="C107" s="49"/>
      <c r="D107" s="7"/>
      <c r="E107" s="7"/>
      <c r="F107" s="7"/>
      <c r="G107" s="5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8"/>
      <c r="Y107" s="8"/>
      <c r="Z107" s="8"/>
    </row>
    <row r="108" spans="1:26" ht="21.75" customHeight="1" x14ac:dyDescent="0.6">
      <c r="A108" s="7"/>
      <c r="B108" s="49"/>
      <c r="C108" s="49"/>
      <c r="D108" s="7"/>
      <c r="E108" s="7"/>
      <c r="F108" s="7"/>
      <c r="G108" s="5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8"/>
      <c r="Y108" s="8"/>
      <c r="Z108" s="8"/>
    </row>
    <row r="109" spans="1:26" ht="21.75" customHeight="1" x14ac:dyDescent="0.6">
      <c r="A109" s="7"/>
      <c r="B109" s="49"/>
      <c r="C109" s="49"/>
      <c r="D109" s="7"/>
      <c r="E109" s="7"/>
      <c r="F109" s="7"/>
      <c r="G109" s="5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8"/>
      <c r="Y109" s="8"/>
      <c r="Z109" s="8"/>
    </row>
    <row r="110" spans="1:26" ht="21.75" customHeight="1" x14ac:dyDescent="0.6">
      <c r="A110" s="7"/>
      <c r="B110" s="49"/>
      <c r="C110" s="49"/>
      <c r="D110" s="7"/>
      <c r="E110" s="7"/>
      <c r="F110" s="7"/>
      <c r="G110" s="5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8"/>
      <c r="Y110" s="8"/>
      <c r="Z110" s="8"/>
    </row>
    <row r="111" spans="1:26" ht="21.75" customHeight="1" x14ac:dyDescent="0.6">
      <c r="A111" s="7"/>
      <c r="B111" s="49"/>
      <c r="C111" s="49"/>
      <c r="D111" s="7"/>
      <c r="E111" s="7"/>
      <c r="F111" s="7"/>
      <c r="G111" s="5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8"/>
      <c r="Y111" s="8"/>
      <c r="Z111" s="8"/>
    </row>
    <row r="112" spans="1:26" ht="21.75" customHeight="1" x14ac:dyDescent="0.6">
      <c r="A112" s="7"/>
      <c r="B112" s="49"/>
      <c r="C112" s="49"/>
      <c r="D112" s="7"/>
      <c r="E112" s="7"/>
      <c r="F112" s="7"/>
      <c r="G112" s="5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8"/>
      <c r="Y112" s="8"/>
      <c r="Z112" s="8"/>
    </row>
    <row r="113" spans="1:26" ht="21.75" customHeight="1" x14ac:dyDescent="0.6">
      <c r="A113" s="7"/>
      <c r="B113" s="49"/>
      <c r="C113" s="49"/>
      <c r="D113" s="7"/>
      <c r="E113" s="7"/>
      <c r="F113" s="7"/>
      <c r="G113" s="5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8"/>
      <c r="Y113" s="8"/>
      <c r="Z113" s="8"/>
    </row>
    <row r="114" spans="1:26" ht="21.75" customHeight="1" x14ac:dyDescent="0.6">
      <c r="A114" s="7"/>
      <c r="B114" s="49"/>
      <c r="C114" s="49"/>
      <c r="D114" s="7"/>
      <c r="E114" s="7"/>
      <c r="F114" s="7"/>
      <c r="G114" s="5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8"/>
      <c r="Y114" s="8"/>
      <c r="Z114" s="8"/>
    </row>
    <row r="115" spans="1:26" ht="21.75" customHeight="1" x14ac:dyDescent="0.6">
      <c r="A115" s="7"/>
      <c r="B115" s="49"/>
      <c r="C115" s="49"/>
      <c r="D115" s="7"/>
      <c r="E115" s="7"/>
      <c r="F115" s="7"/>
      <c r="G115" s="5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8"/>
      <c r="Y115" s="8"/>
      <c r="Z115" s="8"/>
    </row>
    <row r="116" spans="1:26" ht="21.75" customHeight="1" x14ac:dyDescent="0.6">
      <c r="A116" s="7"/>
      <c r="B116" s="49"/>
      <c r="C116" s="49"/>
      <c r="D116" s="7"/>
      <c r="E116" s="7"/>
      <c r="F116" s="7"/>
      <c r="G116" s="5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8"/>
      <c r="Y116" s="8"/>
      <c r="Z116" s="8"/>
    </row>
    <row r="117" spans="1:26" ht="21.75" customHeight="1" x14ac:dyDescent="0.6">
      <c r="A117" s="7"/>
      <c r="B117" s="49"/>
      <c r="C117" s="49"/>
      <c r="D117" s="7"/>
      <c r="E117" s="7"/>
      <c r="F117" s="7"/>
      <c r="G117" s="5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8"/>
      <c r="Y117" s="8"/>
      <c r="Z117" s="8"/>
    </row>
    <row r="118" spans="1:26" ht="21.75" customHeight="1" x14ac:dyDescent="0.6">
      <c r="A118" s="7"/>
      <c r="B118" s="49"/>
      <c r="C118" s="49"/>
      <c r="D118" s="7"/>
      <c r="E118" s="7"/>
      <c r="F118" s="7"/>
      <c r="G118" s="5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8"/>
      <c r="Y118" s="8"/>
      <c r="Z118" s="8"/>
    </row>
    <row r="119" spans="1:26" ht="21.75" customHeight="1" x14ac:dyDescent="0.6">
      <c r="A119" s="7"/>
      <c r="B119" s="49"/>
      <c r="C119" s="49"/>
      <c r="D119" s="7"/>
      <c r="E119" s="7"/>
      <c r="F119" s="7"/>
      <c r="G119" s="5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8"/>
      <c r="Y119" s="8"/>
      <c r="Z119" s="8"/>
    </row>
    <row r="120" spans="1:26" ht="21.75" customHeight="1" x14ac:dyDescent="0.6">
      <c r="A120" s="7"/>
      <c r="B120" s="49"/>
      <c r="C120" s="49"/>
      <c r="D120" s="7"/>
      <c r="E120" s="7"/>
      <c r="F120" s="7"/>
      <c r="G120" s="5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8"/>
      <c r="Y120" s="8"/>
      <c r="Z120" s="8"/>
    </row>
    <row r="121" spans="1:26" ht="21.75" customHeight="1" x14ac:dyDescent="0.6">
      <c r="A121" s="7"/>
      <c r="B121" s="49"/>
      <c r="C121" s="49"/>
      <c r="D121" s="7"/>
      <c r="E121" s="7"/>
      <c r="F121" s="7"/>
      <c r="G121" s="5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8"/>
      <c r="Y121" s="8"/>
      <c r="Z121" s="8"/>
    </row>
    <row r="122" spans="1:26" ht="21.75" customHeight="1" x14ac:dyDescent="0.6">
      <c r="A122" s="7"/>
      <c r="B122" s="49"/>
      <c r="C122" s="49"/>
      <c r="D122" s="7"/>
      <c r="E122" s="7"/>
      <c r="F122" s="7"/>
      <c r="G122" s="5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8"/>
      <c r="Y122" s="8"/>
      <c r="Z122" s="8"/>
    </row>
    <row r="123" spans="1:26" ht="21.75" customHeight="1" x14ac:dyDescent="0.6">
      <c r="A123" s="7"/>
      <c r="B123" s="49"/>
      <c r="C123" s="49"/>
      <c r="D123" s="7"/>
      <c r="E123" s="7"/>
      <c r="F123" s="7"/>
      <c r="G123" s="5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8"/>
      <c r="Y123" s="8"/>
      <c r="Z123" s="8"/>
    </row>
    <row r="124" spans="1:26" ht="21.75" customHeight="1" x14ac:dyDescent="0.6">
      <c r="A124" s="7"/>
      <c r="B124" s="49"/>
      <c r="C124" s="49"/>
      <c r="D124" s="7"/>
      <c r="E124" s="7"/>
      <c r="F124" s="7"/>
      <c r="G124" s="5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8"/>
      <c r="Y124" s="8"/>
      <c r="Z124" s="8"/>
    </row>
    <row r="125" spans="1:26" ht="21.75" customHeight="1" x14ac:dyDescent="0.6">
      <c r="A125" s="7"/>
      <c r="B125" s="49"/>
      <c r="C125" s="49"/>
      <c r="D125" s="7"/>
      <c r="E125" s="7"/>
      <c r="F125" s="7"/>
      <c r="G125" s="5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8"/>
      <c r="Y125" s="8"/>
      <c r="Z125" s="8"/>
    </row>
    <row r="126" spans="1:26" ht="21.75" customHeight="1" x14ac:dyDescent="0.6">
      <c r="A126" s="7"/>
      <c r="B126" s="49"/>
      <c r="C126" s="49"/>
      <c r="D126" s="7"/>
      <c r="E126" s="7"/>
      <c r="F126" s="7"/>
      <c r="G126" s="5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8"/>
      <c r="Y126" s="8"/>
      <c r="Z126" s="8"/>
    </row>
    <row r="127" spans="1:26" ht="21.75" customHeight="1" x14ac:dyDescent="0.6">
      <c r="A127" s="7"/>
      <c r="B127" s="49"/>
      <c r="C127" s="49"/>
      <c r="D127" s="7"/>
      <c r="E127" s="7"/>
      <c r="F127" s="7"/>
      <c r="G127" s="5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8"/>
      <c r="Y127" s="8"/>
      <c r="Z127" s="8"/>
    </row>
    <row r="128" spans="1:26" ht="21.75" customHeight="1" x14ac:dyDescent="0.6">
      <c r="A128" s="7"/>
      <c r="B128" s="49"/>
      <c r="C128" s="49"/>
      <c r="D128" s="7"/>
      <c r="E128" s="7"/>
      <c r="F128" s="7"/>
      <c r="G128" s="5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8"/>
      <c r="Y128" s="8"/>
      <c r="Z128" s="8"/>
    </row>
    <row r="129" spans="1:26" ht="21.75" customHeight="1" x14ac:dyDescent="0.6">
      <c r="A129" s="7"/>
      <c r="B129" s="49"/>
      <c r="C129" s="49"/>
      <c r="D129" s="7"/>
      <c r="E129" s="7"/>
      <c r="F129" s="7"/>
      <c r="G129" s="5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8"/>
      <c r="Y129" s="8"/>
      <c r="Z129" s="8"/>
    </row>
    <row r="130" spans="1:26" ht="21.75" customHeight="1" x14ac:dyDescent="0.6">
      <c r="A130" s="7"/>
      <c r="B130" s="49"/>
      <c r="C130" s="49"/>
      <c r="D130" s="7"/>
      <c r="E130" s="7"/>
      <c r="F130" s="7"/>
      <c r="G130" s="5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8"/>
      <c r="Y130" s="8"/>
      <c r="Z130" s="8"/>
    </row>
    <row r="131" spans="1:26" ht="21.75" customHeight="1" x14ac:dyDescent="0.6">
      <c r="A131" s="7"/>
      <c r="B131" s="49"/>
      <c r="C131" s="49"/>
      <c r="D131" s="7"/>
      <c r="E131" s="7"/>
      <c r="F131" s="7"/>
      <c r="G131" s="5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8"/>
      <c r="Y131" s="8"/>
      <c r="Z131" s="8"/>
    </row>
    <row r="132" spans="1:26" ht="21.75" customHeight="1" x14ac:dyDescent="0.6">
      <c r="A132" s="7"/>
      <c r="B132" s="49"/>
      <c r="C132" s="49"/>
      <c r="D132" s="7"/>
      <c r="E132" s="7"/>
      <c r="F132" s="7"/>
      <c r="G132" s="5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8"/>
      <c r="Y132" s="8"/>
      <c r="Z132" s="8"/>
    </row>
    <row r="133" spans="1:26" ht="21.75" customHeight="1" x14ac:dyDescent="0.6">
      <c r="A133" s="7"/>
      <c r="B133" s="49"/>
      <c r="C133" s="49"/>
      <c r="D133" s="7"/>
      <c r="E133" s="7"/>
      <c r="F133" s="7"/>
      <c r="G133" s="5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8"/>
      <c r="Y133" s="8"/>
      <c r="Z133" s="8"/>
    </row>
    <row r="134" spans="1:26" ht="21.75" customHeight="1" x14ac:dyDescent="0.6">
      <c r="A134" s="7"/>
      <c r="B134" s="49"/>
      <c r="C134" s="49"/>
      <c r="D134" s="7"/>
      <c r="E134" s="7"/>
      <c r="F134" s="7"/>
      <c r="G134" s="5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8"/>
      <c r="Y134" s="8"/>
      <c r="Z134" s="8"/>
    </row>
    <row r="135" spans="1:26" ht="21.75" customHeight="1" x14ac:dyDescent="0.6">
      <c r="A135" s="7"/>
      <c r="B135" s="49"/>
      <c r="C135" s="49"/>
      <c r="D135" s="7"/>
      <c r="E135" s="7"/>
      <c r="F135" s="7"/>
      <c r="G135" s="5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8"/>
      <c r="Y135" s="8"/>
      <c r="Z135" s="8"/>
    </row>
    <row r="136" spans="1:26" ht="21.75" customHeight="1" x14ac:dyDescent="0.6">
      <c r="A136" s="7"/>
      <c r="B136" s="49"/>
      <c r="C136" s="49"/>
      <c r="D136" s="7"/>
      <c r="E136" s="7"/>
      <c r="F136" s="7"/>
      <c r="G136" s="5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8"/>
      <c r="Y136" s="8"/>
      <c r="Z136" s="8"/>
    </row>
    <row r="137" spans="1:26" ht="21.75" customHeight="1" x14ac:dyDescent="0.6">
      <c r="A137" s="7"/>
      <c r="B137" s="49"/>
      <c r="C137" s="49"/>
      <c r="D137" s="7"/>
      <c r="E137" s="7"/>
      <c r="F137" s="7"/>
      <c r="G137" s="5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8"/>
      <c r="Y137" s="8"/>
      <c r="Z137" s="8"/>
    </row>
    <row r="138" spans="1:26" ht="21.75" customHeight="1" x14ac:dyDescent="0.6">
      <c r="A138" s="7"/>
      <c r="B138" s="49"/>
      <c r="C138" s="49"/>
      <c r="D138" s="7"/>
      <c r="E138" s="7"/>
      <c r="F138" s="7"/>
      <c r="G138" s="5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8"/>
      <c r="Y138" s="8"/>
      <c r="Z138" s="8"/>
    </row>
    <row r="139" spans="1:26" ht="21.75" customHeight="1" x14ac:dyDescent="0.6">
      <c r="A139" s="7"/>
      <c r="B139" s="49"/>
      <c r="C139" s="49"/>
      <c r="D139" s="7"/>
      <c r="E139" s="7"/>
      <c r="F139" s="7"/>
      <c r="G139" s="5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8"/>
      <c r="Y139" s="8"/>
      <c r="Z139" s="8"/>
    </row>
    <row r="140" spans="1:26" ht="21.75" customHeight="1" x14ac:dyDescent="0.6">
      <c r="A140" s="7"/>
      <c r="B140" s="49"/>
      <c r="C140" s="49"/>
      <c r="D140" s="7"/>
      <c r="E140" s="7"/>
      <c r="F140" s="7"/>
      <c r="G140" s="5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8"/>
      <c r="Y140" s="8"/>
      <c r="Z140" s="8"/>
    </row>
    <row r="141" spans="1:26" ht="21.75" customHeight="1" x14ac:dyDescent="0.6">
      <c r="A141" s="7"/>
      <c r="B141" s="49"/>
      <c r="C141" s="49"/>
      <c r="D141" s="7"/>
      <c r="E141" s="7"/>
      <c r="F141" s="7"/>
      <c r="G141" s="5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8"/>
      <c r="Y141" s="8"/>
      <c r="Z141" s="8"/>
    </row>
    <row r="142" spans="1:26" ht="21.75" customHeight="1" x14ac:dyDescent="0.6">
      <c r="A142" s="7"/>
      <c r="B142" s="49"/>
      <c r="C142" s="49"/>
      <c r="D142" s="7"/>
      <c r="E142" s="7"/>
      <c r="F142" s="7"/>
      <c r="G142" s="5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8"/>
      <c r="Y142" s="8"/>
      <c r="Z142" s="8"/>
    </row>
    <row r="143" spans="1:26" ht="21.75" customHeight="1" x14ac:dyDescent="0.6">
      <c r="A143" s="7"/>
      <c r="B143" s="49"/>
      <c r="C143" s="49"/>
      <c r="D143" s="7"/>
      <c r="E143" s="7"/>
      <c r="F143" s="7"/>
      <c r="G143" s="5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8"/>
      <c r="Y143" s="8"/>
      <c r="Z143" s="8"/>
    </row>
    <row r="144" spans="1:26" ht="21.75" customHeight="1" x14ac:dyDescent="0.6">
      <c r="A144" s="7"/>
      <c r="B144" s="49"/>
      <c r="C144" s="49"/>
      <c r="D144" s="7"/>
      <c r="E144" s="7"/>
      <c r="F144" s="7"/>
      <c r="G144" s="5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8"/>
      <c r="Y144" s="8"/>
      <c r="Z144" s="8"/>
    </row>
    <row r="145" spans="1:26" ht="21.75" customHeight="1" x14ac:dyDescent="0.6">
      <c r="A145" s="7"/>
      <c r="B145" s="49"/>
      <c r="C145" s="49"/>
      <c r="D145" s="7"/>
      <c r="E145" s="7"/>
      <c r="F145" s="7"/>
      <c r="G145" s="5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8"/>
      <c r="Y145" s="8"/>
      <c r="Z145" s="8"/>
    </row>
    <row r="146" spans="1:26" ht="21.75" customHeight="1" x14ac:dyDescent="0.6">
      <c r="A146" s="7"/>
      <c r="B146" s="49"/>
      <c r="C146" s="49"/>
      <c r="D146" s="7"/>
      <c r="E146" s="7"/>
      <c r="F146" s="7"/>
      <c r="G146" s="5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8"/>
      <c r="Y146" s="8"/>
      <c r="Z146" s="8"/>
    </row>
    <row r="147" spans="1:26" ht="21.75" customHeight="1" x14ac:dyDescent="0.6">
      <c r="A147" s="7"/>
      <c r="B147" s="49"/>
      <c r="C147" s="49"/>
      <c r="D147" s="7"/>
      <c r="E147" s="7"/>
      <c r="F147" s="7"/>
      <c r="G147" s="5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8"/>
      <c r="Y147" s="8"/>
      <c r="Z147" s="8"/>
    </row>
    <row r="148" spans="1:26" ht="21.75" customHeight="1" x14ac:dyDescent="0.6">
      <c r="A148" s="7"/>
      <c r="B148" s="49"/>
      <c r="C148" s="49"/>
      <c r="D148" s="7"/>
      <c r="E148" s="7"/>
      <c r="F148" s="7"/>
      <c r="G148" s="5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8"/>
      <c r="Y148" s="8"/>
      <c r="Z148" s="8"/>
    </row>
    <row r="149" spans="1:26" ht="21.75" customHeight="1" x14ac:dyDescent="0.6">
      <c r="A149" s="7"/>
      <c r="B149" s="49"/>
      <c r="C149" s="49"/>
      <c r="D149" s="7"/>
      <c r="E149" s="7"/>
      <c r="F149" s="7"/>
      <c r="G149" s="5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8"/>
      <c r="Y149" s="8"/>
      <c r="Z149" s="8"/>
    </row>
    <row r="150" spans="1:26" ht="21.75" customHeight="1" x14ac:dyDescent="0.6">
      <c r="A150" s="7"/>
      <c r="B150" s="49"/>
      <c r="C150" s="49"/>
      <c r="D150" s="7"/>
      <c r="E150" s="7"/>
      <c r="F150" s="7"/>
      <c r="G150" s="5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8"/>
      <c r="Y150" s="8"/>
      <c r="Z150" s="8"/>
    </row>
    <row r="151" spans="1:26" ht="21.75" customHeight="1" x14ac:dyDescent="0.6">
      <c r="A151" s="7"/>
      <c r="B151" s="49"/>
      <c r="C151" s="49"/>
      <c r="D151" s="7"/>
      <c r="E151" s="7"/>
      <c r="F151" s="7"/>
      <c r="G151" s="5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8"/>
      <c r="Y151" s="8"/>
      <c r="Z151" s="8"/>
    </row>
    <row r="152" spans="1:26" ht="21.75" customHeight="1" x14ac:dyDescent="0.6">
      <c r="A152" s="7"/>
      <c r="B152" s="49"/>
      <c r="C152" s="49"/>
      <c r="D152" s="7"/>
      <c r="E152" s="7"/>
      <c r="F152" s="7"/>
      <c r="G152" s="5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8"/>
      <c r="Y152" s="8"/>
      <c r="Z152" s="8"/>
    </row>
    <row r="153" spans="1:26" ht="21.75" customHeight="1" x14ac:dyDescent="0.6">
      <c r="A153" s="7"/>
      <c r="B153" s="49"/>
      <c r="C153" s="49"/>
      <c r="D153" s="7"/>
      <c r="E153" s="7"/>
      <c r="F153" s="7"/>
      <c r="G153" s="5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8"/>
      <c r="Y153" s="8"/>
      <c r="Z153" s="8"/>
    </row>
    <row r="154" spans="1:26" ht="21.75" customHeight="1" x14ac:dyDescent="0.6">
      <c r="A154" s="7"/>
      <c r="B154" s="49"/>
      <c r="C154" s="49"/>
      <c r="D154" s="7"/>
      <c r="E154" s="7"/>
      <c r="F154" s="7"/>
      <c r="G154" s="5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8"/>
      <c r="Y154" s="8"/>
      <c r="Z154" s="8"/>
    </row>
    <row r="155" spans="1:26" ht="21.75" customHeight="1" x14ac:dyDescent="0.6">
      <c r="A155" s="7"/>
      <c r="B155" s="49"/>
      <c r="C155" s="49"/>
      <c r="D155" s="7"/>
      <c r="E155" s="7"/>
      <c r="F155" s="7"/>
      <c r="G155" s="5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8"/>
      <c r="Y155" s="8"/>
      <c r="Z155" s="8"/>
    </row>
    <row r="156" spans="1:26" ht="21.75" customHeight="1" x14ac:dyDescent="0.6">
      <c r="A156" s="7"/>
      <c r="B156" s="49"/>
      <c r="C156" s="49"/>
      <c r="D156" s="7"/>
      <c r="E156" s="7"/>
      <c r="F156" s="7"/>
      <c r="G156" s="5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8"/>
      <c r="Y156" s="8"/>
      <c r="Z156" s="8"/>
    </row>
    <row r="157" spans="1:26" ht="21.75" customHeight="1" x14ac:dyDescent="0.6">
      <c r="A157" s="7"/>
      <c r="B157" s="49"/>
      <c r="C157" s="49"/>
      <c r="D157" s="7"/>
      <c r="E157" s="7"/>
      <c r="F157" s="7"/>
      <c r="G157" s="5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8"/>
      <c r="Y157" s="8"/>
      <c r="Z157" s="8"/>
    </row>
    <row r="158" spans="1:26" ht="21.75" customHeight="1" x14ac:dyDescent="0.6">
      <c r="A158" s="7"/>
      <c r="B158" s="49"/>
      <c r="C158" s="49"/>
      <c r="D158" s="7"/>
      <c r="E158" s="7"/>
      <c r="F158" s="7"/>
      <c r="G158" s="5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8"/>
      <c r="Y158" s="8"/>
      <c r="Z158" s="8"/>
    </row>
    <row r="159" spans="1:26" ht="21.75" customHeight="1" x14ac:dyDescent="0.6">
      <c r="A159" s="7"/>
      <c r="B159" s="49"/>
      <c r="C159" s="49"/>
      <c r="D159" s="7"/>
      <c r="E159" s="7"/>
      <c r="F159" s="7"/>
      <c r="G159" s="5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8"/>
      <c r="Y159" s="8"/>
      <c r="Z159" s="8"/>
    </row>
    <row r="160" spans="1:26" ht="21.75" customHeight="1" x14ac:dyDescent="0.6">
      <c r="A160" s="7"/>
      <c r="B160" s="49"/>
      <c r="C160" s="49"/>
      <c r="D160" s="7"/>
      <c r="E160" s="7"/>
      <c r="F160" s="7"/>
      <c r="G160" s="5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8"/>
      <c r="Y160" s="8"/>
      <c r="Z160" s="8"/>
    </row>
    <row r="161" spans="1:26" ht="21.75" customHeight="1" x14ac:dyDescent="0.6">
      <c r="A161" s="7"/>
      <c r="B161" s="49"/>
      <c r="C161" s="49"/>
      <c r="D161" s="7"/>
      <c r="E161" s="7"/>
      <c r="F161" s="7"/>
      <c r="G161" s="5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8"/>
      <c r="Y161" s="8"/>
      <c r="Z161" s="8"/>
    </row>
    <row r="162" spans="1:26" ht="21.75" customHeight="1" x14ac:dyDescent="0.6">
      <c r="A162" s="7"/>
      <c r="B162" s="49"/>
      <c r="C162" s="49"/>
      <c r="D162" s="7"/>
      <c r="E162" s="7"/>
      <c r="F162" s="7"/>
      <c r="G162" s="5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8"/>
      <c r="Y162" s="8"/>
      <c r="Z162" s="8"/>
    </row>
    <row r="163" spans="1:26" ht="21.75" customHeight="1" x14ac:dyDescent="0.6">
      <c r="A163" s="7"/>
      <c r="B163" s="49"/>
      <c r="C163" s="49"/>
      <c r="D163" s="7"/>
      <c r="E163" s="7"/>
      <c r="F163" s="7"/>
      <c r="G163" s="5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8"/>
      <c r="Y163" s="8"/>
      <c r="Z163" s="8"/>
    </row>
    <row r="164" spans="1:26" ht="21.75" customHeight="1" x14ac:dyDescent="0.6">
      <c r="A164" s="7"/>
      <c r="B164" s="49"/>
      <c r="C164" s="49"/>
      <c r="D164" s="7"/>
      <c r="E164" s="7"/>
      <c r="F164" s="7"/>
      <c r="G164" s="5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8"/>
      <c r="Y164" s="8"/>
      <c r="Z164" s="8"/>
    </row>
    <row r="165" spans="1:26" ht="21.75" customHeight="1" x14ac:dyDescent="0.6">
      <c r="A165" s="7"/>
      <c r="B165" s="49"/>
      <c r="C165" s="49"/>
      <c r="D165" s="7"/>
      <c r="E165" s="7"/>
      <c r="F165" s="7"/>
      <c r="G165" s="5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8"/>
      <c r="Y165" s="8"/>
      <c r="Z165" s="8"/>
    </row>
    <row r="166" spans="1:26" ht="21.75" customHeight="1" x14ac:dyDescent="0.6">
      <c r="A166" s="7"/>
      <c r="B166" s="49"/>
      <c r="C166" s="49"/>
      <c r="D166" s="7"/>
      <c r="E166" s="7"/>
      <c r="F166" s="7"/>
      <c r="G166" s="5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8"/>
      <c r="Y166" s="8"/>
      <c r="Z166" s="8"/>
    </row>
    <row r="167" spans="1:26" ht="21.75" customHeight="1" x14ac:dyDescent="0.6">
      <c r="A167" s="7"/>
      <c r="B167" s="49"/>
      <c r="C167" s="49"/>
      <c r="D167" s="7"/>
      <c r="E167" s="7"/>
      <c r="F167" s="7"/>
      <c r="G167" s="5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8"/>
      <c r="Y167" s="8"/>
      <c r="Z167" s="8"/>
    </row>
    <row r="168" spans="1:26" ht="21.75" customHeight="1" x14ac:dyDescent="0.6">
      <c r="A168" s="7"/>
      <c r="B168" s="49"/>
      <c r="C168" s="49"/>
      <c r="D168" s="7"/>
      <c r="E168" s="7"/>
      <c r="F168" s="7"/>
      <c r="G168" s="5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8"/>
      <c r="Y168" s="8"/>
      <c r="Z168" s="8"/>
    </row>
    <row r="169" spans="1:26" ht="21.75" customHeight="1" x14ac:dyDescent="0.6">
      <c r="A169" s="7"/>
      <c r="B169" s="49"/>
      <c r="C169" s="49"/>
      <c r="D169" s="7"/>
      <c r="E169" s="7"/>
      <c r="F169" s="7"/>
      <c r="G169" s="5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8"/>
      <c r="Y169" s="8"/>
      <c r="Z169" s="8"/>
    </row>
    <row r="170" spans="1:26" ht="21.75" customHeight="1" x14ac:dyDescent="0.6">
      <c r="A170" s="7"/>
      <c r="B170" s="49"/>
      <c r="C170" s="49"/>
      <c r="D170" s="7"/>
      <c r="E170" s="7"/>
      <c r="F170" s="7"/>
      <c r="G170" s="5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8"/>
      <c r="Y170" s="8"/>
      <c r="Z170" s="8"/>
    </row>
    <row r="171" spans="1:26" ht="21.75" customHeight="1" x14ac:dyDescent="0.6">
      <c r="A171" s="7"/>
      <c r="B171" s="49"/>
      <c r="C171" s="49"/>
      <c r="D171" s="7"/>
      <c r="E171" s="7"/>
      <c r="F171" s="7"/>
      <c r="G171" s="5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8"/>
      <c r="Y171" s="8"/>
      <c r="Z171" s="8"/>
    </row>
    <row r="172" spans="1:26" ht="21.75" customHeight="1" x14ac:dyDescent="0.6">
      <c r="A172" s="7"/>
      <c r="B172" s="49"/>
      <c r="C172" s="49"/>
      <c r="D172" s="7"/>
      <c r="E172" s="7"/>
      <c r="F172" s="7"/>
      <c r="G172" s="5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8"/>
      <c r="Y172" s="8"/>
      <c r="Z172" s="8"/>
    </row>
    <row r="173" spans="1:26" ht="21.75" customHeight="1" x14ac:dyDescent="0.6">
      <c r="A173" s="7"/>
      <c r="B173" s="49"/>
      <c r="C173" s="49"/>
      <c r="D173" s="7"/>
      <c r="E173" s="7"/>
      <c r="F173" s="7"/>
      <c r="G173" s="5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8"/>
      <c r="Y173" s="8"/>
      <c r="Z173" s="8"/>
    </row>
    <row r="174" spans="1:26" ht="21.75" customHeight="1" x14ac:dyDescent="0.6">
      <c r="A174" s="7"/>
      <c r="B174" s="49"/>
      <c r="C174" s="49"/>
      <c r="D174" s="7"/>
      <c r="E174" s="7"/>
      <c r="F174" s="7"/>
      <c r="G174" s="5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8"/>
      <c r="Y174" s="8"/>
      <c r="Z174" s="8"/>
    </row>
    <row r="175" spans="1:26" ht="21.75" customHeight="1" x14ac:dyDescent="0.6">
      <c r="A175" s="7"/>
      <c r="B175" s="49"/>
      <c r="C175" s="49"/>
      <c r="D175" s="7"/>
      <c r="E175" s="7"/>
      <c r="F175" s="7"/>
      <c r="G175" s="5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8"/>
      <c r="Y175" s="8"/>
      <c r="Z175" s="8"/>
    </row>
    <row r="176" spans="1:26" ht="21.75" customHeight="1" x14ac:dyDescent="0.6">
      <c r="A176" s="7"/>
      <c r="B176" s="49"/>
      <c r="C176" s="49"/>
      <c r="D176" s="7"/>
      <c r="E176" s="7"/>
      <c r="F176" s="7"/>
      <c r="G176" s="5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8"/>
      <c r="Y176" s="8"/>
      <c r="Z176" s="8"/>
    </row>
    <row r="177" spans="1:26" ht="21.75" customHeight="1" x14ac:dyDescent="0.6">
      <c r="A177" s="7"/>
      <c r="B177" s="49"/>
      <c r="C177" s="49"/>
      <c r="D177" s="7"/>
      <c r="E177" s="7"/>
      <c r="F177" s="7"/>
      <c r="G177" s="5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8"/>
      <c r="Y177" s="8"/>
      <c r="Z177" s="8"/>
    </row>
    <row r="178" spans="1:26" ht="21.75" customHeight="1" x14ac:dyDescent="0.6">
      <c r="A178" s="7"/>
      <c r="B178" s="49"/>
      <c r="C178" s="49"/>
      <c r="D178" s="7"/>
      <c r="E178" s="7"/>
      <c r="F178" s="7"/>
      <c r="G178" s="5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8"/>
      <c r="Y178" s="8"/>
      <c r="Z178" s="8"/>
    </row>
    <row r="179" spans="1:26" ht="21.75" customHeight="1" x14ac:dyDescent="0.6">
      <c r="A179" s="7"/>
      <c r="B179" s="49"/>
      <c r="C179" s="49"/>
      <c r="D179" s="7"/>
      <c r="E179" s="7"/>
      <c r="F179" s="7"/>
      <c r="G179" s="5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8"/>
      <c r="Y179" s="8"/>
      <c r="Z179" s="8"/>
    </row>
    <row r="180" spans="1:26" ht="21.75" customHeight="1" x14ac:dyDescent="0.6">
      <c r="A180" s="7"/>
      <c r="B180" s="49"/>
      <c r="C180" s="49"/>
      <c r="D180" s="7"/>
      <c r="E180" s="7"/>
      <c r="F180" s="7"/>
      <c r="G180" s="5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8"/>
      <c r="Y180" s="8"/>
      <c r="Z180" s="8"/>
    </row>
    <row r="181" spans="1:26" ht="21.75" customHeight="1" x14ac:dyDescent="0.6">
      <c r="A181" s="7"/>
      <c r="B181" s="49"/>
      <c r="C181" s="49"/>
      <c r="D181" s="7"/>
      <c r="E181" s="7"/>
      <c r="F181" s="7"/>
      <c r="G181" s="5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  <c r="Y181" s="8"/>
      <c r="Z181" s="8"/>
    </row>
    <row r="182" spans="1:26" ht="21.75" customHeight="1" x14ac:dyDescent="0.6">
      <c r="A182" s="7"/>
      <c r="B182" s="49"/>
      <c r="C182" s="49"/>
      <c r="D182" s="7"/>
      <c r="E182" s="7"/>
      <c r="F182" s="7"/>
      <c r="G182" s="5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8"/>
      <c r="Y182" s="8"/>
      <c r="Z182" s="8"/>
    </row>
    <row r="183" spans="1:26" ht="21.75" customHeight="1" x14ac:dyDescent="0.6">
      <c r="A183" s="7"/>
      <c r="B183" s="49"/>
      <c r="C183" s="49"/>
      <c r="D183" s="7"/>
      <c r="E183" s="7"/>
      <c r="F183" s="7"/>
      <c r="G183" s="5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8"/>
      <c r="Y183" s="8"/>
      <c r="Z183" s="8"/>
    </row>
    <row r="184" spans="1:26" ht="21.75" customHeight="1" x14ac:dyDescent="0.6">
      <c r="A184" s="7"/>
      <c r="B184" s="49"/>
      <c r="C184" s="49"/>
      <c r="D184" s="7"/>
      <c r="E184" s="7"/>
      <c r="F184" s="7"/>
      <c r="G184" s="5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8"/>
      <c r="Y184" s="8"/>
      <c r="Z184" s="8"/>
    </row>
    <row r="185" spans="1:26" ht="21.75" customHeight="1" x14ac:dyDescent="0.6">
      <c r="A185" s="7"/>
      <c r="B185" s="49"/>
      <c r="C185" s="49"/>
      <c r="D185" s="7"/>
      <c r="E185" s="7"/>
      <c r="F185" s="7"/>
      <c r="G185" s="5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8"/>
      <c r="Y185" s="8"/>
      <c r="Z185" s="8"/>
    </row>
    <row r="186" spans="1:26" ht="21.75" customHeight="1" x14ac:dyDescent="0.6">
      <c r="A186" s="7"/>
      <c r="B186" s="49"/>
      <c r="C186" s="49"/>
      <c r="D186" s="7"/>
      <c r="E186" s="7"/>
      <c r="F186" s="7"/>
      <c r="G186" s="5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8"/>
      <c r="Y186" s="8"/>
      <c r="Z186" s="8"/>
    </row>
    <row r="187" spans="1:26" ht="21.75" customHeight="1" x14ac:dyDescent="0.6">
      <c r="A187" s="7"/>
      <c r="B187" s="49"/>
      <c r="C187" s="49"/>
      <c r="D187" s="7"/>
      <c r="E187" s="7"/>
      <c r="F187" s="7"/>
      <c r="G187" s="5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8"/>
      <c r="Y187" s="8"/>
      <c r="Z187" s="8"/>
    </row>
    <row r="188" spans="1:26" ht="21.75" customHeight="1" x14ac:dyDescent="0.6">
      <c r="A188" s="7"/>
      <c r="B188" s="49"/>
      <c r="C188" s="49"/>
      <c r="D188" s="7"/>
      <c r="E188" s="7"/>
      <c r="F188" s="7"/>
      <c r="G188" s="5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8"/>
      <c r="Y188" s="8"/>
      <c r="Z188" s="8"/>
    </row>
    <row r="189" spans="1:26" ht="21.75" customHeight="1" x14ac:dyDescent="0.6">
      <c r="A189" s="7"/>
      <c r="B189" s="49"/>
      <c r="C189" s="49"/>
      <c r="D189" s="7"/>
      <c r="E189" s="7"/>
      <c r="F189" s="7"/>
      <c r="G189" s="5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8"/>
      <c r="Y189" s="8"/>
      <c r="Z189" s="8"/>
    </row>
    <row r="190" spans="1:26" ht="21.75" customHeight="1" x14ac:dyDescent="0.6">
      <c r="A190" s="7"/>
      <c r="B190" s="49"/>
      <c r="C190" s="49"/>
      <c r="D190" s="7"/>
      <c r="E190" s="7"/>
      <c r="F190" s="7"/>
      <c r="G190" s="5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8"/>
      <c r="Y190" s="8"/>
      <c r="Z190" s="8"/>
    </row>
    <row r="191" spans="1:26" ht="21.75" customHeight="1" x14ac:dyDescent="0.6">
      <c r="A191" s="7"/>
      <c r="B191" s="49"/>
      <c r="C191" s="49"/>
      <c r="D191" s="7"/>
      <c r="E191" s="7"/>
      <c r="F191" s="7"/>
      <c r="G191" s="5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8"/>
      <c r="Y191" s="8"/>
      <c r="Z191" s="8"/>
    </row>
    <row r="192" spans="1:26" ht="21.75" customHeight="1" x14ac:dyDescent="0.6">
      <c r="A192" s="7"/>
      <c r="B192" s="49"/>
      <c r="C192" s="49"/>
      <c r="D192" s="7"/>
      <c r="E192" s="7"/>
      <c r="F192" s="7"/>
      <c r="G192" s="5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8"/>
      <c r="Y192" s="8"/>
      <c r="Z192" s="8"/>
    </row>
    <row r="193" spans="1:26" ht="21.75" customHeight="1" x14ac:dyDescent="0.6">
      <c r="A193" s="7"/>
      <c r="B193" s="49"/>
      <c r="C193" s="49"/>
      <c r="D193" s="7"/>
      <c r="E193" s="7"/>
      <c r="F193" s="7"/>
      <c r="G193" s="5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8"/>
      <c r="Y193" s="8"/>
      <c r="Z193" s="8"/>
    </row>
    <row r="194" spans="1:26" ht="21.75" customHeight="1" x14ac:dyDescent="0.6">
      <c r="A194" s="7"/>
      <c r="B194" s="49"/>
      <c r="C194" s="49"/>
      <c r="D194" s="7"/>
      <c r="E194" s="7"/>
      <c r="F194" s="7"/>
      <c r="G194" s="5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8"/>
      <c r="Y194" s="8"/>
      <c r="Z194" s="8"/>
    </row>
    <row r="195" spans="1:26" ht="21.75" customHeight="1" x14ac:dyDescent="0.6">
      <c r="A195" s="7"/>
      <c r="B195" s="49"/>
      <c r="C195" s="49"/>
      <c r="D195" s="7"/>
      <c r="E195" s="7"/>
      <c r="F195" s="7"/>
      <c r="G195" s="5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8"/>
      <c r="Y195" s="8"/>
      <c r="Z195" s="8"/>
    </row>
    <row r="196" spans="1:26" ht="21.75" customHeight="1" x14ac:dyDescent="0.6">
      <c r="A196" s="7"/>
      <c r="B196" s="49"/>
      <c r="C196" s="49"/>
      <c r="D196" s="7"/>
      <c r="E196" s="7"/>
      <c r="F196" s="7"/>
      <c r="G196" s="5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8"/>
      <c r="Y196" s="8"/>
      <c r="Z196" s="8"/>
    </row>
    <row r="197" spans="1:26" ht="21.75" customHeight="1" x14ac:dyDescent="0.6">
      <c r="A197" s="7"/>
      <c r="B197" s="49"/>
      <c r="C197" s="49"/>
      <c r="D197" s="7"/>
      <c r="E197" s="7"/>
      <c r="F197" s="7"/>
      <c r="G197" s="5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8"/>
      <c r="Y197" s="8"/>
      <c r="Z197" s="8"/>
    </row>
    <row r="198" spans="1:26" ht="21.75" customHeight="1" x14ac:dyDescent="0.6">
      <c r="A198" s="7"/>
      <c r="B198" s="49"/>
      <c r="C198" s="49"/>
      <c r="D198" s="7"/>
      <c r="E198" s="7"/>
      <c r="F198" s="7"/>
      <c r="G198" s="5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8"/>
      <c r="Y198" s="8"/>
      <c r="Z198" s="8"/>
    </row>
    <row r="199" spans="1:26" ht="21.75" customHeight="1" x14ac:dyDescent="0.6">
      <c r="A199" s="7"/>
      <c r="B199" s="49"/>
      <c r="C199" s="49"/>
      <c r="D199" s="7"/>
      <c r="E199" s="7"/>
      <c r="F199" s="7"/>
      <c r="G199" s="5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8"/>
      <c r="Y199" s="8"/>
      <c r="Z199" s="8"/>
    </row>
    <row r="200" spans="1:26" ht="21.75" customHeight="1" x14ac:dyDescent="0.6">
      <c r="A200" s="7"/>
      <c r="B200" s="49"/>
      <c r="C200" s="49"/>
      <c r="D200" s="7"/>
      <c r="E200" s="7"/>
      <c r="F200" s="7"/>
      <c r="G200" s="5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8"/>
      <c r="Y200" s="8"/>
      <c r="Z200" s="8"/>
    </row>
    <row r="201" spans="1:26" ht="21.75" customHeight="1" x14ac:dyDescent="0.6">
      <c r="A201" s="7"/>
      <c r="B201" s="49"/>
      <c r="C201" s="49"/>
      <c r="D201" s="7"/>
      <c r="E201" s="7"/>
      <c r="F201" s="7"/>
      <c r="G201" s="5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8"/>
      <c r="Y201" s="8"/>
      <c r="Z201" s="8"/>
    </row>
    <row r="202" spans="1:26" ht="21.75" customHeight="1" x14ac:dyDescent="0.6">
      <c r="A202" s="7"/>
      <c r="B202" s="49"/>
      <c r="C202" s="49"/>
      <c r="D202" s="7"/>
      <c r="E202" s="7"/>
      <c r="F202" s="7"/>
      <c r="G202" s="5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8"/>
      <c r="Y202" s="8"/>
      <c r="Z202" s="8"/>
    </row>
    <row r="203" spans="1:26" ht="21.75" customHeight="1" x14ac:dyDescent="0.6">
      <c r="A203" s="7"/>
      <c r="B203" s="49"/>
      <c r="C203" s="49"/>
      <c r="D203" s="7"/>
      <c r="E203" s="7"/>
      <c r="F203" s="7"/>
      <c r="G203" s="5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8"/>
      <c r="Y203" s="8"/>
      <c r="Z203" s="8"/>
    </row>
    <row r="204" spans="1:26" ht="21.75" customHeight="1" x14ac:dyDescent="0.6">
      <c r="A204" s="7"/>
      <c r="B204" s="49"/>
      <c r="C204" s="49"/>
      <c r="D204" s="7"/>
      <c r="E204" s="7"/>
      <c r="F204" s="7"/>
      <c r="G204" s="5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8"/>
      <c r="Y204" s="8"/>
      <c r="Z204" s="8"/>
    </row>
    <row r="205" spans="1:26" ht="21.75" customHeight="1" x14ac:dyDescent="0.6">
      <c r="A205" s="7"/>
      <c r="B205" s="49"/>
      <c r="C205" s="49"/>
      <c r="D205" s="7"/>
      <c r="E205" s="7"/>
      <c r="F205" s="7"/>
      <c r="G205" s="5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8"/>
      <c r="Y205" s="8"/>
      <c r="Z205" s="8"/>
    </row>
    <row r="206" spans="1:26" ht="21.75" customHeight="1" x14ac:dyDescent="0.6">
      <c r="A206" s="7"/>
      <c r="B206" s="49"/>
      <c r="C206" s="49"/>
      <c r="D206" s="7"/>
      <c r="E206" s="7"/>
      <c r="F206" s="7"/>
      <c r="G206" s="5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8"/>
      <c r="Y206" s="8"/>
      <c r="Z206" s="8"/>
    </row>
    <row r="207" spans="1:26" ht="21.75" customHeight="1" x14ac:dyDescent="0.6">
      <c r="A207" s="7"/>
      <c r="B207" s="49"/>
      <c r="C207" s="49"/>
      <c r="D207" s="7"/>
      <c r="E207" s="7"/>
      <c r="F207" s="7"/>
      <c r="G207" s="5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8"/>
      <c r="Y207" s="8"/>
      <c r="Z207" s="8"/>
    </row>
    <row r="208" spans="1:26" ht="21.75" customHeight="1" x14ac:dyDescent="0.6">
      <c r="A208" s="7"/>
      <c r="B208" s="49"/>
      <c r="C208" s="49"/>
      <c r="D208" s="7"/>
      <c r="E208" s="7"/>
      <c r="F208" s="7"/>
      <c r="G208" s="5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8"/>
      <c r="Y208" s="8"/>
      <c r="Z208" s="8"/>
    </row>
    <row r="209" spans="1:26" ht="21.75" customHeight="1" x14ac:dyDescent="0.6">
      <c r="A209" s="7"/>
      <c r="B209" s="49"/>
      <c r="C209" s="49"/>
      <c r="D209" s="7"/>
      <c r="E209" s="7"/>
      <c r="F209" s="7"/>
      <c r="G209" s="5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8"/>
      <c r="Y209" s="8"/>
      <c r="Z209" s="8"/>
    </row>
    <row r="210" spans="1:26" ht="21.75" customHeight="1" x14ac:dyDescent="0.6">
      <c r="A210" s="7"/>
      <c r="B210" s="49"/>
      <c r="C210" s="49"/>
      <c r="D210" s="7"/>
      <c r="E210" s="7"/>
      <c r="F210" s="7"/>
      <c r="G210" s="5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8"/>
      <c r="Y210" s="8"/>
      <c r="Z210" s="8"/>
    </row>
    <row r="211" spans="1:26" ht="21.75" customHeight="1" x14ac:dyDescent="0.6">
      <c r="A211" s="7"/>
      <c r="B211" s="49"/>
      <c r="C211" s="49"/>
      <c r="D211" s="7"/>
      <c r="E211" s="7"/>
      <c r="F211" s="7"/>
      <c r="G211" s="5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8"/>
      <c r="Y211" s="8"/>
      <c r="Z211" s="8"/>
    </row>
    <row r="212" spans="1:26" ht="21.75" customHeight="1" x14ac:dyDescent="0.6">
      <c r="A212" s="7"/>
      <c r="B212" s="49"/>
      <c r="C212" s="49"/>
      <c r="D212" s="7"/>
      <c r="E212" s="7"/>
      <c r="F212" s="7"/>
      <c r="G212" s="5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8"/>
      <c r="Y212" s="8"/>
      <c r="Z212" s="8"/>
    </row>
    <row r="213" spans="1:26" ht="21.75" customHeight="1" x14ac:dyDescent="0.6">
      <c r="A213" s="7"/>
      <c r="B213" s="49"/>
      <c r="C213" s="49"/>
      <c r="D213" s="7"/>
      <c r="E213" s="7"/>
      <c r="F213" s="7"/>
      <c r="G213" s="5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8"/>
      <c r="Y213" s="8"/>
      <c r="Z213" s="8"/>
    </row>
    <row r="214" spans="1:26" ht="21.75" customHeight="1" x14ac:dyDescent="0.6">
      <c r="A214" s="7"/>
      <c r="B214" s="49"/>
      <c r="C214" s="49"/>
      <c r="D214" s="7"/>
      <c r="E214" s="7"/>
      <c r="F214" s="7"/>
      <c r="G214" s="5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8"/>
      <c r="Y214" s="8"/>
      <c r="Z214" s="8"/>
    </row>
    <row r="215" spans="1:26" ht="21.75" customHeight="1" x14ac:dyDescent="0.6">
      <c r="A215" s="7"/>
      <c r="B215" s="49"/>
      <c r="C215" s="49"/>
      <c r="D215" s="7"/>
      <c r="E215" s="7"/>
      <c r="F215" s="7"/>
      <c r="G215" s="5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8"/>
      <c r="Y215" s="8"/>
      <c r="Z215" s="8"/>
    </row>
    <row r="216" spans="1:26" ht="21.75" customHeight="1" x14ac:dyDescent="0.6">
      <c r="A216" s="7"/>
      <c r="B216" s="49"/>
      <c r="C216" s="49"/>
      <c r="D216" s="7"/>
      <c r="E216" s="7"/>
      <c r="F216" s="7"/>
      <c r="G216" s="5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8"/>
      <c r="Y216" s="8"/>
      <c r="Z216" s="8"/>
    </row>
    <row r="217" spans="1:26" ht="21.75" customHeight="1" x14ac:dyDescent="0.6">
      <c r="A217" s="7"/>
      <c r="B217" s="49"/>
      <c r="C217" s="49"/>
      <c r="D217" s="7"/>
      <c r="E217" s="7"/>
      <c r="F217" s="7"/>
      <c r="G217" s="5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8"/>
      <c r="Y217" s="8"/>
      <c r="Z217" s="8"/>
    </row>
    <row r="218" spans="1:26" ht="21.75" customHeight="1" x14ac:dyDescent="0.6">
      <c r="A218" s="7"/>
      <c r="B218" s="49"/>
      <c r="C218" s="49"/>
      <c r="D218" s="7"/>
      <c r="E218" s="7"/>
      <c r="F218" s="7"/>
      <c r="G218" s="5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8"/>
      <c r="Y218" s="8"/>
      <c r="Z218" s="8"/>
    </row>
    <row r="219" spans="1:26" ht="21.75" customHeight="1" x14ac:dyDescent="0.6">
      <c r="A219" s="7"/>
      <c r="B219" s="49"/>
      <c r="C219" s="49"/>
      <c r="D219" s="7"/>
      <c r="E219" s="7"/>
      <c r="F219" s="7"/>
      <c r="G219" s="5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8"/>
      <c r="Y219" s="8"/>
      <c r="Z219" s="8"/>
    </row>
    <row r="220" spans="1:26" ht="21.75" customHeight="1" x14ac:dyDescent="0.6">
      <c r="A220" s="7"/>
      <c r="B220" s="49"/>
      <c r="C220" s="49"/>
      <c r="D220" s="7"/>
      <c r="E220" s="7"/>
      <c r="F220" s="7"/>
      <c r="G220" s="5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8"/>
      <c r="Y220" s="8"/>
      <c r="Z220" s="8"/>
    </row>
    <row r="221" spans="1:26" ht="21.75" customHeight="1" x14ac:dyDescent="0.6">
      <c r="A221" s="7"/>
      <c r="B221" s="49"/>
      <c r="C221" s="49"/>
      <c r="D221" s="7"/>
      <c r="E221" s="7"/>
      <c r="F221" s="7"/>
      <c r="G221" s="5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8"/>
      <c r="Y221" s="8"/>
      <c r="Z221" s="8"/>
    </row>
    <row r="222" spans="1:26" ht="21.75" customHeight="1" x14ac:dyDescent="0.6">
      <c r="A222" s="7"/>
      <c r="B222" s="49"/>
      <c r="C222" s="49"/>
      <c r="D222" s="7"/>
      <c r="E222" s="7"/>
      <c r="F222" s="7"/>
      <c r="G222" s="5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8"/>
      <c r="Y222" s="8"/>
      <c r="Z222" s="8"/>
    </row>
    <row r="223" spans="1:26" ht="21.75" customHeight="1" x14ac:dyDescent="0.6">
      <c r="A223" s="7"/>
      <c r="B223" s="49"/>
      <c r="C223" s="49"/>
      <c r="D223" s="7"/>
      <c r="E223" s="7"/>
      <c r="F223" s="7"/>
      <c r="G223" s="5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8"/>
      <c r="Y223" s="8"/>
      <c r="Z223" s="8"/>
    </row>
    <row r="224" spans="1:26" ht="21.75" customHeight="1" x14ac:dyDescent="0.6">
      <c r="A224" s="7"/>
      <c r="B224" s="49"/>
      <c r="C224" s="49"/>
      <c r="D224" s="7"/>
      <c r="E224" s="7"/>
      <c r="F224" s="7"/>
      <c r="G224" s="5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8"/>
      <c r="Y224" s="8"/>
      <c r="Z224" s="8"/>
    </row>
    <row r="225" spans="1:26" ht="21.75" customHeight="1" x14ac:dyDescent="0.6">
      <c r="A225" s="7"/>
      <c r="B225" s="49"/>
      <c r="C225" s="49"/>
      <c r="D225" s="7"/>
      <c r="E225" s="7"/>
      <c r="F225" s="7"/>
      <c r="G225" s="5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8"/>
      <c r="Y225" s="8"/>
      <c r="Z225" s="8"/>
    </row>
    <row r="226" spans="1:26" ht="21.75" customHeight="1" x14ac:dyDescent="0.6">
      <c r="A226" s="7"/>
      <c r="B226" s="49"/>
      <c r="C226" s="49"/>
      <c r="D226" s="7"/>
      <c r="E226" s="7"/>
      <c r="F226" s="7"/>
      <c r="G226" s="5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8"/>
      <c r="Y226" s="8"/>
      <c r="Z226" s="8"/>
    </row>
    <row r="227" spans="1:26" ht="21.75" customHeight="1" x14ac:dyDescent="0.6">
      <c r="A227" s="7"/>
      <c r="B227" s="49"/>
      <c r="C227" s="49"/>
      <c r="D227" s="7"/>
      <c r="E227" s="7"/>
      <c r="F227" s="7"/>
      <c r="G227" s="5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8"/>
      <c r="Y227" s="8"/>
      <c r="Z227" s="8"/>
    </row>
    <row r="228" spans="1:26" ht="21.75" customHeight="1" x14ac:dyDescent="0.6">
      <c r="A228" s="7"/>
      <c r="B228" s="49"/>
      <c r="C228" s="49"/>
      <c r="D228" s="7"/>
      <c r="E228" s="7"/>
      <c r="F228" s="7"/>
      <c r="G228" s="5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8"/>
      <c r="Y228" s="8"/>
      <c r="Z228" s="8"/>
    </row>
    <row r="229" spans="1:26" ht="21.75" customHeight="1" x14ac:dyDescent="0.6">
      <c r="A229" s="7"/>
      <c r="B229" s="49"/>
      <c r="C229" s="49"/>
      <c r="D229" s="7"/>
      <c r="E229" s="7"/>
      <c r="F229" s="7"/>
      <c r="G229" s="5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8"/>
      <c r="Y229" s="8"/>
      <c r="Z229" s="8"/>
    </row>
    <row r="230" spans="1:26" ht="21.75" customHeight="1" x14ac:dyDescent="0.6">
      <c r="A230" s="7"/>
      <c r="B230" s="49"/>
      <c r="C230" s="49"/>
      <c r="D230" s="7"/>
      <c r="E230" s="7"/>
      <c r="F230" s="7"/>
      <c r="G230" s="5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8"/>
      <c r="Y230" s="8"/>
      <c r="Z230" s="8"/>
    </row>
    <row r="231" spans="1:26" ht="21.75" customHeight="1" x14ac:dyDescent="0.6">
      <c r="A231" s="7"/>
      <c r="B231" s="49"/>
      <c r="C231" s="49"/>
      <c r="D231" s="7"/>
      <c r="E231" s="7"/>
      <c r="F231" s="7"/>
      <c r="G231" s="5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8"/>
      <c r="Y231" s="8"/>
      <c r="Z231" s="8"/>
    </row>
    <row r="232" spans="1:26" ht="21.75" customHeight="1" x14ac:dyDescent="0.6">
      <c r="A232" s="7"/>
      <c r="B232" s="49"/>
      <c r="C232" s="49"/>
      <c r="D232" s="7"/>
      <c r="E232" s="7"/>
      <c r="F232" s="7"/>
      <c r="G232" s="5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8"/>
      <c r="Y232" s="8"/>
      <c r="Z232" s="8"/>
    </row>
    <row r="233" spans="1:26" ht="21.75" customHeight="1" x14ac:dyDescent="0.6">
      <c r="A233" s="7"/>
      <c r="B233" s="49"/>
      <c r="C233" s="49"/>
      <c r="D233" s="7"/>
      <c r="E233" s="7"/>
      <c r="F233" s="7"/>
      <c r="G233" s="5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8"/>
      <c r="Y233" s="8"/>
      <c r="Z233" s="8"/>
    </row>
    <row r="234" spans="1:26" ht="21.75" customHeight="1" x14ac:dyDescent="0.6">
      <c r="A234" s="7"/>
      <c r="B234" s="49"/>
      <c r="C234" s="49"/>
      <c r="D234" s="7"/>
      <c r="E234" s="7"/>
      <c r="F234" s="7"/>
      <c r="G234" s="5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8"/>
      <c r="Y234" s="8"/>
      <c r="Z234" s="8"/>
    </row>
    <row r="235" spans="1:26" ht="21.75" customHeight="1" x14ac:dyDescent="0.6">
      <c r="A235" s="7"/>
      <c r="B235" s="49"/>
      <c r="C235" s="49"/>
      <c r="D235" s="7"/>
      <c r="E235" s="7"/>
      <c r="F235" s="7"/>
      <c r="G235" s="5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8"/>
      <c r="Y235" s="8"/>
      <c r="Z235" s="8"/>
    </row>
    <row r="236" spans="1:26" ht="21.75" customHeight="1" x14ac:dyDescent="0.6">
      <c r="A236" s="7"/>
      <c r="B236" s="49"/>
      <c r="C236" s="49"/>
      <c r="D236" s="7"/>
      <c r="E236" s="7"/>
      <c r="F236" s="7"/>
      <c r="G236" s="5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8"/>
      <c r="Y236" s="8"/>
      <c r="Z236" s="8"/>
    </row>
    <row r="237" spans="1:26" ht="21.75" customHeight="1" x14ac:dyDescent="0.6">
      <c r="A237" s="7"/>
      <c r="B237" s="49"/>
      <c r="C237" s="49"/>
      <c r="D237" s="7"/>
      <c r="E237" s="7"/>
      <c r="F237" s="7"/>
      <c r="G237" s="5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8"/>
      <c r="Y237" s="8"/>
      <c r="Z237" s="8"/>
    </row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</sheetData>
  <mergeCells count="2">
    <mergeCell ref="D3:I4"/>
    <mergeCell ref="B38:C38"/>
  </mergeCells>
  <phoneticPr fontId="16" type="noConversion"/>
  <pageMargins left="0.511811024" right="0.511811024" top="0.78740157499999996" bottom="0.78740157499999996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1"/>
  <sheetViews>
    <sheetView showGridLines="0" topLeftCell="A4" zoomScaleNormal="100" workbookViewId="0">
      <selection activeCell="E12" sqref="E12"/>
    </sheetView>
  </sheetViews>
  <sheetFormatPr defaultColWidth="14.42578125" defaultRowHeight="15" customHeight="1" x14ac:dyDescent="0.25"/>
  <cols>
    <col min="1" max="1" width="1.28515625" customWidth="1"/>
    <col min="2" max="3" width="18" customWidth="1"/>
    <col min="4" max="4" width="17.85546875" customWidth="1"/>
    <col min="5" max="5" width="11.42578125" customWidth="1"/>
    <col min="6" max="6" width="11.28515625" customWidth="1"/>
    <col min="7" max="7" width="10.7109375" customWidth="1"/>
    <col min="8" max="8" width="0.7109375" customWidth="1"/>
    <col min="9" max="9" width="9.140625" customWidth="1"/>
    <col min="10" max="20" width="8.7109375" customWidth="1"/>
  </cols>
  <sheetData>
    <row r="1" spans="1:23" ht="7.5" customHeight="1" x14ac:dyDescent="0.6">
      <c r="A1" s="7"/>
      <c r="B1" s="49"/>
      <c r="C1" s="49"/>
      <c r="D1" s="7"/>
      <c r="E1" s="7"/>
      <c r="F1" s="7"/>
      <c r="G1" s="50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8"/>
      <c r="W1" s="8"/>
    </row>
    <row r="2" spans="1:23" ht="12.75" customHeight="1" x14ac:dyDescent="0.6">
      <c r="A2" s="7"/>
      <c r="B2" s="51"/>
      <c r="C2" s="52"/>
      <c r="D2" s="10"/>
      <c r="E2" s="10"/>
      <c r="F2" s="10"/>
      <c r="G2" s="53"/>
      <c r="H2" s="11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8"/>
      <c r="W2" s="8"/>
    </row>
    <row r="3" spans="1:23" ht="12.75" customHeight="1" x14ac:dyDescent="0.6">
      <c r="A3" s="7"/>
      <c r="B3" s="128" t="s">
        <v>65</v>
      </c>
      <c r="C3" s="117"/>
      <c r="D3" s="117"/>
      <c r="E3" s="117"/>
      <c r="F3" s="117"/>
      <c r="G3" s="117"/>
      <c r="H3" s="129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8"/>
      <c r="W3" s="8"/>
    </row>
    <row r="4" spans="1:23" ht="12.75" customHeight="1" x14ac:dyDescent="0.6">
      <c r="A4" s="7"/>
      <c r="B4" s="130"/>
      <c r="C4" s="131"/>
      <c r="D4" s="131"/>
      <c r="E4" s="131"/>
      <c r="F4" s="131"/>
      <c r="G4" s="131"/>
      <c r="H4" s="132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8"/>
      <c r="W4" s="8"/>
    </row>
    <row r="5" spans="1:23" ht="21.75" customHeight="1" x14ac:dyDescent="0.6">
      <c r="A5" s="7"/>
      <c r="B5" s="58"/>
      <c r="C5" s="58"/>
      <c r="D5" s="17"/>
      <c r="E5" s="17"/>
      <c r="F5" s="17"/>
      <c r="G5" s="59"/>
      <c r="H5" s="1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8"/>
      <c r="W5" s="8"/>
    </row>
    <row r="6" spans="1:23" ht="21.75" customHeight="1" x14ac:dyDescent="0.6">
      <c r="A6" s="7"/>
      <c r="B6" s="32" t="s">
        <v>66</v>
      </c>
      <c r="C6" s="33" t="s">
        <v>67</v>
      </c>
      <c r="D6" s="60" t="s">
        <v>60</v>
      </c>
      <c r="E6" s="33" t="s">
        <v>68</v>
      </c>
      <c r="F6" s="33" t="s">
        <v>69</v>
      </c>
      <c r="G6" s="29" t="s">
        <v>55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8"/>
      <c r="W6" s="8"/>
    </row>
    <row r="7" spans="1:23" ht="21.75" customHeight="1" x14ac:dyDescent="0.6">
      <c r="A7" s="7"/>
      <c r="B7" s="72" t="s">
        <v>70</v>
      </c>
      <c r="C7" s="37">
        <v>5997.7682999999997</v>
      </c>
      <c r="D7" s="63">
        <v>0.17419999999999999</v>
      </c>
      <c r="E7" s="37">
        <v>30</v>
      </c>
      <c r="F7" s="38">
        <f t="shared" ref="F7:F11" si="0">ROUNDUP(((($C7*D7)/(E7*8.8))),0)</f>
        <v>4</v>
      </c>
      <c r="G7" s="65">
        <f t="shared" ref="G7:G11" si="1">ROUNDUP(F7/2,0)</f>
        <v>2</v>
      </c>
      <c r="I7" s="41"/>
      <c r="J7" s="7"/>
      <c r="K7" s="8"/>
      <c r="L7" s="8"/>
      <c r="M7" s="7"/>
      <c r="N7" s="7"/>
      <c r="O7" s="7"/>
      <c r="P7" s="7"/>
      <c r="Q7" s="7"/>
      <c r="R7" s="7"/>
      <c r="S7" s="7"/>
      <c r="T7" s="7"/>
      <c r="U7" s="8"/>
      <c r="V7" s="8"/>
      <c r="W7" s="8"/>
    </row>
    <row r="8" spans="1:23" ht="21.75" customHeight="1" x14ac:dyDescent="0.6">
      <c r="A8" s="7"/>
      <c r="B8" s="72" t="s">
        <v>71</v>
      </c>
      <c r="C8" s="37">
        <v>5997.7682999999997</v>
      </c>
      <c r="D8" s="63">
        <v>0.63280000000000003</v>
      </c>
      <c r="E8" s="37">
        <v>108</v>
      </c>
      <c r="F8" s="38">
        <f t="shared" si="0"/>
        <v>4</v>
      </c>
      <c r="G8" s="65">
        <f t="shared" si="1"/>
        <v>2</v>
      </c>
      <c r="I8" s="41"/>
      <c r="J8" s="7"/>
      <c r="K8" s="8"/>
      <c r="L8" s="8"/>
      <c r="M8" s="7"/>
      <c r="N8" s="7"/>
      <c r="O8" s="7"/>
      <c r="P8" s="7"/>
      <c r="Q8" s="7"/>
      <c r="R8" s="7"/>
      <c r="S8" s="7"/>
      <c r="T8" s="7"/>
      <c r="U8" s="8"/>
      <c r="V8" s="8"/>
      <c r="W8" s="8"/>
    </row>
    <row r="9" spans="1:23" ht="21.75" customHeight="1" x14ac:dyDescent="0.6">
      <c r="A9" s="7"/>
      <c r="B9" s="72" t="s">
        <v>72</v>
      </c>
      <c r="C9" s="37">
        <v>5997.7682999999997</v>
      </c>
      <c r="D9" s="63">
        <v>4.7E-2</v>
      </c>
      <c r="E9" s="37">
        <v>10</v>
      </c>
      <c r="F9" s="38">
        <f t="shared" si="0"/>
        <v>4</v>
      </c>
      <c r="G9" s="65">
        <f t="shared" si="1"/>
        <v>2</v>
      </c>
      <c r="I9" s="41"/>
      <c r="J9" s="7"/>
      <c r="K9" s="8"/>
      <c r="L9" s="8"/>
      <c r="M9" s="7"/>
      <c r="N9" s="7"/>
      <c r="O9" s="7"/>
      <c r="P9" s="7"/>
      <c r="Q9" s="7"/>
      <c r="R9" s="7"/>
      <c r="S9" s="7"/>
      <c r="T9" s="7"/>
      <c r="U9" s="8"/>
      <c r="V9" s="8"/>
      <c r="W9" s="8"/>
    </row>
    <row r="10" spans="1:23" ht="21.75" customHeight="1" x14ac:dyDescent="0.6">
      <c r="A10" s="7"/>
      <c r="B10" s="72" t="s">
        <v>73</v>
      </c>
      <c r="C10" s="37">
        <v>5997.7682999999997</v>
      </c>
      <c r="D10" s="63">
        <v>0.1855</v>
      </c>
      <c r="E10" s="37">
        <v>32</v>
      </c>
      <c r="F10" s="38">
        <f t="shared" si="0"/>
        <v>4</v>
      </c>
      <c r="G10" s="65">
        <f t="shared" si="1"/>
        <v>2</v>
      </c>
      <c r="I10" s="41"/>
      <c r="J10" s="7"/>
      <c r="K10" s="8"/>
      <c r="L10" s="8"/>
      <c r="M10" s="7"/>
      <c r="N10" s="7"/>
      <c r="O10" s="7"/>
      <c r="P10" s="7"/>
      <c r="Q10" s="7"/>
      <c r="R10" s="7"/>
      <c r="S10" s="7"/>
      <c r="T10" s="7"/>
      <c r="U10" s="8"/>
      <c r="V10" s="8"/>
      <c r="W10" s="8"/>
    </row>
    <row r="11" spans="1:23" ht="21.75" customHeight="1" x14ac:dyDescent="0.6">
      <c r="A11" s="7"/>
      <c r="B11" s="72" t="s">
        <v>74</v>
      </c>
      <c r="C11" s="37"/>
      <c r="D11" s="63">
        <v>0.94499999999999995</v>
      </c>
      <c r="E11" s="37">
        <v>40</v>
      </c>
      <c r="F11" s="38">
        <f t="shared" si="0"/>
        <v>0</v>
      </c>
      <c r="G11" s="65">
        <f t="shared" si="1"/>
        <v>0</v>
      </c>
      <c r="J11" s="7"/>
      <c r="K11" s="8"/>
      <c r="L11" s="8"/>
      <c r="M11" s="7"/>
      <c r="N11" s="7"/>
      <c r="O11" s="7"/>
      <c r="P11" s="7"/>
      <c r="Q11" s="7"/>
      <c r="R11" s="7"/>
      <c r="S11" s="7"/>
      <c r="T11" s="7"/>
      <c r="U11" s="8"/>
      <c r="V11" s="8"/>
      <c r="W11" s="8"/>
    </row>
    <row r="12" spans="1:23" ht="21.75" customHeight="1" x14ac:dyDescent="0.6">
      <c r="A12" s="7"/>
      <c r="B12" s="72" t="s">
        <v>75</v>
      </c>
      <c r="C12" s="37" t="s">
        <v>76</v>
      </c>
      <c r="D12" s="63" t="s">
        <v>76</v>
      </c>
      <c r="E12" s="38">
        <f>5*4</f>
        <v>20</v>
      </c>
      <c r="F12" s="38" t="s">
        <v>76</v>
      </c>
      <c r="G12" s="65" t="s">
        <v>76</v>
      </c>
      <c r="I12" s="41"/>
      <c r="J12" s="7"/>
      <c r="K12" s="8"/>
      <c r="L12" s="8"/>
      <c r="M12" s="7"/>
      <c r="N12" s="7"/>
      <c r="O12" s="7"/>
      <c r="P12" s="7"/>
      <c r="Q12" s="7"/>
      <c r="R12" s="7"/>
      <c r="S12" s="7"/>
      <c r="T12" s="7"/>
      <c r="U12" s="8"/>
      <c r="V12" s="8"/>
      <c r="W12" s="8"/>
    </row>
    <row r="13" spans="1:23" ht="21.75" customHeight="1" x14ac:dyDescent="0.6">
      <c r="A13" s="7"/>
      <c r="B13" s="72" t="s">
        <v>77</v>
      </c>
      <c r="C13" s="37" t="s">
        <v>76</v>
      </c>
      <c r="D13" s="63" t="s">
        <v>76</v>
      </c>
      <c r="E13" s="38">
        <f>4*4</f>
        <v>16</v>
      </c>
      <c r="F13" s="38" t="s">
        <v>76</v>
      </c>
      <c r="G13" s="65" t="s">
        <v>76</v>
      </c>
      <c r="I13" s="41"/>
      <c r="J13" s="7"/>
      <c r="K13" s="8"/>
      <c r="L13" s="8"/>
      <c r="M13" s="7"/>
      <c r="N13" s="7"/>
      <c r="O13" s="7"/>
      <c r="P13" s="7"/>
      <c r="Q13" s="7"/>
      <c r="R13" s="7"/>
      <c r="S13" s="7"/>
      <c r="T13" s="7"/>
      <c r="U13" s="8"/>
      <c r="V13" s="8"/>
      <c r="W13" s="8"/>
    </row>
    <row r="14" spans="1:23" ht="21.75" customHeight="1" x14ac:dyDescent="0.6">
      <c r="A14" s="7"/>
      <c r="B14" s="18"/>
      <c r="C14" s="73"/>
      <c r="D14" s="45" t="s">
        <v>58</v>
      </c>
      <c r="E14" s="74">
        <f>SUM(E7:E13)</f>
        <v>256</v>
      </c>
      <c r="F14" s="22" t="s">
        <v>59</v>
      </c>
      <c r="G14" s="75">
        <f>E14/22</f>
        <v>11.636363636363637</v>
      </c>
      <c r="H14" s="76"/>
      <c r="I14" s="41"/>
      <c r="J14" s="7"/>
      <c r="K14" s="8"/>
      <c r="L14" s="8"/>
      <c r="M14" s="7"/>
      <c r="N14" s="7"/>
      <c r="O14" s="7"/>
      <c r="P14" s="7"/>
      <c r="Q14" s="7"/>
      <c r="R14" s="7"/>
      <c r="S14" s="7"/>
      <c r="T14" s="7"/>
      <c r="U14" s="8"/>
      <c r="V14" s="8"/>
      <c r="W14" s="8"/>
    </row>
    <row r="15" spans="1:23" ht="21.75" customHeight="1" x14ac:dyDescent="0.6">
      <c r="A15" s="7"/>
      <c r="B15" s="133"/>
      <c r="C15" s="117"/>
      <c r="D15" s="7"/>
      <c r="E15" s="7"/>
      <c r="F15" s="7"/>
      <c r="G15" s="50"/>
      <c r="H15" s="7"/>
      <c r="I15" s="41"/>
      <c r="J15" s="7"/>
      <c r="K15" s="8"/>
      <c r="L15" s="8"/>
      <c r="M15" s="7"/>
      <c r="N15" s="7"/>
      <c r="O15" s="7"/>
      <c r="P15" s="7"/>
      <c r="Q15" s="7"/>
      <c r="R15" s="7"/>
      <c r="S15" s="7"/>
      <c r="T15" s="7"/>
      <c r="U15" s="8"/>
      <c r="V15" s="8"/>
      <c r="W15" s="8"/>
    </row>
    <row r="16" spans="1:23" ht="21.75" customHeight="1" x14ac:dyDescent="0.6">
      <c r="A16" s="7"/>
      <c r="B16" s="41"/>
      <c r="C16" s="96"/>
      <c r="D16" s="71"/>
      <c r="E16" s="7"/>
      <c r="F16" s="7"/>
      <c r="G16" s="50"/>
      <c r="H16" s="7"/>
      <c r="I16" s="41"/>
      <c r="J16" s="7"/>
      <c r="K16" s="8"/>
      <c r="L16" s="8"/>
      <c r="M16" s="7"/>
      <c r="N16" s="7"/>
      <c r="O16" s="7"/>
      <c r="P16" s="7"/>
      <c r="Q16" s="7"/>
      <c r="R16" s="7"/>
      <c r="S16" s="7"/>
      <c r="T16" s="7"/>
      <c r="U16" s="8"/>
      <c r="V16" s="8"/>
      <c r="W16" s="8"/>
    </row>
    <row r="17" spans="1:23" ht="21.75" customHeight="1" x14ac:dyDescent="0.6">
      <c r="A17" s="7"/>
      <c r="B17" s="41"/>
      <c r="C17" s="41"/>
      <c r="D17" s="7"/>
      <c r="E17" s="7"/>
      <c r="F17" s="7"/>
      <c r="G17" s="50"/>
      <c r="H17" s="7"/>
      <c r="I17" s="41"/>
      <c r="J17" s="7"/>
      <c r="K17" s="8"/>
      <c r="L17" s="8"/>
      <c r="M17" s="7"/>
      <c r="N17" s="7"/>
      <c r="O17" s="7"/>
      <c r="P17" s="7"/>
      <c r="Q17" s="7"/>
      <c r="R17" s="7"/>
      <c r="S17" s="7"/>
      <c r="T17" s="7"/>
      <c r="U17" s="8"/>
      <c r="V17" s="8"/>
      <c r="W17" s="8"/>
    </row>
    <row r="18" spans="1:23" ht="21.75" customHeight="1" x14ac:dyDescent="0.6">
      <c r="A18" s="7"/>
      <c r="B18" s="41"/>
      <c r="C18" s="41"/>
      <c r="D18" s="7"/>
      <c r="E18" s="7"/>
      <c r="F18" s="7"/>
      <c r="G18" s="50"/>
      <c r="H18" s="7"/>
      <c r="I18" s="41"/>
      <c r="J18" s="7"/>
      <c r="K18" s="8"/>
      <c r="L18" s="8"/>
      <c r="M18" s="7"/>
      <c r="N18" s="7"/>
      <c r="O18" s="7"/>
      <c r="P18" s="7"/>
      <c r="Q18" s="7"/>
      <c r="R18" s="7"/>
      <c r="S18" s="7"/>
      <c r="T18" s="7"/>
      <c r="U18" s="8"/>
      <c r="V18" s="8"/>
      <c r="W18" s="8"/>
    </row>
    <row r="19" spans="1:23" ht="21.75" customHeight="1" x14ac:dyDescent="0.6">
      <c r="A19" s="7"/>
      <c r="B19" s="41"/>
      <c r="C19" s="41"/>
      <c r="D19" s="7"/>
      <c r="E19" s="7"/>
      <c r="F19" s="7"/>
      <c r="G19" s="50"/>
      <c r="H19" s="7"/>
      <c r="I19" s="41"/>
      <c r="J19" s="7"/>
      <c r="K19" s="8"/>
      <c r="L19" s="8"/>
      <c r="M19" s="7"/>
      <c r="N19" s="7"/>
      <c r="O19" s="7"/>
      <c r="P19" s="7"/>
      <c r="Q19" s="7"/>
      <c r="R19" s="7"/>
      <c r="S19" s="7"/>
      <c r="T19" s="7"/>
      <c r="U19" s="8"/>
      <c r="V19" s="8"/>
      <c r="W19" s="8"/>
    </row>
    <row r="20" spans="1:23" ht="21.75" customHeight="1" x14ac:dyDescent="0.6">
      <c r="A20" s="7"/>
      <c r="B20" s="41"/>
      <c r="C20" s="41"/>
      <c r="D20" s="7"/>
      <c r="E20" s="7"/>
      <c r="F20" s="7"/>
      <c r="G20" s="50"/>
      <c r="H20" s="7"/>
      <c r="I20" s="41"/>
      <c r="J20" s="7"/>
      <c r="K20" s="8"/>
      <c r="L20" s="8"/>
      <c r="M20" s="7"/>
      <c r="N20" s="7"/>
      <c r="O20" s="7"/>
      <c r="P20" s="7"/>
      <c r="Q20" s="7"/>
      <c r="R20" s="7"/>
      <c r="S20" s="7"/>
      <c r="T20" s="7"/>
      <c r="U20" s="8"/>
      <c r="V20" s="8"/>
      <c r="W20" s="8"/>
    </row>
    <row r="21" spans="1:23" ht="21.75" customHeight="1" x14ac:dyDescent="0.6">
      <c r="A21" s="7"/>
      <c r="B21" s="49"/>
      <c r="C21" s="49"/>
      <c r="D21" s="7"/>
      <c r="E21" s="7"/>
      <c r="F21" s="7"/>
      <c r="G21" s="50"/>
      <c r="H21" s="7"/>
      <c r="I21" s="41"/>
      <c r="J21" s="7"/>
      <c r="K21" s="8"/>
      <c r="L21" s="8"/>
      <c r="M21" s="7"/>
      <c r="N21" s="7"/>
      <c r="O21" s="7"/>
      <c r="P21" s="7"/>
      <c r="Q21" s="7"/>
      <c r="R21" s="7"/>
      <c r="S21" s="7"/>
      <c r="T21" s="7"/>
      <c r="U21" s="8"/>
      <c r="V21" s="8"/>
      <c r="W21" s="8"/>
    </row>
    <row r="22" spans="1:23" ht="21.75" customHeight="1" x14ac:dyDescent="0.6">
      <c r="A22" s="7"/>
      <c r="B22" s="49"/>
      <c r="C22" s="49"/>
      <c r="D22" s="7"/>
      <c r="E22" s="7"/>
      <c r="F22" s="7"/>
      <c r="G22" s="50"/>
      <c r="H22" s="7"/>
      <c r="I22" s="41"/>
      <c r="J22" s="7"/>
      <c r="K22" s="8"/>
      <c r="L22" s="8"/>
      <c r="M22" s="7"/>
      <c r="N22" s="7"/>
      <c r="O22" s="7"/>
      <c r="P22" s="7"/>
      <c r="Q22" s="7"/>
      <c r="R22" s="7"/>
      <c r="S22" s="7"/>
      <c r="T22" s="7"/>
      <c r="U22" s="8"/>
      <c r="V22" s="8"/>
      <c r="W22" s="8"/>
    </row>
    <row r="23" spans="1:23" ht="21.75" customHeight="1" x14ac:dyDescent="0.6">
      <c r="A23" s="7"/>
      <c r="B23" s="49"/>
      <c r="C23" s="49"/>
      <c r="D23" s="7"/>
      <c r="E23" s="7"/>
      <c r="F23" s="7"/>
      <c r="G23" s="50"/>
      <c r="H23" s="7"/>
      <c r="I23" s="41"/>
      <c r="J23" s="7"/>
      <c r="K23" s="8"/>
      <c r="L23" s="8"/>
      <c r="M23" s="7"/>
      <c r="N23" s="7"/>
      <c r="O23" s="7"/>
      <c r="P23" s="7"/>
      <c r="Q23" s="7"/>
      <c r="R23" s="7"/>
      <c r="S23" s="7"/>
      <c r="T23" s="7"/>
      <c r="U23" s="8"/>
      <c r="V23" s="8"/>
      <c r="W23" s="8"/>
    </row>
    <row r="24" spans="1:23" ht="21.75" customHeight="1" x14ac:dyDescent="0.6">
      <c r="A24" s="7"/>
      <c r="B24" s="49"/>
      <c r="C24" s="49"/>
      <c r="D24" s="7"/>
      <c r="E24" s="7"/>
      <c r="F24" s="7"/>
      <c r="G24" s="50"/>
      <c r="H24" s="7"/>
      <c r="I24" s="41"/>
      <c r="J24" s="7"/>
      <c r="K24" s="8"/>
      <c r="L24" s="8"/>
      <c r="M24" s="7"/>
      <c r="N24" s="7"/>
      <c r="O24" s="7"/>
      <c r="P24" s="7"/>
      <c r="Q24" s="7"/>
      <c r="R24" s="7"/>
      <c r="S24" s="7"/>
      <c r="T24" s="7"/>
      <c r="U24" s="8"/>
      <c r="V24" s="8"/>
      <c r="W24" s="8"/>
    </row>
    <row r="25" spans="1:23" ht="21.75" customHeight="1" x14ac:dyDescent="0.6">
      <c r="A25" s="7"/>
      <c r="B25" s="49"/>
      <c r="C25" s="49"/>
      <c r="D25" s="7"/>
      <c r="E25" s="7"/>
      <c r="F25" s="7"/>
      <c r="G25" s="50"/>
      <c r="H25" s="7"/>
      <c r="I25" s="41"/>
      <c r="J25" s="7"/>
      <c r="K25" s="8"/>
      <c r="L25" s="8"/>
      <c r="M25" s="7"/>
      <c r="N25" s="7"/>
      <c r="O25" s="7"/>
      <c r="P25" s="7"/>
      <c r="Q25" s="7"/>
      <c r="R25" s="7"/>
      <c r="S25" s="7"/>
      <c r="T25" s="7"/>
      <c r="U25" s="8"/>
      <c r="V25" s="8"/>
      <c r="W25" s="8"/>
    </row>
    <row r="26" spans="1:23" ht="21.75" customHeight="1" x14ac:dyDescent="0.6">
      <c r="A26" s="7"/>
      <c r="B26" s="49"/>
      <c r="C26" s="49"/>
      <c r="D26" s="7"/>
      <c r="E26" s="7"/>
      <c r="F26" s="7"/>
      <c r="G26" s="50"/>
      <c r="H26" s="7"/>
      <c r="I26" s="41"/>
      <c r="J26" s="7"/>
      <c r="K26" s="8"/>
      <c r="L26" s="8"/>
      <c r="M26" s="7"/>
      <c r="N26" s="7"/>
      <c r="O26" s="7"/>
      <c r="P26" s="7"/>
      <c r="Q26" s="7"/>
      <c r="R26" s="7"/>
      <c r="S26" s="7"/>
      <c r="T26" s="7"/>
      <c r="U26" s="8"/>
      <c r="V26" s="8"/>
      <c r="W26" s="8"/>
    </row>
    <row r="27" spans="1:23" ht="21.75" customHeight="1" x14ac:dyDescent="0.6">
      <c r="A27" s="7"/>
      <c r="B27" s="49"/>
      <c r="C27" s="49"/>
      <c r="D27" s="7"/>
      <c r="E27" s="7"/>
      <c r="F27" s="7"/>
      <c r="G27" s="50"/>
      <c r="H27" s="7"/>
      <c r="I27" s="41"/>
      <c r="J27" s="7"/>
      <c r="K27" s="8"/>
      <c r="L27" s="8"/>
      <c r="M27" s="7"/>
      <c r="N27" s="7"/>
      <c r="O27" s="7"/>
      <c r="P27" s="7"/>
      <c r="Q27" s="7"/>
      <c r="R27" s="7"/>
      <c r="S27" s="7"/>
      <c r="T27" s="7"/>
      <c r="U27" s="8"/>
      <c r="V27" s="8"/>
      <c r="W27" s="8"/>
    </row>
    <row r="28" spans="1:23" ht="21.75" customHeight="1" x14ac:dyDescent="0.6">
      <c r="A28" s="7"/>
      <c r="B28" s="49"/>
      <c r="C28" s="49"/>
      <c r="D28" s="7"/>
      <c r="E28" s="7"/>
      <c r="F28" s="7"/>
      <c r="G28" s="50"/>
      <c r="H28" s="7"/>
      <c r="I28" s="41"/>
      <c r="J28" s="7"/>
      <c r="K28" s="8"/>
      <c r="L28" s="8"/>
      <c r="M28" s="7"/>
      <c r="N28" s="7"/>
      <c r="O28" s="7"/>
      <c r="P28" s="7"/>
      <c r="Q28" s="7"/>
      <c r="R28" s="7"/>
      <c r="S28" s="7"/>
      <c r="T28" s="7"/>
      <c r="U28" s="8"/>
      <c r="V28" s="8"/>
      <c r="W28" s="8"/>
    </row>
    <row r="29" spans="1:23" ht="9" customHeight="1" x14ac:dyDescent="0.6">
      <c r="A29" s="7"/>
      <c r="B29" s="49"/>
      <c r="C29" s="49"/>
      <c r="D29" s="7"/>
      <c r="E29" s="7"/>
      <c r="F29" s="7"/>
      <c r="G29" s="5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8"/>
      <c r="V29" s="8"/>
      <c r="W29" s="8"/>
    </row>
    <row r="30" spans="1:23" ht="21.75" customHeight="1" x14ac:dyDescent="0.6">
      <c r="A30" s="7"/>
      <c r="B30" s="49"/>
      <c r="C30" s="49"/>
      <c r="D30" s="7"/>
      <c r="E30" s="7"/>
      <c r="F30" s="7"/>
      <c r="G30" s="5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8"/>
      <c r="V30" s="8"/>
      <c r="W30" s="8"/>
    </row>
    <row r="31" spans="1:23" ht="21.75" customHeight="1" x14ac:dyDescent="0.6">
      <c r="A31" s="7"/>
      <c r="B31" s="49"/>
      <c r="C31" s="49"/>
      <c r="D31" s="7"/>
      <c r="E31" s="7"/>
      <c r="F31" s="7"/>
      <c r="G31" s="5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8"/>
      <c r="V31" s="8"/>
      <c r="W31" s="8"/>
    </row>
    <row r="32" spans="1:23" ht="21.75" customHeight="1" x14ac:dyDescent="0.6">
      <c r="A32" s="7"/>
      <c r="B32" s="49"/>
      <c r="C32" s="49"/>
      <c r="D32" s="7"/>
      <c r="E32" s="7"/>
      <c r="F32" s="7"/>
      <c r="G32" s="5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8"/>
      <c r="V32" s="8"/>
      <c r="W32" s="8"/>
    </row>
    <row r="33" spans="1:23" ht="21.75" customHeight="1" x14ac:dyDescent="0.6">
      <c r="A33" s="7"/>
      <c r="B33" s="49"/>
      <c r="C33" s="49"/>
      <c r="D33" s="7"/>
      <c r="E33" s="7"/>
      <c r="F33" s="7"/>
      <c r="G33" s="5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8"/>
      <c r="V33" s="8"/>
      <c r="W33" s="8"/>
    </row>
    <row r="34" spans="1:23" ht="21.75" customHeight="1" x14ac:dyDescent="0.6">
      <c r="A34" s="7"/>
      <c r="B34" s="49"/>
      <c r="C34" s="49"/>
      <c r="D34" s="7"/>
      <c r="E34" s="7"/>
      <c r="F34" s="7"/>
      <c r="G34" s="5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8"/>
      <c r="V34" s="8"/>
      <c r="W34" s="8"/>
    </row>
    <row r="35" spans="1:23" ht="21.75" customHeight="1" x14ac:dyDescent="0.6">
      <c r="A35" s="7"/>
      <c r="B35" s="49"/>
      <c r="C35" s="49"/>
      <c r="D35" s="7"/>
      <c r="E35" s="7"/>
      <c r="F35" s="7"/>
      <c r="G35" s="5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8"/>
      <c r="V35" s="8"/>
      <c r="W35" s="8"/>
    </row>
    <row r="36" spans="1:23" ht="21.75" customHeight="1" x14ac:dyDescent="0.6">
      <c r="A36" s="7"/>
      <c r="B36" s="49"/>
      <c r="C36" s="49"/>
      <c r="D36" s="7"/>
      <c r="E36" s="7"/>
      <c r="F36" s="7"/>
      <c r="G36" s="5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8"/>
      <c r="V36" s="8"/>
      <c r="W36" s="8"/>
    </row>
    <row r="37" spans="1:23" ht="21.75" customHeight="1" x14ac:dyDescent="0.6">
      <c r="A37" s="7"/>
      <c r="B37" s="49"/>
      <c r="C37" s="49"/>
      <c r="D37" s="7"/>
      <c r="E37" s="7"/>
      <c r="F37" s="7"/>
      <c r="G37" s="5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8"/>
      <c r="V37" s="8"/>
      <c r="W37" s="8"/>
    </row>
    <row r="38" spans="1:23" ht="21.75" customHeight="1" x14ac:dyDescent="0.6">
      <c r="A38" s="7"/>
      <c r="B38" s="49"/>
      <c r="C38" s="49"/>
      <c r="D38" s="7"/>
      <c r="E38" s="7"/>
      <c r="F38" s="7"/>
      <c r="G38" s="5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8"/>
      <c r="V38" s="8"/>
      <c r="W38" s="8"/>
    </row>
    <row r="39" spans="1:23" ht="21.75" customHeight="1" x14ac:dyDescent="0.6">
      <c r="A39" s="7"/>
      <c r="B39" s="49"/>
      <c r="C39" s="49"/>
      <c r="D39" s="7"/>
      <c r="E39" s="7"/>
      <c r="F39" s="7"/>
      <c r="G39" s="5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8"/>
      <c r="V39" s="8"/>
      <c r="W39" s="8"/>
    </row>
    <row r="40" spans="1:23" ht="21.75" customHeight="1" x14ac:dyDescent="0.6">
      <c r="A40" s="7"/>
      <c r="B40" s="49"/>
      <c r="C40" s="49"/>
      <c r="D40" s="7"/>
      <c r="E40" s="7"/>
      <c r="F40" s="7"/>
      <c r="G40" s="5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8"/>
      <c r="V40" s="8"/>
      <c r="W40" s="8"/>
    </row>
    <row r="41" spans="1:23" ht="21.75" customHeight="1" x14ac:dyDescent="0.6">
      <c r="A41" s="7"/>
      <c r="B41" s="49"/>
      <c r="C41" s="49"/>
      <c r="D41" s="7"/>
      <c r="E41" s="7"/>
      <c r="F41" s="7"/>
      <c r="G41" s="5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8"/>
      <c r="V41" s="8"/>
      <c r="W41" s="8"/>
    </row>
    <row r="42" spans="1:23" ht="21.75" customHeight="1" x14ac:dyDescent="0.6">
      <c r="A42" s="7"/>
      <c r="B42" s="49"/>
      <c r="C42" s="49"/>
      <c r="D42" s="7"/>
      <c r="E42" s="7"/>
      <c r="F42" s="7"/>
      <c r="G42" s="5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8"/>
      <c r="V42" s="8"/>
      <c r="W42" s="8"/>
    </row>
    <row r="43" spans="1:23" ht="21.75" customHeight="1" x14ac:dyDescent="0.6">
      <c r="A43" s="7"/>
      <c r="B43" s="49"/>
      <c r="C43" s="49"/>
      <c r="D43" s="7"/>
      <c r="E43" s="7"/>
      <c r="F43" s="7"/>
      <c r="G43" s="5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8"/>
      <c r="V43" s="8"/>
      <c r="W43" s="8"/>
    </row>
    <row r="44" spans="1:23" ht="21.75" customHeight="1" x14ac:dyDescent="0.6">
      <c r="A44" s="7"/>
      <c r="B44" s="49"/>
      <c r="C44" s="49"/>
      <c r="D44" s="7"/>
      <c r="E44" s="7"/>
      <c r="F44" s="7"/>
      <c r="G44" s="5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8"/>
      <c r="V44" s="8"/>
      <c r="W44" s="8"/>
    </row>
    <row r="45" spans="1:23" ht="21.75" customHeight="1" x14ac:dyDescent="0.6">
      <c r="A45" s="7"/>
      <c r="B45" s="49"/>
      <c r="C45" s="49"/>
      <c r="D45" s="7"/>
      <c r="E45" s="7"/>
      <c r="F45" s="7"/>
      <c r="G45" s="5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8"/>
      <c r="V45" s="8"/>
      <c r="W45" s="8"/>
    </row>
    <row r="46" spans="1:23" ht="21.75" customHeight="1" x14ac:dyDescent="0.6">
      <c r="A46" s="7"/>
      <c r="B46" s="49"/>
      <c r="C46" s="49"/>
      <c r="D46" s="7"/>
      <c r="E46" s="7"/>
      <c r="F46" s="7"/>
      <c r="G46" s="5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8"/>
      <c r="V46" s="8"/>
      <c r="W46" s="8"/>
    </row>
    <row r="47" spans="1:23" ht="21.75" customHeight="1" x14ac:dyDescent="0.6">
      <c r="A47" s="7"/>
      <c r="B47" s="49"/>
      <c r="C47" s="49"/>
      <c r="D47" s="7"/>
      <c r="E47" s="7"/>
      <c r="F47" s="7"/>
      <c r="G47" s="5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8"/>
      <c r="V47" s="8"/>
      <c r="W47" s="8"/>
    </row>
    <row r="48" spans="1:23" ht="21.75" customHeight="1" x14ac:dyDescent="0.6">
      <c r="A48" s="7"/>
      <c r="B48" s="49"/>
      <c r="C48" s="49"/>
      <c r="D48" s="7"/>
      <c r="E48" s="7"/>
      <c r="F48" s="7"/>
      <c r="G48" s="5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8"/>
      <c r="V48" s="8"/>
      <c r="W48" s="8"/>
    </row>
    <row r="49" spans="1:23" ht="21.75" customHeight="1" x14ac:dyDescent="0.6">
      <c r="A49" s="7"/>
      <c r="B49" s="49"/>
      <c r="C49" s="49"/>
      <c r="D49" s="7"/>
      <c r="E49" s="7"/>
      <c r="F49" s="7"/>
      <c r="G49" s="5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8"/>
      <c r="V49" s="8"/>
      <c r="W49" s="8"/>
    </row>
    <row r="50" spans="1:23" ht="21.75" customHeight="1" x14ac:dyDescent="0.6">
      <c r="A50" s="7"/>
      <c r="B50" s="49"/>
      <c r="C50" s="49"/>
      <c r="D50" s="7"/>
      <c r="E50" s="7"/>
      <c r="F50" s="7"/>
      <c r="G50" s="5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8"/>
      <c r="W50" s="8"/>
    </row>
    <row r="51" spans="1:23" ht="21.75" customHeight="1" x14ac:dyDescent="0.6">
      <c r="A51" s="7"/>
      <c r="B51" s="49"/>
      <c r="C51" s="49"/>
      <c r="D51" s="7"/>
      <c r="E51" s="7"/>
      <c r="F51" s="7"/>
      <c r="G51" s="5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8"/>
      <c r="W51" s="8"/>
    </row>
    <row r="52" spans="1:23" ht="21.75" customHeight="1" x14ac:dyDescent="0.6">
      <c r="A52" s="7"/>
      <c r="B52" s="49"/>
      <c r="C52" s="49"/>
      <c r="D52" s="7"/>
      <c r="E52" s="7"/>
      <c r="F52" s="7"/>
      <c r="G52" s="5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8"/>
      <c r="W52" s="8"/>
    </row>
    <row r="53" spans="1:23" ht="21.75" customHeight="1" x14ac:dyDescent="0.6">
      <c r="A53" s="7"/>
      <c r="B53" s="49"/>
      <c r="C53" s="49"/>
      <c r="D53" s="7"/>
      <c r="E53" s="7"/>
      <c r="F53" s="7"/>
      <c r="G53" s="5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8"/>
      <c r="W53" s="8"/>
    </row>
    <row r="54" spans="1:23" ht="21.75" customHeight="1" x14ac:dyDescent="0.6">
      <c r="A54" s="7"/>
      <c r="B54" s="49"/>
      <c r="C54" s="49"/>
      <c r="D54" s="7"/>
      <c r="E54" s="7"/>
      <c r="F54" s="7"/>
      <c r="G54" s="5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8"/>
      <c r="W54" s="8"/>
    </row>
    <row r="55" spans="1:23" ht="21.75" customHeight="1" x14ac:dyDescent="0.6">
      <c r="A55" s="7"/>
      <c r="B55" s="49"/>
      <c r="C55" s="49"/>
      <c r="D55" s="7"/>
      <c r="E55" s="7"/>
      <c r="F55" s="7"/>
      <c r="G55" s="5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8"/>
      <c r="W55" s="8"/>
    </row>
    <row r="56" spans="1:23" ht="21.75" customHeight="1" x14ac:dyDescent="0.6">
      <c r="A56" s="7"/>
      <c r="B56" s="49"/>
      <c r="C56" s="49"/>
      <c r="D56" s="7"/>
      <c r="E56" s="7"/>
      <c r="F56" s="7"/>
      <c r="G56" s="5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8"/>
      <c r="W56" s="8"/>
    </row>
    <row r="57" spans="1:23" ht="21.75" customHeight="1" x14ac:dyDescent="0.6">
      <c r="A57" s="7"/>
      <c r="B57" s="49"/>
      <c r="C57" s="49"/>
      <c r="D57" s="7"/>
      <c r="E57" s="7"/>
      <c r="F57" s="7"/>
      <c r="G57" s="5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8"/>
      <c r="W57" s="8"/>
    </row>
    <row r="58" spans="1:23" ht="21.75" customHeight="1" x14ac:dyDescent="0.6">
      <c r="A58" s="7"/>
      <c r="B58" s="49"/>
      <c r="C58" s="49"/>
      <c r="D58" s="7"/>
      <c r="E58" s="7"/>
      <c r="F58" s="7"/>
      <c r="G58" s="5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8"/>
      <c r="W58" s="8"/>
    </row>
    <row r="59" spans="1:23" ht="21.75" customHeight="1" x14ac:dyDescent="0.6">
      <c r="A59" s="7"/>
      <c r="B59" s="49"/>
      <c r="C59" s="49"/>
      <c r="D59" s="7"/>
      <c r="E59" s="7"/>
      <c r="F59" s="7"/>
      <c r="G59" s="5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8"/>
      <c r="W59" s="8"/>
    </row>
    <row r="60" spans="1:23" ht="21.75" customHeight="1" x14ac:dyDescent="0.6">
      <c r="A60" s="7"/>
      <c r="B60" s="49"/>
      <c r="C60" s="49"/>
      <c r="D60" s="7"/>
      <c r="E60" s="7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8"/>
      <c r="W60" s="8"/>
    </row>
    <row r="61" spans="1:23" ht="21.75" customHeight="1" x14ac:dyDescent="0.6">
      <c r="A61" s="7"/>
      <c r="B61" s="49"/>
      <c r="C61" s="49"/>
      <c r="D61" s="7"/>
      <c r="E61" s="7"/>
      <c r="F61" s="7"/>
      <c r="G61" s="5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8"/>
      <c r="W61" s="8"/>
    </row>
    <row r="62" spans="1:23" ht="21.75" customHeight="1" x14ac:dyDescent="0.6">
      <c r="A62" s="7"/>
      <c r="B62" s="49"/>
      <c r="C62" s="49"/>
      <c r="D62" s="7"/>
      <c r="E62" s="7"/>
      <c r="F62" s="7"/>
      <c r="G62" s="5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8"/>
      <c r="W62" s="8"/>
    </row>
    <row r="63" spans="1:23" ht="21.75" customHeight="1" x14ac:dyDescent="0.6">
      <c r="A63" s="7"/>
      <c r="B63" s="49"/>
      <c r="C63" s="49"/>
      <c r="D63" s="7"/>
      <c r="E63" s="7"/>
      <c r="F63" s="7"/>
      <c r="G63" s="5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8"/>
      <c r="W63" s="8"/>
    </row>
    <row r="64" spans="1:23" ht="21.75" customHeight="1" x14ac:dyDescent="0.6">
      <c r="A64" s="7"/>
      <c r="B64" s="49"/>
      <c r="C64" s="49"/>
      <c r="D64" s="7"/>
      <c r="E64" s="7"/>
      <c r="F64" s="7"/>
      <c r="G64" s="5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8"/>
      <c r="W64" s="8"/>
    </row>
    <row r="65" spans="1:23" ht="21.75" customHeight="1" x14ac:dyDescent="0.6">
      <c r="A65" s="7"/>
      <c r="B65" s="49"/>
      <c r="C65" s="49"/>
      <c r="D65" s="7"/>
      <c r="E65" s="7"/>
      <c r="F65" s="7"/>
      <c r="G65" s="5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8"/>
      <c r="W65" s="8"/>
    </row>
    <row r="66" spans="1:23" ht="21.75" customHeight="1" x14ac:dyDescent="0.6">
      <c r="A66" s="7"/>
      <c r="B66" s="49"/>
      <c r="C66" s="49"/>
      <c r="D66" s="7"/>
      <c r="E66" s="7"/>
      <c r="F66" s="7"/>
      <c r="G66" s="5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8"/>
      <c r="W66" s="8"/>
    </row>
    <row r="67" spans="1:23" ht="21.75" customHeight="1" x14ac:dyDescent="0.6">
      <c r="A67" s="7"/>
      <c r="B67" s="49"/>
      <c r="C67" s="49"/>
      <c r="D67" s="7"/>
      <c r="E67" s="7"/>
      <c r="F67" s="7"/>
      <c r="G67" s="5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8"/>
      <c r="W67" s="8"/>
    </row>
    <row r="68" spans="1:23" ht="21.75" customHeight="1" x14ac:dyDescent="0.6">
      <c r="A68" s="7"/>
      <c r="B68" s="49"/>
      <c r="C68" s="49"/>
      <c r="D68" s="7"/>
      <c r="E68" s="7"/>
      <c r="F68" s="7"/>
      <c r="G68" s="5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8"/>
      <c r="W68" s="8"/>
    </row>
    <row r="69" spans="1:23" ht="21.75" customHeight="1" x14ac:dyDescent="0.6">
      <c r="A69" s="7"/>
      <c r="B69" s="49"/>
      <c r="C69" s="49"/>
      <c r="D69" s="7"/>
      <c r="E69" s="7"/>
      <c r="F69" s="7"/>
      <c r="G69" s="5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8"/>
      <c r="W69" s="8"/>
    </row>
    <row r="70" spans="1:23" ht="21.75" customHeight="1" x14ac:dyDescent="0.6">
      <c r="A70" s="7"/>
      <c r="B70" s="49"/>
      <c r="C70" s="49"/>
      <c r="D70" s="7"/>
      <c r="E70" s="7"/>
      <c r="F70" s="7"/>
      <c r="G70" s="5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8"/>
      <c r="W70" s="8"/>
    </row>
    <row r="71" spans="1:23" ht="21.75" customHeight="1" x14ac:dyDescent="0.6">
      <c r="A71" s="7"/>
      <c r="B71" s="49"/>
      <c r="C71" s="49"/>
      <c r="D71" s="7"/>
      <c r="E71" s="7"/>
      <c r="F71" s="7"/>
      <c r="G71" s="5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8"/>
      <c r="W71" s="8"/>
    </row>
    <row r="72" spans="1:23" ht="21.75" customHeight="1" x14ac:dyDescent="0.6">
      <c r="A72" s="7"/>
      <c r="B72" s="49"/>
      <c r="C72" s="49"/>
      <c r="D72" s="7"/>
      <c r="E72" s="7"/>
      <c r="F72" s="7"/>
      <c r="G72" s="5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8"/>
      <c r="W72" s="8"/>
    </row>
    <row r="73" spans="1:23" ht="21.75" customHeight="1" x14ac:dyDescent="0.6">
      <c r="A73" s="7"/>
      <c r="B73" s="49"/>
      <c r="C73" s="49"/>
      <c r="D73" s="7"/>
      <c r="E73" s="7"/>
      <c r="F73" s="7"/>
      <c r="G73" s="5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8"/>
      <c r="W73" s="8"/>
    </row>
    <row r="74" spans="1:23" ht="21.75" customHeight="1" x14ac:dyDescent="0.6">
      <c r="A74" s="7"/>
      <c r="B74" s="49"/>
      <c r="C74" s="49"/>
      <c r="D74" s="7"/>
      <c r="E74" s="7"/>
      <c r="F74" s="7"/>
      <c r="G74" s="5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8"/>
      <c r="W74" s="8"/>
    </row>
    <row r="75" spans="1:23" ht="21.75" customHeight="1" x14ac:dyDescent="0.6">
      <c r="A75" s="7"/>
      <c r="B75" s="49"/>
      <c r="C75" s="49"/>
      <c r="D75" s="7"/>
      <c r="E75" s="7"/>
      <c r="F75" s="7"/>
      <c r="G75" s="5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8"/>
      <c r="W75" s="8"/>
    </row>
    <row r="76" spans="1:23" ht="21.75" customHeight="1" x14ac:dyDescent="0.6">
      <c r="A76" s="7"/>
      <c r="B76" s="49"/>
      <c r="C76" s="49"/>
      <c r="D76" s="7"/>
      <c r="E76" s="7"/>
      <c r="F76" s="7"/>
      <c r="G76" s="5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8"/>
      <c r="W76" s="8"/>
    </row>
    <row r="77" spans="1:23" ht="21.75" customHeight="1" x14ac:dyDescent="0.6">
      <c r="A77" s="7"/>
      <c r="B77" s="49"/>
      <c r="C77" s="49"/>
      <c r="D77" s="7"/>
      <c r="E77" s="7"/>
      <c r="F77" s="7"/>
      <c r="G77" s="5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8"/>
      <c r="W77" s="8"/>
    </row>
    <row r="78" spans="1:23" ht="21.75" customHeight="1" x14ac:dyDescent="0.6">
      <c r="A78" s="7"/>
      <c r="B78" s="49"/>
      <c r="C78" s="49"/>
      <c r="D78" s="7"/>
      <c r="E78" s="7"/>
      <c r="F78" s="7"/>
      <c r="G78" s="5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8"/>
      <c r="W78" s="8"/>
    </row>
    <row r="79" spans="1:23" ht="21.75" customHeight="1" x14ac:dyDescent="0.6">
      <c r="A79" s="7"/>
      <c r="B79" s="49"/>
      <c r="C79" s="49"/>
      <c r="D79" s="7"/>
      <c r="E79" s="7"/>
      <c r="F79" s="7"/>
      <c r="G79" s="5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8"/>
      <c r="W79" s="8"/>
    </row>
    <row r="80" spans="1:23" ht="21.75" customHeight="1" x14ac:dyDescent="0.6">
      <c r="A80" s="7"/>
      <c r="B80" s="49"/>
      <c r="C80" s="49"/>
      <c r="D80" s="7"/>
      <c r="E80" s="7"/>
      <c r="F80" s="7"/>
      <c r="G80" s="5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8"/>
      <c r="W80" s="8"/>
    </row>
    <row r="81" spans="1:23" ht="21.75" customHeight="1" x14ac:dyDescent="0.6">
      <c r="A81" s="7"/>
      <c r="B81" s="49"/>
      <c r="C81" s="49"/>
      <c r="D81" s="7"/>
      <c r="E81" s="7"/>
      <c r="F81" s="7"/>
      <c r="G81" s="5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8"/>
      <c r="W81" s="8"/>
    </row>
    <row r="82" spans="1:23" ht="21.75" customHeight="1" x14ac:dyDescent="0.6">
      <c r="A82" s="7"/>
      <c r="B82" s="49"/>
      <c r="C82" s="49"/>
      <c r="D82" s="7"/>
      <c r="E82" s="7"/>
      <c r="F82" s="7"/>
      <c r="G82" s="5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8"/>
      <c r="W82" s="8"/>
    </row>
    <row r="83" spans="1:23" ht="21.75" customHeight="1" x14ac:dyDescent="0.6">
      <c r="A83" s="7"/>
      <c r="B83" s="49"/>
      <c r="C83" s="49"/>
      <c r="D83" s="7"/>
      <c r="E83" s="7"/>
      <c r="F83" s="7"/>
      <c r="G83" s="5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8"/>
      <c r="W83" s="8"/>
    </row>
    <row r="84" spans="1:23" ht="21.75" customHeight="1" x14ac:dyDescent="0.6">
      <c r="A84" s="7"/>
      <c r="B84" s="49"/>
      <c r="C84" s="49"/>
      <c r="D84" s="7"/>
      <c r="E84" s="7"/>
      <c r="F84" s="7"/>
      <c r="G84" s="5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8"/>
      <c r="W84" s="8"/>
    </row>
    <row r="85" spans="1:23" ht="21.75" customHeight="1" x14ac:dyDescent="0.6">
      <c r="A85" s="7"/>
      <c r="B85" s="49"/>
      <c r="C85" s="49"/>
      <c r="D85" s="7"/>
      <c r="E85" s="7"/>
      <c r="F85" s="7"/>
      <c r="G85" s="5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8"/>
      <c r="W85" s="8"/>
    </row>
    <row r="86" spans="1:23" ht="21.75" customHeight="1" x14ac:dyDescent="0.6">
      <c r="A86" s="7"/>
      <c r="B86" s="49"/>
      <c r="C86" s="49"/>
      <c r="D86" s="7"/>
      <c r="E86" s="7"/>
      <c r="F86" s="7"/>
      <c r="G86" s="5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8"/>
      <c r="W86" s="8"/>
    </row>
    <row r="87" spans="1:23" ht="21.75" customHeight="1" x14ac:dyDescent="0.6">
      <c r="A87" s="7"/>
      <c r="B87" s="49"/>
      <c r="C87" s="49"/>
      <c r="D87" s="7"/>
      <c r="E87" s="7"/>
      <c r="F87" s="7"/>
      <c r="G87" s="5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8"/>
      <c r="W87" s="8"/>
    </row>
    <row r="88" spans="1:23" ht="21.75" customHeight="1" x14ac:dyDescent="0.6">
      <c r="A88" s="7"/>
      <c r="B88" s="49"/>
      <c r="C88" s="49"/>
      <c r="D88" s="7"/>
      <c r="E88" s="7"/>
      <c r="F88" s="7"/>
      <c r="G88" s="5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8"/>
      <c r="W88" s="8"/>
    </row>
    <row r="89" spans="1:23" ht="21.75" customHeight="1" x14ac:dyDescent="0.6">
      <c r="A89" s="7"/>
      <c r="B89" s="49"/>
      <c r="C89" s="49"/>
      <c r="D89" s="7"/>
      <c r="E89" s="7"/>
      <c r="F89" s="7"/>
      <c r="G89" s="5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8"/>
      <c r="W89" s="8"/>
    </row>
    <row r="90" spans="1:23" ht="21.75" customHeight="1" x14ac:dyDescent="0.6">
      <c r="A90" s="7"/>
      <c r="B90" s="49"/>
      <c r="C90" s="49"/>
      <c r="D90" s="7"/>
      <c r="E90" s="7"/>
      <c r="F90" s="7"/>
      <c r="G90" s="5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8"/>
      <c r="W90" s="8"/>
    </row>
    <row r="91" spans="1:23" ht="21.75" customHeight="1" x14ac:dyDescent="0.6">
      <c r="A91" s="7"/>
      <c r="B91" s="49"/>
      <c r="C91" s="49"/>
      <c r="D91" s="7"/>
      <c r="E91" s="7"/>
      <c r="F91" s="7"/>
      <c r="G91" s="5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8"/>
      <c r="W91" s="8"/>
    </row>
    <row r="92" spans="1:23" ht="21.75" customHeight="1" x14ac:dyDescent="0.6">
      <c r="A92" s="7"/>
      <c r="B92" s="49"/>
      <c r="C92" s="49"/>
      <c r="D92" s="7"/>
      <c r="E92" s="7"/>
      <c r="F92" s="7"/>
      <c r="G92" s="5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8"/>
      <c r="W92" s="8"/>
    </row>
    <row r="93" spans="1:23" ht="21.75" customHeight="1" x14ac:dyDescent="0.6">
      <c r="A93" s="7"/>
      <c r="B93" s="49"/>
      <c r="C93" s="49"/>
      <c r="D93" s="7"/>
      <c r="E93" s="7"/>
      <c r="F93" s="7"/>
      <c r="G93" s="5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8"/>
      <c r="W93" s="8"/>
    </row>
    <row r="94" spans="1:23" ht="21.75" customHeight="1" x14ac:dyDescent="0.6">
      <c r="A94" s="7"/>
      <c r="B94" s="49"/>
      <c r="C94" s="49"/>
      <c r="D94" s="7"/>
      <c r="E94" s="7"/>
      <c r="F94" s="7"/>
      <c r="G94" s="5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8"/>
      <c r="W94" s="8"/>
    </row>
    <row r="95" spans="1:23" ht="21.75" customHeight="1" x14ac:dyDescent="0.6">
      <c r="A95" s="7"/>
      <c r="B95" s="49"/>
      <c r="C95" s="49"/>
      <c r="D95" s="7"/>
      <c r="E95" s="7"/>
      <c r="F95" s="7"/>
      <c r="G95" s="5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8"/>
      <c r="W95" s="8"/>
    </row>
    <row r="96" spans="1:23" ht="21.75" customHeight="1" x14ac:dyDescent="0.6">
      <c r="A96" s="7"/>
      <c r="B96" s="49"/>
      <c r="C96" s="49"/>
      <c r="D96" s="7"/>
      <c r="E96" s="7"/>
      <c r="F96" s="7"/>
      <c r="G96" s="5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8"/>
      <c r="W96" s="8"/>
    </row>
    <row r="97" spans="1:23" ht="21.75" customHeight="1" x14ac:dyDescent="0.6">
      <c r="A97" s="7"/>
      <c r="B97" s="49"/>
      <c r="C97" s="49"/>
      <c r="D97" s="7"/>
      <c r="E97" s="7"/>
      <c r="F97" s="7"/>
      <c r="G97" s="5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8"/>
      <c r="W97" s="8"/>
    </row>
    <row r="98" spans="1:23" ht="21.75" customHeight="1" x14ac:dyDescent="0.6">
      <c r="A98" s="7"/>
      <c r="B98" s="49"/>
      <c r="C98" s="49"/>
      <c r="D98" s="7"/>
      <c r="E98" s="7"/>
      <c r="F98" s="7"/>
      <c r="G98" s="5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8"/>
      <c r="W98" s="8"/>
    </row>
    <row r="99" spans="1:23" ht="21.75" customHeight="1" x14ac:dyDescent="0.6">
      <c r="A99" s="7"/>
      <c r="B99" s="49"/>
      <c r="C99" s="49"/>
      <c r="D99" s="7"/>
      <c r="E99" s="7"/>
      <c r="F99" s="7"/>
      <c r="G99" s="5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8"/>
      <c r="W99" s="8"/>
    </row>
    <row r="100" spans="1:23" ht="21.75" customHeight="1" x14ac:dyDescent="0.6">
      <c r="A100" s="7"/>
      <c r="B100" s="49"/>
      <c r="C100" s="49"/>
      <c r="D100" s="7"/>
      <c r="E100" s="7"/>
      <c r="F100" s="7"/>
      <c r="G100" s="5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8"/>
      <c r="W100" s="8"/>
    </row>
    <row r="101" spans="1:23" ht="21.75" customHeight="1" x14ac:dyDescent="0.6">
      <c r="A101" s="7"/>
      <c r="B101" s="49"/>
      <c r="C101" s="49"/>
      <c r="D101" s="7"/>
      <c r="E101" s="7"/>
      <c r="F101" s="7"/>
      <c r="G101" s="5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8"/>
      <c r="W101" s="8"/>
    </row>
    <row r="102" spans="1:23" ht="21.75" customHeight="1" x14ac:dyDescent="0.6">
      <c r="A102" s="7"/>
      <c r="B102" s="49"/>
      <c r="C102" s="49"/>
      <c r="D102" s="7"/>
      <c r="E102" s="7"/>
      <c r="F102" s="7"/>
      <c r="G102" s="5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8"/>
      <c r="W102" s="8"/>
    </row>
    <row r="103" spans="1:23" ht="21.75" customHeight="1" x14ac:dyDescent="0.6">
      <c r="A103" s="7"/>
      <c r="B103" s="49"/>
      <c r="C103" s="49"/>
      <c r="D103" s="7"/>
      <c r="E103" s="7"/>
      <c r="F103" s="7"/>
      <c r="G103" s="5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8"/>
      <c r="W103" s="8"/>
    </row>
    <row r="104" spans="1:23" ht="21.75" customHeight="1" x14ac:dyDescent="0.6">
      <c r="A104" s="7"/>
      <c r="B104" s="49"/>
      <c r="C104" s="49"/>
      <c r="D104" s="7"/>
      <c r="E104" s="7"/>
      <c r="F104" s="7"/>
      <c r="G104" s="5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8"/>
      <c r="W104" s="8"/>
    </row>
    <row r="105" spans="1:23" ht="21.75" customHeight="1" x14ac:dyDescent="0.6">
      <c r="A105" s="7"/>
      <c r="B105" s="49"/>
      <c r="C105" s="49"/>
      <c r="D105" s="7"/>
      <c r="E105" s="7"/>
      <c r="F105" s="7"/>
      <c r="G105" s="5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8"/>
      <c r="W105" s="8"/>
    </row>
    <row r="106" spans="1:23" ht="21.75" customHeight="1" x14ac:dyDescent="0.6">
      <c r="A106" s="7"/>
      <c r="B106" s="49"/>
      <c r="C106" s="49"/>
      <c r="D106" s="7"/>
      <c r="E106" s="7"/>
      <c r="F106" s="7"/>
      <c r="G106" s="5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8"/>
      <c r="W106" s="8"/>
    </row>
    <row r="107" spans="1:23" ht="21.75" customHeight="1" x14ac:dyDescent="0.6">
      <c r="A107" s="7"/>
      <c r="B107" s="49"/>
      <c r="C107" s="49"/>
      <c r="D107" s="7"/>
      <c r="E107" s="7"/>
      <c r="F107" s="7"/>
      <c r="G107" s="5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8"/>
      <c r="W107" s="8"/>
    </row>
    <row r="108" spans="1:23" ht="21.75" customHeight="1" x14ac:dyDescent="0.6">
      <c r="A108" s="7"/>
      <c r="B108" s="49"/>
      <c r="C108" s="49"/>
      <c r="D108" s="7"/>
      <c r="E108" s="7"/>
      <c r="F108" s="7"/>
      <c r="G108" s="5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8"/>
      <c r="W108" s="8"/>
    </row>
    <row r="109" spans="1:23" ht="21.75" customHeight="1" x14ac:dyDescent="0.6">
      <c r="A109" s="7"/>
      <c r="B109" s="49"/>
      <c r="C109" s="49"/>
      <c r="D109" s="7"/>
      <c r="E109" s="7"/>
      <c r="F109" s="7"/>
      <c r="G109" s="5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8"/>
      <c r="W109" s="8"/>
    </row>
    <row r="110" spans="1:23" ht="21.75" customHeight="1" x14ac:dyDescent="0.6">
      <c r="A110" s="7"/>
      <c r="B110" s="49"/>
      <c r="C110" s="49"/>
      <c r="D110" s="7"/>
      <c r="E110" s="7"/>
      <c r="F110" s="7"/>
      <c r="G110" s="5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8"/>
      <c r="W110" s="8"/>
    </row>
    <row r="111" spans="1:23" ht="21.75" customHeight="1" x14ac:dyDescent="0.6">
      <c r="A111" s="7"/>
      <c r="B111" s="49"/>
      <c r="C111" s="49"/>
      <c r="D111" s="7"/>
      <c r="E111" s="7"/>
      <c r="F111" s="7"/>
      <c r="G111" s="5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8"/>
      <c r="W111" s="8"/>
    </row>
    <row r="112" spans="1:23" ht="21.75" customHeight="1" x14ac:dyDescent="0.6">
      <c r="A112" s="7"/>
      <c r="B112" s="49"/>
      <c r="C112" s="49"/>
      <c r="D112" s="7"/>
      <c r="E112" s="7"/>
      <c r="F112" s="7"/>
      <c r="G112" s="5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8"/>
      <c r="W112" s="8"/>
    </row>
    <row r="113" spans="1:23" ht="21.75" customHeight="1" x14ac:dyDescent="0.6">
      <c r="A113" s="7"/>
      <c r="B113" s="49"/>
      <c r="C113" s="49"/>
      <c r="D113" s="7"/>
      <c r="E113" s="7"/>
      <c r="F113" s="7"/>
      <c r="G113" s="5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8"/>
      <c r="W113" s="8"/>
    </row>
    <row r="114" spans="1:23" ht="21.75" customHeight="1" x14ac:dyDescent="0.6">
      <c r="A114" s="7"/>
      <c r="B114" s="49"/>
      <c r="C114" s="49"/>
      <c r="D114" s="7"/>
      <c r="E114" s="7"/>
      <c r="F114" s="7"/>
      <c r="G114" s="5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8"/>
      <c r="W114" s="8"/>
    </row>
    <row r="115" spans="1:23" ht="21.75" customHeight="1" x14ac:dyDescent="0.6">
      <c r="A115" s="7"/>
      <c r="B115" s="49"/>
      <c r="C115" s="49"/>
      <c r="D115" s="7"/>
      <c r="E115" s="7"/>
      <c r="F115" s="7"/>
      <c r="G115" s="5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8"/>
      <c r="W115" s="8"/>
    </row>
    <row r="116" spans="1:23" ht="21.75" customHeight="1" x14ac:dyDescent="0.6">
      <c r="A116" s="7"/>
      <c r="B116" s="49"/>
      <c r="C116" s="49"/>
      <c r="D116" s="7"/>
      <c r="E116" s="7"/>
      <c r="F116" s="7"/>
      <c r="G116" s="5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8"/>
      <c r="W116" s="8"/>
    </row>
    <row r="117" spans="1:23" ht="21.75" customHeight="1" x14ac:dyDescent="0.6">
      <c r="A117" s="7"/>
      <c r="B117" s="49"/>
      <c r="C117" s="49"/>
      <c r="D117" s="7"/>
      <c r="E117" s="7"/>
      <c r="F117" s="7"/>
      <c r="G117" s="5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8"/>
      <c r="W117" s="8"/>
    </row>
    <row r="118" spans="1:23" ht="21.75" customHeight="1" x14ac:dyDescent="0.6">
      <c r="A118" s="7"/>
      <c r="B118" s="49"/>
      <c r="C118" s="49"/>
      <c r="D118" s="7"/>
      <c r="E118" s="7"/>
      <c r="F118" s="7"/>
      <c r="G118" s="5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8"/>
      <c r="W118" s="8"/>
    </row>
    <row r="119" spans="1:23" ht="21.75" customHeight="1" x14ac:dyDescent="0.6">
      <c r="A119" s="7"/>
      <c r="B119" s="49"/>
      <c r="C119" s="49"/>
      <c r="D119" s="7"/>
      <c r="E119" s="7"/>
      <c r="F119" s="7"/>
      <c r="G119" s="5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8"/>
      <c r="V119" s="8"/>
      <c r="W119" s="8"/>
    </row>
    <row r="120" spans="1:23" ht="21.75" customHeight="1" x14ac:dyDescent="0.6">
      <c r="A120" s="7"/>
      <c r="B120" s="49"/>
      <c r="C120" s="49"/>
      <c r="D120" s="7"/>
      <c r="E120" s="7"/>
      <c r="F120" s="7"/>
      <c r="G120" s="5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8"/>
      <c r="V120" s="8"/>
      <c r="W120" s="8"/>
    </row>
    <row r="121" spans="1:23" ht="21.75" customHeight="1" x14ac:dyDescent="0.6">
      <c r="A121" s="7"/>
      <c r="B121" s="49"/>
      <c r="C121" s="49"/>
      <c r="D121" s="7"/>
      <c r="E121" s="7"/>
      <c r="F121" s="7"/>
      <c r="G121" s="5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  <c r="V121" s="8"/>
      <c r="W121" s="8"/>
    </row>
    <row r="122" spans="1:23" ht="21.75" customHeight="1" x14ac:dyDescent="0.6">
      <c r="A122" s="7"/>
      <c r="B122" s="49"/>
      <c r="C122" s="49"/>
      <c r="D122" s="7"/>
      <c r="E122" s="7"/>
      <c r="F122" s="7"/>
      <c r="G122" s="5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  <c r="V122" s="8"/>
      <c r="W122" s="8"/>
    </row>
    <row r="123" spans="1:23" ht="21.75" customHeight="1" x14ac:dyDescent="0.6">
      <c r="A123" s="7"/>
      <c r="B123" s="49"/>
      <c r="C123" s="49"/>
      <c r="D123" s="7"/>
      <c r="E123" s="7"/>
      <c r="F123" s="7"/>
      <c r="G123" s="5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/>
      <c r="V123" s="8"/>
      <c r="W123" s="8"/>
    </row>
    <row r="124" spans="1:23" ht="21.75" customHeight="1" x14ac:dyDescent="0.6">
      <c r="A124" s="7"/>
      <c r="B124" s="49"/>
      <c r="C124" s="49"/>
      <c r="D124" s="7"/>
      <c r="E124" s="7"/>
      <c r="F124" s="7"/>
      <c r="G124" s="5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8"/>
      <c r="W124" s="8"/>
    </row>
    <row r="125" spans="1:23" ht="21.75" customHeight="1" x14ac:dyDescent="0.6">
      <c r="A125" s="7"/>
      <c r="B125" s="49"/>
      <c r="C125" s="49"/>
      <c r="D125" s="7"/>
      <c r="E125" s="7"/>
      <c r="F125" s="7"/>
      <c r="G125" s="5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8"/>
      <c r="V125" s="8"/>
      <c r="W125" s="8"/>
    </row>
    <row r="126" spans="1:23" ht="21.75" customHeight="1" x14ac:dyDescent="0.6">
      <c r="A126" s="7"/>
      <c r="B126" s="49"/>
      <c r="C126" s="49"/>
      <c r="D126" s="7"/>
      <c r="E126" s="7"/>
      <c r="F126" s="7"/>
      <c r="G126" s="5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8"/>
      <c r="V126" s="8"/>
      <c r="W126" s="8"/>
    </row>
    <row r="127" spans="1:23" ht="21.75" customHeight="1" x14ac:dyDescent="0.6">
      <c r="A127" s="7"/>
      <c r="B127" s="49"/>
      <c r="C127" s="49"/>
      <c r="D127" s="7"/>
      <c r="E127" s="7"/>
      <c r="F127" s="7"/>
      <c r="G127" s="5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8"/>
      <c r="V127" s="8"/>
      <c r="W127" s="8"/>
    </row>
    <row r="128" spans="1:23" ht="21.75" customHeight="1" x14ac:dyDescent="0.6">
      <c r="A128" s="7"/>
      <c r="B128" s="49"/>
      <c r="C128" s="49"/>
      <c r="D128" s="7"/>
      <c r="E128" s="7"/>
      <c r="F128" s="7"/>
      <c r="G128" s="5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8"/>
      <c r="V128" s="8"/>
      <c r="W128" s="8"/>
    </row>
    <row r="129" spans="1:23" ht="21.75" customHeight="1" x14ac:dyDescent="0.6">
      <c r="A129" s="7"/>
      <c r="B129" s="49"/>
      <c r="C129" s="49"/>
      <c r="D129" s="7"/>
      <c r="E129" s="7"/>
      <c r="F129" s="7"/>
      <c r="G129" s="5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8"/>
      <c r="V129" s="8"/>
      <c r="W129" s="8"/>
    </row>
    <row r="130" spans="1:23" ht="21.75" customHeight="1" x14ac:dyDescent="0.6">
      <c r="A130" s="7"/>
      <c r="B130" s="49"/>
      <c r="C130" s="49"/>
      <c r="D130" s="7"/>
      <c r="E130" s="7"/>
      <c r="F130" s="7"/>
      <c r="G130" s="5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8"/>
      <c r="V130" s="8"/>
      <c r="W130" s="8"/>
    </row>
    <row r="131" spans="1:23" ht="21.75" customHeight="1" x14ac:dyDescent="0.6">
      <c r="A131" s="7"/>
      <c r="B131" s="49"/>
      <c r="C131" s="49"/>
      <c r="D131" s="7"/>
      <c r="E131" s="7"/>
      <c r="F131" s="7"/>
      <c r="G131" s="5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8"/>
      <c r="V131" s="8"/>
      <c r="W131" s="8"/>
    </row>
    <row r="132" spans="1:23" ht="21.75" customHeight="1" x14ac:dyDescent="0.6">
      <c r="A132" s="7"/>
      <c r="B132" s="49"/>
      <c r="C132" s="49"/>
      <c r="D132" s="7"/>
      <c r="E132" s="7"/>
      <c r="F132" s="7"/>
      <c r="G132" s="5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8"/>
      <c r="V132" s="8"/>
      <c r="W132" s="8"/>
    </row>
    <row r="133" spans="1:23" ht="21.75" customHeight="1" x14ac:dyDescent="0.6">
      <c r="A133" s="7"/>
      <c r="B133" s="49"/>
      <c r="C133" s="49"/>
      <c r="D133" s="7"/>
      <c r="E133" s="7"/>
      <c r="F133" s="7"/>
      <c r="G133" s="5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8"/>
      <c r="V133" s="8"/>
      <c r="W133" s="8"/>
    </row>
    <row r="134" spans="1:23" ht="21.75" customHeight="1" x14ac:dyDescent="0.6">
      <c r="A134" s="7"/>
      <c r="B134" s="49"/>
      <c r="C134" s="49"/>
      <c r="D134" s="7"/>
      <c r="E134" s="7"/>
      <c r="F134" s="7"/>
      <c r="G134" s="5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8"/>
      <c r="V134" s="8"/>
      <c r="W134" s="8"/>
    </row>
    <row r="135" spans="1:23" ht="21.75" customHeight="1" x14ac:dyDescent="0.6">
      <c r="A135" s="7"/>
      <c r="B135" s="49"/>
      <c r="C135" s="49"/>
      <c r="D135" s="7"/>
      <c r="E135" s="7"/>
      <c r="F135" s="7"/>
      <c r="G135" s="5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8"/>
      <c r="V135" s="8"/>
      <c r="W135" s="8"/>
    </row>
    <row r="136" spans="1:23" ht="21.75" customHeight="1" x14ac:dyDescent="0.6">
      <c r="A136" s="7"/>
      <c r="B136" s="49"/>
      <c r="C136" s="49"/>
      <c r="D136" s="7"/>
      <c r="E136" s="7"/>
      <c r="F136" s="7"/>
      <c r="G136" s="5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8"/>
      <c r="V136" s="8"/>
      <c r="W136" s="8"/>
    </row>
    <row r="137" spans="1:23" ht="21.75" customHeight="1" x14ac:dyDescent="0.6">
      <c r="A137" s="7"/>
      <c r="B137" s="49"/>
      <c r="C137" s="49"/>
      <c r="D137" s="7"/>
      <c r="E137" s="7"/>
      <c r="F137" s="7"/>
      <c r="G137" s="5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8"/>
      <c r="V137" s="8"/>
      <c r="W137" s="8"/>
    </row>
    <row r="138" spans="1:23" ht="21.75" customHeight="1" x14ac:dyDescent="0.6">
      <c r="A138" s="7"/>
      <c r="B138" s="49"/>
      <c r="C138" s="49"/>
      <c r="D138" s="7"/>
      <c r="E138" s="7"/>
      <c r="F138" s="7"/>
      <c r="G138" s="5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8"/>
      <c r="V138" s="8"/>
      <c r="W138" s="8"/>
    </row>
    <row r="139" spans="1:23" ht="21.75" customHeight="1" x14ac:dyDescent="0.6">
      <c r="A139" s="7"/>
      <c r="B139" s="49"/>
      <c r="C139" s="49"/>
      <c r="D139" s="7"/>
      <c r="E139" s="7"/>
      <c r="F139" s="7"/>
      <c r="G139" s="5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8"/>
      <c r="V139" s="8"/>
      <c r="W139" s="8"/>
    </row>
    <row r="140" spans="1:23" ht="21.75" customHeight="1" x14ac:dyDescent="0.6">
      <c r="A140" s="7"/>
      <c r="B140" s="49"/>
      <c r="C140" s="49"/>
      <c r="D140" s="7"/>
      <c r="E140" s="7"/>
      <c r="F140" s="7"/>
      <c r="G140" s="5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8"/>
      <c r="V140" s="8"/>
      <c r="W140" s="8"/>
    </row>
    <row r="141" spans="1:23" ht="21.75" customHeight="1" x14ac:dyDescent="0.6">
      <c r="A141" s="7"/>
      <c r="B141" s="49"/>
      <c r="C141" s="49"/>
      <c r="D141" s="7"/>
      <c r="E141" s="7"/>
      <c r="F141" s="7"/>
      <c r="G141" s="5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8"/>
      <c r="V141" s="8"/>
      <c r="W141" s="8"/>
    </row>
    <row r="142" spans="1:23" ht="21.75" customHeight="1" x14ac:dyDescent="0.6">
      <c r="A142" s="7"/>
      <c r="B142" s="49"/>
      <c r="C142" s="49"/>
      <c r="D142" s="7"/>
      <c r="E142" s="7"/>
      <c r="F142" s="7"/>
      <c r="G142" s="5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8"/>
      <c r="V142" s="8"/>
      <c r="W142" s="8"/>
    </row>
    <row r="143" spans="1:23" ht="21.75" customHeight="1" x14ac:dyDescent="0.6">
      <c r="A143" s="7"/>
      <c r="B143" s="49"/>
      <c r="C143" s="49"/>
      <c r="D143" s="7"/>
      <c r="E143" s="7"/>
      <c r="F143" s="7"/>
      <c r="G143" s="5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8"/>
      <c r="V143" s="8"/>
      <c r="W143" s="8"/>
    </row>
    <row r="144" spans="1:23" ht="21.75" customHeight="1" x14ac:dyDescent="0.6">
      <c r="A144" s="7"/>
      <c r="B144" s="49"/>
      <c r="C144" s="49"/>
      <c r="D144" s="7"/>
      <c r="E144" s="7"/>
      <c r="F144" s="7"/>
      <c r="G144" s="5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8"/>
      <c r="V144" s="8"/>
      <c r="W144" s="8"/>
    </row>
    <row r="145" spans="1:23" ht="21.75" customHeight="1" x14ac:dyDescent="0.6">
      <c r="A145" s="7"/>
      <c r="B145" s="49"/>
      <c r="C145" s="49"/>
      <c r="D145" s="7"/>
      <c r="E145" s="7"/>
      <c r="F145" s="7"/>
      <c r="G145" s="5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8"/>
      <c r="V145" s="8"/>
      <c r="W145" s="8"/>
    </row>
    <row r="146" spans="1:23" ht="21.75" customHeight="1" x14ac:dyDescent="0.6">
      <c r="A146" s="7"/>
      <c r="B146" s="49"/>
      <c r="C146" s="49"/>
      <c r="D146" s="7"/>
      <c r="E146" s="7"/>
      <c r="F146" s="7"/>
      <c r="G146" s="5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8"/>
      <c r="V146" s="8"/>
      <c r="W146" s="8"/>
    </row>
    <row r="147" spans="1:23" ht="21.75" customHeight="1" x14ac:dyDescent="0.6">
      <c r="A147" s="7"/>
      <c r="B147" s="49"/>
      <c r="C147" s="49"/>
      <c r="D147" s="7"/>
      <c r="E147" s="7"/>
      <c r="F147" s="7"/>
      <c r="G147" s="5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8"/>
      <c r="V147" s="8"/>
      <c r="W147" s="8"/>
    </row>
    <row r="148" spans="1:23" ht="21.75" customHeight="1" x14ac:dyDescent="0.6">
      <c r="A148" s="7"/>
      <c r="B148" s="49"/>
      <c r="C148" s="49"/>
      <c r="D148" s="7"/>
      <c r="E148" s="7"/>
      <c r="F148" s="7"/>
      <c r="G148" s="5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8"/>
      <c r="V148" s="8"/>
      <c r="W148" s="8"/>
    </row>
    <row r="149" spans="1:23" ht="21.75" customHeight="1" x14ac:dyDescent="0.6">
      <c r="A149" s="7"/>
      <c r="B149" s="49"/>
      <c r="C149" s="49"/>
      <c r="D149" s="7"/>
      <c r="E149" s="7"/>
      <c r="F149" s="7"/>
      <c r="G149" s="5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8"/>
      <c r="V149" s="8"/>
      <c r="W149" s="8"/>
    </row>
    <row r="150" spans="1:23" ht="21.75" customHeight="1" x14ac:dyDescent="0.6">
      <c r="A150" s="7"/>
      <c r="B150" s="49"/>
      <c r="C150" s="49"/>
      <c r="D150" s="7"/>
      <c r="E150" s="7"/>
      <c r="F150" s="7"/>
      <c r="G150" s="5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8"/>
      <c r="V150" s="8"/>
      <c r="W150" s="8"/>
    </row>
    <row r="151" spans="1:23" ht="21.75" customHeight="1" x14ac:dyDescent="0.6">
      <c r="A151" s="7"/>
      <c r="B151" s="49"/>
      <c r="C151" s="49"/>
      <c r="D151" s="7"/>
      <c r="E151" s="7"/>
      <c r="F151" s="7"/>
      <c r="G151" s="5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8"/>
      <c r="V151" s="8"/>
      <c r="W151" s="8"/>
    </row>
    <row r="152" spans="1:23" ht="21.75" customHeight="1" x14ac:dyDescent="0.6">
      <c r="A152" s="7"/>
      <c r="B152" s="49"/>
      <c r="C152" s="49"/>
      <c r="D152" s="7"/>
      <c r="E152" s="7"/>
      <c r="F152" s="7"/>
      <c r="G152" s="5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8"/>
      <c r="V152" s="8"/>
      <c r="W152" s="8"/>
    </row>
    <row r="153" spans="1:23" ht="21.75" customHeight="1" x14ac:dyDescent="0.6">
      <c r="A153" s="7"/>
      <c r="B153" s="49"/>
      <c r="C153" s="49"/>
      <c r="D153" s="7"/>
      <c r="E153" s="7"/>
      <c r="F153" s="7"/>
      <c r="G153" s="5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8"/>
      <c r="V153" s="8"/>
      <c r="W153" s="8"/>
    </row>
    <row r="154" spans="1:23" ht="21.75" customHeight="1" x14ac:dyDescent="0.6">
      <c r="A154" s="7"/>
      <c r="B154" s="49"/>
      <c r="C154" s="49"/>
      <c r="D154" s="7"/>
      <c r="E154" s="7"/>
      <c r="F154" s="7"/>
      <c r="G154" s="5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8"/>
      <c r="V154" s="8"/>
      <c r="W154" s="8"/>
    </row>
    <row r="155" spans="1:23" ht="21.75" customHeight="1" x14ac:dyDescent="0.6">
      <c r="A155" s="7"/>
      <c r="B155" s="49"/>
      <c r="C155" s="49"/>
      <c r="D155" s="7"/>
      <c r="E155" s="7"/>
      <c r="F155" s="7"/>
      <c r="G155" s="5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8"/>
      <c r="V155" s="8"/>
      <c r="W155" s="8"/>
    </row>
    <row r="156" spans="1:23" ht="21.75" customHeight="1" x14ac:dyDescent="0.6">
      <c r="A156" s="7"/>
      <c r="B156" s="49"/>
      <c r="C156" s="49"/>
      <c r="D156" s="7"/>
      <c r="E156" s="7"/>
      <c r="F156" s="7"/>
      <c r="G156" s="5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8"/>
      <c r="V156" s="8"/>
      <c r="W156" s="8"/>
    </row>
    <row r="157" spans="1:23" ht="21.75" customHeight="1" x14ac:dyDescent="0.6">
      <c r="A157" s="7"/>
      <c r="B157" s="49"/>
      <c r="C157" s="49"/>
      <c r="D157" s="7"/>
      <c r="E157" s="7"/>
      <c r="F157" s="7"/>
      <c r="G157" s="5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8"/>
      <c r="V157" s="8"/>
      <c r="W157" s="8"/>
    </row>
    <row r="158" spans="1:23" ht="21.75" customHeight="1" x14ac:dyDescent="0.6">
      <c r="A158" s="7"/>
      <c r="B158" s="49"/>
      <c r="C158" s="49"/>
      <c r="D158" s="7"/>
      <c r="E158" s="7"/>
      <c r="F158" s="7"/>
      <c r="G158" s="5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8"/>
      <c r="V158" s="8"/>
      <c r="W158" s="8"/>
    </row>
    <row r="159" spans="1:23" ht="21.75" customHeight="1" x14ac:dyDescent="0.6">
      <c r="A159" s="7"/>
      <c r="B159" s="49"/>
      <c r="C159" s="49"/>
      <c r="D159" s="7"/>
      <c r="E159" s="7"/>
      <c r="F159" s="7"/>
      <c r="G159" s="5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8"/>
      <c r="V159" s="8"/>
      <c r="W159" s="8"/>
    </row>
    <row r="160" spans="1:23" ht="21.75" customHeight="1" x14ac:dyDescent="0.6">
      <c r="A160" s="7"/>
      <c r="B160" s="49"/>
      <c r="C160" s="49"/>
      <c r="D160" s="7"/>
      <c r="E160" s="7"/>
      <c r="F160" s="7"/>
      <c r="G160" s="5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8"/>
      <c r="V160" s="8"/>
      <c r="W160" s="8"/>
    </row>
    <row r="161" spans="1:23" ht="21.75" customHeight="1" x14ac:dyDescent="0.6">
      <c r="A161" s="7"/>
      <c r="B161" s="49"/>
      <c r="C161" s="49"/>
      <c r="D161" s="7"/>
      <c r="E161" s="7"/>
      <c r="F161" s="7"/>
      <c r="G161" s="5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8"/>
      <c r="V161" s="8"/>
      <c r="W161" s="8"/>
    </row>
    <row r="162" spans="1:23" ht="21.75" customHeight="1" x14ac:dyDescent="0.6">
      <c r="A162" s="7"/>
      <c r="B162" s="49"/>
      <c r="C162" s="49"/>
      <c r="D162" s="7"/>
      <c r="E162" s="7"/>
      <c r="F162" s="7"/>
      <c r="G162" s="5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8"/>
      <c r="V162" s="8"/>
      <c r="W162" s="8"/>
    </row>
    <row r="163" spans="1:23" ht="21.75" customHeight="1" x14ac:dyDescent="0.6">
      <c r="A163" s="7"/>
      <c r="B163" s="49"/>
      <c r="C163" s="49"/>
      <c r="D163" s="7"/>
      <c r="E163" s="7"/>
      <c r="F163" s="7"/>
      <c r="G163" s="5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8"/>
      <c r="V163" s="8"/>
      <c r="W163" s="8"/>
    </row>
    <row r="164" spans="1:23" ht="21.75" customHeight="1" x14ac:dyDescent="0.6">
      <c r="A164" s="7"/>
      <c r="B164" s="49"/>
      <c r="C164" s="49"/>
      <c r="D164" s="7"/>
      <c r="E164" s="7"/>
      <c r="F164" s="7"/>
      <c r="G164" s="5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8"/>
      <c r="V164" s="8"/>
      <c r="W164" s="8"/>
    </row>
    <row r="165" spans="1:23" ht="21.75" customHeight="1" x14ac:dyDescent="0.6">
      <c r="A165" s="7"/>
      <c r="B165" s="49"/>
      <c r="C165" s="49"/>
      <c r="D165" s="7"/>
      <c r="E165" s="7"/>
      <c r="F165" s="7"/>
      <c r="G165" s="5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8"/>
      <c r="V165" s="8"/>
      <c r="W165" s="8"/>
    </row>
    <row r="166" spans="1:23" ht="21.75" customHeight="1" x14ac:dyDescent="0.6">
      <c r="A166" s="7"/>
      <c r="B166" s="49"/>
      <c r="C166" s="49"/>
      <c r="D166" s="7"/>
      <c r="E166" s="7"/>
      <c r="F166" s="7"/>
      <c r="G166" s="5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8"/>
      <c r="V166" s="8"/>
      <c r="W166" s="8"/>
    </row>
    <row r="167" spans="1:23" ht="21.75" customHeight="1" x14ac:dyDescent="0.6">
      <c r="A167" s="7"/>
      <c r="B167" s="49"/>
      <c r="C167" s="49"/>
      <c r="D167" s="7"/>
      <c r="E167" s="7"/>
      <c r="F167" s="7"/>
      <c r="G167" s="5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8"/>
      <c r="V167" s="8"/>
      <c r="W167" s="8"/>
    </row>
    <row r="168" spans="1:23" ht="21.75" customHeight="1" x14ac:dyDescent="0.6">
      <c r="A168" s="7"/>
      <c r="B168" s="49"/>
      <c r="C168" s="49"/>
      <c r="D168" s="7"/>
      <c r="E168" s="7"/>
      <c r="F168" s="7"/>
      <c r="G168" s="5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8"/>
      <c r="V168" s="8"/>
      <c r="W168" s="8"/>
    </row>
    <row r="169" spans="1:23" ht="21.75" customHeight="1" x14ac:dyDescent="0.6">
      <c r="A169" s="7"/>
      <c r="B169" s="49"/>
      <c r="C169" s="49"/>
      <c r="D169" s="7"/>
      <c r="E169" s="7"/>
      <c r="F169" s="7"/>
      <c r="G169" s="5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8"/>
      <c r="V169" s="8"/>
      <c r="W169" s="8"/>
    </row>
    <row r="170" spans="1:23" ht="21.75" customHeight="1" x14ac:dyDescent="0.6">
      <c r="A170" s="7"/>
      <c r="B170" s="49"/>
      <c r="C170" s="49"/>
      <c r="D170" s="7"/>
      <c r="E170" s="7"/>
      <c r="F170" s="7"/>
      <c r="G170" s="5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8"/>
      <c r="V170" s="8"/>
      <c r="W170" s="8"/>
    </row>
    <row r="171" spans="1:23" ht="21.75" customHeight="1" x14ac:dyDescent="0.6">
      <c r="A171" s="7"/>
      <c r="B171" s="49"/>
      <c r="C171" s="49"/>
      <c r="D171" s="7"/>
      <c r="E171" s="7"/>
      <c r="F171" s="7"/>
      <c r="G171" s="5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8"/>
      <c r="V171" s="8"/>
      <c r="W171" s="8"/>
    </row>
    <row r="172" spans="1:23" ht="21.75" customHeight="1" x14ac:dyDescent="0.6">
      <c r="A172" s="7"/>
      <c r="B172" s="49"/>
      <c r="C172" s="49"/>
      <c r="D172" s="7"/>
      <c r="E172" s="7"/>
      <c r="F172" s="7"/>
      <c r="G172" s="5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8"/>
      <c r="V172" s="8"/>
      <c r="W172" s="8"/>
    </row>
    <row r="173" spans="1:23" ht="21.75" customHeight="1" x14ac:dyDescent="0.6">
      <c r="A173" s="7"/>
      <c r="B173" s="49"/>
      <c r="C173" s="49"/>
      <c r="D173" s="7"/>
      <c r="E173" s="7"/>
      <c r="F173" s="7"/>
      <c r="G173" s="5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8"/>
      <c r="V173" s="8"/>
      <c r="W173" s="8"/>
    </row>
    <row r="174" spans="1:23" ht="21.75" customHeight="1" x14ac:dyDescent="0.6">
      <c r="A174" s="7"/>
      <c r="B174" s="49"/>
      <c r="C174" s="49"/>
      <c r="D174" s="7"/>
      <c r="E174" s="7"/>
      <c r="F174" s="7"/>
      <c r="G174" s="5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8"/>
      <c r="V174" s="8"/>
      <c r="W174" s="8"/>
    </row>
    <row r="175" spans="1:23" ht="21.75" customHeight="1" x14ac:dyDescent="0.6">
      <c r="A175" s="7"/>
      <c r="B175" s="49"/>
      <c r="C175" s="49"/>
      <c r="D175" s="7"/>
      <c r="E175" s="7"/>
      <c r="F175" s="7"/>
      <c r="G175" s="5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8"/>
      <c r="V175" s="8"/>
      <c r="W175" s="8"/>
    </row>
    <row r="176" spans="1:23" ht="21.75" customHeight="1" x14ac:dyDescent="0.6">
      <c r="A176" s="7"/>
      <c r="B176" s="49"/>
      <c r="C176" s="49"/>
      <c r="D176" s="7"/>
      <c r="E176" s="7"/>
      <c r="F176" s="7"/>
      <c r="G176" s="5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8"/>
      <c r="V176" s="8"/>
      <c r="W176" s="8"/>
    </row>
    <row r="177" spans="1:23" ht="21.75" customHeight="1" x14ac:dyDescent="0.6">
      <c r="A177" s="7"/>
      <c r="B177" s="49"/>
      <c r="C177" s="49"/>
      <c r="D177" s="7"/>
      <c r="E177" s="7"/>
      <c r="F177" s="7"/>
      <c r="G177" s="5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8"/>
      <c r="V177" s="8"/>
      <c r="W177" s="8"/>
    </row>
    <row r="178" spans="1:23" ht="21.75" customHeight="1" x14ac:dyDescent="0.6">
      <c r="A178" s="7"/>
      <c r="B178" s="49"/>
      <c r="C178" s="49"/>
      <c r="D178" s="7"/>
      <c r="E178" s="7"/>
      <c r="F178" s="7"/>
      <c r="G178" s="5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8"/>
      <c r="V178" s="8"/>
      <c r="W178" s="8"/>
    </row>
    <row r="179" spans="1:23" ht="21.75" customHeight="1" x14ac:dyDescent="0.6">
      <c r="A179" s="7"/>
      <c r="B179" s="49"/>
      <c r="C179" s="49"/>
      <c r="D179" s="7"/>
      <c r="E179" s="7"/>
      <c r="F179" s="7"/>
      <c r="G179" s="5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8"/>
      <c r="V179" s="8"/>
      <c r="W179" s="8"/>
    </row>
    <row r="180" spans="1:23" ht="21.75" customHeight="1" x14ac:dyDescent="0.6">
      <c r="A180" s="7"/>
      <c r="B180" s="49"/>
      <c r="C180" s="49"/>
      <c r="D180" s="7"/>
      <c r="E180" s="7"/>
      <c r="F180" s="7"/>
      <c r="G180" s="5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8"/>
      <c r="V180" s="8"/>
      <c r="W180" s="8"/>
    </row>
    <row r="181" spans="1:23" ht="21.75" customHeight="1" x14ac:dyDescent="0.6">
      <c r="A181" s="7"/>
      <c r="B181" s="49"/>
      <c r="C181" s="49"/>
      <c r="D181" s="7"/>
      <c r="E181" s="7"/>
      <c r="F181" s="7"/>
      <c r="G181" s="5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8"/>
      <c r="V181" s="8"/>
      <c r="W181" s="8"/>
    </row>
    <row r="182" spans="1:23" ht="21.75" customHeight="1" x14ac:dyDescent="0.6">
      <c r="A182" s="7"/>
      <c r="B182" s="49"/>
      <c r="C182" s="49"/>
      <c r="D182" s="7"/>
      <c r="E182" s="7"/>
      <c r="F182" s="7"/>
      <c r="G182" s="5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8"/>
      <c r="V182" s="8"/>
      <c r="W182" s="8"/>
    </row>
    <row r="183" spans="1:23" ht="21.75" customHeight="1" x14ac:dyDescent="0.6">
      <c r="A183" s="7"/>
      <c r="B183" s="49"/>
      <c r="C183" s="49"/>
      <c r="D183" s="7"/>
      <c r="E183" s="7"/>
      <c r="F183" s="7"/>
      <c r="G183" s="5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8"/>
      <c r="V183" s="8"/>
      <c r="W183" s="8"/>
    </row>
    <row r="184" spans="1:23" ht="21.75" customHeight="1" x14ac:dyDescent="0.6">
      <c r="A184" s="7"/>
      <c r="B184" s="49"/>
      <c r="C184" s="49"/>
      <c r="D184" s="7"/>
      <c r="E184" s="7"/>
      <c r="F184" s="7"/>
      <c r="G184" s="5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8"/>
      <c r="V184" s="8"/>
      <c r="W184" s="8"/>
    </row>
    <row r="185" spans="1:23" ht="21.75" customHeight="1" x14ac:dyDescent="0.6">
      <c r="A185" s="7"/>
      <c r="B185" s="49"/>
      <c r="C185" s="49"/>
      <c r="D185" s="7"/>
      <c r="E185" s="7"/>
      <c r="F185" s="7"/>
      <c r="G185" s="5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8"/>
      <c r="V185" s="8"/>
      <c r="W185" s="8"/>
    </row>
    <row r="186" spans="1:23" ht="21.75" customHeight="1" x14ac:dyDescent="0.6">
      <c r="A186" s="7"/>
      <c r="B186" s="49"/>
      <c r="C186" s="49"/>
      <c r="D186" s="7"/>
      <c r="E186" s="7"/>
      <c r="F186" s="7"/>
      <c r="G186" s="5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8"/>
      <c r="V186" s="8"/>
      <c r="W186" s="8"/>
    </row>
    <row r="187" spans="1:23" ht="21.75" customHeight="1" x14ac:dyDescent="0.6">
      <c r="A187" s="7"/>
      <c r="B187" s="49"/>
      <c r="C187" s="49"/>
      <c r="D187" s="7"/>
      <c r="E187" s="7"/>
      <c r="F187" s="7"/>
      <c r="G187" s="5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8"/>
      <c r="V187" s="8"/>
      <c r="W187" s="8"/>
    </row>
    <row r="188" spans="1:23" ht="21.75" customHeight="1" x14ac:dyDescent="0.6">
      <c r="A188" s="7"/>
      <c r="B188" s="49"/>
      <c r="C188" s="49"/>
      <c r="D188" s="7"/>
      <c r="E188" s="7"/>
      <c r="F188" s="7"/>
      <c r="G188" s="5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8"/>
      <c r="V188" s="8"/>
      <c r="W188" s="8"/>
    </row>
    <row r="189" spans="1:23" ht="21.75" customHeight="1" x14ac:dyDescent="0.6">
      <c r="A189" s="7"/>
      <c r="B189" s="49"/>
      <c r="C189" s="49"/>
      <c r="D189" s="7"/>
      <c r="E189" s="7"/>
      <c r="F189" s="7"/>
      <c r="G189" s="5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8"/>
      <c r="V189" s="8"/>
      <c r="W189" s="8"/>
    </row>
    <row r="190" spans="1:23" ht="21.75" customHeight="1" x14ac:dyDescent="0.6">
      <c r="A190" s="7"/>
      <c r="B190" s="49"/>
      <c r="C190" s="49"/>
      <c r="D190" s="7"/>
      <c r="E190" s="7"/>
      <c r="F190" s="7"/>
      <c r="G190" s="5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8"/>
      <c r="V190" s="8"/>
      <c r="W190" s="8"/>
    </row>
    <row r="191" spans="1:23" ht="21.75" customHeight="1" x14ac:dyDescent="0.6">
      <c r="A191" s="7"/>
      <c r="B191" s="49"/>
      <c r="C191" s="49"/>
      <c r="D191" s="7"/>
      <c r="E191" s="7"/>
      <c r="F191" s="7"/>
      <c r="G191" s="5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8"/>
      <c r="V191" s="8"/>
      <c r="W191" s="8"/>
    </row>
    <row r="192" spans="1:23" ht="21.75" customHeight="1" x14ac:dyDescent="0.6">
      <c r="A192" s="7"/>
      <c r="B192" s="49"/>
      <c r="C192" s="49"/>
      <c r="D192" s="7"/>
      <c r="E192" s="7"/>
      <c r="F192" s="7"/>
      <c r="G192" s="5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8"/>
      <c r="V192" s="8"/>
      <c r="W192" s="8"/>
    </row>
    <row r="193" spans="1:23" ht="21.75" customHeight="1" x14ac:dyDescent="0.6">
      <c r="A193" s="7"/>
      <c r="B193" s="49"/>
      <c r="C193" s="49"/>
      <c r="D193" s="7"/>
      <c r="E193" s="7"/>
      <c r="F193" s="7"/>
      <c r="G193" s="5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8"/>
      <c r="V193" s="8"/>
      <c r="W193" s="8"/>
    </row>
    <row r="194" spans="1:23" ht="21.75" customHeight="1" x14ac:dyDescent="0.6">
      <c r="A194" s="7"/>
      <c r="B194" s="49"/>
      <c r="C194" s="49"/>
      <c r="D194" s="7"/>
      <c r="E194" s="7"/>
      <c r="F194" s="7"/>
      <c r="G194" s="5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8"/>
      <c r="W194" s="8"/>
    </row>
    <row r="195" spans="1:23" ht="21.75" customHeight="1" x14ac:dyDescent="0.6">
      <c r="A195" s="7"/>
      <c r="B195" s="49"/>
      <c r="C195" s="49"/>
      <c r="D195" s="7"/>
      <c r="E195" s="7"/>
      <c r="F195" s="7"/>
      <c r="G195" s="5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8"/>
      <c r="W195" s="8"/>
    </row>
    <row r="196" spans="1:23" ht="21.75" customHeight="1" x14ac:dyDescent="0.6">
      <c r="A196" s="7"/>
      <c r="B196" s="49"/>
      <c r="C196" s="49"/>
      <c r="D196" s="7"/>
      <c r="E196" s="7"/>
      <c r="F196" s="7"/>
      <c r="G196" s="5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8"/>
      <c r="W196" s="8"/>
    </row>
    <row r="197" spans="1:23" ht="21.75" customHeight="1" x14ac:dyDescent="0.6">
      <c r="A197" s="7"/>
      <c r="B197" s="49"/>
      <c r="C197" s="49"/>
      <c r="D197" s="7"/>
      <c r="E197" s="7"/>
      <c r="F197" s="7"/>
      <c r="G197" s="5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8"/>
      <c r="W197" s="8"/>
    </row>
    <row r="198" spans="1:23" ht="21.75" customHeight="1" x14ac:dyDescent="0.6">
      <c r="A198" s="7"/>
      <c r="B198" s="49"/>
      <c r="C198" s="49"/>
      <c r="D198" s="7"/>
      <c r="E198" s="7"/>
      <c r="F198" s="7"/>
      <c r="G198" s="5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8"/>
      <c r="W198" s="8"/>
    </row>
    <row r="199" spans="1:23" ht="21.75" customHeight="1" x14ac:dyDescent="0.6">
      <c r="A199" s="7"/>
      <c r="B199" s="49"/>
      <c r="C199" s="49"/>
      <c r="D199" s="7"/>
      <c r="E199" s="7"/>
      <c r="F199" s="7"/>
      <c r="G199" s="5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8"/>
      <c r="W199" s="8"/>
    </row>
    <row r="200" spans="1:23" ht="21.75" customHeight="1" x14ac:dyDescent="0.6">
      <c r="A200" s="7"/>
      <c r="B200" s="49"/>
      <c r="C200" s="49"/>
      <c r="D200" s="7"/>
      <c r="E200" s="7"/>
      <c r="F200" s="7"/>
      <c r="G200" s="5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8"/>
      <c r="W200" s="8"/>
    </row>
    <row r="201" spans="1:23" ht="21.75" customHeight="1" x14ac:dyDescent="0.6">
      <c r="A201" s="7"/>
      <c r="B201" s="49"/>
      <c r="C201" s="49"/>
      <c r="D201" s="7"/>
      <c r="E201" s="7"/>
      <c r="F201" s="7"/>
      <c r="G201" s="5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8"/>
      <c r="W201" s="8"/>
    </row>
    <row r="202" spans="1:23" ht="21.75" customHeight="1" x14ac:dyDescent="0.6">
      <c r="A202" s="7"/>
      <c r="B202" s="49"/>
      <c r="C202" s="49"/>
      <c r="D202" s="7"/>
      <c r="E202" s="7"/>
      <c r="F202" s="7"/>
      <c r="G202" s="5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8"/>
      <c r="W202" s="8"/>
    </row>
    <row r="203" spans="1:23" ht="21.75" customHeight="1" x14ac:dyDescent="0.6">
      <c r="A203" s="7"/>
      <c r="B203" s="49"/>
      <c r="C203" s="49"/>
      <c r="D203" s="7"/>
      <c r="E203" s="7"/>
      <c r="F203" s="7"/>
      <c r="G203" s="5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8"/>
      <c r="W203" s="8"/>
    </row>
    <row r="204" spans="1:23" ht="21.75" customHeight="1" x14ac:dyDescent="0.6">
      <c r="A204" s="7"/>
      <c r="B204" s="49"/>
      <c r="C204" s="49"/>
      <c r="D204" s="7"/>
      <c r="E204" s="7"/>
      <c r="F204" s="7"/>
      <c r="G204" s="5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8"/>
      <c r="W204" s="8"/>
    </row>
    <row r="205" spans="1:23" ht="21.75" customHeight="1" x14ac:dyDescent="0.6">
      <c r="A205" s="7"/>
      <c r="B205" s="49"/>
      <c r="C205" s="49"/>
      <c r="D205" s="7"/>
      <c r="E205" s="7"/>
      <c r="F205" s="7"/>
      <c r="G205" s="5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8"/>
      <c r="W205" s="8"/>
    </row>
    <row r="206" spans="1:23" ht="21.75" customHeight="1" x14ac:dyDescent="0.6">
      <c r="A206" s="7"/>
      <c r="B206" s="49"/>
      <c r="C206" s="49"/>
      <c r="D206" s="7"/>
      <c r="E206" s="7"/>
      <c r="F206" s="7"/>
      <c r="G206" s="5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8"/>
      <c r="W206" s="8"/>
    </row>
    <row r="207" spans="1:23" ht="21.75" customHeight="1" x14ac:dyDescent="0.6">
      <c r="A207" s="7"/>
      <c r="B207" s="49"/>
      <c r="C207" s="49"/>
      <c r="D207" s="7"/>
      <c r="E207" s="7"/>
      <c r="F207" s="7"/>
      <c r="G207" s="5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8"/>
      <c r="W207" s="8"/>
    </row>
    <row r="208" spans="1:23" ht="21.75" customHeight="1" x14ac:dyDescent="0.6">
      <c r="A208" s="7"/>
      <c r="B208" s="49"/>
      <c r="C208" s="49"/>
      <c r="D208" s="7"/>
      <c r="E208" s="7"/>
      <c r="F208" s="7"/>
      <c r="G208" s="5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8"/>
      <c r="W208" s="8"/>
    </row>
    <row r="209" spans="1:23" ht="21.75" customHeight="1" x14ac:dyDescent="0.6">
      <c r="A209" s="7"/>
      <c r="B209" s="49"/>
      <c r="C209" s="49"/>
      <c r="D209" s="7"/>
      <c r="E209" s="7"/>
      <c r="F209" s="7"/>
      <c r="G209" s="5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8"/>
      <c r="W209" s="8"/>
    </row>
    <row r="210" spans="1:23" ht="21.75" customHeight="1" x14ac:dyDescent="0.6">
      <c r="A210" s="7"/>
      <c r="B210" s="49"/>
      <c r="C210" s="49"/>
      <c r="D210" s="7"/>
      <c r="E210" s="7"/>
      <c r="F210" s="7"/>
      <c r="G210" s="5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8"/>
      <c r="W210" s="8"/>
    </row>
    <row r="211" spans="1:23" ht="21.75" customHeight="1" x14ac:dyDescent="0.6">
      <c r="A211" s="7"/>
      <c r="B211" s="49"/>
      <c r="C211" s="49"/>
      <c r="D211" s="7"/>
      <c r="E211" s="7"/>
      <c r="F211" s="7"/>
      <c r="G211" s="5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8"/>
      <c r="W211" s="8"/>
    </row>
    <row r="212" spans="1:23" ht="21.75" customHeight="1" x14ac:dyDescent="0.6">
      <c r="A212" s="7"/>
      <c r="B212" s="49"/>
      <c r="C212" s="49"/>
      <c r="D212" s="7"/>
      <c r="E212" s="7"/>
      <c r="F212" s="7"/>
      <c r="G212" s="5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8"/>
      <c r="W212" s="8"/>
    </row>
    <row r="213" spans="1:23" ht="21.75" customHeight="1" x14ac:dyDescent="0.6">
      <c r="A213" s="7"/>
      <c r="B213" s="49"/>
      <c r="C213" s="49"/>
      <c r="D213" s="7"/>
      <c r="E213" s="7"/>
      <c r="F213" s="7"/>
      <c r="G213" s="5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8"/>
      <c r="W213" s="8"/>
    </row>
    <row r="214" spans="1:23" ht="21.75" customHeight="1" x14ac:dyDescent="0.6">
      <c r="A214" s="7"/>
      <c r="B214" s="49"/>
      <c r="C214" s="49"/>
      <c r="D214" s="7"/>
      <c r="E214" s="7"/>
      <c r="F214" s="7"/>
      <c r="G214" s="5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8"/>
      <c r="W214" s="8"/>
    </row>
    <row r="215" spans="1:23" ht="21.75" customHeight="1" x14ac:dyDescent="0.6">
      <c r="A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8"/>
      <c r="W215" s="8"/>
    </row>
    <row r="216" spans="1:23" ht="21.75" customHeight="1" x14ac:dyDescent="0.6">
      <c r="A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8"/>
      <c r="W216" s="8"/>
    </row>
    <row r="217" spans="1:23" ht="21.75" customHeight="1" x14ac:dyDescent="0.6">
      <c r="A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8"/>
      <c r="W217" s="8"/>
    </row>
    <row r="218" spans="1:23" ht="21.75" customHeight="1" x14ac:dyDescent="0.6">
      <c r="A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8"/>
      <c r="W218" s="8"/>
    </row>
    <row r="219" spans="1:23" ht="21.75" customHeight="1" x14ac:dyDescent="0.6">
      <c r="A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8"/>
      <c r="W219" s="8"/>
    </row>
    <row r="220" spans="1:23" ht="21.75" customHeight="1" x14ac:dyDescent="0.6">
      <c r="A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8"/>
      <c r="W220" s="8"/>
    </row>
    <row r="221" spans="1:23" ht="21.75" customHeight="1" x14ac:dyDescent="0.6">
      <c r="A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8"/>
      <c r="W221" s="8"/>
    </row>
    <row r="222" spans="1:23" ht="15.75" customHeight="1" x14ac:dyDescent="0.25"/>
    <row r="223" spans="1:23" ht="15.75" customHeight="1" x14ac:dyDescent="0.25"/>
    <row r="224" spans="1:2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B3:H4"/>
    <mergeCell ref="B15:C15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Z1000"/>
  <sheetViews>
    <sheetView showGridLines="0" tabSelected="1" topLeftCell="E13" zoomScale="61" zoomScaleNormal="70" workbookViewId="0">
      <selection activeCell="AM25" sqref="AM25"/>
    </sheetView>
  </sheetViews>
  <sheetFormatPr defaultColWidth="14.42578125" defaultRowHeight="15" customHeight="1" x14ac:dyDescent="0.25"/>
  <cols>
    <col min="1" max="1" width="1.28515625" customWidth="1"/>
    <col min="2" max="2" width="34.5703125" customWidth="1"/>
    <col min="3" max="3" width="17.85546875" customWidth="1"/>
    <col min="4" max="4" width="40.85546875" customWidth="1"/>
    <col min="5" max="5" width="0.7109375" customWidth="1"/>
    <col min="6" max="6" width="4.28515625" customWidth="1"/>
    <col min="7" max="7" width="57.7109375" customWidth="1"/>
    <col min="8" max="61" width="4.85546875" customWidth="1"/>
    <col min="63" max="63" width="72.5703125" customWidth="1"/>
    <col min="64" max="64" width="52" customWidth="1"/>
    <col min="65" max="65" width="5.140625" customWidth="1"/>
    <col min="66" max="73" width="5.28515625" customWidth="1"/>
    <col min="74" max="74" width="6.42578125" customWidth="1"/>
    <col min="75" max="75" width="6.140625" customWidth="1"/>
    <col min="76" max="83" width="6.42578125" customWidth="1"/>
    <col min="84" max="84" width="6.5703125" customWidth="1"/>
    <col min="85" max="85" width="6.42578125" customWidth="1"/>
    <col min="86" max="94" width="6.5703125" customWidth="1"/>
    <col min="95" max="95" width="6.42578125" customWidth="1"/>
    <col min="96" max="104" width="6.5703125" customWidth="1"/>
  </cols>
  <sheetData>
    <row r="1" spans="1:104" ht="7.5" customHeight="1" x14ac:dyDescent="0.6">
      <c r="A1" s="7"/>
      <c r="B1" s="49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  <c r="R1" s="8"/>
      <c r="S1" s="8"/>
    </row>
    <row r="2" spans="1:104" ht="12.75" customHeight="1" x14ac:dyDescent="0.6">
      <c r="A2" s="7"/>
      <c r="B2" s="51"/>
      <c r="C2" s="10"/>
      <c r="D2" s="10"/>
      <c r="E2" s="11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8"/>
      <c r="S2" s="8"/>
    </row>
    <row r="3" spans="1:104" ht="12.75" customHeight="1" x14ac:dyDescent="0.6">
      <c r="A3" s="7"/>
      <c r="B3" s="128" t="s">
        <v>78</v>
      </c>
      <c r="C3" s="117"/>
      <c r="D3" s="117"/>
      <c r="E3" s="129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8"/>
      <c r="S3" s="8"/>
    </row>
    <row r="4" spans="1:104" ht="12.75" customHeight="1" x14ac:dyDescent="0.6">
      <c r="A4" s="7"/>
      <c r="B4" s="130"/>
      <c r="C4" s="131"/>
      <c r="D4" s="131"/>
      <c r="E4" s="132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/>
      <c r="R4" s="8"/>
      <c r="S4" s="8"/>
    </row>
    <row r="5" spans="1:104" ht="21.75" customHeight="1" x14ac:dyDescent="0.6">
      <c r="A5" s="7"/>
      <c r="B5" s="58"/>
      <c r="C5" s="17"/>
      <c r="D5" s="17"/>
      <c r="E5" s="17"/>
      <c r="F5" s="7"/>
      <c r="G5" s="7"/>
      <c r="H5" s="134" t="s">
        <v>78</v>
      </c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5"/>
      <c r="AQ5" s="135"/>
      <c r="AR5" s="135"/>
      <c r="AS5" s="135"/>
      <c r="AT5" s="135"/>
      <c r="AU5" s="135"/>
      <c r="AV5" s="135"/>
      <c r="AW5" s="135"/>
      <c r="AX5" s="135"/>
      <c r="AY5" s="135"/>
      <c r="AZ5" s="135"/>
      <c r="BA5" s="135"/>
      <c r="BB5" s="135"/>
      <c r="BC5" s="135"/>
      <c r="BD5" s="135"/>
      <c r="BE5" s="135"/>
      <c r="BF5" s="135"/>
      <c r="BG5" s="135"/>
      <c r="BH5" s="135"/>
      <c r="BI5" s="135"/>
      <c r="BK5" s="136" t="s">
        <v>79</v>
      </c>
      <c r="BL5" s="117"/>
      <c r="BM5" s="117"/>
      <c r="BN5" s="117"/>
      <c r="BO5" s="117"/>
      <c r="BP5" s="117"/>
      <c r="BQ5" s="117"/>
      <c r="BR5" s="117"/>
      <c r="BS5" s="117"/>
      <c r="BT5" s="117"/>
      <c r="BU5" s="117"/>
      <c r="BV5" s="117"/>
      <c r="BW5" s="117"/>
      <c r="BX5" s="117"/>
      <c r="BY5" s="117"/>
      <c r="BZ5" s="117"/>
      <c r="CA5" s="117"/>
      <c r="CB5" s="117"/>
      <c r="CC5" s="117"/>
      <c r="CD5" s="117"/>
      <c r="CE5" s="117"/>
      <c r="CF5" s="117"/>
      <c r="CG5" s="117"/>
      <c r="CH5" s="117"/>
      <c r="CI5" s="117"/>
      <c r="CJ5" s="117"/>
      <c r="CK5" s="117"/>
      <c r="CL5" s="117"/>
      <c r="CM5" s="117"/>
      <c r="CN5" s="117"/>
      <c r="CO5" s="117"/>
      <c r="CP5" s="117"/>
      <c r="CQ5" s="117"/>
      <c r="CR5" s="117"/>
      <c r="CS5" s="117"/>
      <c r="CT5" s="117"/>
      <c r="CU5" s="117"/>
      <c r="CV5" s="117"/>
      <c r="CW5" s="117"/>
      <c r="CX5" s="117"/>
      <c r="CY5" s="117"/>
      <c r="CZ5" s="117"/>
    </row>
    <row r="6" spans="1:104" ht="21.75" customHeight="1" x14ac:dyDescent="0.6">
      <c r="A6" s="7"/>
      <c r="B6" s="32" t="s">
        <v>66</v>
      </c>
      <c r="C6" s="60" t="s">
        <v>80</v>
      </c>
      <c r="D6" s="29"/>
      <c r="F6" s="7"/>
      <c r="G6" s="77" t="s">
        <v>81</v>
      </c>
      <c r="H6" s="77" t="s">
        <v>82</v>
      </c>
      <c r="I6" s="77" t="s">
        <v>83</v>
      </c>
      <c r="J6" s="77" t="s">
        <v>84</v>
      </c>
      <c r="K6" s="77" t="s">
        <v>85</v>
      </c>
      <c r="L6" s="77" t="s">
        <v>86</v>
      </c>
      <c r="M6" s="77" t="s">
        <v>87</v>
      </c>
      <c r="N6" s="77" t="s">
        <v>88</v>
      </c>
      <c r="O6" s="77" t="s">
        <v>89</v>
      </c>
      <c r="P6" s="77" t="s">
        <v>90</v>
      </c>
      <c r="Q6" s="77" t="s">
        <v>91</v>
      </c>
      <c r="R6" s="77" t="s">
        <v>92</v>
      </c>
      <c r="S6" s="77" t="s">
        <v>93</v>
      </c>
      <c r="T6" s="77" t="s">
        <v>94</v>
      </c>
      <c r="U6" s="77" t="s">
        <v>95</v>
      </c>
      <c r="V6" s="77" t="s">
        <v>96</v>
      </c>
      <c r="W6" s="77" t="s">
        <v>97</v>
      </c>
      <c r="X6" s="77" t="s">
        <v>98</v>
      </c>
      <c r="Y6" s="77" t="s">
        <v>99</v>
      </c>
      <c r="Z6" s="77" t="s">
        <v>100</v>
      </c>
      <c r="AA6" s="77" t="s">
        <v>101</v>
      </c>
      <c r="AB6" s="77" t="s">
        <v>102</v>
      </c>
      <c r="AC6" s="77" t="s">
        <v>103</v>
      </c>
      <c r="AD6" s="77" t="s">
        <v>104</v>
      </c>
      <c r="AE6" s="77" t="s">
        <v>105</v>
      </c>
      <c r="AF6" s="78" t="s">
        <v>106</v>
      </c>
      <c r="AG6" s="78" t="s">
        <v>107</v>
      </c>
      <c r="AH6" s="78" t="s">
        <v>108</v>
      </c>
      <c r="AI6" s="78" t="s">
        <v>109</v>
      </c>
      <c r="AJ6" s="78" t="s">
        <v>110</v>
      </c>
      <c r="AK6" s="78" t="s">
        <v>111</v>
      </c>
      <c r="AL6" s="78" t="s">
        <v>112</v>
      </c>
      <c r="AM6" s="78" t="s">
        <v>113</v>
      </c>
      <c r="AN6" s="77" t="s">
        <v>114</v>
      </c>
      <c r="AO6" s="77" t="s">
        <v>115</v>
      </c>
      <c r="AP6" s="77" t="s">
        <v>116</v>
      </c>
      <c r="AQ6" s="77" t="s">
        <v>117</v>
      </c>
      <c r="AR6" s="77" t="s">
        <v>118</v>
      </c>
      <c r="AS6" s="77" t="s">
        <v>119</v>
      </c>
      <c r="AT6" s="77" t="s">
        <v>120</v>
      </c>
      <c r="AU6" s="77" t="s">
        <v>121</v>
      </c>
      <c r="AV6" s="77" t="s">
        <v>163</v>
      </c>
      <c r="AW6" s="77" t="s">
        <v>164</v>
      </c>
      <c r="AX6" s="77" t="s">
        <v>165</v>
      </c>
      <c r="AY6" s="77" t="s">
        <v>166</v>
      </c>
      <c r="AZ6" s="77" t="s">
        <v>167</v>
      </c>
      <c r="BA6" s="77" t="s">
        <v>168</v>
      </c>
      <c r="BB6" s="77" t="s">
        <v>169</v>
      </c>
      <c r="BC6" s="77" t="s">
        <v>170</v>
      </c>
      <c r="BD6" s="77" t="s">
        <v>171</v>
      </c>
      <c r="BE6" s="77" t="s">
        <v>172</v>
      </c>
      <c r="BF6" s="77" t="s">
        <v>173</v>
      </c>
      <c r="BG6" s="77" t="s">
        <v>174</v>
      </c>
      <c r="BH6" s="77" t="s">
        <v>175</v>
      </c>
      <c r="BI6" s="77" t="s">
        <v>176</v>
      </c>
      <c r="BK6" s="77" t="s">
        <v>122</v>
      </c>
      <c r="BL6" s="77" t="s">
        <v>123</v>
      </c>
      <c r="BM6" s="77" t="s">
        <v>82</v>
      </c>
      <c r="BN6" s="77" t="s">
        <v>83</v>
      </c>
      <c r="BO6" s="77" t="s">
        <v>84</v>
      </c>
      <c r="BP6" s="77" t="s">
        <v>85</v>
      </c>
      <c r="BQ6" s="77" t="s">
        <v>86</v>
      </c>
      <c r="BR6" s="77" t="s">
        <v>87</v>
      </c>
      <c r="BS6" s="77" t="s">
        <v>88</v>
      </c>
      <c r="BT6" s="77" t="s">
        <v>89</v>
      </c>
      <c r="BU6" s="77" t="s">
        <v>90</v>
      </c>
      <c r="BV6" s="77" t="s">
        <v>91</v>
      </c>
      <c r="BW6" s="77" t="s">
        <v>92</v>
      </c>
      <c r="BX6" s="77" t="s">
        <v>93</v>
      </c>
      <c r="BY6" s="77" t="s">
        <v>94</v>
      </c>
      <c r="BZ6" s="77" t="s">
        <v>95</v>
      </c>
      <c r="CA6" s="77" t="s">
        <v>96</v>
      </c>
      <c r="CB6" s="77" t="s">
        <v>97</v>
      </c>
      <c r="CC6" s="77" t="s">
        <v>98</v>
      </c>
      <c r="CD6" s="77" t="s">
        <v>99</v>
      </c>
      <c r="CE6" s="77" t="s">
        <v>100</v>
      </c>
      <c r="CF6" s="77" t="s">
        <v>101</v>
      </c>
      <c r="CG6" s="77" t="s">
        <v>102</v>
      </c>
      <c r="CH6" s="77" t="s">
        <v>103</v>
      </c>
      <c r="CI6" s="77" t="s">
        <v>104</v>
      </c>
      <c r="CJ6" s="77" t="s">
        <v>105</v>
      </c>
      <c r="CK6" s="79" t="s">
        <v>106</v>
      </c>
      <c r="CL6" s="79" t="s">
        <v>107</v>
      </c>
      <c r="CM6" s="79" t="s">
        <v>108</v>
      </c>
      <c r="CN6" s="79" t="s">
        <v>109</v>
      </c>
      <c r="CO6" s="79" t="s">
        <v>110</v>
      </c>
      <c r="CP6" s="79" t="s">
        <v>111</v>
      </c>
      <c r="CQ6" s="79" t="s">
        <v>112</v>
      </c>
      <c r="CR6" s="79" t="s">
        <v>113</v>
      </c>
      <c r="CS6" s="77" t="s">
        <v>114</v>
      </c>
      <c r="CT6" s="77" t="s">
        <v>115</v>
      </c>
      <c r="CU6" s="77" t="s">
        <v>116</v>
      </c>
      <c r="CV6" s="77" t="s">
        <v>117</v>
      </c>
      <c r="CW6" s="77" t="s">
        <v>118</v>
      </c>
      <c r="CX6" s="77" t="s">
        <v>119</v>
      </c>
      <c r="CY6" s="77" t="s">
        <v>120</v>
      </c>
      <c r="CZ6" s="77" t="s">
        <v>121</v>
      </c>
    </row>
    <row r="7" spans="1:104" ht="21.75" customHeight="1" x14ac:dyDescent="0.6">
      <c r="A7" s="7"/>
      <c r="B7" s="72" t="s">
        <v>124</v>
      </c>
      <c r="C7" s="80">
        <v>1</v>
      </c>
      <c r="D7" s="65" t="str">
        <f>"+/- 1 mês"</f>
        <v>+/- 1 mês</v>
      </c>
      <c r="F7" s="7"/>
      <c r="G7" s="81" t="s">
        <v>124</v>
      </c>
      <c r="H7" s="82">
        <v>1</v>
      </c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K7" s="81" t="s">
        <v>125</v>
      </c>
      <c r="BL7" s="81" t="s">
        <v>124</v>
      </c>
      <c r="BM7" s="82">
        <v>1</v>
      </c>
      <c r="BN7" s="82"/>
      <c r="BO7" s="82"/>
      <c r="BP7" s="82"/>
      <c r="BQ7" s="82"/>
      <c r="BR7" s="82"/>
      <c r="BS7" s="82"/>
      <c r="BT7" s="82"/>
      <c r="BU7" s="82"/>
      <c r="BV7" s="82"/>
      <c r="BW7" s="82"/>
      <c r="BX7" s="82"/>
      <c r="BY7" s="82"/>
      <c r="BZ7" s="82"/>
      <c r="CA7" s="82"/>
      <c r="CB7" s="82"/>
      <c r="CC7" s="82"/>
      <c r="CD7" s="82"/>
      <c r="CE7" s="82"/>
      <c r="CF7" s="82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82"/>
      <c r="CU7" s="82"/>
      <c r="CV7" s="82"/>
      <c r="CW7" s="82"/>
      <c r="CX7" s="82"/>
      <c r="CY7" s="82"/>
      <c r="CZ7" s="82"/>
    </row>
    <row r="8" spans="1:104" ht="21.75" customHeight="1" x14ac:dyDescent="0.6">
      <c r="A8" s="7"/>
      <c r="B8" s="72" t="s">
        <v>126</v>
      </c>
      <c r="C8" s="63">
        <f>'b. Fundação'!H10+'b. Fundação'!L18</f>
        <v>4.418181818181818</v>
      </c>
      <c r="D8" s="65" t="s">
        <v>127</v>
      </c>
      <c r="F8" s="7"/>
      <c r="G8" s="83" t="s">
        <v>126</v>
      </c>
      <c r="H8" s="84"/>
      <c r="I8" s="84">
        <v>1</v>
      </c>
      <c r="J8" s="84">
        <v>2</v>
      </c>
      <c r="K8" s="84">
        <v>3</v>
      </c>
      <c r="L8" s="84">
        <v>4</v>
      </c>
      <c r="M8" s="84">
        <v>5</v>
      </c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K8" s="83" t="s">
        <v>128</v>
      </c>
      <c r="BL8" s="83" t="s">
        <v>126</v>
      </c>
      <c r="BM8" s="84"/>
      <c r="BN8" s="84">
        <v>1</v>
      </c>
      <c r="BO8" s="84">
        <v>2</v>
      </c>
      <c r="BP8" s="84">
        <v>3</v>
      </c>
      <c r="BQ8" s="84">
        <v>4</v>
      </c>
      <c r="BR8" s="84">
        <v>5</v>
      </c>
      <c r="BS8" s="84"/>
      <c r="BT8" s="84"/>
      <c r="BU8" s="84"/>
      <c r="BV8" s="84"/>
      <c r="BW8" s="84"/>
      <c r="BX8" s="84"/>
      <c r="BY8" s="84"/>
      <c r="BZ8" s="84"/>
      <c r="CA8" s="84"/>
      <c r="CB8" s="84"/>
      <c r="CC8" s="84"/>
      <c r="CD8" s="84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84"/>
      <c r="CQ8" s="84"/>
      <c r="CR8" s="84"/>
      <c r="CS8" s="84"/>
      <c r="CT8" s="84"/>
      <c r="CU8" s="84"/>
      <c r="CV8" s="84"/>
      <c r="CW8" s="84"/>
      <c r="CX8" s="84"/>
      <c r="CY8" s="84"/>
      <c r="CZ8" s="84"/>
    </row>
    <row r="9" spans="1:104" ht="21.75" customHeight="1" x14ac:dyDescent="0.6">
      <c r="A9" s="7"/>
      <c r="B9" s="72" t="s">
        <v>129</v>
      </c>
      <c r="C9" s="63">
        <f>'c. Supraestrutura'!I37</f>
        <v>22</v>
      </c>
      <c r="D9" s="65" t="s">
        <v>130</v>
      </c>
      <c r="F9" s="7"/>
      <c r="G9" s="81" t="s">
        <v>129</v>
      </c>
      <c r="H9" s="82"/>
      <c r="I9" s="82"/>
      <c r="J9" s="82"/>
      <c r="K9" s="82"/>
      <c r="L9" s="82"/>
      <c r="M9" s="82"/>
      <c r="N9" s="82">
        <v>1</v>
      </c>
      <c r="O9" s="82">
        <v>2</v>
      </c>
      <c r="P9" s="82">
        <v>3</v>
      </c>
      <c r="Q9" s="82">
        <v>4</v>
      </c>
      <c r="R9" s="82">
        <v>5</v>
      </c>
      <c r="S9" s="82">
        <v>6</v>
      </c>
      <c r="T9" s="82">
        <v>7</v>
      </c>
      <c r="U9" s="82">
        <v>8</v>
      </c>
      <c r="V9" s="82">
        <v>9</v>
      </c>
      <c r="W9" s="82">
        <v>10</v>
      </c>
      <c r="X9" s="82">
        <v>11</v>
      </c>
      <c r="Y9" s="82">
        <v>12</v>
      </c>
      <c r="Z9" s="82">
        <v>13</v>
      </c>
      <c r="AA9" s="82">
        <v>14</v>
      </c>
      <c r="AB9" s="82">
        <v>15</v>
      </c>
      <c r="AC9" s="82">
        <v>16</v>
      </c>
      <c r="AD9" s="82">
        <v>17</v>
      </c>
      <c r="AE9" s="82">
        <v>18</v>
      </c>
      <c r="AF9" s="82">
        <v>19</v>
      </c>
      <c r="AG9" s="82">
        <v>20</v>
      </c>
      <c r="AH9" s="82">
        <v>21</v>
      </c>
      <c r="AI9" s="82">
        <v>22</v>
      </c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K9" s="81" t="s">
        <v>131</v>
      </c>
      <c r="BL9" s="81" t="s">
        <v>129</v>
      </c>
      <c r="BM9" s="82"/>
      <c r="BN9" s="82"/>
      <c r="BO9" s="82"/>
      <c r="BP9" s="82"/>
      <c r="BQ9" s="82"/>
      <c r="BR9" s="82"/>
      <c r="BS9" s="82">
        <v>1</v>
      </c>
      <c r="BT9" s="82">
        <v>2</v>
      </c>
      <c r="BU9" s="82">
        <v>3</v>
      </c>
      <c r="BV9" s="82">
        <v>4</v>
      </c>
      <c r="BW9" s="82">
        <v>5</v>
      </c>
      <c r="BX9" s="82">
        <v>6</v>
      </c>
      <c r="BY9" s="82">
        <v>7</v>
      </c>
      <c r="BZ9" s="82">
        <v>8</v>
      </c>
      <c r="CA9" s="82">
        <v>9</v>
      </c>
      <c r="CB9" s="82">
        <v>10</v>
      </c>
      <c r="CC9" s="82">
        <v>11</v>
      </c>
      <c r="CD9" s="82">
        <v>12</v>
      </c>
      <c r="CE9" s="82">
        <v>13</v>
      </c>
      <c r="CF9" s="82">
        <v>14</v>
      </c>
      <c r="CG9" s="82">
        <v>15</v>
      </c>
      <c r="CH9" s="82">
        <v>16</v>
      </c>
      <c r="CI9" s="82"/>
      <c r="CJ9" s="82"/>
      <c r="CK9" s="82"/>
      <c r="CL9" s="82"/>
      <c r="CM9" s="82"/>
      <c r="CN9" s="82"/>
      <c r="CO9" s="82"/>
      <c r="CP9" s="82"/>
      <c r="CQ9" s="82"/>
      <c r="CR9" s="82"/>
      <c r="CS9" s="82"/>
      <c r="CT9" s="82"/>
      <c r="CU9" s="82"/>
      <c r="CV9" s="82"/>
      <c r="CW9" s="82"/>
      <c r="CX9" s="82"/>
      <c r="CY9" s="82"/>
      <c r="CZ9" s="82"/>
    </row>
    <row r="10" spans="1:104" ht="21.75" customHeight="1" x14ac:dyDescent="0.6">
      <c r="A10" s="7"/>
      <c r="B10" s="72" t="s">
        <v>132</v>
      </c>
      <c r="C10" s="85">
        <v>3</v>
      </c>
      <c r="D10" s="65" t="str">
        <f>"+/-3 meses após o término da Supraestrutura"</f>
        <v>+/-3 meses após o término da Supraestrutura</v>
      </c>
      <c r="F10" s="7"/>
      <c r="G10" s="83" t="s">
        <v>133</v>
      </c>
      <c r="H10" s="84"/>
      <c r="I10" s="84"/>
      <c r="J10" s="84"/>
      <c r="K10" s="84"/>
      <c r="L10" s="84"/>
      <c r="M10" s="84"/>
      <c r="N10" s="84"/>
      <c r="O10" s="84"/>
      <c r="P10" s="84"/>
      <c r="Q10" s="84">
        <v>1</v>
      </c>
      <c r="R10" s="84">
        <v>2</v>
      </c>
      <c r="S10" s="84">
        <v>3</v>
      </c>
      <c r="T10" s="84">
        <v>4</v>
      </c>
      <c r="U10" s="84">
        <v>5</v>
      </c>
      <c r="V10" s="84">
        <v>6</v>
      </c>
      <c r="W10" s="84">
        <v>7</v>
      </c>
      <c r="X10" s="84">
        <v>8</v>
      </c>
      <c r="Y10" s="84">
        <v>9</v>
      </c>
      <c r="Z10" s="84">
        <v>10</v>
      </c>
      <c r="AA10" s="84">
        <v>11</v>
      </c>
      <c r="AB10" s="84">
        <v>12</v>
      </c>
      <c r="AC10" s="84">
        <v>13</v>
      </c>
      <c r="AD10" s="84">
        <v>14</v>
      </c>
      <c r="AE10" s="84">
        <v>15</v>
      </c>
      <c r="AF10" s="84">
        <v>16</v>
      </c>
      <c r="AG10" s="84">
        <v>17</v>
      </c>
      <c r="AH10" s="84">
        <v>18</v>
      </c>
      <c r="AI10" s="84">
        <v>19</v>
      </c>
      <c r="AJ10" s="84">
        <v>20</v>
      </c>
      <c r="AK10" s="84">
        <v>21</v>
      </c>
      <c r="AL10" s="84">
        <v>22</v>
      </c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K10" s="83" t="s">
        <v>134</v>
      </c>
      <c r="BL10" s="83" t="s">
        <v>133</v>
      </c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>
        <v>1</v>
      </c>
      <c r="BX10" s="84">
        <v>2</v>
      </c>
      <c r="BY10" s="84">
        <v>3</v>
      </c>
      <c r="BZ10" s="84">
        <v>4</v>
      </c>
      <c r="CA10" s="84">
        <v>5</v>
      </c>
      <c r="CB10" s="84">
        <v>6</v>
      </c>
      <c r="CC10" s="84">
        <v>7</v>
      </c>
      <c r="CD10" s="84">
        <v>8</v>
      </c>
      <c r="CE10" s="84">
        <v>9</v>
      </c>
      <c r="CF10" s="84">
        <v>10</v>
      </c>
      <c r="CG10" s="84">
        <v>11</v>
      </c>
      <c r="CH10" s="84">
        <v>12</v>
      </c>
      <c r="CI10" s="84">
        <v>13</v>
      </c>
      <c r="CJ10" s="84">
        <v>14</v>
      </c>
      <c r="CK10" s="84">
        <v>15</v>
      </c>
      <c r="CL10" s="84"/>
      <c r="CM10" s="84"/>
      <c r="CN10" s="84"/>
      <c r="CO10" s="84"/>
      <c r="CP10" s="84"/>
      <c r="CQ10" s="84"/>
      <c r="CR10" s="84"/>
      <c r="CS10" s="84"/>
      <c r="CT10" s="84"/>
      <c r="CU10" s="84"/>
      <c r="CV10" s="84"/>
      <c r="CW10" s="84"/>
      <c r="CX10" s="84"/>
      <c r="CY10" s="84"/>
      <c r="CZ10" s="84"/>
    </row>
    <row r="11" spans="1:104" ht="21.75" customHeight="1" x14ac:dyDescent="0.6">
      <c r="A11" s="7"/>
      <c r="B11" s="72" t="s">
        <v>135</v>
      </c>
      <c r="C11" s="63">
        <f>'d. Fachada'!G14</f>
        <v>11.636363636363637</v>
      </c>
      <c r="D11" s="65" t="s">
        <v>136</v>
      </c>
      <c r="F11" s="7"/>
      <c r="G11" s="81" t="s">
        <v>135</v>
      </c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>
        <v>1</v>
      </c>
      <c r="AL11" s="82">
        <v>2</v>
      </c>
      <c r="AM11" s="82">
        <v>3</v>
      </c>
      <c r="AN11" s="82">
        <v>4</v>
      </c>
      <c r="AO11" s="82">
        <v>5</v>
      </c>
      <c r="AP11" s="82">
        <v>6</v>
      </c>
      <c r="AQ11" s="82">
        <v>7</v>
      </c>
      <c r="AR11" s="82">
        <v>8</v>
      </c>
      <c r="AS11" s="82">
        <v>9</v>
      </c>
      <c r="AT11" s="82">
        <v>10</v>
      </c>
      <c r="AU11" s="82">
        <v>11</v>
      </c>
      <c r="AV11" s="82">
        <v>12</v>
      </c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K11" s="78" t="s">
        <v>137</v>
      </c>
      <c r="BL11" s="78" t="s">
        <v>137</v>
      </c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>
        <v>1</v>
      </c>
      <c r="BY11" s="86">
        <v>2</v>
      </c>
      <c r="BZ11" s="86">
        <v>3</v>
      </c>
      <c r="CA11" s="86">
        <v>4</v>
      </c>
      <c r="CB11" s="86">
        <v>5</v>
      </c>
      <c r="CC11" s="86">
        <v>6</v>
      </c>
      <c r="CD11" s="86">
        <v>7</v>
      </c>
      <c r="CE11" s="86">
        <v>8</v>
      </c>
      <c r="CF11" s="86">
        <v>9</v>
      </c>
      <c r="CG11" s="86">
        <v>10</v>
      </c>
      <c r="CH11" s="86">
        <v>11</v>
      </c>
      <c r="CI11" s="86">
        <v>12</v>
      </c>
      <c r="CJ11" s="86">
        <v>13</v>
      </c>
      <c r="CK11" s="86">
        <v>14</v>
      </c>
      <c r="CL11" s="86">
        <v>15</v>
      </c>
      <c r="CM11" s="86">
        <v>16</v>
      </c>
      <c r="CN11" s="86"/>
      <c r="CO11" s="86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6"/>
    </row>
    <row r="12" spans="1:104" ht="21.75" customHeight="1" x14ac:dyDescent="0.6">
      <c r="A12" s="7"/>
      <c r="B12" s="72" t="s">
        <v>138</v>
      </c>
      <c r="C12" s="63">
        <v>12</v>
      </c>
      <c r="D12" s="65" t="str">
        <f>"+/-12 meses após o término da Alvenaria"</f>
        <v>+/-12 meses após o término da Alvenaria</v>
      </c>
      <c r="F12" s="7"/>
      <c r="G12" s="83" t="s">
        <v>138</v>
      </c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>
        <v>1</v>
      </c>
      <c r="AN12" s="84">
        <v>2</v>
      </c>
      <c r="AO12" s="84">
        <v>3</v>
      </c>
      <c r="AP12" s="84">
        <v>4</v>
      </c>
      <c r="AQ12" s="84">
        <v>5</v>
      </c>
      <c r="AR12" s="84">
        <v>6</v>
      </c>
      <c r="AS12" s="84">
        <v>7</v>
      </c>
      <c r="AT12" s="84">
        <v>8</v>
      </c>
      <c r="AU12" s="84">
        <v>9</v>
      </c>
      <c r="AV12" s="84">
        <v>10</v>
      </c>
      <c r="AW12" s="84">
        <v>11</v>
      </c>
      <c r="AX12" s="84">
        <v>12</v>
      </c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K12" s="78" t="s">
        <v>139</v>
      </c>
      <c r="BL12" s="78" t="s">
        <v>139</v>
      </c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6"/>
      <c r="CF12" s="86"/>
      <c r="CG12" s="86"/>
      <c r="CH12" s="86"/>
      <c r="CI12" s="86"/>
      <c r="CJ12" s="86"/>
      <c r="CK12" s="86"/>
      <c r="CL12" s="86">
        <v>1</v>
      </c>
      <c r="CM12" s="86">
        <v>2</v>
      </c>
      <c r="CN12" s="86">
        <v>3</v>
      </c>
      <c r="CO12" s="86">
        <v>4</v>
      </c>
      <c r="CP12" s="86">
        <v>5</v>
      </c>
      <c r="CQ12" s="86">
        <v>6</v>
      </c>
      <c r="CR12" s="86"/>
      <c r="CS12" s="86"/>
      <c r="CT12" s="86"/>
      <c r="CU12" s="86"/>
      <c r="CV12" s="86"/>
      <c r="CW12" s="86"/>
      <c r="CX12" s="86"/>
      <c r="CY12" s="86"/>
      <c r="CZ12" s="86"/>
    </row>
    <row r="13" spans="1:104" ht="21.75" customHeight="1" x14ac:dyDescent="0.6">
      <c r="A13" s="7"/>
      <c r="B13" s="72" t="s">
        <v>140</v>
      </c>
      <c r="C13" s="63">
        <v>5</v>
      </c>
      <c r="D13" s="65" t="str">
        <f>"+/-5 a 6 meses após o término da Fachada"</f>
        <v>+/-5 a 6 meses após o término da Fachada</v>
      </c>
      <c r="F13" s="7"/>
      <c r="G13" s="81" t="s">
        <v>140</v>
      </c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>
        <v>1</v>
      </c>
      <c r="AX13" s="82">
        <v>2</v>
      </c>
      <c r="AY13" s="82">
        <v>3</v>
      </c>
      <c r="AZ13" s="82">
        <v>4</v>
      </c>
      <c r="BA13" s="82">
        <v>5</v>
      </c>
      <c r="BB13" s="82"/>
      <c r="BC13" s="82"/>
      <c r="BD13" s="82"/>
      <c r="BE13" s="107"/>
      <c r="BF13" s="82"/>
      <c r="BG13" s="82"/>
      <c r="BH13" s="82"/>
      <c r="BI13" s="82"/>
      <c r="BK13" s="78" t="s">
        <v>141</v>
      </c>
      <c r="BL13" s="78" t="s">
        <v>141</v>
      </c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86"/>
      <c r="BZ13" s="86"/>
      <c r="CA13" s="86">
        <v>1</v>
      </c>
      <c r="CB13" s="86">
        <v>2</v>
      </c>
      <c r="CC13" s="86">
        <v>3</v>
      </c>
      <c r="CD13" s="86">
        <v>4</v>
      </c>
      <c r="CE13" s="86">
        <v>5</v>
      </c>
      <c r="CF13" s="86">
        <v>6</v>
      </c>
      <c r="CG13" s="86">
        <v>7</v>
      </c>
      <c r="CH13" s="86">
        <v>8</v>
      </c>
      <c r="CI13" s="86">
        <v>9</v>
      </c>
      <c r="CJ13" s="86">
        <v>10</v>
      </c>
      <c r="CK13" s="86">
        <v>11</v>
      </c>
      <c r="CL13" s="86">
        <v>12</v>
      </c>
      <c r="CM13" s="86">
        <v>13</v>
      </c>
      <c r="CN13" s="86">
        <v>14</v>
      </c>
      <c r="CO13" s="86">
        <v>15</v>
      </c>
      <c r="CP13" s="86">
        <v>16</v>
      </c>
      <c r="CQ13" s="86"/>
      <c r="CR13" s="86"/>
      <c r="CS13" s="86"/>
      <c r="CT13" s="86"/>
      <c r="CU13" s="86"/>
      <c r="CV13" s="86"/>
      <c r="CW13" s="86"/>
      <c r="CX13" s="86"/>
      <c r="CY13" s="86"/>
      <c r="CZ13" s="86"/>
    </row>
    <row r="14" spans="1:104" ht="21.75" customHeight="1" x14ac:dyDescent="0.6">
      <c r="A14" s="7"/>
      <c r="B14" s="87"/>
      <c r="C14" s="88"/>
      <c r="E14" s="41"/>
      <c r="F14" s="7"/>
      <c r="G14" s="8"/>
      <c r="H14" s="8"/>
      <c r="I14" s="7"/>
      <c r="J14" s="7"/>
      <c r="K14" s="7"/>
      <c r="L14" s="7"/>
      <c r="M14" s="7"/>
      <c r="N14" s="7"/>
      <c r="O14" s="7"/>
      <c r="P14" s="7"/>
      <c r="Q14" s="8"/>
      <c r="R14" s="8"/>
      <c r="S14" s="8"/>
      <c r="BK14" s="78" t="s">
        <v>142</v>
      </c>
      <c r="BL14" s="78" t="s">
        <v>142</v>
      </c>
      <c r="BM14" s="86"/>
      <c r="BN14" s="86"/>
      <c r="BO14" s="86"/>
      <c r="BP14" s="86"/>
      <c r="BQ14" s="86"/>
      <c r="BR14" s="86"/>
      <c r="BS14" s="86"/>
      <c r="BT14" s="86"/>
      <c r="BU14" s="86"/>
      <c r="BV14" s="86"/>
      <c r="BW14" s="86"/>
      <c r="BX14" s="86"/>
      <c r="BY14" s="86">
        <v>1</v>
      </c>
      <c r="BZ14" s="86">
        <v>2</v>
      </c>
      <c r="CA14" s="86">
        <v>3</v>
      </c>
      <c r="CB14" s="86">
        <v>4</v>
      </c>
      <c r="CC14" s="86">
        <v>5</v>
      </c>
      <c r="CD14" s="86">
        <v>6</v>
      </c>
      <c r="CE14" s="86">
        <v>7</v>
      </c>
      <c r="CF14" s="86">
        <v>8</v>
      </c>
      <c r="CG14" s="86">
        <v>9</v>
      </c>
      <c r="CH14" s="86">
        <v>10</v>
      </c>
      <c r="CI14" s="86">
        <v>11</v>
      </c>
      <c r="CJ14" s="86">
        <v>12</v>
      </c>
      <c r="CK14" s="86">
        <v>13</v>
      </c>
      <c r="CL14" s="86">
        <v>14</v>
      </c>
      <c r="CM14" s="86">
        <v>15</v>
      </c>
      <c r="CN14" s="86">
        <v>16</v>
      </c>
      <c r="CO14" s="86">
        <v>17</v>
      </c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86"/>
    </row>
    <row r="15" spans="1:104" ht="21.75" customHeight="1" x14ac:dyDescent="0.6">
      <c r="A15" s="7"/>
      <c r="B15" s="89" t="s">
        <v>143</v>
      </c>
      <c r="C15" s="90">
        <f>C9+1</f>
        <v>23</v>
      </c>
      <c r="D15" s="91" t="s">
        <v>144</v>
      </c>
      <c r="E15" s="7"/>
      <c r="F15" s="7"/>
      <c r="G15" s="77" t="s">
        <v>81</v>
      </c>
      <c r="H15" s="101" t="s">
        <v>82</v>
      </c>
      <c r="I15" s="101" t="s">
        <v>83</v>
      </c>
      <c r="J15" s="101" t="s">
        <v>84</v>
      </c>
      <c r="K15" s="101" t="s">
        <v>85</v>
      </c>
      <c r="L15" s="101" t="s">
        <v>86</v>
      </c>
      <c r="M15" s="101" t="s">
        <v>87</v>
      </c>
      <c r="N15" s="101" t="s">
        <v>88</v>
      </c>
      <c r="O15" s="101" t="s">
        <v>89</v>
      </c>
      <c r="P15" s="101" t="s">
        <v>90</v>
      </c>
      <c r="Q15" s="101" t="s">
        <v>91</v>
      </c>
      <c r="R15" s="101" t="s">
        <v>92</v>
      </c>
      <c r="S15" s="101" t="s">
        <v>93</v>
      </c>
      <c r="T15" s="101" t="s">
        <v>94</v>
      </c>
      <c r="U15" s="101" t="s">
        <v>95</v>
      </c>
      <c r="V15" s="101" t="s">
        <v>96</v>
      </c>
      <c r="W15" s="101" t="s">
        <v>97</v>
      </c>
      <c r="X15" s="101" t="s">
        <v>98</v>
      </c>
      <c r="Y15" s="101" t="s">
        <v>99</v>
      </c>
      <c r="Z15" s="101" t="s">
        <v>100</v>
      </c>
      <c r="AA15" s="101" t="s">
        <v>101</v>
      </c>
      <c r="AB15" s="101" t="s">
        <v>102</v>
      </c>
      <c r="AC15" s="101" t="s">
        <v>103</v>
      </c>
      <c r="AD15" s="101" t="s">
        <v>104</v>
      </c>
      <c r="AE15" s="101" t="s">
        <v>105</v>
      </c>
      <c r="AF15" s="102" t="s">
        <v>106</v>
      </c>
      <c r="AG15" s="102" t="s">
        <v>107</v>
      </c>
      <c r="AH15" s="102" t="s">
        <v>108</v>
      </c>
      <c r="AI15" s="102" t="s">
        <v>109</v>
      </c>
      <c r="AJ15" s="102" t="s">
        <v>110</v>
      </c>
      <c r="AK15" s="102" t="s">
        <v>111</v>
      </c>
      <c r="AL15" s="102" t="s">
        <v>112</v>
      </c>
      <c r="AM15" s="102" t="s">
        <v>113</v>
      </c>
      <c r="AN15" s="101" t="s">
        <v>114</v>
      </c>
      <c r="AO15" s="101" t="s">
        <v>115</v>
      </c>
      <c r="AP15" s="101" t="s">
        <v>116</v>
      </c>
      <c r="AQ15" s="101" t="s">
        <v>117</v>
      </c>
      <c r="AR15" s="101" t="s">
        <v>118</v>
      </c>
      <c r="AS15" s="101" t="s">
        <v>119</v>
      </c>
      <c r="AT15" s="101" t="s">
        <v>120</v>
      </c>
      <c r="AU15" s="101" t="s">
        <v>121</v>
      </c>
      <c r="AV15" s="101" t="s">
        <v>163</v>
      </c>
      <c r="AW15" s="101" t="s">
        <v>164</v>
      </c>
      <c r="AX15" s="101" t="s">
        <v>165</v>
      </c>
      <c r="AY15" s="101" t="s">
        <v>166</v>
      </c>
      <c r="AZ15" s="101" t="s">
        <v>167</v>
      </c>
      <c r="BA15" s="101" t="s">
        <v>168</v>
      </c>
      <c r="BB15" s="102"/>
      <c r="BC15" s="108"/>
      <c r="BD15" s="105"/>
      <c r="BE15" s="105"/>
      <c r="BF15" s="105"/>
      <c r="BG15" s="105"/>
      <c r="BH15" s="105"/>
      <c r="BI15" s="105"/>
      <c r="BK15" s="78" t="s">
        <v>145</v>
      </c>
      <c r="BL15" s="78" t="s">
        <v>145</v>
      </c>
      <c r="BM15" s="86"/>
      <c r="BN15" s="86"/>
      <c r="BO15" s="86"/>
      <c r="BP15" s="86"/>
      <c r="BQ15" s="86"/>
      <c r="BR15" s="86"/>
      <c r="BS15" s="86"/>
      <c r="BT15" s="86"/>
      <c r="BU15" s="86"/>
      <c r="BV15" s="86"/>
      <c r="BW15" s="86"/>
      <c r="BX15" s="86"/>
      <c r="BY15" s="86"/>
      <c r="BZ15" s="86"/>
      <c r="CA15" s="86"/>
      <c r="CB15" s="86"/>
      <c r="CC15" s="86">
        <v>1</v>
      </c>
      <c r="CD15" s="86">
        <v>2</v>
      </c>
      <c r="CE15" s="86">
        <v>3</v>
      </c>
      <c r="CF15" s="86">
        <v>4</v>
      </c>
      <c r="CG15" s="86">
        <v>5</v>
      </c>
      <c r="CH15" s="86">
        <v>6</v>
      </c>
      <c r="CI15" s="86">
        <v>7</v>
      </c>
      <c r="CJ15" s="86">
        <v>8</v>
      </c>
      <c r="CK15" s="86">
        <v>9</v>
      </c>
      <c r="CL15" s="86">
        <v>10</v>
      </c>
      <c r="CM15" s="86">
        <v>11</v>
      </c>
      <c r="CN15" s="86">
        <v>12</v>
      </c>
      <c r="CO15" s="86">
        <v>13</v>
      </c>
      <c r="CP15" s="86">
        <v>14</v>
      </c>
      <c r="CQ15" s="86">
        <v>15</v>
      </c>
      <c r="CR15" s="86">
        <v>16</v>
      </c>
      <c r="CS15" s="86"/>
      <c r="CT15" s="86"/>
      <c r="CU15" s="86"/>
      <c r="CV15" s="86"/>
      <c r="CW15" s="86"/>
      <c r="CX15" s="86"/>
      <c r="CY15" s="86"/>
      <c r="CZ15" s="86"/>
    </row>
    <row r="16" spans="1:104" ht="23.25" customHeight="1" x14ac:dyDescent="0.6">
      <c r="A16" s="7"/>
      <c r="B16" s="89" t="s">
        <v>77</v>
      </c>
      <c r="C16" s="90">
        <f>C11+1</f>
        <v>12.636363636363637</v>
      </c>
      <c r="D16" s="91" t="s">
        <v>146</v>
      </c>
      <c r="E16" s="7"/>
      <c r="F16" s="7"/>
      <c r="G16" s="97" t="s">
        <v>125</v>
      </c>
      <c r="H16" s="103">
        <v>1</v>
      </c>
      <c r="I16" s="103">
        <v>2</v>
      </c>
      <c r="J16" s="103">
        <v>3</v>
      </c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9"/>
      <c r="BC16" s="110"/>
      <c r="BD16" s="106"/>
      <c r="BE16" s="106"/>
      <c r="BF16" s="106"/>
      <c r="BG16" s="106"/>
      <c r="BH16" s="106"/>
      <c r="BI16" s="106"/>
      <c r="BK16" s="83"/>
      <c r="BL16" s="83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</row>
    <row r="17" spans="1:104" ht="56.25" x14ac:dyDescent="0.6">
      <c r="A17" s="7"/>
      <c r="B17" s="89" t="s">
        <v>147</v>
      </c>
      <c r="C17" s="90">
        <f>C9-(('c. Supraestrutura'!G35+'c. Supraestrutura'!G34+'c. Supraestrutura'!G33)/22)+C10+B21</f>
        <v>25.954545454545453</v>
      </c>
      <c r="D17" s="91" t="s">
        <v>148</v>
      </c>
      <c r="E17" s="7"/>
      <c r="F17" s="7"/>
      <c r="G17" s="98" t="s">
        <v>128</v>
      </c>
      <c r="H17" s="104">
        <v>1</v>
      </c>
      <c r="I17" s="104">
        <v>2</v>
      </c>
      <c r="J17" s="104">
        <v>3</v>
      </c>
      <c r="K17" s="104">
        <v>4</v>
      </c>
      <c r="L17" s="104">
        <v>5</v>
      </c>
      <c r="M17" s="104">
        <v>6</v>
      </c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9"/>
      <c r="BC17" s="110"/>
      <c r="BD17" s="106"/>
      <c r="BE17" s="106"/>
      <c r="BF17" s="106"/>
      <c r="BG17" s="106"/>
      <c r="BH17" s="106"/>
      <c r="BI17" s="106"/>
      <c r="BK17" s="83" t="s">
        <v>149</v>
      </c>
      <c r="BL17" s="83" t="s">
        <v>149</v>
      </c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>
        <v>1</v>
      </c>
      <c r="CC17" s="84">
        <v>2</v>
      </c>
      <c r="CD17" s="84">
        <v>3</v>
      </c>
      <c r="CE17" s="84">
        <v>4</v>
      </c>
      <c r="CF17" s="84">
        <v>5</v>
      </c>
      <c r="CG17" s="84">
        <v>6</v>
      </c>
      <c r="CH17" s="84">
        <v>7</v>
      </c>
      <c r="CI17" s="84">
        <v>8</v>
      </c>
      <c r="CJ17" s="84">
        <v>9</v>
      </c>
      <c r="CK17" s="84">
        <v>10</v>
      </c>
      <c r="CL17" s="84">
        <v>11</v>
      </c>
      <c r="CM17" s="84">
        <v>12</v>
      </c>
      <c r="CN17" s="84">
        <v>13</v>
      </c>
      <c r="CO17" s="84">
        <v>14</v>
      </c>
      <c r="CP17" s="84">
        <v>15</v>
      </c>
      <c r="CQ17" s="84">
        <v>16</v>
      </c>
      <c r="CR17" s="84">
        <v>17</v>
      </c>
      <c r="CS17" s="84">
        <v>18</v>
      </c>
      <c r="CT17" s="84"/>
      <c r="CU17" s="84"/>
      <c r="CV17" s="84"/>
      <c r="CW17" s="84"/>
      <c r="CX17" s="84"/>
      <c r="CY17" s="84"/>
      <c r="CZ17" s="84"/>
    </row>
    <row r="18" spans="1:104" ht="21.75" customHeight="1" x14ac:dyDescent="0.6">
      <c r="A18" s="7"/>
      <c r="B18" s="41"/>
      <c r="C18" s="7"/>
      <c r="D18" s="7"/>
      <c r="E18" s="7"/>
      <c r="F18" s="7"/>
      <c r="G18" s="99" t="s">
        <v>131</v>
      </c>
      <c r="H18" s="103"/>
      <c r="I18" s="103"/>
      <c r="J18" s="103"/>
      <c r="K18" s="103"/>
      <c r="L18" s="103"/>
      <c r="M18" s="103"/>
      <c r="N18" s="103">
        <v>1</v>
      </c>
      <c r="O18" s="103">
        <v>2</v>
      </c>
      <c r="P18" s="103">
        <v>3</v>
      </c>
      <c r="Q18" s="103">
        <v>4</v>
      </c>
      <c r="R18" s="103">
        <v>5</v>
      </c>
      <c r="S18" s="103">
        <v>6</v>
      </c>
      <c r="T18" s="103">
        <v>7</v>
      </c>
      <c r="U18" s="103">
        <v>8</v>
      </c>
      <c r="V18" s="103">
        <v>9</v>
      </c>
      <c r="W18" s="103">
        <v>10</v>
      </c>
      <c r="X18" s="103">
        <v>11</v>
      </c>
      <c r="Y18" s="103">
        <v>12</v>
      </c>
      <c r="Z18" s="103">
        <v>13</v>
      </c>
      <c r="AA18" s="103">
        <v>14</v>
      </c>
      <c r="AB18" s="103">
        <v>15</v>
      </c>
      <c r="AC18" s="103">
        <v>16</v>
      </c>
      <c r="AD18" s="103">
        <v>17</v>
      </c>
      <c r="AE18" s="103">
        <v>18</v>
      </c>
      <c r="AF18" s="103">
        <v>19</v>
      </c>
      <c r="AG18" s="103">
        <v>20</v>
      </c>
      <c r="AH18" s="103">
        <v>21</v>
      </c>
      <c r="AI18" s="103">
        <v>22</v>
      </c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9"/>
      <c r="BC18" s="110"/>
      <c r="BD18" s="106"/>
      <c r="BE18" s="106"/>
      <c r="BF18" s="106"/>
      <c r="BG18" s="106"/>
      <c r="BH18" s="106"/>
      <c r="BI18" s="106"/>
      <c r="BK18" s="83" t="s">
        <v>150</v>
      </c>
      <c r="BL18" s="83" t="s">
        <v>150</v>
      </c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>
        <v>1</v>
      </c>
      <c r="CE18" s="84">
        <v>2</v>
      </c>
      <c r="CF18" s="84">
        <v>3</v>
      </c>
      <c r="CG18" s="84">
        <v>4</v>
      </c>
      <c r="CH18" s="84">
        <v>5</v>
      </c>
      <c r="CI18" s="84">
        <v>6</v>
      </c>
      <c r="CJ18" s="84">
        <v>7</v>
      </c>
      <c r="CK18" s="84">
        <v>8</v>
      </c>
      <c r="CL18" s="84">
        <v>9</v>
      </c>
      <c r="CM18" s="84">
        <v>10</v>
      </c>
      <c r="CN18" s="84">
        <v>11</v>
      </c>
      <c r="CO18" s="84">
        <v>12</v>
      </c>
      <c r="CP18" s="84">
        <v>13</v>
      </c>
      <c r="CQ18" s="84">
        <v>14</v>
      </c>
      <c r="CR18" s="84">
        <v>15</v>
      </c>
      <c r="CS18" s="84">
        <v>16</v>
      </c>
      <c r="CT18" s="84">
        <v>17</v>
      </c>
      <c r="CU18" s="84">
        <v>18</v>
      </c>
      <c r="CV18" s="84">
        <v>19</v>
      </c>
      <c r="CW18" s="84">
        <v>20</v>
      </c>
      <c r="CX18" s="84"/>
      <c r="CY18" s="84"/>
      <c r="CZ18" s="84"/>
    </row>
    <row r="19" spans="1:104" ht="21.75" customHeight="1" x14ac:dyDescent="0.6">
      <c r="A19" s="7"/>
      <c r="B19" s="92" t="s">
        <v>151</v>
      </c>
      <c r="C19" s="93">
        <f>15+15+15</f>
        <v>45</v>
      </c>
      <c r="D19" s="7"/>
      <c r="E19" s="7"/>
      <c r="F19" s="7"/>
      <c r="G19" s="98" t="s">
        <v>134</v>
      </c>
      <c r="H19" s="104"/>
      <c r="I19" s="104"/>
      <c r="J19" s="104"/>
      <c r="K19" s="104"/>
      <c r="L19" s="104"/>
      <c r="M19" s="104"/>
      <c r="N19" s="104"/>
      <c r="O19" s="104"/>
      <c r="P19" s="104"/>
      <c r="Q19" s="104">
        <v>1</v>
      </c>
      <c r="R19" s="104">
        <v>2</v>
      </c>
      <c r="S19" s="104">
        <v>3</v>
      </c>
      <c r="T19" s="104">
        <v>4</v>
      </c>
      <c r="U19" s="104">
        <v>5</v>
      </c>
      <c r="V19" s="104">
        <v>6</v>
      </c>
      <c r="W19" s="104">
        <v>7</v>
      </c>
      <c r="X19" s="104">
        <v>8</v>
      </c>
      <c r="Y19" s="104">
        <v>9</v>
      </c>
      <c r="Z19" s="104">
        <v>10</v>
      </c>
      <c r="AA19" s="104">
        <v>11</v>
      </c>
      <c r="AB19" s="104">
        <v>12</v>
      </c>
      <c r="AC19" s="104">
        <v>13</v>
      </c>
      <c r="AD19" s="104">
        <v>14</v>
      </c>
      <c r="AE19" s="104">
        <v>15</v>
      </c>
      <c r="AF19" s="104">
        <v>16</v>
      </c>
      <c r="AG19" s="104">
        <v>17</v>
      </c>
      <c r="AH19" s="104">
        <v>18</v>
      </c>
      <c r="AI19" s="104">
        <v>19</v>
      </c>
      <c r="AJ19" s="104">
        <v>20</v>
      </c>
      <c r="AK19" s="104">
        <v>21</v>
      </c>
      <c r="AL19" s="104">
        <v>22</v>
      </c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9"/>
      <c r="BC19" s="110"/>
      <c r="BD19" s="106"/>
      <c r="BE19" s="106"/>
      <c r="BF19" s="106"/>
      <c r="BG19" s="106"/>
      <c r="BH19" s="106"/>
      <c r="BI19" s="106"/>
      <c r="BK19" s="78" t="s">
        <v>152</v>
      </c>
      <c r="BL19" s="78" t="s">
        <v>152</v>
      </c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>
        <v>1</v>
      </c>
      <c r="CO19" s="86">
        <v>2</v>
      </c>
      <c r="CP19" s="86">
        <v>3</v>
      </c>
      <c r="CQ19" s="86">
        <v>4</v>
      </c>
      <c r="CR19" s="86">
        <v>5</v>
      </c>
      <c r="CS19" s="86">
        <v>6</v>
      </c>
      <c r="CT19" s="86">
        <v>7</v>
      </c>
      <c r="CU19" s="86">
        <v>8</v>
      </c>
      <c r="CV19" s="86">
        <v>9</v>
      </c>
      <c r="CW19" s="86">
        <v>10</v>
      </c>
      <c r="CX19" s="86">
        <v>11</v>
      </c>
      <c r="CY19" s="86"/>
      <c r="CZ19" s="86"/>
    </row>
    <row r="20" spans="1:104" ht="21.75" customHeight="1" x14ac:dyDescent="0.6">
      <c r="A20" s="7"/>
      <c r="B20" s="92" t="s">
        <v>153</v>
      </c>
      <c r="C20" s="93">
        <v>60</v>
      </c>
      <c r="D20" s="7"/>
      <c r="E20" s="7"/>
      <c r="F20" s="7"/>
      <c r="G20" s="99" t="s">
        <v>137</v>
      </c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>
        <v>1</v>
      </c>
      <c r="T20" s="103">
        <v>2</v>
      </c>
      <c r="U20" s="103">
        <v>3</v>
      </c>
      <c r="V20" s="103">
        <v>4</v>
      </c>
      <c r="W20" s="103">
        <v>5</v>
      </c>
      <c r="X20" s="103">
        <v>6</v>
      </c>
      <c r="Y20" s="103">
        <v>7</v>
      </c>
      <c r="Z20" s="103">
        <v>8</v>
      </c>
      <c r="AA20" s="103">
        <v>9</v>
      </c>
      <c r="AB20" s="103">
        <v>10</v>
      </c>
      <c r="AC20" s="103">
        <v>11</v>
      </c>
      <c r="AD20" s="103">
        <v>12</v>
      </c>
      <c r="AE20" s="103">
        <v>13</v>
      </c>
      <c r="AF20" s="103">
        <v>14</v>
      </c>
      <c r="AG20" s="103">
        <v>15</v>
      </c>
      <c r="AH20" s="103">
        <v>16</v>
      </c>
      <c r="AI20" s="103">
        <v>17</v>
      </c>
      <c r="AJ20" s="103">
        <v>18</v>
      </c>
      <c r="AK20" s="103">
        <v>19</v>
      </c>
      <c r="AL20" s="103">
        <v>20</v>
      </c>
      <c r="AM20" s="103">
        <v>21</v>
      </c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9"/>
      <c r="BC20" s="110"/>
      <c r="BD20" s="106"/>
      <c r="BE20" s="106"/>
      <c r="BF20" s="106"/>
      <c r="BG20" s="106"/>
      <c r="BH20" s="106"/>
      <c r="BI20" s="106"/>
      <c r="BK20" s="78" t="s">
        <v>154</v>
      </c>
      <c r="BL20" s="78" t="s">
        <v>154</v>
      </c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  <c r="CU20" s="86">
        <v>1</v>
      </c>
      <c r="CV20" s="86">
        <v>2</v>
      </c>
      <c r="CW20" s="86">
        <v>3</v>
      </c>
      <c r="CX20" s="86">
        <v>4</v>
      </c>
      <c r="CY20" s="86"/>
      <c r="CZ20" s="86"/>
    </row>
    <row r="21" spans="1:104" ht="21.75" customHeight="1" x14ac:dyDescent="0.6">
      <c r="A21" s="7"/>
      <c r="B21" s="94">
        <f>C21/22</f>
        <v>4.7727272727272725</v>
      </c>
      <c r="C21" s="86">
        <f>C19+C20</f>
        <v>105</v>
      </c>
      <c r="E21" s="7"/>
      <c r="F21" s="7"/>
      <c r="G21" s="98" t="s">
        <v>139</v>
      </c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>
        <v>1</v>
      </c>
      <c r="AK21" s="104">
        <v>2</v>
      </c>
      <c r="AL21" s="104">
        <v>3</v>
      </c>
      <c r="AM21" s="104">
        <v>4</v>
      </c>
      <c r="AN21" s="104">
        <v>5</v>
      </c>
      <c r="AO21" s="104">
        <v>6</v>
      </c>
      <c r="AP21" s="104">
        <v>7</v>
      </c>
      <c r="AQ21" s="104">
        <v>8</v>
      </c>
      <c r="AR21" s="104">
        <v>9</v>
      </c>
      <c r="AS21" s="104">
        <v>10</v>
      </c>
      <c r="AT21" s="104">
        <v>11</v>
      </c>
      <c r="AU21" s="104">
        <v>12</v>
      </c>
      <c r="AV21" s="104"/>
      <c r="AW21" s="104"/>
      <c r="AX21" s="104"/>
      <c r="AY21" s="104"/>
      <c r="AZ21" s="104"/>
      <c r="BA21" s="104"/>
      <c r="BB21" s="109"/>
      <c r="BC21" s="110"/>
      <c r="BD21" s="106"/>
      <c r="BE21" s="106"/>
      <c r="BF21" s="106"/>
      <c r="BG21" s="106"/>
      <c r="BH21" s="106"/>
      <c r="BI21" s="106"/>
      <c r="BK21" s="81" t="s">
        <v>155</v>
      </c>
      <c r="BL21" s="81" t="s">
        <v>155</v>
      </c>
      <c r="BM21" s="82"/>
      <c r="BN21" s="82"/>
      <c r="BO21" s="82"/>
      <c r="BP21" s="82"/>
      <c r="BQ21" s="82"/>
      <c r="BR21" s="82"/>
      <c r="BS21" s="82"/>
      <c r="BT21" s="82"/>
      <c r="BU21" s="82"/>
      <c r="BV21" s="82"/>
      <c r="BW21" s="82"/>
      <c r="BX21" s="82"/>
      <c r="BY21" s="82"/>
      <c r="BZ21" s="82"/>
      <c r="CA21" s="82"/>
      <c r="CB21" s="82"/>
      <c r="CC21" s="82"/>
      <c r="CD21" s="82"/>
      <c r="CE21" s="82"/>
      <c r="CF21" s="82"/>
      <c r="CG21" s="82"/>
      <c r="CH21" s="82"/>
      <c r="CI21" s="82"/>
      <c r="CJ21" s="82"/>
      <c r="CK21" s="82"/>
      <c r="CL21" s="82">
        <v>1</v>
      </c>
      <c r="CM21" s="82">
        <v>2</v>
      </c>
      <c r="CN21" s="82">
        <v>3</v>
      </c>
      <c r="CO21" s="82">
        <v>4</v>
      </c>
      <c r="CP21" s="82">
        <v>5</v>
      </c>
      <c r="CQ21" s="82">
        <v>6</v>
      </c>
      <c r="CR21" s="82">
        <v>7</v>
      </c>
      <c r="CS21" s="82">
        <v>8</v>
      </c>
      <c r="CT21" s="82">
        <v>9</v>
      </c>
      <c r="CU21" s="82"/>
      <c r="CV21" s="82"/>
      <c r="CW21" s="82"/>
      <c r="CX21" s="82"/>
      <c r="CY21" s="82"/>
      <c r="CZ21" s="82"/>
    </row>
    <row r="22" spans="1:104" ht="21.75" customHeight="1" x14ac:dyDescent="0.6">
      <c r="A22" s="7"/>
      <c r="B22" s="58"/>
      <c r="C22" s="39"/>
      <c r="D22" s="7"/>
      <c r="E22" s="7"/>
      <c r="F22" s="7"/>
      <c r="G22" s="99" t="s">
        <v>141</v>
      </c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>
        <v>1</v>
      </c>
      <c r="V22" s="103">
        <v>2</v>
      </c>
      <c r="W22" s="103">
        <v>3</v>
      </c>
      <c r="X22" s="103">
        <v>4</v>
      </c>
      <c r="Y22" s="103">
        <v>5</v>
      </c>
      <c r="Z22" s="103">
        <v>6</v>
      </c>
      <c r="AA22" s="103">
        <v>7</v>
      </c>
      <c r="AB22" s="103">
        <v>8</v>
      </c>
      <c r="AC22" s="103">
        <v>9</v>
      </c>
      <c r="AD22" s="103">
        <v>10</v>
      </c>
      <c r="AE22" s="103">
        <v>11</v>
      </c>
      <c r="AF22" s="103">
        <v>12</v>
      </c>
      <c r="AG22" s="103">
        <v>13</v>
      </c>
      <c r="AH22" s="103">
        <v>14</v>
      </c>
      <c r="AI22" s="103">
        <v>15</v>
      </c>
      <c r="AJ22" s="103">
        <v>16</v>
      </c>
      <c r="AK22" s="103">
        <v>17</v>
      </c>
      <c r="AL22" s="103">
        <v>18</v>
      </c>
      <c r="AM22" s="103">
        <v>19</v>
      </c>
      <c r="AN22" s="103">
        <v>20</v>
      </c>
      <c r="AO22" s="103">
        <v>21</v>
      </c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9"/>
      <c r="BC22" s="110"/>
      <c r="BD22" s="106"/>
      <c r="BE22" s="106"/>
      <c r="BF22" s="106"/>
      <c r="BG22" s="106"/>
      <c r="BH22" s="106"/>
      <c r="BI22" s="106"/>
      <c r="BK22" s="78" t="s">
        <v>156</v>
      </c>
      <c r="BL22" s="81" t="s">
        <v>140</v>
      </c>
      <c r="BM22" s="86"/>
      <c r="BN22" s="86"/>
      <c r="BO22" s="86"/>
      <c r="BP22" s="86"/>
      <c r="BQ22" s="86"/>
      <c r="BR22" s="86"/>
      <c r="BS22" s="86"/>
      <c r="BT22" s="86"/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6"/>
      <c r="CF22" s="86"/>
      <c r="CG22" s="86"/>
      <c r="CH22" s="86"/>
      <c r="CI22" s="86"/>
      <c r="CJ22" s="86"/>
      <c r="CK22" s="86"/>
      <c r="CL22" s="86"/>
      <c r="CM22" s="86"/>
      <c r="CN22" s="86"/>
      <c r="CO22" s="86"/>
      <c r="CP22" s="86"/>
      <c r="CQ22" s="86"/>
      <c r="CR22" s="86"/>
      <c r="CS22" s="86"/>
      <c r="CT22" s="86"/>
      <c r="CU22" s="82">
        <v>1</v>
      </c>
      <c r="CV22" s="82">
        <v>2</v>
      </c>
      <c r="CW22" s="82">
        <v>3</v>
      </c>
      <c r="CX22" s="82">
        <v>4</v>
      </c>
      <c r="CY22" s="82">
        <v>5</v>
      </c>
      <c r="CZ22" s="82">
        <v>6</v>
      </c>
    </row>
    <row r="23" spans="1:104" ht="21.75" customHeight="1" x14ac:dyDescent="0.6">
      <c r="A23" s="7"/>
      <c r="B23" s="49"/>
      <c r="C23" s="7"/>
      <c r="D23" s="7"/>
      <c r="E23" s="7"/>
      <c r="F23" s="7"/>
      <c r="G23" s="98" t="s">
        <v>142</v>
      </c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>
        <v>1</v>
      </c>
      <c r="U23" s="104">
        <v>2</v>
      </c>
      <c r="V23" s="104">
        <v>3</v>
      </c>
      <c r="W23" s="104">
        <v>4</v>
      </c>
      <c r="X23" s="104">
        <v>5</v>
      </c>
      <c r="Y23" s="104">
        <v>6</v>
      </c>
      <c r="Z23" s="104">
        <v>7</v>
      </c>
      <c r="AA23" s="104">
        <v>8</v>
      </c>
      <c r="AB23" s="104">
        <v>9</v>
      </c>
      <c r="AC23" s="104">
        <v>10</v>
      </c>
      <c r="AD23" s="104">
        <v>11</v>
      </c>
      <c r="AE23" s="104">
        <v>12</v>
      </c>
      <c r="AF23" s="104">
        <v>13</v>
      </c>
      <c r="AG23" s="104">
        <v>14</v>
      </c>
      <c r="AH23" s="104">
        <v>15</v>
      </c>
      <c r="AI23" s="104">
        <v>16</v>
      </c>
      <c r="AJ23" s="104">
        <v>17</v>
      </c>
      <c r="AK23" s="104">
        <v>18</v>
      </c>
      <c r="AL23" s="104">
        <v>19</v>
      </c>
      <c r="AM23" s="104">
        <v>20</v>
      </c>
      <c r="AN23" s="104">
        <v>21</v>
      </c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9"/>
      <c r="BC23" s="110"/>
      <c r="BD23" s="106"/>
      <c r="BE23" s="106"/>
      <c r="BF23" s="106"/>
      <c r="BG23" s="106"/>
      <c r="BH23" s="106"/>
      <c r="BI23" s="106"/>
      <c r="BK23" s="83"/>
      <c r="BL23" s="83" t="s">
        <v>138</v>
      </c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>
        <v>1</v>
      </c>
      <c r="CM23" s="84">
        <v>2</v>
      </c>
      <c r="CN23" s="84">
        <v>3</v>
      </c>
      <c r="CO23" s="84">
        <v>4</v>
      </c>
      <c r="CP23" s="84">
        <v>5</v>
      </c>
      <c r="CQ23" s="84">
        <v>6</v>
      </c>
      <c r="CR23" s="84">
        <v>7</v>
      </c>
      <c r="CS23" s="84">
        <v>8</v>
      </c>
      <c r="CT23" s="84">
        <v>9</v>
      </c>
      <c r="CU23" s="84">
        <v>10</v>
      </c>
      <c r="CV23" s="84">
        <v>11</v>
      </c>
      <c r="CW23" s="84">
        <v>12</v>
      </c>
      <c r="CX23" s="84"/>
      <c r="CY23" s="84"/>
      <c r="CZ23" s="84"/>
    </row>
    <row r="24" spans="1:104" ht="23.25" customHeight="1" x14ac:dyDescent="0.6">
      <c r="A24" s="7"/>
      <c r="B24" s="49"/>
      <c r="C24" s="7"/>
      <c r="D24" s="7"/>
      <c r="E24" s="7"/>
      <c r="F24" s="7"/>
      <c r="G24" s="99" t="s">
        <v>145</v>
      </c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>
        <v>1</v>
      </c>
      <c r="X24" s="103">
        <v>2</v>
      </c>
      <c r="Y24" s="103">
        <v>3</v>
      </c>
      <c r="Z24" s="103">
        <v>4</v>
      </c>
      <c r="AA24" s="103">
        <v>5</v>
      </c>
      <c r="AB24" s="103">
        <v>6</v>
      </c>
      <c r="AC24" s="103">
        <v>7</v>
      </c>
      <c r="AD24" s="103">
        <v>8</v>
      </c>
      <c r="AE24" s="103">
        <v>9</v>
      </c>
      <c r="AF24" s="103">
        <v>10</v>
      </c>
      <c r="AG24" s="103">
        <v>11</v>
      </c>
      <c r="AH24" s="103">
        <v>12</v>
      </c>
      <c r="AI24" s="103">
        <v>13</v>
      </c>
      <c r="AJ24" s="103">
        <v>14</v>
      </c>
      <c r="AK24" s="103">
        <v>15</v>
      </c>
      <c r="AL24" s="103">
        <v>16</v>
      </c>
      <c r="AM24" s="103">
        <v>17</v>
      </c>
      <c r="AN24" s="103">
        <v>18</v>
      </c>
      <c r="AO24" s="103">
        <v>19</v>
      </c>
      <c r="AP24" s="103">
        <v>20</v>
      </c>
      <c r="AQ24" s="103">
        <v>21</v>
      </c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9"/>
      <c r="BC24" s="110"/>
      <c r="BD24" s="106"/>
      <c r="BE24" s="106"/>
      <c r="BF24" s="106"/>
      <c r="BG24" s="106"/>
      <c r="BH24" s="106"/>
      <c r="BI24" s="106"/>
    </row>
    <row r="25" spans="1:104" ht="23.25" customHeight="1" x14ac:dyDescent="0.6">
      <c r="A25" s="7"/>
      <c r="B25" s="49"/>
      <c r="C25" s="7"/>
      <c r="D25" s="7"/>
      <c r="E25" s="7"/>
      <c r="F25" s="7"/>
      <c r="G25" s="98" t="s">
        <v>149</v>
      </c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>
        <v>1</v>
      </c>
      <c r="W25" s="104">
        <v>2</v>
      </c>
      <c r="X25" s="104">
        <v>3</v>
      </c>
      <c r="Y25" s="104">
        <v>4</v>
      </c>
      <c r="Z25" s="104">
        <v>5</v>
      </c>
      <c r="AA25" s="104">
        <v>6</v>
      </c>
      <c r="AB25" s="104">
        <v>7</v>
      </c>
      <c r="AC25" s="104">
        <v>8</v>
      </c>
      <c r="AD25" s="104">
        <v>9</v>
      </c>
      <c r="AE25" s="104">
        <v>10</v>
      </c>
      <c r="AF25" s="104">
        <v>11</v>
      </c>
      <c r="AG25" s="104">
        <v>12</v>
      </c>
      <c r="AH25" s="104">
        <v>13</v>
      </c>
      <c r="AI25" s="104">
        <v>14</v>
      </c>
      <c r="AJ25" s="104">
        <v>15</v>
      </c>
      <c r="AK25" s="104">
        <v>16</v>
      </c>
      <c r="AL25" s="104">
        <v>17</v>
      </c>
      <c r="AM25" s="104">
        <v>18</v>
      </c>
      <c r="AN25" s="104">
        <v>19</v>
      </c>
      <c r="AO25" s="104">
        <v>20</v>
      </c>
      <c r="AP25" s="104">
        <v>21</v>
      </c>
      <c r="AQ25" s="104">
        <v>22</v>
      </c>
      <c r="AR25" s="104">
        <v>23</v>
      </c>
      <c r="AS25" s="104">
        <v>24</v>
      </c>
      <c r="AT25" s="104"/>
      <c r="AU25" s="104"/>
      <c r="AV25" s="104"/>
      <c r="AW25" s="104"/>
      <c r="AX25" s="104"/>
      <c r="AY25" s="104"/>
      <c r="AZ25" s="104"/>
      <c r="BA25" s="104"/>
      <c r="BB25" s="109"/>
      <c r="BC25" s="110"/>
      <c r="BD25" s="106"/>
      <c r="BE25" s="106"/>
      <c r="BF25" s="106"/>
      <c r="BG25" s="106"/>
      <c r="BH25" s="106"/>
      <c r="BI25" s="106"/>
    </row>
    <row r="26" spans="1:104" ht="23.25" customHeight="1" x14ac:dyDescent="0.6">
      <c r="A26" s="7"/>
      <c r="B26" s="49"/>
      <c r="C26" s="7"/>
      <c r="D26" s="7"/>
      <c r="E26" s="7"/>
      <c r="F26" s="7"/>
      <c r="G26" s="99" t="s">
        <v>150</v>
      </c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>
        <v>1</v>
      </c>
      <c r="Y26" s="103">
        <v>2</v>
      </c>
      <c r="Z26" s="103">
        <v>3</v>
      </c>
      <c r="AA26" s="103">
        <v>4</v>
      </c>
      <c r="AB26" s="103">
        <v>5</v>
      </c>
      <c r="AC26" s="103">
        <v>6</v>
      </c>
      <c r="AD26" s="103">
        <v>7</v>
      </c>
      <c r="AE26" s="103">
        <v>8</v>
      </c>
      <c r="AF26" s="103">
        <v>9</v>
      </c>
      <c r="AG26" s="103">
        <v>10</v>
      </c>
      <c r="AH26" s="103">
        <v>11</v>
      </c>
      <c r="AI26" s="103">
        <v>12</v>
      </c>
      <c r="AJ26" s="103">
        <v>13</v>
      </c>
      <c r="AK26" s="103">
        <v>14</v>
      </c>
      <c r="AL26" s="103">
        <v>15</v>
      </c>
      <c r="AM26" s="103">
        <v>16</v>
      </c>
      <c r="AN26" s="103">
        <v>17</v>
      </c>
      <c r="AO26" s="103">
        <v>18</v>
      </c>
      <c r="AP26" s="103">
        <v>19</v>
      </c>
      <c r="AQ26" s="103">
        <v>20</v>
      </c>
      <c r="AR26" s="103">
        <v>21</v>
      </c>
      <c r="AS26" s="103">
        <v>22</v>
      </c>
      <c r="AT26" s="103">
        <v>23</v>
      </c>
      <c r="AU26" s="103">
        <v>24</v>
      </c>
      <c r="AV26" s="103">
        <v>25</v>
      </c>
      <c r="AW26" s="103">
        <v>26</v>
      </c>
      <c r="AX26" s="103">
        <v>27</v>
      </c>
      <c r="AY26" s="103">
        <v>28</v>
      </c>
      <c r="AZ26" s="103">
        <v>29</v>
      </c>
      <c r="BA26" s="103"/>
      <c r="BB26" s="109"/>
      <c r="BC26" s="110"/>
      <c r="BD26" s="106"/>
      <c r="BE26" s="106"/>
      <c r="BF26" s="106"/>
      <c r="BG26" s="106"/>
      <c r="BH26" s="106"/>
      <c r="BI26" s="106"/>
    </row>
    <row r="27" spans="1:104" ht="23.25" customHeight="1" x14ac:dyDescent="0.6">
      <c r="A27" s="7"/>
      <c r="B27" s="49"/>
      <c r="C27" s="7"/>
      <c r="D27" s="7"/>
      <c r="E27" s="7"/>
      <c r="F27" s="7"/>
      <c r="G27" s="98" t="s">
        <v>152</v>
      </c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>
        <v>1</v>
      </c>
      <c r="AO27" s="104">
        <v>2</v>
      </c>
      <c r="AP27" s="104">
        <v>3</v>
      </c>
      <c r="AQ27" s="104">
        <v>4</v>
      </c>
      <c r="AR27" s="104">
        <v>5</v>
      </c>
      <c r="AS27" s="104">
        <v>6</v>
      </c>
      <c r="AT27" s="104">
        <v>7</v>
      </c>
      <c r="AU27" s="104">
        <v>8</v>
      </c>
      <c r="AV27" s="104">
        <v>9</v>
      </c>
      <c r="AW27" s="104">
        <v>10</v>
      </c>
      <c r="AX27" s="104">
        <v>11</v>
      </c>
      <c r="AY27" s="104">
        <v>12</v>
      </c>
      <c r="AZ27" s="104"/>
      <c r="BA27" s="104"/>
      <c r="BB27" s="109"/>
      <c r="BC27" s="110"/>
      <c r="BD27" s="106"/>
      <c r="BE27" s="106"/>
      <c r="BF27" s="106"/>
      <c r="BG27" s="106"/>
      <c r="BH27" s="106"/>
      <c r="BI27" s="106"/>
    </row>
    <row r="28" spans="1:104" ht="23.25" customHeight="1" x14ac:dyDescent="0.6">
      <c r="A28" s="7"/>
      <c r="B28" s="49"/>
      <c r="C28" s="7"/>
      <c r="D28" s="7"/>
      <c r="E28" s="7"/>
      <c r="F28" s="7"/>
      <c r="G28" s="99" t="s">
        <v>154</v>
      </c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>
        <v>1</v>
      </c>
      <c r="AM28" s="103">
        <v>2</v>
      </c>
      <c r="AN28" s="103">
        <v>3</v>
      </c>
      <c r="AO28" s="103">
        <v>4</v>
      </c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9"/>
      <c r="BC28" s="110"/>
      <c r="BD28" s="106"/>
      <c r="BE28" s="106"/>
      <c r="BF28" s="106"/>
      <c r="BG28" s="106"/>
      <c r="BH28" s="106"/>
      <c r="BI28" s="106"/>
    </row>
    <row r="29" spans="1:104" ht="23.25" customHeight="1" x14ac:dyDescent="0.6">
      <c r="A29" s="7"/>
      <c r="B29" s="49"/>
      <c r="C29" s="7"/>
      <c r="D29" s="7"/>
      <c r="E29" s="7"/>
      <c r="F29" s="7"/>
      <c r="G29" s="98" t="s">
        <v>155</v>
      </c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>
        <v>1</v>
      </c>
      <c r="AL29" s="104">
        <v>2</v>
      </c>
      <c r="AM29" s="104">
        <v>3</v>
      </c>
      <c r="AN29" s="104">
        <v>4</v>
      </c>
      <c r="AO29" s="104">
        <v>5</v>
      </c>
      <c r="AP29" s="104">
        <v>6</v>
      </c>
      <c r="AQ29" s="104">
        <v>7</v>
      </c>
      <c r="AR29" s="104">
        <v>8</v>
      </c>
      <c r="AS29" s="104">
        <v>9</v>
      </c>
      <c r="AT29" s="104">
        <v>10</v>
      </c>
      <c r="AU29" s="104">
        <v>11</v>
      </c>
      <c r="AV29" s="104">
        <v>12</v>
      </c>
      <c r="AW29" s="104"/>
      <c r="AX29" s="104"/>
      <c r="AY29" s="104"/>
      <c r="AZ29" s="104"/>
      <c r="BA29" s="104"/>
      <c r="BB29" s="109"/>
      <c r="BC29" s="110"/>
      <c r="BD29" s="106"/>
      <c r="BE29" s="106"/>
      <c r="BF29" s="106"/>
      <c r="BG29" s="106"/>
      <c r="BH29" s="106"/>
      <c r="BI29" s="106"/>
    </row>
    <row r="30" spans="1:104" ht="23.25" customHeight="1" x14ac:dyDescent="0.6">
      <c r="A30" s="7"/>
      <c r="B30" s="49"/>
      <c r="C30" s="7"/>
      <c r="D30" s="7"/>
      <c r="E30" s="7"/>
      <c r="F30" s="7"/>
      <c r="G30" s="100" t="s">
        <v>156</v>
      </c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>
        <v>1</v>
      </c>
      <c r="AS30" s="103">
        <v>2</v>
      </c>
      <c r="AT30" s="103">
        <v>3</v>
      </c>
      <c r="AU30" s="103">
        <v>4</v>
      </c>
      <c r="AV30" s="103">
        <v>5</v>
      </c>
      <c r="AW30" s="103">
        <v>6</v>
      </c>
      <c r="AX30" s="103">
        <v>7</v>
      </c>
      <c r="AY30" s="103">
        <v>8</v>
      </c>
      <c r="AZ30" s="103">
        <v>9</v>
      </c>
      <c r="BA30" s="103">
        <v>10</v>
      </c>
      <c r="BB30" s="109"/>
      <c r="BC30" s="109"/>
      <c r="BD30" s="106"/>
      <c r="BE30" s="106"/>
      <c r="BF30" s="106"/>
      <c r="BG30" s="106"/>
      <c r="BH30" s="106"/>
      <c r="BI30" s="106"/>
      <c r="BJ30" s="95"/>
    </row>
    <row r="31" spans="1:104" ht="23.25" customHeight="1" x14ac:dyDescent="0.6">
      <c r="A31" s="7"/>
      <c r="B31" s="49"/>
      <c r="C31" s="7"/>
      <c r="D31" s="7"/>
      <c r="E31" s="7"/>
      <c r="F31" s="7"/>
      <c r="BJ31" s="95"/>
    </row>
    <row r="32" spans="1:104" ht="23.25" customHeight="1" x14ac:dyDescent="0.6">
      <c r="A32" s="7"/>
      <c r="B32" s="49"/>
      <c r="C32" s="7"/>
      <c r="D32" s="7"/>
      <c r="E32" s="7"/>
      <c r="F32" s="7"/>
      <c r="BJ32" s="95"/>
    </row>
    <row r="33" spans="1:62" ht="21.75" customHeight="1" x14ac:dyDescent="0.6">
      <c r="A33" s="7"/>
      <c r="B33" s="49"/>
      <c r="C33" s="7"/>
      <c r="D33" s="7"/>
      <c r="E33" s="7"/>
      <c r="F33" s="7"/>
      <c r="BJ33" s="95"/>
    </row>
    <row r="34" spans="1:62" ht="21.75" customHeight="1" x14ac:dyDescent="0.6">
      <c r="A34" s="7"/>
      <c r="B34" s="49"/>
      <c r="C34" s="7"/>
      <c r="D34" s="7"/>
      <c r="E34" s="7"/>
      <c r="F34" s="7"/>
      <c r="BJ34" s="95"/>
    </row>
    <row r="35" spans="1:62" ht="21.75" customHeight="1" x14ac:dyDescent="0.6">
      <c r="A35" s="7"/>
      <c r="B35" s="49"/>
      <c r="C35" s="7"/>
      <c r="D35" s="7"/>
      <c r="E35" s="7"/>
      <c r="F35" s="7"/>
      <c r="BJ35" s="95"/>
    </row>
    <row r="36" spans="1:62" ht="21.75" customHeight="1" x14ac:dyDescent="0.6">
      <c r="A36" s="7"/>
      <c r="B36" s="49"/>
      <c r="C36" s="7"/>
      <c r="D36" s="7"/>
      <c r="E36" s="7"/>
      <c r="F36" s="7"/>
      <c r="BJ36" s="95"/>
    </row>
    <row r="37" spans="1:62" ht="21.75" customHeight="1" x14ac:dyDescent="0.6">
      <c r="A37" s="7"/>
      <c r="B37" s="49"/>
      <c r="C37" s="7"/>
      <c r="D37" s="7"/>
      <c r="E37" s="7"/>
      <c r="F37" s="7"/>
      <c r="BJ37" s="95"/>
    </row>
    <row r="38" spans="1:62" ht="21.75" customHeight="1" x14ac:dyDescent="0.6">
      <c r="A38" s="7"/>
      <c r="B38" s="49"/>
      <c r="C38" s="7"/>
      <c r="D38" s="7"/>
      <c r="E38" s="7"/>
      <c r="F38" s="7"/>
      <c r="BJ38" s="95"/>
    </row>
    <row r="39" spans="1:62" ht="21.75" customHeight="1" x14ac:dyDescent="0.6">
      <c r="A39" s="7"/>
      <c r="B39" s="49"/>
      <c r="C39" s="7"/>
      <c r="D39" s="7"/>
      <c r="E39" s="7"/>
      <c r="F39" s="7"/>
    </row>
    <row r="40" spans="1:62" ht="21.75" customHeight="1" x14ac:dyDescent="0.6">
      <c r="A40" s="7"/>
      <c r="B40" s="49"/>
      <c r="C40" s="7"/>
      <c r="D40" s="7"/>
      <c r="E40" s="7"/>
      <c r="F40" s="7"/>
    </row>
    <row r="41" spans="1:62" ht="21.75" customHeight="1" x14ac:dyDescent="0.6">
      <c r="A41" s="7"/>
      <c r="B41" s="49"/>
      <c r="C41" s="7"/>
      <c r="D41" s="7"/>
      <c r="E41" s="7"/>
      <c r="F41" s="7"/>
    </row>
    <row r="42" spans="1:62" ht="21.75" customHeight="1" x14ac:dyDescent="0.6">
      <c r="A42" s="7"/>
      <c r="B42" s="49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8"/>
      <c r="R42" s="8"/>
      <c r="S42" s="8"/>
    </row>
    <row r="43" spans="1:62" ht="21.75" customHeight="1" x14ac:dyDescent="0.6">
      <c r="A43" s="7"/>
      <c r="B43" s="49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8"/>
      <c r="R43" s="8"/>
      <c r="S43" s="8"/>
    </row>
    <row r="44" spans="1:62" ht="21.75" customHeight="1" x14ac:dyDescent="0.6">
      <c r="A44" s="7"/>
      <c r="B44" s="49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8"/>
      <c r="R44" s="8"/>
      <c r="S44" s="8"/>
    </row>
    <row r="45" spans="1:62" ht="21.75" customHeight="1" x14ac:dyDescent="0.6">
      <c r="A45" s="7"/>
      <c r="B45" s="49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8"/>
      <c r="R45" s="8"/>
      <c r="S45" s="8"/>
    </row>
    <row r="46" spans="1:62" ht="21.75" customHeight="1" x14ac:dyDescent="0.6">
      <c r="A46" s="7"/>
      <c r="B46" s="49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8"/>
      <c r="R46" s="8"/>
      <c r="S46" s="8"/>
    </row>
    <row r="47" spans="1:62" ht="21.75" customHeight="1" x14ac:dyDescent="0.6">
      <c r="A47" s="7"/>
      <c r="B47" s="49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8"/>
      <c r="R47" s="8"/>
      <c r="S47" s="8"/>
    </row>
    <row r="48" spans="1:62" ht="21.75" customHeight="1" x14ac:dyDescent="0.6">
      <c r="A48" s="7"/>
      <c r="B48" s="49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8"/>
      <c r="R48" s="8"/>
      <c r="S48" s="8"/>
    </row>
    <row r="49" spans="1:19" ht="21.75" customHeight="1" x14ac:dyDescent="0.6">
      <c r="A49" s="7"/>
      <c r="B49" s="49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8"/>
      <c r="R49" s="8"/>
      <c r="S49" s="8"/>
    </row>
    <row r="50" spans="1:19" ht="21.75" customHeight="1" x14ac:dyDescent="0.6">
      <c r="A50" s="7"/>
      <c r="B50" s="49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8"/>
      <c r="R50" s="8"/>
      <c r="S50" s="8"/>
    </row>
    <row r="51" spans="1:19" ht="21.75" customHeight="1" x14ac:dyDescent="0.6">
      <c r="A51" s="7"/>
      <c r="B51" s="49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8"/>
      <c r="R51" s="8"/>
      <c r="S51" s="8"/>
    </row>
    <row r="52" spans="1:19" ht="21.75" customHeight="1" x14ac:dyDescent="0.6">
      <c r="A52" s="7"/>
      <c r="B52" s="49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8"/>
      <c r="R52" s="8"/>
      <c r="S52" s="8"/>
    </row>
    <row r="53" spans="1:19" ht="21.75" customHeight="1" x14ac:dyDescent="0.6">
      <c r="A53" s="7"/>
      <c r="B53" s="49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8"/>
      <c r="R53" s="8"/>
      <c r="S53" s="8"/>
    </row>
    <row r="54" spans="1:19" ht="21.75" customHeight="1" x14ac:dyDescent="0.6">
      <c r="A54" s="7"/>
      <c r="B54" s="49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8"/>
      <c r="R54" s="8"/>
      <c r="S54" s="8"/>
    </row>
    <row r="55" spans="1:19" ht="21.75" customHeight="1" x14ac:dyDescent="0.6">
      <c r="A55" s="7"/>
      <c r="B55" s="49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8"/>
      <c r="R55" s="8"/>
      <c r="S55" s="8"/>
    </row>
    <row r="56" spans="1:19" ht="21.75" customHeight="1" x14ac:dyDescent="0.6">
      <c r="A56" s="7"/>
      <c r="B56" s="49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8"/>
      <c r="R56" s="8"/>
      <c r="S56" s="8"/>
    </row>
    <row r="57" spans="1:19" ht="21.75" customHeight="1" x14ac:dyDescent="0.6">
      <c r="A57" s="7"/>
      <c r="B57" s="49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8"/>
      <c r="R57" s="8"/>
      <c r="S57" s="8"/>
    </row>
    <row r="58" spans="1:19" ht="21.75" customHeight="1" x14ac:dyDescent="0.6">
      <c r="A58" s="7"/>
      <c r="B58" s="49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8"/>
      <c r="R58" s="8"/>
      <c r="S58" s="8"/>
    </row>
    <row r="59" spans="1:19" ht="21.75" customHeight="1" x14ac:dyDescent="0.6">
      <c r="A59" s="7"/>
      <c r="B59" s="49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8"/>
      <c r="R59" s="8"/>
      <c r="S59" s="8"/>
    </row>
    <row r="60" spans="1:19" ht="21.75" customHeight="1" x14ac:dyDescent="0.6">
      <c r="A60" s="7"/>
      <c r="B60" s="49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8"/>
      <c r="R60" s="8"/>
      <c r="S60" s="8"/>
    </row>
    <row r="61" spans="1:19" ht="21.75" customHeight="1" x14ac:dyDescent="0.6">
      <c r="A61" s="7"/>
      <c r="B61" s="49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8"/>
      <c r="R61" s="8"/>
      <c r="S61" s="8"/>
    </row>
    <row r="62" spans="1:19" ht="21.75" customHeight="1" x14ac:dyDescent="0.6">
      <c r="A62" s="7"/>
      <c r="B62" s="49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8"/>
      <c r="R62" s="8"/>
      <c r="S62" s="8"/>
    </row>
    <row r="63" spans="1:19" ht="21.75" customHeight="1" x14ac:dyDescent="0.6">
      <c r="A63" s="7"/>
      <c r="B63" s="49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8"/>
      <c r="R63" s="8"/>
      <c r="S63" s="8"/>
    </row>
    <row r="64" spans="1:19" ht="21.75" customHeight="1" x14ac:dyDescent="0.6">
      <c r="A64" s="7"/>
      <c r="B64" s="49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8"/>
      <c r="R64" s="8"/>
      <c r="S64" s="8"/>
    </row>
    <row r="65" spans="1:19" ht="21.75" customHeight="1" x14ac:dyDescent="0.6">
      <c r="A65" s="7"/>
      <c r="B65" s="49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8"/>
      <c r="R65" s="8"/>
      <c r="S65" s="8"/>
    </row>
    <row r="66" spans="1:19" ht="21.75" customHeight="1" x14ac:dyDescent="0.6">
      <c r="A66" s="7"/>
      <c r="B66" s="49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8"/>
      <c r="R66" s="8"/>
      <c r="S66" s="8"/>
    </row>
    <row r="67" spans="1:19" ht="21.75" customHeight="1" x14ac:dyDescent="0.6">
      <c r="A67" s="7"/>
      <c r="B67" s="49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8"/>
      <c r="R67" s="8"/>
      <c r="S67" s="8"/>
    </row>
    <row r="68" spans="1:19" ht="21.75" customHeight="1" x14ac:dyDescent="0.6">
      <c r="A68" s="7"/>
      <c r="B68" s="49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8"/>
      <c r="R68" s="8"/>
      <c r="S68" s="8"/>
    </row>
    <row r="69" spans="1:19" ht="21.75" customHeight="1" x14ac:dyDescent="0.6">
      <c r="A69" s="7"/>
      <c r="B69" s="49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8"/>
      <c r="R69" s="8"/>
      <c r="S69" s="8"/>
    </row>
    <row r="70" spans="1:19" ht="21.75" customHeight="1" x14ac:dyDescent="0.6">
      <c r="A70" s="7"/>
      <c r="B70" s="49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8"/>
      <c r="R70" s="8"/>
      <c r="S70" s="8"/>
    </row>
    <row r="71" spans="1:19" ht="21.75" customHeight="1" x14ac:dyDescent="0.6">
      <c r="A71" s="7"/>
      <c r="B71" s="49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8"/>
      <c r="R71" s="8"/>
      <c r="S71" s="8"/>
    </row>
    <row r="72" spans="1:19" ht="21.75" customHeight="1" x14ac:dyDescent="0.6">
      <c r="A72" s="7"/>
      <c r="B72" s="49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8"/>
      <c r="R72" s="8"/>
      <c r="S72" s="8"/>
    </row>
    <row r="73" spans="1:19" ht="21.75" customHeight="1" x14ac:dyDescent="0.6">
      <c r="A73" s="7"/>
      <c r="B73" s="49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8"/>
      <c r="R73" s="8"/>
      <c r="S73" s="8"/>
    </row>
    <row r="74" spans="1:19" ht="21.75" customHeight="1" x14ac:dyDescent="0.6">
      <c r="A74" s="7"/>
      <c r="B74" s="49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8"/>
      <c r="R74" s="8"/>
      <c r="S74" s="8"/>
    </row>
    <row r="75" spans="1:19" ht="21.75" customHeight="1" x14ac:dyDescent="0.6">
      <c r="A75" s="7"/>
      <c r="B75" s="49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8"/>
      <c r="R75" s="8"/>
      <c r="S75" s="8"/>
    </row>
    <row r="76" spans="1:19" ht="21.75" customHeight="1" x14ac:dyDescent="0.6">
      <c r="A76" s="7"/>
      <c r="B76" s="49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8"/>
      <c r="R76" s="8"/>
      <c r="S76" s="8"/>
    </row>
    <row r="77" spans="1:19" ht="21.75" customHeight="1" x14ac:dyDescent="0.6">
      <c r="A77" s="7"/>
      <c r="B77" s="49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8"/>
      <c r="R77" s="8"/>
      <c r="S77" s="8"/>
    </row>
    <row r="78" spans="1:19" ht="21.75" customHeight="1" x14ac:dyDescent="0.6">
      <c r="A78" s="7"/>
      <c r="B78" s="49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8"/>
      <c r="R78" s="8"/>
      <c r="S78" s="8"/>
    </row>
    <row r="79" spans="1:19" ht="21.75" customHeight="1" x14ac:dyDescent="0.6">
      <c r="A79" s="7"/>
      <c r="B79" s="49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8"/>
      <c r="R79" s="8"/>
      <c r="S79" s="8"/>
    </row>
    <row r="80" spans="1:19" ht="21.75" customHeight="1" x14ac:dyDescent="0.6">
      <c r="A80" s="7"/>
      <c r="B80" s="49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8"/>
      <c r="R80" s="8"/>
      <c r="S80" s="8"/>
    </row>
    <row r="81" spans="1:19" ht="21.75" customHeight="1" x14ac:dyDescent="0.6">
      <c r="A81" s="7"/>
      <c r="B81" s="49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8"/>
      <c r="R81" s="8"/>
      <c r="S81" s="8"/>
    </row>
    <row r="82" spans="1:19" ht="21.75" customHeight="1" x14ac:dyDescent="0.6">
      <c r="A82" s="7"/>
      <c r="B82" s="49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8"/>
      <c r="R82" s="8"/>
      <c r="S82" s="8"/>
    </row>
    <row r="83" spans="1:19" ht="21.75" customHeight="1" x14ac:dyDescent="0.6">
      <c r="A83" s="7"/>
      <c r="B83" s="49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8"/>
      <c r="R83" s="8"/>
      <c r="S83" s="8"/>
    </row>
    <row r="84" spans="1:19" ht="21.75" customHeight="1" x14ac:dyDescent="0.6">
      <c r="A84" s="7"/>
      <c r="B84" s="49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8"/>
      <c r="R84" s="8"/>
      <c r="S84" s="8"/>
    </row>
    <row r="85" spans="1:19" ht="21.75" customHeight="1" x14ac:dyDescent="0.6">
      <c r="A85" s="7"/>
      <c r="B85" s="49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8"/>
      <c r="R85" s="8"/>
      <c r="S85" s="8"/>
    </row>
    <row r="86" spans="1:19" ht="21.75" customHeight="1" x14ac:dyDescent="0.6">
      <c r="A86" s="7"/>
      <c r="B86" s="49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8"/>
      <c r="R86" s="8"/>
      <c r="S86" s="8"/>
    </row>
    <row r="87" spans="1:19" ht="21.75" customHeight="1" x14ac:dyDescent="0.6">
      <c r="A87" s="7"/>
      <c r="B87" s="49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8"/>
      <c r="R87" s="8"/>
      <c r="S87" s="8"/>
    </row>
    <row r="88" spans="1:19" ht="21.75" customHeight="1" x14ac:dyDescent="0.6">
      <c r="A88" s="7"/>
      <c r="B88" s="49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8"/>
      <c r="R88" s="8"/>
      <c r="S88" s="8"/>
    </row>
    <row r="89" spans="1:19" ht="21.75" customHeight="1" x14ac:dyDescent="0.6">
      <c r="A89" s="7"/>
      <c r="B89" s="49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8"/>
      <c r="R89" s="8"/>
      <c r="S89" s="8"/>
    </row>
    <row r="90" spans="1:19" ht="21.75" customHeight="1" x14ac:dyDescent="0.6">
      <c r="A90" s="7"/>
      <c r="B90" s="49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8"/>
      <c r="R90" s="8"/>
      <c r="S90" s="8"/>
    </row>
    <row r="91" spans="1:19" ht="21.75" customHeight="1" x14ac:dyDescent="0.6">
      <c r="A91" s="7"/>
      <c r="B91" s="49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8"/>
      <c r="R91" s="8"/>
      <c r="S91" s="8"/>
    </row>
    <row r="92" spans="1:19" ht="21.75" customHeight="1" x14ac:dyDescent="0.6">
      <c r="A92" s="7"/>
      <c r="B92" s="49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8"/>
      <c r="R92" s="8"/>
      <c r="S92" s="8"/>
    </row>
    <row r="93" spans="1:19" ht="21.75" customHeight="1" x14ac:dyDescent="0.6">
      <c r="A93" s="7"/>
      <c r="B93" s="49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8"/>
      <c r="R93" s="8"/>
      <c r="S93" s="8"/>
    </row>
    <row r="94" spans="1:19" ht="21.75" customHeight="1" x14ac:dyDescent="0.6">
      <c r="A94" s="7"/>
      <c r="B94" s="49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8"/>
      <c r="R94" s="8"/>
      <c r="S94" s="8"/>
    </row>
    <row r="95" spans="1:19" ht="21.75" customHeight="1" x14ac:dyDescent="0.6">
      <c r="A95" s="7"/>
      <c r="B95" s="49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8"/>
      <c r="R95" s="8"/>
      <c r="S95" s="8"/>
    </row>
    <row r="96" spans="1:19" ht="21.75" customHeight="1" x14ac:dyDescent="0.6">
      <c r="A96" s="7"/>
      <c r="B96" s="49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8"/>
      <c r="R96" s="8"/>
      <c r="S96" s="8"/>
    </row>
    <row r="97" spans="1:19" ht="21.75" customHeight="1" x14ac:dyDescent="0.6">
      <c r="A97" s="7"/>
      <c r="B97" s="49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8"/>
      <c r="R97" s="8"/>
      <c r="S97" s="8"/>
    </row>
    <row r="98" spans="1:19" ht="21.75" customHeight="1" x14ac:dyDescent="0.6">
      <c r="A98" s="7"/>
      <c r="B98" s="49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8"/>
      <c r="R98" s="8"/>
      <c r="S98" s="8"/>
    </row>
    <row r="99" spans="1:19" ht="21.75" customHeight="1" x14ac:dyDescent="0.6">
      <c r="A99" s="7"/>
      <c r="B99" s="49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8"/>
      <c r="R99" s="8"/>
      <c r="S99" s="8"/>
    </row>
    <row r="100" spans="1:19" ht="21.75" customHeight="1" x14ac:dyDescent="0.6">
      <c r="A100" s="7"/>
      <c r="B100" s="49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8"/>
      <c r="R100" s="8"/>
      <c r="S100" s="8"/>
    </row>
    <row r="101" spans="1:19" ht="21.75" customHeight="1" x14ac:dyDescent="0.6">
      <c r="A101" s="7"/>
      <c r="B101" s="49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8"/>
      <c r="R101" s="8"/>
      <c r="S101" s="8"/>
    </row>
    <row r="102" spans="1:19" ht="21.75" customHeight="1" x14ac:dyDescent="0.6">
      <c r="A102" s="7"/>
      <c r="B102" s="49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8"/>
      <c r="R102" s="8"/>
      <c r="S102" s="8"/>
    </row>
    <row r="103" spans="1:19" ht="21.75" customHeight="1" x14ac:dyDescent="0.6">
      <c r="A103" s="7"/>
      <c r="B103" s="49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8"/>
      <c r="R103" s="8"/>
      <c r="S103" s="8"/>
    </row>
    <row r="104" spans="1:19" ht="21.75" customHeight="1" x14ac:dyDescent="0.6">
      <c r="A104" s="7"/>
      <c r="B104" s="49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8"/>
      <c r="R104" s="8"/>
      <c r="S104" s="8"/>
    </row>
    <row r="105" spans="1:19" ht="21.75" customHeight="1" x14ac:dyDescent="0.6">
      <c r="A105" s="7"/>
      <c r="B105" s="49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8"/>
      <c r="R105" s="8"/>
      <c r="S105" s="8"/>
    </row>
    <row r="106" spans="1:19" ht="21.75" customHeight="1" x14ac:dyDescent="0.6">
      <c r="A106" s="7"/>
      <c r="B106" s="49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8"/>
      <c r="R106" s="8"/>
      <c r="S106" s="8"/>
    </row>
    <row r="107" spans="1:19" ht="21.75" customHeight="1" x14ac:dyDescent="0.6">
      <c r="A107" s="7"/>
      <c r="B107" s="49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8"/>
      <c r="R107" s="8"/>
      <c r="S107" s="8"/>
    </row>
    <row r="108" spans="1:19" ht="21.75" customHeight="1" x14ac:dyDescent="0.6">
      <c r="A108" s="7"/>
      <c r="B108" s="49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8"/>
      <c r="R108" s="8"/>
      <c r="S108" s="8"/>
    </row>
    <row r="109" spans="1:19" ht="21.75" customHeight="1" x14ac:dyDescent="0.6">
      <c r="A109" s="7"/>
      <c r="B109" s="49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8"/>
      <c r="R109" s="8"/>
      <c r="S109" s="8"/>
    </row>
    <row r="110" spans="1:19" ht="21.75" customHeight="1" x14ac:dyDescent="0.6">
      <c r="A110" s="7"/>
      <c r="B110" s="49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8"/>
      <c r="R110" s="8"/>
      <c r="S110" s="8"/>
    </row>
    <row r="111" spans="1:19" ht="21.75" customHeight="1" x14ac:dyDescent="0.6">
      <c r="A111" s="7"/>
      <c r="B111" s="49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8"/>
      <c r="R111" s="8"/>
      <c r="S111" s="8"/>
    </row>
    <row r="112" spans="1:19" ht="21.75" customHeight="1" x14ac:dyDescent="0.6">
      <c r="A112" s="7"/>
      <c r="B112" s="49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8"/>
      <c r="R112" s="8"/>
      <c r="S112" s="8"/>
    </row>
    <row r="113" spans="1:19" ht="21.75" customHeight="1" x14ac:dyDescent="0.6">
      <c r="A113" s="7"/>
      <c r="B113" s="49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8"/>
      <c r="R113" s="8"/>
      <c r="S113" s="8"/>
    </row>
    <row r="114" spans="1:19" ht="21.75" customHeight="1" x14ac:dyDescent="0.6">
      <c r="A114" s="7"/>
      <c r="B114" s="49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8"/>
      <c r="R114" s="8"/>
      <c r="S114" s="8"/>
    </row>
    <row r="115" spans="1:19" ht="21.75" customHeight="1" x14ac:dyDescent="0.6">
      <c r="A115" s="7"/>
      <c r="B115" s="49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8"/>
      <c r="R115" s="8"/>
      <c r="S115" s="8"/>
    </row>
    <row r="116" spans="1:19" ht="21.75" customHeight="1" x14ac:dyDescent="0.6">
      <c r="A116" s="7"/>
      <c r="B116" s="49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8"/>
      <c r="R116" s="8"/>
      <c r="S116" s="8"/>
    </row>
    <row r="117" spans="1:19" ht="21.75" customHeight="1" x14ac:dyDescent="0.6">
      <c r="A117" s="7"/>
      <c r="B117" s="49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8"/>
      <c r="R117" s="8"/>
      <c r="S117" s="8"/>
    </row>
    <row r="118" spans="1:19" ht="21.75" customHeight="1" x14ac:dyDescent="0.6">
      <c r="A118" s="7"/>
      <c r="B118" s="49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8"/>
      <c r="R118" s="8"/>
      <c r="S118" s="8"/>
    </row>
    <row r="119" spans="1:19" ht="21.75" customHeight="1" x14ac:dyDescent="0.6">
      <c r="A119" s="7"/>
      <c r="B119" s="49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8"/>
      <c r="R119" s="8"/>
      <c r="S119" s="8"/>
    </row>
    <row r="120" spans="1:19" ht="21.75" customHeight="1" x14ac:dyDescent="0.6">
      <c r="A120" s="7"/>
      <c r="B120" s="49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8"/>
      <c r="R120" s="8"/>
      <c r="S120" s="8"/>
    </row>
    <row r="121" spans="1:19" ht="21.75" customHeight="1" x14ac:dyDescent="0.6">
      <c r="A121" s="7"/>
      <c r="B121" s="49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8"/>
      <c r="R121" s="8"/>
      <c r="S121" s="8"/>
    </row>
    <row r="122" spans="1:19" ht="21.75" customHeight="1" x14ac:dyDescent="0.6">
      <c r="A122" s="7"/>
      <c r="B122" s="49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8"/>
      <c r="R122" s="8"/>
      <c r="S122" s="8"/>
    </row>
    <row r="123" spans="1:19" ht="21.75" customHeight="1" x14ac:dyDescent="0.6">
      <c r="A123" s="7"/>
      <c r="B123" s="49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8"/>
      <c r="R123" s="8"/>
      <c r="S123" s="8"/>
    </row>
    <row r="124" spans="1:19" ht="21.75" customHeight="1" x14ac:dyDescent="0.6">
      <c r="A124" s="7"/>
      <c r="B124" s="49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8"/>
      <c r="R124" s="8"/>
      <c r="S124" s="8"/>
    </row>
    <row r="125" spans="1:19" ht="21.75" customHeight="1" x14ac:dyDescent="0.6">
      <c r="A125" s="7"/>
      <c r="B125" s="49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8"/>
      <c r="R125" s="8"/>
      <c r="S125" s="8"/>
    </row>
    <row r="126" spans="1:19" ht="21.75" customHeight="1" x14ac:dyDescent="0.6">
      <c r="A126" s="7"/>
      <c r="B126" s="49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8"/>
      <c r="R126" s="8"/>
      <c r="S126" s="8"/>
    </row>
    <row r="127" spans="1:19" ht="21.75" customHeight="1" x14ac:dyDescent="0.6">
      <c r="A127" s="7"/>
      <c r="B127" s="49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8"/>
      <c r="R127" s="8"/>
      <c r="S127" s="8"/>
    </row>
    <row r="128" spans="1:19" ht="21.75" customHeight="1" x14ac:dyDescent="0.6">
      <c r="A128" s="7"/>
      <c r="B128" s="49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8"/>
      <c r="R128" s="8"/>
      <c r="S128" s="8"/>
    </row>
    <row r="129" spans="1:19" ht="21.75" customHeight="1" x14ac:dyDescent="0.6">
      <c r="A129" s="7"/>
      <c r="B129" s="49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8"/>
      <c r="R129" s="8"/>
      <c r="S129" s="8"/>
    </row>
    <row r="130" spans="1:19" ht="21.75" customHeight="1" x14ac:dyDescent="0.6">
      <c r="A130" s="7"/>
      <c r="B130" s="49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8"/>
      <c r="R130" s="8"/>
      <c r="S130" s="8"/>
    </row>
    <row r="131" spans="1:19" ht="21.75" customHeight="1" x14ac:dyDescent="0.6">
      <c r="A131" s="7"/>
      <c r="B131" s="49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8"/>
      <c r="R131" s="8"/>
      <c r="S131" s="8"/>
    </row>
    <row r="132" spans="1:19" ht="21.75" customHeight="1" x14ac:dyDescent="0.6">
      <c r="A132" s="7"/>
      <c r="B132" s="49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8"/>
      <c r="R132" s="8"/>
      <c r="S132" s="8"/>
    </row>
    <row r="133" spans="1:19" ht="21.75" customHeight="1" x14ac:dyDescent="0.6">
      <c r="A133" s="7"/>
      <c r="B133" s="49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8"/>
      <c r="R133" s="8"/>
      <c r="S133" s="8"/>
    </row>
    <row r="134" spans="1:19" ht="21.75" customHeight="1" x14ac:dyDescent="0.6">
      <c r="A134" s="7"/>
      <c r="B134" s="49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8"/>
      <c r="R134" s="8"/>
      <c r="S134" s="8"/>
    </row>
    <row r="135" spans="1:19" ht="21.75" customHeight="1" x14ac:dyDescent="0.6">
      <c r="A135" s="7"/>
      <c r="B135" s="4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8"/>
      <c r="R135" s="8"/>
      <c r="S135" s="8"/>
    </row>
    <row r="136" spans="1:19" ht="21.75" customHeight="1" x14ac:dyDescent="0.6">
      <c r="A136" s="7"/>
      <c r="B136" s="4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8"/>
      <c r="R136" s="8"/>
      <c r="S136" s="8"/>
    </row>
    <row r="137" spans="1:19" ht="21.75" customHeight="1" x14ac:dyDescent="0.6">
      <c r="A137" s="7"/>
      <c r="B137" s="49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8"/>
      <c r="R137" s="8"/>
      <c r="S137" s="8"/>
    </row>
    <row r="138" spans="1:19" ht="21.75" customHeight="1" x14ac:dyDescent="0.6">
      <c r="A138" s="7"/>
      <c r="B138" s="4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8"/>
      <c r="R138" s="8"/>
      <c r="S138" s="8"/>
    </row>
    <row r="139" spans="1:19" ht="21.75" customHeight="1" x14ac:dyDescent="0.6">
      <c r="A139" s="7"/>
      <c r="B139" s="49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8"/>
      <c r="R139" s="8"/>
      <c r="S139" s="8"/>
    </row>
    <row r="140" spans="1:19" ht="21.75" customHeight="1" x14ac:dyDescent="0.6">
      <c r="A140" s="7"/>
      <c r="B140" s="49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8"/>
      <c r="R140" s="8"/>
      <c r="S140" s="8"/>
    </row>
    <row r="141" spans="1:19" ht="21.75" customHeight="1" x14ac:dyDescent="0.6">
      <c r="A141" s="7"/>
      <c r="B141" s="49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8"/>
      <c r="R141" s="8"/>
      <c r="S141" s="8"/>
    </row>
    <row r="142" spans="1:19" ht="21.75" customHeight="1" x14ac:dyDescent="0.6">
      <c r="A142" s="7"/>
      <c r="B142" s="49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8"/>
      <c r="R142" s="8"/>
      <c r="S142" s="8"/>
    </row>
    <row r="143" spans="1:19" ht="21.75" customHeight="1" x14ac:dyDescent="0.6">
      <c r="A143" s="7"/>
      <c r="B143" s="49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8"/>
      <c r="R143" s="8"/>
      <c r="S143" s="8"/>
    </row>
    <row r="144" spans="1:19" ht="21.75" customHeight="1" x14ac:dyDescent="0.6">
      <c r="A144" s="7"/>
      <c r="B144" s="49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8"/>
      <c r="R144" s="8"/>
      <c r="S144" s="8"/>
    </row>
    <row r="145" spans="1:19" ht="21.75" customHeight="1" x14ac:dyDescent="0.6">
      <c r="A145" s="7"/>
      <c r="B145" s="49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8"/>
      <c r="R145" s="8"/>
      <c r="S145" s="8"/>
    </row>
    <row r="146" spans="1:19" ht="21.75" customHeight="1" x14ac:dyDescent="0.6">
      <c r="A146" s="7"/>
      <c r="B146" s="49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8"/>
      <c r="R146" s="8"/>
      <c r="S146" s="8"/>
    </row>
    <row r="147" spans="1:19" ht="21.75" customHeight="1" x14ac:dyDescent="0.6">
      <c r="A147" s="7"/>
      <c r="B147" s="49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8"/>
      <c r="R147" s="8"/>
      <c r="S147" s="8"/>
    </row>
    <row r="148" spans="1:19" ht="21.75" customHeight="1" x14ac:dyDescent="0.6">
      <c r="A148" s="7"/>
      <c r="B148" s="49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8"/>
      <c r="R148" s="8"/>
      <c r="S148" s="8"/>
    </row>
    <row r="149" spans="1:19" ht="21.75" customHeight="1" x14ac:dyDescent="0.6">
      <c r="A149" s="7"/>
      <c r="B149" s="49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8"/>
      <c r="R149" s="8"/>
      <c r="S149" s="8"/>
    </row>
    <row r="150" spans="1:19" ht="21.75" customHeight="1" x14ac:dyDescent="0.6">
      <c r="A150" s="7"/>
      <c r="B150" s="49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8"/>
      <c r="R150" s="8"/>
      <c r="S150" s="8"/>
    </row>
    <row r="151" spans="1:19" ht="21.75" customHeight="1" x14ac:dyDescent="0.6">
      <c r="A151" s="7"/>
      <c r="B151" s="49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8"/>
      <c r="R151" s="8"/>
      <c r="S151" s="8"/>
    </row>
    <row r="152" spans="1:19" ht="21.75" customHeight="1" x14ac:dyDescent="0.6">
      <c r="A152" s="7"/>
      <c r="B152" s="49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8"/>
      <c r="R152" s="8"/>
      <c r="S152" s="8"/>
    </row>
    <row r="153" spans="1:19" ht="21.75" customHeight="1" x14ac:dyDescent="0.6">
      <c r="A153" s="7"/>
      <c r="B153" s="49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8"/>
      <c r="R153" s="8"/>
      <c r="S153" s="8"/>
    </row>
    <row r="154" spans="1:19" ht="21.75" customHeight="1" x14ac:dyDescent="0.6">
      <c r="A154" s="7"/>
      <c r="B154" s="49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8"/>
      <c r="R154" s="8"/>
      <c r="S154" s="8"/>
    </row>
    <row r="155" spans="1:19" ht="21.75" customHeight="1" x14ac:dyDescent="0.6">
      <c r="A155" s="7"/>
      <c r="B155" s="49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8"/>
      <c r="R155" s="8"/>
      <c r="S155" s="8"/>
    </row>
    <row r="156" spans="1:19" ht="21.75" customHeight="1" x14ac:dyDescent="0.6">
      <c r="A156" s="7"/>
      <c r="B156" s="49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8"/>
      <c r="R156" s="8"/>
      <c r="S156" s="8"/>
    </row>
    <row r="157" spans="1:19" ht="21.75" customHeight="1" x14ac:dyDescent="0.6">
      <c r="A157" s="7"/>
      <c r="B157" s="49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8"/>
      <c r="R157" s="8"/>
      <c r="S157" s="8"/>
    </row>
    <row r="158" spans="1:19" ht="21.75" customHeight="1" x14ac:dyDescent="0.6">
      <c r="A158" s="7"/>
      <c r="B158" s="49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8"/>
      <c r="R158" s="8"/>
      <c r="S158" s="8"/>
    </row>
    <row r="159" spans="1:19" ht="21.75" customHeight="1" x14ac:dyDescent="0.6">
      <c r="A159" s="7"/>
      <c r="B159" s="49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8"/>
      <c r="R159" s="8"/>
      <c r="S159" s="8"/>
    </row>
    <row r="160" spans="1:19" ht="21.75" customHeight="1" x14ac:dyDescent="0.6">
      <c r="A160" s="7"/>
      <c r="B160" s="49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8"/>
      <c r="R160" s="8"/>
      <c r="S160" s="8"/>
    </row>
    <row r="161" spans="1:19" ht="21.75" customHeight="1" x14ac:dyDescent="0.6">
      <c r="A161" s="7"/>
      <c r="B161" s="49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8"/>
      <c r="R161" s="8"/>
      <c r="S161" s="8"/>
    </row>
    <row r="162" spans="1:19" ht="21.75" customHeight="1" x14ac:dyDescent="0.6">
      <c r="A162" s="7"/>
      <c r="B162" s="49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8"/>
      <c r="R162" s="8"/>
      <c r="S162" s="8"/>
    </row>
    <row r="163" spans="1:19" ht="21.75" customHeight="1" x14ac:dyDescent="0.6">
      <c r="A163" s="7"/>
      <c r="B163" s="49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8"/>
      <c r="R163" s="8"/>
      <c r="S163" s="8"/>
    </row>
    <row r="164" spans="1:19" ht="21.75" customHeight="1" x14ac:dyDescent="0.6">
      <c r="A164" s="7"/>
      <c r="B164" s="49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8"/>
      <c r="R164" s="8"/>
      <c r="S164" s="8"/>
    </row>
    <row r="165" spans="1:19" ht="21.75" customHeight="1" x14ac:dyDescent="0.6">
      <c r="A165" s="7"/>
      <c r="B165" s="49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8"/>
      <c r="R165" s="8"/>
      <c r="S165" s="8"/>
    </row>
    <row r="166" spans="1:19" ht="21.75" customHeight="1" x14ac:dyDescent="0.6">
      <c r="A166" s="7"/>
      <c r="B166" s="49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8"/>
      <c r="R166" s="8"/>
      <c r="S166" s="8"/>
    </row>
    <row r="167" spans="1:19" ht="21.75" customHeight="1" x14ac:dyDescent="0.6">
      <c r="A167" s="7"/>
      <c r="B167" s="49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8"/>
      <c r="R167" s="8"/>
      <c r="S167" s="8"/>
    </row>
    <row r="168" spans="1:19" ht="21.75" customHeight="1" x14ac:dyDescent="0.6">
      <c r="A168" s="7"/>
      <c r="B168" s="49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8"/>
      <c r="R168" s="8"/>
      <c r="S168" s="8"/>
    </row>
    <row r="169" spans="1:19" ht="21.75" customHeight="1" x14ac:dyDescent="0.6">
      <c r="A169" s="7"/>
      <c r="B169" s="49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8"/>
      <c r="R169" s="8"/>
      <c r="S169" s="8"/>
    </row>
    <row r="170" spans="1:19" ht="21.75" customHeight="1" x14ac:dyDescent="0.6">
      <c r="A170" s="7"/>
      <c r="B170" s="49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8"/>
      <c r="R170" s="8"/>
      <c r="S170" s="8"/>
    </row>
    <row r="171" spans="1:19" ht="21.75" customHeight="1" x14ac:dyDescent="0.6">
      <c r="A171" s="7"/>
      <c r="B171" s="49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8"/>
      <c r="R171" s="8"/>
      <c r="S171" s="8"/>
    </row>
    <row r="172" spans="1:19" ht="21.75" customHeight="1" x14ac:dyDescent="0.6">
      <c r="A172" s="7"/>
      <c r="B172" s="49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8"/>
      <c r="R172" s="8"/>
      <c r="S172" s="8"/>
    </row>
    <row r="173" spans="1:19" ht="21.75" customHeight="1" x14ac:dyDescent="0.6">
      <c r="A173" s="7"/>
      <c r="B173" s="49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8"/>
      <c r="R173" s="8"/>
      <c r="S173" s="8"/>
    </row>
    <row r="174" spans="1:19" ht="21.75" customHeight="1" x14ac:dyDescent="0.6">
      <c r="A174" s="7"/>
      <c r="B174" s="49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8"/>
      <c r="R174" s="8"/>
      <c r="S174" s="8"/>
    </row>
    <row r="175" spans="1:19" ht="21.75" customHeight="1" x14ac:dyDescent="0.6">
      <c r="A175" s="7"/>
      <c r="B175" s="49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8"/>
      <c r="R175" s="8"/>
      <c r="S175" s="8"/>
    </row>
    <row r="176" spans="1:19" ht="21.75" customHeight="1" x14ac:dyDescent="0.6">
      <c r="A176" s="7"/>
      <c r="B176" s="49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8"/>
      <c r="R176" s="8"/>
      <c r="S176" s="8"/>
    </row>
    <row r="177" spans="1:19" ht="21.75" customHeight="1" x14ac:dyDescent="0.6">
      <c r="A177" s="7"/>
      <c r="B177" s="49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8"/>
      <c r="R177" s="8"/>
      <c r="S177" s="8"/>
    </row>
    <row r="178" spans="1:19" ht="21.75" customHeight="1" x14ac:dyDescent="0.6">
      <c r="A178" s="7"/>
      <c r="B178" s="49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8"/>
      <c r="R178" s="8"/>
      <c r="S178" s="8"/>
    </row>
    <row r="179" spans="1:19" ht="21.75" customHeight="1" x14ac:dyDescent="0.6">
      <c r="A179" s="7"/>
      <c r="B179" s="49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8"/>
      <c r="R179" s="8"/>
      <c r="S179" s="8"/>
    </row>
    <row r="180" spans="1:19" ht="21.75" customHeight="1" x14ac:dyDescent="0.6">
      <c r="A180" s="7"/>
      <c r="B180" s="49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8"/>
      <c r="R180" s="8"/>
      <c r="S180" s="8"/>
    </row>
    <row r="181" spans="1:19" ht="21.75" customHeight="1" x14ac:dyDescent="0.6">
      <c r="A181" s="7"/>
      <c r="B181" s="49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8"/>
      <c r="R181" s="8"/>
      <c r="S181" s="8"/>
    </row>
    <row r="182" spans="1:19" ht="21.75" customHeight="1" x14ac:dyDescent="0.6">
      <c r="A182" s="7"/>
      <c r="B182" s="49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8"/>
      <c r="R182" s="8"/>
      <c r="S182" s="8"/>
    </row>
    <row r="183" spans="1:19" ht="21.75" customHeight="1" x14ac:dyDescent="0.6">
      <c r="A183" s="7"/>
      <c r="B183" s="49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8"/>
      <c r="R183" s="8"/>
      <c r="S183" s="8"/>
    </row>
    <row r="184" spans="1:19" ht="21.75" customHeight="1" x14ac:dyDescent="0.6">
      <c r="A184" s="7"/>
      <c r="B184" s="49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8"/>
      <c r="R184" s="8"/>
      <c r="S184" s="8"/>
    </row>
    <row r="185" spans="1:19" ht="21.75" customHeight="1" x14ac:dyDescent="0.6">
      <c r="A185" s="7"/>
      <c r="B185" s="49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8"/>
      <c r="R185" s="8"/>
      <c r="S185" s="8"/>
    </row>
    <row r="186" spans="1:19" ht="21.75" customHeight="1" x14ac:dyDescent="0.6">
      <c r="A186" s="7"/>
      <c r="B186" s="49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8"/>
      <c r="R186" s="8"/>
      <c r="S186" s="8"/>
    </row>
    <row r="187" spans="1:19" ht="21.75" customHeight="1" x14ac:dyDescent="0.6">
      <c r="A187" s="7"/>
      <c r="B187" s="49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8"/>
      <c r="R187" s="8"/>
      <c r="S187" s="8"/>
    </row>
    <row r="188" spans="1:19" ht="21.75" customHeight="1" x14ac:dyDescent="0.6">
      <c r="A188" s="7"/>
      <c r="B188" s="49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8"/>
      <c r="R188" s="8"/>
      <c r="S188" s="8"/>
    </row>
    <row r="189" spans="1:19" ht="21.75" customHeight="1" x14ac:dyDescent="0.6">
      <c r="A189" s="7"/>
      <c r="B189" s="49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8"/>
      <c r="R189" s="8"/>
      <c r="S189" s="8"/>
    </row>
    <row r="190" spans="1:19" ht="21.75" customHeight="1" x14ac:dyDescent="0.6">
      <c r="A190" s="7"/>
      <c r="B190" s="49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8"/>
      <c r="R190" s="8"/>
      <c r="S190" s="8"/>
    </row>
    <row r="191" spans="1:19" ht="21.75" customHeight="1" x14ac:dyDescent="0.6">
      <c r="A191" s="7"/>
      <c r="B191" s="49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8"/>
      <c r="R191" s="8"/>
      <c r="S191" s="8"/>
    </row>
    <row r="192" spans="1:19" ht="21.75" customHeight="1" x14ac:dyDescent="0.6">
      <c r="A192" s="7"/>
      <c r="B192" s="49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8"/>
      <c r="R192" s="8"/>
      <c r="S192" s="8"/>
    </row>
    <row r="193" spans="1:19" ht="21.75" customHeight="1" x14ac:dyDescent="0.6">
      <c r="A193" s="7"/>
      <c r="B193" s="49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8"/>
      <c r="R193" s="8"/>
      <c r="S193" s="8"/>
    </row>
    <row r="194" spans="1:19" ht="21.75" customHeight="1" x14ac:dyDescent="0.6">
      <c r="A194" s="7"/>
      <c r="B194" s="49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8"/>
      <c r="R194" s="8"/>
      <c r="S194" s="8"/>
    </row>
    <row r="195" spans="1:19" ht="21.75" customHeight="1" x14ac:dyDescent="0.6">
      <c r="A195" s="7"/>
      <c r="B195" s="49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8"/>
      <c r="R195" s="8"/>
      <c r="S195" s="8"/>
    </row>
    <row r="196" spans="1:19" ht="21.75" customHeight="1" x14ac:dyDescent="0.6">
      <c r="A196" s="7"/>
      <c r="B196" s="49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8"/>
      <c r="R196" s="8"/>
      <c r="S196" s="8"/>
    </row>
    <row r="197" spans="1:19" ht="21.75" customHeight="1" x14ac:dyDescent="0.6">
      <c r="A197" s="7"/>
      <c r="B197" s="49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8"/>
      <c r="R197" s="8"/>
      <c r="S197" s="8"/>
    </row>
    <row r="198" spans="1:19" ht="21.75" customHeight="1" x14ac:dyDescent="0.6">
      <c r="A198" s="7"/>
      <c r="B198" s="49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8"/>
      <c r="R198" s="8"/>
      <c r="S198" s="8"/>
    </row>
    <row r="199" spans="1:19" ht="21.75" customHeight="1" x14ac:dyDescent="0.6">
      <c r="A199" s="7"/>
      <c r="B199" s="49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8"/>
      <c r="R199" s="8"/>
      <c r="S199" s="8"/>
    </row>
    <row r="200" spans="1:19" ht="21.75" customHeight="1" x14ac:dyDescent="0.6">
      <c r="A200" s="7"/>
      <c r="B200" s="49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8"/>
      <c r="R200" s="8"/>
      <c r="S200" s="8"/>
    </row>
    <row r="201" spans="1:19" ht="21.75" customHeight="1" x14ac:dyDescent="0.6">
      <c r="A201" s="7"/>
      <c r="B201" s="49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8"/>
      <c r="R201" s="8"/>
      <c r="S201" s="8"/>
    </row>
    <row r="202" spans="1:19" ht="21.75" customHeight="1" x14ac:dyDescent="0.6">
      <c r="A202" s="7"/>
      <c r="B202" s="49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8"/>
      <c r="R202" s="8"/>
      <c r="S202" s="8"/>
    </row>
    <row r="203" spans="1:19" ht="21.75" customHeight="1" x14ac:dyDescent="0.6">
      <c r="A203" s="7"/>
      <c r="B203" s="49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8"/>
      <c r="R203" s="8"/>
      <c r="S203" s="8"/>
    </row>
    <row r="204" spans="1:19" ht="21.75" customHeight="1" x14ac:dyDescent="0.6">
      <c r="A204" s="7"/>
      <c r="B204" s="49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8"/>
      <c r="R204" s="8"/>
      <c r="S204" s="8"/>
    </row>
    <row r="205" spans="1:19" ht="21.75" customHeight="1" x14ac:dyDescent="0.6">
      <c r="A205" s="7"/>
      <c r="B205" s="49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8"/>
      <c r="R205" s="8"/>
      <c r="S205" s="8"/>
    </row>
    <row r="206" spans="1:19" ht="21.75" customHeight="1" x14ac:dyDescent="0.6">
      <c r="A206" s="7"/>
      <c r="B206" s="49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8"/>
      <c r="R206" s="8"/>
      <c r="S206" s="8"/>
    </row>
    <row r="207" spans="1:19" ht="21.75" customHeight="1" x14ac:dyDescent="0.6">
      <c r="A207" s="7"/>
      <c r="B207" s="49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8"/>
      <c r="R207" s="8"/>
      <c r="S207" s="8"/>
    </row>
    <row r="208" spans="1:19" ht="21.75" customHeight="1" x14ac:dyDescent="0.6">
      <c r="A208" s="7"/>
      <c r="B208" s="49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8"/>
      <c r="R208" s="8"/>
      <c r="S208" s="8"/>
    </row>
    <row r="209" spans="1:19" ht="21.75" customHeight="1" x14ac:dyDescent="0.6">
      <c r="A209" s="7"/>
      <c r="B209" s="49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8"/>
      <c r="R209" s="8"/>
      <c r="S209" s="8"/>
    </row>
    <row r="210" spans="1:19" ht="21.75" customHeight="1" x14ac:dyDescent="0.6">
      <c r="A210" s="7"/>
      <c r="B210" s="49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8"/>
      <c r="R210" s="8"/>
      <c r="S210" s="8"/>
    </row>
    <row r="211" spans="1:19" ht="21.75" customHeight="1" x14ac:dyDescent="0.6">
      <c r="A211" s="7"/>
      <c r="B211" s="49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8"/>
      <c r="R211" s="8"/>
      <c r="S211" s="8"/>
    </row>
    <row r="212" spans="1:19" ht="21.75" customHeight="1" x14ac:dyDescent="0.6">
      <c r="A212" s="7"/>
      <c r="B212" s="49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8"/>
      <c r="R212" s="8"/>
      <c r="S212" s="8"/>
    </row>
    <row r="213" spans="1:19" ht="21.75" customHeight="1" x14ac:dyDescent="0.6">
      <c r="A213" s="7"/>
      <c r="B213" s="49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8"/>
      <c r="R213" s="8"/>
      <c r="S213" s="8"/>
    </row>
    <row r="214" spans="1:19" ht="21.75" customHeight="1" x14ac:dyDescent="0.6">
      <c r="A214" s="7"/>
      <c r="B214" s="49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8"/>
      <c r="R214" s="8"/>
      <c r="S214" s="8"/>
    </row>
    <row r="215" spans="1:19" ht="21.75" customHeight="1" x14ac:dyDescent="0.6">
      <c r="A215" s="7"/>
      <c r="B215" s="49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8"/>
      <c r="R215" s="8"/>
      <c r="S215" s="8"/>
    </row>
    <row r="216" spans="1:19" ht="21.75" customHeight="1" x14ac:dyDescent="0.6">
      <c r="A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8"/>
      <c r="R216" s="8"/>
      <c r="S216" s="8"/>
    </row>
    <row r="217" spans="1:19" ht="21.75" customHeight="1" x14ac:dyDescent="0.6">
      <c r="A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8"/>
      <c r="R217" s="8"/>
      <c r="S217" s="8"/>
    </row>
    <row r="218" spans="1:19" ht="21.75" customHeight="1" x14ac:dyDescent="0.6">
      <c r="A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8"/>
      <c r="R218" s="8"/>
      <c r="S218" s="8"/>
    </row>
    <row r="219" spans="1:19" ht="21.75" customHeight="1" x14ac:dyDescent="0.6">
      <c r="A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8"/>
      <c r="R219" s="8"/>
      <c r="S219" s="8"/>
    </row>
    <row r="220" spans="1:19" ht="21.75" customHeight="1" x14ac:dyDescent="0.6">
      <c r="A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8"/>
      <c r="R220" s="8"/>
      <c r="S220" s="8"/>
    </row>
    <row r="221" spans="1:19" ht="21.75" customHeight="1" x14ac:dyDescent="0.6">
      <c r="A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8"/>
      <c r="R221" s="8"/>
      <c r="S221" s="8"/>
    </row>
    <row r="222" spans="1:19" ht="21.75" customHeight="1" x14ac:dyDescent="0.6">
      <c r="A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8"/>
      <c r="R222" s="8"/>
      <c r="S222" s="8"/>
    </row>
    <row r="223" spans="1:19" ht="21.75" customHeight="1" x14ac:dyDescent="0.6">
      <c r="A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8"/>
      <c r="R223" s="8"/>
      <c r="S223" s="8"/>
    </row>
    <row r="224" spans="1:19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B3:E4"/>
    <mergeCell ref="H5:BI5"/>
    <mergeCell ref="BK5:CZ5"/>
  </mergeCells>
  <phoneticPr fontId="16" type="noConversion"/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a. COMPARATIVOS OBRAS</vt:lpstr>
      <vt:lpstr>b. Fundação</vt:lpstr>
      <vt:lpstr>c. Supraestrutura</vt:lpstr>
      <vt:lpstr>d. Fachada</vt:lpstr>
      <vt:lpstr>e. ESTIMATIVA PRAZO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n</dc:creator>
  <cp:lastModifiedBy>caroline n</cp:lastModifiedBy>
  <dcterms:created xsi:type="dcterms:W3CDTF">2023-09-12T11:23:37Z</dcterms:created>
  <dcterms:modified xsi:type="dcterms:W3CDTF">2024-07-08T20:09:53Z</dcterms:modified>
</cp:coreProperties>
</file>