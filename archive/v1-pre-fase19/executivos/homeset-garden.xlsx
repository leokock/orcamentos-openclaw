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Homeset - 06.2022\03. Custo\03.5 Custo - Determinação do orçamento\R01\"/>
    </mc:Choice>
  </mc:AlternateContent>
  <xr:revisionPtr revIDLastSave="0" documentId="13_ncr:1_{C0BF51F6-E650-4F9B-9C40-B20ED07C4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 Resumo" sheetId="1" r:id="rId1"/>
    <sheet name="ANÁLISE-CTN" sheetId="2" r:id="rId2"/>
    <sheet name="HOMESET" sheetId="4" r:id="rId3"/>
    <sheet name="TORRE_01" sheetId="6" r:id="rId4"/>
    <sheet name="TORRE_02" sheetId="7" r:id="rId5"/>
    <sheet name="ÁREAS COMUNS" sheetId="8" r:id="rId6"/>
  </sheets>
  <definedNames>
    <definedName name="_xlnm._FilterDatabase" localSheetId="5" hidden="1">'ÁREAS COMUNS'!$A$1:$F$20</definedName>
    <definedName name="_xlnm._FilterDatabase" localSheetId="2" hidden="1">HOMESET!$A$1:$F$20</definedName>
    <definedName name="_xlnm._FilterDatabase" localSheetId="0" hidden="1">'Orçamento Resumo'!$A$1:$F$19</definedName>
    <definedName name="_xlnm._FilterDatabase" localSheetId="3" hidden="1">TORRE_01!$A$1:$F$20</definedName>
    <definedName name="_xlnm._FilterDatabase" localSheetId="4" hidden="1">TORRE_02!$A$1:$F$20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F2" i="1" l="1"/>
  <c r="B18" i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G13" i="8"/>
  <c r="F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G10" i="6"/>
  <c r="G13" i="6"/>
  <c r="G4" i="6"/>
  <c r="F2" i="6"/>
  <c r="B19" i="8"/>
  <c r="C18" i="8" s="1"/>
  <c r="D18" i="8"/>
  <c r="G18" i="8" s="1"/>
  <c r="D17" i="8"/>
  <c r="G17" i="8" s="1"/>
  <c r="D15" i="8"/>
  <c r="D14" i="8"/>
  <c r="I13" i="8"/>
  <c r="D13" i="8"/>
  <c r="I12" i="8"/>
  <c r="D12" i="8"/>
  <c r="D11" i="8"/>
  <c r="D10" i="8"/>
  <c r="D9" i="8"/>
  <c r="G9" i="8" s="1"/>
  <c r="D8" i="8"/>
  <c r="D7" i="8"/>
  <c r="G7" i="8" s="1"/>
  <c r="D6" i="8"/>
  <c r="G6" i="8" s="1"/>
  <c r="D5" i="8"/>
  <c r="D4" i="8"/>
  <c r="D3" i="8"/>
  <c r="D2" i="8"/>
  <c r="B19" i="7"/>
  <c r="C18" i="7" s="1"/>
  <c r="D18" i="7"/>
  <c r="G18" i="7" s="1"/>
  <c r="D17" i="7"/>
  <c r="D15" i="7"/>
  <c r="D14" i="7"/>
  <c r="G14" i="7" s="1"/>
  <c r="I13" i="7"/>
  <c r="D13" i="7"/>
  <c r="I12" i="7"/>
  <c r="D12" i="7"/>
  <c r="D11" i="7"/>
  <c r="G11" i="7" s="1"/>
  <c r="D10" i="7"/>
  <c r="D9" i="7"/>
  <c r="D8" i="7"/>
  <c r="D7" i="7"/>
  <c r="G7" i="7" s="1"/>
  <c r="D6" i="7"/>
  <c r="G6" i="7" s="1"/>
  <c r="D5" i="7"/>
  <c r="D4" i="7"/>
  <c r="D3" i="7"/>
  <c r="G3" i="7" s="1"/>
  <c r="D2" i="7"/>
  <c r="G2" i="7" s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7" i="6"/>
  <c r="G17" i="6" s="1"/>
  <c r="D18" i="6"/>
  <c r="G18" i="6" s="1"/>
  <c r="B19" i="6"/>
  <c r="C13" i="6" s="1"/>
  <c r="I13" i="6"/>
  <c r="I12" i="6"/>
  <c r="G9" i="6"/>
  <c r="G6" i="6"/>
  <c r="C22" i="1" l="1"/>
  <c r="B22" i="1"/>
  <c r="A22" i="1"/>
  <c r="D22" i="1"/>
  <c r="E22" i="1" s="1"/>
  <c r="G22" i="1" s="1"/>
  <c r="G8" i="8"/>
  <c r="G14" i="8"/>
  <c r="F19" i="8"/>
  <c r="F20" i="8" s="1"/>
  <c r="G10" i="8"/>
  <c r="G3" i="8"/>
  <c r="G11" i="8"/>
  <c r="G4" i="8"/>
  <c r="G12" i="8"/>
  <c r="G5" i="8"/>
  <c r="G12" i="7"/>
  <c r="G5" i="7"/>
  <c r="F19" i="7"/>
  <c r="F20" i="7" s="1"/>
  <c r="G13" i="7"/>
  <c r="G4" i="7"/>
  <c r="G9" i="7"/>
  <c r="G8" i="7"/>
  <c r="G10" i="7"/>
  <c r="G17" i="7"/>
  <c r="G15" i="8"/>
  <c r="D19" i="8"/>
  <c r="D20" i="8" s="1"/>
  <c r="C12" i="8"/>
  <c r="C4" i="8"/>
  <c r="C10" i="8"/>
  <c r="C6" i="8"/>
  <c r="C8" i="8"/>
  <c r="C2" i="8"/>
  <c r="C14" i="8"/>
  <c r="G2" i="8"/>
  <c r="C5" i="8"/>
  <c r="C9" i="8"/>
  <c r="C11" i="8"/>
  <c r="C13" i="8"/>
  <c r="C15" i="8"/>
  <c r="C17" i="8"/>
  <c r="C3" i="8"/>
  <c r="C7" i="8"/>
  <c r="C4" i="7"/>
  <c r="C12" i="7"/>
  <c r="C2" i="7"/>
  <c r="C8" i="7"/>
  <c r="C10" i="7"/>
  <c r="G15" i="7"/>
  <c r="C6" i="7"/>
  <c r="C3" i="7"/>
  <c r="C5" i="7"/>
  <c r="C7" i="7"/>
  <c r="C9" i="7"/>
  <c r="C11" i="7"/>
  <c r="D19" i="7"/>
  <c r="D20" i="7" s="1"/>
  <c r="C13" i="7"/>
  <c r="C14" i="7"/>
  <c r="C17" i="7"/>
  <c r="C15" i="7"/>
  <c r="G8" i="6"/>
  <c r="G15" i="6"/>
  <c r="G12" i="6"/>
  <c r="G11" i="6"/>
  <c r="D19" i="6"/>
  <c r="D20" i="6" s="1"/>
  <c r="G14" i="6"/>
  <c r="C12" i="6"/>
  <c r="C7" i="6"/>
  <c r="C4" i="6"/>
  <c r="C17" i="6"/>
  <c r="G3" i="6"/>
  <c r="G5" i="6"/>
  <c r="F19" i="6"/>
  <c r="F20" i="6" s="1"/>
  <c r="G7" i="6"/>
  <c r="C9" i="6"/>
  <c r="C3" i="6"/>
  <c r="C11" i="6"/>
  <c r="C14" i="6"/>
  <c r="C18" i="6"/>
  <c r="C5" i="6"/>
  <c r="C15" i="6"/>
  <c r="G2" i="6"/>
  <c r="C6" i="6"/>
  <c r="C8" i="6"/>
  <c r="C2" i="6"/>
  <c r="C10" i="6"/>
  <c r="C19" i="8" l="1"/>
  <c r="C19" i="7"/>
  <c r="C19" i="6"/>
  <c r="E3" i="4" l="1"/>
  <c r="E5" i="4"/>
  <c r="E6" i="4"/>
  <c r="E9" i="4"/>
  <c r="E10" i="4"/>
  <c r="E11" i="4"/>
  <c r="E12" i="4"/>
  <c r="E13" i="4"/>
  <c r="E15" i="4"/>
  <c r="E16" i="4"/>
  <c r="E18" i="4"/>
  <c r="G18" i="4" s="1"/>
  <c r="C3" i="4"/>
  <c r="C4" i="4"/>
  <c r="E4" i="4" s="1"/>
  <c r="C5" i="4"/>
  <c r="C6" i="4"/>
  <c r="C7" i="4"/>
  <c r="E7" i="4" s="1"/>
  <c r="C8" i="4"/>
  <c r="E8" i="4" s="1"/>
  <c r="C9" i="4"/>
  <c r="C10" i="4"/>
  <c r="C11" i="4"/>
  <c r="C12" i="4"/>
  <c r="C13" i="4"/>
  <c r="C14" i="4"/>
  <c r="E14" i="4" s="1"/>
  <c r="C15" i="4"/>
  <c r="C16" i="4"/>
  <c r="C17" i="4"/>
  <c r="E17" i="4" s="1"/>
  <c r="C2" i="4"/>
  <c r="J23" i="4"/>
  <c r="F16" i="4"/>
  <c r="F13" i="4"/>
  <c r="F12" i="4"/>
  <c r="F10" i="4"/>
  <c r="F9" i="4"/>
  <c r="F7" i="4"/>
  <c r="F6" i="4"/>
  <c r="F4" i="4"/>
  <c r="F3" i="4"/>
  <c r="F18" i="4"/>
  <c r="F15" i="4"/>
  <c r="F14" i="4"/>
  <c r="H13" i="4"/>
  <c r="H12" i="4"/>
  <c r="F11" i="4"/>
  <c r="F5" i="4"/>
  <c r="K2" i="4"/>
  <c r="C19" i="4" l="1"/>
  <c r="E2" i="4"/>
  <c r="G17" i="4"/>
  <c r="G14" i="4"/>
  <c r="G5" i="4"/>
  <c r="F8" i="4"/>
  <c r="G15" i="4"/>
  <c r="F17" i="4"/>
  <c r="G16" i="4"/>
  <c r="G13" i="4"/>
  <c r="G10" i="4"/>
  <c r="G9" i="4"/>
  <c r="G7" i="4"/>
  <c r="G6" i="4"/>
  <c r="G3" i="4"/>
  <c r="B19" i="4"/>
  <c r="D4" i="4" s="1"/>
  <c r="F2" i="4"/>
  <c r="G4" i="4"/>
  <c r="G8" i="4"/>
  <c r="G12" i="4"/>
  <c r="G11" i="4"/>
  <c r="G2" i="4" l="1"/>
  <c r="E19" i="4"/>
  <c r="E20" i="4" s="1"/>
  <c r="F19" i="4"/>
  <c r="D2" i="4"/>
  <c r="D5" i="4"/>
  <c r="D16" i="4"/>
  <c r="D15" i="4"/>
  <c r="D14" i="4"/>
  <c r="D13" i="4"/>
  <c r="D18" i="4"/>
  <c r="D8" i="4"/>
  <c r="D3" i="4"/>
  <c r="D6" i="4"/>
  <c r="D9" i="4"/>
  <c r="D17" i="4"/>
  <c r="D10" i="4"/>
  <c r="D11" i="4"/>
  <c r="D12" i="4"/>
  <c r="D7" i="4"/>
  <c r="I13" i="1"/>
  <c r="I12" i="1"/>
  <c r="E16" i="2"/>
  <c r="D16" i="2"/>
  <c r="I2" i="2"/>
  <c r="D19" i="4" l="1"/>
  <c r="D2" i="1"/>
  <c r="G2" i="1" s="1"/>
  <c r="D3" i="1"/>
  <c r="G3" i="1" s="1"/>
  <c r="D4" i="1"/>
  <c r="G4" i="1" s="1"/>
  <c r="F3" i="1"/>
  <c r="F8" i="1" l="1"/>
  <c r="F7" i="1"/>
  <c r="F4" i="1"/>
  <c r="F5" i="1"/>
  <c r="F6" i="1"/>
  <c r="F9" i="1"/>
  <c r="F10" i="1"/>
  <c r="F11" i="1"/>
  <c r="F12" i="1"/>
  <c r="F13" i="1"/>
  <c r="F14" i="1"/>
  <c r="F15" i="1"/>
  <c r="F16" i="1"/>
  <c r="F17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D6" i="1"/>
  <c r="B5" i="2" l="1"/>
  <c r="G6" i="1"/>
  <c r="F18" i="1"/>
  <c r="D17" i="1"/>
  <c r="C3" i="1" l="1"/>
  <c r="C6" i="1"/>
  <c r="C17" i="1"/>
  <c r="C14" i="1"/>
  <c r="C11" i="1"/>
  <c r="C13" i="1"/>
  <c r="C10" i="1"/>
  <c r="C15" i="1"/>
  <c r="C9" i="1"/>
  <c r="C5" i="1"/>
  <c r="C4" i="1"/>
  <c r="C16" i="1"/>
  <c r="C7" i="1"/>
  <c r="C8" i="1"/>
  <c r="C12" i="1"/>
  <c r="B3" i="2"/>
  <c r="D5" i="1"/>
  <c r="D7" i="1"/>
  <c r="D8" i="1"/>
  <c r="D9" i="1"/>
  <c r="D10" i="1"/>
  <c r="D11" i="1"/>
  <c r="D12" i="1"/>
  <c r="D13" i="1"/>
  <c r="D14" i="1"/>
  <c r="D15" i="1"/>
  <c r="D16" i="1"/>
  <c r="G17" i="1" l="1"/>
  <c r="E18" i="1"/>
  <c r="E19" i="1" s="1"/>
  <c r="B6" i="2"/>
  <c r="G7" i="1"/>
  <c r="B13" i="2"/>
  <c r="G14" i="1"/>
  <c r="B4" i="2"/>
  <c r="G5" i="1"/>
  <c r="B12" i="2"/>
  <c r="G13" i="1"/>
  <c r="B15" i="2"/>
  <c r="G16" i="1"/>
  <c r="B8" i="2"/>
  <c r="G9" i="1"/>
  <c r="B14" i="2"/>
  <c r="G15" i="1"/>
  <c r="B11" i="2"/>
  <c r="G12" i="1"/>
  <c r="B10" i="2"/>
  <c r="G11" i="1"/>
  <c r="B9" i="2"/>
  <c r="G10" i="1"/>
  <c r="B7" i="2"/>
  <c r="G8" i="1"/>
  <c r="B2" i="2"/>
  <c r="D18" i="1"/>
  <c r="D19" i="1" s="1"/>
  <c r="B16" i="2" l="1"/>
  <c r="C2" i="1"/>
  <c r="C18" i="1" l="1"/>
</calcChain>
</file>

<file path=xl/sharedStrings.xml><?xml version="1.0" encoding="utf-8"?>
<sst xmlns="http://schemas.openxmlformats.org/spreadsheetml/2006/main" count="168" uniqueCount="63">
  <si>
    <t>REVESTIMENTOS E ACABAMENTOS DE FACHADA</t>
  </si>
  <si>
    <t>PINTURA INTERNA</t>
  </si>
  <si>
    <t>IMPERMEABILIZAÇÃO</t>
  </si>
  <si>
    <t>Valor / m²</t>
  </si>
  <si>
    <t>%</t>
  </si>
  <si>
    <t>Valor Orçado</t>
  </si>
  <si>
    <t>Etapa</t>
  </si>
  <si>
    <t>TOTAL</t>
  </si>
  <si>
    <t>INFRAESTRUTURA</t>
  </si>
  <si>
    <t>SUPRAESTRUTURA</t>
  </si>
  <si>
    <t>REVESTIMENTOS INTERNOS EM PISO E PAREDE</t>
  </si>
  <si>
    <t>REVESTIMENTOS E ACABAMENTOS INTERNOS EM TETO</t>
  </si>
  <si>
    <t>ACABAMENTOS EM PISO E PAREDE</t>
  </si>
  <si>
    <t>GERENCIAMENTO TÉCNICO E ADMINISTRATIVO</t>
  </si>
  <si>
    <t>IMPREVISTOS E CONTINGÊNCIAS</t>
  </si>
  <si>
    <t>SERVIÇOS COMPLEMENTARES</t>
  </si>
  <si>
    <t>CUB/SC</t>
  </si>
  <si>
    <t>CUB</t>
  </si>
  <si>
    <t>SISTEMAS ESPECIAIS E EQUIPAMENTOS</t>
  </si>
  <si>
    <t>INSTALAÇÕES ELÉTRICAS, HIDROSSANITÁRIAS, PREVENTIVAS E GLP</t>
  </si>
  <si>
    <t xml:space="preserve">ESQUADRIAS </t>
  </si>
  <si>
    <t>Valor / AP</t>
  </si>
  <si>
    <t>MOVIMENTAÇÃO DE TERRA</t>
  </si>
  <si>
    <t>área de ap</t>
  </si>
  <si>
    <t>ALVENARIA ESTRUTURAL</t>
  </si>
  <si>
    <t>190,00 - 250,00</t>
  </si>
  <si>
    <t>25,00 - 35,00</t>
  </si>
  <si>
    <t>30,00 - 40,00</t>
  </si>
  <si>
    <t>130,00 - 140,00</t>
  </si>
  <si>
    <t>Obras Similares</t>
  </si>
  <si>
    <t>170,00 - 230,00</t>
  </si>
  <si>
    <t>190,00 - 225,00</t>
  </si>
  <si>
    <t>100,00 - 180,00</t>
  </si>
  <si>
    <t>115,00 - 130,00</t>
  </si>
  <si>
    <t>160,00 - 170,00</t>
  </si>
  <si>
    <t>60,00 - 80,00</t>
  </si>
  <si>
    <t>110,00 - 130,00</t>
  </si>
  <si>
    <t>85,00 - 120,00</t>
  </si>
  <si>
    <t>10,00 - 20,00</t>
  </si>
  <si>
    <t>1.600,00 - 2.000,00</t>
  </si>
  <si>
    <t>250,00 - 330,00</t>
  </si>
  <si>
    <t>INDEXAR</t>
  </si>
  <si>
    <t>COBERTURA</t>
  </si>
  <si>
    <t>ESPECIAIS</t>
  </si>
  <si>
    <t>ESQUADRIAS</t>
  </si>
  <si>
    <t>TETO</t>
  </si>
  <si>
    <t>INFRA</t>
  </si>
  <si>
    <t>INSTALAÇÕES</t>
  </si>
  <si>
    <t>INDIRETO</t>
  </si>
  <si>
    <t>COMPLEMENTARES</t>
  </si>
  <si>
    <t>TERRA</t>
  </si>
  <si>
    <t>ALVENARIA</t>
  </si>
  <si>
    <t>PINTURA</t>
  </si>
  <si>
    <t>FACHADA</t>
  </si>
  <si>
    <t>REV. INTERNO</t>
  </si>
  <si>
    <t>ACABAMENTO</t>
  </si>
  <si>
    <t>SUPRA</t>
  </si>
  <si>
    <t>CUB MARÇO</t>
  </si>
  <si>
    <t>CUB DEZEMBRO</t>
  </si>
  <si>
    <t>INDEXADO</t>
  </si>
  <si>
    <t>HOMESET</t>
  </si>
  <si>
    <t>Valor / m² - R01</t>
  </si>
  <si>
    <t>Valor / m² -R00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</si>
</sst>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.5"/>
      <color theme="0"/>
      <name val="Poppins"/>
      <scheme val="minor"/>
    </font>
    <font>
      <sz val="10.5"/>
      <name val="Poppins"/>
      <scheme val="minor"/>
    </font>
    <font>
      <sz val="10.5"/>
      <color rgb="FF010000"/>
      <name val="Poppins"/>
      <scheme val="minor"/>
    </font>
    <font>
      <b/>
      <sz val="10.5"/>
      <color theme="0"/>
      <name val="Poppins"/>
    </font>
    <font>
      <sz val="10.5"/>
      <color rgb="FF010000"/>
      <name val="Poppins"/>
    </font>
    <font>
      <sz val="10.5"/>
      <name val="Poppins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164" fontId="5" fillId="2" borderId="10" xfId="0" applyNumberFormat="1" applyFont="1" applyFill="1" applyBorder="1" applyAlignment="1">
      <alignment horizontal="right" vertical="center" wrapText="1"/>
    </xf>
    <xf numFmtId="10" fontId="4" fillId="2" borderId="10" xfId="2" applyNumberFormat="1" applyFont="1" applyFill="1" applyBorder="1" applyAlignment="1">
      <alignment vertical="center" wrapText="1"/>
    </xf>
    <xf numFmtId="43" fontId="4" fillId="2" borderId="10" xfId="1" applyFont="1" applyFill="1" applyBorder="1" applyAlignment="1">
      <alignment vertical="center" wrapText="1"/>
    </xf>
    <xf numFmtId="43" fontId="4" fillId="2" borderId="11" xfId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10" fontId="4" fillId="3" borderId="10" xfId="2" applyNumberFormat="1" applyFont="1" applyFill="1" applyBorder="1" applyAlignment="1">
      <alignment vertical="center" wrapText="1"/>
    </xf>
    <xf numFmtId="43" fontId="4" fillId="3" borderId="10" xfId="1" applyFont="1" applyFill="1" applyBorder="1" applyAlignment="1">
      <alignment vertical="center" wrapText="1"/>
    </xf>
    <xf numFmtId="43" fontId="4" fillId="3" borderId="11" xfId="1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10" fontId="4" fillId="3" borderId="0" xfId="2" applyNumberFormat="1" applyFont="1" applyFill="1" applyAlignment="1">
      <alignment vertical="center" wrapText="1"/>
    </xf>
    <xf numFmtId="43" fontId="4" fillId="3" borderId="0" xfId="0" applyNumberFormat="1" applyFont="1" applyFill="1" applyAlignment="1">
      <alignment vertical="center" wrapText="1"/>
    </xf>
    <xf numFmtId="10" fontId="4" fillId="0" borderId="0" xfId="2" applyNumberFormat="1" applyFont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vertical="center" wrapText="1"/>
    </xf>
    <xf numFmtId="10" fontId="3" fillId="4" borderId="2" xfId="2" applyNumberFormat="1" applyFont="1" applyFill="1" applyBorder="1" applyAlignment="1">
      <alignment vertical="center" wrapText="1"/>
    </xf>
    <xf numFmtId="43" fontId="3" fillId="4" borderId="2" xfId="1" applyFont="1" applyFill="1" applyBorder="1" applyAlignment="1">
      <alignment vertical="center" wrapText="1"/>
    </xf>
    <xf numFmtId="43" fontId="3" fillId="4" borderId="4" xfId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164" fontId="3" fillId="4" borderId="6" xfId="0" applyNumberFormat="1" applyFont="1" applyFill="1" applyBorder="1" applyAlignment="1">
      <alignment vertical="center" wrapText="1"/>
    </xf>
    <xf numFmtId="17" fontId="3" fillId="4" borderId="6" xfId="1" applyNumberFormat="1" applyFont="1" applyFill="1" applyBorder="1" applyAlignment="1">
      <alignment vertical="center" wrapText="1"/>
    </xf>
    <xf numFmtId="43" fontId="3" fillId="4" borderId="7" xfId="1" applyFont="1" applyFill="1" applyBorder="1" applyAlignment="1">
      <alignment vertical="center" wrapText="1"/>
    </xf>
    <xf numFmtId="43" fontId="3" fillId="4" borderId="8" xfId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43" fontId="8" fillId="3" borderId="11" xfId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horizontal="left" vertical="center" wrapText="1"/>
    </xf>
    <xf numFmtId="43" fontId="8" fillId="5" borderId="11" xfId="1" applyFont="1" applyFill="1" applyBorder="1" applyAlignment="1">
      <alignment horizontal="center" vertical="center" wrapText="1"/>
    </xf>
    <xf numFmtId="43" fontId="4" fillId="0" borderId="0" xfId="1" applyFont="1" applyAlignment="1">
      <alignment vertical="center" wrapText="1"/>
    </xf>
    <xf numFmtId="43" fontId="4" fillId="0" borderId="0" xfId="0" applyNumberFormat="1" applyFont="1" applyAlignment="1">
      <alignment vertical="center" wrapText="1"/>
    </xf>
    <xf numFmtId="17" fontId="0" fillId="0" borderId="0" xfId="0" applyNumberFormat="1"/>
    <xf numFmtId="44" fontId="0" fillId="0" borderId="0" xfId="3" applyFont="1"/>
    <xf numFmtId="44" fontId="0" fillId="0" borderId="0" xfId="0" applyNumberFormat="1"/>
    <xf numFmtId="43" fontId="4" fillId="3" borderId="0" xfId="1" applyFont="1" applyFill="1" applyAlignment="1">
      <alignment vertical="center" wrapText="1"/>
    </xf>
    <xf numFmtId="44" fontId="6" fillId="4" borderId="1" xfId="3" applyFont="1" applyFill="1" applyBorder="1" applyAlignment="1">
      <alignment horizontal="center" vertical="center" wrapText="1"/>
    </xf>
    <xf numFmtId="44" fontId="6" fillId="4" borderId="2" xfId="3" applyFont="1" applyFill="1" applyBorder="1" applyAlignment="1">
      <alignment vertical="center" wrapText="1"/>
    </xf>
    <xf numFmtId="43" fontId="6" fillId="4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8" fillId="3" borderId="10" xfId="3" applyFont="1" applyFill="1" applyBorder="1" applyAlignment="1">
      <alignment horizontal="left" vertical="center" wrapText="1"/>
    </xf>
    <xf numFmtId="44" fontId="8" fillId="5" borderId="10" xfId="3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horizontal="left" vertical="center"/>
    </xf>
    <xf numFmtId="43" fontId="0" fillId="0" borderId="0" xfId="1" applyFon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44" fontId="0" fillId="6" borderId="0" xfId="0" applyNumberFormat="1" applyFill="1" applyAlignment="1">
      <alignment horizontal="left" vertical="center"/>
    </xf>
    <xf numFmtId="4" fontId="4" fillId="0" borderId="0" xfId="0" applyNumberFormat="1" applyFont="1" applyAlignment="1">
      <alignment vertical="center" wrapText="1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Cartesian">
      <a:majorFont>
        <a:latin typeface="Poppins Medium"/>
        <a:ea typeface=""/>
        <a:cs typeface=""/>
      </a:majorFont>
      <a:minorFont>
        <a:latin typeface="Poppins"/>
        <a:ea typeface=""/>
        <a:cs typeface="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44"/>
  <sheetViews>
    <sheetView showGridLines="0" tabSelected="1" topLeftCell="A5" zoomScale="115" zoomScaleNormal="115" workbookViewId="0">
      <selection activeCell="E1" sqref="A1:E19"/>
    </sheetView>
  </sheetViews>
  <sheetFormatPr defaultColWidth="9.109375" defaultRowHeight="17.399999999999999" customHeight="1" x14ac:dyDescent="0.25"/>
  <cols>
    <col min="1" max="1" width="70.6640625" style="1" customWidth="1"/>
    <col min="2" max="2" width="19.6640625" style="1" customWidth="1"/>
    <col min="3" max="3" width="14.77734375" style="15" bestFit="1" customWidth="1"/>
    <col min="4" max="5" width="13.88671875" style="1" customWidth="1"/>
    <col min="6" max="6" width="16.5546875" style="1" hidden="1" customWidth="1"/>
    <col min="7" max="7" width="12.109375" style="1" bestFit="1" customWidth="1"/>
    <col min="8" max="8" width="12.109375" style="1" customWidth="1"/>
    <col min="9" max="9" width="12.88671875" style="1" bestFit="1" customWidth="1"/>
    <col min="10" max="10" width="9.109375" style="1"/>
    <col min="11" max="11" width="11" style="1" bestFit="1" customWidth="1"/>
    <col min="12" max="16384" width="9.109375" style="1"/>
  </cols>
  <sheetData>
    <row r="1" spans="1:12" ht="46.8" customHeight="1" x14ac:dyDescent="0.25">
      <c r="A1" s="16" t="s">
        <v>6</v>
      </c>
      <c r="B1" s="17" t="s">
        <v>5</v>
      </c>
      <c r="C1" s="18" t="s">
        <v>4</v>
      </c>
      <c r="D1" s="17" t="s">
        <v>61</v>
      </c>
      <c r="E1" s="17" t="s">
        <v>62</v>
      </c>
      <c r="F1" s="17" t="s">
        <v>21</v>
      </c>
    </row>
    <row r="2" spans="1:12" ht="23.4" customHeight="1" x14ac:dyDescent="0.25">
      <c r="A2" s="2" t="s">
        <v>13</v>
      </c>
      <c r="B2" s="3">
        <v>3275186.6</v>
      </c>
      <c r="C2" s="4">
        <f t="shared" ref="C2:C17" si="0">+B2/$B$18</f>
        <v>0.14973413946052927</v>
      </c>
      <c r="D2" s="5">
        <f t="shared" ref="D2:D17" si="1">B2/$K$5</f>
        <v>411.48403470089016</v>
      </c>
      <c r="E2" s="5">
        <v>384.23591993994563</v>
      </c>
      <c r="F2" s="6">
        <f>+B2/$K$7</f>
        <v>20469.916250000002</v>
      </c>
      <c r="G2" s="37">
        <f>D2-E2</f>
        <v>27.248114760944532</v>
      </c>
      <c r="H2" s="37"/>
    </row>
    <row r="3" spans="1:12" ht="23.4" customHeight="1" x14ac:dyDescent="0.25">
      <c r="A3" s="7" t="s">
        <v>22</v>
      </c>
      <c r="B3" s="8">
        <v>130936.04999999999</v>
      </c>
      <c r="C3" s="9">
        <f t="shared" si="0"/>
        <v>5.9861006915181052E-3</v>
      </c>
      <c r="D3" s="10">
        <f t="shared" si="1"/>
        <v>16.450389160055028</v>
      </c>
      <c r="E3" s="10">
        <v>13.743825440200014</v>
      </c>
      <c r="F3" s="11">
        <f t="shared" ref="F3:F17" si="2">+B3/$K$7</f>
        <v>818.35031249999997</v>
      </c>
      <c r="G3" s="37">
        <f t="shared" ref="G3:G17" si="3">D3-E3</f>
        <v>2.7065637198550139</v>
      </c>
    </row>
    <row r="4" spans="1:12" ht="23.4" customHeight="1" x14ac:dyDescent="0.25">
      <c r="A4" s="2" t="s">
        <v>8</v>
      </c>
      <c r="B4" s="3">
        <v>2782193.82</v>
      </c>
      <c r="C4" s="4">
        <f t="shared" si="0"/>
        <v>0.12719562221282374</v>
      </c>
      <c r="D4" s="5">
        <f t="shared" si="1"/>
        <v>349.54598873037708</v>
      </c>
      <c r="E4" s="5">
        <v>326.80903942338983</v>
      </c>
      <c r="F4" s="6">
        <f t="shared" si="2"/>
        <v>17388.711374999999</v>
      </c>
      <c r="G4" s="37">
        <f t="shared" si="3"/>
        <v>22.736949306987242</v>
      </c>
    </row>
    <row r="5" spans="1:12" ht="23.4" customHeight="1" x14ac:dyDescent="0.25">
      <c r="A5" s="7" t="s">
        <v>9</v>
      </c>
      <c r="B5" s="8">
        <v>1673949.02</v>
      </c>
      <c r="C5" s="9">
        <f t="shared" si="0"/>
        <v>7.6529171196076676E-2</v>
      </c>
      <c r="D5" s="10">
        <f t="shared" si="1"/>
        <v>210.30963445966745</v>
      </c>
      <c r="E5" s="10">
        <v>213.27111418703555</v>
      </c>
      <c r="F5" s="11">
        <f t="shared" si="2"/>
        <v>10462.181375</v>
      </c>
      <c r="G5" s="37">
        <f t="shared" si="3"/>
        <v>-2.9614797273681006</v>
      </c>
      <c r="K5" s="36">
        <v>7959.45</v>
      </c>
    </row>
    <row r="6" spans="1:12" ht="23.4" customHeight="1" x14ac:dyDescent="0.25">
      <c r="A6" s="2" t="s">
        <v>24</v>
      </c>
      <c r="B6" s="3">
        <v>2638221.7800000003</v>
      </c>
      <c r="C6" s="4">
        <f t="shared" si="0"/>
        <v>0.12061354547992038</v>
      </c>
      <c r="D6" s="5">
        <f t="shared" si="1"/>
        <v>331.45779921979539</v>
      </c>
      <c r="E6" s="5">
        <v>340.64673080325906</v>
      </c>
      <c r="F6" s="6">
        <f t="shared" si="2"/>
        <v>16488.886125000001</v>
      </c>
      <c r="G6" s="37">
        <f t="shared" si="3"/>
        <v>-9.1889315834636704</v>
      </c>
    </row>
    <row r="7" spans="1:12" ht="23.4" customHeight="1" x14ac:dyDescent="0.25">
      <c r="A7" s="7" t="s">
        <v>19</v>
      </c>
      <c r="B7" s="8">
        <v>2758866.6100000003</v>
      </c>
      <c r="C7" s="9">
        <f t="shared" si="0"/>
        <v>0.12612915481967887</v>
      </c>
      <c r="D7" s="10">
        <f t="shared" si="1"/>
        <v>346.61523220825563</v>
      </c>
      <c r="E7" s="10">
        <v>344.2432046561006</v>
      </c>
      <c r="F7" s="11">
        <f t="shared" si="2"/>
        <v>17242.916312500001</v>
      </c>
      <c r="G7" s="37">
        <f t="shared" si="3"/>
        <v>2.372027552155032</v>
      </c>
      <c r="K7" s="36">
        <v>160</v>
      </c>
    </row>
    <row r="8" spans="1:12" ht="23.4" customHeight="1" x14ac:dyDescent="0.25">
      <c r="A8" s="2" t="s">
        <v>18</v>
      </c>
      <c r="B8" s="3">
        <v>1064538.75</v>
      </c>
      <c r="C8" s="4">
        <f t="shared" si="0"/>
        <v>4.8668309052570469E-2</v>
      </c>
      <c r="D8" s="5">
        <f t="shared" si="1"/>
        <v>133.74526506228446</v>
      </c>
      <c r="E8" s="5">
        <v>111.13063934065796</v>
      </c>
      <c r="F8" s="6">
        <f t="shared" si="2"/>
        <v>6653.3671875</v>
      </c>
      <c r="G8" s="37">
        <f t="shared" si="3"/>
        <v>22.614625721626496</v>
      </c>
    </row>
    <row r="9" spans="1:12" ht="23.4" customHeight="1" x14ac:dyDescent="0.25">
      <c r="A9" s="7" t="s">
        <v>2</v>
      </c>
      <c r="B9" s="8">
        <v>712823.53</v>
      </c>
      <c r="C9" s="9">
        <f t="shared" si="0"/>
        <v>3.2588682993441281E-2</v>
      </c>
      <c r="D9" s="10">
        <f t="shared" si="1"/>
        <v>89.556882699181486</v>
      </c>
      <c r="E9" s="10">
        <v>89.556884819302837</v>
      </c>
      <c r="F9" s="11">
        <f t="shared" si="2"/>
        <v>4455.1470625000002</v>
      </c>
      <c r="G9" s="37">
        <f t="shared" si="3"/>
        <v>-2.120121351367743E-6</v>
      </c>
      <c r="K9" s="36"/>
    </row>
    <row r="10" spans="1:12" ht="23.4" customHeight="1" x14ac:dyDescent="0.25">
      <c r="A10" s="2" t="s">
        <v>10</v>
      </c>
      <c r="B10" s="3">
        <v>1095415.9599720002</v>
      </c>
      <c r="C10" s="4">
        <f t="shared" si="0"/>
        <v>5.0079945404557111E-2</v>
      </c>
      <c r="D10" s="5">
        <f t="shared" si="1"/>
        <v>137.62457958426779</v>
      </c>
      <c r="E10" s="5">
        <v>137.62457958426779</v>
      </c>
      <c r="F10" s="6">
        <f t="shared" si="2"/>
        <v>6846.3497498250017</v>
      </c>
      <c r="G10" s="37">
        <f t="shared" si="3"/>
        <v>0</v>
      </c>
      <c r="K10" s="1" t="s">
        <v>23</v>
      </c>
      <c r="L10" s="1">
        <v>57.65</v>
      </c>
    </row>
    <row r="11" spans="1:12" ht="23.4" customHeight="1" x14ac:dyDescent="0.25">
      <c r="A11" s="7" t="s">
        <v>11</v>
      </c>
      <c r="B11" s="8">
        <v>263151.73</v>
      </c>
      <c r="C11" s="9">
        <f t="shared" si="0"/>
        <v>1.2030703178591272E-2</v>
      </c>
      <c r="D11" s="10">
        <f t="shared" si="1"/>
        <v>33.061546966184849</v>
      </c>
      <c r="E11" s="10">
        <v>33.416277506611635</v>
      </c>
      <c r="F11" s="11">
        <f t="shared" si="2"/>
        <v>1644.6983124999999</v>
      </c>
      <c r="G11" s="37">
        <f t="shared" si="3"/>
        <v>-0.35473054042678598</v>
      </c>
      <c r="K11" s="36"/>
    </row>
    <row r="12" spans="1:12" ht="23.4" customHeight="1" x14ac:dyDescent="0.25">
      <c r="A12" s="2" t="s">
        <v>12</v>
      </c>
      <c r="B12" s="3">
        <v>1991928.7999999998</v>
      </c>
      <c r="C12" s="4">
        <f t="shared" si="0"/>
        <v>9.1066489077185619E-2</v>
      </c>
      <c r="D12" s="5">
        <f t="shared" si="1"/>
        <v>250.25960336455407</v>
      </c>
      <c r="E12" s="5">
        <v>258.19991052874258</v>
      </c>
      <c r="F12" s="6">
        <f t="shared" si="2"/>
        <v>12449.554999999998</v>
      </c>
      <c r="G12" s="37">
        <f t="shared" si="3"/>
        <v>-7.9403071641885106</v>
      </c>
      <c r="I12" s="1">
        <f>180*1.1</f>
        <v>198.00000000000003</v>
      </c>
    </row>
    <row r="13" spans="1:12" ht="23.4" customHeight="1" x14ac:dyDescent="0.25">
      <c r="A13" s="7" t="s">
        <v>1</v>
      </c>
      <c r="B13" s="8">
        <v>558394.31999999995</v>
      </c>
      <c r="C13" s="9">
        <f t="shared" si="0"/>
        <v>2.552852804931707E-2</v>
      </c>
      <c r="D13" s="10">
        <f t="shared" si="1"/>
        <v>70.154887586453839</v>
      </c>
      <c r="E13" s="10">
        <v>120.93709484650321</v>
      </c>
      <c r="F13" s="11">
        <f t="shared" si="2"/>
        <v>3489.9644999999996</v>
      </c>
      <c r="G13" s="37">
        <f t="shared" si="3"/>
        <v>-50.782207260049375</v>
      </c>
      <c r="I13" s="1">
        <f>220*1.1</f>
        <v>242.00000000000003</v>
      </c>
      <c r="K13" s="36"/>
    </row>
    <row r="14" spans="1:12" ht="23.4" customHeight="1" x14ac:dyDescent="0.25">
      <c r="A14" s="2" t="s">
        <v>20</v>
      </c>
      <c r="B14" s="3">
        <v>1391769.14</v>
      </c>
      <c r="C14" s="4">
        <f t="shared" si="0"/>
        <v>6.3628543944830765E-2</v>
      </c>
      <c r="D14" s="5">
        <f t="shared" si="1"/>
        <v>174.85745120579938</v>
      </c>
      <c r="E14" s="5">
        <v>204.30279986280459</v>
      </c>
      <c r="F14" s="6">
        <f t="shared" si="2"/>
        <v>8698.5571249999994</v>
      </c>
      <c r="G14" s="37">
        <f t="shared" si="3"/>
        <v>-29.445348657005212</v>
      </c>
    </row>
    <row r="15" spans="1:12" ht="23.4" customHeight="1" x14ac:dyDescent="0.25">
      <c r="A15" s="7" t="s">
        <v>0</v>
      </c>
      <c r="B15" s="8">
        <v>838680.40999999992</v>
      </c>
      <c r="C15" s="9">
        <f t="shared" si="0"/>
        <v>3.8342575495928642E-2</v>
      </c>
      <c r="D15" s="10">
        <f t="shared" si="1"/>
        <v>105.36914108386885</v>
      </c>
      <c r="E15" s="10">
        <v>105.36913860656202</v>
      </c>
      <c r="F15" s="11">
        <f t="shared" si="2"/>
        <v>5241.7525624999998</v>
      </c>
      <c r="G15" s="37">
        <f t="shared" si="3"/>
        <v>2.4773068361128026E-6</v>
      </c>
      <c r="K15" s="36"/>
    </row>
    <row r="16" spans="1:12" ht="23.4" customHeight="1" x14ac:dyDescent="0.25">
      <c r="A16" s="2" t="s">
        <v>15</v>
      </c>
      <c r="B16" s="3">
        <v>479396.46</v>
      </c>
      <c r="C16" s="4">
        <f t="shared" si="0"/>
        <v>2.1916924183350055E-2</v>
      </c>
      <c r="D16" s="5">
        <f t="shared" si="1"/>
        <v>60.229847539716943</v>
      </c>
      <c r="E16" s="5">
        <v>60.05982111829335</v>
      </c>
      <c r="F16" s="6">
        <f t="shared" si="2"/>
        <v>2996.227875</v>
      </c>
      <c r="G16" s="37">
        <f t="shared" si="3"/>
        <v>0.17002642142359292</v>
      </c>
    </row>
    <row r="17" spans="1:11" ht="23.4" customHeight="1" x14ac:dyDescent="0.25">
      <c r="A17" s="7" t="s">
        <v>14</v>
      </c>
      <c r="B17" s="8">
        <v>217892.75</v>
      </c>
      <c r="C17" s="9">
        <f t="shared" si="0"/>
        <v>9.9615647596806352E-3</v>
      </c>
      <c r="D17" s="10">
        <f t="shared" si="1"/>
        <v>27.375352568330726</v>
      </c>
      <c r="E17" s="10">
        <v>27.375352587482176</v>
      </c>
      <c r="F17" s="11">
        <f t="shared" si="2"/>
        <v>1361.8296875000001</v>
      </c>
      <c r="G17" s="37">
        <f t="shared" si="3"/>
        <v>-1.9151450203480636E-8</v>
      </c>
      <c r="K17" s="36"/>
    </row>
    <row r="18" spans="1:11" ht="17.399999999999999" customHeight="1" x14ac:dyDescent="0.25">
      <c r="A18" s="19" t="s">
        <v>7</v>
      </c>
      <c r="B18" s="20">
        <f>SUM(B2:B17)</f>
        <v>21873345.729972001</v>
      </c>
      <c r="C18" s="21">
        <f>SUM(C2:C17)</f>
        <v>0.99999999999999989</v>
      </c>
      <c r="D18" s="22">
        <f>SUM(D2:D17)</f>
        <v>2748.0976361396829</v>
      </c>
      <c r="E18" s="22">
        <f>SUM(E2:E17)</f>
        <v>2770.9223332511592</v>
      </c>
      <c r="F18" s="23">
        <f>SUM(F2:F17)</f>
        <v>136708.41081232502</v>
      </c>
    </row>
    <row r="19" spans="1:11" ht="17.399999999999999" customHeight="1" x14ac:dyDescent="0.25">
      <c r="A19" s="24" t="s">
        <v>16</v>
      </c>
      <c r="B19" s="25">
        <v>2623.42</v>
      </c>
      <c r="C19" s="26">
        <v>44896</v>
      </c>
      <c r="D19" s="27">
        <f>+D18/B19</f>
        <v>1.047524847771109</v>
      </c>
      <c r="E19" s="27">
        <f>+E18/B19</f>
        <v>1.0562252072680542</v>
      </c>
      <c r="F19" s="28" t="s">
        <v>17</v>
      </c>
      <c r="G19" s="37"/>
      <c r="H19" s="37"/>
    </row>
    <row r="20" spans="1:11" ht="17.399999999999999" customHeight="1" x14ac:dyDescent="0.25">
      <c r="A20" s="12"/>
      <c r="B20" s="12"/>
      <c r="C20" s="13"/>
      <c r="D20" s="12"/>
      <c r="E20" s="12"/>
      <c r="F20" s="12"/>
    </row>
    <row r="21" spans="1:11" ht="17.399999999999999" customHeight="1" x14ac:dyDescent="0.25">
      <c r="A21" s="41">
        <v>224518.72450000048</v>
      </c>
      <c r="B21" s="41">
        <v>160565.15410000086</v>
      </c>
      <c r="C21" s="41">
        <v>76190.719572797418</v>
      </c>
      <c r="D21" s="41">
        <f>C21+B21+A21</f>
        <v>461274.59817279875</v>
      </c>
      <c r="E21" s="41"/>
      <c r="F21" s="12"/>
    </row>
    <row r="22" spans="1:11" ht="17.399999999999999" customHeight="1" x14ac:dyDescent="0.25">
      <c r="A22" s="41">
        <f>$B$18-A21</f>
        <v>21648827.005472001</v>
      </c>
      <c r="B22" s="41">
        <f>$B$18-B21</f>
        <v>21712780.575872</v>
      </c>
      <c r="C22" s="41">
        <f>$B$18-C21</f>
        <v>21797155.010399204</v>
      </c>
      <c r="D22" s="41">
        <f>$B$18-D21</f>
        <v>21412071.131799202</v>
      </c>
      <c r="E22" s="41">
        <f>D22/K5</f>
        <v>2690.1445617221293</v>
      </c>
      <c r="F22" s="12"/>
      <c r="G22" s="37">
        <f>E22/B19</f>
        <v>1.0254341896158943</v>
      </c>
    </row>
    <row r="23" spans="1:11" ht="17.399999999999999" customHeight="1" x14ac:dyDescent="0.25">
      <c r="A23" s="12"/>
      <c r="B23" s="41"/>
      <c r="C23" s="41"/>
      <c r="D23" s="41"/>
      <c r="E23" s="41"/>
      <c r="F23" s="12"/>
    </row>
    <row r="24" spans="1:11" ht="17.399999999999999" customHeight="1" x14ac:dyDescent="0.25">
      <c r="A24" s="12"/>
      <c r="B24" s="12"/>
      <c r="C24" s="13"/>
      <c r="D24" s="12"/>
      <c r="E24" s="12"/>
      <c r="F24" s="12"/>
    </row>
    <row r="25" spans="1:11" ht="17.399999999999999" customHeight="1" x14ac:dyDescent="0.25">
      <c r="A25" s="12"/>
      <c r="B25" s="12"/>
      <c r="C25" s="13"/>
      <c r="D25" s="12"/>
      <c r="E25" s="12"/>
      <c r="F25" s="12"/>
    </row>
    <row r="26" spans="1:11" ht="17.399999999999999" customHeight="1" x14ac:dyDescent="0.25">
      <c r="A26" s="12"/>
      <c r="B26" s="12"/>
      <c r="C26" s="13"/>
      <c r="D26" s="12"/>
      <c r="E26" s="12"/>
      <c r="F26" s="12"/>
    </row>
    <row r="27" spans="1:11" ht="17.399999999999999" customHeight="1" x14ac:dyDescent="0.25">
      <c r="A27" s="12"/>
      <c r="B27" s="12"/>
      <c r="C27" s="13"/>
      <c r="D27" s="12"/>
      <c r="E27" s="12"/>
      <c r="F27" s="12"/>
    </row>
    <row r="28" spans="1:11" ht="17.399999999999999" customHeight="1" x14ac:dyDescent="0.25">
      <c r="A28" s="12"/>
      <c r="B28" s="12"/>
      <c r="C28" s="13"/>
      <c r="D28" s="12"/>
      <c r="E28" s="12"/>
      <c r="F28" s="12"/>
    </row>
    <row r="29" spans="1:11" ht="17.399999999999999" customHeight="1" x14ac:dyDescent="0.25">
      <c r="A29" s="12"/>
      <c r="B29" s="12"/>
      <c r="C29" s="13"/>
      <c r="D29" s="12"/>
      <c r="E29" s="12"/>
      <c r="F29" s="12"/>
    </row>
    <row r="30" spans="1:11" ht="17.399999999999999" customHeight="1" x14ac:dyDescent="0.25">
      <c r="A30" s="12"/>
      <c r="B30" s="12"/>
      <c r="C30" s="13"/>
      <c r="D30" s="12"/>
      <c r="E30" s="12"/>
      <c r="F30" s="12"/>
    </row>
    <row r="31" spans="1:11" ht="17.399999999999999" customHeight="1" x14ac:dyDescent="0.25">
      <c r="A31" s="12"/>
      <c r="B31" s="12"/>
      <c r="C31" s="13"/>
      <c r="D31" s="12"/>
      <c r="E31" s="12"/>
      <c r="F31" s="12"/>
    </row>
    <row r="32" spans="1:11" ht="17.399999999999999" customHeight="1" x14ac:dyDescent="0.25">
      <c r="A32" s="12"/>
      <c r="B32" s="12"/>
      <c r="C32" s="13"/>
      <c r="D32" s="12"/>
      <c r="E32" s="12"/>
      <c r="F32" s="12"/>
    </row>
    <row r="33" spans="1:6" ht="17.399999999999999" customHeight="1" x14ac:dyDescent="0.25">
      <c r="A33" s="12"/>
      <c r="B33" s="12"/>
      <c r="C33" s="13"/>
      <c r="D33" s="12"/>
      <c r="E33" s="12"/>
      <c r="F33" s="12"/>
    </row>
    <row r="34" spans="1:6" ht="17.399999999999999" customHeight="1" x14ac:dyDescent="0.25">
      <c r="A34" s="12"/>
      <c r="B34" s="12"/>
      <c r="C34" s="13"/>
      <c r="D34" s="12"/>
      <c r="E34" s="12"/>
      <c r="F34" s="12"/>
    </row>
    <row r="35" spans="1:6" ht="17.399999999999999" customHeight="1" x14ac:dyDescent="0.25">
      <c r="A35" s="12"/>
      <c r="B35" s="12"/>
      <c r="C35" s="13"/>
      <c r="D35" s="12"/>
      <c r="E35" s="12"/>
      <c r="F35" s="12"/>
    </row>
    <row r="36" spans="1:6" ht="17.399999999999999" customHeight="1" x14ac:dyDescent="0.25">
      <c r="A36" s="12"/>
      <c r="B36" s="12"/>
      <c r="C36" s="13"/>
      <c r="D36" s="12"/>
      <c r="E36" s="12"/>
      <c r="F36" s="12"/>
    </row>
    <row r="37" spans="1:6" ht="17.399999999999999" customHeight="1" x14ac:dyDescent="0.25">
      <c r="A37" s="12"/>
      <c r="B37" s="12"/>
      <c r="C37" s="13"/>
      <c r="D37" s="12"/>
      <c r="E37" s="12"/>
      <c r="F37" s="12"/>
    </row>
    <row r="38" spans="1:6" ht="17.399999999999999" customHeight="1" x14ac:dyDescent="0.25">
      <c r="A38" s="12"/>
      <c r="B38" s="12"/>
      <c r="C38" s="13"/>
      <c r="D38" s="12"/>
      <c r="E38" s="12"/>
      <c r="F38" s="12"/>
    </row>
    <row r="39" spans="1:6" ht="17.399999999999999" customHeight="1" x14ac:dyDescent="0.25">
      <c r="A39" s="12"/>
      <c r="B39" s="12"/>
      <c r="C39" s="13"/>
      <c r="D39" s="12"/>
      <c r="E39" s="12"/>
      <c r="F39" s="12"/>
    </row>
    <row r="40" spans="1:6" ht="17.399999999999999" customHeight="1" x14ac:dyDescent="0.25">
      <c r="A40" s="12"/>
      <c r="B40" s="12"/>
      <c r="C40" s="13"/>
      <c r="D40" s="12"/>
      <c r="E40" s="12"/>
      <c r="F40" s="12"/>
    </row>
    <row r="41" spans="1:6" ht="17.399999999999999" customHeight="1" x14ac:dyDescent="0.25">
      <c r="A41" s="12"/>
      <c r="B41" s="12"/>
      <c r="C41" s="13"/>
      <c r="D41" s="12"/>
      <c r="E41" s="12"/>
      <c r="F41" s="12"/>
    </row>
    <row r="42" spans="1:6" ht="17.399999999999999" customHeight="1" x14ac:dyDescent="0.25">
      <c r="A42" s="12"/>
      <c r="B42" s="12"/>
      <c r="C42" s="13"/>
      <c r="D42" s="12"/>
      <c r="E42" s="12"/>
      <c r="F42" s="12"/>
    </row>
    <row r="43" spans="1:6" ht="17.399999999999999" customHeight="1" x14ac:dyDescent="0.25">
      <c r="A43" s="12"/>
      <c r="B43" s="12"/>
      <c r="C43" s="13"/>
      <c r="D43" s="12"/>
      <c r="E43" s="12"/>
      <c r="F43" s="12"/>
    </row>
    <row r="44" spans="1:6" ht="17.399999999999999" customHeight="1" x14ac:dyDescent="0.25">
      <c r="A44" s="12"/>
      <c r="B44" s="12"/>
      <c r="C44" s="13"/>
      <c r="D44" s="12"/>
      <c r="E44" s="12"/>
      <c r="F44" s="12"/>
    </row>
  </sheetData>
  <phoneticPr fontId="2" type="noConversion"/>
  <conditionalFormatting sqref="G2:G17">
    <cfRule type="expression" dxfId="3" priority="1">
      <formula>G2&gt;0</formula>
    </cfRule>
  </conditionalFormatting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81D-FE1F-4DC6-B2A8-4DFE6D21F894}">
  <sheetPr codeName="Planilha2"/>
  <dimension ref="A1:I18"/>
  <sheetViews>
    <sheetView zoomScale="115" zoomScaleNormal="115" workbookViewId="0">
      <selection activeCell="A15" sqref="A15:XFD15"/>
    </sheetView>
  </sheetViews>
  <sheetFormatPr defaultRowHeight="16.5" customHeight="1" x14ac:dyDescent="0.25"/>
  <cols>
    <col min="1" max="1" width="69.44140625" bestFit="1" customWidth="1"/>
    <col min="2" max="2" width="19.6640625" style="39" bestFit="1" customWidth="1"/>
    <col min="3" max="3" width="23" style="45" customWidth="1"/>
    <col min="7" max="7" width="13.33203125" bestFit="1" customWidth="1"/>
    <col min="8" max="8" width="10.44140625" bestFit="1" customWidth="1"/>
    <col min="9" max="9" width="10.109375" bestFit="1" customWidth="1"/>
  </cols>
  <sheetData>
    <row r="1" spans="1:9" ht="39.6" customHeight="1" x14ac:dyDescent="0.25">
      <c r="A1" s="29" t="s">
        <v>6</v>
      </c>
      <c r="B1" s="42"/>
      <c r="C1" s="30" t="s">
        <v>29</v>
      </c>
      <c r="G1" s="38">
        <v>44470</v>
      </c>
      <c r="H1" s="38">
        <v>44805</v>
      </c>
    </row>
    <row r="2" spans="1:9" s="48" customFormat="1" ht="23.4" customHeight="1" x14ac:dyDescent="0.25">
      <c r="A2" s="31" t="str">
        <f>'Orçamento Resumo'!A3</f>
        <v>MOVIMENTAÇÃO DE TERRA</v>
      </c>
      <c r="B2" s="46">
        <f>'Orçamento Resumo'!D3</f>
        <v>16.450389160055028</v>
      </c>
      <c r="C2" s="32" t="s">
        <v>38</v>
      </c>
      <c r="D2" s="48">
        <v>10</v>
      </c>
      <c r="E2" s="48">
        <v>20</v>
      </c>
      <c r="F2" s="49">
        <v>22.987738957949066</v>
      </c>
      <c r="G2" s="50">
        <v>2381.0500000000002</v>
      </c>
      <c r="H2" s="51">
        <v>2623.42</v>
      </c>
      <c r="I2" s="49">
        <f>H2/G2</f>
        <v>1.101791226559711</v>
      </c>
    </row>
    <row r="3" spans="1:9" s="48" customFormat="1" ht="23.4" customHeight="1" x14ac:dyDescent="0.25">
      <c r="A3" s="34" t="str">
        <f>'Orçamento Resumo'!A4</f>
        <v>INFRAESTRUTURA</v>
      </c>
      <c r="B3" s="47">
        <f>'Orçamento Resumo'!D4</f>
        <v>349.54598873037708</v>
      </c>
      <c r="C3" s="35" t="s">
        <v>30</v>
      </c>
      <c r="D3" s="48">
        <v>170</v>
      </c>
      <c r="E3" s="48">
        <v>230</v>
      </c>
      <c r="F3" s="49">
        <v>228.06161009411107</v>
      </c>
      <c r="G3" s="52"/>
    </row>
    <row r="4" spans="1:9" s="48" customFormat="1" ht="23.4" customHeight="1" x14ac:dyDescent="0.25">
      <c r="A4" s="31" t="str">
        <f>'Orçamento Resumo'!A5</f>
        <v>SUPRAESTRUTURA</v>
      </c>
      <c r="B4" s="46">
        <f>'Orçamento Resumo'!D5</f>
        <v>210.30963445966745</v>
      </c>
      <c r="C4" s="32" t="s">
        <v>40</v>
      </c>
      <c r="D4" s="48">
        <v>250</v>
      </c>
      <c r="E4" s="48">
        <v>330</v>
      </c>
      <c r="F4" s="49">
        <v>123.99160946553378</v>
      </c>
      <c r="G4" s="52"/>
      <c r="I4" s="53"/>
    </row>
    <row r="5" spans="1:9" s="48" customFormat="1" ht="23.4" customHeight="1" x14ac:dyDescent="0.25">
      <c r="A5" s="34" t="str">
        <f>'Orçamento Resumo'!A6</f>
        <v>ALVENARIA ESTRUTURAL</v>
      </c>
      <c r="B5" s="47">
        <f>'Orçamento Resumo'!D6</f>
        <v>331.45779921979539</v>
      </c>
      <c r="C5" s="35" t="s">
        <v>25</v>
      </c>
      <c r="D5" s="48">
        <v>190</v>
      </c>
      <c r="E5" s="48">
        <v>250</v>
      </c>
      <c r="F5" s="49">
        <v>289.9486068209232</v>
      </c>
      <c r="G5" s="52"/>
      <c r="I5" s="53"/>
    </row>
    <row r="6" spans="1:9" s="48" customFormat="1" ht="23.4" customHeight="1" x14ac:dyDescent="0.25">
      <c r="A6" s="31" t="str">
        <f>'Orçamento Resumo'!A7</f>
        <v>INSTALAÇÕES ELÉTRICAS, HIDROSSANITÁRIAS, PREVENTIVAS E GLP</v>
      </c>
      <c r="B6" s="46">
        <f>'Orçamento Resumo'!D7</f>
        <v>346.61523220825563</v>
      </c>
      <c r="C6" s="32" t="s">
        <v>31</v>
      </c>
      <c r="D6" s="48">
        <v>190</v>
      </c>
      <c r="E6" s="48">
        <v>225</v>
      </c>
      <c r="F6" s="49">
        <v>197.22971704913019</v>
      </c>
      <c r="G6" s="52"/>
    </row>
    <row r="7" spans="1:9" s="48" customFormat="1" ht="23.4" customHeight="1" x14ac:dyDescent="0.25">
      <c r="A7" s="34" t="str">
        <f>'Orçamento Resumo'!A8</f>
        <v>SISTEMAS ESPECIAIS E EQUIPAMENTOS</v>
      </c>
      <c r="B7" s="47">
        <f>'Orçamento Resumo'!D8</f>
        <v>133.74526506228446</v>
      </c>
      <c r="C7" s="35" t="s">
        <v>32</v>
      </c>
      <c r="D7" s="48">
        <v>100</v>
      </c>
      <c r="E7" s="48">
        <v>180</v>
      </c>
      <c r="F7" s="49">
        <v>36.807137640131174</v>
      </c>
      <c r="G7" s="52"/>
    </row>
    <row r="8" spans="1:9" s="48" customFormat="1" ht="23.4" customHeight="1" x14ac:dyDescent="0.25">
      <c r="A8" s="31" t="str">
        <f>'Orçamento Resumo'!A9</f>
        <v>IMPERMEABILIZAÇÃO</v>
      </c>
      <c r="B8" s="46">
        <f>'Orçamento Resumo'!D9</f>
        <v>89.556882699181486</v>
      </c>
      <c r="C8" s="32" t="s">
        <v>26</v>
      </c>
      <c r="D8" s="48">
        <v>25</v>
      </c>
      <c r="E8" s="48">
        <v>35</v>
      </c>
      <c r="F8" s="49">
        <v>31.188924600320124</v>
      </c>
      <c r="G8" s="54"/>
    </row>
    <row r="9" spans="1:9" s="48" customFormat="1" ht="23.4" customHeight="1" x14ac:dyDescent="0.25">
      <c r="A9" s="34" t="str">
        <f>'Orçamento Resumo'!A10</f>
        <v>REVESTIMENTOS INTERNOS EM PISO E PAREDE</v>
      </c>
      <c r="B9" s="47">
        <f>'Orçamento Resumo'!D10</f>
        <v>137.62457958426779</v>
      </c>
      <c r="C9" s="35" t="s">
        <v>33</v>
      </c>
      <c r="D9" s="48">
        <v>115</v>
      </c>
      <c r="E9" s="48">
        <v>130</v>
      </c>
      <c r="F9" s="49">
        <v>109.27661663438778</v>
      </c>
      <c r="G9" s="54"/>
    </row>
    <row r="10" spans="1:9" s="48" customFormat="1" ht="23.4" customHeight="1" x14ac:dyDescent="0.25">
      <c r="A10" s="31" t="str">
        <f>'Orçamento Resumo'!A11</f>
        <v>REVESTIMENTOS E ACABAMENTOS INTERNOS EM TETO</v>
      </c>
      <c r="B10" s="46">
        <f>'Orçamento Resumo'!D11</f>
        <v>33.061546966184849</v>
      </c>
      <c r="C10" s="32" t="s">
        <v>27</v>
      </c>
      <c r="D10" s="48">
        <v>30</v>
      </c>
      <c r="E10" s="48">
        <v>40</v>
      </c>
      <c r="F10" s="49">
        <v>24.127146546158816</v>
      </c>
      <c r="G10" s="52"/>
    </row>
    <row r="11" spans="1:9" s="48" customFormat="1" ht="23.4" customHeight="1" x14ac:dyDescent="0.25">
      <c r="A11" s="34" t="str">
        <f>'Orçamento Resumo'!A12</f>
        <v>ACABAMENTOS EM PISO E PAREDE</v>
      </c>
      <c r="B11" s="47">
        <f>'Orçamento Resumo'!D12</f>
        <v>250.25960336455407</v>
      </c>
      <c r="C11" s="35" t="s">
        <v>34</v>
      </c>
      <c r="D11" s="48">
        <v>160</v>
      </c>
      <c r="E11" s="48">
        <v>170</v>
      </c>
      <c r="F11" s="49">
        <v>61.999999999999993</v>
      </c>
      <c r="G11" s="54"/>
    </row>
    <row r="12" spans="1:9" s="48" customFormat="1" ht="23.4" customHeight="1" x14ac:dyDescent="0.25">
      <c r="A12" s="31" t="str">
        <f>'Orçamento Resumo'!A13</f>
        <v>PINTURA INTERNA</v>
      </c>
      <c r="B12" s="46">
        <f>'Orçamento Resumo'!D13</f>
        <v>70.154887586453839</v>
      </c>
      <c r="C12" s="32" t="s">
        <v>35</v>
      </c>
      <c r="D12" s="48">
        <v>60</v>
      </c>
      <c r="E12" s="48">
        <v>80</v>
      </c>
      <c r="F12" s="49">
        <v>48.5</v>
      </c>
      <c r="G12" s="54"/>
    </row>
    <row r="13" spans="1:9" s="48" customFormat="1" ht="23.4" customHeight="1" x14ac:dyDescent="0.25">
      <c r="A13" s="34" t="str">
        <f>'Orçamento Resumo'!A14</f>
        <v xml:space="preserve">ESQUADRIAS </v>
      </c>
      <c r="B13" s="47">
        <f>'Orçamento Resumo'!D14</f>
        <v>174.85745120579938</v>
      </c>
      <c r="C13" s="35" t="s">
        <v>36</v>
      </c>
      <c r="D13" s="48">
        <v>110</v>
      </c>
      <c r="E13" s="48">
        <v>130</v>
      </c>
      <c r="F13" s="49">
        <v>117.45240472232376</v>
      </c>
      <c r="G13" s="54"/>
    </row>
    <row r="14" spans="1:9" s="48" customFormat="1" ht="23.4" customHeight="1" x14ac:dyDescent="0.25">
      <c r="A14" s="31" t="str">
        <f>'Orçamento Resumo'!A15</f>
        <v>REVESTIMENTOS E ACABAMENTOS DE FACHADA</v>
      </c>
      <c r="B14" s="46">
        <f>'Orçamento Resumo'!D15</f>
        <v>105.36914108386885</v>
      </c>
      <c r="C14" s="32" t="s">
        <v>37</v>
      </c>
      <c r="D14" s="48">
        <v>85</v>
      </c>
      <c r="E14" s="48">
        <v>120</v>
      </c>
      <c r="F14" s="49">
        <v>99.981074269122288</v>
      </c>
      <c r="G14" s="52"/>
    </row>
    <row r="15" spans="1:9" s="48" customFormat="1" ht="23.4" customHeight="1" x14ac:dyDescent="0.25">
      <c r="A15" s="34" t="str">
        <f>'Orçamento Resumo'!A16</f>
        <v>SERVIÇOS COMPLEMENTARES</v>
      </c>
      <c r="B15" s="47">
        <f>'Orçamento Resumo'!D16</f>
        <v>60.229847539716943</v>
      </c>
      <c r="C15" s="35" t="s">
        <v>28</v>
      </c>
      <c r="D15" s="48">
        <v>130</v>
      </c>
      <c r="E15" s="48">
        <v>140</v>
      </c>
      <c r="F15" s="49">
        <v>120.22821193485841</v>
      </c>
      <c r="G15" s="54"/>
    </row>
    <row r="16" spans="1:9" ht="19.95" customHeight="1" x14ac:dyDescent="0.25">
      <c r="A16" s="33" t="s">
        <v>7</v>
      </c>
      <c r="B16" s="43">
        <f>SUM(B2:B15)</f>
        <v>2309.238248870462</v>
      </c>
      <c r="C16" s="44" t="s">
        <v>39</v>
      </c>
      <c r="D16">
        <f>SUM(D2:D15)</f>
        <v>1625</v>
      </c>
      <c r="E16">
        <f>SUM(E2:E15)</f>
        <v>2080</v>
      </c>
      <c r="G16" s="40"/>
    </row>
    <row r="17" spans="7:7" ht="21" customHeight="1" x14ac:dyDescent="0.25">
      <c r="G17" s="40"/>
    </row>
    <row r="18" spans="7:7" ht="16.5" customHeight="1" x14ac:dyDescent="0.25">
      <c r="G18" s="4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82CD-8136-4BA5-BD20-57FCCD09C681}">
  <dimension ref="A1:N45"/>
  <sheetViews>
    <sheetView showGridLines="0" topLeftCell="A4" zoomScale="115" zoomScaleNormal="115" workbookViewId="0">
      <selection activeCell="E2" sqref="E2:E17"/>
    </sheetView>
  </sheetViews>
  <sheetFormatPr defaultColWidth="9.109375" defaultRowHeight="17.399999999999999" customHeight="1" x14ac:dyDescent="0.25"/>
  <cols>
    <col min="1" max="1" width="70.6640625" style="1" customWidth="1"/>
    <col min="2" max="3" width="19.6640625" style="1" customWidth="1"/>
    <col min="4" max="4" width="10.5546875" style="15" customWidth="1"/>
    <col min="5" max="5" width="13.88671875" style="1" customWidth="1"/>
    <col min="6" max="6" width="16.5546875" style="1" bestFit="1" customWidth="1"/>
    <col min="7" max="7" width="12.109375" style="1" bestFit="1" customWidth="1"/>
    <col min="8" max="8" width="12.88671875" style="1" bestFit="1" customWidth="1"/>
    <col min="9" max="9" width="24.33203125" style="1" customWidth="1"/>
    <col min="10" max="10" width="13.21875" style="1" bestFit="1" customWidth="1"/>
    <col min="11" max="11" width="12.5546875" style="1" bestFit="1" customWidth="1"/>
    <col min="12" max="12" width="9.109375" style="1"/>
    <col min="13" max="13" width="20.88671875" style="1" bestFit="1" customWidth="1"/>
    <col min="14" max="14" width="14.21875" style="36" bestFit="1" customWidth="1"/>
    <col min="15" max="16384" width="9.109375" style="1"/>
  </cols>
  <sheetData>
    <row r="1" spans="1:14" ht="27" customHeight="1" x14ac:dyDescent="0.25">
      <c r="A1" s="16" t="s">
        <v>6</v>
      </c>
      <c r="B1" s="17" t="s">
        <v>5</v>
      </c>
      <c r="C1" s="17" t="s">
        <v>59</v>
      </c>
      <c r="D1" s="18" t="s">
        <v>4</v>
      </c>
      <c r="E1" s="17" t="s">
        <v>3</v>
      </c>
      <c r="F1" s="17" t="s">
        <v>21</v>
      </c>
      <c r="G1" s="1" t="s">
        <v>41</v>
      </c>
      <c r="J1" s="55">
        <v>2444.3000000000002</v>
      </c>
      <c r="M1" s="1" t="s">
        <v>42</v>
      </c>
      <c r="N1" s="36">
        <v>137152.6</v>
      </c>
    </row>
    <row r="2" spans="1:14" ht="23.4" customHeight="1" x14ac:dyDescent="0.25">
      <c r="A2" s="2" t="s">
        <v>13</v>
      </c>
      <c r="B2" s="3">
        <v>881953.16999999993</v>
      </c>
      <c r="C2" s="3">
        <f>B2*$J$23</f>
        <v>953705.90386499173</v>
      </c>
      <c r="D2" s="4">
        <f t="shared" ref="D2:D18" si="0">+B2/$B$19</f>
        <v>5.034456025416819E-2</v>
      </c>
      <c r="E2" s="5">
        <f>C2/$J$5</f>
        <v>119.82057854060164</v>
      </c>
      <c r="F2" s="6">
        <f>+B2/$J$7</f>
        <v>5512.2073124999997</v>
      </c>
      <c r="G2" s="36">
        <f>E2*$K$2</f>
        <v>129.08151365408625</v>
      </c>
      <c r="J2" s="55">
        <v>2633.22</v>
      </c>
      <c r="K2" s="1">
        <f>J2/J1</f>
        <v>1.0772900216830994</v>
      </c>
      <c r="M2" s="1" t="s">
        <v>43</v>
      </c>
      <c r="N2" s="36">
        <v>622269.53</v>
      </c>
    </row>
    <row r="3" spans="1:14" ht="23.4" customHeight="1" x14ac:dyDescent="0.25">
      <c r="A3" s="7" t="s">
        <v>22</v>
      </c>
      <c r="B3" s="8">
        <v>177727.96</v>
      </c>
      <c r="C3" s="8">
        <f t="shared" ref="C3:C17" si="1">B3*$J$23</f>
        <v>192187.30710371063</v>
      </c>
      <c r="D3" s="9">
        <f t="shared" si="0"/>
        <v>1.0145250672516313E-2</v>
      </c>
      <c r="E3" s="10">
        <f t="shared" ref="E3:E17" si="2">C3/$J$5</f>
        <v>24.145802424000482</v>
      </c>
      <c r="F3" s="11">
        <f t="shared" ref="F3:F18" si="3">+B3/$J$7</f>
        <v>1110.7997499999999</v>
      </c>
      <c r="G3" s="36">
        <f t="shared" ref="G3:G18" si="4">E3*$K$2</f>
        <v>26.012032016907312</v>
      </c>
      <c r="M3" s="1" t="s">
        <v>44</v>
      </c>
      <c r="N3" s="36">
        <v>1186753.8399999999</v>
      </c>
    </row>
    <row r="4" spans="1:14" ht="23.4" customHeight="1" x14ac:dyDescent="0.25">
      <c r="A4" s="2" t="s">
        <v>8</v>
      </c>
      <c r="B4" s="3">
        <v>2554641.5499999998</v>
      </c>
      <c r="C4" s="3">
        <f t="shared" si="1"/>
        <v>2762478.5661735456</v>
      </c>
      <c r="D4" s="4">
        <f t="shared" si="0"/>
        <v>0.14582668311263808</v>
      </c>
      <c r="E4" s="5">
        <f t="shared" si="2"/>
        <v>347.06902690180169</v>
      </c>
      <c r="F4" s="6">
        <f t="shared" si="3"/>
        <v>15966.509687499998</v>
      </c>
      <c r="G4" s="36">
        <f t="shared" si="4"/>
        <v>373.89399951657413</v>
      </c>
      <c r="M4" s="1" t="s">
        <v>45</v>
      </c>
      <c r="N4" s="36">
        <v>147816.03999999998</v>
      </c>
    </row>
    <row r="5" spans="1:14" ht="23.4" customHeight="1" x14ac:dyDescent="0.25">
      <c r="A5" s="7" t="s">
        <v>9</v>
      </c>
      <c r="B5" s="8">
        <v>1573435.18</v>
      </c>
      <c r="C5" s="8">
        <f t="shared" si="1"/>
        <v>1701444.5568746876</v>
      </c>
      <c r="D5" s="9">
        <f t="shared" si="0"/>
        <v>8.9816449353584127E-2</v>
      </c>
      <c r="E5" s="10">
        <f t="shared" si="2"/>
        <v>213.76408632187997</v>
      </c>
      <c r="F5" s="11">
        <f t="shared" si="3"/>
        <v>9833.9698749999989</v>
      </c>
      <c r="G5" s="36">
        <f t="shared" si="4"/>
        <v>230.28591718876601</v>
      </c>
      <c r="J5" s="36">
        <v>7959.45</v>
      </c>
      <c r="M5" s="1" t="s">
        <v>46</v>
      </c>
      <c r="N5" s="36">
        <v>2554641.5499999998</v>
      </c>
    </row>
    <row r="6" spans="1:14" ht="23.4" customHeight="1" x14ac:dyDescent="0.25">
      <c r="A6" s="2" t="s">
        <v>24</v>
      </c>
      <c r="B6" s="3">
        <v>2036792.03</v>
      </c>
      <c r="C6" s="3">
        <f t="shared" si="1"/>
        <v>2202498.5566480379</v>
      </c>
      <c r="D6" s="4">
        <f t="shared" si="0"/>
        <v>0.11626626284425573</v>
      </c>
      <c r="E6" s="5">
        <f t="shared" si="2"/>
        <v>276.71491832325574</v>
      </c>
      <c r="F6" s="6">
        <f t="shared" si="3"/>
        <v>12729.950187500001</v>
      </c>
      <c r="G6" s="36">
        <f t="shared" si="4"/>
        <v>298.10222036049726</v>
      </c>
      <c r="M6" s="1" t="s">
        <v>2</v>
      </c>
      <c r="N6" s="36">
        <v>107989.30999999998</v>
      </c>
    </row>
    <row r="7" spans="1:14" ht="23.4" customHeight="1" x14ac:dyDescent="0.25">
      <c r="A7" s="7" t="s">
        <v>19</v>
      </c>
      <c r="B7" s="8">
        <v>3222319.67</v>
      </c>
      <c r="C7" s="8">
        <f t="shared" si="1"/>
        <v>3484476.725016241</v>
      </c>
      <c r="D7" s="9">
        <f t="shared" si="0"/>
        <v>0.18393977401828077</v>
      </c>
      <c r="E7" s="10">
        <f t="shared" si="2"/>
        <v>437.77858080850325</v>
      </c>
      <c r="F7" s="11">
        <f t="shared" si="3"/>
        <v>20139.4979375</v>
      </c>
      <c r="G7" s="36">
        <f t="shared" si="4"/>
        <v>471.61449681158894</v>
      </c>
      <c r="J7" s="36">
        <v>160</v>
      </c>
      <c r="N7" s="36">
        <v>0</v>
      </c>
    </row>
    <row r="8" spans="1:14" ht="23.4" customHeight="1" x14ac:dyDescent="0.25">
      <c r="A8" s="2" t="s">
        <v>18</v>
      </c>
      <c r="B8" s="3">
        <v>449496.2</v>
      </c>
      <c r="C8" s="3">
        <f t="shared" si="1"/>
        <v>486065.69406046713</v>
      </c>
      <c r="D8" s="4">
        <f t="shared" si="0"/>
        <v>2.5658605575304683E-2</v>
      </c>
      <c r="E8" s="5">
        <f t="shared" si="2"/>
        <v>61.067748909845172</v>
      </c>
      <c r="F8" s="6">
        <f t="shared" si="3"/>
        <v>2809.3512500000002</v>
      </c>
      <c r="G8" s="36">
        <f t="shared" si="4"/>
        <v>65.787676547225175</v>
      </c>
      <c r="M8" s="1" t="s">
        <v>47</v>
      </c>
      <c r="N8" s="36">
        <v>2939374.14</v>
      </c>
    </row>
    <row r="9" spans="1:14" ht="23.4" customHeight="1" x14ac:dyDescent="0.25">
      <c r="A9" s="7" t="s">
        <v>2</v>
      </c>
      <c r="B9" s="8">
        <v>107989.30999999998</v>
      </c>
      <c r="C9" s="8">
        <f t="shared" si="1"/>
        <v>116774.95586450104</v>
      </c>
      <c r="D9" s="9">
        <f t="shared" si="0"/>
        <v>6.1643571439298156E-3</v>
      </c>
      <c r="E9" s="10">
        <f t="shared" si="2"/>
        <v>14.671234301930541</v>
      </c>
      <c r="F9" s="11">
        <f t="shared" si="3"/>
        <v>674.93318749999992</v>
      </c>
      <c r="G9" s="36">
        <f t="shared" si="4"/>
        <v>15.805174319244584</v>
      </c>
      <c r="J9" s="36"/>
      <c r="M9" s="1" t="s">
        <v>48</v>
      </c>
      <c r="N9" s="36">
        <v>881953.17</v>
      </c>
    </row>
    <row r="10" spans="1:14" ht="23.4" customHeight="1" x14ac:dyDescent="0.25">
      <c r="A10" s="2" t="s">
        <v>10</v>
      </c>
      <c r="B10" s="3">
        <v>514662.69</v>
      </c>
      <c r="C10" s="3">
        <f t="shared" si="1"/>
        <v>556533.90979028749</v>
      </c>
      <c r="D10" s="4">
        <f t="shared" si="0"/>
        <v>2.9378506352301322E-2</v>
      </c>
      <c r="E10" s="5">
        <f t="shared" si="2"/>
        <v>69.92115156075954</v>
      </c>
      <c r="F10" s="6">
        <f t="shared" si="3"/>
        <v>3216.6418125</v>
      </c>
      <c r="G10" s="36">
        <f t="shared" si="4"/>
        <v>75.325358880997925</v>
      </c>
      <c r="J10" s="1" t="s">
        <v>23</v>
      </c>
      <c r="K10" s="1">
        <v>57.65</v>
      </c>
      <c r="M10" s="1" t="s">
        <v>49</v>
      </c>
      <c r="N10" s="36">
        <v>1736895</v>
      </c>
    </row>
    <row r="11" spans="1:14" ht="23.4" customHeight="1" x14ac:dyDescent="0.25">
      <c r="A11" s="7" t="s">
        <v>11</v>
      </c>
      <c r="B11" s="8">
        <v>147816.03999999998</v>
      </c>
      <c r="C11" s="8">
        <f t="shared" si="1"/>
        <v>159841.85422673152</v>
      </c>
      <c r="D11" s="9">
        <f t="shared" si="0"/>
        <v>8.437787612138788E-3</v>
      </c>
      <c r="E11" s="10">
        <f t="shared" si="2"/>
        <v>20.082022530040582</v>
      </c>
      <c r="F11" s="11">
        <f t="shared" si="3"/>
        <v>923.85024999999985</v>
      </c>
      <c r="G11" s="36">
        <f t="shared" si="4"/>
        <v>21.634162486827911</v>
      </c>
      <c r="J11" s="36"/>
      <c r="M11" s="1" t="s">
        <v>50</v>
      </c>
      <c r="N11" s="36">
        <v>177727.96</v>
      </c>
    </row>
    <row r="12" spans="1:14" ht="23.4" customHeight="1" x14ac:dyDescent="0.25">
      <c r="A12" s="2" t="s">
        <v>12</v>
      </c>
      <c r="B12" s="3">
        <v>1657331.3499999999</v>
      </c>
      <c r="C12" s="3">
        <f t="shared" si="1"/>
        <v>1792166.2361682276</v>
      </c>
      <c r="D12" s="4">
        <f t="shared" si="0"/>
        <v>9.4605497036987701E-2</v>
      </c>
      <c r="E12" s="5">
        <f t="shared" si="2"/>
        <v>225.16206976213527</v>
      </c>
      <c r="F12" s="6">
        <f t="shared" si="3"/>
        <v>10358.320937499999</v>
      </c>
      <c r="G12" s="36">
        <f t="shared" si="4"/>
        <v>242.56485101626225</v>
      </c>
      <c r="H12" s="1">
        <f>180*1.1</f>
        <v>198.00000000000003</v>
      </c>
      <c r="M12" s="1" t="s">
        <v>51</v>
      </c>
      <c r="N12" s="36">
        <v>2036792.03</v>
      </c>
    </row>
    <row r="13" spans="1:14" ht="23.4" customHeight="1" x14ac:dyDescent="0.25">
      <c r="A13" s="7" t="s">
        <v>1</v>
      </c>
      <c r="B13" s="8">
        <v>844874.37</v>
      </c>
      <c r="C13" s="8">
        <f t="shared" si="1"/>
        <v>913610.49781499791</v>
      </c>
      <c r="D13" s="9">
        <f t="shared" si="0"/>
        <v>4.822798995967937E-2</v>
      </c>
      <c r="E13" s="10">
        <f t="shared" si="2"/>
        <v>114.78311916212778</v>
      </c>
      <c r="F13" s="11">
        <f t="shared" si="3"/>
        <v>5280.4648125000003</v>
      </c>
      <c r="G13" s="36">
        <f t="shared" si="4"/>
        <v>123.65470893102241</v>
      </c>
      <c r="H13" s="1">
        <f>220*1.1</f>
        <v>242.00000000000003</v>
      </c>
      <c r="J13" s="36"/>
      <c r="M13" s="1" t="s">
        <v>52</v>
      </c>
      <c r="N13" s="36">
        <v>844874.37</v>
      </c>
    </row>
    <row r="14" spans="1:14" ht="23.4" customHeight="1" x14ac:dyDescent="0.25">
      <c r="A14" s="2" t="s">
        <v>20</v>
      </c>
      <c r="B14" s="3">
        <v>1186753.8399999999</v>
      </c>
      <c r="C14" s="3">
        <f t="shared" si="1"/>
        <v>1283304.1278625368</v>
      </c>
      <c r="D14" s="4">
        <f t="shared" si="0"/>
        <v>6.7743506386790886E-2</v>
      </c>
      <c r="E14" s="5">
        <f t="shared" si="2"/>
        <v>161.23025182173853</v>
      </c>
      <c r="F14" s="6">
        <f t="shared" si="3"/>
        <v>7417.2114999999994</v>
      </c>
      <c r="G14" s="36">
        <f t="shared" si="4"/>
        <v>173.69174148101229</v>
      </c>
      <c r="M14" s="1" t="s">
        <v>53</v>
      </c>
      <c r="N14" s="36">
        <v>398672.16000000003</v>
      </c>
    </row>
    <row r="15" spans="1:14" ht="23.4" customHeight="1" x14ac:dyDescent="0.25">
      <c r="A15" s="7" t="s">
        <v>0</v>
      </c>
      <c r="B15" s="8">
        <v>137152.6</v>
      </c>
      <c r="C15" s="8">
        <f t="shared" si="1"/>
        <v>148310.87273084317</v>
      </c>
      <c r="D15" s="9">
        <f t="shared" si="0"/>
        <v>7.8290861347160064E-3</v>
      </c>
      <c r="E15" s="10">
        <f t="shared" si="2"/>
        <v>18.633306664511139</v>
      </c>
      <c r="F15" s="11">
        <f t="shared" si="3"/>
        <v>857.20375000000001</v>
      </c>
      <c r="G15" s="36">
        <f t="shared" si="4"/>
        <v>20.073475340639046</v>
      </c>
      <c r="J15" s="36"/>
      <c r="M15" s="1" t="s">
        <v>54</v>
      </c>
      <c r="N15" s="36">
        <v>514662.69</v>
      </c>
    </row>
    <row r="16" spans="1:14" ht="23.4" customHeight="1" x14ac:dyDescent="0.25">
      <c r="A16" s="2" t="s">
        <v>42</v>
      </c>
      <c r="B16" s="3">
        <v>398672.16000000003</v>
      </c>
      <c r="C16" s="3">
        <f t="shared" si="1"/>
        <v>431106.78166575293</v>
      </c>
      <c r="D16" s="4">
        <f t="shared" si="0"/>
        <v>2.2757415318071121E-2</v>
      </c>
      <c r="E16" s="5">
        <f t="shared" si="2"/>
        <v>54.162885835799322</v>
      </c>
      <c r="F16" s="6">
        <f t="shared" si="3"/>
        <v>2491.701</v>
      </c>
      <c r="G16" s="36">
        <f t="shared" si="4"/>
        <v>58.349136456467491</v>
      </c>
      <c r="K16" s="37"/>
      <c r="M16" s="1" t="s">
        <v>55</v>
      </c>
      <c r="N16" s="36">
        <v>1657331.3499999999</v>
      </c>
    </row>
    <row r="17" spans="1:14" ht="23.4" customHeight="1" x14ac:dyDescent="0.25">
      <c r="A17" s="7" t="s">
        <v>15</v>
      </c>
      <c r="B17" s="8">
        <v>1626722.8</v>
      </c>
      <c r="C17" s="8">
        <f t="shared" si="1"/>
        <v>1759067.4778251438</v>
      </c>
      <c r="D17" s="9">
        <f t="shared" si="0"/>
        <v>9.2858268224637372E-2</v>
      </c>
      <c r="E17" s="10">
        <f t="shared" si="2"/>
        <v>221.00364696369019</v>
      </c>
      <c r="F17" s="11">
        <f t="shared" si="3"/>
        <v>10167.0175</v>
      </c>
      <c r="G17" s="36">
        <f t="shared" si="4"/>
        <v>238.08502362955784</v>
      </c>
      <c r="J17" s="36"/>
      <c r="M17" s="1" t="s">
        <v>56</v>
      </c>
      <c r="N17" s="36">
        <v>1573435.18</v>
      </c>
    </row>
    <row r="18" spans="1:14" ht="23.4" customHeight="1" x14ac:dyDescent="0.25">
      <c r="A18" s="2" t="s">
        <v>14</v>
      </c>
      <c r="B18" s="3"/>
      <c r="C18" s="3"/>
      <c r="D18" s="4">
        <f t="shared" si="0"/>
        <v>0</v>
      </c>
      <c r="E18" s="5">
        <f t="shared" ref="E18" si="5">B18/$J$5</f>
        <v>0</v>
      </c>
      <c r="F18" s="6">
        <f t="shared" si="3"/>
        <v>0</v>
      </c>
      <c r="G18" s="36">
        <f t="shared" si="4"/>
        <v>0</v>
      </c>
      <c r="K18" s="37"/>
    </row>
    <row r="19" spans="1:14" ht="17.399999999999999" customHeight="1" x14ac:dyDescent="0.25">
      <c r="A19" s="19" t="s">
        <v>7</v>
      </c>
      <c r="B19" s="20">
        <f>SUM(B2:B18)</f>
        <v>17518340.919999994</v>
      </c>
      <c r="C19" s="20">
        <f>SUM(C2:C18)</f>
        <v>18943574.023690704</v>
      </c>
      <c r="D19" s="21">
        <f>SUM(D2:D18)</f>
        <v>1.0000000000000002</v>
      </c>
      <c r="E19" s="22">
        <f>SUM(E2:E18)</f>
        <v>2380.0104308326213</v>
      </c>
      <c r="F19" s="23">
        <f>SUM(F2:F18)</f>
        <v>109489.63075000003</v>
      </c>
    </row>
    <row r="20" spans="1:14" ht="17.399999999999999" customHeight="1" x14ac:dyDescent="0.25">
      <c r="A20" s="24" t="s">
        <v>16</v>
      </c>
      <c r="B20" s="25">
        <v>2623.42</v>
      </c>
      <c r="C20" s="25">
        <v>2623.42</v>
      </c>
      <c r="D20" s="26">
        <v>44896</v>
      </c>
      <c r="E20" s="27">
        <f>+E19/C20</f>
        <v>0.90721669836801622</v>
      </c>
      <c r="F20" s="28" t="s">
        <v>17</v>
      </c>
      <c r="G20" s="37"/>
    </row>
    <row r="21" spans="1:14" ht="17.399999999999999" customHeight="1" x14ac:dyDescent="0.25">
      <c r="A21" s="12"/>
      <c r="B21" s="12"/>
      <c r="C21" s="12"/>
      <c r="D21" s="13"/>
      <c r="E21" s="12"/>
      <c r="F21" s="12"/>
    </row>
    <row r="22" spans="1:14" ht="17.399999999999999" customHeight="1" x14ac:dyDescent="0.25">
      <c r="A22" s="12"/>
      <c r="B22" s="12"/>
      <c r="C22" s="12"/>
      <c r="D22" s="13"/>
      <c r="E22" s="14"/>
      <c r="F22" s="12"/>
      <c r="H22" s="1" t="s">
        <v>57</v>
      </c>
      <c r="I22" s="1" t="s">
        <v>58</v>
      </c>
    </row>
    <row r="23" spans="1:14" ht="17.399999999999999" customHeight="1" x14ac:dyDescent="0.25">
      <c r="A23" s="12"/>
      <c r="B23" s="12"/>
      <c r="C23" s="12"/>
      <c r="E23" s="41"/>
      <c r="F23" s="12"/>
      <c r="H23" s="55">
        <v>2444.3000000000002</v>
      </c>
      <c r="I23" s="55">
        <v>2643.16</v>
      </c>
      <c r="J23" s="1">
        <f>I23/H23</f>
        <v>1.0813566256187863</v>
      </c>
    </row>
    <row r="24" spans="1:14" ht="17.399999999999999" customHeight="1" x14ac:dyDescent="0.25">
      <c r="A24" s="12"/>
      <c r="B24" s="12"/>
      <c r="C24" s="12"/>
      <c r="D24" s="13"/>
      <c r="E24" s="12"/>
      <c r="F24" s="12"/>
    </row>
    <row r="25" spans="1:14" ht="17.399999999999999" customHeight="1" x14ac:dyDescent="0.25">
      <c r="A25" s="12"/>
      <c r="B25" s="12"/>
      <c r="C25" s="12"/>
      <c r="D25" s="13"/>
      <c r="E25" s="12"/>
      <c r="F25" s="12"/>
    </row>
    <row r="26" spans="1:14" ht="17.399999999999999" customHeight="1" x14ac:dyDescent="0.25">
      <c r="A26" s="12"/>
      <c r="B26" s="12"/>
      <c r="C26" s="12"/>
      <c r="D26" s="13"/>
      <c r="E26" s="12"/>
      <c r="F26" s="12"/>
    </row>
    <row r="27" spans="1:14" ht="17.399999999999999" customHeight="1" x14ac:dyDescent="0.25">
      <c r="A27" s="12"/>
      <c r="B27" s="12"/>
      <c r="C27" s="12"/>
      <c r="D27" s="13"/>
      <c r="E27" s="12"/>
      <c r="F27" s="12"/>
    </row>
    <row r="28" spans="1:14" ht="17.399999999999999" customHeight="1" x14ac:dyDescent="0.25">
      <c r="A28" s="12"/>
      <c r="B28" s="12"/>
      <c r="C28" s="12"/>
      <c r="D28" s="13"/>
      <c r="E28" s="12"/>
      <c r="F28" s="12"/>
    </row>
    <row r="29" spans="1:14" ht="17.399999999999999" customHeight="1" x14ac:dyDescent="0.25">
      <c r="A29" s="12"/>
      <c r="B29" s="12"/>
      <c r="C29" s="12"/>
      <c r="D29" s="13"/>
      <c r="E29" s="12"/>
      <c r="F29" s="12"/>
    </row>
    <row r="30" spans="1:14" ht="17.399999999999999" customHeight="1" x14ac:dyDescent="0.25">
      <c r="A30" s="12"/>
      <c r="B30" s="12"/>
      <c r="C30" s="12"/>
      <c r="D30" s="13"/>
      <c r="E30" s="12"/>
      <c r="F30" s="12"/>
    </row>
    <row r="31" spans="1:14" ht="17.399999999999999" customHeight="1" x14ac:dyDescent="0.25">
      <c r="A31" s="12"/>
      <c r="B31" s="12"/>
      <c r="C31" s="12"/>
      <c r="D31" s="13"/>
      <c r="E31" s="12"/>
      <c r="F31" s="12"/>
    </row>
    <row r="32" spans="1:14" ht="17.399999999999999" customHeight="1" x14ac:dyDescent="0.25">
      <c r="A32" s="12"/>
      <c r="B32" s="12"/>
      <c r="C32" s="12"/>
      <c r="D32" s="13"/>
      <c r="E32" s="12"/>
      <c r="F32" s="12"/>
    </row>
    <row r="33" spans="1:6" ht="17.399999999999999" customHeight="1" x14ac:dyDescent="0.25">
      <c r="A33" s="12"/>
      <c r="B33" s="12"/>
      <c r="C33" s="12"/>
      <c r="D33" s="13"/>
      <c r="E33" s="12"/>
      <c r="F33" s="12"/>
    </row>
    <row r="34" spans="1:6" ht="17.399999999999999" customHeight="1" x14ac:dyDescent="0.25">
      <c r="A34" s="12"/>
      <c r="B34" s="12"/>
      <c r="C34" s="12"/>
      <c r="D34" s="13"/>
      <c r="E34" s="12"/>
      <c r="F34" s="12"/>
    </row>
    <row r="35" spans="1:6" ht="17.399999999999999" customHeight="1" x14ac:dyDescent="0.25">
      <c r="A35" s="12"/>
      <c r="B35" s="12"/>
      <c r="C35" s="12"/>
      <c r="D35" s="13"/>
      <c r="E35" s="12"/>
      <c r="F35" s="12"/>
    </row>
    <row r="36" spans="1:6" ht="17.399999999999999" customHeight="1" x14ac:dyDescent="0.25">
      <c r="A36" s="12"/>
      <c r="B36" s="12"/>
      <c r="C36" s="12"/>
      <c r="D36" s="13"/>
      <c r="E36" s="12"/>
      <c r="F36" s="12"/>
    </row>
    <row r="37" spans="1:6" ht="17.399999999999999" customHeight="1" x14ac:dyDescent="0.25">
      <c r="A37" s="12"/>
      <c r="B37" s="12"/>
      <c r="C37" s="12"/>
      <c r="D37" s="13"/>
      <c r="E37" s="12"/>
      <c r="F37" s="12"/>
    </row>
    <row r="38" spans="1:6" ht="17.399999999999999" customHeight="1" x14ac:dyDescent="0.25">
      <c r="A38" s="12"/>
      <c r="B38" s="12"/>
      <c r="C38" s="12"/>
      <c r="D38" s="13"/>
      <c r="E38" s="12"/>
      <c r="F38" s="12"/>
    </row>
    <row r="39" spans="1:6" ht="17.399999999999999" customHeight="1" x14ac:dyDescent="0.25">
      <c r="A39" s="12"/>
      <c r="B39" s="12"/>
      <c r="C39" s="12"/>
      <c r="D39" s="13"/>
      <c r="E39" s="12"/>
      <c r="F39" s="12"/>
    </row>
    <row r="40" spans="1:6" ht="17.399999999999999" customHeight="1" x14ac:dyDescent="0.25">
      <c r="A40" s="12"/>
      <c r="B40" s="12"/>
      <c r="C40" s="12"/>
      <c r="D40" s="13"/>
      <c r="E40" s="12"/>
      <c r="F40" s="12"/>
    </row>
    <row r="41" spans="1:6" ht="17.399999999999999" customHeight="1" x14ac:dyDescent="0.25">
      <c r="A41" s="12"/>
      <c r="B41" s="12"/>
      <c r="C41" s="12"/>
      <c r="D41" s="13"/>
      <c r="E41" s="12"/>
      <c r="F41" s="12"/>
    </row>
    <row r="42" spans="1:6" ht="17.399999999999999" customHeight="1" x14ac:dyDescent="0.25">
      <c r="A42" s="12"/>
      <c r="B42" s="12"/>
      <c r="C42" s="12"/>
      <c r="D42" s="13"/>
      <c r="E42" s="12"/>
      <c r="F42" s="12"/>
    </row>
    <row r="43" spans="1:6" ht="17.399999999999999" customHeight="1" x14ac:dyDescent="0.25">
      <c r="A43" s="12"/>
      <c r="B43" s="12"/>
      <c r="C43" s="12"/>
      <c r="D43" s="13"/>
      <c r="E43" s="12"/>
      <c r="F43" s="12"/>
    </row>
    <row r="44" spans="1:6" ht="17.399999999999999" customHeight="1" x14ac:dyDescent="0.25">
      <c r="A44" s="12"/>
      <c r="B44" s="12"/>
      <c r="C44" s="12"/>
      <c r="D44" s="13"/>
      <c r="E44" s="12"/>
      <c r="F44" s="12"/>
    </row>
    <row r="45" spans="1:6" ht="17.399999999999999" customHeight="1" x14ac:dyDescent="0.25">
      <c r="A45" s="12"/>
      <c r="B45" s="12"/>
      <c r="C45" s="12"/>
      <c r="D45" s="13"/>
      <c r="E45" s="12"/>
      <c r="F45" s="12"/>
    </row>
  </sheetData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C91C-301A-4FD7-8240-07C7C5AC5E6A}">
  <dimension ref="A1:L45"/>
  <sheetViews>
    <sheetView showGridLines="0" zoomScale="85" zoomScaleNormal="85" workbookViewId="0">
      <selection activeCell="F2" sqref="F2:F17"/>
    </sheetView>
  </sheetViews>
  <sheetFormatPr defaultColWidth="9.109375" defaultRowHeight="17.399999999999999" customHeight="1" x14ac:dyDescent="0.25"/>
  <cols>
    <col min="1" max="1" width="70.6640625" style="1" customWidth="1"/>
    <col min="2" max="2" width="19.6640625" style="1" customWidth="1"/>
    <col min="3" max="3" width="10.5546875" style="15" hidden="1" customWidth="1"/>
    <col min="4" max="6" width="13.88671875" style="1" customWidth="1"/>
    <col min="7" max="7" width="12.109375" style="1" bestFit="1" customWidth="1"/>
    <col min="8" max="8" width="12.109375" style="1" customWidth="1"/>
    <col min="9" max="9" width="12.88671875" style="1" bestFit="1" customWidth="1"/>
    <col min="10" max="10" width="9.109375" style="1"/>
    <col min="11" max="11" width="11" style="1" bestFit="1" customWidth="1"/>
    <col min="12" max="16384" width="9.109375" style="1"/>
  </cols>
  <sheetData>
    <row r="1" spans="1:12" ht="27" customHeight="1" x14ac:dyDescent="0.25">
      <c r="A1" s="16" t="s">
        <v>6</v>
      </c>
      <c r="B1" s="17" t="s">
        <v>5</v>
      </c>
      <c r="C1" s="18" t="s">
        <v>4</v>
      </c>
      <c r="D1" s="17" t="s">
        <v>3</v>
      </c>
      <c r="E1" s="17" t="s">
        <v>60</v>
      </c>
      <c r="F1" s="17" t="s">
        <v>3</v>
      </c>
    </row>
    <row r="2" spans="1:12" ht="23.4" customHeight="1" x14ac:dyDescent="0.25">
      <c r="A2" s="2" t="s">
        <v>13</v>
      </c>
      <c r="B2" s="3">
        <v>0</v>
      </c>
      <c r="C2" s="4">
        <f t="shared" ref="C2:C15" si="0">+B2/$B$19</f>
        <v>0</v>
      </c>
      <c r="D2" s="5">
        <f t="shared" ref="D2:D18" si="1">B2/$K$5</f>
        <v>0</v>
      </c>
      <c r="E2" s="5">
        <v>99977.75</v>
      </c>
      <c r="F2" s="5">
        <f>E2/$K$5</f>
        <v>61.805843188407593</v>
      </c>
      <c r="G2" s="37">
        <f t="shared" ref="G2:G15" si="2">D2-F2</f>
        <v>-61.805843188407593</v>
      </c>
      <c r="H2" s="37"/>
    </row>
    <row r="3" spans="1:12" ht="23.4" customHeight="1" x14ac:dyDescent="0.25">
      <c r="A3" s="7" t="s">
        <v>22</v>
      </c>
      <c r="B3" s="8">
        <v>27103.560399999998</v>
      </c>
      <c r="C3" s="9">
        <f t="shared" si="0"/>
        <v>5.9565235936655681E-3</v>
      </c>
      <c r="D3" s="10">
        <f t="shared" si="1"/>
        <v>16.75531209624075</v>
      </c>
      <c r="E3" s="10">
        <v>6900</v>
      </c>
      <c r="F3" s="10">
        <f t="shared" ref="F3:F17" si="3">E3/$K$5</f>
        <v>4.2655522653791706</v>
      </c>
      <c r="G3" s="37">
        <f t="shared" si="2"/>
        <v>12.48975983086158</v>
      </c>
    </row>
    <row r="4" spans="1:12" ht="23.4" customHeight="1" x14ac:dyDescent="0.25">
      <c r="A4" s="2" t="s">
        <v>8</v>
      </c>
      <c r="B4" s="3">
        <v>712849.558708</v>
      </c>
      <c r="C4" s="4">
        <f t="shared" si="0"/>
        <v>0.15666226696837551</v>
      </c>
      <c r="D4" s="5">
        <f t="shared" si="1"/>
        <v>440.68073188716687</v>
      </c>
      <c r="E4" s="5">
        <v>618461.56000000006</v>
      </c>
      <c r="F4" s="5">
        <f t="shared" si="3"/>
        <v>382.33045047941101</v>
      </c>
      <c r="G4" s="37">
        <f t="shared" si="2"/>
        <v>58.350281407755858</v>
      </c>
    </row>
    <row r="5" spans="1:12" ht="23.4" customHeight="1" x14ac:dyDescent="0.25">
      <c r="A5" s="7" t="s">
        <v>9</v>
      </c>
      <c r="B5" s="8">
        <v>672303.76639699994</v>
      </c>
      <c r="C5" s="9">
        <f t="shared" si="0"/>
        <v>0.14775155690076627</v>
      </c>
      <c r="D5" s="10">
        <f t="shared" si="1"/>
        <v>415.61548605473507</v>
      </c>
      <c r="E5" s="10">
        <v>380240.43</v>
      </c>
      <c r="F5" s="10">
        <f t="shared" si="3"/>
        <v>235.06310544568839</v>
      </c>
      <c r="G5" s="37">
        <f t="shared" si="2"/>
        <v>180.55238060904668</v>
      </c>
      <c r="K5" s="36">
        <v>1617.61</v>
      </c>
    </row>
    <row r="6" spans="1:12" ht="23.4" customHeight="1" x14ac:dyDescent="0.25">
      <c r="A6" s="2" t="s">
        <v>24</v>
      </c>
      <c r="B6" s="3">
        <v>532972.76858999999</v>
      </c>
      <c r="C6" s="4">
        <f t="shared" si="0"/>
        <v>0.11713091653034612</v>
      </c>
      <c r="D6" s="5">
        <f t="shared" si="1"/>
        <v>329.48162325282362</v>
      </c>
      <c r="E6" s="5">
        <v>475512.43</v>
      </c>
      <c r="F6" s="5">
        <f t="shared" si="3"/>
        <v>293.95987289890644</v>
      </c>
      <c r="G6" s="37">
        <f t="shared" si="2"/>
        <v>35.521750353917184</v>
      </c>
    </row>
    <row r="7" spans="1:12" ht="23.4" customHeight="1" x14ac:dyDescent="0.25">
      <c r="A7" s="7" t="s">
        <v>19</v>
      </c>
      <c r="B7" s="8">
        <v>463971.30660000001</v>
      </c>
      <c r="C7" s="9">
        <f t="shared" si="0"/>
        <v>0.10196653110366789</v>
      </c>
      <c r="D7" s="10">
        <f t="shared" si="1"/>
        <v>286.82519680269041</v>
      </c>
      <c r="E7" s="10">
        <v>526289.74</v>
      </c>
      <c r="F7" s="10">
        <f t="shared" si="3"/>
        <v>325.35020184098767</v>
      </c>
      <c r="G7" s="37">
        <f t="shared" si="2"/>
        <v>-38.525005038297252</v>
      </c>
      <c r="K7" s="36">
        <v>160</v>
      </c>
    </row>
    <row r="8" spans="1:12" ht="23.4" customHeight="1" x14ac:dyDescent="0.25">
      <c r="A8" s="2" t="s">
        <v>18</v>
      </c>
      <c r="B8" s="3">
        <v>295472.75320000004</v>
      </c>
      <c r="C8" s="4">
        <f t="shared" si="0"/>
        <v>6.4935764886487904E-2</v>
      </c>
      <c r="D8" s="5">
        <f t="shared" si="1"/>
        <v>182.66006837247548</v>
      </c>
      <c r="E8" s="5">
        <v>97374.05</v>
      </c>
      <c r="F8" s="5">
        <f t="shared" si="3"/>
        <v>60.196246314006473</v>
      </c>
      <c r="G8" s="37">
        <f t="shared" si="2"/>
        <v>122.46382205846901</v>
      </c>
    </row>
    <row r="9" spans="1:12" ht="23.4" customHeight="1" x14ac:dyDescent="0.25">
      <c r="A9" s="7" t="s">
        <v>2</v>
      </c>
      <c r="B9" s="8">
        <v>159931.88814</v>
      </c>
      <c r="C9" s="9">
        <f t="shared" si="0"/>
        <v>3.5148078371481872E-2</v>
      </c>
      <c r="D9" s="10">
        <f t="shared" si="1"/>
        <v>98.869250400281899</v>
      </c>
      <c r="E9" s="10">
        <v>22674.1</v>
      </c>
      <c r="F9" s="10">
        <f t="shared" si="3"/>
        <v>14.017037481222298</v>
      </c>
      <c r="G9" s="37">
        <f t="shared" si="2"/>
        <v>84.852212919059596</v>
      </c>
      <c r="K9" s="36"/>
    </row>
    <row r="10" spans="1:12" ht="23.4" customHeight="1" x14ac:dyDescent="0.25">
      <c r="A10" s="2" t="s">
        <v>10</v>
      </c>
      <c r="B10" s="3">
        <v>242726.224086</v>
      </c>
      <c r="C10" s="4">
        <f t="shared" si="0"/>
        <v>5.3343710539579696E-2</v>
      </c>
      <c r="D10" s="5">
        <f t="shared" si="1"/>
        <v>150.05237608941587</v>
      </c>
      <c r="E10" s="5">
        <v>127126.15</v>
      </c>
      <c r="F10" s="5">
        <f t="shared" si="3"/>
        <v>78.588874945135103</v>
      </c>
      <c r="G10" s="37">
        <f t="shared" si="2"/>
        <v>71.463501144280769</v>
      </c>
      <c r="K10" s="1" t="s">
        <v>23</v>
      </c>
      <c r="L10" s="1">
        <v>57.65</v>
      </c>
    </row>
    <row r="11" spans="1:12" ht="23.4" customHeight="1" x14ac:dyDescent="0.25">
      <c r="A11" s="7" t="s">
        <v>11</v>
      </c>
      <c r="B11" s="8">
        <v>62426.922500000001</v>
      </c>
      <c r="C11" s="9">
        <f t="shared" si="0"/>
        <v>1.3719505159594528E-2</v>
      </c>
      <c r="D11" s="10">
        <f t="shared" si="1"/>
        <v>38.592072563844191</v>
      </c>
      <c r="E11" s="10">
        <v>35758.86</v>
      </c>
      <c r="F11" s="10">
        <f t="shared" si="3"/>
        <v>22.105983518895162</v>
      </c>
      <c r="G11" s="37">
        <f t="shared" si="2"/>
        <v>16.486089044949029</v>
      </c>
      <c r="K11" s="36"/>
    </row>
    <row r="12" spans="1:12" ht="23.4" customHeight="1" x14ac:dyDescent="0.25">
      <c r="A12" s="2" t="s">
        <v>12</v>
      </c>
      <c r="B12" s="3">
        <v>371869.53614500002</v>
      </c>
      <c r="C12" s="4">
        <f t="shared" si="0"/>
        <v>8.1725412939222683E-2</v>
      </c>
      <c r="D12" s="5">
        <f t="shared" si="1"/>
        <v>229.8882525114212</v>
      </c>
      <c r="E12" s="5">
        <v>332950.2</v>
      </c>
      <c r="F12" s="5">
        <f t="shared" si="3"/>
        <v>205.82847534325333</v>
      </c>
      <c r="G12" s="37">
        <f t="shared" si="2"/>
        <v>24.059777168167869</v>
      </c>
      <c r="I12" s="1">
        <f>180*1.1</f>
        <v>198.00000000000003</v>
      </c>
    </row>
    <row r="13" spans="1:12" ht="23.4" customHeight="1" x14ac:dyDescent="0.25">
      <c r="A13" s="7" t="s">
        <v>1</v>
      </c>
      <c r="B13" s="8">
        <v>206163.74935500001</v>
      </c>
      <c r="C13" s="9">
        <f t="shared" si="0"/>
        <v>4.5308410373701757E-2</v>
      </c>
      <c r="D13" s="10">
        <f t="shared" si="1"/>
        <v>127.44960117395418</v>
      </c>
      <c r="E13" s="10">
        <v>194408.95</v>
      </c>
      <c r="F13" s="10">
        <f t="shared" si="3"/>
        <v>120.18283146122985</v>
      </c>
      <c r="G13" s="37">
        <f t="shared" si="2"/>
        <v>7.2667697127243258</v>
      </c>
      <c r="I13" s="1">
        <f>220*1.1</f>
        <v>242.00000000000003</v>
      </c>
      <c r="K13" s="36"/>
    </row>
    <row r="14" spans="1:12" ht="23.4" customHeight="1" x14ac:dyDescent="0.25">
      <c r="A14" s="2" t="s">
        <v>20</v>
      </c>
      <c r="B14" s="3">
        <v>584331.15555200004</v>
      </c>
      <c r="C14" s="4">
        <f t="shared" si="0"/>
        <v>0.12841790020175187</v>
      </c>
      <c r="D14" s="5">
        <f t="shared" si="1"/>
        <v>361.23117163716847</v>
      </c>
      <c r="E14" s="5">
        <v>274979.90000000002</v>
      </c>
      <c r="F14" s="5">
        <f t="shared" si="3"/>
        <v>169.99146889546927</v>
      </c>
      <c r="G14" s="37">
        <f t="shared" si="2"/>
        <v>191.2397027416992</v>
      </c>
    </row>
    <row r="15" spans="1:12" ht="23.4" customHeight="1" x14ac:dyDescent="0.25">
      <c r="A15" s="7" t="s">
        <v>0</v>
      </c>
      <c r="B15" s="8">
        <v>198696.84151699999</v>
      </c>
      <c r="C15" s="9">
        <f t="shared" si="0"/>
        <v>4.366741516671141E-2</v>
      </c>
      <c r="D15" s="10">
        <f t="shared" si="1"/>
        <v>122.83358876181528</v>
      </c>
      <c r="E15" s="10">
        <v>34288.15</v>
      </c>
      <c r="F15" s="10">
        <f t="shared" si="3"/>
        <v>21.196796508429106</v>
      </c>
      <c r="G15" s="37">
        <f t="shared" si="2"/>
        <v>101.63679225338618</v>
      </c>
      <c r="K15" s="36"/>
    </row>
    <row r="16" spans="1:12" ht="23.4" customHeight="1" x14ac:dyDescent="0.25">
      <c r="A16" s="2" t="s">
        <v>42</v>
      </c>
      <c r="B16" s="3"/>
      <c r="C16" s="4"/>
      <c r="D16" s="5"/>
      <c r="E16" s="5">
        <v>95149.24</v>
      </c>
      <c r="F16" s="5">
        <f t="shared" si="3"/>
        <v>58.820877714653108</v>
      </c>
      <c r="G16" s="37"/>
      <c r="L16" s="37"/>
    </row>
    <row r="17" spans="1:12" ht="23.4" customHeight="1" x14ac:dyDescent="0.25">
      <c r="A17" s="7" t="s">
        <v>15</v>
      </c>
      <c r="B17" s="8">
        <v>19411.32</v>
      </c>
      <c r="C17" s="9">
        <f>+B17/$B$19</f>
        <v>4.2660072646467633E-3</v>
      </c>
      <c r="D17" s="10">
        <f t="shared" si="1"/>
        <v>12</v>
      </c>
      <c r="E17" s="10">
        <v>8581.7000000000007</v>
      </c>
      <c r="F17" s="10">
        <f t="shared" si="3"/>
        <v>5.3051724457687586</v>
      </c>
      <c r="G17" s="37">
        <f>D17-F17</f>
        <v>6.6948275542312414</v>
      </c>
      <c r="K17" s="36"/>
    </row>
    <row r="18" spans="1:12" ht="23.4" customHeight="1" x14ac:dyDescent="0.25">
      <c r="A18" s="2" t="s">
        <v>14</v>
      </c>
      <c r="B18" s="3"/>
      <c r="C18" s="4">
        <f>+B18/$B$19</f>
        <v>0</v>
      </c>
      <c r="D18" s="5">
        <f t="shared" si="1"/>
        <v>0</v>
      </c>
      <c r="E18" s="5"/>
      <c r="F18" s="5"/>
      <c r="G18" s="37">
        <f>D18-F18</f>
        <v>0</v>
      </c>
      <c r="L18" s="37"/>
    </row>
    <row r="19" spans="1:12" ht="17.399999999999999" customHeight="1" x14ac:dyDescent="0.25">
      <c r="A19" s="19" t="s">
        <v>7</v>
      </c>
      <c r="B19" s="20">
        <f>SUM(B2:B18)</f>
        <v>4550231.3511900008</v>
      </c>
      <c r="C19" s="21">
        <f>SUM(C2:C18)</f>
        <v>0.99999999999999978</v>
      </c>
      <c r="D19" s="22">
        <f>SUM(D2:D18)</f>
        <v>2812.9347316040335</v>
      </c>
      <c r="E19" s="22"/>
      <c r="F19" s="22">
        <f>SUM(F2:F18)</f>
        <v>2059.0087907468428</v>
      </c>
    </row>
    <row r="20" spans="1:12" ht="17.399999999999999" customHeight="1" x14ac:dyDescent="0.25">
      <c r="A20" s="24" t="s">
        <v>16</v>
      </c>
      <c r="B20" s="25">
        <v>2623.42</v>
      </c>
      <c r="C20" s="26">
        <v>44896</v>
      </c>
      <c r="D20" s="27">
        <f>+D19/B20</f>
        <v>1.0722395695710307</v>
      </c>
      <c r="E20" s="27"/>
      <c r="F20" s="27">
        <f>+F19/C20</f>
        <v>4.5861742488124614E-2</v>
      </c>
      <c r="G20" s="37"/>
      <c r="H20" s="37"/>
    </row>
    <row r="21" spans="1:12" ht="17.399999999999999" customHeight="1" x14ac:dyDescent="0.25">
      <c r="A21" s="12"/>
      <c r="B21" s="12"/>
      <c r="C21" s="13"/>
      <c r="D21" s="12"/>
      <c r="E21" s="12"/>
      <c r="F21" s="12"/>
    </row>
    <row r="22" spans="1:12" ht="17.399999999999999" customHeight="1" x14ac:dyDescent="0.25">
      <c r="A22" s="12"/>
      <c r="B22" s="12"/>
      <c r="C22" s="13"/>
      <c r="D22" s="14"/>
      <c r="E22" s="14"/>
      <c r="F22" s="14"/>
    </row>
    <row r="23" spans="1:12" ht="17.399999999999999" customHeight="1" x14ac:dyDescent="0.25">
      <c r="A23" s="12"/>
      <c r="B23" s="12"/>
      <c r="D23" s="41"/>
      <c r="E23" s="41"/>
      <c r="F23" s="41"/>
    </row>
    <row r="24" spans="1:12" ht="17.399999999999999" customHeight="1" x14ac:dyDescent="0.25">
      <c r="A24" s="12"/>
      <c r="B24" s="12"/>
      <c r="C24" s="13"/>
      <c r="D24" s="12"/>
      <c r="E24" s="12"/>
      <c r="F24" s="12"/>
    </row>
    <row r="25" spans="1:12" ht="17.399999999999999" customHeight="1" x14ac:dyDescent="0.25">
      <c r="A25" s="12"/>
      <c r="B25" s="12"/>
      <c r="C25" s="13"/>
      <c r="D25" s="12"/>
      <c r="E25" s="12"/>
      <c r="F25" s="12"/>
    </row>
    <row r="26" spans="1:12" ht="17.399999999999999" customHeight="1" x14ac:dyDescent="0.25">
      <c r="A26" s="12"/>
      <c r="B26" s="12"/>
      <c r="C26" s="13"/>
      <c r="D26" s="12"/>
      <c r="E26" s="12"/>
      <c r="F26" s="12"/>
    </row>
    <row r="27" spans="1:12" ht="17.399999999999999" customHeight="1" x14ac:dyDescent="0.25">
      <c r="A27" s="12"/>
      <c r="B27" s="12"/>
      <c r="C27" s="13"/>
      <c r="D27" s="12"/>
      <c r="E27" s="12"/>
      <c r="F27" s="12"/>
    </row>
    <row r="28" spans="1:12" ht="17.399999999999999" customHeight="1" x14ac:dyDescent="0.25">
      <c r="A28" s="12"/>
      <c r="B28" s="12"/>
      <c r="C28" s="13"/>
      <c r="D28" s="12"/>
      <c r="E28" s="12"/>
      <c r="F28" s="12"/>
    </row>
    <row r="29" spans="1:12" ht="17.399999999999999" customHeight="1" x14ac:dyDescent="0.25">
      <c r="A29" s="12"/>
      <c r="B29" s="12"/>
      <c r="C29" s="13"/>
      <c r="D29" s="12"/>
      <c r="E29" s="12"/>
      <c r="F29" s="12"/>
    </row>
    <row r="30" spans="1:12" ht="17.399999999999999" customHeight="1" x14ac:dyDescent="0.25">
      <c r="A30" s="12"/>
      <c r="B30" s="12"/>
      <c r="C30" s="13"/>
      <c r="D30" s="12"/>
      <c r="E30" s="12"/>
      <c r="F30" s="12"/>
    </row>
    <row r="31" spans="1:12" ht="17.399999999999999" customHeight="1" x14ac:dyDescent="0.25">
      <c r="A31" s="12"/>
      <c r="B31" s="12"/>
      <c r="C31" s="13"/>
      <c r="D31" s="12"/>
      <c r="E31" s="12"/>
      <c r="F31" s="12"/>
    </row>
    <row r="32" spans="1:12" ht="17.399999999999999" customHeight="1" x14ac:dyDescent="0.25">
      <c r="A32" s="12"/>
      <c r="B32" s="12"/>
      <c r="C32" s="13"/>
      <c r="D32" s="12"/>
      <c r="E32" s="12"/>
      <c r="F32" s="12"/>
    </row>
    <row r="33" spans="1:6" ht="17.399999999999999" customHeight="1" x14ac:dyDescent="0.25">
      <c r="A33" s="12"/>
      <c r="B33" s="12"/>
      <c r="C33" s="13"/>
      <c r="D33" s="12"/>
      <c r="E33" s="12"/>
      <c r="F33" s="12"/>
    </row>
    <row r="34" spans="1:6" ht="17.399999999999999" customHeight="1" x14ac:dyDescent="0.25">
      <c r="A34" s="12"/>
      <c r="B34" s="12"/>
      <c r="C34" s="13"/>
      <c r="D34" s="12"/>
      <c r="E34" s="12"/>
      <c r="F34" s="12"/>
    </row>
    <row r="35" spans="1:6" ht="17.399999999999999" customHeight="1" x14ac:dyDescent="0.25">
      <c r="A35" s="12"/>
      <c r="B35" s="12"/>
      <c r="C35" s="13"/>
      <c r="D35" s="12"/>
      <c r="E35" s="12"/>
      <c r="F35" s="12"/>
    </row>
    <row r="36" spans="1:6" ht="17.399999999999999" customHeight="1" x14ac:dyDescent="0.25">
      <c r="A36" s="12"/>
      <c r="B36" s="12"/>
      <c r="C36" s="13"/>
      <c r="D36" s="12"/>
      <c r="E36" s="12"/>
      <c r="F36" s="12"/>
    </row>
    <row r="37" spans="1:6" ht="17.399999999999999" customHeight="1" x14ac:dyDescent="0.25">
      <c r="A37" s="12"/>
      <c r="B37" s="12"/>
      <c r="C37" s="13"/>
      <c r="D37" s="12"/>
      <c r="E37" s="12"/>
      <c r="F37" s="12"/>
    </row>
    <row r="38" spans="1:6" ht="17.399999999999999" customHeight="1" x14ac:dyDescent="0.25">
      <c r="A38" s="12"/>
      <c r="B38" s="12"/>
      <c r="C38" s="13"/>
      <c r="D38" s="12"/>
      <c r="E38" s="12"/>
      <c r="F38" s="12"/>
    </row>
    <row r="39" spans="1:6" ht="17.399999999999999" customHeight="1" x14ac:dyDescent="0.25">
      <c r="A39" s="12"/>
      <c r="B39" s="12"/>
      <c r="C39" s="13"/>
      <c r="D39" s="12"/>
      <c r="E39" s="12"/>
      <c r="F39" s="12"/>
    </row>
    <row r="40" spans="1:6" ht="17.399999999999999" customHeight="1" x14ac:dyDescent="0.25">
      <c r="A40" s="12"/>
      <c r="B40" s="12"/>
      <c r="C40" s="13"/>
      <c r="D40" s="12"/>
      <c r="E40" s="12"/>
      <c r="F40" s="12"/>
    </row>
    <row r="41" spans="1:6" ht="17.399999999999999" customHeight="1" x14ac:dyDescent="0.25">
      <c r="A41" s="12"/>
      <c r="B41" s="12"/>
      <c r="C41" s="13"/>
      <c r="D41" s="12"/>
      <c r="E41" s="12"/>
      <c r="F41" s="12"/>
    </row>
    <row r="42" spans="1:6" ht="17.399999999999999" customHeight="1" x14ac:dyDescent="0.25">
      <c r="A42" s="12"/>
      <c r="B42" s="12"/>
      <c r="C42" s="13"/>
      <c r="D42" s="12"/>
      <c r="E42" s="12"/>
      <c r="F42" s="12"/>
    </row>
    <row r="43" spans="1:6" ht="17.399999999999999" customHeight="1" x14ac:dyDescent="0.25">
      <c r="A43" s="12"/>
      <c r="B43" s="12"/>
      <c r="C43" s="13"/>
      <c r="D43" s="12"/>
      <c r="E43" s="12"/>
      <c r="F43" s="12"/>
    </row>
    <row r="44" spans="1:6" ht="17.399999999999999" customHeight="1" x14ac:dyDescent="0.25">
      <c r="A44" s="12"/>
      <c r="B44" s="12"/>
      <c r="C44" s="13"/>
      <c r="D44" s="12"/>
      <c r="E44" s="12"/>
      <c r="F44" s="12"/>
    </row>
    <row r="45" spans="1:6" ht="17.399999999999999" customHeight="1" x14ac:dyDescent="0.25">
      <c r="A45" s="12"/>
      <c r="B45" s="12"/>
      <c r="C45" s="13"/>
      <c r="D45" s="12"/>
      <c r="E45" s="12"/>
      <c r="F45" s="12"/>
    </row>
  </sheetData>
  <conditionalFormatting sqref="G2:G18">
    <cfRule type="expression" dxfId="2" priority="1">
      <formula>G2&gt;0</formula>
    </cfRule>
  </conditionalFormatting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1C02-D108-4D76-812F-10793179FBE5}">
  <dimension ref="A1:L45"/>
  <sheetViews>
    <sheetView showGridLines="0" zoomScale="85" zoomScaleNormal="85" workbookViewId="0">
      <selection activeCell="F2" sqref="F2:F17"/>
    </sheetView>
  </sheetViews>
  <sheetFormatPr defaultColWidth="9.109375" defaultRowHeight="17.399999999999999" customHeight="1" x14ac:dyDescent="0.25"/>
  <cols>
    <col min="1" max="1" width="70.6640625" style="1" customWidth="1"/>
    <col min="2" max="2" width="19.6640625" style="1" customWidth="1"/>
    <col min="3" max="3" width="10.5546875" style="15" hidden="1" customWidth="1"/>
    <col min="4" max="6" width="13.88671875" style="1" customWidth="1"/>
    <col min="7" max="7" width="12.109375" style="1" bestFit="1" customWidth="1"/>
    <col min="8" max="8" width="12.109375" style="1" customWidth="1"/>
    <col min="9" max="9" width="12.88671875" style="1" bestFit="1" customWidth="1"/>
    <col min="10" max="10" width="9.109375" style="1"/>
    <col min="11" max="11" width="11" style="1" bestFit="1" customWidth="1"/>
    <col min="12" max="16384" width="9.109375" style="1"/>
  </cols>
  <sheetData>
    <row r="1" spans="1:12" ht="27" customHeight="1" x14ac:dyDescent="0.25">
      <c r="A1" s="16" t="s">
        <v>6</v>
      </c>
      <c r="B1" s="17" t="s">
        <v>5</v>
      </c>
      <c r="C1" s="18" t="s">
        <v>4</v>
      </c>
      <c r="D1" s="17" t="s">
        <v>3</v>
      </c>
      <c r="E1" s="17" t="s">
        <v>60</v>
      </c>
      <c r="F1" s="17" t="s">
        <v>3</v>
      </c>
    </row>
    <row r="2" spans="1:12" ht="23.4" customHeight="1" x14ac:dyDescent="0.25">
      <c r="A2" s="2" t="s">
        <v>13</v>
      </c>
      <c r="B2" s="3">
        <v>0</v>
      </c>
      <c r="C2" s="4">
        <f t="shared" ref="C2:C15" si="0">+B2/$B$19</f>
        <v>0</v>
      </c>
      <c r="D2" s="5">
        <f t="shared" ref="D2:D18" si="1">B2/$K$5</f>
        <v>0</v>
      </c>
      <c r="E2" s="5">
        <v>99977.75</v>
      </c>
      <c r="F2" s="5">
        <f>E2/$K$5</f>
        <v>61.805843188407593</v>
      </c>
      <c r="G2" s="37">
        <f t="shared" ref="G2:G15" si="2">D2-F2</f>
        <v>-61.805843188407593</v>
      </c>
      <c r="H2" s="37"/>
    </row>
    <row r="3" spans="1:12" ht="23.4" customHeight="1" x14ac:dyDescent="0.25">
      <c r="A3" s="7" t="s">
        <v>22</v>
      </c>
      <c r="B3" s="8">
        <v>27103.560399999998</v>
      </c>
      <c r="C3" s="9">
        <f t="shared" si="0"/>
        <v>5.9307352038278404E-3</v>
      </c>
      <c r="D3" s="10">
        <f t="shared" si="1"/>
        <v>16.75531209624075</v>
      </c>
      <c r="E3" s="10">
        <v>6900</v>
      </c>
      <c r="F3" s="10">
        <f t="shared" ref="F3:F17" si="3">E3/$K$5</f>
        <v>4.2655522653791706</v>
      </c>
      <c r="G3" s="37">
        <f t="shared" si="2"/>
        <v>12.48975983086158</v>
      </c>
    </row>
    <row r="4" spans="1:12" ht="23.4" customHeight="1" x14ac:dyDescent="0.25">
      <c r="A4" s="2" t="s">
        <v>8</v>
      </c>
      <c r="B4" s="3">
        <v>719229.46750799997</v>
      </c>
      <c r="C4" s="4">
        <f t="shared" si="0"/>
        <v>0.15738004378863993</v>
      </c>
      <c r="D4" s="5">
        <f t="shared" si="1"/>
        <v>444.62476586321799</v>
      </c>
      <c r="E4" s="5">
        <v>621174.13</v>
      </c>
      <c r="F4" s="5">
        <f t="shared" si="3"/>
        <v>384.00735035020807</v>
      </c>
      <c r="G4" s="37">
        <f t="shared" si="2"/>
        <v>60.617415513009917</v>
      </c>
    </row>
    <row r="5" spans="1:12" ht="23.4" customHeight="1" x14ac:dyDescent="0.25">
      <c r="A5" s="7" t="s">
        <v>9</v>
      </c>
      <c r="B5" s="8">
        <v>683664.11300499993</v>
      </c>
      <c r="C5" s="9">
        <f t="shared" si="0"/>
        <v>0.1495977193679871</v>
      </c>
      <c r="D5" s="10">
        <f t="shared" si="1"/>
        <v>422.63840666477086</v>
      </c>
      <c r="E5" s="10">
        <v>380449.02</v>
      </c>
      <c r="F5" s="10">
        <f t="shared" si="3"/>
        <v>235.19205494525877</v>
      </c>
      <c r="G5" s="37">
        <f t="shared" si="2"/>
        <v>187.44635171951208</v>
      </c>
      <c r="K5" s="36">
        <v>1617.61</v>
      </c>
    </row>
    <row r="6" spans="1:12" ht="23.4" customHeight="1" x14ac:dyDescent="0.25">
      <c r="A6" s="2" t="s">
        <v>24</v>
      </c>
      <c r="B6" s="3">
        <v>535684.37392400007</v>
      </c>
      <c r="C6" s="4">
        <f t="shared" si="0"/>
        <v>0.1172171525690604</v>
      </c>
      <c r="D6" s="5">
        <f t="shared" si="1"/>
        <v>331.15792677097699</v>
      </c>
      <c r="E6" s="5">
        <v>477590.84</v>
      </c>
      <c r="F6" s="5">
        <f t="shared" si="3"/>
        <v>295.24473760671611</v>
      </c>
      <c r="G6" s="37">
        <f t="shared" si="2"/>
        <v>35.913189164260871</v>
      </c>
    </row>
    <row r="7" spans="1:12" ht="23.4" customHeight="1" x14ac:dyDescent="0.25">
      <c r="A7" s="7" t="s">
        <v>19</v>
      </c>
      <c r="B7" s="8">
        <v>476620.34080000001</v>
      </c>
      <c r="C7" s="9">
        <f t="shared" si="0"/>
        <v>0.10429290441277164</v>
      </c>
      <c r="D7" s="10">
        <f t="shared" si="1"/>
        <v>294.64477890220758</v>
      </c>
      <c r="E7" s="10">
        <v>529462.12000000011</v>
      </c>
      <c r="F7" s="10">
        <f t="shared" si="3"/>
        <v>327.31135440557375</v>
      </c>
      <c r="G7" s="37">
        <f t="shared" si="2"/>
        <v>-32.666575503366175</v>
      </c>
      <c r="K7" s="36">
        <v>160</v>
      </c>
    </row>
    <row r="8" spans="1:12" ht="23.4" customHeight="1" x14ac:dyDescent="0.25">
      <c r="A8" s="2" t="s">
        <v>18</v>
      </c>
      <c r="B8" s="3">
        <v>295272.75320000004</v>
      </c>
      <c r="C8" s="4">
        <f t="shared" si="0"/>
        <v>6.4610866110948656E-2</v>
      </c>
      <c r="D8" s="5">
        <f t="shared" si="1"/>
        <v>182.53642917637754</v>
      </c>
      <c r="E8" s="5">
        <v>97374.05</v>
      </c>
      <c r="F8" s="5">
        <f t="shared" si="3"/>
        <v>60.196246314006473</v>
      </c>
      <c r="G8" s="37">
        <f t="shared" si="2"/>
        <v>122.34018286237107</v>
      </c>
    </row>
    <row r="9" spans="1:12" ht="23.4" customHeight="1" x14ac:dyDescent="0.25">
      <c r="A9" s="7" t="s">
        <v>2</v>
      </c>
      <c r="B9" s="8">
        <v>160770.73340500001</v>
      </c>
      <c r="C9" s="9">
        <f t="shared" si="0"/>
        <v>3.5179461084760444E-2</v>
      </c>
      <c r="D9" s="10">
        <f t="shared" si="1"/>
        <v>99.387821171357757</v>
      </c>
      <c r="E9" s="10">
        <v>22597.18</v>
      </c>
      <c r="F9" s="10">
        <f t="shared" si="3"/>
        <v>13.969485846403028</v>
      </c>
      <c r="G9" s="37">
        <f t="shared" si="2"/>
        <v>85.418335324954725</v>
      </c>
      <c r="K9" s="36"/>
    </row>
    <row r="10" spans="1:12" ht="23.4" customHeight="1" x14ac:dyDescent="0.25">
      <c r="A10" s="2" t="s">
        <v>10</v>
      </c>
      <c r="B10" s="3">
        <v>243768.401576</v>
      </c>
      <c r="C10" s="4">
        <f t="shared" si="0"/>
        <v>5.3340809084537297E-2</v>
      </c>
      <c r="D10" s="5">
        <f t="shared" si="1"/>
        <v>150.69664602469075</v>
      </c>
      <c r="E10" s="5">
        <v>127126.15</v>
      </c>
      <c r="F10" s="5">
        <f t="shared" si="3"/>
        <v>78.588874945135103</v>
      </c>
      <c r="G10" s="37">
        <f t="shared" si="2"/>
        <v>72.107771079555647</v>
      </c>
      <c r="K10" s="1" t="s">
        <v>23</v>
      </c>
      <c r="L10" s="1">
        <v>57.65</v>
      </c>
    </row>
    <row r="11" spans="1:12" ht="23.4" customHeight="1" x14ac:dyDescent="0.25">
      <c r="A11" s="7" t="s">
        <v>11</v>
      </c>
      <c r="B11" s="8">
        <v>62502.662500000006</v>
      </c>
      <c r="C11" s="9">
        <f t="shared" si="0"/>
        <v>1.3676680677779893E-2</v>
      </c>
      <c r="D11" s="10">
        <f t="shared" si="1"/>
        <v>38.638894727406488</v>
      </c>
      <c r="E11" s="10">
        <v>35016.5</v>
      </c>
      <c r="F11" s="10">
        <f t="shared" si="3"/>
        <v>21.647059550818803</v>
      </c>
      <c r="G11" s="37">
        <f t="shared" si="2"/>
        <v>16.991835176587685</v>
      </c>
      <c r="K11" s="36"/>
    </row>
    <row r="12" spans="1:12" ht="23.4" customHeight="1" x14ac:dyDescent="0.25">
      <c r="A12" s="2" t="s">
        <v>12</v>
      </c>
      <c r="B12" s="3">
        <v>369541.64257700002</v>
      </c>
      <c r="C12" s="4">
        <f t="shared" si="0"/>
        <v>8.0862203952798001E-2</v>
      </c>
      <c r="D12" s="5">
        <f t="shared" si="1"/>
        <v>228.44915806467569</v>
      </c>
      <c r="E12" s="5">
        <v>320903.25999999995</v>
      </c>
      <c r="F12" s="5">
        <f t="shared" si="3"/>
        <v>198.3811054580523</v>
      </c>
      <c r="G12" s="37">
        <f t="shared" si="2"/>
        <v>30.068052606623382</v>
      </c>
      <c r="I12" s="1">
        <f>180*1.1</f>
        <v>198.00000000000003</v>
      </c>
    </row>
    <row r="13" spans="1:12" ht="23.4" customHeight="1" x14ac:dyDescent="0.25">
      <c r="A13" s="7" t="s">
        <v>1</v>
      </c>
      <c r="B13" s="8">
        <v>225269.28683600001</v>
      </c>
      <c r="C13" s="9">
        <f t="shared" si="0"/>
        <v>4.9292877764482074E-2</v>
      </c>
      <c r="D13" s="10">
        <f t="shared" si="1"/>
        <v>139.26056764980436</v>
      </c>
      <c r="E13" s="10">
        <v>195133.71</v>
      </c>
      <c r="F13" s="10">
        <f t="shared" si="3"/>
        <v>120.63087518004959</v>
      </c>
      <c r="G13" s="37">
        <f t="shared" si="2"/>
        <v>18.629692469754772</v>
      </c>
      <c r="I13" s="1">
        <f>220*1.1</f>
        <v>242.00000000000003</v>
      </c>
      <c r="K13" s="36"/>
    </row>
    <row r="14" spans="1:12" ht="23.4" customHeight="1" x14ac:dyDescent="0.25">
      <c r="A14" s="2" t="s">
        <v>20</v>
      </c>
      <c r="B14" s="3">
        <v>552980.00163200009</v>
      </c>
      <c r="C14" s="4">
        <f t="shared" si="0"/>
        <v>0.12100173978219038</v>
      </c>
      <c r="D14" s="5">
        <f t="shared" si="1"/>
        <v>341.85001430010948</v>
      </c>
      <c r="E14" s="5">
        <v>275672.44</v>
      </c>
      <c r="F14" s="5">
        <f t="shared" si="3"/>
        <v>170.41959433979761</v>
      </c>
      <c r="G14" s="37">
        <f t="shared" si="2"/>
        <v>171.43041996031187</v>
      </c>
    </row>
    <row r="15" spans="1:12" ht="23.4" customHeight="1" x14ac:dyDescent="0.25">
      <c r="A15" s="7" t="s">
        <v>0</v>
      </c>
      <c r="B15" s="8">
        <v>198226.73138000001</v>
      </c>
      <c r="C15" s="9">
        <f t="shared" si="0"/>
        <v>4.3375491514210468E-2</v>
      </c>
      <c r="D15" s="10">
        <f t="shared" si="1"/>
        <v>122.54296856473441</v>
      </c>
      <c r="E15" s="10">
        <v>34288.15</v>
      </c>
      <c r="F15" s="10">
        <f t="shared" si="3"/>
        <v>21.196796508429106</v>
      </c>
      <c r="G15" s="37">
        <f t="shared" si="2"/>
        <v>101.34617205630531</v>
      </c>
      <c r="K15" s="36"/>
    </row>
    <row r="16" spans="1:12" ht="23.4" customHeight="1" x14ac:dyDescent="0.25">
      <c r="A16" s="2" t="s">
        <v>42</v>
      </c>
      <c r="B16" s="3"/>
      <c r="C16" s="4"/>
      <c r="D16" s="5"/>
      <c r="E16" s="5">
        <v>94983.74</v>
      </c>
      <c r="F16" s="5">
        <f t="shared" si="3"/>
        <v>58.718566279882054</v>
      </c>
      <c r="G16" s="37"/>
      <c r="L16" s="37"/>
    </row>
    <row r="17" spans="1:12" ht="23.4" customHeight="1" x14ac:dyDescent="0.25">
      <c r="A17" s="7" t="s">
        <v>15</v>
      </c>
      <c r="B17" s="8">
        <v>19382.88</v>
      </c>
      <c r="C17" s="9">
        <f>+B17/$B$19</f>
        <v>4.2413146860059972E-3</v>
      </c>
      <c r="D17" s="10">
        <f t="shared" si="1"/>
        <v>11.982418506314874</v>
      </c>
      <c r="E17" s="10">
        <v>8581.7000000000007</v>
      </c>
      <c r="F17" s="10">
        <f t="shared" si="3"/>
        <v>5.3051724457687586</v>
      </c>
      <c r="G17" s="37">
        <f>D17-F17</f>
        <v>6.677246060546115</v>
      </c>
      <c r="K17" s="36"/>
    </row>
    <row r="18" spans="1:12" ht="23.4" customHeight="1" x14ac:dyDescent="0.25">
      <c r="A18" s="2" t="s">
        <v>14</v>
      </c>
      <c r="B18" s="3"/>
      <c r="C18" s="4">
        <f>+B18/$B$19</f>
        <v>0</v>
      </c>
      <c r="D18" s="5">
        <f t="shared" si="1"/>
        <v>0</v>
      </c>
      <c r="E18" s="5"/>
      <c r="F18" s="5"/>
      <c r="G18" s="37">
        <f>D18-F18</f>
        <v>0</v>
      </c>
      <c r="L18" s="37"/>
    </row>
    <row r="19" spans="1:12" ht="17.399999999999999" customHeight="1" x14ac:dyDescent="0.25">
      <c r="A19" s="19" t="s">
        <v>7</v>
      </c>
      <c r="B19" s="20">
        <f>SUM(B2:B18)</f>
        <v>4570016.9487429997</v>
      </c>
      <c r="C19" s="21">
        <f>SUM(C2:C18)</f>
        <v>1.0000000000000002</v>
      </c>
      <c r="D19" s="22">
        <f>SUM(D2:D18)</f>
        <v>2825.1661084828856</v>
      </c>
      <c r="E19" s="22"/>
      <c r="F19" s="22">
        <f>SUM(F2:F18)</f>
        <v>2056.8806696298866</v>
      </c>
    </row>
    <row r="20" spans="1:12" ht="17.399999999999999" customHeight="1" x14ac:dyDescent="0.25">
      <c r="A20" s="24" t="s">
        <v>16</v>
      </c>
      <c r="B20" s="25">
        <v>2623.42</v>
      </c>
      <c r="C20" s="26">
        <v>44896</v>
      </c>
      <c r="D20" s="27">
        <f>+D19/B20</f>
        <v>1.0769019480231474</v>
      </c>
      <c r="E20" s="27"/>
      <c r="F20" s="27">
        <f>+F19/C20</f>
        <v>4.5814341358470387E-2</v>
      </c>
      <c r="G20" s="37"/>
      <c r="H20" s="37"/>
    </row>
    <row r="21" spans="1:12" ht="17.399999999999999" customHeight="1" x14ac:dyDescent="0.25">
      <c r="A21" s="12"/>
      <c r="B21" s="12"/>
      <c r="C21" s="13"/>
      <c r="D21" s="12"/>
      <c r="E21" s="12"/>
      <c r="F21" s="12"/>
    </row>
    <row r="22" spans="1:12" ht="17.399999999999999" customHeight="1" x14ac:dyDescent="0.25">
      <c r="A22" s="12"/>
      <c r="B22" s="12"/>
      <c r="C22" s="13"/>
      <c r="D22" s="14"/>
      <c r="E22" s="14"/>
      <c r="F22" s="14"/>
    </row>
    <row r="23" spans="1:12" ht="17.399999999999999" customHeight="1" x14ac:dyDescent="0.25">
      <c r="A23" s="12"/>
      <c r="B23" s="12"/>
      <c r="D23" s="41"/>
      <c r="E23" s="41"/>
      <c r="F23" s="41"/>
    </row>
    <row r="24" spans="1:12" ht="17.399999999999999" customHeight="1" x14ac:dyDescent="0.25">
      <c r="A24" s="12"/>
      <c r="B24" s="12"/>
      <c r="C24" s="13"/>
      <c r="D24" s="12"/>
      <c r="E24" s="12"/>
      <c r="F24" s="12"/>
    </row>
    <row r="25" spans="1:12" ht="17.399999999999999" customHeight="1" x14ac:dyDescent="0.25">
      <c r="A25" s="12"/>
      <c r="B25" s="12"/>
      <c r="C25" s="13"/>
      <c r="D25" s="12"/>
      <c r="E25" s="12"/>
      <c r="F25" s="12"/>
    </row>
    <row r="26" spans="1:12" ht="17.399999999999999" customHeight="1" x14ac:dyDescent="0.25">
      <c r="A26" s="12"/>
      <c r="B26" s="12"/>
      <c r="C26" s="13"/>
      <c r="D26" s="12"/>
      <c r="E26" s="12"/>
      <c r="F26" s="12"/>
    </row>
    <row r="27" spans="1:12" ht="17.399999999999999" customHeight="1" x14ac:dyDescent="0.25">
      <c r="A27" s="12"/>
      <c r="B27" s="12"/>
      <c r="C27" s="13"/>
      <c r="D27" s="12"/>
      <c r="E27" s="12"/>
      <c r="F27" s="12"/>
    </row>
    <row r="28" spans="1:12" ht="17.399999999999999" customHeight="1" x14ac:dyDescent="0.25">
      <c r="A28" s="12"/>
      <c r="B28" s="12"/>
      <c r="C28" s="13"/>
      <c r="D28" s="12"/>
      <c r="E28" s="12"/>
      <c r="F28" s="12"/>
    </row>
    <row r="29" spans="1:12" ht="17.399999999999999" customHeight="1" x14ac:dyDescent="0.25">
      <c r="A29" s="12"/>
      <c r="B29" s="12"/>
      <c r="C29" s="13"/>
      <c r="D29" s="12"/>
      <c r="E29" s="12"/>
      <c r="F29" s="12"/>
    </row>
    <row r="30" spans="1:12" ht="17.399999999999999" customHeight="1" x14ac:dyDescent="0.25">
      <c r="A30" s="12"/>
      <c r="B30" s="12"/>
      <c r="C30" s="13"/>
      <c r="D30" s="12"/>
      <c r="E30" s="12"/>
      <c r="F30" s="12"/>
    </row>
    <row r="31" spans="1:12" ht="17.399999999999999" customHeight="1" x14ac:dyDescent="0.25">
      <c r="A31" s="12"/>
      <c r="B31" s="12"/>
      <c r="C31" s="13"/>
      <c r="D31" s="12"/>
      <c r="E31" s="12"/>
      <c r="F31" s="12"/>
    </row>
    <row r="32" spans="1:12" ht="17.399999999999999" customHeight="1" x14ac:dyDescent="0.25">
      <c r="A32" s="12"/>
      <c r="B32" s="12"/>
      <c r="C32" s="13"/>
      <c r="D32" s="12"/>
      <c r="E32" s="12"/>
      <c r="F32" s="12"/>
    </row>
    <row r="33" spans="1:6" ht="17.399999999999999" customHeight="1" x14ac:dyDescent="0.25">
      <c r="A33" s="12"/>
      <c r="B33" s="12"/>
      <c r="C33" s="13"/>
      <c r="D33" s="12"/>
      <c r="E33" s="12"/>
      <c r="F33" s="12"/>
    </row>
    <row r="34" spans="1:6" ht="17.399999999999999" customHeight="1" x14ac:dyDescent="0.25">
      <c r="A34" s="12"/>
      <c r="B34" s="12"/>
      <c r="C34" s="13"/>
      <c r="D34" s="12"/>
      <c r="E34" s="12"/>
      <c r="F34" s="12"/>
    </row>
    <row r="35" spans="1:6" ht="17.399999999999999" customHeight="1" x14ac:dyDescent="0.25">
      <c r="A35" s="12"/>
      <c r="B35" s="12"/>
      <c r="C35" s="13"/>
      <c r="D35" s="12"/>
      <c r="E35" s="12"/>
      <c r="F35" s="12"/>
    </row>
    <row r="36" spans="1:6" ht="17.399999999999999" customHeight="1" x14ac:dyDescent="0.25">
      <c r="A36" s="12"/>
      <c r="B36" s="12"/>
      <c r="C36" s="13"/>
      <c r="D36" s="12"/>
      <c r="E36" s="12"/>
      <c r="F36" s="12"/>
    </row>
    <row r="37" spans="1:6" ht="17.399999999999999" customHeight="1" x14ac:dyDescent="0.25">
      <c r="A37" s="12"/>
      <c r="B37" s="12"/>
      <c r="C37" s="13"/>
      <c r="D37" s="12"/>
      <c r="E37" s="12"/>
      <c r="F37" s="12"/>
    </row>
    <row r="38" spans="1:6" ht="17.399999999999999" customHeight="1" x14ac:dyDescent="0.25">
      <c r="A38" s="12"/>
      <c r="B38" s="12"/>
      <c r="C38" s="13"/>
      <c r="D38" s="12"/>
      <c r="E38" s="12"/>
      <c r="F38" s="12"/>
    </row>
    <row r="39" spans="1:6" ht="17.399999999999999" customHeight="1" x14ac:dyDescent="0.25">
      <c r="A39" s="12"/>
      <c r="B39" s="12"/>
      <c r="C39" s="13"/>
      <c r="D39" s="12"/>
      <c r="E39" s="12"/>
      <c r="F39" s="12"/>
    </row>
    <row r="40" spans="1:6" ht="17.399999999999999" customHeight="1" x14ac:dyDescent="0.25">
      <c r="A40" s="12"/>
      <c r="B40" s="12"/>
      <c r="C40" s="13"/>
      <c r="D40" s="12"/>
      <c r="E40" s="12"/>
      <c r="F40" s="12"/>
    </row>
    <row r="41" spans="1:6" ht="17.399999999999999" customHeight="1" x14ac:dyDescent="0.25">
      <c r="A41" s="12"/>
      <c r="B41" s="12"/>
      <c r="C41" s="13"/>
      <c r="D41" s="12"/>
      <c r="E41" s="12"/>
      <c r="F41" s="12"/>
    </row>
    <row r="42" spans="1:6" ht="17.399999999999999" customHeight="1" x14ac:dyDescent="0.25">
      <c r="A42" s="12"/>
      <c r="B42" s="12"/>
      <c r="C42" s="13"/>
      <c r="D42" s="12"/>
      <c r="E42" s="12"/>
      <c r="F42" s="12"/>
    </row>
    <row r="43" spans="1:6" ht="17.399999999999999" customHeight="1" x14ac:dyDescent="0.25">
      <c r="A43" s="12"/>
      <c r="B43" s="12"/>
      <c r="C43" s="13"/>
      <c r="D43" s="12"/>
      <c r="E43" s="12"/>
      <c r="F43" s="12"/>
    </row>
    <row r="44" spans="1:6" ht="17.399999999999999" customHeight="1" x14ac:dyDescent="0.25">
      <c r="A44" s="12"/>
      <c r="B44" s="12"/>
      <c r="C44" s="13"/>
      <c r="D44" s="12"/>
      <c r="E44" s="12"/>
      <c r="F44" s="12"/>
    </row>
    <row r="45" spans="1:6" ht="17.399999999999999" customHeight="1" x14ac:dyDescent="0.25">
      <c r="A45" s="12"/>
      <c r="B45" s="12"/>
      <c r="C45" s="13"/>
      <c r="D45" s="12"/>
      <c r="E45" s="12"/>
      <c r="F45" s="12"/>
    </row>
  </sheetData>
  <conditionalFormatting sqref="G2:G18">
    <cfRule type="expression" dxfId="1" priority="1">
      <formula>G2&gt;0</formula>
    </cfRule>
  </conditionalFormatting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9B35-5A70-4AEB-9877-0CBA8CECD2B7}">
  <dimension ref="A1:L45"/>
  <sheetViews>
    <sheetView showGridLines="0" zoomScale="85" zoomScaleNormal="85" workbookViewId="0">
      <selection activeCell="A8" sqref="A8"/>
    </sheetView>
  </sheetViews>
  <sheetFormatPr defaultColWidth="9.109375" defaultRowHeight="17.399999999999999" customHeight="1" x14ac:dyDescent="0.25"/>
  <cols>
    <col min="1" max="1" width="70.6640625" style="1" customWidth="1"/>
    <col min="2" max="2" width="19.6640625" style="1" customWidth="1"/>
    <col min="3" max="3" width="10.5546875" style="15" hidden="1" customWidth="1"/>
    <col min="4" max="6" width="13.88671875" style="1" customWidth="1"/>
    <col min="7" max="7" width="12.109375" style="1" bestFit="1" customWidth="1"/>
    <col min="8" max="8" width="12.109375" style="1" customWidth="1"/>
    <col min="9" max="9" width="12.88671875" style="1" bestFit="1" customWidth="1"/>
    <col min="10" max="10" width="9.109375" style="1"/>
    <col min="11" max="11" width="11" style="1" bestFit="1" customWidth="1"/>
    <col min="12" max="16384" width="9.109375" style="1"/>
  </cols>
  <sheetData>
    <row r="1" spans="1:12" ht="27" customHeight="1" x14ac:dyDescent="0.25">
      <c r="A1" s="16" t="s">
        <v>6</v>
      </c>
      <c r="B1" s="17" t="s">
        <v>5</v>
      </c>
      <c r="C1" s="18" t="s">
        <v>4</v>
      </c>
      <c r="D1" s="17" t="s">
        <v>3</v>
      </c>
      <c r="E1" s="17" t="s">
        <v>60</v>
      </c>
      <c r="F1" s="17" t="s">
        <v>3</v>
      </c>
    </row>
    <row r="2" spans="1:12" ht="23.4" customHeight="1" x14ac:dyDescent="0.25">
      <c r="A2" s="2" t="s">
        <v>13</v>
      </c>
      <c r="B2" s="3">
        <v>3222755.2929659998</v>
      </c>
      <c r="C2" s="4">
        <f t="shared" ref="C2:C15" si="0">+B2/$B$19</f>
        <v>0.55151860404876063</v>
      </c>
      <c r="D2" s="5">
        <f t="shared" ref="D2:D18" si="1">B2/$K$5</f>
        <v>3195.814576089565</v>
      </c>
      <c r="E2" s="5">
        <v>482042.17</v>
      </c>
      <c r="F2" s="5">
        <f>E2/$K$5</f>
        <v>478.01252441914659</v>
      </c>
      <c r="G2" s="37">
        <f t="shared" ref="G2:G15" si="2">D2-F2</f>
        <v>2717.8020516704182</v>
      </c>
      <c r="H2" s="37"/>
    </row>
    <row r="3" spans="1:12" ht="23.4" customHeight="1" x14ac:dyDescent="0.25">
      <c r="A3" s="7" t="s">
        <v>22</v>
      </c>
      <c r="B3" s="8">
        <v>979.0498</v>
      </c>
      <c r="C3" s="9">
        <f t="shared" si="0"/>
        <v>1.675473717066718E-4</v>
      </c>
      <c r="D3" s="10">
        <f t="shared" si="1"/>
        <v>0.97086540463889415</v>
      </c>
      <c r="E3" s="10">
        <v>150127.96</v>
      </c>
      <c r="F3" s="10">
        <f t="shared" ref="F3:F17" si="3">E3/$K$5</f>
        <v>148.87296093928185</v>
      </c>
      <c r="G3" s="37">
        <f t="shared" si="2"/>
        <v>-147.90209553464297</v>
      </c>
    </row>
    <row r="4" spans="1:12" ht="23.4" customHeight="1" x14ac:dyDescent="0.25">
      <c r="A4" s="2" t="s">
        <v>8</v>
      </c>
      <c r="B4" s="3">
        <v>80297.228784999999</v>
      </c>
      <c r="C4" s="4">
        <f t="shared" si="0"/>
        <v>1.3741476315358075E-2</v>
      </c>
      <c r="D4" s="5">
        <f t="shared" si="1"/>
        <v>79.625981758773548</v>
      </c>
      <c r="E4" s="5">
        <v>72657.600000000006</v>
      </c>
      <c r="F4" s="5">
        <f t="shared" si="3"/>
        <v>72.05021667344289</v>
      </c>
      <c r="G4" s="37">
        <f t="shared" si="2"/>
        <v>7.5757650853306586</v>
      </c>
    </row>
    <row r="5" spans="1:12" ht="23.4" customHeight="1" x14ac:dyDescent="0.25">
      <c r="A5" s="7" t="s">
        <v>9</v>
      </c>
      <c r="B5" s="8">
        <v>41441.924404000005</v>
      </c>
      <c r="C5" s="9">
        <f t="shared" si="0"/>
        <v>7.0920657073386684E-3</v>
      </c>
      <c r="D5" s="10">
        <f t="shared" si="1"/>
        <v>41.095489428120949</v>
      </c>
      <c r="E5" s="10">
        <v>51847.69</v>
      </c>
      <c r="F5" s="10">
        <f t="shared" si="3"/>
        <v>51.414267723094319</v>
      </c>
      <c r="G5" s="37">
        <f t="shared" si="2"/>
        <v>-10.31877829497337</v>
      </c>
      <c r="K5" s="36">
        <v>1008.43</v>
      </c>
    </row>
    <row r="6" spans="1:12" ht="23.4" customHeight="1" x14ac:dyDescent="0.25">
      <c r="A6" s="2" t="s">
        <v>24</v>
      </c>
      <c r="B6" s="3">
        <v>117460.05113000001</v>
      </c>
      <c r="C6" s="4">
        <f t="shared" si="0"/>
        <v>2.010124801349511E-2</v>
      </c>
      <c r="D6" s="5">
        <f t="shared" si="1"/>
        <v>116.47814040637428</v>
      </c>
      <c r="E6" s="5">
        <v>128507.08</v>
      </c>
      <c r="F6" s="5">
        <f t="shared" si="3"/>
        <v>127.43282131630357</v>
      </c>
      <c r="G6" s="37">
        <f t="shared" si="2"/>
        <v>-10.954680909929294</v>
      </c>
    </row>
    <row r="7" spans="1:12" ht="23.4" customHeight="1" x14ac:dyDescent="0.25">
      <c r="A7" s="7" t="s">
        <v>19</v>
      </c>
      <c r="B7" s="8">
        <v>846154.2463</v>
      </c>
      <c r="C7" s="9">
        <f t="shared" si="0"/>
        <v>0.14480460547155499</v>
      </c>
      <c r="D7" s="10">
        <f t="shared" si="1"/>
        <v>839.08079519649357</v>
      </c>
      <c r="E7" s="10">
        <v>1107643.57</v>
      </c>
      <c r="F7" s="10">
        <f t="shared" si="3"/>
        <v>1098.3841912676141</v>
      </c>
      <c r="G7" s="37">
        <f t="shared" si="2"/>
        <v>-259.30339607112057</v>
      </c>
      <c r="K7" s="36">
        <v>160</v>
      </c>
    </row>
    <row r="8" spans="1:12" ht="23.4" customHeight="1" x14ac:dyDescent="0.25">
      <c r="A8" s="2" t="s">
        <v>18</v>
      </c>
      <c r="B8" s="3">
        <v>143247.75450000001</v>
      </c>
      <c r="C8" s="4">
        <f t="shared" si="0"/>
        <v>2.4514365632225827E-2</v>
      </c>
      <c r="D8" s="5">
        <f t="shared" si="1"/>
        <v>142.05027071784855</v>
      </c>
      <c r="E8" s="5">
        <v>60000</v>
      </c>
      <c r="F8" s="5">
        <f t="shared" si="3"/>
        <v>59.498428249853738</v>
      </c>
      <c r="G8" s="37">
        <f t="shared" si="2"/>
        <v>82.551842467994817</v>
      </c>
    </row>
    <row r="9" spans="1:12" ht="23.4" customHeight="1" x14ac:dyDescent="0.25">
      <c r="A9" s="7" t="s">
        <v>2</v>
      </c>
      <c r="B9" s="8">
        <v>70579.458520000015</v>
      </c>
      <c r="C9" s="9">
        <f t="shared" si="0"/>
        <v>1.2078448687192486E-2</v>
      </c>
      <c r="D9" s="10">
        <f t="shared" si="1"/>
        <v>69.989447477762482</v>
      </c>
      <c r="E9" s="10">
        <v>17523.669999999998</v>
      </c>
      <c r="F9" s="10">
        <f t="shared" si="3"/>
        <v>17.377180369485238</v>
      </c>
      <c r="G9" s="37">
        <f t="shared" si="2"/>
        <v>52.612267108277244</v>
      </c>
      <c r="K9" s="36"/>
    </row>
    <row r="10" spans="1:12" ht="23.4" customHeight="1" x14ac:dyDescent="0.25">
      <c r="A10" s="2" t="s">
        <v>10</v>
      </c>
      <c r="B10" s="3">
        <v>121384.531158</v>
      </c>
      <c r="C10" s="4">
        <f t="shared" si="0"/>
        <v>2.0772854620234343E-2</v>
      </c>
      <c r="D10" s="5">
        <f t="shared" si="1"/>
        <v>120.36981362910663</v>
      </c>
      <c r="E10" s="5">
        <v>6158.09</v>
      </c>
      <c r="F10" s="5">
        <f t="shared" si="3"/>
        <v>6.10661126701903</v>
      </c>
      <c r="G10" s="37">
        <f t="shared" si="2"/>
        <v>114.2632023620876</v>
      </c>
      <c r="K10" s="1" t="s">
        <v>23</v>
      </c>
      <c r="L10" s="1">
        <v>57.65</v>
      </c>
    </row>
    <row r="11" spans="1:12" ht="23.4" customHeight="1" x14ac:dyDescent="0.25">
      <c r="A11" s="7" t="s">
        <v>11</v>
      </c>
      <c r="B11" s="8">
        <v>16040.279999999999</v>
      </c>
      <c r="C11" s="9">
        <f t="shared" si="0"/>
        <v>2.7450153765815519E-3</v>
      </c>
      <c r="D11" s="10">
        <f t="shared" si="1"/>
        <v>15.906190811459396</v>
      </c>
      <c r="E11" s="10">
        <v>7007.68</v>
      </c>
      <c r="F11" s="10">
        <f t="shared" si="3"/>
        <v>6.9490990946322508</v>
      </c>
      <c r="G11" s="37">
        <f t="shared" si="2"/>
        <v>8.9570917168271453</v>
      </c>
      <c r="K11" s="36"/>
    </row>
    <row r="12" spans="1:12" ht="23.4" customHeight="1" x14ac:dyDescent="0.25">
      <c r="A12" s="2" t="s">
        <v>12</v>
      </c>
      <c r="B12" s="3">
        <v>574634.81398199999</v>
      </c>
      <c r="C12" s="4">
        <f t="shared" si="0"/>
        <v>9.8338769666094977E-2</v>
      </c>
      <c r="D12" s="5">
        <f t="shared" si="1"/>
        <v>569.83113749293454</v>
      </c>
      <c r="E12" s="5">
        <v>361671.37</v>
      </c>
      <c r="F12" s="5">
        <f t="shared" si="3"/>
        <v>358.64796763285506</v>
      </c>
      <c r="G12" s="37">
        <f t="shared" si="2"/>
        <v>211.18316986007949</v>
      </c>
      <c r="I12" s="1">
        <f>180*1.1</f>
        <v>198.00000000000003</v>
      </c>
    </row>
    <row r="13" spans="1:12" ht="23.4" customHeight="1" x14ac:dyDescent="0.25">
      <c r="A13" s="7" t="s">
        <v>1</v>
      </c>
      <c r="B13" s="8">
        <v>63457.989713000003</v>
      </c>
      <c r="C13" s="9">
        <f t="shared" si="0"/>
        <v>1.0859732967824687E-2</v>
      </c>
      <c r="D13" s="10">
        <f t="shared" si="1"/>
        <v>62.927510796981451</v>
      </c>
      <c r="E13" s="10">
        <v>65064.29</v>
      </c>
      <c r="F13" s="10">
        <f t="shared" si="3"/>
        <v>64.520383169877931</v>
      </c>
      <c r="G13" s="37">
        <f t="shared" si="2"/>
        <v>-1.5928723728964798</v>
      </c>
      <c r="I13" s="1">
        <f>220*1.1</f>
        <v>242.00000000000003</v>
      </c>
      <c r="K13" s="36"/>
    </row>
    <row r="14" spans="1:12" ht="23.4" customHeight="1" x14ac:dyDescent="0.25">
      <c r="A14" s="2" t="s">
        <v>20</v>
      </c>
      <c r="B14" s="3">
        <v>134201.65992000001</v>
      </c>
      <c r="C14" s="4">
        <f t="shared" si="0"/>
        <v>2.2966283633650299E-2</v>
      </c>
      <c r="D14" s="5">
        <f t="shared" si="1"/>
        <v>133.07979722935653</v>
      </c>
      <c r="E14" s="5">
        <v>84756.62</v>
      </c>
      <c r="F14" s="5">
        <f t="shared" si="3"/>
        <v>84.048094562835303</v>
      </c>
      <c r="G14" s="37">
        <f t="shared" si="2"/>
        <v>49.031702666521227</v>
      </c>
    </row>
    <row r="15" spans="1:12" ht="23.4" customHeight="1" x14ac:dyDescent="0.25">
      <c r="A15" s="7" t="s">
        <v>0</v>
      </c>
      <c r="B15" s="8">
        <v>45303.354625</v>
      </c>
      <c r="C15" s="9">
        <f t="shared" si="0"/>
        <v>7.7528824344931628E-3</v>
      </c>
      <c r="D15" s="10">
        <f t="shared" si="1"/>
        <v>44.924639910554035</v>
      </c>
      <c r="E15" s="10">
        <v>18571.7</v>
      </c>
      <c r="F15" s="10">
        <f t="shared" si="3"/>
        <v>18.416449332130146</v>
      </c>
      <c r="G15" s="37">
        <f t="shared" si="2"/>
        <v>26.508190578423889</v>
      </c>
      <c r="K15" s="36"/>
    </row>
    <row r="16" spans="1:12" ht="23.4" customHeight="1" x14ac:dyDescent="0.25">
      <c r="A16" s="2" t="s">
        <v>42</v>
      </c>
      <c r="B16" s="3"/>
      <c r="C16" s="4"/>
      <c r="D16" s="5"/>
      <c r="E16" s="5"/>
      <c r="F16" s="5">
        <f t="shared" si="3"/>
        <v>0</v>
      </c>
      <c r="G16" s="37"/>
      <c r="L16" s="37"/>
    </row>
    <row r="17" spans="1:12" ht="23.4" customHeight="1" x14ac:dyDescent="0.25">
      <c r="A17" s="7" t="s">
        <v>15</v>
      </c>
      <c r="B17" s="8">
        <v>365483.18319999997</v>
      </c>
      <c r="C17" s="9">
        <f>+B17/$B$19</f>
        <v>6.254610005348861E-2</v>
      </c>
      <c r="D17" s="10">
        <f t="shared" si="1"/>
        <v>362.42791586922243</v>
      </c>
      <c r="E17" s="10">
        <v>1592396</v>
      </c>
      <c r="F17" s="10">
        <f t="shared" si="3"/>
        <v>1579.0843191892347</v>
      </c>
      <c r="G17" s="37">
        <f>D17-F17</f>
        <v>-1216.6564033200123</v>
      </c>
      <c r="K17" s="36"/>
    </row>
    <row r="18" spans="1:12" ht="23.4" customHeight="1" x14ac:dyDescent="0.25">
      <c r="A18" s="2" t="s">
        <v>14</v>
      </c>
      <c r="B18" s="3"/>
      <c r="C18" s="4">
        <f>+B18/$B$19</f>
        <v>0</v>
      </c>
      <c r="D18" s="5">
        <f t="shared" si="1"/>
        <v>0</v>
      </c>
      <c r="E18" s="5"/>
      <c r="F18" s="5"/>
      <c r="G18" s="37">
        <f>D18-F18</f>
        <v>0</v>
      </c>
      <c r="L18" s="37"/>
    </row>
    <row r="19" spans="1:12" ht="17.399999999999999" customHeight="1" x14ac:dyDescent="0.25">
      <c r="A19" s="19" t="s">
        <v>7</v>
      </c>
      <c r="B19" s="20">
        <f>SUM(B2:B18)</f>
        <v>5843420.819002999</v>
      </c>
      <c r="C19" s="21">
        <f>SUM(C2:C18)</f>
        <v>1</v>
      </c>
      <c r="D19" s="22">
        <f>SUM(D2:D18)</f>
        <v>5794.5725722191919</v>
      </c>
      <c r="E19" s="22"/>
      <c r="F19" s="22">
        <f>SUM(F2:F18)</f>
        <v>4170.8155152068066</v>
      </c>
    </row>
    <row r="20" spans="1:12" ht="17.399999999999999" customHeight="1" x14ac:dyDescent="0.25">
      <c r="A20" s="24" t="s">
        <v>16</v>
      </c>
      <c r="B20" s="25">
        <v>2623.42</v>
      </c>
      <c r="C20" s="26">
        <v>44896</v>
      </c>
      <c r="D20" s="27">
        <f>+D19/B20</f>
        <v>2.2087856966170847</v>
      </c>
      <c r="E20" s="27"/>
      <c r="F20" s="27">
        <f>+F19/C20</f>
        <v>9.2899490270999793E-2</v>
      </c>
      <c r="G20" s="37"/>
      <c r="H20" s="37"/>
    </row>
    <row r="21" spans="1:12" ht="17.399999999999999" customHeight="1" x14ac:dyDescent="0.25">
      <c r="A21" s="12"/>
      <c r="B21" s="12"/>
      <c r="C21" s="13"/>
      <c r="D21" s="12"/>
      <c r="E21" s="12"/>
      <c r="F21" s="12"/>
    </row>
    <row r="22" spans="1:12" ht="17.399999999999999" customHeight="1" x14ac:dyDescent="0.25">
      <c r="A22" s="12"/>
      <c r="B22" s="12"/>
      <c r="C22" s="13"/>
      <c r="D22" s="14"/>
      <c r="E22" s="14"/>
      <c r="F22" s="14"/>
    </row>
    <row r="23" spans="1:12" ht="17.399999999999999" customHeight="1" x14ac:dyDescent="0.25">
      <c r="A23" s="12"/>
      <c r="B23" s="12"/>
      <c r="D23" s="41"/>
      <c r="E23" s="41"/>
      <c r="F23" s="41"/>
    </row>
    <row r="24" spans="1:12" ht="17.399999999999999" customHeight="1" x14ac:dyDescent="0.25">
      <c r="A24" s="12"/>
      <c r="B24" s="12"/>
      <c r="C24" s="13"/>
      <c r="D24" s="12"/>
      <c r="E24" s="12"/>
      <c r="F24" s="12"/>
    </row>
    <row r="25" spans="1:12" ht="17.399999999999999" customHeight="1" x14ac:dyDescent="0.25">
      <c r="A25" s="12"/>
      <c r="B25" s="12"/>
      <c r="C25" s="13"/>
      <c r="D25" s="12"/>
      <c r="E25" s="12"/>
      <c r="F25" s="12"/>
    </row>
    <row r="26" spans="1:12" ht="17.399999999999999" customHeight="1" x14ac:dyDescent="0.25">
      <c r="A26" s="12"/>
      <c r="B26" s="12"/>
      <c r="C26" s="13"/>
      <c r="D26" s="12"/>
      <c r="E26" s="12"/>
      <c r="F26" s="12"/>
    </row>
    <row r="27" spans="1:12" ht="17.399999999999999" customHeight="1" x14ac:dyDescent="0.25">
      <c r="A27" s="12"/>
      <c r="B27" s="12"/>
      <c r="C27" s="13"/>
      <c r="D27" s="12"/>
      <c r="E27" s="12"/>
      <c r="F27" s="12"/>
    </row>
    <row r="28" spans="1:12" ht="17.399999999999999" customHeight="1" x14ac:dyDescent="0.25">
      <c r="A28" s="12"/>
      <c r="B28" s="12"/>
      <c r="C28" s="13"/>
      <c r="D28" s="12"/>
      <c r="E28" s="12"/>
      <c r="F28" s="12"/>
    </row>
    <row r="29" spans="1:12" ht="17.399999999999999" customHeight="1" x14ac:dyDescent="0.25">
      <c r="A29" s="12"/>
      <c r="B29" s="12"/>
      <c r="C29" s="13"/>
      <c r="D29" s="12"/>
      <c r="E29" s="12"/>
      <c r="F29" s="12"/>
    </row>
    <row r="30" spans="1:12" ht="17.399999999999999" customHeight="1" x14ac:dyDescent="0.25">
      <c r="A30" s="12"/>
      <c r="B30" s="12"/>
      <c r="C30" s="13"/>
      <c r="D30" s="12"/>
      <c r="E30" s="12"/>
      <c r="F30" s="12"/>
    </row>
    <row r="31" spans="1:12" ht="17.399999999999999" customHeight="1" x14ac:dyDescent="0.25">
      <c r="A31" s="12"/>
      <c r="B31" s="12"/>
      <c r="C31" s="13"/>
      <c r="D31" s="12"/>
      <c r="E31" s="12"/>
      <c r="F31" s="12"/>
    </row>
    <row r="32" spans="1:12" ht="17.399999999999999" customHeight="1" x14ac:dyDescent="0.25">
      <c r="A32" s="12"/>
      <c r="B32" s="12"/>
      <c r="C32" s="13"/>
      <c r="D32" s="12"/>
      <c r="E32" s="12"/>
      <c r="F32" s="12"/>
    </row>
    <row r="33" spans="1:6" ht="17.399999999999999" customHeight="1" x14ac:dyDescent="0.25">
      <c r="A33" s="12"/>
      <c r="B33" s="12"/>
      <c r="C33" s="13"/>
      <c r="D33" s="12"/>
      <c r="E33" s="12"/>
      <c r="F33" s="12"/>
    </row>
    <row r="34" spans="1:6" ht="17.399999999999999" customHeight="1" x14ac:dyDescent="0.25">
      <c r="A34" s="12"/>
      <c r="B34" s="12"/>
      <c r="C34" s="13"/>
      <c r="D34" s="12"/>
      <c r="E34" s="12"/>
      <c r="F34" s="12"/>
    </row>
    <row r="35" spans="1:6" ht="17.399999999999999" customHeight="1" x14ac:dyDescent="0.25">
      <c r="A35" s="12"/>
      <c r="B35" s="12"/>
      <c r="C35" s="13"/>
      <c r="D35" s="12"/>
      <c r="E35" s="12"/>
      <c r="F35" s="12"/>
    </row>
    <row r="36" spans="1:6" ht="17.399999999999999" customHeight="1" x14ac:dyDescent="0.25">
      <c r="A36" s="12"/>
      <c r="B36" s="12"/>
      <c r="C36" s="13"/>
      <c r="D36" s="12"/>
      <c r="E36" s="12"/>
      <c r="F36" s="12"/>
    </row>
    <row r="37" spans="1:6" ht="17.399999999999999" customHeight="1" x14ac:dyDescent="0.25">
      <c r="A37" s="12"/>
      <c r="B37" s="12"/>
      <c r="C37" s="13"/>
      <c r="D37" s="12"/>
      <c r="E37" s="12"/>
      <c r="F37" s="12"/>
    </row>
    <row r="38" spans="1:6" ht="17.399999999999999" customHeight="1" x14ac:dyDescent="0.25">
      <c r="A38" s="12"/>
      <c r="B38" s="12"/>
      <c r="C38" s="13"/>
      <c r="D38" s="12"/>
      <c r="E38" s="12"/>
      <c r="F38" s="12"/>
    </row>
    <row r="39" spans="1:6" ht="17.399999999999999" customHeight="1" x14ac:dyDescent="0.25">
      <c r="A39" s="12"/>
      <c r="B39" s="12"/>
      <c r="C39" s="13"/>
      <c r="D39" s="12"/>
      <c r="E39" s="12"/>
      <c r="F39" s="12"/>
    </row>
    <row r="40" spans="1:6" ht="17.399999999999999" customHeight="1" x14ac:dyDescent="0.25">
      <c r="A40" s="12"/>
      <c r="B40" s="12"/>
      <c r="C40" s="13"/>
      <c r="D40" s="12"/>
      <c r="E40" s="12"/>
      <c r="F40" s="12"/>
    </row>
    <row r="41" spans="1:6" ht="17.399999999999999" customHeight="1" x14ac:dyDescent="0.25">
      <c r="A41" s="12"/>
      <c r="B41" s="12"/>
      <c r="C41" s="13"/>
      <c r="D41" s="12"/>
      <c r="E41" s="12"/>
      <c r="F41" s="12"/>
    </row>
    <row r="42" spans="1:6" ht="17.399999999999999" customHeight="1" x14ac:dyDescent="0.25">
      <c r="A42" s="12"/>
      <c r="B42" s="12"/>
      <c r="C42" s="13"/>
      <c r="D42" s="12"/>
      <c r="E42" s="12"/>
      <c r="F42" s="12"/>
    </row>
    <row r="43" spans="1:6" ht="17.399999999999999" customHeight="1" x14ac:dyDescent="0.25">
      <c r="A43" s="12"/>
      <c r="B43" s="12"/>
      <c r="C43" s="13"/>
      <c r="D43" s="12"/>
      <c r="E43" s="12"/>
      <c r="F43" s="12"/>
    </row>
    <row r="44" spans="1:6" ht="17.399999999999999" customHeight="1" x14ac:dyDescent="0.25">
      <c r="A44" s="12"/>
      <c r="B44" s="12"/>
      <c r="C44" s="13"/>
      <c r="D44" s="12"/>
      <c r="E44" s="12"/>
      <c r="F44" s="12"/>
    </row>
    <row r="45" spans="1:6" ht="17.399999999999999" customHeight="1" x14ac:dyDescent="0.25">
      <c r="A45" s="12"/>
      <c r="B45" s="12"/>
      <c r="C45" s="13"/>
      <c r="D45" s="12"/>
      <c r="E45" s="12"/>
      <c r="F45" s="12"/>
    </row>
  </sheetData>
  <conditionalFormatting sqref="G2:G18">
    <cfRule type="expression" dxfId="0" priority="1">
      <formula>G2&gt;0</formula>
    </cfRule>
  </conditionalFormatting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Orçamento Resumo</vt:lpstr>
      <vt:lpstr>ANÁLISE-CTN</vt:lpstr>
      <vt:lpstr>HOMESET</vt:lpstr>
      <vt:lpstr>TORRE_01</vt:lpstr>
      <vt:lpstr>TORRE_02</vt:lpstr>
      <vt:lpstr>ÁREAS COMUNS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Luisa Romaniello</cp:lastModifiedBy>
  <cp:lastPrinted>2021-06-01T14:04:42Z</cp:lastPrinted>
  <dcterms:created xsi:type="dcterms:W3CDTF">2020-06-25T16:50:19Z</dcterms:created>
  <dcterms:modified xsi:type="dcterms:W3CDTF">2023-01-23T17:03:56Z</dcterms:modified>
</cp:coreProperties>
</file>