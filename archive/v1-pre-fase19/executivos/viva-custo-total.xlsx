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lvin Ravazzi\Documents\FERRAZZO_CORREA_INCORPORADORA\Viva_Perequê_Residence\Orçamento_Custo\Custo_Total_Mensal\2025\03_Março_2025\"/>
    </mc:Choice>
  </mc:AlternateContent>
  <xr:revisionPtr revIDLastSave="0" documentId="13_ncr:1_{3E048794-442D-44B8-AF34-5459357EDEA9}" xr6:coauthVersionLast="47" xr6:coauthVersionMax="47" xr10:uidLastSave="{00000000-0000-0000-0000-000000000000}"/>
  <bookViews>
    <workbookView xWindow="-108" yWindow="-108" windowWidth="23256" windowHeight="12456" xr2:uid="{D547C71D-2C88-4DDC-A08E-2CAA8B01825C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1" l="1"/>
  <c r="AY16" i="1"/>
  <c r="AO14" i="1"/>
  <c r="AU13" i="1"/>
  <c r="AS13" i="1"/>
  <c r="AQ13" i="1"/>
  <c r="AO13" i="1"/>
  <c r="AG13" i="1"/>
  <c r="AG11" i="1"/>
  <c r="AM12" i="1"/>
  <c r="AO12" i="1" s="1"/>
  <c r="AG10" i="1"/>
  <c r="BK10" i="1"/>
  <c r="AM9" i="1"/>
  <c r="BK8" i="1"/>
  <c r="AE8" i="1"/>
  <c r="AA9" i="1"/>
  <c r="U7" i="1"/>
  <c r="BI19" i="1"/>
  <c r="BK19" i="1" s="1"/>
  <c r="BI20" i="1"/>
  <c r="BK20" i="1" s="1"/>
  <c r="G4" i="1"/>
  <c r="AW15" i="1"/>
  <c r="BE17" i="1"/>
  <c r="BG17" i="1" s="1"/>
  <c r="M6" i="1"/>
  <c r="G5" i="1"/>
  <c r="BC16" i="1" l="1"/>
  <c r="BA16" i="1"/>
  <c r="BA14" i="1"/>
  <c r="AU14" i="1"/>
  <c r="AS14" i="1"/>
  <c r="AQ14" i="1"/>
  <c r="AY14" i="1"/>
  <c r="AW14" i="1"/>
  <c r="AM13" i="1"/>
  <c r="AK13" i="1"/>
  <c r="AI13" i="1"/>
  <c r="BI11" i="1"/>
  <c r="AI11" i="1"/>
  <c r="BI10" i="1"/>
  <c r="AI10" i="1"/>
  <c r="BI8" i="1"/>
  <c r="AI8" i="1"/>
  <c r="AG8" i="1"/>
  <c r="AK9" i="1"/>
  <c r="AI9" i="1"/>
  <c r="AG9" i="1"/>
  <c r="AE9" i="1"/>
  <c r="AC9" i="1"/>
  <c r="AG7" i="1"/>
  <c r="AE7" i="1"/>
  <c r="AC7" i="1"/>
  <c r="AA7" i="1"/>
  <c r="Y7" i="1"/>
  <c r="W7" i="1"/>
  <c r="BE4" i="1"/>
  <c r="BE21" i="1" s="1"/>
  <c r="BC4" i="1"/>
  <c r="BC21" i="1" s="1"/>
  <c r="BA4" i="1"/>
  <c r="BA21" i="1" s="1"/>
  <c r="AY4" i="1"/>
  <c r="AY21" i="1" s="1"/>
  <c r="AW4" i="1"/>
  <c r="AW21" i="1" s="1"/>
  <c r="AU4" i="1"/>
  <c r="AU21" i="1" s="1"/>
  <c r="AS4" i="1"/>
  <c r="AS21" i="1" s="1"/>
  <c r="BI4" i="1"/>
  <c r="AQ4" i="1"/>
  <c r="AQ21" i="1" s="1"/>
  <c r="AO4" i="1"/>
  <c r="AO21" i="1" s="1"/>
  <c r="AM4" i="1"/>
  <c r="AM21" i="1" s="1"/>
  <c r="AK4" i="1"/>
  <c r="AI4" i="1"/>
  <c r="AG4" i="1"/>
  <c r="AG21" i="1" s="1"/>
  <c r="AE4" i="1"/>
  <c r="AC4" i="1"/>
  <c r="AA4" i="1"/>
  <c r="AA21" i="1" s="1"/>
  <c r="Y4" i="1"/>
  <c r="W4" i="1"/>
  <c r="BM4" i="1"/>
  <c r="BM21" i="1" s="1"/>
  <c r="S4" i="1"/>
  <c r="S21" i="1" s="1"/>
  <c r="Q4" i="1"/>
  <c r="Q21" i="1" s="1"/>
  <c r="O4" i="1"/>
  <c r="M4" i="1"/>
  <c r="M21" i="1" s="1"/>
  <c r="I4" i="1"/>
  <c r="I21" i="1" s="1"/>
  <c r="K4" i="1"/>
  <c r="U4" i="1"/>
  <c r="BK4" i="1"/>
  <c r="BK21" i="1" s="1"/>
  <c r="BG4" i="1"/>
  <c r="BG21" i="1" s="1"/>
  <c r="BK15" i="1"/>
  <c r="BI15" i="1"/>
  <c r="BE15" i="1"/>
  <c r="BC15" i="1"/>
  <c r="BA15" i="1"/>
  <c r="AY15" i="1"/>
  <c r="BG15" i="1"/>
  <c r="S6" i="1"/>
  <c r="Q6" i="1"/>
  <c r="O6" i="1"/>
  <c r="O21" i="1" s="1"/>
  <c r="AA6" i="1"/>
  <c r="AC6" i="1" s="1"/>
  <c r="AE6" i="1" s="1"/>
  <c r="Y6" i="1"/>
  <c r="W6" i="1"/>
  <c r="U6" i="1"/>
  <c r="K5" i="1"/>
  <c r="I5" i="1"/>
  <c r="BI21" i="1"/>
  <c r="G21" i="1"/>
  <c r="BZ21" i="1"/>
  <c r="E21" i="1"/>
  <c r="C21" i="1"/>
  <c r="D5" i="1"/>
  <c r="F5" i="1" s="1"/>
  <c r="D6" i="1"/>
  <c r="L6" i="1" s="1"/>
  <c r="D15" i="1"/>
  <c r="AV15" i="1" s="1"/>
  <c r="D9" i="1"/>
  <c r="AB9" i="1" s="1"/>
  <c r="D17" i="1"/>
  <c r="BD17" i="1" s="1"/>
  <c r="BF17" i="1" s="1"/>
  <c r="D11" i="1"/>
  <c r="AF11" i="1" s="1"/>
  <c r="D10" i="1"/>
  <c r="AF10" i="1" s="1"/>
  <c r="D13" i="1"/>
  <c r="AF13" i="1" s="1"/>
  <c r="D14" i="1"/>
  <c r="AN14" i="1" s="1"/>
  <c r="D19" i="1"/>
  <c r="BH19" i="1" s="1"/>
  <c r="BJ19" i="1" s="1"/>
  <c r="D12" i="1"/>
  <c r="AL12" i="1" s="1"/>
  <c r="AN12" i="1" s="1"/>
  <c r="D16" i="1"/>
  <c r="AX16" i="1" s="1"/>
  <c r="D8" i="1"/>
  <c r="D20" i="1"/>
  <c r="BH20" i="1" s="1"/>
  <c r="BJ20" i="1" s="1"/>
  <c r="D18" i="1"/>
  <c r="BL18" i="1" s="1"/>
  <c r="D4" i="1"/>
  <c r="F4" i="1" s="1"/>
  <c r="D7" i="1"/>
  <c r="T7" i="1" s="1"/>
  <c r="AK21" i="1" l="1"/>
  <c r="AC21" i="1"/>
  <c r="Y21" i="1"/>
  <c r="K21" i="1"/>
  <c r="U21" i="1"/>
  <c r="W21" i="1"/>
  <c r="AG6" i="1"/>
  <c r="AI6" i="1" s="1"/>
  <c r="AI21" i="1" s="1"/>
  <c r="AE21" i="1"/>
  <c r="BJ15" i="1"/>
  <c r="BF15" i="1"/>
  <c r="BH15" i="1"/>
  <c r="BJ10" i="1"/>
  <c r="Z9" i="1"/>
  <c r="AL9" i="1"/>
  <c r="AH11" i="1"/>
  <c r="BH11" i="1"/>
  <c r="AH10" i="1"/>
  <c r="BH10" i="1"/>
  <c r="AZ16" i="1"/>
  <c r="BB16" i="1"/>
  <c r="H4" i="1"/>
  <c r="N4" i="1"/>
  <c r="X4" i="1" s="1"/>
  <c r="L4" i="1"/>
  <c r="J4" i="1"/>
  <c r="H5" i="1"/>
  <c r="J5" i="1"/>
  <c r="T6" i="1"/>
  <c r="Z6" i="1"/>
  <c r="AB6" i="1" s="1"/>
  <c r="AD6" i="1" s="1"/>
  <c r="AF6" i="1" s="1"/>
  <c r="AH6" i="1" s="1"/>
  <c r="AZ15" i="1"/>
  <c r="BD15" i="1"/>
  <c r="AX15" i="1"/>
  <c r="BB15" i="1"/>
  <c r="AD9" i="1"/>
  <c r="AF9" i="1"/>
  <c r="AH9" i="1"/>
  <c r="AJ9" i="1"/>
  <c r="AJ13" i="1"/>
  <c r="AN13" i="1"/>
  <c r="AR13" i="1"/>
  <c r="AH13" i="1"/>
  <c r="AL13" i="1"/>
  <c r="AP13" i="1"/>
  <c r="AT13" i="1"/>
  <c r="AP14" i="1"/>
  <c r="AR14" i="1"/>
  <c r="AT14" i="1"/>
  <c r="AV14" i="1"/>
  <c r="AX14" i="1"/>
  <c r="AZ14" i="1"/>
  <c r="AD8" i="1"/>
  <c r="Z7" i="1"/>
  <c r="AB7" i="1"/>
  <c r="X7" i="1"/>
  <c r="AD7" i="1"/>
  <c r="V7" i="1"/>
  <c r="X6" i="1"/>
  <c r="AF7" i="1"/>
  <c r="P6" i="1"/>
  <c r="R6" i="1"/>
  <c r="N6" i="1"/>
  <c r="V6" i="1"/>
  <c r="N21" i="1" l="1"/>
  <c r="BJ8" i="1"/>
  <c r="BH8" i="1"/>
  <c r="AF8" i="1"/>
  <c r="AH8" i="1"/>
  <c r="P4" i="1"/>
  <c r="F21" i="1"/>
  <c r="L21" i="1"/>
  <c r="V4" i="1"/>
  <c r="AH4" i="1"/>
  <c r="X21" i="1"/>
  <c r="H21" i="1"/>
  <c r="R4" i="1"/>
  <c r="J21" i="1"/>
  <c r="T4" i="1"/>
  <c r="AH21" i="1" l="1"/>
  <c r="T21" i="1"/>
  <c r="AD4" i="1"/>
  <c r="AD21" i="1" s="1"/>
  <c r="P21" i="1"/>
  <c r="Z4" i="1"/>
  <c r="R21" i="1"/>
  <c r="AB4" i="1"/>
  <c r="AB21" i="1" s="1"/>
  <c r="AF4" i="1"/>
  <c r="AF21" i="1" s="1"/>
  <c r="V21" i="1"/>
  <c r="AJ4" i="1" l="1"/>
  <c r="Z21" i="1"/>
  <c r="BL4" i="1" l="1"/>
  <c r="BL21" i="1" s="1"/>
  <c r="AR4" i="1"/>
  <c r="AR21" i="1" s="1"/>
  <c r="BP21" i="1"/>
  <c r="BF4" i="1"/>
  <c r="BF21" i="1" s="1"/>
  <c r="BX21" i="1"/>
  <c r="AL4" i="1"/>
  <c r="AL21" i="1" s="1"/>
  <c r="AP4" i="1"/>
  <c r="AP21" i="1" s="1"/>
  <c r="BN21" i="1"/>
  <c r="AN4" i="1"/>
  <c r="AN21" i="1" s="1"/>
  <c r="BV21" i="1"/>
  <c r="BJ4" i="1"/>
  <c r="BJ21" i="1" s="1"/>
  <c r="AJ21" i="1"/>
  <c r="BD4" i="1"/>
  <c r="BD21" i="1" s="1"/>
  <c r="BR21" i="1"/>
  <c r="BB4" i="1"/>
  <c r="BB21" i="1" s="1"/>
  <c r="BH4" i="1"/>
  <c r="BH21" i="1" s="1"/>
  <c r="AV4" i="1"/>
  <c r="AV21" i="1" s="1"/>
  <c r="AX4" i="1"/>
  <c r="AX21" i="1" s="1"/>
  <c r="BT21" i="1"/>
  <c r="AT4" i="1"/>
  <c r="AT21" i="1" s="1"/>
  <c r="AZ4" i="1"/>
  <c r="AZ21" i="1" s="1"/>
</calcChain>
</file>

<file path=xl/sharedStrings.xml><?xml version="1.0" encoding="utf-8"?>
<sst xmlns="http://schemas.openxmlformats.org/spreadsheetml/2006/main" count="100" uniqueCount="62">
  <si>
    <t>MÃO DE OBRA CIVIL</t>
  </si>
  <si>
    <t>FUNDAÇÃO</t>
  </si>
  <si>
    <t>ESTRUTURA</t>
  </si>
  <si>
    <t>ALVENARIA</t>
  </si>
  <si>
    <t>ELETRICA</t>
  </si>
  <si>
    <t>HIDRAULICA</t>
  </si>
  <si>
    <t>CFTV</t>
  </si>
  <si>
    <t>DADOS E TELECOM</t>
  </si>
  <si>
    <t>IMPERMEABILIZAÇÕES</t>
  </si>
  <si>
    <t>REVESTIMENTOS</t>
  </si>
  <si>
    <t>PINTURAS</t>
  </si>
  <si>
    <t>LOUÇAS E METAIS</t>
  </si>
  <si>
    <t>PAISAGISMO</t>
  </si>
  <si>
    <t>MOBILIÁRIO SOLTO</t>
  </si>
  <si>
    <t>MOBILIA SOB MEDIDA</t>
  </si>
  <si>
    <t>TOTAL GERAL</t>
  </si>
  <si>
    <t>DESCRIÇÃO</t>
  </si>
  <si>
    <t>%</t>
  </si>
  <si>
    <t>VALOR R$</t>
  </si>
  <si>
    <t>GESSO</t>
  </si>
  <si>
    <t>PORTAS E JANELAS</t>
  </si>
  <si>
    <t>Duração da Atividade (Meses)</t>
  </si>
  <si>
    <t>Janeiro 2025</t>
  </si>
  <si>
    <t>Fevereiro 2025</t>
  </si>
  <si>
    <t>Março 2025</t>
  </si>
  <si>
    <t>Janeiro 2026</t>
  </si>
  <si>
    <t>Abril 2025</t>
  </si>
  <si>
    <t>Maio 2025</t>
  </si>
  <si>
    <t>Junho 2025</t>
  </si>
  <si>
    <t>Agosto 2025</t>
  </si>
  <si>
    <t>Setembro 2025</t>
  </si>
  <si>
    <t>Outubro 2025</t>
  </si>
  <si>
    <t>Setembro 2026</t>
  </si>
  <si>
    <t>Outubro 2026</t>
  </si>
  <si>
    <t>Novembro 2026</t>
  </si>
  <si>
    <t>Dezembro 2025</t>
  </si>
  <si>
    <t>ITEM</t>
  </si>
  <si>
    <t>Julho 2025</t>
  </si>
  <si>
    <t>Fevereiro 2026</t>
  </si>
  <si>
    <t>Março 2026</t>
  </si>
  <si>
    <t>Abril 2026</t>
  </si>
  <si>
    <t>Maio 2026</t>
  </si>
  <si>
    <t>Junho 2026</t>
  </si>
  <si>
    <t>Julho 2026</t>
  </si>
  <si>
    <t>Agosto 2026</t>
  </si>
  <si>
    <t>Novembro 2027</t>
  </si>
  <si>
    <t>Dezembro 2026</t>
  </si>
  <si>
    <t>Janeiro 2027</t>
  </si>
  <si>
    <t>Fevereiro 2027</t>
  </si>
  <si>
    <t>Março 2027</t>
  </si>
  <si>
    <t>Abril 2027</t>
  </si>
  <si>
    <t>Maio 2027</t>
  </si>
  <si>
    <t>Junho 2027</t>
  </si>
  <si>
    <t>Julho 2027</t>
  </si>
  <si>
    <t>Agosto 2027</t>
  </si>
  <si>
    <t>Setembro 2027</t>
  </si>
  <si>
    <t>Outubro 2027</t>
  </si>
  <si>
    <t>Dezembro 2027</t>
  </si>
  <si>
    <r>
      <rPr>
        <b/>
        <sz val="11"/>
        <color theme="1"/>
        <rFont val="Calibri"/>
        <family val="2"/>
        <scheme val="minor"/>
      </rPr>
      <t>Área:</t>
    </r>
    <r>
      <rPr>
        <sz val="11"/>
        <color theme="1"/>
        <rFont val="Calibri"/>
        <family val="2"/>
        <scheme val="minor"/>
      </rPr>
      <t xml:space="preserve"> 5.576,17 m²</t>
    </r>
  </si>
  <si>
    <r>
      <rPr>
        <b/>
        <sz val="11"/>
        <color theme="1"/>
        <rFont val="Calibri"/>
        <family val="2"/>
        <scheme val="minor"/>
      </rPr>
      <t>Obra:</t>
    </r>
    <r>
      <rPr>
        <sz val="11"/>
        <color theme="1"/>
        <rFont val="Calibri"/>
        <family val="2"/>
        <scheme val="minor"/>
      </rPr>
      <t xml:space="preserve"> Viva Perequê Residence</t>
    </r>
  </si>
  <si>
    <r>
      <rPr>
        <b/>
        <sz val="11"/>
        <color theme="1"/>
        <rFont val="Calibri"/>
        <family val="2"/>
        <scheme val="minor"/>
      </rPr>
      <t>DATA</t>
    </r>
    <r>
      <rPr>
        <sz val="11"/>
        <color theme="1"/>
        <rFont val="Calibri"/>
        <family val="2"/>
        <scheme val="minor"/>
      </rPr>
      <t>: 10/01/2025</t>
    </r>
  </si>
  <si>
    <r>
      <rPr>
        <b/>
        <sz val="11"/>
        <color theme="1"/>
        <rFont val="Calibri"/>
        <family val="2"/>
        <scheme val="minor"/>
      </rPr>
      <t>Mês referência:</t>
    </r>
    <r>
      <rPr>
        <sz val="11"/>
        <color theme="1"/>
        <rFont val="Calibri"/>
        <family val="2"/>
        <scheme val="minor"/>
      </rPr>
      <t xml:space="preserve"> 01/2025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</si>
</sst>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4D4D4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8">
    <xf numFmtId="0" fontId="0" fillId="0" borderId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7">
    <xf numFmtId="0" fontId="0" fillId="0" borderId="0" xfId="0"/>
    <xf numFmtId="0" fontId="4" fillId="3" borderId="2" xfId="5" applyFont="1" applyFill="1" applyBorder="1" applyAlignment="1">
      <alignment horizontal="center" vertical="center"/>
    </xf>
    <xf numFmtId="0" fontId="4" fillId="3" borderId="8" xfId="5" applyFont="1" applyFill="1" applyBorder="1" applyAlignment="1">
      <alignment horizontal="center" vertical="center"/>
    </xf>
    <xf numFmtId="0" fontId="3" fillId="0" borderId="9" xfId="5" applyFont="1" applyBorder="1" applyAlignment="1">
      <alignment horizontal="center"/>
    </xf>
    <xf numFmtId="0" fontId="4" fillId="2" borderId="10" xfId="5" applyFont="1" applyFill="1" applyBorder="1"/>
    <xf numFmtId="0" fontId="4" fillId="3" borderId="11" xfId="5" applyFont="1" applyFill="1" applyBorder="1"/>
    <xf numFmtId="10" fontId="4" fillId="3" borderId="11" xfId="4" applyNumberFormat="1" applyFont="1" applyFill="1" applyBorder="1" applyAlignment="1">
      <alignment horizontal="center"/>
    </xf>
    <xf numFmtId="44" fontId="4" fillId="3" borderId="12" xfId="6" applyFont="1" applyFill="1" applyBorder="1" applyAlignment="1">
      <alignment horizontal="center"/>
    </xf>
    <xf numFmtId="0" fontId="4" fillId="3" borderId="13" xfId="5" applyFont="1" applyFill="1" applyBorder="1" applyAlignment="1">
      <alignment horizontal="center" vertical="center"/>
    </xf>
    <xf numFmtId="0" fontId="3" fillId="4" borderId="1" xfId="5" applyFont="1" applyFill="1" applyBorder="1"/>
    <xf numFmtId="10" fontId="3" fillId="4" borderId="1" xfId="4" applyNumberFormat="1" applyFont="1" applyFill="1" applyBorder="1" applyAlignment="1"/>
    <xf numFmtId="44" fontId="3" fillId="4" borderId="3" xfId="3" applyFont="1" applyFill="1" applyBorder="1" applyAlignment="1">
      <alignment horizontal="left"/>
    </xf>
    <xf numFmtId="0" fontId="3" fillId="5" borderId="1" xfId="5" applyFont="1" applyFill="1" applyBorder="1"/>
    <xf numFmtId="10" fontId="3" fillId="5" borderId="1" xfId="4" applyNumberFormat="1" applyFont="1" applyFill="1" applyBorder="1" applyAlignment="1"/>
    <xf numFmtId="44" fontId="3" fillId="5" borderId="3" xfId="3" applyFont="1" applyFill="1" applyBorder="1" applyAlignment="1">
      <alignment horizontal="left"/>
    </xf>
    <xf numFmtId="0" fontId="3" fillId="6" borderId="1" xfId="5" applyFont="1" applyFill="1" applyBorder="1"/>
    <xf numFmtId="10" fontId="3" fillId="6" borderId="1" xfId="4" applyNumberFormat="1" applyFont="1" applyFill="1" applyBorder="1" applyAlignment="1"/>
    <xf numFmtId="44" fontId="3" fillId="6" borderId="3" xfId="3" applyFont="1" applyFill="1" applyBorder="1" applyAlignment="1">
      <alignment horizontal="left"/>
    </xf>
    <xf numFmtId="0" fontId="3" fillId="7" borderId="1" xfId="5" applyFont="1" applyFill="1" applyBorder="1"/>
    <xf numFmtId="10" fontId="3" fillId="7" borderId="1" xfId="4" applyNumberFormat="1" applyFont="1" applyFill="1" applyBorder="1" applyAlignment="1"/>
    <xf numFmtId="44" fontId="3" fillId="7" borderId="3" xfId="3" applyFont="1" applyFill="1" applyBorder="1" applyAlignment="1">
      <alignment horizontal="left"/>
    </xf>
    <xf numFmtId="44" fontId="0" fillId="4" borderId="1" xfId="0" applyNumberFormat="1" applyFill="1" applyBorder="1"/>
    <xf numFmtId="0" fontId="0" fillId="0" borderId="1" xfId="0" applyBorder="1"/>
    <xf numFmtId="44" fontId="0" fillId="6" borderId="1" xfId="0" applyNumberFormat="1" applyFill="1" applyBorder="1"/>
    <xf numFmtId="44" fontId="0" fillId="7" borderId="1" xfId="0" applyNumberFormat="1" applyFill="1" applyBorder="1"/>
    <xf numFmtId="0" fontId="3" fillId="8" borderId="1" xfId="5" applyFont="1" applyFill="1" applyBorder="1"/>
    <xf numFmtId="10" fontId="3" fillId="8" borderId="1" xfId="4" applyNumberFormat="1" applyFont="1" applyFill="1" applyBorder="1" applyAlignment="1"/>
    <xf numFmtId="44" fontId="3" fillId="8" borderId="3" xfId="3" applyFont="1" applyFill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44" fontId="0" fillId="0" borderId="1" xfId="0" applyNumberFormat="1" applyBorder="1"/>
    <xf numFmtId="44" fontId="0" fillId="2" borderId="1" xfId="0" applyNumberFormat="1" applyFill="1" applyBorder="1" applyAlignment="1">
      <alignment horizontal="center"/>
    </xf>
    <xf numFmtId="44" fontId="0" fillId="2" borderId="1" xfId="0" applyNumberFormat="1" applyFill="1" applyBorder="1"/>
    <xf numFmtId="0" fontId="3" fillId="9" borderId="1" xfId="5" applyFont="1" applyFill="1" applyBorder="1"/>
    <xf numFmtId="10" fontId="3" fillId="9" borderId="1" xfId="4" applyNumberFormat="1" applyFont="1" applyFill="1" applyBorder="1" applyAlignment="1"/>
    <xf numFmtId="44" fontId="3" fillId="9" borderId="3" xfId="3" applyFont="1" applyFill="1" applyBorder="1" applyAlignment="1">
      <alignment horizontal="left"/>
    </xf>
    <xf numFmtId="44" fontId="0" fillId="5" borderId="2" xfId="0" applyNumberFormat="1" applyFill="1" applyBorder="1"/>
    <xf numFmtId="0" fontId="5" fillId="0" borderId="16" xfId="0" applyFont="1" applyBorder="1" applyAlignment="1">
      <alignment horizontal="center"/>
    </xf>
    <xf numFmtId="0" fontId="0" fillId="0" borderId="22" xfId="0" applyBorder="1"/>
    <xf numFmtId="10" fontId="0" fillId="0" borderId="1" xfId="0" applyNumberFormat="1" applyBorder="1"/>
    <xf numFmtId="10" fontId="0" fillId="0" borderId="22" xfId="0" applyNumberFormat="1" applyBorder="1"/>
    <xf numFmtId="10" fontId="0" fillId="4" borderId="1" xfId="0" applyNumberFormat="1" applyFill="1" applyBorder="1" applyAlignment="1">
      <alignment horizontal="center"/>
    </xf>
    <xf numFmtId="10" fontId="0" fillId="5" borderId="2" xfId="0" applyNumberFormat="1" applyFill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0" fontId="0" fillId="0" borderId="22" xfId="0" applyNumberFormat="1" applyBorder="1" applyAlignment="1">
      <alignment horizontal="center" vertical="center"/>
    </xf>
    <xf numFmtId="10" fontId="0" fillId="6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44" fontId="0" fillId="8" borderId="1" xfId="0" applyNumberFormat="1" applyFill="1" applyBorder="1"/>
    <xf numFmtId="10" fontId="0" fillId="8" borderId="1" xfId="0" applyNumberFormat="1" applyFill="1" applyBorder="1" applyAlignment="1">
      <alignment horizontal="center" vertical="center"/>
    </xf>
    <xf numFmtId="44" fontId="0" fillId="9" borderId="1" xfId="0" applyNumberFormat="1" applyFill="1" applyBorder="1"/>
    <xf numFmtId="10" fontId="0" fillId="9" borderId="1" xfId="0" applyNumberFormat="1" applyFill="1" applyBorder="1" applyAlignment="1">
      <alignment horizontal="center" vertical="center"/>
    </xf>
    <xf numFmtId="0" fontId="3" fillId="10" borderId="1" xfId="5" applyFont="1" applyFill="1" applyBorder="1"/>
    <xf numFmtId="10" fontId="3" fillId="10" borderId="1" xfId="4" applyNumberFormat="1" applyFont="1" applyFill="1" applyBorder="1" applyAlignment="1"/>
    <xf numFmtId="44" fontId="3" fillId="10" borderId="3" xfId="3" applyFont="1" applyFill="1" applyBorder="1" applyAlignment="1">
      <alignment horizontal="left"/>
    </xf>
    <xf numFmtId="44" fontId="0" fillId="10" borderId="1" xfId="0" applyNumberFormat="1" applyFill="1" applyBorder="1"/>
    <xf numFmtId="10" fontId="0" fillId="10" borderId="1" xfId="0" applyNumberFormat="1" applyFill="1" applyBorder="1" applyAlignment="1">
      <alignment horizontal="center" vertical="center"/>
    </xf>
    <xf numFmtId="0" fontId="3" fillId="3" borderId="1" xfId="5" applyFont="1" applyFill="1" applyBorder="1"/>
    <xf numFmtId="10" fontId="3" fillId="3" borderId="1" xfId="4" applyNumberFormat="1" applyFont="1" applyFill="1" applyBorder="1" applyAlignment="1"/>
    <xf numFmtId="44" fontId="3" fillId="3" borderId="3" xfId="3" applyFont="1" applyFill="1" applyBorder="1" applyAlignment="1">
      <alignment horizontal="left"/>
    </xf>
    <xf numFmtId="44" fontId="0" fillId="3" borderId="1" xfId="0" applyNumberFormat="1" applyFill="1" applyBorder="1"/>
    <xf numFmtId="10" fontId="0" fillId="3" borderId="1" xfId="0" applyNumberFormat="1" applyFill="1" applyBorder="1" applyAlignment="1">
      <alignment horizontal="center" vertical="center"/>
    </xf>
    <xf numFmtId="0" fontId="3" fillId="11" borderId="1" xfId="5" applyFont="1" applyFill="1" applyBorder="1"/>
    <xf numFmtId="10" fontId="3" fillId="11" borderId="1" xfId="4" applyNumberFormat="1" applyFont="1" applyFill="1" applyBorder="1" applyAlignment="1"/>
    <xf numFmtId="44" fontId="3" fillId="11" borderId="3" xfId="3" applyFont="1" applyFill="1" applyBorder="1" applyAlignment="1">
      <alignment horizontal="left"/>
    </xf>
    <xf numFmtId="44" fontId="0" fillId="11" borderId="1" xfId="0" applyNumberFormat="1" applyFill="1" applyBorder="1"/>
    <xf numFmtId="10" fontId="0" fillId="11" borderId="1" xfId="0" applyNumberFormat="1" applyFill="1" applyBorder="1" applyAlignment="1">
      <alignment horizontal="center" vertical="center"/>
    </xf>
    <xf numFmtId="0" fontId="3" fillId="12" borderId="1" xfId="5" applyFont="1" applyFill="1" applyBorder="1"/>
    <xf numFmtId="10" fontId="3" fillId="12" borderId="1" xfId="4" applyNumberFormat="1" applyFont="1" applyFill="1" applyBorder="1" applyAlignment="1"/>
    <xf numFmtId="44" fontId="3" fillId="12" borderId="3" xfId="3" applyFont="1" applyFill="1" applyBorder="1" applyAlignment="1">
      <alignment horizontal="left"/>
    </xf>
    <xf numFmtId="44" fontId="0" fillId="12" borderId="1" xfId="0" applyNumberFormat="1" applyFill="1" applyBorder="1"/>
    <xf numFmtId="0" fontId="3" fillId="13" borderId="1" xfId="5" applyFont="1" applyFill="1" applyBorder="1"/>
    <xf numFmtId="10" fontId="3" fillId="13" borderId="1" xfId="4" applyNumberFormat="1" applyFont="1" applyFill="1" applyBorder="1" applyAlignment="1"/>
    <xf numFmtId="44" fontId="3" fillId="13" borderId="3" xfId="3" applyFont="1" applyFill="1" applyBorder="1" applyAlignment="1">
      <alignment horizontal="left"/>
    </xf>
    <xf numFmtId="44" fontId="0" fillId="13" borderId="1" xfId="0" applyNumberFormat="1" applyFill="1" applyBorder="1"/>
    <xf numFmtId="0" fontId="3" fillId="14" borderId="1" xfId="5" applyFont="1" applyFill="1" applyBorder="1"/>
    <xf numFmtId="10" fontId="3" fillId="14" borderId="1" xfId="4" applyNumberFormat="1" applyFont="1" applyFill="1" applyBorder="1" applyAlignment="1"/>
    <xf numFmtId="44" fontId="3" fillId="14" borderId="3" xfId="3" applyFont="1" applyFill="1" applyBorder="1" applyAlignment="1">
      <alignment horizontal="left"/>
    </xf>
    <xf numFmtId="44" fontId="0" fillId="14" borderId="1" xfId="0" applyNumberFormat="1" applyFill="1" applyBorder="1"/>
    <xf numFmtId="0" fontId="3" fillId="15" borderId="1" xfId="5" applyFont="1" applyFill="1" applyBorder="1"/>
    <xf numFmtId="10" fontId="3" fillId="15" borderId="1" xfId="4" applyNumberFormat="1" applyFont="1" applyFill="1" applyBorder="1" applyAlignment="1"/>
    <xf numFmtId="44" fontId="3" fillId="15" borderId="3" xfId="3" applyFont="1" applyFill="1" applyBorder="1" applyAlignment="1">
      <alignment horizontal="left"/>
    </xf>
    <xf numFmtId="44" fontId="0" fillId="15" borderId="1" xfId="0" applyNumberFormat="1" applyFill="1" applyBorder="1"/>
    <xf numFmtId="0" fontId="3" fillId="16" borderId="1" xfId="5" applyFont="1" applyFill="1" applyBorder="1"/>
    <xf numFmtId="10" fontId="3" fillId="16" borderId="1" xfId="4" applyNumberFormat="1" applyFont="1" applyFill="1" applyBorder="1" applyAlignment="1"/>
    <xf numFmtId="44" fontId="3" fillId="16" borderId="3" xfId="3" applyFont="1" applyFill="1" applyBorder="1" applyAlignment="1">
      <alignment horizontal="left"/>
    </xf>
    <xf numFmtId="44" fontId="0" fillId="16" borderId="1" xfId="0" applyNumberFormat="1" applyFill="1" applyBorder="1"/>
    <xf numFmtId="0" fontId="3" fillId="17" borderId="1" xfId="5" applyFont="1" applyFill="1" applyBorder="1"/>
    <xf numFmtId="10" fontId="3" fillId="17" borderId="1" xfId="4" applyNumberFormat="1" applyFont="1" applyFill="1" applyBorder="1" applyAlignment="1"/>
    <xf numFmtId="44" fontId="3" fillId="17" borderId="3" xfId="3" applyFont="1" applyFill="1" applyBorder="1" applyAlignment="1">
      <alignment horizontal="left"/>
    </xf>
    <xf numFmtId="0" fontId="0" fillId="17" borderId="2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2" xfId="0" applyBorder="1" applyAlignment="1">
      <alignment horizontal="center"/>
    </xf>
    <xf numFmtId="10" fontId="0" fillId="4" borderId="1" xfId="0" applyNumberForma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/>
    </xf>
    <xf numFmtId="10" fontId="0" fillId="6" borderId="1" xfId="0" applyNumberFormat="1" applyFill="1" applyBorder="1" applyAlignment="1">
      <alignment horizontal="center"/>
    </xf>
    <xf numFmtId="10" fontId="0" fillId="0" borderId="22" xfId="0" applyNumberFormat="1" applyBorder="1" applyAlignment="1">
      <alignment horizontal="center"/>
    </xf>
    <xf numFmtId="44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10" fontId="0" fillId="2" borderId="1" xfId="0" applyNumberFormat="1" applyFill="1" applyBorder="1"/>
    <xf numFmtId="10" fontId="0" fillId="14" borderId="1" xfId="0" applyNumberFormat="1" applyFill="1" applyBorder="1" applyAlignment="1">
      <alignment horizontal="center" vertical="center"/>
    </xf>
    <xf numFmtId="10" fontId="0" fillId="16" borderId="1" xfId="0" applyNumberFormat="1" applyFill="1" applyBorder="1" applyAlignment="1">
      <alignment horizontal="center" vertical="center"/>
    </xf>
    <xf numFmtId="10" fontId="0" fillId="15" borderId="1" xfId="0" applyNumberFormat="1" applyFill="1" applyBorder="1" applyAlignment="1">
      <alignment horizontal="center" vertical="center"/>
    </xf>
    <xf numFmtId="10" fontId="0" fillId="13" borderId="1" xfId="0" applyNumberFormat="1" applyFill="1" applyBorder="1" applyAlignment="1">
      <alignment horizontal="center" vertical="center"/>
    </xf>
    <xf numFmtId="10" fontId="0" fillId="5" borderId="2" xfId="0" applyNumberFormat="1" applyFill="1" applyBorder="1" applyAlignment="1">
      <alignment horizontal="center" vertical="center"/>
    </xf>
    <xf numFmtId="44" fontId="0" fillId="2" borderId="22" xfId="0" applyNumberFormat="1" applyFill="1" applyBorder="1"/>
    <xf numFmtId="10" fontId="0" fillId="2" borderId="22" xfId="0" applyNumberFormat="1" applyFill="1" applyBorder="1"/>
    <xf numFmtId="44" fontId="0" fillId="18" borderId="22" xfId="0" applyNumberFormat="1" applyFill="1" applyBorder="1"/>
    <xf numFmtId="10" fontId="0" fillId="18" borderId="22" xfId="0" applyNumberFormat="1" applyFill="1" applyBorder="1" applyAlignment="1">
      <alignment horizontal="center" vertical="center"/>
    </xf>
    <xf numFmtId="44" fontId="5" fillId="0" borderId="16" xfId="0" applyNumberFormat="1" applyFont="1" applyBorder="1"/>
    <xf numFmtId="10" fontId="5" fillId="0" borderId="16" xfId="0" applyNumberFormat="1" applyFont="1" applyBorder="1" applyAlignment="1">
      <alignment horizontal="center"/>
    </xf>
    <xf numFmtId="10" fontId="5" fillId="0" borderId="16" xfId="0" applyNumberFormat="1" applyFont="1" applyBorder="1" applyAlignment="1">
      <alignment horizontal="center" vertical="center"/>
    </xf>
    <xf numFmtId="10" fontId="5" fillId="0" borderId="16" xfId="0" applyNumberFormat="1" applyFont="1" applyBorder="1"/>
    <xf numFmtId="10" fontId="0" fillId="12" borderId="1" xfId="0" applyNumberFormat="1" applyFill="1" applyBorder="1" applyAlignment="1">
      <alignment horizontal="center" vertical="center"/>
    </xf>
    <xf numFmtId="10" fontId="0" fillId="9" borderId="1" xfId="0" quotePrefix="1" applyNumberFormat="1" applyFill="1" applyBorder="1" applyAlignment="1">
      <alignment horizontal="center" vertical="center"/>
    </xf>
    <xf numFmtId="44" fontId="0" fillId="2" borderId="2" xfId="0" applyNumberFormat="1" applyFill="1" applyBorder="1"/>
    <xf numFmtId="10" fontId="0" fillId="2" borderId="2" xfId="0" applyNumberFormat="1" applyFill="1" applyBorder="1" applyAlignment="1">
      <alignment horizontal="center"/>
    </xf>
    <xf numFmtId="10" fontId="0" fillId="2" borderId="2" xfId="0" applyNumberFormat="1" applyFill="1" applyBorder="1"/>
    <xf numFmtId="44" fontId="4" fillId="2" borderId="0" xfId="6" applyFont="1" applyFill="1" applyBorder="1" applyAlignment="1">
      <alignment horizontal="center"/>
    </xf>
    <xf numFmtId="49" fontId="7" fillId="3" borderId="14" xfId="0" applyNumberFormat="1" applyFont="1" applyFill="1" applyBorder="1" applyAlignment="1">
      <alignment horizontal="center" vertical="center" wrapText="1"/>
    </xf>
    <xf numFmtId="49" fontId="5" fillId="3" borderId="15" xfId="0" applyNumberFormat="1" applyFont="1" applyFill="1" applyBorder="1" applyAlignment="1">
      <alignment horizontal="center" vertical="center" wrapText="1"/>
    </xf>
    <xf numFmtId="49" fontId="5" fillId="3" borderId="20" xfId="0" applyNumberFormat="1" applyFont="1" applyFill="1" applyBorder="1" applyAlignment="1">
      <alignment horizontal="center" vertical="center" wrapText="1"/>
    </xf>
    <xf numFmtId="49" fontId="0" fillId="3" borderId="14" xfId="0" applyNumberFormat="1" applyFill="1" applyBorder="1" applyAlignment="1">
      <alignment horizontal="center" vertical="center" wrapText="1"/>
    </xf>
    <xf numFmtId="49" fontId="0" fillId="3" borderId="15" xfId="0" applyNumberFormat="1" applyFill="1" applyBorder="1" applyAlignment="1">
      <alignment horizontal="center" vertical="center" wrapText="1"/>
    </xf>
    <xf numFmtId="49" fontId="0" fillId="3" borderId="20" xfId="0" applyNumberForma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23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49" fontId="0" fillId="3" borderId="17" xfId="0" applyNumberFormat="1" applyFill="1" applyBorder="1" applyAlignment="1">
      <alignment horizontal="center" vertical="center" wrapText="1"/>
    </xf>
    <xf numFmtId="49" fontId="0" fillId="3" borderId="19" xfId="0" applyNumberFormat="1" applyFill="1" applyBorder="1" applyAlignment="1">
      <alignment horizontal="center" vertical="center" wrapText="1"/>
    </xf>
    <xf numFmtId="49" fontId="0" fillId="3" borderId="18" xfId="0" applyNumberFormat="1" applyFill="1" applyBorder="1" applyAlignment="1">
      <alignment horizontal="center" vertical="center" wrapText="1"/>
    </xf>
  </cellXfs>
  <cellStyles count="8">
    <cellStyle name="Moeda 2" xfId="6" xr:uid="{AF302ABC-F01A-48E9-B187-40A489612BD7}"/>
    <cellStyle name="Moeda 3" xfId="3" xr:uid="{7054C82B-5C83-4D79-9814-7EDB6237A7F1}"/>
    <cellStyle name="Normal" xfId="0" builtinId="0"/>
    <cellStyle name="Normal 2" xfId="1" xr:uid="{6379792E-B81D-4524-9706-196B2DC1BE27}"/>
    <cellStyle name="Normal 3" xfId="5" xr:uid="{A91359ED-6381-4ADB-A7E2-0207A8DE6471}"/>
    <cellStyle name="Porcentagem 2" xfId="4" xr:uid="{314CB5DB-6626-4B19-9E9E-25ED558DEA64}"/>
    <cellStyle name="Vírgula 2" xfId="7" xr:uid="{6729B373-B9D6-42D2-AEEE-C54D5CD8C02D}"/>
    <cellStyle name="Vírgula 3" xfId="2" xr:uid="{6F16C630-28AC-4AE8-8158-83AFBB2D3A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792BE-3E02-43CE-BA52-6650A3552FD1}">
  <dimension ref="A1:BZ23"/>
  <sheetViews>
    <sheetView tabSelected="1" zoomScale="77" zoomScaleNormal="77" workbookViewId="0">
      <pane xSplit="5" topLeftCell="F1" activePane="topRight" state="frozen"/>
      <selection pane="topRight" activeCell="C3" sqref="C3"/>
    </sheetView>
  </sheetViews>
  <sheetFormatPr defaultRowHeight="14.4" x14ac:dyDescent="0.3"/>
  <cols>
    <col min="2" max="2" width="19.77734375" bestFit="1" customWidth="1"/>
    <col min="3" max="3" width="8" bestFit="1" customWidth="1"/>
    <col min="4" max="4" width="16.6640625" bestFit="1" customWidth="1"/>
    <col min="5" max="5" width="17.33203125" customWidth="1"/>
    <col min="6" max="65" width="15.77734375" customWidth="1"/>
    <col min="66" max="77" width="15.77734375" hidden="1" customWidth="1"/>
  </cols>
  <sheetData>
    <row r="1" spans="1:78" x14ac:dyDescent="0.3">
      <c r="A1" s="147" t="s">
        <v>59</v>
      </c>
      <c r="B1" s="148"/>
      <c r="C1" s="152" t="s">
        <v>60</v>
      </c>
      <c r="D1" s="153"/>
      <c r="E1" s="149" t="s">
        <v>21</v>
      </c>
      <c r="F1" s="139" t="s">
        <v>22</v>
      </c>
      <c r="G1" s="136" t="s">
        <v>17</v>
      </c>
      <c r="H1" s="139" t="s">
        <v>23</v>
      </c>
      <c r="I1" s="136" t="s">
        <v>17</v>
      </c>
      <c r="J1" s="139" t="s">
        <v>24</v>
      </c>
      <c r="K1" s="136" t="s">
        <v>17</v>
      </c>
      <c r="L1" s="139" t="s">
        <v>26</v>
      </c>
      <c r="M1" s="136" t="s">
        <v>17</v>
      </c>
      <c r="N1" s="139" t="s">
        <v>27</v>
      </c>
      <c r="O1" s="136" t="s">
        <v>17</v>
      </c>
      <c r="P1" s="139" t="s">
        <v>28</v>
      </c>
      <c r="Q1" s="136" t="s">
        <v>17</v>
      </c>
      <c r="R1" s="139" t="s">
        <v>37</v>
      </c>
      <c r="S1" s="136" t="s">
        <v>17</v>
      </c>
      <c r="T1" s="139" t="s">
        <v>29</v>
      </c>
      <c r="U1" s="136" t="s">
        <v>17</v>
      </c>
      <c r="V1" s="139" t="s">
        <v>30</v>
      </c>
      <c r="W1" s="136" t="s">
        <v>17</v>
      </c>
      <c r="X1" s="139" t="s">
        <v>31</v>
      </c>
      <c r="Y1" s="136" t="s">
        <v>17</v>
      </c>
      <c r="Z1" s="139" t="s">
        <v>34</v>
      </c>
      <c r="AA1" s="136" t="s">
        <v>17</v>
      </c>
      <c r="AB1" s="139" t="s">
        <v>35</v>
      </c>
      <c r="AC1" s="136" t="s">
        <v>17</v>
      </c>
      <c r="AD1" s="139" t="s">
        <v>25</v>
      </c>
      <c r="AE1" s="136" t="s">
        <v>17</v>
      </c>
      <c r="AF1" s="139" t="s">
        <v>38</v>
      </c>
      <c r="AG1" s="136" t="s">
        <v>17</v>
      </c>
      <c r="AH1" s="139" t="s">
        <v>39</v>
      </c>
      <c r="AI1" s="136" t="s">
        <v>17</v>
      </c>
      <c r="AJ1" s="139" t="s">
        <v>40</v>
      </c>
      <c r="AK1" s="136" t="s">
        <v>17</v>
      </c>
      <c r="AL1" s="139" t="s">
        <v>41</v>
      </c>
      <c r="AM1" s="136" t="s">
        <v>17</v>
      </c>
      <c r="AN1" s="139" t="s">
        <v>42</v>
      </c>
      <c r="AO1" s="136" t="s">
        <v>17</v>
      </c>
      <c r="AP1" s="139" t="s">
        <v>43</v>
      </c>
      <c r="AQ1" s="136" t="s">
        <v>17</v>
      </c>
      <c r="AR1" s="139" t="s">
        <v>44</v>
      </c>
      <c r="AS1" s="136" t="s">
        <v>17</v>
      </c>
      <c r="AT1" s="139" t="s">
        <v>32</v>
      </c>
      <c r="AU1" s="136" t="s">
        <v>17</v>
      </c>
      <c r="AV1" s="139" t="s">
        <v>33</v>
      </c>
      <c r="AW1" s="136" t="s">
        <v>17</v>
      </c>
      <c r="AX1" s="139" t="s">
        <v>45</v>
      </c>
      <c r="AY1" s="136" t="s">
        <v>17</v>
      </c>
      <c r="AZ1" s="139" t="s">
        <v>46</v>
      </c>
      <c r="BA1" s="136" t="s">
        <v>17</v>
      </c>
      <c r="BB1" s="139" t="s">
        <v>47</v>
      </c>
      <c r="BC1" s="136" t="s">
        <v>17</v>
      </c>
      <c r="BD1" s="139" t="s">
        <v>48</v>
      </c>
      <c r="BE1" s="136" t="s">
        <v>17</v>
      </c>
      <c r="BF1" s="139" t="s">
        <v>49</v>
      </c>
      <c r="BG1" s="136" t="s">
        <v>17</v>
      </c>
      <c r="BH1" s="154" t="s">
        <v>50</v>
      </c>
      <c r="BI1" s="136" t="s">
        <v>17</v>
      </c>
      <c r="BJ1" s="139" t="s">
        <v>51</v>
      </c>
      <c r="BK1" s="136" t="s">
        <v>17</v>
      </c>
      <c r="BL1" s="139" t="s">
        <v>52</v>
      </c>
      <c r="BM1" s="136" t="s">
        <v>17</v>
      </c>
      <c r="BN1" s="139" t="s">
        <v>53</v>
      </c>
      <c r="BO1" s="136" t="s">
        <v>17</v>
      </c>
      <c r="BP1" s="139" t="s">
        <v>54</v>
      </c>
      <c r="BQ1" s="136" t="s">
        <v>17</v>
      </c>
      <c r="BR1" s="139" t="s">
        <v>55</v>
      </c>
      <c r="BS1" s="136" t="s">
        <v>17</v>
      </c>
      <c r="BT1" s="139" t="s">
        <v>56</v>
      </c>
      <c r="BU1" s="136" t="s">
        <v>17</v>
      </c>
      <c r="BV1" s="139" t="s">
        <v>45</v>
      </c>
      <c r="BW1" s="136" t="s">
        <v>17</v>
      </c>
      <c r="BX1" s="139" t="s">
        <v>57</v>
      </c>
      <c r="BY1" s="136" t="s">
        <v>17</v>
      </c>
      <c r="BZ1" s="142" t="s">
        <v>17</v>
      </c>
    </row>
    <row r="2" spans="1:78" ht="14.4" customHeight="1" x14ac:dyDescent="0.3">
      <c r="A2" s="145" t="s">
        <v>58</v>
      </c>
      <c r="B2" s="146"/>
      <c r="C2" s="152" t="s">
        <v>61</v>
      </c>
      <c r="D2" s="153"/>
      <c r="E2" s="150"/>
      <c r="F2" s="140"/>
      <c r="G2" s="137"/>
      <c r="H2" s="140"/>
      <c r="I2" s="137"/>
      <c r="J2" s="140"/>
      <c r="K2" s="137"/>
      <c r="L2" s="140"/>
      <c r="M2" s="137"/>
      <c r="N2" s="140"/>
      <c r="O2" s="137"/>
      <c r="P2" s="140"/>
      <c r="Q2" s="137"/>
      <c r="R2" s="140"/>
      <c r="S2" s="137"/>
      <c r="T2" s="140"/>
      <c r="U2" s="137"/>
      <c r="V2" s="140"/>
      <c r="W2" s="137"/>
      <c r="X2" s="140"/>
      <c r="Y2" s="137"/>
      <c r="Z2" s="140"/>
      <c r="AA2" s="137"/>
      <c r="AB2" s="140"/>
      <c r="AC2" s="137"/>
      <c r="AD2" s="140"/>
      <c r="AE2" s="137"/>
      <c r="AF2" s="140"/>
      <c r="AG2" s="137"/>
      <c r="AH2" s="140"/>
      <c r="AI2" s="137"/>
      <c r="AJ2" s="140"/>
      <c r="AK2" s="137"/>
      <c r="AL2" s="140"/>
      <c r="AM2" s="137"/>
      <c r="AN2" s="140"/>
      <c r="AO2" s="137"/>
      <c r="AP2" s="140"/>
      <c r="AQ2" s="137"/>
      <c r="AR2" s="140"/>
      <c r="AS2" s="137"/>
      <c r="AT2" s="140"/>
      <c r="AU2" s="137"/>
      <c r="AV2" s="140"/>
      <c r="AW2" s="137"/>
      <c r="AX2" s="140"/>
      <c r="AY2" s="137"/>
      <c r="AZ2" s="140"/>
      <c r="BA2" s="137"/>
      <c r="BB2" s="140"/>
      <c r="BC2" s="137"/>
      <c r="BD2" s="140"/>
      <c r="BE2" s="137"/>
      <c r="BF2" s="140"/>
      <c r="BG2" s="137"/>
      <c r="BH2" s="155"/>
      <c r="BI2" s="137"/>
      <c r="BJ2" s="140"/>
      <c r="BK2" s="137"/>
      <c r="BL2" s="140"/>
      <c r="BM2" s="137"/>
      <c r="BN2" s="140"/>
      <c r="BO2" s="137"/>
      <c r="BP2" s="140"/>
      <c r="BQ2" s="137"/>
      <c r="BR2" s="140"/>
      <c r="BS2" s="137"/>
      <c r="BT2" s="140"/>
      <c r="BU2" s="137"/>
      <c r="BV2" s="140"/>
      <c r="BW2" s="137"/>
      <c r="BX2" s="140"/>
      <c r="BY2" s="137"/>
      <c r="BZ2" s="143"/>
    </row>
    <row r="3" spans="1:78" ht="13.8" customHeight="1" thickBot="1" x14ac:dyDescent="0.35">
      <c r="A3" s="2" t="s">
        <v>36</v>
      </c>
      <c r="B3" s="1" t="s">
        <v>16</v>
      </c>
      <c r="C3" s="1" t="s">
        <v>17</v>
      </c>
      <c r="D3" s="8" t="s">
        <v>18</v>
      </c>
      <c r="E3" s="151"/>
      <c r="F3" s="141"/>
      <c r="G3" s="138"/>
      <c r="H3" s="141"/>
      <c r="I3" s="138"/>
      <c r="J3" s="141"/>
      <c r="K3" s="138"/>
      <c r="L3" s="141"/>
      <c r="M3" s="138"/>
      <c r="N3" s="141"/>
      <c r="O3" s="138"/>
      <c r="P3" s="141"/>
      <c r="Q3" s="138"/>
      <c r="R3" s="141"/>
      <c r="S3" s="138"/>
      <c r="T3" s="141"/>
      <c r="U3" s="138"/>
      <c r="V3" s="141"/>
      <c r="W3" s="138"/>
      <c r="X3" s="141"/>
      <c r="Y3" s="138"/>
      <c r="Z3" s="141"/>
      <c r="AA3" s="138"/>
      <c r="AB3" s="141"/>
      <c r="AC3" s="138"/>
      <c r="AD3" s="141"/>
      <c r="AE3" s="138"/>
      <c r="AF3" s="141"/>
      <c r="AG3" s="138"/>
      <c r="AH3" s="141"/>
      <c r="AI3" s="138"/>
      <c r="AJ3" s="141"/>
      <c r="AK3" s="138"/>
      <c r="AL3" s="141"/>
      <c r="AM3" s="138"/>
      <c r="AN3" s="141"/>
      <c r="AO3" s="138"/>
      <c r="AP3" s="141"/>
      <c r="AQ3" s="138"/>
      <c r="AR3" s="141"/>
      <c r="AS3" s="138"/>
      <c r="AT3" s="141"/>
      <c r="AU3" s="138"/>
      <c r="AV3" s="141"/>
      <c r="AW3" s="138"/>
      <c r="AX3" s="141"/>
      <c r="AY3" s="138"/>
      <c r="AZ3" s="141"/>
      <c r="BA3" s="138"/>
      <c r="BB3" s="141"/>
      <c r="BC3" s="138"/>
      <c r="BD3" s="141"/>
      <c r="BE3" s="138"/>
      <c r="BF3" s="141"/>
      <c r="BG3" s="138"/>
      <c r="BH3" s="156"/>
      <c r="BI3" s="138"/>
      <c r="BJ3" s="141"/>
      <c r="BK3" s="138"/>
      <c r="BL3" s="141"/>
      <c r="BM3" s="138"/>
      <c r="BN3" s="141"/>
      <c r="BO3" s="138"/>
      <c r="BP3" s="141"/>
      <c r="BQ3" s="138"/>
      <c r="BR3" s="141"/>
      <c r="BS3" s="138"/>
      <c r="BT3" s="141"/>
      <c r="BU3" s="138"/>
      <c r="BV3" s="141"/>
      <c r="BW3" s="138"/>
      <c r="BX3" s="141"/>
      <c r="BY3" s="138"/>
      <c r="BZ3" s="144"/>
    </row>
    <row r="4" spans="1:78" x14ac:dyDescent="0.3">
      <c r="A4" s="3">
        <v>1</v>
      </c>
      <c r="B4" s="12" t="s">
        <v>0</v>
      </c>
      <c r="C4" s="13">
        <v>0.1</v>
      </c>
      <c r="D4" s="14">
        <f>SUM(D21*0.1)</f>
        <v>2340476.9122279999</v>
      </c>
      <c r="E4" s="93">
        <v>30</v>
      </c>
      <c r="F4" s="35">
        <f>SUM(D4/E4)</f>
        <v>78015.897074266657</v>
      </c>
      <c r="G4" s="41">
        <f>SUM(C4/E4)</f>
        <v>3.3333333333333335E-3</v>
      </c>
      <c r="H4" s="35">
        <f>$F$4</f>
        <v>78015.897074266657</v>
      </c>
      <c r="I4" s="41">
        <f>$G$4</f>
        <v>3.3333333333333335E-3</v>
      </c>
      <c r="J4" s="35">
        <f>$F$4</f>
        <v>78015.897074266657</v>
      </c>
      <c r="K4" s="41">
        <f>$G$4</f>
        <v>3.3333333333333335E-3</v>
      </c>
      <c r="L4" s="35">
        <f>$F$4</f>
        <v>78015.897074266657</v>
      </c>
      <c r="M4" s="41">
        <f>$G$4</f>
        <v>3.3333333333333335E-3</v>
      </c>
      <c r="N4" s="35">
        <f>$F$4</f>
        <v>78015.897074266657</v>
      </c>
      <c r="O4" s="41">
        <f>$G$4</f>
        <v>3.3333333333333335E-3</v>
      </c>
      <c r="P4" s="35">
        <f>F4</f>
        <v>78015.897074266657</v>
      </c>
      <c r="Q4" s="41">
        <f>$G$4</f>
        <v>3.3333333333333335E-3</v>
      </c>
      <c r="R4" s="35">
        <f>H4</f>
        <v>78015.897074266657</v>
      </c>
      <c r="S4" s="41">
        <f>$G$4</f>
        <v>3.3333333333333335E-3</v>
      </c>
      <c r="T4" s="35">
        <f>J4</f>
        <v>78015.897074266657</v>
      </c>
      <c r="U4" s="41">
        <f>$G$4</f>
        <v>3.3333333333333335E-3</v>
      </c>
      <c r="V4" s="35">
        <f>L4</f>
        <v>78015.897074266657</v>
      </c>
      <c r="W4" s="121">
        <f>$G$4</f>
        <v>3.3333333333333335E-3</v>
      </c>
      <c r="X4" s="35">
        <f>N4</f>
        <v>78015.897074266657</v>
      </c>
      <c r="Y4" s="121">
        <f>$G$4</f>
        <v>3.3333333333333335E-3</v>
      </c>
      <c r="Z4" s="35">
        <f>P4</f>
        <v>78015.897074266657</v>
      </c>
      <c r="AA4" s="121">
        <f>$G$4</f>
        <v>3.3333333333333335E-3</v>
      </c>
      <c r="AB4" s="35">
        <f>R4</f>
        <v>78015.897074266657</v>
      </c>
      <c r="AC4" s="121">
        <f>$G$4</f>
        <v>3.3333333333333335E-3</v>
      </c>
      <c r="AD4" s="35">
        <f>T4</f>
        <v>78015.897074266657</v>
      </c>
      <c r="AE4" s="121">
        <f>$G$4</f>
        <v>3.3333333333333335E-3</v>
      </c>
      <c r="AF4" s="35">
        <f>V4</f>
        <v>78015.897074266657</v>
      </c>
      <c r="AG4" s="121">
        <f>$G$4</f>
        <v>3.3333333333333335E-3</v>
      </c>
      <c r="AH4" s="35">
        <f>X4</f>
        <v>78015.897074266657</v>
      </c>
      <c r="AI4" s="121">
        <f>$G$4</f>
        <v>3.3333333333333335E-3</v>
      </c>
      <c r="AJ4" s="35">
        <f t="shared" ref="AJ4" si="0">Z4</f>
        <v>78015.897074266657</v>
      </c>
      <c r="AK4" s="121">
        <f>$G$4</f>
        <v>3.3333333333333335E-3</v>
      </c>
      <c r="AL4" s="35">
        <f t="shared" ref="AL4:BL4" si="1">$AJ$4</f>
        <v>78015.897074266657</v>
      </c>
      <c r="AM4" s="121">
        <f>$G$4</f>
        <v>3.3333333333333335E-3</v>
      </c>
      <c r="AN4" s="35">
        <f t="shared" si="1"/>
        <v>78015.897074266657</v>
      </c>
      <c r="AO4" s="121">
        <f>$G$4</f>
        <v>3.3333333333333335E-3</v>
      </c>
      <c r="AP4" s="35">
        <f t="shared" si="1"/>
        <v>78015.897074266657</v>
      </c>
      <c r="AQ4" s="121">
        <f>$G$4</f>
        <v>3.3333333333333335E-3</v>
      </c>
      <c r="AR4" s="35">
        <f t="shared" si="1"/>
        <v>78015.897074266657</v>
      </c>
      <c r="AS4" s="121">
        <f>$G$4</f>
        <v>3.3333333333333335E-3</v>
      </c>
      <c r="AT4" s="35">
        <f t="shared" si="1"/>
        <v>78015.897074266657</v>
      </c>
      <c r="AU4" s="121">
        <f>$G$4</f>
        <v>3.3333333333333335E-3</v>
      </c>
      <c r="AV4" s="35">
        <f t="shared" si="1"/>
        <v>78015.897074266657</v>
      </c>
      <c r="AW4" s="41">
        <f>$G$4</f>
        <v>3.3333333333333335E-3</v>
      </c>
      <c r="AX4" s="35">
        <f t="shared" si="1"/>
        <v>78015.897074266657</v>
      </c>
      <c r="AY4" s="41">
        <f>$G$4</f>
        <v>3.3333333333333335E-3</v>
      </c>
      <c r="AZ4" s="35">
        <f t="shared" si="1"/>
        <v>78015.897074266657</v>
      </c>
      <c r="BA4" s="121">
        <f>$G$4</f>
        <v>3.3333333333333335E-3</v>
      </c>
      <c r="BB4" s="35">
        <f t="shared" si="1"/>
        <v>78015.897074266657</v>
      </c>
      <c r="BC4" s="121">
        <f>$G$4</f>
        <v>3.3333333333333335E-3</v>
      </c>
      <c r="BD4" s="35">
        <f t="shared" si="1"/>
        <v>78015.897074266657</v>
      </c>
      <c r="BE4" s="121">
        <f>$G$4</f>
        <v>3.3333333333333335E-3</v>
      </c>
      <c r="BF4" s="35">
        <f t="shared" si="1"/>
        <v>78015.897074266657</v>
      </c>
      <c r="BG4" s="41">
        <f>$G$4</f>
        <v>3.3333333333333335E-3</v>
      </c>
      <c r="BH4" s="35">
        <f t="shared" si="1"/>
        <v>78015.897074266657</v>
      </c>
      <c r="BI4" s="41">
        <f>$G$4</f>
        <v>3.3333333333333335E-3</v>
      </c>
      <c r="BJ4" s="35">
        <f t="shared" si="1"/>
        <v>78015.897074266657</v>
      </c>
      <c r="BK4" s="41">
        <f>$G$4</f>
        <v>3.3333333333333335E-3</v>
      </c>
      <c r="BL4" s="35">
        <f t="shared" si="1"/>
        <v>78015.897074266657</v>
      </c>
      <c r="BM4" s="121">
        <f>$G$4</f>
        <v>3.3333333333333335E-3</v>
      </c>
      <c r="BN4" s="132"/>
      <c r="BO4" s="133"/>
      <c r="BP4" s="132"/>
      <c r="BQ4" s="133"/>
      <c r="BR4" s="132"/>
      <c r="BS4" s="133"/>
      <c r="BT4" s="132"/>
      <c r="BU4" s="133"/>
      <c r="BV4" s="132"/>
      <c r="BW4" s="133"/>
      <c r="BX4" s="132"/>
      <c r="BY4" s="134"/>
      <c r="BZ4" s="13">
        <v>0.1</v>
      </c>
    </row>
    <row r="5" spans="1:78" x14ac:dyDescent="0.3">
      <c r="A5" s="3">
        <v>2</v>
      </c>
      <c r="B5" s="9" t="s">
        <v>1</v>
      </c>
      <c r="C5" s="10">
        <v>0.06</v>
      </c>
      <c r="D5" s="11">
        <f>SUM(D21*0.06)</f>
        <v>1404286.1473367999</v>
      </c>
      <c r="E5" s="94">
        <v>3</v>
      </c>
      <c r="F5" s="21">
        <f>SUM(D5/3)</f>
        <v>468095.38244559994</v>
      </c>
      <c r="G5" s="40">
        <f>SUM(C5/E5)</f>
        <v>0.02</v>
      </c>
      <c r="H5" s="21">
        <f t="shared" ref="H5:J5" si="2">$F$5</f>
        <v>468095.38244559994</v>
      </c>
      <c r="I5" s="40">
        <f>$G$5</f>
        <v>0.02</v>
      </c>
      <c r="J5" s="21">
        <f t="shared" si="2"/>
        <v>468095.38244559994</v>
      </c>
      <c r="K5" s="109">
        <f>$G$5</f>
        <v>0.02</v>
      </c>
      <c r="L5" s="22"/>
      <c r="M5" s="110"/>
      <c r="N5" s="22"/>
      <c r="O5" s="42"/>
      <c r="P5" s="22"/>
      <c r="Q5" s="43"/>
      <c r="R5" s="22"/>
      <c r="S5" s="43"/>
      <c r="T5" s="22"/>
      <c r="U5" s="42"/>
      <c r="V5" s="22"/>
      <c r="W5" s="42"/>
      <c r="X5" s="22"/>
      <c r="Y5" s="43"/>
      <c r="Z5" s="22"/>
      <c r="AA5" s="42"/>
      <c r="AB5" s="22"/>
      <c r="AC5" s="42"/>
      <c r="AD5" s="22"/>
      <c r="AE5" s="43"/>
      <c r="AF5" s="22"/>
      <c r="AG5" s="43"/>
      <c r="AH5" s="22"/>
      <c r="AI5" s="43"/>
      <c r="AJ5" s="22"/>
      <c r="AK5" s="42"/>
      <c r="AL5" s="22"/>
      <c r="AM5" s="42"/>
      <c r="AN5" s="22"/>
      <c r="AO5" s="42"/>
      <c r="AP5" s="22"/>
      <c r="AQ5" s="42"/>
      <c r="AR5" s="22"/>
      <c r="AS5" s="42"/>
      <c r="AT5" s="22"/>
      <c r="AU5" s="42"/>
      <c r="AV5" s="22"/>
      <c r="AW5" s="42"/>
      <c r="AX5" s="22"/>
      <c r="AY5" s="42"/>
      <c r="AZ5" s="22"/>
      <c r="BA5" s="42"/>
      <c r="BB5" s="22"/>
      <c r="BC5" s="42"/>
      <c r="BD5" s="22"/>
      <c r="BE5" s="42"/>
      <c r="BF5" s="22"/>
      <c r="BG5" s="42"/>
      <c r="BH5" s="22"/>
      <c r="BI5" s="42"/>
      <c r="BJ5" s="22"/>
      <c r="BK5" s="42"/>
      <c r="BL5" s="22"/>
      <c r="BM5" s="42"/>
      <c r="BN5" s="22"/>
      <c r="BO5" s="38"/>
      <c r="BP5" s="22"/>
      <c r="BQ5" s="38"/>
      <c r="BR5" s="22"/>
      <c r="BS5" s="38"/>
      <c r="BT5" s="22"/>
      <c r="BU5" s="38"/>
      <c r="BV5" s="22"/>
      <c r="BW5" s="38"/>
      <c r="BX5" s="22"/>
      <c r="BY5" s="38"/>
      <c r="BZ5" s="10">
        <v>0.06</v>
      </c>
    </row>
    <row r="6" spans="1:78" x14ac:dyDescent="0.3">
      <c r="A6" s="3">
        <v>3</v>
      </c>
      <c r="B6" s="15" t="s">
        <v>2</v>
      </c>
      <c r="C6" s="16">
        <v>0.24</v>
      </c>
      <c r="D6" s="17">
        <f>SUM(D21*0.24)</f>
        <v>5617144.5893471995</v>
      </c>
      <c r="E6" s="95">
        <v>16</v>
      </c>
      <c r="F6" s="22"/>
      <c r="G6" s="38"/>
      <c r="H6" s="22"/>
      <c r="I6" s="107"/>
      <c r="J6" s="22"/>
      <c r="K6" s="43"/>
      <c r="L6" s="23">
        <f>SUM(D6/16)</f>
        <v>351071.53683419997</v>
      </c>
      <c r="M6" s="111">
        <f>SUM(C6/E6)</f>
        <v>1.4999999999999999E-2</v>
      </c>
      <c r="N6" s="23">
        <f t="shared" ref="N6:Z6" si="3">$L$6</f>
        <v>351071.53683419997</v>
      </c>
      <c r="O6" s="46">
        <f>$M$6</f>
        <v>1.4999999999999999E-2</v>
      </c>
      <c r="P6" s="23">
        <f t="shared" si="3"/>
        <v>351071.53683419997</v>
      </c>
      <c r="Q6" s="46">
        <f>$M$6</f>
        <v>1.4999999999999999E-2</v>
      </c>
      <c r="R6" s="23">
        <f t="shared" si="3"/>
        <v>351071.53683419997</v>
      </c>
      <c r="S6" s="46">
        <f>$M$6</f>
        <v>1.4999999999999999E-2</v>
      </c>
      <c r="T6" s="23">
        <f t="shared" si="3"/>
        <v>351071.53683419997</v>
      </c>
      <c r="U6" s="46">
        <f>$M$6</f>
        <v>1.4999999999999999E-2</v>
      </c>
      <c r="V6" s="23">
        <f t="shared" si="3"/>
        <v>351071.53683419997</v>
      </c>
      <c r="W6" s="46">
        <f>$M$6</f>
        <v>1.4999999999999999E-2</v>
      </c>
      <c r="X6" s="23">
        <f t="shared" si="3"/>
        <v>351071.53683419997</v>
      </c>
      <c r="Y6" s="46">
        <f>$M$6</f>
        <v>1.4999999999999999E-2</v>
      </c>
      <c r="Z6" s="23">
        <f t="shared" si="3"/>
        <v>351071.53683419997</v>
      </c>
      <c r="AA6" s="46">
        <f>$M$6</f>
        <v>1.4999999999999999E-2</v>
      </c>
      <c r="AB6" s="23">
        <f t="shared" ref="AB6:AI6" si="4">Z6</f>
        <v>351071.53683419997</v>
      </c>
      <c r="AC6" s="46">
        <f t="shared" si="4"/>
        <v>1.4999999999999999E-2</v>
      </c>
      <c r="AD6" s="23">
        <f t="shared" si="4"/>
        <v>351071.53683419997</v>
      </c>
      <c r="AE6" s="46">
        <f t="shared" si="4"/>
        <v>1.4999999999999999E-2</v>
      </c>
      <c r="AF6" s="23">
        <f t="shared" si="4"/>
        <v>351071.53683419997</v>
      </c>
      <c r="AG6" s="46">
        <f t="shared" si="4"/>
        <v>1.4999999999999999E-2</v>
      </c>
      <c r="AH6" s="23">
        <f t="shared" si="4"/>
        <v>351071.53683419997</v>
      </c>
      <c r="AI6" s="46">
        <f t="shared" si="4"/>
        <v>1.4999999999999999E-2</v>
      </c>
      <c r="AJ6" s="22"/>
      <c r="AK6" s="42"/>
      <c r="AL6" s="22"/>
      <c r="AM6" s="42"/>
      <c r="AN6" s="22"/>
      <c r="AO6" s="42"/>
      <c r="AP6" s="22"/>
      <c r="AQ6" s="42"/>
      <c r="AR6" s="22"/>
      <c r="AS6" s="42"/>
      <c r="AT6" s="22"/>
      <c r="AU6" s="42"/>
      <c r="AV6" s="22"/>
      <c r="AW6" s="42"/>
      <c r="AX6" s="22"/>
      <c r="AY6" s="42"/>
      <c r="AZ6" s="22"/>
      <c r="BA6" s="42"/>
      <c r="BB6" s="22"/>
      <c r="BC6" s="42"/>
      <c r="BD6" s="22"/>
      <c r="BE6" s="42"/>
      <c r="BF6" s="22"/>
      <c r="BG6" s="42"/>
      <c r="BH6" s="22"/>
      <c r="BI6" s="42"/>
      <c r="BJ6" s="22"/>
      <c r="BK6" s="42"/>
      <c r="BL6" s="22"/>
      <c r="BM6" s="42"/>
      <c r="BN6" s="22"/>
      <c r="BO6" s="38"/>
      <c r="BP6" s="22"/>
      <c r="BQ6" s="38"/>
      <c r="BR6" s="22"/>
      <c r="BS6" s="38"/>
      <c r="BT6" s="22"/>
      <c r="BU6" s="38"/>
      <c r="BV6" s="22"/>
      <c r="BW6" s="38"/>
      <c r="BX6" s="22"/>
      <c r="BY6" s="38"/>
      <c r="BZ6" s="16">
        <v>0.24</v>
      </c>
    </row>
    <row r="7" spans="1:78" x14ac:dyDescent="0.3">
      <c r="A7" s="3">
        <v>4</v>
      </c>
      <c r="B7" s="18" t="s">
        <v>3</v>
      </c>
      <c r="C7" s="19">
        <v>6.5000000000000002E-2</v>
      </c>
      <c r="D7" s="20">
        <f>SUM(D21*0.065)</f>
        <v>1521309.9929481999</v>
      </c>
      <c r="E7" s="96">
        <v>7</v>
      </c>
      <c r="F7" s="22"/>
      <c r="G7" s="38"/>
      <c r="H7" s="22"/>
      <c r="I7" s="107"/>
      <c r="J7" s="22"/>
      <c r="K7" s="43"/>
      <c r="L7" s="22"/>
      <c r="M7" s="110"/>
      <c r="N7" s="22"/>
      <c r="O7" s="42"/>
      <c r="P7" s="22"/>
      <c r="Q7" s="43"/>
      <c r="R7" s="31"/>
      <c r="S7" s="113"/>
      <c r="T7" s="24">
        <f>SUM(D7/E7)</f>
        <v>217329.99899259998</v>
      </c>
      <c r="U7" s="47">
        <f>SUM(C7/E7)</f>
        <v>9.285714285714286E-3</v>
      </c>
      <c r="V7" s="24">
        <f>$T$7</f>
        <v>217329.99899259998</v>
      </c>
      <c r="W7" s="47">
        <f>$U$7</f>
        <v>9.285714285714286E-3</v>
      </c>
      <c r="X7" s="24">
        <f>$T$7</f>
        <v>217329.99899259998</v>
      </c>
      <c r="Y7" s="47">
        <f>$U$7</f>
        <v>9.285714285714286E-3</v>
      </c>
      <c r="Z7" s="24">
        <f>$T$7</f>
        <v>217329.99899259998</v>
      </c>
      <c r="AA7" s="47">
        <f>$U$7</f>
        <v>9.285714285714286E-3</v>
      </c>
      <c r="AB7" s="24">
        <f>$T$7</f>
        <v>217329.99899259998</v>
      </c>
      <c r="AC7" s="47">
        <f>$U$7</f>
        <v>9.285714285714286E-3</v>
      </c>
      <c r="AD7" s="24">
        <f>$T$7</f>
        <v>217329.99899259998</v>
      </c>
      <c r="AE7" s="47">
        <f>$U$7</f>
        <v>9.285714285714286E-3</v>
      </c>
      <c r="AF7" s="24">
        <f>$T$7</f>
        <v>217329.99899259998</v>
      </c>
      <c r="AG7" s="47">
        <f>$U$7</f>
        <v>9.285714285714286E-3</v>
      </c>
      <c r="AH7" s="48"/>
      <c r="AI7" s="49"/>
      <c r="AJ7" s="22"/>
      <c r="AK7" s="42"/>
      <c r="AL7" s="22"/>
      <c r="AM7" s="42"/>
      <c r="AN7" s="22"/>
      <c r="AO7" s="42"/>
      <c r="AP7" s="22"/>
      <c r="AQ7" s="42"/>
      <c r="AR7" s="22"/>
      <c r="AS7" s="42"/>
      <c r="AT7" s="22"/>
      <c r="AU7" s="42"/>
      <c r="AV7" s="22"/>
      <c r="AW7" s="42"/>
      <c r="AX7" s="22"/>
      <c r="AY7" s="42"/>
      <c r="AZ7" s="22"/>
      <c r="BA7" s="42"/>
      <c r="BB7" s="22"/>
      <c r="BC7" s="42"/>
      <c r="BD7" s="22"/>
      <c r="BE7" s="42"/>
      <c r="BF7" s="22"/>
      <c r="BG7" s="42"/>
      <c r="BH7" s="22"/>
      <c r="BI7" s="42"/>
      <c r="BJ7" s="22"/>
      <c r="BK7" s="42"/>
      <c r="BL7" s="22"/>
      <c r="BM7" s="42"/>
      <c r="BN7" s="22"/>
      <c r="BO7" s="38"/>
      <c r="BP7" s="22"/>
      <c r="BQ7" s="38"/>
      <c r="BR7" s="29"/>
      <c r="BS7" s="38"/>
      <c r="BT7" s="29"/>
      <c r="BU7" s="38"/>
      <c r="BV7" s="22"/>
      <c r="BW7" s="38"/>
      <c r="BX7" s="22"/>
      <c r="BY7" s="38"/>
      <c r="BZ7" s="19">
        <v>6.5000000000000002E-2</v>
      </c>
    </row>
    <row r="8" spans="1:78" x14ac:dyDescent="0.3">
      <c r="A8" s="3">
        <v>5</v>
      </c>
      <c r="B8" s="25" t="s">
        <v>4</v>
      </c>
      <c r="C8" s="26">
        <v>0.06</v>
      </c>
      <c r="D8" s="27">
        <f>SUM(D21*0.06)</f>
        <v>1404286.1473367999</v>
      </c>
      <c r="E8" s="97">
        <v>5</v>
      </c>
      <c r="F8" s="22"/>
      <c r="G8" s="38"/>
      <c r="H8" s="22"/>
      <c r="I8" s="107"/>
      <c r="J8" s="22"/>
      <c r="K8" s="43"/>
      <c r="L8" s="22"/>
      <c r="M8" s="110"/>
      <c r="N8" s="28"/>
      <c r="O8" s="115"/>
      <c r="P8" s="28"/>
      <c r="Q8" s="114"/>
      <c r="R8" s="28"/>
      <c r="S8" s="114"/>
      <c r="T8" s="30"/>
      <c r="U8" s="115"/>
      <c r="V8" s="30"/>
      <c r="W8" s="115"/>
      <c r="X8" s="30"/>
      <c r="Y8" s="113"/>
      <c r="Z8" s="31"/>
      <c r="AA8" s="115"/>
      <c r="AB8" s="29"/>
      <c r="AC8" s="42"/>
      <c r="AD8" s="50">
        <f>SUM(D8/5)</f>
        <v>280857.22946735995</v>
      </c>
      <c r="AE8" s="51">
        <f>SUM(C8/E8)</f>
        <v>1.2E-2</v>
      </c>
      <c r="AF8" s="50">
        <f>$AD$8</f>
        <v>280857.22946735995</v>
      </c>
      <c r="AG8" s="51">
        <f>$AE$8</f>
        <v>1.2E-2</v>
      </c>
      <c r="AH8" s="50">
        <f>$AD$8</f>
        <v>280857.22946735995</v>
      </c>
      <c r="AI8" s="51">
        <f>$AE$8</f>
        <v>1.2E-2</v>
      </c>
      <c r="AJ8" s="22"/>
      <c r="AK8" s="42"/>
      <c r="AL8" s="22"/>
      <c r="AM8" s="42"/>
      <c r="AN8" s="22"/>
      <c r="AO8" s="42"/>
      <c r="AP8" s="22"/>
      <c r="AQ8" s="42"/>
      <c r="AR8" s="22"/>
      <c r="AS8" s="42"/>
      <c r="AT8" s="22"/>
      <c r="AU8" s="42"/>
      <c r="AV8" s="22"/>
      <c r="AW8" s="42"/>
      <c r="AX8" s="22"/>
      <c r="AY8" s="42"/>
      <c r="AZ8" s="22"/>
      <c r="BA8" s="42"/>
      <c r="BB8" s="22"/>
      <c r="BC8" s="42"/>
      <c r="BD8" s="22"/>
      <c r="BE8" s="42"/>
      <c r="BF8" s="22"/>
      <c r="BG8" s="42"/>
      <c r="BH8" s="50">
        <f>$AD$8</f>
        <v>280857.22946735995</v>
      </c>
      <c r="BI8" s="51">
        <f>$AE$8</f>
        <v>1.2E-2</v>
      </c>
      <c r="BJ8" s="50">
        <f>$AD$8</f>
        <v>280857.22946735995</v>
      </c>
      <c r="BK8" s="51">
        <f>$AE$8</f>
        <v>1.2E-2</v>
      </c>
      <c r="BL8" s="22"/>
      <c r="BM8" s="42"/>
      <c r="BN8" s="22"/>
      <c r="BO8" s="38"/>
      <c r="BP8" s="22"/>
      <c r="BQ8" s="38"/>
      <c r="BR8" s="31"/>
      <c r="BS8" s="116"/>
      <c r="BT8" s="31"/>
      <c r="BU8" s="116"/>
      <c r="BV8" s="22"/>
      <c r="BW8" s="38"/>
      <c r="BX8" s="22"/>
      <c r="BY8" s="38"/>
      <c r="BZ8" s="26">
        <v>0.06</v>
      </c>
    </row>
    <row r="9" spans="1:78" x14ac:dyDescent="0.3">
      <c r="A9" s="3">
        <v>6</v>
      </c>
      <c r="B9" s="32" t="s">
        <v>5</v>
      </c>
      <c r="C9" s="33">
        <v>0.06</v>
      </c>
      <c r="D9" s="34">
        <f>SUM(D21*0.06)</f>
        <v>1404286.1473367999</v>
      </c>
      <c r="E9" s="98">
        <v>8</v>
      </c>
      <c r="F9" s="22"/>
      <c r="G9" s="38"/>
      <c r="H9" s="22"/>
      <c r="I9" s="107"/>
      <c r="J9" s="22"/>
      <c r="K9" s="43"/>
      <c r="L9" s="22"/>
      <c r="M9" s="110"/>
      <c r="N9" s="22"/>
      <c r="O9" s="42"/>
      <c r="P9" s="22"/>
      <c r="Q9" s="43"/>
      <c r="R9" s="22"/>
      <c r="S9" s="43"/>
      <c r="T9" s="22"/>
      <c r="U9" s="42"/>
      <c r="V9" s="31"/>
      <c r="W9" s="115"/>
      <c r="X9" s="31"/>
      <c r="Y9" s="113"/>
      <c r="Z9" s="52">
        <f>$AB$9</f>
        <v>175535.76841709999</v>
      </c>
      <c r="AA9" s="53">
        <f>SUM(C9/E9)</f>
        <v>7.4999999999999997E-3</v>
      </c>
      <c r="AB9" s="52">
        <f>SUM(D9/8)</f>
        <v>175535.76841709999</v>
      </c>
      <c r="AC9" s="53">
        <f>$AA$9</f>
        <v>7.4999999999999997E-3</v>
      </c>
      <c r="AD9" s="52">
        <f>$AB$9</f>
        <v>175535.76841709999</v>
      </c>
      <c r="AE9" s="53">
        <f>$AA$9</f>
        <v>7.4999999999999997E-3</v>
      </c>
      <c r="AF9" s="52">
        <f>$AB$9</f>
        <v>175535.76841709999</v>
      </c>
      <c r="AG9" s="53">
        <f>$AA$9</f>
        <v>7.4999999999999997E-3</v>
      </c>
      <c r="AH9" s="52">
        <f>$AB$9</f>
        <v>175535.76841709999</v>
      </c>
      <c r="AI9" s="53">
        <f>$AA$9</f>
        <v>7.4999999999999997E-3</v>
      </c>
      <c r="AJ9" s="52">
        <f>$AB$9</f>
        <v>175535.76841709999</v>
      </c>
      <c r="AK9" s="53">
        <f>$AA$9</f>
        <v>7.4999999999999997E-3</v>
      </c>
      <c r="AL9" s="52">
        <f>$AB$9</f>
        <v>175535.76841709999</v>
      </c>
      <c r="AM9" s="131">
        <f>$AA$9</f>
        <v>7.4999999999999997E-3</v>
      </c>
      <c r="AN9" s="22"/>
      <c r="AO9" s="42"/>
      <c r="AP9" s="22"/>
      <c r="AQ9" s="42"/>
      <c r="AR9" s="22"/>
      <c r="AS9" s="42"/>
      <c r="AT9" s="22"/>
      <c r="AU9" s="42"/>
      <c r="AV9" s="22"/>
      <c r="AW9" s="42"/>
      <c r="AX9" s="22"/>
      <c r="AY9" s="42"/>
      <c r="AZ9" s="22"/>
      <c r="BA9" s="42"/>
      <c r="BB9" s="22"/>
      <c r="BC9" s="42"/>
      <c r="BD9" s="22"/>
      <c r="BE9" s="42"/>
      <c r="BF9" s="22"/>
      <c r="BG9" s="42"/>
      <c r="BH9" s="22"/>
      <c r="BI9" s="42"/>
      <c r="BJ9" s="22"/>
      <c r="BK9" s="42"/>
      <c r="BL9" s="22"/>
      <c r="BM9" s="42"/>
      <c r="BN9" s="22"/>
      <c r="BO9" s="38"/>
      <c r="BP9" s="22"/>
      <c r="BQ9" s="38"/>
      <c r="BR9" s="22"/>
      <c r="BS9" s="38"/>
      <c r="BT9" s="31"/>
      <c r="BU9" s="116"/>
      <c r="BV9" s="22"/>
      <c r="BW9" s="38"/>
      <c r="BX9" s="22"/>
      <c r="BY9" s="38"/>
      <c r="BZ9" s="33">
        <v>0.06</v>
      </c>
    </row>
    <row r="10" spans="1:78" x14ac:dyDescent="0.3">
      <c r="A10" s="3">
        <v>7</v>
      </c>
      <c r="B10" s="59" t="s">
        <v>6</v>
      </c>
      <c r="C10" s="60">
        <v>0.02</v>
      </c>
      <c r="D10" s="61">
        <f>SUM(D21*0.02)</f>
        <v>468095.38244559994</v>
      </c>
      <c r="E10" s="99">
        <v>3</v>
      </c>
      <c r="F10" s="22"/>
      <c r="G10" s="38"/>
      <c r="H10" s="22"/>
      <c r="I10" s="107"/>
      <c r="J10" s="22"/>
      <c r="K10" s="43"/>
      <c r="L10" s="22"/>
      <c r="M10" s="110"/>
      <c r="N10" s="22"/>
      <c r="O10" s="42"/>
      <c r="P10" s="22"/>
      <c r="Q10" s="43"/>
      <c r="R10" s="22"/>
      <c r="S10" s="43"/>
      <c r="T10" s="22"/>
      <c r="U10" s="42"/>
      <c r="V10" s="22"/>
      <c r="W10" s="42"/>
      <c r="X10" s="22"/>
      <c r="Y10" s="43"/>
      <c r="Z10" s="22"/>
      <c r="AA10" s="42"/>
      <c r="AB10" s="22"/>
      <c r="AC10" s="42"/>
      <c r="AD10" s="22"/>
      <c r="AE10" s="42"/>
      <c r="AF10" s="62">
        <f>SUM(D10/E10)</f>
        <v>156031.79414853331</v>
      </c>
      <c r="AG10" s="63">
        <f>SUM(C10/E10)</f>
        <v>6.6666666666666671E-3</v>
      </c>
      <c r="AH10" s="62">
        <f>$AF$10</f>
        <v>156031.79414853331</v>
      </c>
      <c r="AI10" s="63">
        <f>$AG$10</f>
        <v>6.6666666666666671E-3</v>
      </c>
      <c r="AJ10" s="22"/>
      <c r="AK10" s="42"/>
      <c r="AL10" s="22"/>
      <c r="AM10" s="42"/>
      <c r="AN10" s="22"/>
      <c r="AO10" s="42"/>
      <c r="AP10" s="22"/>
      <c r="AQ10" s="42"/>
      <c r="AR10" s="22"/>
      <c r="AS10" s="42"/>
      <c r="AT10" s="22"/>
      <c r="AU10" s="42"/>
      <c r="AV10" s="22"/>
      <c r="AW10" s="42"/>
      <c r="AX10" s="22"/>
      <c r="AY10" s="42"/>
      <c r="AZ10" s="22"/>
      <c r="BA10" s="42"/>
      <c r="BB10" s="22"/>
      <c r="BC10" s="42"/>
      <c r="BD10" s="22"/>
      <c r="BE10" s="42"/>
      <c r="BF10" s="22"/>
      <c r="BG10" s="42"/>
      <c r="BH10" s="62">
        <f>$AF$10</f>
        <v>156031.79414853331</v>
      </c>
      <c r="BI10" s="63">
        <f>$AG$10</f>
        <v>6.6666666666666671E-3</v>
      </c>
      <c r="BJ10" s="52">
        <f>$AB$9</f>
        <v>175535.76841709999</v>
      </c>
      <c r="BK10" s="53">
        <f>$AA$9</f>
        <v>7.4999999999999997E-3</v>
      </c>
      <c r="BL10" s="22"/>
      <c r="BM10" s="42"/>
      <c r="BN10" s="22"/>
      <c r="BO10" s="38"/>
      <c r="BP10" s="22"/>
      <c r="BQ10" s="38"/>
      <c r="BR10" s="22"/>
      <c r="BS10" s="38"/>
      <c r="BT10" s="22"/>
      <c r="BU10" s="38"/>
      <c r="BV10" s="22"/>
      <c r="BW10" s="38"/>
      <c r="BX10" s="22"/>
      <c r="BY10" s="38"/>
      <c r="BZ10" s="60">
        <v>0.02</v>
      </c>
    </row>
    <row r="11" spans="1:78" x14ac:dyDescent="0.3">
      <c r="A11" s="3">
        <v>8</v>
      </c>
      <c r="B11" s="64" t="s">
        <v>7</v>
      </c>
      <c r="C11" s="65">
        <v>0.02</v>
      </c>
      <c r="D11" s="66">
        <f>SUM(D21*0.02)</f>
        <v>468095.38244559994</v>
      </c>
      <c r="E11" s="100">
        <v>3</v>
      </c>
      <c r="F11" s="22"/>
      <c r="G11" s="38"/>
      <c r="H11" s="22"/>
      <c r="I11" s="107"/>
      <c r="J11" s="22"/>
      <c r="K11" s="43"/>
      <c r="L11" s="22"/>
      <c r="M11" s="110"/>
      <c r="N11" s="22"/>
      <c r="O11" s="42"/>
      <c r="P11" s="22"/>
      <c r="Q11" s="43"/>
      <c r="R11" s="22"/>
      <c r="S11" s="43"/>
      <c r="T11" s="22"/>
      <c r="U11" s="42"/>
      <c r="V11" s="22"/>
      <c r="W11" s="42"/>
      <c r="X11" s="22"/>
      <c r="Y11" s="43"/>
      <c r="Z11" s="22"/>
      <c r="AA11" s="42"/>
      <c r="AB11" s="22"/>
      <c r="AC11" s="42"/>
      <c r="AD11" s="22"/>
      <c r="AE11" s="42"/>
      <c r="AF11" s="67">
        <f>SUM(D11/E11)</f>
        <v>156031.79414853331</v>
      </c>
      <c r="AG11" s="68">
        <f>SUM(C11/E11)</f>
        <v>6.6666666666666671E-3</v>
      </c>
      <c r="AH11" s="67">
        <f>$AF$11</f>
        <v>156031.79414853331</v>
      </c>
      <c r="AI11" s="68">
        <f>$AG$11</f>
        <v>6.6666666666666671E-3</v>
      </c>
      <c r="AJ11" s="22"/>
      <c r="AK11" s="42"/>
      <c r="AL11" s="22"/>
      <c r="AM11" s="42"/>
      <c r="AN11" s="22"/>
      <c r="AO11" s="42"/>
      <c r="AP11" s="22"/>
      <c r="AQ11" s="42"/>
      <c r="AR11" s="22"/>
      <c r="AS11" s="42"/>
      <c r="AT11" s="22"/>
      <c r="AU11" s="42"/>
      <c r="AV11" s="22"/>
      <c r="AW11" s="42"/>
      <c r="AX11" s="22"/>
      <c r="AY11" s="42"/>
      <c r="AZ11" s="22"/>
      <c r="BA11" s="42"/>
      <c r="BB11" s="22"/>
      <c r="BC11" s="42"/>
      <c r="BD11" s="22"/>
      <c r="BE11" s="42"/>
      <c r="BF11" s="22"/>
      <c r="BG11" s="42"/>
      <c r="BH11" s="67">
        <f>$AF$11</f>
        <v>156031.79414853331</v>
      </c>
      <c r="BI11" s="68">
        <f>$AG$11</f>
        <v>6.6666666666666671E-3</v>
      </c>
      <c r="BJ11" s="22"/>
      <c r="BK11" s="42"/>
      <c r="BL11" s="22"/>
      <c r="BM11" s="42"/>
      <c r="BN11" s="22"/>
      <c r="BO11" s="38"/>
      <c r="BP11" s="22"/>
      <c r="BQ11" s="38"/>
      <c r="BR11" s="22"/>
      <c r="BS11" s="38"/>
      <c r="BT11" s="22"/>
      <c r="BU11" s="38"/>
      <c r="BV11" s="22"/>
      <c r="BW11" s="38"/>
      <c r="BX11" s="22"/>
      <c r="BY11" s="38"/>
      <c r="BZ11" s="65">
        <v>0.02</v>
      </c>
    </row>
    <row r="12" spans="1:78" x14ac:dyDescent="0.3">
      <c r="A12" s="3">
        <v>9</v>
      </c>
      <c r="B12" s="69" t="s">
        <v>8</v>
      </c>
      <c r="C12" s="70">
        <v>0.03</v>
      </c>
      <c r="D12" s="71">
        <f>SUM(D21*0.03)</f>
        <v>702143.07366839994</v>
      </c>
      <c r="E12" s="101">
        <v>2</v>
      </c>
      <c r="F12" s="22"/>
      <c r="G12" s="38"/>
      <c r="H12" s="22"/>
      <c r="I12" s="107"/>
      <c r="J12" s="22"/>
      <c r="K12" s="43"/>
      <c r="L12" s="22"/>
      <c r="M12" s="110"/>
      <c r="N12" s="22"/>
      <c r="O12" s="42"/>
      <c r="P12" s="22"/>
      <c r="Q12" s="43"/>
      <c r="R12" s="22"/>
      <c r="S12" s="43"/>
      <c r="T12" s="22"/>
      <c r="U12" s="42"/>
      <c r="V12" s="22"/>
      <c r="W12" s="42"/>
      <c r="X12" s="22"/>
      <c r="Y12" s="43"/>
      <c r="Z12" s="22"/>
      <c r="AA12" s="42"/>
      <c r="AB12" s="22"/>
      <c r="AC12" s="42"/>
      <c r="AD12" s="22"/>
      <c r="AE12" s="42"/>
      <c r="AF12" s="22"/>
      <c r="AG12" s="42"/>
      <c r="AH12" s="22"/>
      <c r="AI12" s="43"/>
      <c r="AJ12" s="22"/>
      <c r="AK12" s="42"/>
      <c r="AL12" s="72">
        <f>SUM(D12/E12)</f>
        <v>351071.53683419997</v>
      </c>
      <c r="AM12" s="130">
        <f>SUM(C12/E12)</f>
        <v>1.4999999999999999E-2</v>
      </c>
      <c r="AN12" s="72">
        <f>$AL$12</f>
        <v>351071.53683419997</v>
      </c>
      <c r="AO12" s="130">
        <f>$AM$12</f>
        <v>1.4999999999999999E-2</v>
      </c>
      <c r="AP12" s="22"/>
      <c r="AQ12" s="42"/>
      <c r="AR12" s="22"/>
      <c r="AS12" s="42"/>
      <c r="AT12" s="22"/>
      <c r="AU12" s="42"/>
      <c r="AV12" s="22"/>
      <c r="AW12" s="42"/>
      <c r="AX12" s="22"/>
      <c r="AY12" s="42"/>
      <c r="AZ12" s="22"/>
      <c r="BA12" s="42"/>
      <c r="BB12" s="22"/>
      <c r="BC12" s="42"/>
      <c r="BD12" s="22"/>
      <c r="BE12" s="42"/>
      <c r="BF12" s="22"/>
      <c r="BG12" s="42"/>
      <c r="BH12" s="22"/>
      <c r="BI12" s="42"/>
      <c r="BJ12" s="22"/>
      <c r="BK12" s="42"/>
      <c r="BL12" s="22"/>
      <c r="BM12" s="42"/>
      <c r="BN12" s="22"/>
      <c r="BO12" s="38"/>
      <c r="BP12" s="22"/>
      <c r="BQ12" s="38"/>
      <c r="BR12" s="22"/>
      <c r="BS12" s="38"/>
      <c r="BT12" s="22"/>
      <c r="BU12" s="38"/>
      <c r="BV12" s="22"/>
      <c r="BW12" s="38"/>
      <c r="BX12" s="22"/>
      <c r="BY12" s="38"/>
      <c r="BZ12" s="70">
        <v>0.03</v>
      </c>
    </row>
    <row r="13" spans="1:78" x14ac:dyDescent="0.3">
      <c r="A13" s="3">
        <v>10</v>
      </c>
      <c r="B13" s="54" t="s">
        <v>9</v>
      </c>
      <c r="C13" s="55">
        <v>0.13</v>
      </c>
      <c r="D13" s="56">
        <f>SUM(D21*0.13)</f>
        <v>3042619.9858963997</v>
      </c>
      <c r="E13" s="102">
        <v>8</v>
      </c>
      <c r="F13" s="22"/>
      <c r="G13" s="38"/>
      <c r="H13" s="22"/>
      <c r="I13" s="107"/>
      <c r="J13" s="22"/>
      <c r="K13" s="43"/>
      <c r="L13" s="22"/>
      <c r="M13" s="110"/>
      <c r="N13" s="22"/>
      <c r="O13" s="42"/>
      <c r="P13" s="22"/>
      <c r="Q13" s="43"/>
      <c r="R13" s="22"/>
      <c r="S13" s="43"/>
      <c r="T13" s="22"/>
      <c r="U13" s="42"/>
      <c r="V13" s="22"/>
      <c r="W13" s="42"/>
      <c r="X13" s="22"/>
      <c r="Y13" s="43"/>
      <c r="Z13" s="22"/>
      <c r="AA13" s="42"/>
      <c r="AB13" s="22"/>
      <c r="AC13" s="42"/>
      <c r="AD13" s="22"/>
      <c r="AE13" s="42"/>
      <c r="AF13" s="57">
        <f>SUM(D13/E13)</f>
        <v>380327.49823704996</v>
      </c>
      <c r="AG13" s="58">
        <f>SUM(C13/E13)</f>
        <v>1.6250000000000001E-2</v>
      </c>
      <c r="AH13" s="57">
        <f>$AF$13</f>
        <v>380327.49823704996</v>
      </c>
      <c r="AI13" s="58">
        <f>$AG$13</f>
        <v>1.6250000000000001E-2</v>
      </c>
      <c r="AJ13" s="57">
        <f>$AF$13</f>
        <v>380327.49823704996</v>
      </c>
      <c r="AK13" s="58">
        <f>$AG$13</f>
        <v>1.6250000000000001E-2</v>
      </c>
      <c r="AL13" s="57">
        <f>$AF$13</f>
        <v>380327.49823704996</v>
      </c>
      <c r="AM13" s="58">
        <f>$AG$13</f>
        <v>1.6250000000000001E-2</v>
      </c>
      <c r="AN13" s="57">
        <f>$AF$13</f>
        <v>380327.49823704996</v>
      </c>
      <c r="AO13" s="58">
        <f>$AG$13</f>
        <v>1.6250000000000001E-2</v>
      </c>
      <c r="AP13" s="57">
        <f>$AF$13</f>
        <v>380327.49823704996</v>
      </c>
      <c r="AQ13" s="58">
        <f>$AG$13</f>
        <v>1.6250000000000001E-2</v>
      </c>
      <c r="AR13" s="57">
        <f>$AF$13</f>
        <v>380327.49823704996</v>
      </c>
      <c r="AS13" s="58">
        <f>$AG$13</f>
        <v>1.6250000000000001E-2</v>
      </c>
      <c r="AT13" s="57">
        <f>$AF$13</f>
        <v>380327.49823704996</v>
      </c>
      <c r="AU13" s="58">
        <f>$AG$13</f>
        <v>1.6250000000000001E-2</v>
      </c>
      <c r="AV13" s="22"/>
      <c r="AW13" s="42"/>
      <c r="AX13" s="22"/>
      <c r="AY13" s="42"/>
      <c r="AZ13" s="22"/>
      <c r="BA13" s="42"/>
      <c r="BB13" s="22"/>
      <c r="BC13" s="42"/>
      <c r="BD13" s="22"/>
      <c r="BE13" s="42"/>
      <c r="BF13" s="22"/>
      <c r="BG13" s="42"/>
      <c r="BH13" s="22"/>
      <c r="BI13" s="42"/>
      <c r="BJ13" s="22"/>
      <c r="BK13" s="42"/>
      <c r="BL13" s="22"/>
      <c r="BM13" s="42"/>
      <c r="BN13" s="22"/>
      <c r="BO13" s="38"/>
      <c r="BP13" s="22"/>
      <c r="BQ13" s="38"/>
      <c r="BR13" s="22"/>
      <c r="BS13" s="38"/>
      <c r="BT13" s="22"/>
      <c r="BU13" s="38"/>
      <c r="BV13" s="22"/>
      <c r="BW13" s="38"/>
      <c r="BX13" s="22"/>
      <c r="BY13" s="38"/>
      <c r="BZ13" s="55">
        <v>0.13</v>
      </c>
    </row>
    <row r="14" spans="1:78" x14ac:dyDescent="0.3">
      <c r="A14" s="3">
        <v>11</v>
      </c>
      <c r="B14" s="73" t="s">
        <v>19</v>
      </c>
      <c r="C14" s="74">
        <v>0.04</v>
      </c>
      <c r="D14" s="75">
        <f>SUM(D21*0.04)</f>
        <v>936190.76489119988</v>
      </c>
      <c r="E14" s="103">
        <v>7</v>
      </c>
      <c r="F14" s="22"/>
      <c r="G14" s="38"/>
      <c r="H14" s="22"/>
      <c r="I14" s="107"/>
      <c r="J14" s="22"/>
      <c r="K14" s="43"/>
      <c r="L14" s="22"/>
      <c r="M14" s="110"/>
      <c r="N14" s="22"/>
      <c r="O14" s="42"/>
      <c r="P14" s="22"/>
      <c r="Q14" s="43"/>
      <c r="R14" s="22"/>
      <c r="S14" s="43"/>
      <c r="T14" s="22"/>
      <c r="U14" s="42"/>
      <c r="V14" s="22"/>
      <c r="W14" s="42"/>
      <c r="X14" s="22"/>
      <c r="Y14" s="43"/>
      <c r="Z14" s="22"/>
      <c r="AA14" s="42"/>
      <c r="AB14" s="22"/>
      <c r="AC14" s="42"/>
      <c r="AD14" s="22"/>
      <c r="AE14" s="42"/>
      <c r="AF14" s="22"/>
      <c r="AG14" s="42"/>
      <c r="AH14" s="22"/>
      <c r="AI14" s="43"/>
      <c r="AJ14" s="22"/>
      <c r="AK14" s="42"/>
      <c r="AL14" s="22"/>
      <c r="AM14" s="42"/>
      <c r="AN14" s="76">
        <f>SUM(D14/E14)</f>
        <v>133741.53784159999</v>
      </c>
      <c r="AO14" s="120">
        <f>SUM(C14/E14)</f>
        <v>5.7142857142857143E-3</v>
      </c>
      <c r="AP14" s="76">
        <f>$AN$14</f>
        <v>133741.53784159999</v>
      </c>
      <c r="AQ14" s="120">
        <f>$AO$14</f>
        <v>5.7142857142857143E-3</v>
      </c>
      <c r="AR14" s="76">
        <f>$AN$14</f>
        <v>133741.53784159999</v>
      </c>
      <c r="AS14" s="120">
        <f>$AO$14</f>
        <v>5.7142857142857143E-3</v>
      </c>
      <c r="AT14" s="76">
        <f>$AN$14</f>
        <v>133741.53784159999</v>
      </c>
      <c r="AU14" s="120">
        <f>$AO$14</f>
        <v>5.7142857142857143E-3</v>
      </c>
      <c r="AV14" s="76">
        <f>$AN$14</f>
        <v>133741.53784159999</v>
      </c>
      <c r="AW14" s="120">
        <f>$AO$14</f>
        <v>5.7142857142857143E-3</v>
      </c>
      <c r="AX14" s="76">
        <f>$AN$14</f>
        <v>133741.53784159999</v>
      </c>
      <c r="AY14" s="120">
        <f>$AO$14</f>
        <v>5.7142857142857143E-3</v>
      </c>
      <c r="AZ14" s="76">
        <f>$AN$14</f>
        <v>133741.53784159999</v>
      </c>
      <c r="BA14" s="120">
        <f>$AO$14</f>
        <v>5.7142857142857143E-3</v>
      </c>
      <c r="BB14" s="31"/>
      <c r="BC14" s="115"/>
      <c r="BD14" s="31"/>
      <c r="BE14" s="115"/>
      <c r="BF14" s="31"/>
      <c r="BG14" s="115"/>
      <c r="BH14" s="22"/>
      <c r="BI14" s="42"/>
      <c r="BJ14" s="22"/>
      <c r="BK14" s="42"/>
      <c r="BL14" s="22"/>
      <c r="BM14" s="42"/>
      <c r="BN14" s="22"/>
      <c r="BO14" s="38"/>
      <c r="BP14" s="22"/>
      <c r="BQ14" s="38"/>
      <c r="BR14" s="22"/>
      <c r="BS14" s="38"/>
      <c r="BT14" s="22"/>
      <c r="BU14" s="38"/>
      <c r="BV14" s="22"/>
      <c r="BW14" s="38"/>
      <c r="BX14" s="22"/>
      <c r="BY14" s="38"/>
      <c r="BZ14" s="74">
        <v>0.04</v>
      </c>
    </row>
    <row r="15" spans="1:78" x14ac:dyDescent="0.3">
      <c r="A15" s="3">
        <v>12</v>
      </c>
      <c r="B15" s="77" t="s">
        <v>10</v>
      </c>
      <c r="C15" s="78">
        <v>0.04</v>
      </c>
      <c r="D15" s="79">
        <f>SUM(D21*0.04)</f>
        <v>936190.76489119988</v>
      </c>
      <c r="E15" s="104">
        <v>8</v>
      </c>
      <c r="F15" s="22"/>
      <c r="G15" s="38"/>
      <c r="H15" s="22"/>
      <c r="I15" s="107"/>
      <c r="J15" s="22"/>
      <c r="K15" s="43"/>
      <c r="L15" s="22"/>
      <c r="M15" s="110"/>
      <c r="N15" s="22"/>
      <c r="O15" s="42"/>
      <c r="P15" s="22"/>
      <c r="Q15" s="43"/>
      <c r="R15" s="22"/>
      <c r="S15" s="43"/>
      <c r="T15" s="22"/>
      <c r="U15" s="42"/>
      <c r="V15" s="22"/>
      <c r="W15" s="42"/>
      <c r="X15" s="22"/>
      <c r="Y15" s="43"/>
      <c r="Z15" s="22"/>
      <c r="AA15" s="42"/>
      <c r="AB15" s="22"/>
      <c r="AC15" s="42"/>
      <c r="AD15" s="22"/>
      <c r="AE15" s="42"/>
      <c r="AF15" s="22"/>
      <c r="AG15" s="42"/>
      <c r="AH15" s="22"/>
      <c r="AI15" s="43"/>
      <c r="AJ15" s="22"/>
      <c r="AK15" s="42"/>
      <c r="AL15" s="22"/>
      <c r="AM15" s="42"/>
      <c r="AN15" s="22"/>
      <c r="AO15" s="42"/>
      <c r="AP15" s="22"/>
      <c r="AQ15" s="42"/>
      <c r="AR15" s="22"/>
      <c r="AS15" s="42"/>
      <c r="AT15" s="22"/>
      <c r="AU15" s="42"/>
      <c r="AV15" s="80">
        <f>SUM(D15/E15)</f>
        <v>117023.84561139999</v>
      </c>
      <c r="AW15" s="117">
        <f>SUM(C15/E15)</f>
        <v>5.0000000000000001E-3</v>
      </c>
      <c r="AX15" s="80">
        <f>$AV$15</f>
        <v>117023.84561139999</v>
      </c>
      <c r="AY15" s="117">
        <f>$AW$15</f>
        <v>5.0000000000000001E-3</v>
      </c>
      <c r="AZ15" s="80">
        <f>$AV$15</f>
        <v>117023.84561139999</v>
      </c>
      <c r="BA15" s="117">
        <f>$AW$15</f>
        <v>5.0000000000000001E-3</v>
      </c>
      <c r="BB15" s="80">
        <f>$AV$15</f>
        <v>117023.84561139999</v>
      </c>
      <c r="BC15" s="117">
        <f>$AW$15</f>
        <v>5.0000000000000001E-3</v>
      </c>
      <c r="BD15" s="80">
        <f>$AV$15</f>
        <v>117023.84561139999</v>
      </c>
      <c r="BE15" s="117">
        <f>$AW$15</f>
        <v>5.0000000000000001E-3</v>
      </c>
      <c r="BF15" s="80">
        <f>$AV$15</f>
        <v>117023.84561139999</v>
      </c>
      <c r="BG15" s="117">
        <f>$AW$15</f>
        <v>5.0000000000000001E-3</v>
      </c>
      <c r="BH15" s="80">
        <f>$AV$15</f>
        <v>117023.84561139999</v>
      </c>
      <c r="BI15" s="117">
        <f>$AW$15</f>
        <v>5.0000000000000001E-3</v>
      </c>
      <c r="BJ15" s="80">
        <f>$AV$15</f>
        <v>117023.84561139999</v>
      </c>
      <c r="BK15" s="117">
        <f>$AW$15</f>
        <v>5.0000000000000001E-3</v>
      </c>
      <c r="BL15" s="31"/>
      <c r="BM15" s="115"/>
      <c r="BN15" s="31"/>
      <c r="BO15" s="116"/>
      <c r="BP15" s="31"/>
      <c r="BQ15" s="116"/>
      <c r="BR15" s="31"/>
      <c r="BS15" s="116"/>
      <c r="BT15" s="22"/>
      <c r="BU15" s="38"/>
      <c r="BV15" s="22"/>
      <c r="BW15" s="38"/>
      <c r="BX15" s="22"/>
      <c r="BY15" s="38"/>
      <c r="BZ15" s="78">
        <v>0.04</v>
      </c>
    </row>
    <row r="16" spans="1:78" x14ac:dyDescent="0.3">
      <c r="A16" s="3">
        <v>13</v>
      </c>
      <c r="B16" s="81" t="s">
        <v>20</v>
      </c>
      <c r="C16" s="82">
        <v>0.06</v>
      </c>
      <c r="D16" s="83">
        <f>SUM(D21*0.06)</f>
        <v>1404286.1473367999</v>
      </c>
      <c r="E16" s="105">
        <v>3</v>
      </c>
      <c r="F16" s="22"/>
      <c r="G16" s="38"/>
      <c r="H16" s="22"/>
      <c r="I16" s="107"/>
      <c r="J16" s="22"/>
      <c r="K16" s="43"/>
      <c r="L16" s="22"/>
      <c r="M16" s="110"/>
      <c r="N16" s="22"/>
      <c r="O16" s="42"/>
      <c r="P16" s="22"/>
      <c r="Q16" s="43"/>
      <c r="R16" s="22"/>
      <c r="S16" s="43"/>
      <c r="T16" s="22"/>
      <c r="U16" s="42"/>
      <c r="V16" s="22"/>
      <c r="W16" s="42"/>
      <c r="X16" s="22"/>
      <c r="Y16" s="43"/>
      <c r="Z16" s="22"/>
      <c r="AA16" s="42"/>
      <c r="AB16" s="22"/>
      <c r="AC16" s="42"/>
      <c r="AD16" s="22"/>
      <c r="AE16" s="42"/>
      <c r="AF16" s="22"/>
      <c r="AG16" s="42"/>
      <c r="AH16" s="22"/>
      <c r="AI16" s="43"/>
      <c r="AJ16" s="22"/>
      <c r="AK16" s="42"/>
      <c r="AL16" s="22"/>
      <c r="AM16" s="42"/>
      <c r="AN16" s="22"/>
      <c r="AO16" s="42"/>
      <c r="AP16" s="22"/>
      <c r="AQ16" s="42"/>
      <c r="AR16" s="22"/>
      <c r="AS16" s="42"/>
      <c r="AT16" s="29"/>
      <c r="AU16" s="42"/>
      <c r="AV16" s="29"/>
      <c r="AW16" s="42"/>
      <c r="AX16" s="84">
        <f>SUM(D16/E16)</f>
        <v>468095.38244559994</v>
      </c>
      <c r="AY16" s="119">
        <f>SUM(C16/E16)</f>
        <v>0.02</v>
      </c>
      <c r="AZ16" s="84">
        <f>$AX$16</f>
        <v>468095.38244559994</v>
      </c>
      <c r="BA16" s="119">
        <f>$AY$16</f>
        <v>0.02</v>
      </c>
      <c r="BB16" s="84">
        <f>$AX$16</f>
        <v>468095.38244559994</v>
      </c>
      <c r="BC16" s="119">
        <f>$AY$16</f>
        <v>0.02</v>
      </c>
      <c r="BD16" s="22"/>
      <c r="BE16" s="42"/>
      <c r="BF16" s="22"/>
      <c r="BG16" s="42"/>
      <c r="BH16" s="31"/>
      <c r="BI16" s="115"/>
      <c r="BJ16" s="31"/>
      <c r="BK16" s="115"/>
      <c r="BL16" s="31"/>
      <c r="BM16" s="115"/>
      <c r="BN16" s="31"/>
      <c r="BO16" s="116"/>
      <c r="BP16" s="22"/>
      <c r="BQ16" s="38"/>
      <c r="BR16" s="22"/>
      <c r="BS16" s="38"/>
      <c r="BT16" s="22"/>
      <c r="BU16" s="38"/>
      <c r="BV16" s="22"/>
      <c r="BW16" s="38"/>
      <c r="BX16" s="22"/>
      <c r="BY16" s="38"/>
      <c r="BZ16" s="82">
        <v>0.06</v>
      </c>
    </row>
    <row r="17" spans="1:78" x14ac:dyDescent="0.3">
      <c r="A17" s="3">
        <v>14</v>
      </c>
      <c r="B17" s="85" t="s">
        <v>11</v>
      </c>
      <c r="C17" s="86">
        <v>0.02</v>
      </c>
      <c r="D17" s="87">
        <f>SUM(D21*0.02)</f>
        <v>468095.38244559994</v>
      </c>
      <c r="E17" s="106">
        <v>2</v>
      </c>
      <c r="F17" s="22"/>
      <c r="G17" s="38"/>
      <c r="H17" s="22"/>
      <c r="I17" s="107"/>
      <c r="J17" s="22"/>
      <c r="K17" s="43"/>
      <c r="L17" s="22"/>
      <c r="M17" s="110"/>
      <c r="N17" s="22"/>
      <c r="O17" s="42"/>
      <c r="P17" s="22"/>
      <c r="Q17" s="43"/>
      <c r="R17" s="22"/>
      <c r="S17" s="43"/>
      <c r="T17" s="22"/>
      <c r="U17" s="42"/>
      <c r="V17" s="22"/>
      <c r="W17" s="42"/>
      <c r="X17" s="22"/>
      <c r="Y17" s="43"/>
      <c r="Z17" s="22"/>
      <c r="AA17" s="42"/>
      <c r="AB17" s="22"/>
      <c r="AC17" s="42"/>
      <c r="AD17" s="22"/>
      <c r="AE17" s="42"/>
      <c r="AF17" s="22"/>
      <c r="AG17" s="42"/>
      <c r="AH17" s="22"/>
      <c r="AI17" s="43"/>
      <c r="AJ17" s="22"/>
      <c r="AK17" s="42"/>
      <c r="AL17" s="22"/>
      <c r="AM17" s="42"/>
      <c r="AN17" s="22"/>
      <c r="AO17" s="42"/>
      <c r="AP17" s="22"/>
      <c r="AQ17" s="42"/>
      <c r="AR17" s="22"/>
      <c r="AS17" s="42"/>
      <c r="AT17" s="22"/>
      <c r="AU17" s="42"/>
      <c r="AV17" s="22"/>
      <c r="AW17" s="42"/>
      <c r="AX17" s="22"/>
      <c r="AY17" s="42"/>
      <c r="AZ17" s="22"/>
      <c r="BA17" s="42"/>
      <c r="BB17" s="22"/>
      <c r="BC17" s="42"/>
      <c r="BD17" s="88">
        <f>SUM(D17/E17)</f>
        <v>234047.69122279997</v>
      </c>
      <c r="BE17" s="118">
        <f>SUM(C17/E17)</f>
        <v>0.01</v>
      </c>
      <c r="BF17" s="88">
        <f>$BD$17</f>
        <v>234047.69122279997</v>
      </c>
      <c r="BG17" s="118">
        <f>$BE$17</f>
        <v>0.01</v>
      </c>
      <c r="BH17" s="31"/>
      <c r="BI17" s="115"/>
      <c r="BJ17" s="31"/>
      <c r="BK17" s="115"/>
      <c r="BL17" s="22"/>
      <c r="BM17" s="42"/>
      <c r="BN17" s="31"/>
      <c r="BO17" s="116"/>
      <c r="BP17" s="31"/>
      <c r="BQ17" s="116"/>
      <c r="BR17" s="31"/>
      <c r="BS17" s="116"/>
      <c r="BT17" s="22"/>
      <c r="BU17" s="38"/>
      <c r="BV17" s="22"/>
      <c r="BW17" s="38"/>
      <c r="BX17" s="22"/>
      <c r="BY17" s="38"/>
      <c r="BZ17" s="86">
        <v>0.02</v>
      </c>
    </row>
    <row r="18" spans="1:78" x14ac:dyDescent="0.3">
      <c r="A18" s="3">
        <v>15</v>
      </c>
      <c r="B18" s="64" t="s">
        <v>12</v>
      </c>
      <c r="C18" s="65">
        <v>5.0000000000000001E-3</v>
      </c>
      <c r="D18" s="66">
        <f>SUM(D21*0.005)</f>
        <v>117023.84561139999</v>
      </c>
      <c r="E18" s="100">
        <v>1</v>
      </c>
      <c r="F18" s="22"/>
      <c r="G18" s="38"/>
      <c r="H18" s="22"/>
      <c r="I18" s="107"/>
      <c r="J18" s="22"/>
      <c r="K18" s="43"/>
      <c r="L18" s="22"/>
      <c r="M18" s="110"/>
      <c r="N18" s="22"/>
      <c r="O18" s="42"/>
      <c r="P18" s="22"/>
      <c r="Q18" s="43"/>
      <c r="R18" s="22"/>
      <c r="S18" s="43"/>
      <c r="T18" s="22"/>
      <c r="U18" s="42"/>
      <c r="V18" s="22"/>
      <c r="W18" s="42"/>
      <c r="X18" s="22"/>
      <c r="Y18" s="43"/>
      <c r="Z18" s="22"/>
      <c r="AA18" s="42"/>
      <c r="AB18" s="22"/>
      <c r="AC18" s="42"/>
      <c r="AD18" s="22"/>
      <c r="AE18" s="42"/>
      <c r="AF18" s="22"/>
      <c r="AG18" s="42"/>
      <c r="AH18" s="22"/>
      <c r="AI18" s="43"/>
      <c r="AJ18" s="22"/>
      <c r="AK18" s="42"/>
      <c r="AL18" s="22"/>
      <c r="AM18" s="42"/>
      <c r="AN18" s="22"/>
      <c r="AO18" s="42"/>
      <c r="AP18" s="22"/>
      <c r="AQ18" s="42"/>
      <c r="AR18" s="22"/>
      <c r="AS18" s="42"/>
      <c r="AT18" s="22"/>
      <c r="AU18" s="42"/>
      <c r="AV18" s="22"/>
      <c r="AW18" s="42"/>
      <c r="AX18" s="22"/>
      <c r="AY18" s="42"/>
      <c r="AZ18" s="22"/>
      <c r="BA18" s="42"/>
      <c r="BB18" s="22"/>
      <c r="BC18" s="42"/>
      <c r="BD18" s="22"/>
      <c r="BE18" s="42"/>
      <c r="BF18" s="22"/>
      <c r="BG18" s="42"/>
      <c r="BH18" s="22"/>
      <c r="BI18" s="42"/>
      <c r="BJ18" s="29"/>
      <c r="BK18" s="42"/>
      <c r="BL18" s="67">
        <f>SUM(D18/E18)</f>
        <v>117023.84561139999</v>
      </c>
      <c r="BM18" s="68">
        <v>5.0000000000000001E-3</v>
      </c>
      <c r="BN18" s="22"/>
      <c r="BO18" s="38"/>
      <c r="BP18" s="22"/>
      <c r="BQ18" s="38"/>
      <c r="BR18" s="22"/>
      <c r="BS18" s="38"/>
      <c r="BT18" s="22"/>
      <c r="BU18" s="38"/>
      <c r="BV18" s="22"/>
      <c r="BW18" s="38"/>
      <c r="BX18" s="31"/>
      <c r="BY18" s="116"/>
      <c r="BZ18" s="65">
        <v>5.0000000000000001E-3</v>
      </c>
    </row>
    <row r="19" spans="1:78" x14ac:dyDescent="0.3">
      <c r="A19" s="3">
        <v>16</v>
      </c>
      <c r="B19" s="32" t="s">
        <v>13</v>
      </c>
      <c r="C19" s="33">
        <v>0.02</v>
      </c>
      <c r="D19" s="34">
        <f>SUM(D21*0.02)</f>
        <v>468095.38244559994</v>
      </c>
      <c r="E19" s="98">
        <v>2</v>
      </c>
      <c r="F19" s="22"/>
      <c r="G19" s="38"/>
      <c r="H19" s="22"/>
      <c r="I19" s="107"/>
      <c r="J19" s="22"/>
      <c r="K19" s="43"/>
      <c r="L19" s="22"/>
      <c r="M19" s="110"/>
      <c r="N19" s="22"/>
      <c r="O19" s="42"/>
      <c r="P19" s="22"/>
      <c r="Q19" s="43"/>
      <c r="R19" s="22"/>
      <c r="S19" s="43"/>
      <c r="T19" s="22"/>
      <c r="U19" s="42"/>
      <c r="V19" s="22"/>
      <c r="W19" s="42"/>
      <c r="X19" s="22"/>
      <c r="Y19" s="43"/>
      <c r="Z19" s="22"/>
      <c r="AA19" s="42"/>
      <c r="AB19" s="22"/>
      <c r="AC19" s="42"/>
      <c r="AD19" s="22"/>
      <c r="AE19" s="42"/>
      <c r="AF19" s="22"/>
      <c r="AG19" s="42"/>
      <c r="AH19" s="22"/>
      <c r="AI19" s="43"/>
      <c r="AJ19" s="22"/>
      <c r="AK19" s="42"/>
      <c r="AL19" s="22"/>
      <c r="AM19" s="42"/>
      <c r="AN19" s="22"/>
      <c r="AO19" s="42"/>
      <c r="AP19" s="22"/>
      <c r="AQ19" s="42"/>
      <c r="AR19" s="22"/>
      <c r="AS19" s="42"/>
      <c r="AT19" s="22"/>
      <c r="AU19" s="42"/>
      <c r="AV19" s="22"/>
      <c r="AW19" s="42"/>
      <c r="AX19" s="22"/>
      <c r="AY19" s="42"/>
      <c r="AZ19" s="22"/>
      <c r="BA19" s="42"/>
      <c r="BB19" s="22"/>
      <c r="BC19" s="42"/>
      <c r="BD19" s="22"/>
      <c r="BE19" s="42"/>
      <c r="BF19" s="22"/>
      <c r="BG19" s="42"/>
      <c r="BH19" s="52">
        <f>SUM(D19/E19)</f>
        <v>234047.69122279997</v>
      </c>
      <c r="BI19" s="53">
        <f>SUM(C19/E19)</f>
        <v>0.01</v>
      </c>
      <c r="BJ19" s="52">
        <f>$BH$19</f>
        <v>234047.69122279997</v>
      </c>
      <c r="BK19" s="53">
        <f>$BI$19</f>
        <v>0.01</v>
      </c>
      <c r="BL19" s="22"/>
      <c r="BM19" s="42"/>
      <c r="BN19" s="22"/>
      <c r="BO19" s="38"/>
      <c r="BP19" s="22"/>
      <c r="BQ19" s="38"/>
      <c r="BR19" s="22"/>
      <c r="BS19" s="38"/>
      <c r="BT19" s="31"/>
      <c r="BU19" s="116"/>
      <c r="BV19" s="31"/>
      <c r="BW19" s="116"/>
      <c r="BX19" s="22"/>
      <c r="BY19" s="38"/>
      <c r="BZ19" s="33">
        <v>0.02</v>
      </c>
    </row>
    <row r="20" spans="1:78" ht="15" thickBot="1" x14ac:dyDescent="0.35">
      <c r="A20" s="3">
        <v>17</v>
      </c>
      <c r="B20" s="89" t="s">
        <v>14</v>
      </c>
      <c r="C20" s="90">
        <v>0.03</v>
      </c>
      <c r="D20" s="91">
        <f>SUM(D21*0.03)</f>
        <v>702143.07366839994</v>
      </c>
      <c r="E20" s="92">
        <v>2</v>
      </c>
      <c r="F20" s="37"/>
      <c r="G20" s="39"/>
      <c r="H20" s="37"/>
      <c r="I20" s="108"/>
      <c r="J20" s="37"/>
      <c r="K20" s="44"/>
      <c r="L20" s="37"/>
      <c r="M20" s="112"/>
      <c r="N20" s="37"/>
      <c r="O20" s="45"/>
      <c r="P20" s="37"/>
      <c r="Q20" s="44"/>
      <c r="R20" s="37"/>
      <c r="S20" s="44"/>
      <c r="T20" s="37"/>
      <c r="U20" s="45"/>
      <c r="V20" s="37"/>
      <c r="W20" s="45"/>
      <c r="X20" s="37"/>
      <c r="Y20" s="44"/>
      <c r="Z20" s="37"/>
      <c r="AA20" s="45"/>
      <c r="AB20" s="37"/>
      <c r="AC20" s="45"/>
      <c r="AD20" s="37"/>
      <c r="AE20" s="45"/>
      <c r="AF20" s="37"/>
      <c r="AG20" s="45"/>
      <c r="AH20" s="37"/>
      <c r="AI20" s="44"/>
      <c r="AJ20" s="37"/>
      <c r="AK20" s="45"/>
      <c r="AL20" s="37"/>
      <c r="AM20" s="45"/>
      <c r="AN20" s="37"/>
      <c r="AO20" s="45"/>
      <c r="AP20" s="37"/>
      <c r="AQ20" s="45"/>
      <c r="AR20" s="37"/>
      <c r="AS20" s="45"/>
      <c r="AT20" s="37"/>
      <c r="AU20" s="45"/>
      <c r="AV20" s="37"/>
      <c r="AW20" s="45"/>
      <c r="AX20" s="37"/>
      <c r="AY20" s="45"/>
      <c r="AZ20" s="37"/>
      <c r="BA20" s="45"/>
      <c r="BB20" s="37"/>
      <c r="BC20" s="45"/>
      <c r="BD20" s="37"/>
      <c r="BE20" s="45"/>
      <c r="BF20" s="37"/>
      <c r="BG20" s="45"/>
      <c r="BH20" s="124">
        <f>SUM(D20/E20)</f>
        <v>351071.53683419997</v>
      </c>
      <c r="BI20" s="125">
        <f>SUM(C20/E20)</f>
        <v>1.4999999999999999E-2</v>
      </c>
      <c r="BJ20" s="124">
        <f>$BH$20</f>
        <v>351071.53683419997</v>
      </c>
      <c r="BK20" s="125">
        <f>$BI$20</f>
        <v>1.4999999999999999E-2</v>
      </c>
      <c r="BL20" s="37"/>
      <c r="BM20" s="45"/>
      <c r="BN20" s="37"/>
      <c r="BO20" s="39"/>
      <c r="BP20" s="37"/>
      <c r="BQ20" s="39"/>
      <c r="BR20" s="37"/>
      <c r="BS20" s="39"/>
      <c r="BT20" s="122"/>
      <c r="BU20" s="123"/>
      <c r="BV20" s="122"/>
      <c r="BW20" s="123"/>
      <c r="BX20" s="37"/>
      <c r="BY20" s="39"/>
      <c r="BZ20" s="90">
        <v>0.03</v>
      </c>
    </row>
    <row r="21" spans="1:78" ht="15" thickBot="1" x14ac:dyDescent="0.35">
      <c r="A21" s="4"/>
      <c r="B21" s="5" t="s">
        <v>15</v>
      </c>
      <c r="C21" s="6">
        <f>SUM(C4:C20)</f>
        <v>1</v>
      </c>
      <c r="D21" s="7">
        <f>SUM(3228.68*5576.17)*1.3</f>
        <v>23404769.122279998</v>
      </c>
      <c r="E21" s="36">
        <f>SUM(E5:E20)</f>
        <v>80</v>
      </c>
      <c r="F21" s="126">
        <f>SUM(F4:F20)</f>
        <v>546111.27951986657</v>
      </c>
      <c r="G21" s="127">
        <f>SUM(G4:G20)</f>
        <v>2.3333333333333334E-2</v>
      </c>
      <c r="H21" s="126">
        <f t="shared" ref="H21:BX21" si="5">SUM(H4:H20)</f>
        <v>546111.27951986657</v>
      </c>
      <c r="I21" s="127">
        <f>SUM(I4:I20)</f>
        <v>2.3333333333333334E-2</v>
      </c>
      <c r="J21" s="126">
        <f t="shared" si="5"/>
        <v>546111.27951986657</v>
      </c>
      <c r="K21" s="127">
        <f>SUM(K4:K20)</f>
        <v>2.3333333333333334E-2</v>
      </c>
      <c r="L21" s="126">
        <f t="shared" si="5"/>
        <v>429087.4339084666</v>
      </c>
      <c r="M21" s="127">
        <f>SUM(M4:M20)</f>
        <v>1.8333333333333333E-2</v>
      </c>
      <c r="N21" s="126">
        <f t="shared" si="5"/>
        <v>429087.4339084666</v>
      </c>
      <c r="O21" s="128">
        <f>SUM(O5:O20)</f>
        <v>1.4999999999999999E-2</v>
      </c>
      <c r="P21" s="126">
        <f t="shared" si="5"/>
        <v>429087.4339084666</v>
      </c>
      <c r="Q21" s="128">
        <f>SUM(Q4:Q20)</f>
        <v>1.8333333333333333E-2</v>
      </c>
      <c r="R21" s="126">
        <f t="shared" si="5"/>
        <v>429087.4339084666</v>
      </c>
      <c r="S21" s="128">
        <f>SUM(S4:S20)</f>
        <v>1.8333333333333333E-2</v>
      </c>
      <c r="T21" s="126">
        <f t="shared" si="5"/>
        <v>646417.43290106661</v>
      </c>
      <c r="U21" s="128">
        <f>SUM(U4:U20)</f>
        <v>2.7619047619047619E-2</v>
      </c>
      <c r="V21" s="126">
        <f t="shared" si="5"/>
        <v>646417.43290106661</v>
      </c>
      <c r="W21" s="128">
        <f>SUM(W4:W20)</f>
        <v>2.7619047619047619E-2</v>
      </c>
      <c r="X21" s="126">
        <f t="shared" si="5"/>
        <v>646417.43290106661</v>
      </c>
      <c r="Y21" s="128">
        <f>SUM(Y4:Y20)</f>
        <v>2.7619047619047619E-2</v>
      </c>
      <c r="Z21" s="126">
        <f t="shared" si="5"/>
        <v>821953.20131816657</v>
      </c>
      <c r="AA21" s="128">
        <f>SUM(AA4:AA20)</f>
        <v>3.5119047619047619E-2</v>
      </c>
      <c r="AB21" s="126">
        <f t="shared" si="5"/>
        <v>821953.20131816657</v>
      </c>
      <c r="AC21" s="128">
        <f>SUM(AC4:AC20)</f>
        <v>3.5119047619047619E-2</v>
      </c>
      <c r="AD21" s="126">
        <f t="shared" si="5"/>
        <v>1102810.4307855265</v>
      </c>
      <c r="AE21" s="128">
        <f>SUM(AE4:AE20)</f>
        <v>4.7119047619047623E-2</v>
      </c>
      <c r="AF21" s="126">
        <f t="shared" si="5"/>
        <v>1795201.5173196432</v>
      </c>
      <c r="AG21" s="128">
        <f>SUM(AG4:AG20)</f>
        <v>7.6702380952380966E-2</v>
      </c>
      <c r="AH21" s="126">
        <f t="shared" si="5"/>
        <v>1577871.5183270432</v>
      </c>
      <c r="AI21" s="128">
        <f>SUM(AI4:AI20)</f>
        <v>6.7416666666666666E-2</v>
      </c>
      <c r="AJ21" s="126">
        <f t="shared" si="5"/>
        <v>633879.16372841666</v>
      </c>
      <c r="AK21" s="128">
        <f>SUM(AK4:AK20)</f>
        <v>2.7083333333333334E-2</v>
      </c>
      <c r="AL21" s="126">
        <f t="shared" si="5"/>
        <v>984950.70056261658</v>
      </c>
      <c r="AM21" s="128">
        <f>SUM(AM4:AM20)</f>
        <v>4.2083333333333334E-2</v>
      </c>
      <c r="AN21" s="126">
        <f t="shared" si="5"/>
        <v>943156.46998711664</v>
      </c>
      <c r="AO21" s="128">
        <f>SUM(AO4:AO20)</f>
        <v>4.0297619047619047E-2</v>
      </c>
      <c r="AP21" s="126">
        <f t="shared" si="5"/>
        <v>592084.93315291661</v>
      </c>
      <c r="AQ21" s="128">
        <f>SUM(AQ4:AQ20)</f>
        <v>2.5297619047619048E-2</v>
      </c>
      <c r="AR21" s="126">
        <f t="shared" si="5"/>
        <v>592084.93315291661</v>
      </c>
      <c r="AS21" s="128">
        <f>SUM(AS4:AS20)</f>
        <v>2.5297619047619048E-2</v>
      </c>
      <c r="AT21" s="126">
        <f t="shared" si="5"/>
        <v>592084.93315291661</v>
      </c>
      <c r="AU21" s="128">
        <f>SUM(AU4:AU20)</f>
        <v>2.5297619047619048E-2</v>
      </c>
      <c r="AV21" s="126">
        <f t="shared" si="5"/>
        <v>328781.28052726662</v>
      </c>
      <c r="AW21" s="128">
        <f>SUM(AW4:AW20)</f>
        <v>1.4047619047619048E-2</v>
      </c>
      <c r="AX21" s="126">
        <f t="shared" si="5"/>
        <v>796876.66297286656</v>
      </c>
      <c r="AY21" s="128">
        <f>SUM(AY4:AY20)</f>
        <v>3.4047619047619049E-2</v>
      </c>
      <c r="AZ21" s="126">
        <f t="shared" si="5"/>
        <v>796876.66297286656</v>
      </c>
      <c r="BA21" s="128">
        <f>SUM(BA4:BA20)</f>
        <v>3.4047619047619049E-2</v>
      </c>
      <c r="BB21" s="126">
        <f t="shared" si="5"/>
        <v>663135.12513126666</v>
      </c>
      <c r="BC21" s="128">
        <f>SUM(BC4:BC20)</f>
        <v>2.8333333333333335E-2</v>
      </c>
      <c r="BD21" s="126">
        <f t="shared" si="5"/>
        <v>429087.4339084666</v>
      </c>
      <c r="BE21" s="128">
        <f>SUM(BE4:BE20)</f>
        <v>1.8333333333333333E-2</v>
      </c>
      <c r="BF21" s="126">
        <f t="shared" si="5"/>
        <v>429087.4339084666</v>
      </c>
      <c r="BG21" s="127">
        <f>SUM(BG4:BG20)</f>
        <v>1.8333333333333333E-2</v>
      </c>
      <c r="BH21" s="126">
        <f t="shared" si="5"/>
        <v>1373079.7885070932</v>
      </c>
      <c r="BI21" s="128">
        <f>SUM(BI4:BI20)</f>
        <v>5.8666666666666673E-2</v>
      </c>
      <c r="BJ21" s="126">
        <f t="shared" si="5"/>
        <v>1236551.9686271264</v>
      </c>
      <c r="BK21" s="128">
        <f>SUM(BK4:BK20)</f>
        <v>5.2833333333333336E-2</v>
      </c>
      <c r="BL21" s="126">
        <f t="shared" si="5"/>
        <v>195039.74268566666</v>
      </c>
      <c r="BM21" s="128">
        <f>SUM(BM4:BM20)</f>
        <v>8.3333333333333332E-3</v>
      </c>
      <c r="BN21" s="126">
        <f t="shared" si="5"/>
        <v>0</v>
      </c>
      <c r="BO21" s="129"/>
      <c r="BP21" s="126">
        <f t="shared" si="5"/>
        <v>0</v>
      </c>
      <c r="BQ21" s="129"/>
      <c r="BR21" s="126">
        <f t="shared" si="5"/>
        <v>0</v>
      </c>
      <c r="BS21" s="129"/>
      <c r="BT21" s="126">
        <f t="shared" si="5"/>
        <v>0</v>
      </c>
      <c r="BU21" s="129"/>
      <c r="BV21" s="126">
        <f t="shared" si="5"/>
        <v>0</v>
      </c>
      <c r="BW21" s="129"/>
      <c r="BX21" s="126">
        <f t="shared" si="5"/>
        <v>0</v>
      </c>
      <c r="BY21" s="129"/>
      <c r="BZ21" s="127">
        <f>SUM(BZ4:BZ20)</f>
        <v>1</v>
      </c>
    </row>
    <row r="23" spans="1:78" x14ac:dyDescent="0.3">
      <c r="D23" s="135"/>
    </row>
  </sheetData>
  <mergeCells count="78">
    <mergeCell ref="BY1:BY3"/>
    <mergeCell ref="X1:X3"/>
    <mergeCell ref="Z1:Z3"/>
    <mergeCell ref="AB1:AB3"/>
    <mergeCell ref="AD1:AD3"/>
    <mergeCell ref="AF1:AF3"/>
    <mergeCell ref="AR1:AR3"/>
    <mergeCell ref="AT1:AT3"/>
    <mergeCell ref="AV1:AV3"/>
    <mergeCell ref="AX1:AX3"/>
    <mergeCell ref="AZ1:AZ3"/>
    <mergeCell ref="BB1:BB3"/>
    <mergeCell ref="BD1:BD3"/>
    <mergeCell ref="BF1:BF3"/>
    <mergeCell ref="BH1:BH3"/>
    <mergeCell ref="BJ1:BJ3"/>
    <mergeCell ref="N1:N3"/>
    <mergeCell ref="P1:P3"/>
    <mergeCell ref="R1:R3"/>
    <mergeCell ref="T1:T3"/>
    <mergeCell ref="V1:V3"/>
    <mergeCell ref="A2:B2"/>
    <mergeCell ref="F1:F3"/>
    <mergeCell ref="H1:H3"/>
    <mergeCell ref="J1:J3"/>
    <mergeCell ref="L1:L3"/>
    <mergeCell ref="A1:B1"/>
    <mergeCell ref="E1:E3"/>
    <mergeCell ref="C1:D1"/>
    <mergeCell ref="C2:D2"/>
    <mergeCell ref="BN1:BN3"/>
    <mergeCell ref="BP1:BP3"/>
    <mergeCell ref="BR1:BR3"/>
    <mergeCell ref="BT1:BT3"/>
    <mergeCell ref="BM1:BM3"/>
    <mergeCell ref="BX1:BX3"/>
    <mergeCell ref="BZ1:BZ3"/>
    <mergeCell ref="G1:G3"/>
    <mergeCell ref="I1:I3"/>
    <mergeCell ref="O1:O3"/>
    <mergeCell ref="M1:M3"/>
    <mergeCell ref="K1:K3"/>
    <mergeCell ref="W1:W3"/>
    <mergeCell ref="U1:U3"/>
    <mergeCell ref="S1:S3"/>
    <mergeCell ref="Q1:Q3"/>
    <mergeCell ref="AG1:AG3"/>
    <mergeCell ref="AE1:AE3"/>
    <mergeCell ref="AC1:AC3"/>
    <mergeCell ref="AA1:AA3"/>
    <mergeCell ref="BL1:BL3"/>
    <mergeCell ref="Y1:Y3"/>
    <mergeCell ref="AQ1:AQ3"/>
    <mergeCell ref="AO1:AO3"/>
    <mergeCell ref="AM1:AM3"/>
    <mergeCell ref="AK1:AK3"/>
    <mergeCell ref="AI1:AI3"/>
    <mergeCell ref="AH1:AH3"/>
    <mergeCell ref="AJ1:AJ3"/>
    <mergeCell ref="AL1:AL3"/>
    <mergeCell ref="AN1:AN3"/>
    <mergeCell ref="AP1:AP3"/>
    <mergeCell ref="BA1:BA3"/>
    <mergeCell ref="AY1:AY3"/>
    <mergeCell ref="AW1:AW3"/>
    <mergeCell ref="AU1:AU3"/>
    <mergeCell ref="AS1:AS3"/>
    <mergeCell ref="BK1:BK3"/>
    <mergeCell ref="BI1:BI3"/>
    <mergeCell ref="BG1:BG3"/>
    <mergeCell ref="BE1:BE3"/>
    <mergeCell ref="BC1:BC3"/>
    <mergeCell ref="BW1:BW3"/>
    <mergeCell ref="BU1:BU3"/>
    <mergeCell ref="BS1:BS3"/>
    <mergeCell ref="BQ1:BQ3"/>
    <mergeCell ref="BO1:BO3"/>
    <mergeCell ref="BV1:BV3"/>
  </mergeCells>
  <phoneticPr fontId="6" type="noConversion"/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ravazzi</dc:creator>
  <cp:lastModifiedBy>kelvin ravazzi</cp:lastModifiedBy>
  <cp:lastPrinted>2024-12-13T18:12:43Z</cp:lastPrinted>
  <dcterms:created xsi:type="dcterms:W3CDTF">2024-11-26T18:50:57Z</dcterms:created>
  <dcterms:modified xsi:type="dcterms:W3CDTF">2025-03-10T17:52:13Z</dcterms:modified>
</cp:coreProperties>
</file>