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D Empreendimentos\2025 - Jardim Campeche\04. Custo\04.1 Custo - Paramétrico\03 - Indiretos\"/>
    </mc:Choice>
  </mc:AlternateContent>
  <xr:revisionPtr revIDLastSave="0" documentId="13_ncr:1_{45FED026-5DD0-4B7A-BBDA-193427A6BE50}" xr6:coauthVersionLast="47" xr6:coauthVersionMax="47" xr10:uidLastSave="{00000000-0000-0000-0000-000000000000}"/>
  <bookViews>
    <workbookView xWindow="-23148" yWindow="-48" windowWidth="23256" windowHeight="12456" activeTab="4" xr2:uid="{00000000-000D-0000-FFFF-FFFF00000000}"/>
  </bookViews>
  <sheets>
    <sheet name="OBRA" sheetId="1" r:id="rId1"/>
    <sheet name="CANTEIRO" sheetId="2" r:id="rId2"/>
    <sheet name="BASES" sheetId="3" r:id="rId3"/>
    <sheet name="EPCs" sheetId="4" r:id="rId4"/>
    <sheet name="CUSTOS_INDIRETOS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aa" localSheetId="1">#REF!</definedName>
    <definedName name="aa" localSheetId="3">#REF!</definedName>
    <definedName name="aa" localSheetId="0">#REF!</definedName>
    <definedName name="aa">#REF!</definedName>
    <definedName name="aaaa" localSheetId="1">'[1]M.O.'!#REF!</definedName>
    <definedName name="aaaa" localSheetId="3">'[1]M.O.'!#REF!</definedName>
    <definedName name="aaaa" localSheetId="0">'[1]M.O.'!#REF!</definedName>
    <definedName name="aaaa">'[1]M.O.'!#REF!</definedName>
    <definedName name="angelo" localSheetId="3">[2]Geral!#REF!</definedName>
    <definedName name="angelo" localSheetId="0">[2]Geral!#REF!</definedName>
    <definedName name="angelo">[2]Geral!#REF!</definedName>
    <definedName name="area">#REF!</definedName>
    <definedName name="aux" localSheetId="3">#REF!</definedName>
    <definedName name="aux" localSheetId="0">#REF!</definedName>
    <definedName name="aux">#REF!</definedName>
    <definedName name="BDA" localSheetId="3">#REF!</definedName>
    <definedName name="BDA" localSheetId="0">#REF!</definedName>
    <definedName name="BDA">#REF!</definedName>
    <definedName name="BDI" localSheetId="3">#REF!</definedName>
    <definedName name="BDI">#REF!</definedName>
    <definedName name="ca" localSheetId="3">#REF!</definedName>
    <definedName name="ca">#REF!</definedName>
    <definedName name="Capa" localSheetId="3">#REF!</definedName>
    <definedName name="Capa">#REF!</definedName>
    <definedName name="cronograma" localSheetId="3">#REF!</definedName>
    <definedName name="cronograma">#REF!</definedName>
    <definedName name="D" localSheetId="3">#REF!</definedName>
    <definedName name="D">#REF!</definedName>
    <definedName name="direto" localSheetId="3">#REF!</definedName>
    <definedName name="direto">#REF!</definedName>
    <definedName name="DRE" localSheetId="3">#REF!</definedName>
    <definedName name="DRE">#REF!</definedName>
    <definedName name="ea" localSheetId="3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3">#REF!</definedName>
    <definedName name="FFFFFFF">#REF!</definedName>
    <definedName name="item_1" localSheetId="3">#REF!</definedName>
    <definedName name="item_1">#REF!</definedName>
    <definedName name="LS" localSheetId="3">'[1]M.O.'!#REF!</definedName>
    <definedName name="LS">'[1]M.O.'!#REF!</definedName>
    <definedName name="MENU" localSheetId="1">#REF!</definedName>
    <definedName name="MENU" localSheetId="3">#REF!</definedName>
    <definedName name="MENU" localSheetId="0">#REF!</definedName>
    <definedName name="MENU">#REF!</definedName>
    <definedName name="MENU1" localSheetId="3">#REF!</definedName>
    <definedName name="MENU1" localSheetId="0">#REF!</definedName>
    <definedName name="MENU1">#REF!</definedName>
    <definedName name="MENU2" localSheetId="3">#REF!</definedName>
    <definedName name="MENU2" localSheetId="0">#REF!</definedName>
    <definedName name="MENU2">#REF!</definedName>
    <definedName name="MENU3" localSheetId="3">#REF!</definedName>
    <definedName name="MENU3">#REF!</definedName>
    <definedName name="MENU4" localSheetId="3">#REF!</definedName>
    <definedName name="MENU4">#REF!</definedName>
    <definedName name="MENU5" localSheetId="3">#REF!</definedName>
    <definedName name="MENU5">#REF!</definedName>
    <definedName name="MENU6" localSheetId="3">#REF!</definedName>
    <definedName name="MENU6">#REF!</definedName>
    <definedName name="mo" localSheetId="3">#REF!</definedName>
    <definedName name="mo">#REF!</definedName>
    <definedName name="OAE" localSheetId="3">#REF!</definedName>
    <definedName name="OAE">#REF!</definedName>
    <definedName name="ParamValues1">[3]ParamValues!$A$1:$A$39</definedName>
    <definedName name="PAV" localSheetId="3">#REF!</definedName>
    <definedName name="PAV">#REF!</definedName>
    <definedName name="pr" localSheetId="3">#REF!</definedName>
    <definedName name="pr">#REF!</definedName>
    <definedName name="PRE" localSheetId="3">#REF!</definedName>
    <definedName name="PRE">#REF!</definedName>
    <definedName name="Print_Area_MI" localSheetId="3">#REF!</definedName>
    <definedName name="Print_Area_MI">#REF!</definedName>
    <definedName name="qe" localSheetId="3">#REF!</definedName>
    <definedName name="qe">#REF!</definedName>
    <definedName name="qee" localSheetId="3">#REF!</definedName>
    <definedName name="qee">#REF!</definedName>
    <definedName name="reforsu" localSheetId="3">#REF!</definedName>
    <definedName name="reforsu">#REF!</definedName>
    <definedName name="ren" localSheetId="3">#REF!</definedName>
    <definedName name="ren">#REF!</definedName>
    <definedName name="REV" localSheetId="3">#REF!</definedName>
    <definedName name="REV">#REF!</definedName>
    <definedName name="sa" localSheetId="3">#REF!</definedName>
    <definedName name="sa">#REF!</definedName>
    <definedName name="SEG" localSheetId="3">#REF!</definedName>
    <definedName name="SEG">#REF!</definedName>
    <definedName name="SIH" localSheetId="3">#REF!</definedName>
    <definedName name="SIH">#REF!</definedName>
    <definedName name="SIV" localSheetId="3">#REF!</definedName>
    <definedName name="SIV">#REF!</definedName>
    <definedName name="ss" localSheetId="3">#REF!</definedName>
    <definedName name="ss">#REF!</definedName>
    <definedName name="susref" localSheetId="3">#REF!</definedName>
    <definedName name="susref">#REF!</definedName>
    <definedName name="tania" localSheetId="3">#REF!</definedName>
    <definedName name="tania">#REF!</definedName>
    <definedName name="tc" localSheetId="3">#REF!</definedName>
    <definedName name="tc">#REF!</definedName>
    <definedName name="titulos">#REF!</definedName>
    <definedName name="TOT" localSheetId="3">#REF!</definedName>
    <definedName name="TOT" localSheetId="0">#REF!</definedName>
    <definedName name="TOT">#REF!</definedName>
    <definedName name="Total" localSheetId="3">#REF!</definedName>
    <definedName name="Total" localSheetId="0">#REF!</definedName>
    <definedName name="Total">#REF!</definedName>
    <definedName name="TRP" localSheetId="3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3">#REF!</definedName>
    <definedName name="xxxx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wOGlddagzeJmMyz/ZP1L6C2W/Qm0mXSgKejek6JgjyQ="/>
    </ext>
  </extLst>
</workbook>
</file>

<file path=xl/calcChain.xml><?xml version="1.0" encoding="utf-8"?>
<calcChain xmlns="http://schemas.openxmlformats.org/spreadsheetml/2006/main">
  <c r="D44" i="5" l="1"/>
  <c r="E41" i="5"/>
  <c r="E45" i="5"/>
  <c r="F66" i="5"/>
  <c r="F67" i="5"/>
  <c r="E69" i="5"/>
  <c r="D70" i="5" l="1"/>
  <c r="H39" i="3"/>
  <c r="F17" i="5" l="1"/>
  <c r="E61" i="5" l="1"/>
  <c r="E32" i="5"/>
  <c r="E33" i="5"/>
  <c r="E34" i="5"/>
  <c r="E30" i="5"/>
  <c r="D32" i="5"/>
  <c r="D41" i="4"/>
  <c r="D35" i="4"/>
  <c r="D36" i="4" s="1"/>
  <c r="D28" i="4"/>
  <c r="D27" i="4"/>
  <c r="D12" i="4"/>
  <c r="D11" i="4"/>
  <c r="D46" i="5" l="1"/>
  <c r="F46" i="5" s="1"/>
  <c r="D45" i="5"/>
  <c r="D43" i="5"/>
  <c r="D42" i="5"/>
  <c r="F42" i="5" s="1"/>
  <c r="D41" i="5"/>
  <c r="F45" i="5" l="1"/>
  <c r="F43" i="5"/>
  <c r="F41" i="5"/>
  <c r="D18" i="2" l="1"/>
  <c r="N22" i="3" l="1"/>
  <c r="M21" i="3"/>
  <c r="M17" i="3"/>
  <c r="M16" i="3"/>
  <c r="M13" i="3"/>
  <c r="M12" i="3"/>
  <c r="M11" i="3"/>
  <c r="F61" i="5" l="1"/>
  <c r="I36" i="3" l="1"/>
  <c r="I35" i="3"/>
  <c r="I39" i="3" l="1"/>
  <c r="D13" i="4" l="1"/>
  <c r="B2" i="2" l="1"/>
  <c r="B1" i="2"/>
  <c r="D31" i="2"/>
  <c r="F32" i="5" l="1"/>
  <c r="B2" i="4" l="1"/>
  <c r="B1" i="4"/>
  <c r="D28" i="2"/>
  <c r="D27" i="2"/>
  <c r="D24" i="2"/>
  <c r="D14" i="4" l="1"/>
  <c r="F71" i="5" l="1"/>
  <c r="F62" i="5"/>
  <c r="F63" i="5"/>
  <c r="F64" i="5"/>
  <c r="F65" i="5"/>
  <c r="F70" i="5"/>
  <c r="F69" i="5"/>
  <c r="F68" i="5" l="1"/>
  <c r="D33" i="4"/>
  <c r="D26" i="4"/>
  <c r="F50" i="5" l="1"/>
  <c r="D48" i="5"/>
  <c r="F48" i="5" s="1"/>
  <c r="F47" i="5" s="1"/>
  <c r="D27" i="5"/>
  <c r="B10" i="5"/>
  <c r="B8" i="5"/>
  <c r="B7" i="5"/>
  <c r="D43" i="4"/>
  <c r="D56" i="5" s="1"/>
  <c r="F56" i="5" s="1"/>
  <c r="D33" i="5"/>
  <c r="F33" i="5" s="1"/>
  <c r="D35" i="5"/>
  <c r="F35" i="5" s="1"/>
  <c r="D19" i="4"/>
  <c r="D21" i="4" s="1"/>
  <c r="D31" i="5" s="1"/>
  <c r="D30" i="5"/>
  <c r="F30" i="5" s="1"/>
  <c r="D29" i="5"/>
  <c r="F29" i="5" s="1"/>
  <c r="B3" i="4"/>
  <c r="N39" i="3"/>
  <c r="L39" i="3"/>
  <c r="J39" i="3"/>
  <c r="N38" i="3"/>
  <c r="L38" i="3"/>
  <c r="J38" i="3"/>
  <c r="N37" i="3"/>
  <c r="L37" i="3"/>
  <c r="J37" i="3"/>
  <c r="N36" i="3"/>
  <c r="L36" i="3"/>
  <c r="J36" i="3"/>
  <c r="H36" i="3" s="1"/>
  <c r="N35" i="3"/>
  <c r="L35" i="3"/>
  <c r="J35" i="3"/>
  <c r="N34" i="3"/>
  <c r="L34" i="3"/>
  <c r="J34" i="3"/>
  <c r="N33" i="3"/>
  <c r="L33" i="3"/>
  <c r="J33" i="3"/>
  <c r="N32" i="3"/>
  <c r="L32" i="3"/>
  <c r="J32" i="3"/>
  <c r="N30" i="3"/>
  <c r="L30" i="3"/>
  <c r="J30" i="3"/>
  <c r="N21" i="3"/>
  <c r="L21" i="3"/>
  <c r="J21" i="3"/>
  <c r="N20" i="3"/>
  <c r="L20" i="3"/>
  <c r="J20" i="3"/>
  <c r="N19" i="3"/>
  <c r="L19" i="3"/>
  <c r="J19" i="3"/>
  <c r="N17" i="3"/>
  <c r="L17" i="3"/>
  <c r="J17" i="3"/>
  <c r="N16" i="3"/>
  <c r="L16" i="3"/>
  <c r="J16" i="3"/>
  <c r="N15" i="3"/>
  <c r="L15" i="3"/>
  <c r="J15" i="3"/>
  <c r="N13" i="3"/>
  <c r="L13" i="3"/>
  <c r="J13" i="3"/>
  <c r="N12" i="3"/>
  <c r="L12" i="3"/>
  <c r="J12" i="3"/>
  <c r="N11" i="3"/>
  <c r="L11" i="3"/>
  <c r="J11" i="3"/>
  <c r="N10" i="3"/>
  <c r="L10" i="3"/>
  <c r="J10" i="3"/>
  <c r="N8" i="3"/>
  <c r="M8" i="3"/>
  <c r="L8" i="3"/>
  <c r="K8" i="3"/>
  <c r="J8" i="3"/>
  <c r="I8" i="3"/>
  <c r="D4" i="3"/>
  <c r="C4" i="3"/>
  <c r="B4" i="3"/>
  <c r="H32" i="3" s="1"/>
  <c r="A4" i="3"/>
  <c r="F33" i="2"/>
  <c r="F32" i="2"/>
  <c r="F31" i="2"/>
  <c r="F28" i="2"/>
  <c r="F27" i="2"/>
  <c r="F26" i="2"/>
  <c r="F25" i="2"/>
  <c r="F24" i="2"/>
  <c r="D16" i="2"/>
  <c r="D13" i="2"/>
  <c r="D11" i="2"/>
  <c r="B3" i="2"/>
  <c r="E53" i="5" l="1"/>
  <c r="F53" i="5" s="1"/>
  <c r="H35" i="3"/>
  <c r="H21" i="3"/>
  <c r="F57" i="5"/>
  <c r="H38" i="3"/>
  <c r="H17" i="3"/>
  <c r="F23" i="5" s="1"/>
  <c r="H13" i="3"/>
  <c r="F19" i="5" s="1"/>
  <c r="H12" i="3"/>
  <c r="F18" i="5" s="1"/>
  <c r="H16" i="3"/>
  <c r="F22" i="5" s="1"/>
  <c r="H15" i="3"/>
  <c r="F21" i="5" s="1"/>
  <c r="H11" i="3"/>
  <c r="H10" i="3"/>
  <c r="F16" i="5" s="1"/>
  <c r="D19" i="2"/>
  <c r="F34" i="2"/>
  <c r="H37" i="3"/>
  <c r="E52" i="5"/>
  <c r="F52" i="5" s="1"/>
  <c r="H33" i="3"/>
  <c r="F38" i="5"/>
  <c r="E36" i="5"/>
  <c r="F36" i="5" s="1"/>
  <c r="F27" i="5"/>
  <c r="F26" i="5" s="1"/>
  <c r="F44" i="5"/>
  <c r="F40" i="5" s="1"/>
  <c r="F29" i="2"/>
  <c r="F31" i="5"/>
  <c r="D34" i="5"/>
  <c r="F34" i="5" s="1"/>
  <c r="D15" i="2"/>
  <c r="D17" i="2"/>
  <c r="E51" i="5" l="1"/>
  <c r="F51" i="5" s="1"/>
  <c r="E54" i="5"/>
  <c r="F54" i="5" s="1"/>
  <c r="E55" i="5"/>
  <c r="F55" i="5" s="1"/>
  <c r="E60" i="5"/>
  <c r="F60" i="5" s="1"/>
  <c r="F37" i="5"/>
  <c r="H40" i="5"/>
  <c r="F20" i="5"/>
  <c r="F15" i="5"/>
  <c r="F28" i="5" l="1"/>
  <c r="F59" i="5"/>
  <c r="F49" i="5"/>
  <c r="F14" i="5"/>
  <c r="F39" i="5" l="1"/>
  <c r="F58" i="5"/>
  <c r="H58" i="5" s="1"/>
  <c r="F25" i="5"/>
  <c r="F24" i="5" l="1"/>
  <c r="F72" i="5" l="1"/>
  <c r="G67" i="5" l="1"/>
  <c r="G66" i="5"/>
  <c r="G46" i="5"/>
  <c r="G45" i="5"/>
  <c r="G41" i="5"/>
  <c r="G43" i="5"/>
  <c r="G42" i="5"/>
  <c r="F73" i="5"/>
  <c r="H72" i="5"/>
  <c r="G36" i="5"/>
  <c r="G68" i="5"/>
  <c r="G29" i="5"/>
  <c r="G61" i="5"/>
  <c r="G69" i="5"/>
  <c r="G30" i="5"/>
  <c r="G44" i="5"/>
  <c r="G54" i="5"/>
  <c r="G62" i="5"/>
  <c r="G70" i="5"/>
  <c r="G34" i="5"/>
  <c r="G31" i="5"/>
  <c r="G47" i="5"/>
  <c r="G55" i="5"/>
  <c r="G63" i="5"/>
  <c r="G71" i="5"/>
  <c r="G65" i="5"/>
  <c r="G50" i="5"/>
  <c r="G27" i="5"/>
  <c r="G32" i="5"/>
  <c r="G40" i="5"/>
  <c r="G48" i="5"/>
  <c r="G56" i="5"/>
  <c r="G64" i="5"/>
  <c r="G72" i="5"/>
  <c r="G33" i="5"/>
  <c r="G26" i="5"/>
  <c r="G35" i="5"/>
  <c r="G18" i="5"/>
  <c r="G16" i="5"/>
  <c r="G51" i="5"/>
  <c r="G38" i="5"/>
  <c r="G19" i="5"/>
  <c r="G21" i="5"/>
  <c r="G23" i="5"/>
  <c r="G52" i="5"/>
  <c r="G57" i="5"/>
  <c r="G22" i="5"/>
  <c r="G53" i="5"/>
  <c r="G17" i="5"/>
  <c r="G37" i="5"/>
  <c r="G20" i="5"/>
  <c r="G60" i="5"/>
  <c r="G49" i="5"/>
  <c r="G59" i="5"/>
  <c r="G28" i="5"/>
  <c r="G25" i="5"/>
  <c r="G58" i="5"/>
  <c r="G39" i="5"/>
  <c r="G15" i="5"/>
  <c r="G24" i="5"/>
</calcChain>
</file>

<file path=xl/sharedStrings.xml><?xml version="1.0" encoding="utf-8"?>
<sst xmlns="http://schemas.openxmlformats.org/spreadsheetml/2006/main" count="382" uniqueCount="234">
  <si>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</si>
  <si>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</si>
  <si>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</si>
  <si>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</si>
  <si>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</si>
  <si>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</si>
  <si>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</si>
  <si>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</si>
  <si>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</si>
  <si>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</si>
  <si>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</si>
  <si>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</si>
  <si>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</si>
  <si>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</si>
  <si>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</si>
  <si>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</si>
  <si>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</si>
  <si>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Pm</t>
  </si>
  <si>
    <t xml:space="preserve">h/m2 </t>
  </si>
  <si>
    <t>Instalações de canteiro</t>
  </si>
  <si>
    <t>Equipe administrativa</t>
  </si>
  <si>
    <t>Produtividade média</t>
  </si>
  <si>
    <t>m2 / mês</t>
  </si>
  <si>
    <t>Numero de funcionários</t>
  </si>
  <si>
    <t>un</t>
  </si>
  <si>
    <t>Pontos de água e esgoto</t>
  </si>
  <si>
    <t>20 funcionários/ponto</t>
  </si>
  <si>
    <t>Bebedouro</t>
  </si>
  <si>
    <t>1 / 5 pav.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</si>
  <si>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</si>
  <si>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</si>
  <si>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</si>
  <si>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</si>
  <si>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</si>
  <si>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</si>
  <si>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</si>
  <si>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</si>
  <si>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</si>
  <si>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</si>
  <si>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</si>
  <si>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</si>
  <si>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</si>
  <si>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</si>
  <si>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m</t>
  </si>
  <si>
    <t>Escrivaninha</t>
  </si>
  <si>
    <t>TOTAL</t>
  </si>
  <si>
    <t>Computador pessoal</t>
  </si>
  <si>
    <t>Impressora</t>
  </si>
  <si>
    <t>Roteador</t>
  </si>
  <si>
    <t>m2</t>
  </si>
  <si>
    <t>Estimativas</t>
  </si>
  <si>
    <t>Área de Terreno</t>
  </si>
  <si>
    <t>Área Construída</t>
  </si>
  <si>
    <t>N° pavimentos</t>
  </si>
  <si>
    <t>Parâmetros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</si>
  <si>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</si>
  <si>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</si>
  <si>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</si>
  <si>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</si>
  <si>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</si>
  <si>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</si>
  <si>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</si>
  <si>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</si>
  <si>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</si>
  <si>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</si>
  <si>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>vb</t>
  </si>
  <si>
    <t>Licenciamentos, Taxas, Impostos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</si>
  <si>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</si>
  <si>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</si>
  <si>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</si>
  <si>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</si>
  <si>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</si>
  <si>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</si>
  <si>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 | SAÚDE OCUPACIONAL</t>
  </si>
  <si>
    <t>EQUIPE</t>
  </si>
  <si>
    <t>Engenheiro Civil</t>
  </si>
  <si>
    <t>Mestre Geral</t>
  </si>
  <si>
    <t>Almoxarife</t>
  </si>
  <si>
    <t>Auxiliar de Engenharia</t>
  </si>
  <si>
    <t>Estagiário de Engenharia</t>
  </si>
  <si>
    <t>Operador de Guincho</t>
  </si>
  <si>
    <t>Serviço de vigilância</t>
  </si>
  <si>
    <t>CANTEIRO DE OBRA</t>
  </si>
  <si>
    <t>Limpeza da camada vegetal</t>
  </si>
  <si>
    <t>Demolições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</si>
  <si>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</si>
  <si>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</si>
  <si>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</si>
  <si>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</si>
  <si>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Galpão provisório</t>
  </si>
  <si>
    <t>Despesas de Consumo e manutenção</t>
  </si>
  <si>
    <t>Equipamentos de proteção coletiva</t>
  </si>
  <si>
    <t>Bandejas de proteção</t>
  </si>
  <si>
    <t>Perímetro de projeção embasamneto</t>
  </si>
  <si>
    <t>Perímetro de projeção torre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</si>
  <si>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</si>
  <si>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</si>
  <si>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</si>
  <si>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</si>
  <si>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</si>
  <si>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</si>
  <si>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</si>
  <si>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</si>
  <si>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</si>
  <si>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</si>
  <si>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</si>
  <si>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</si>
  <si>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</si>
  <si>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</si>
  <si>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</si>
  <si>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</si>
  <si>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</si>
  <si>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</si>
  <si>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</si>
  <si>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</si>
  <si>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</si>
  <si>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</si>
  <si>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</si>
  <si>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</si>
  <si>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</si>
  <si>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</si>
  <si>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</si>
  <si>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</si>
  <si>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</si>
  <si>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</si>
  <si>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</si>
  <si>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</si>
  <si>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</si>
  <si>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</si>
  <si>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</si>
  <si>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</si>
  <si>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</si>
  <si>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</si>
  <si>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</si>
  <si>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</si>
  <si>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</si>
  <si>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</si>
  <si>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</si>
  <si>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</si>
  <si>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</si>
  <si>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</si>
  <si>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</si>
  <si>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</si>
  <si>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</si>
  <si>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</si>
  <si>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</si>
  <si>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</si>
  <si>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</si>
  <si>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</si>
  <si>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</si>
  <si>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</si>
  <si>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Guarda corpo em laje pós - desforma</t>
  </si>
  <si>
    <t>02.001.002.003</t>
  </si>
  <si>
    <t>Fechamento removível de vãos de porta de elevador em madeira</t>
  </si>
  <si>
    <t>02.001.002.004</t>
  </si>
  <si>
    <t>Varal de segurança com cabo de aço</t>
  </si>
  <si>
    <t>Tela fachadeira reforçada com impressão digital</t>
  </si>
  <si>
    <t>02.001.002.005</t>
  </si>
  <si>
    <t>Sinalização com placa indicativa fixada na estrutura</t>
  </si>
  <si>
    <t>02.001.002.007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</si>
  <si>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</si>
  <si>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</si>
  <si>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</si>
  <si>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</si>
  <si>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</si>
  <si>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</si>
  <si>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</si>
  <si>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>02.002.001.008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</si>
  <si>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</si>
  <si>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</si>
  <si>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</si>
  <si>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</si>
  <si>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</si>
  <si>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</si>
  <si>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</si>
  <si>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02.002.003.002</t>
  </si>
  <si>
    <t>02.002.003.003</t>
  </si>
  <si>
    <t>02.002.003.004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</si>
  <si>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</si>
  <si>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</si>
  <si>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</si>
  <si>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</si>
  <si>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</si>
  <si>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</si>
  <si>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</si>
  <si>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</si>
  <si>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</si>
  <si>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</si>
  <si>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</si>
  <si>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</si>
  <si>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</si>
  <si>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</si>
  <si>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</si>
  <si>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02.003.001.003</t>
  </si>
  <si>
    <t>02.003.001.005</t>
  </si>
  <si>
    <t>02.003.001.006</t>
  </si>
  <si>
    <t>02.003.001.007</t>
  </si>
  <si>
    <t>Montagem e desmontagem de elevador cremalheira</t>
  </si>
  <si>
    <t>Montagem e Desmontagem de Mini-grua</t>
  </si>
  <si>
    <t>Mobilização e desmobilização de Mini-grua</t>
  </si>
  <si>
    <t>02.003.002</t>
  </si>
  <si>
    <t>Balancim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</si>
  <si>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</si>
  <si>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</si>
  <si>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</si>
  <si>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</si>
  <si>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</si>
  <si>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</si>
  <si>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</si>
  <si>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R00</t>
  </si>
  <si>
    <t>index</t>
  </si>
  <si>
    <t>Equipe de apoio</t>
  </si>
  <si>
    <t>Perimetro da torre</t>
  </si>
  <si>
    <t>Altura da torre</t>
  </si>
  <si>
    <t>Locação de elevador cremalheira</t>
  </si>
  <si>
    <t>Mobilização e desmobilização de elevador cremalheira</t>
  </si>
  <si>
    <t>02.003.001.004</t>
  </si>
  <si>
    <t>Locação de de Mini-grua</t>
  </si>
  <si>
    <t>02.001.002.006</t>
  </si>
  <si>
    <t>02.001.002.008</t>
  </si>
  <si>
    <t>Gurada-corpo de vãos com régua de pinus 2,5x15cm</t>
  </si>
  <si>
    <t>Bela Vida</t>
  </si>
  <si>
    <t>Esmeralda</t>
  </si>
  <si>
    <t>Condutor de Entulho-Aquisição</t>
  </si>
  <si>
    <t>02.003.001.008</t>
  </si>
  <si>
    <t>*Outorga</t>
  </si>
  <si>
    <t>ARV VERIFICAR OUTORGA</t>
  </si>
  <si>
    <t>MARINE</t>
  </si>
  <si>
    <t>Licenciamentos, Taxas, Impostos e Outorga</t>
  </si>
  <si>
    <t>Jardim Campeche</t>
  </si>
  <si>
    <t>BD Empreendimentos</t>
  </si>
  <si>
    <t>Duas pessoas com 84% de encargos</t>
  </si>
  <si>
    <t>Vigilancia noturna</t>
  </si>
  <si>
    <t>Custo rateado em duas 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</si>
</sst>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</numFmts>
  <fonts count="33" x14ac:knownFonts="1">
    <font>
      <sz val="11"/>
      <color theme="1"/>
      <name val="Calibri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sz val="11"/>
      <name val="Calibri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8"/>
      <color theme="1"/>
      <name val="Poppins"/>
    </font>
    <font>
      <sz val="11"/>
      <color theme="1"/>
      <name val="Calibri"/>
      <family val="2"/>
    </font>
    <font>
      <b/>
      <sz val="8"/>
      <color rgb="FF002060"/>
      <name val="Poppins"/>
    </font>
    <font>
      <b/>
      <sz val="8"/>
      <color rgb="FF121212"/>
      <name val="Poppins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FC3400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Calibri"/>
      <family val="2"/>
      <scheme val="minor"/>
    </font>
    <font>
      <sz val="8"/>
      <name val="Poppins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</fills>
  <borders count="10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4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23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/>
    <xf numFmtId="0" fontId="1" fillId="2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left" vertical="center" wrapText="1"/>
    </xf>
    <xf numFmtId="0" fontId="3" fillId="3" borderId="8" xfId="0" applyFont="1" applyFill="1" applyBorder="1"/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/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left" vertical="center" wrapText="1"/>
    </xf>
    <xf numFmtId="0" fontId="7" fillId="3" borderId="14" xfId="0" applyFont="1" applyFill="1" applyBorder="1"/>
    <xf numFmtId="0" fontId="8" fillId="3" borderId="12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vertical="center" wrapText="1"/>
    </xf>
    <xf numFmtId="164" fontId="8" fillId="3" borderId="18" xfId="0" applyNumberFormat="1" applyFont="1" applyFill="1" applyBorder="1" applyAlignment="1">
      <alignment horizontal="center" vertical="center" wrapText="1"/>
    </xf>
    <xf numFmtId="164" fontId="8" fillId="3" borderId="19" xfId="0" applyNumberFormat="1" applyFont="1" applyFill="1" applyBorder="1" applyAlignment="1">
      <alignment vertical="center" wrapText="1"/>
    </xf>
    <xf numFmtId="0" fontId="8" fillId="3" borderId="20" xfId="0" applyFont="1" applyFill="1" applyBorder="1" applyAlignment="1">
      <alignment vertical="center" wrapText="1"/>
    </xf>
    <xf numFmtId="164" fontId="8" fillId="3" borderId="21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vertical="center" wrapText="1"/>
    </xf>
    <xf numFmtId="164" fontId="10" fillId="3" borderId="22" xfId="0" applyNumberFormat="1" applyFont="1" applyFill="1" applyBorder="1" applyAlignment="1">
      <alignment vertical="center" wrapText="1"/>
    </xf>
    <xf numFmtId="0" fontId="8" fillId="3" borderId="23" xfId="0" applyFont="1" applyFill="1" applyBorder="1" applyAlignment="1">
      <alignment vertical="center" wrapText="1"/>
    </xf>
    <xf numFmtId="164" fontId="8" fillId="3" borderId="24" xfId="0" applyNumberFormat="1" applyFont="1" applyFill="1" applyBorder="1" applyAlignment="1">
      <alignment horizontal="center" vertical="center" wrapText="1"/>
    </xf>
    <xf numFmtId="164" fontId="8" fillId="3" borderId="25" xfId="0" applyNumberFormat="1" applyFont="1" applyFill="1" applyBorder="1" applyAlignment="1">
      <alignment vertical="center" wrapText="1"/>
    </xf>
    <xf numFmtId="0" fontId="7" fillId="3" borderId="26" xfId="0" applyFont="1" applyFill="1" applyBorder="1"/>
    <xf numFmtId="0" fontId="7" fillId="3" borderId="27" xfId="0" applyFont="1" applyFill="1" applyBorder="1" applyAlignment="1">
      <alignment horizontal="center"/>
    </xf>
    <xf numFmtId="164" fontId="7" fillId="3" borderId="27" xfId="0" applyNumberFormat="1" applyFont="1" applyFill="1" applyBorder="1" applyAlignment="1">
      <alignment horizontal="center"/>
    </xf>
    <xf numFmtId="0" fontId="7" fillId="3" borderId="28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8" fillId="3" borderId="29" xfId="0" applyFont="1" applyFill="1" applyBorder="1"/>
    <xf numFmtId="0" fontId="7" fillId="3" borderId="30" xfId="0" applyFont="1" applyFill="1" applyBorder="1" applyAlignment="1">
      <alignment horizontal="center"/>
    </xf>
    <xf numFmtId="164" fontId="7" fillId="3" borderId="30" xfId="0" applyNumberFormat="1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  <xf numFmtId="0" fontId="7" fillId="3" borderId="31" xfId="0" applyFont="1" applyFill="1" applyBorder="1"/>
    <xf numFmtId="0" fontId="7" fillId="3" borderId="13" xfId="0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164" fontId="8" fillId="3" borderId="19" xfId="0" applyNumberFormat="1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vertical="center" wrapText="1"/>
    </xf>
    <xf numFmtId="164" fontId="8" fillId="3" borderId="33" xfId="0" applyNumberFormat="1" applyFont="1" applyFill="1" applyBorder="1" applyAlignment="1">
      <alignment horizontal="center" vertical="center" wrapText="1"/>
    </xf>
    <xf numFmtId="164" fontId="8" fillId="7" borderId="34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vertical="center" wrapText="1"/>
    </xf>
    <xf numFmtId="164" fontId="13" fillId="3" borderId="18" xfId="0" applyNumberFormat="1" applyFont="1" applyFill="1" applyBorder="1" applyAlignment="1">
      <alignment horizontal="center" vertical="center" wrapText="1"/>
    </xf>
    <xf numFmtId="164" fontId="13" fillId="3" borderId="19" xfId="0" applyNumberFormat="1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vertical="center" wrapText="1"/>
    </xf>
    <xf numFmtId="164" fontId="13" fillId="3" borderId="33" xfId="0" applyNumberFormat="1" applyFont="1" applyFill="1" applyBorder="1" applyAlignment="1">
      <alignment horizontal="center" vertical="center" wrapText="1"/>
    </xf>
    <xf numFmtId="164" fontId="13" fillId="3" borderId="34" xfId="0" applyNumberFormat="1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vertical="center" wrapText="1"/>
    </xf>
    <xf numFmtId="164" fontId="8" fillId="3" borderId="36" xfId="0" applyNumberFormat="1" applyFont="1" applyFill="1" applyBorder="1" applyAlignment="1">
      <alignment horizontal="center" vertical="center" wrapText="1"/>
    </xf>
    <xf numFmtId="164" fontId="8" fillId="3" borderId="37" xfId="0" applyNumberFormat="1" applyFont="1" applyFill="1" applyBorder="1" applyAlignment="1">
      <alignment horizontal="center" vertical="center" wrapText="1"/>
    </xf>
    <xf numFmtId="0" fontId="8" fillId="3" borderId="13" xfId="0" applyFont="1" applyFill="1" applyBorder="1"/>
    <xf numFmtId="164" fontId="8" fillId="3" borderId="22" xfId="0" applyNumberFormat="1" applyFont="1" applyFill="1" applyBorder="1" applyAlignment="1">
      <alignment horizontal="center" vertical="center" wrapText="1"/>
    </xf>
    <xf numFmtId="0" fontId="7" fillId="3" borderId="12" xfId="0" applyFont="1" applyFill="1" applyBorder="1"/>
    <xf numFmtId="165" fontId="8" fillId="3" borderId="37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/>
    <xf numFmtId="0" fontId="11" fillId="3" borderId="14" xfId="0" applyFont="1" applyFill="1" applyBorder="1"/>
    <xf numFmtId="0" fontId="8" fillId="3" borderId="38" xfId="0" applyFont="1" applyFill="1" applyBorder="1" applyAlignment="1">
      <alignment vertical="center" wrapText="1"/>
    </xf>
    <xf numFmtId="164" fontId="8" fillId="3" borderId="39" xfId="0" applyNumberFormat="1" applyFont="1" applyFill="1" applyBorder="1" applyAlignment="1">
      <alignment horizontal="center" vertical="center" wrapText="1"/>
    </xf>
    <xf numFmtId="164" fontId="8" fillId="3" borderId="40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/>
    <xf numFmtId="0" fontId="9" fillId="6" borderId="16" xfId="0" applyFont="1" applyFill="1" applyBorder="1" applyAlignment="1">
      <alignment horizontal="center" vertical="center" wrapText="1"/>
    </xf>
    <xf numFmtId="164" fontId="9" fillId="8" borderId="44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vertical="center" wrapText="1"/>
    </xf>
    <xf numFmtId="164" fontId="8" fillId="3" borderId="46" xfId="0" applyNumberFormat="1" applyFont="1" applyFill="1" applyBorder="1" applyAlignment="1">
      <alignment horizontal="center" vertical="center" wrapText="1"/>
    </xf>
    <xf numFmtId="164" fontId="8" fillId="3" borderId="47" xfId="0" applyNumberFormat="1" applyFont="1" applyFill="1" applyBorder="1" applyAlignment="1">
      <alignment horizontal="center" vertical="center" wrapText="1"/>
    </xf>
    <xf numFmtId="0" fontId="11" fillId="0" borderId="48" xfId="0" applyFont="1" applyBorder="1"/>
    <xf numFmtId="0" fontId="11" fillId="0" borderId="49" xfId="0" applyFont="1" applyBorder="1"/>
    <xf numFmtId="0" fontId="11" fillId="3" borderId="26" xfId="0" applyFont="1" applyFill="1" applyBorder="1"/>
    <xf numFmtId="0" fontId="11" fillId="3" borderId="27" xfId="0" applyFont="1" applyFill="1" applyBorder="1"/>
    <xf numFmtId="0" fontId="11" fillId="3" borderId="28" xfId="0" applyFont="1" applyFill="1" applyBorder="1"/>
    <xf numFmtId="16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0" applyFont="1"/>
    <xf numFmtId="164" fontId="16" fillId="8" borderId="50" xfId="0" applyNumberFormat="1" applyFont="1" applyFill="1" applyBorder="1" applyAlignment="1">
      <alignment vertical="center"/>
    </xf>
    <xf numFmtId="164" fontId="16" fillId="8" borderId="6" xfId="0" applyNumberFormat="1" applyFont="1" applyFill="1" applyBorder="1" applyAlignment="1">
      <alignment vertical="center"/>
    </xf>
    <xf numFmtId="0" fontId="16" fillId="8" borderId="50" xfId="0" applyFont="1" applyFill="1" applyBorder="1" applyAlignment="1">
      <alignment vertical="center"/>
    </xf>
    <xf numFmtId="164" fontId="17" fillId="8" borderId="50" xfId="0" applyNumberFormat="1" applyFont="1" applyFill="1" applyBorder="1" applyAlignment="1">
      <alignment vertical="center"/>
    </xf>
    <xf numFmtId="164" fontId="15" fillId="9" borderId="50" xfId="0" applyNumberFormat="1" applyFont="1" applyFill="1" applyBorder="1" applyAlignment="1">
      <alignment vertical="center"/>
    </xf>
    <xf numFmtId="164" fontId="15" fillId="9" borderId="53" xfId="0" applyNumberFormat="1" applyFont="1" applyFill="1" applyBorder="1" applyAlignment="1">
      <alignment vertical="center"/>
    </xf>
    <xf numFmtId="164" fontId="15" fillId="9" borderId="36" xfId="0" applyNumberFormat="1" applyFont="1" applyFill="1" applyBorder="1" applyAlignment="1">
      <alignment vertical="center"/>
    </xf>
    <xf numFmtId="164" fontId="16" fillId="8" borderId="50" xfId="0" applyNumberFormat="1" applyFont="1" applyFill="1" applyBorder="1" applyAlignment="1">
      <alignment horizontal="center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10" borderId="6" xfId="0" applyNumberFormat="1" applyFont="1" applyFill="1" applyBorder="1" applyAlignment="1">
      <alignment vertical="center"/>
    </xf>
    <xf numFmtId="164" fontId="15" fillId="10" borderId="7" xfId="0" applyNumberFormat="1" applyFont="1" applyFill="1" applyBorder="1" applyAlignment="1">
      <alignment vertical="center"/>
    </xf>
    <xf numFmtId="164" fontId="18" fillId="10" borderId="7" xfId="0" applyNumberFormat="1" applyFont="1" applyFill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164" fontId="18" fillId="0" borderId="21" xfId="0" applyNumberFormat="1" applyFont="1" applyBorder="1" applyAlignment="1">
      <alignment horizontal="center" vertical="center"/>
    </xf>
    <xf numFmtId="164" fontId="18" fillId="3" borderId="57" xfId="0" applyNumberFormat="1" applyFont="1" applyFill="1" applyBorder="1" applyAlignment="1">
      <alignment horizontal="left" vertical="center"/>
    </xf>
    <xf numFmtId="164" fontId="18" fillId="3" borderId="58" xfId="0" applyNumberFormat="1" applyFont="1" applyFill="1" applyBorder="1" applyAlignment="1">
      <alignment horizontal="left" vertical="center"/>
    </xf>
    <xf numFmtId="164" fontId="18" fillId="3" borderId="59" xfId="0" quotePrefix="1" applyNumberFormat="1" applyFont="1" applyFill="1" applyBorder="1" applyAlignment="1">
      <alignment horizontal="left" vertical="center"/>
    </xf>
    <xf numFmtId="164" fontId="18" fillId="3" borderId="61" xfId="0" applyNumberFormat="1" applyFont="1" applyFill="1" applyBorder="1" applyAlignment="1">
      <alignment vertical="center"/>
    </xf>
    <xf numFmtId="164" fontId="18" fillId="3" borderId="62" xfId="0" applyNumberFormat="1" applyFont="1" applyFill="1" applyBorder="1" applyAlignment="1">
      <alignment vertical="center"/>
    </xf>
    <xf numFmtId="164" fontId="18" fillId="3" borderId="63" xfId="0" applyNumberFormat="1" applyFont="1" applyFill="1" applyBorder="1" applyAlignment="1">
      <alignment vertical="center"/>
    </xf>
    <xf numFmtId="164" fontId="18" fillId="3" borderId="57" xfId="0" applyNumberFormat="1" applyFont="1" applyFill="1" applyBorder="1" applyAlignment="1">
      <alignment vertical="center"/>
    </xf>
    <xf numFmtId="164" fontId="18" fillId="3" borderId="58" xfId="0" applyNumberFormat="1" applyFont="1" applyFill="1" applyBorder="1" applyAlignment="1">
      <alignment vertical="center"/>
    </xf>
    <xf numFmtId="164" fontId="18" fillId="3" borderId="59" xfId="0" applyNumberFormat="1" applyFont="1" applyFill="1" applyBorder="1" applyAlignment="1">
      <alignment vertical="center"/>
    </xf>
    <xf numFmtId="0" fontId="11" fillId="0" borderId="55" xfId="0" applyFont="1" applyBorder="1"/>
    <xf numFmtId="0" fontId="11" fillId="0" borderId="56" xfId="0" applyFont="1" applyBorder="1"/>
    <xf numFmtId="164" fontId="18" fillId="0" borderId="54" xfId="0" applyNumberFormat="1" applyFont="1" applyBorder="1" applyAlignment="1">
      <alignment horizontal="left" vertical="center"/>
    </xf>
    <xf numFmtId="164" fontId="18" fillId="0" borderId="55" xfId="0" applyNumberFormat="1" applyFont="1" applyBorder="1" applyAlignment="1">
      <alignment horizontal="left" vertical="center"/>
    </xf>
    <xf numFmtId="164" fontId="18" fillId="0" borderId="56" xfId="0" applyNumberFormat="1" applyFont="1" applyBorder="1" applyAlignment="1">
      <alignment horizontal="left" vertical="center"/>
    </xf>
    <xf numFmtId="164" fontId="18" fillId="3" borderId="21" xfId="0" applyNumberFormat="1" applyFont="1" applyFill="1" applyBorder="1" applyAlignment="1">
      <alignment horizontal="center" vertical="center"/>
    </xf>
    <xf numFmtId="164" fontId="19" fillId="0" borderId="21" xfId="0" applyNumberFormat="1" applyFont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9" fillId="11" borderId="64" xfId="0" applyFont="1" applyFill="1" applyBorder="1" applyAlignment="1">
      <alignment vertical="center" wrapText="1"/>
    </xf>
    <xf numFmtId="164" fontId="9" fillId="11" borderId="65" xfId="0" applyNumberFormat="1" applyFont="1" applyFill="1" applyBorder="1" applyAlignment="1">
      <alignment horizontal="center" vertical="center" wrapText="1"/>
    </xf>
    <xf numFmtId="164" fontId="9" fillId="11" borderId="66" xfId="0" applyNumberFormat="1" applyFont="1" applyFill="1" applyBorder="1" applyAlignment="1">
      <alignment vertical="center" wrapText="1"/>
    </xf>
    <xf numFmtId="164" fontId="8" fillId="3" borderId="34" xfId="0" applyNumberFormat="1" applyFont="1" applyFill="1" applyBorder="1" applyAlignment="1">
      <alignment vertical="center" wrapText="1"/>
    </xf>
    <xf numFmtId="0" fontId="9" fillId="11" borderId="5" xfId="0" applyFont="1" applyFill="1" applyBorder="1" applyAlignment="1">
      <alignment vertical="center" wrapText="1"/>
    </xf>
    <xf numFmtId="164" fontId="9" fillId="11" borderId="50" xfId="0" applyNumberFormat="1" applyFont="1" applyFill="1" applyBorder="1" applyAlignment="1">
      <alignment horizontal="center" vertical="center" wrapText="1"/>
    </xf>
    <xf numFmtId="164" fontId="9" fillId="11" borderId="67" xfId="0" applyNumberFormat="1" applyFont="1" applyFill="1" applyBorder="1" applyAlignment="1">
      <alignment vertical="center" wrapText="1"/>
    </xf>
    <xf numFmtId="164" fontId="8" fillId="3" borderId="13" xfId="0" applyNumberFormat="1" applyFont="1" applyFill="1" applyBorder="1" applyAlignment="1">
      <alignment horizontal="center"/>
    </xf>
    <xf numFmtId="0" fontId="8" fillId="3" borderId="14" xfId="0" applyFont="1" applyFill="1" applyBorder="1"/>
    <xf numFmtId="0" fontId="20" fillId="0" borderId="0" xfId="0" applyFont="1"/>
    <xf numFmtId="0" fontId="9" fillId="6" borderId="68" xfId="0" applyFont="1" applyFill="1" applyBorder="1" applyAlignment="1">
      <alignment horizontal="center" vertical="center"/>
    </xf>
    <xf numFmtId="0" fontId="9" fillId="6" borderId="69" xfId="0" applyFont="1" applyFill="1" applyBorder="1" applyAlignment="1">
      <alignment horizontal="center" vertical="center" wrapText="1"/>
    </xf>
    <xf numFmtId="164" fontId="9" fillId="6" borderId="70" xfId="0" applyNumberFormat="1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vertical="center" wrapText="1"/>
    </xf>
    <xf numFmtId="164" fontId="9" fillId="11" borderId="33" xfId="0" applyNumberFormat="1" applyFont="1" applyFill="1" applyBorder="1" applyAlignment="1">
      <alignment horizontal="center" vertical="center" wrapText="1"/>
    </xf>
    <xf numFmtId="164" fontId="9" fillId="11" borderId="34" xfId="0" applyNumberFormat="1" applyFont="1" applyFill="1" applyBorder="1" applyAlignment="1">
      <alignment vertical="center" wrapText="1"/>
    </xf>
    <xf numFmtId="0" fontId="8" fillId="3" borderId="27" xfId="0" applyFont="1" applyFill="1" applyBorder="1" applyAlignment="1">
      <alignment horizontal="center"/>
    </xf>
    <xf numFmtId="0" fontId="3" fillId="3" borderId="13" xfId="0" applyFont="1" applyFill="1" applyBorder="1"/>
    <xf numFmtId="0" fontId="3" fillId="3" borderId="13" xfId="0" applyFont="1" applyFill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1" fillId="0" borderId="0" xfId="0" applyFont="1"/>
    <xf numFmtId="0" fontId="23" fillId="0" borderId="0" xfId="0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2" borderId="13" xfId="0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horizontal="center" vertical="center"/>
    </xf>
    <xf numFmtId="49" fontId="25" fillId="5" borderId="1" xfId="0" applyNumberFormat="1" applyFont="1" applyFill="1" applyBorder="1" applyAlignment="1">
      <alignment vertical="center"/>
    </xf>
    <xf numFmtId="49" fontId="25" fillId="5" borderId="5" xfId="0" applyNumberFormat="1" applyFont="1" applyFill="1" applyBorder="1" applyAlignment="1">
      <alignment vertical="center"/>
    </xf>
    <xf numFmtId="49" fontId="25" fillId="5" borderId="64" xfId="0" applyNumberFormat="1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vertical="center"/>
    </xf>
    <xf numFmtId="0" fontId="25" fillId="5" borderId="86" xfId="0" applyFont="1" applyFill="1" applyBorder="1" applyAlignment="1">
      <alignment horizontal="center" vertical="center" wrapText="1"/>
    </xf>
    <xf numFmtId="164" fontId="25" fillId="5" borderId="8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7" fillId="7" borderId="87" xfId="0" applyFont="1" applyFill="1" applyBorder="1" applyAlignment="1">
      <alignment horizontal="left" vertical="center" wrapText="1"/>
    </xf>
    <xf numFmtId="0" fontId="27" fillId="7" borderId="88" xfId="0" applyFont="1" applyFill="1" applyBorder="1" applyAlignment="1">
      <alignment horizontal="left" vertical="center" wrapText="1"/>
    </xf>
    <xf numFmtId="164" fontId="27" fillId="7" borderId="88" xfId="0" applyNumberFormat="1" applyFont="1" applyFill="1" applyBorder="1" applyAlignment="1">
      <alignment horizontal="right" vertical="center" wrapText="1"/>
    </xf>
    <xf numFmtId="164" fontId="27" fillId="7" borderId="89" xfId="0" applyNumberFormat="1" applyFont="1" applyFill="1" applyBorder="1" applyAlignment="1">
      <alignment horizontal="right" vertical="center" wrapText="1"/>
    </xf>
    <xf numFmtId="164" fontId="23" fillId="0" borderId="0" xfId="0" applyNumberFormat="1" applyFont="1" applyAlignment="1">
      <alignment vertical="center"/>
    </xf>
    <xf numFmtId="3" fontId="27" fillId="10" borderId="90" xfId="0" applyNumberFormat="1" applyFont="1" applyFill="1" applyBorder="1" applyAlignment="1">
      <alignment horizontal="left" vertical="center" wrapText="1"/>
    </xf>
    <xf numFmtId="0" fontId="27" fillId="10" borderId="91" xfId="0" applyFont="1" applyFill="1" applyBorder="1" applyAlignment="1">
      <alignment horizontal="left" vertical="center" wrapText="1"/>
    </xf>
    <xf numFmtId="164" fontId="27" fillId="10" borderId="91" xfId="0" applyNumberFormat="1" applyFont="1" applyFill="1" applyBorder="1" applyAlignment="1">
      <alignment horizontal="right" vertical="center" wrapText="1"/>
    </xf>
    <xf numFmtId="164" fontId="27" fillId="10" borderId="92" xfId="0" applyNumberFormat="1" applyFont="1" applyFill="1" applyBorder="1" applyAlignment="1">
      <alignment horizontal="right" vertical="center" wrapText="1"/>
    </xf>
    <xf numFmtId="0" fontId="27" fillId="9" borderId="90" xfId="0" applyFont="1" applyFill="1" applyBorder="1" applyAlignment="1">
      <alignment horizontal="left" vertical="center" wrapText="1"/>
    </xf>
    <xf numFmtId="0" fontId="27" fillId="9" borderId="91" xfId="0" applyFont="1" applyFill="1" applyBorder="1" applyAlignment="1">
      <alignment horizontal="left" vertical="center" wrapText="1"/>
    </xf>
    <xf numFmtId="164" fontId="27" fillId="9" borderId="91" xfId="0" applyNumberFormat="1" applyFont="1" applyFill="1" applyBorder="1" applyAlignment="1">
      <alignment horizontal="right" vertical="center" wrapText="1"/>
    </xf>
    <xf numFmtId="164" fontId="27" fillId="9" borderId="92" xfId="0" applyNumberFormat="1" applyFont="1" applyFill="1" applyBorder="1" applyAlignment="1">
      <alignment horizontal="right" vertical="center" wrapText="1"/>
    </xf>
    <xf numFmtId="49" fontId="27" fillId="9" borderId="90" xfId="0" applyNumberFormat="1" applyFont="1" applyFill="1" applyBorder="1" applyAlignment="1">
      <alignment horizontal="left" vertical="center" wrapText="1"/>
    </xf>
    <xf numFmtId="49" fontId="27" fillId="7" borderId="90" xfId="0" applyNumberFormat="1" applyFont="1" applyFill="1" applyBorder="1" applyAlignment="1">
      <alignment horizontal="left" vertical="center" wrapText="1"/>
    </xf>
    <xf numFmtId="0" fontId="27" fillId="7" borderId="91" xfId="0" applyFont="1" applyFill="1" applyBorder="1" applyAlignment="1">
      <alignment horizontal="left" vertical="center" wrapText="1"/>
    </xf>
    <xf numFmtId="164" fontId="27" fillId="7" borderId="91" xfId="0" applyNumberFormat="1" applyFont="1" applyFill="1" applyBorder="1" applyAlignment="1">
      <alignment horizontal="right" vertical="center" wrapText="1"/>
    </xf>
    <xf numFmtId="164" fontId="27" fillId="7" borderId="92" xfId="0" applyNumberFormat="1" applyFont="1" applyFill="1" applyBorder="1" applyAlignment="1">
      <alignment horizontal="right" vertical="center" wrapText="1"/>
    </xf>
    <xf numFmtId="49" fontId="27" fillId="10" borderId="90" xfId="0" applyNumberFormat="1" applyFont="1" applyFill="1" applyBorder="1" applyAlignment="1">
      <alignment horizontal="left" vertical="center" wrapText="1"/>
    </xf>
    <xf numFmtId="49" fontId="28" fillId="0" borderId="90" xfId="0" applyNumberFormat="1" applyFont="1" applyBorder="1" applyAlignment="1">
      <alignment horizontal="left" vertical="center" wrapText="1"/>
    </xf>
    <xf numFmtId="0" fontId="28" fillId="0" borderId="91" xfId="0" applyFont="1" applyBorder="1" applyAlignment="1">
      <alignment horizontal="left" vertical="center" wrapText="1"/>
    </xf>
    <xf numFmtId="164" fontId="24" fillId="0" borderId="91" xfId="0" applyNumberFormat="1" applyFont="1" applyBorder="1" applyAlignment="1">
      <alignment horizontal="right" vertical="center" wrapText="1"/>
    </xf>
    <xf numFmtId="164" fontId="28" fillId="0" borderId="91" xfId="0" applyNumberFormat="1" applyFont="1" applyBorder="1" applyAlignment="1">
      <alignment horizontal="right" vertical="center" wrapText="1"/>
    </xf>
    <xf numFmtId="164" fontId="24" fillId="0" borderId="92" xfId="0" applyNumberFormat="1" applyFont="1" applyBorder="1" applyAlignment="1">
      <alignment horizontal="right" vertical="center" wrapText="1"/>
    </xf>
    <xf numFmtId="0" fontId="24" fillId="0" borderId="91" xfId="0" applyFont="1" applyBorder="1" applyAlignment="1">
      <alignment horizontal="left" vertical="center" wrapText="1"/>
    </xf>
    <xf numFmtId="164" fontId="28" fillId="0" borderId="92" xfId="0" applyNumberFormat="1" applyFont="1" applyBorder="1" applyAlignment="1">
      <alignment horizontal="right" vertical="center" wrapText="1"/>
    </xf>
    <xf numFmtId="164" fontId="29" fillId="9" borderId="91" xfId="0" applyNumberFormat="1" applyFont="1" applyFill="1" applyBorder="1" applyAlignment="1">
      <alignment horizontal="right" vertical="center" wrapText="1"/>
    </xf>
    <xf numFmtId="0" fontId="28" fillId="0" borderId="93" xfId="0" applyFont="1" applyBorder="1" applyAlignment="1">
      <alignment horizontal="left" vertical="center" wrapText="1"/>
    </xf>
    <xf numFmtId="164" fontId="24" fillId="0" borderId="93" xfId="0" applyNumberFormat="1" applyFont="1" applyBorder="1" applyAlignment="1">
      <alignment horizontal="right" vertical="center" wrapText="1"/>
    </xf>
    <xf numFmtId="164" fontId="27" fillId="10" borderId="97" xfId="0" applyNumberFormat="1" applyFont="1" applyFill="1" applyBorder="1" applyAlignment="1">
      <alignment horizontal="right" vertical="center" wrapText="1"/>
    </xf>
    <xf numFmtId="164" fontId="18" fillId="10" borderId="60" xfId="0" applyNumberFormat="1" applyFont="1" applyFill="1" applyBorder="1" applyAlignment="1">
      <alignment vertical="center"/>
    </xf>
    <xf numFmtId="164" fontId="15" fillId="10" borderId="60" xfId="0" applyNumberFormat="1" applyFont="1" applyFill="1" applyBorder="1" applyAlignment="1">
      <alignment vertical="center"/>
    </xf>
    <xf numFmtId="0" fontId="7" fillId="3" borderId="48" xfId="0" applyFont="1" applyFill="1" applyBorder="1"/>
    <xf numFmtId="0" fontId="8" fillId="3" borderId="98" xfId="0" applyFont="1" applyFill="1" applyBorder="1" applyAlignment="1">
      <alignment vertical="center" wrapText="1"/>
    </xf>
    <xf numFmtId="164" fontId="8" fillId="3" borderId="99" xfId="0" applyNumberFormat="1" applyFont="1" applyFill="1" applyBorder="1" applyAlignment="1">
      <alignment horizontal="center" vertical="center" wrapText="1"/>
    </xf>
    <xf numFmtId="164" fontId="8" fillId="3" borderId="100" xfId="0" applyNumberFormat="1" applyFont="1" applyFill="1" applyBorder="1" applyAlignment="1">
      <alignment vertical="center" wrapText="1"/>
    </xf>
    <xf numFmtId="0" fontId="7" fillId="3" borderId="49" xfId="0" applyFont="1" applyFill="1" applyBorder="1"/>
    <xf numFmtId="43" fontId="23" fillId="0" borderId="0" xfId="0" applyNumberFormat="1" applyFont="1" applyAlignment="1">
      <alignment vertical="center"/>
    </xf>
    <xf numFmtId="164" fontId="31" fillId="3" borderId="22" xfId="0" applyNumberFormat="1" applyFont="1" applyFill="1" applyBorder="1" applyAlignment="1">
      <alignment vertical="center" wrapText="1"/>
    </xf>
    <xf numFmtId="44" fontId="23" fillId="0" borderId="0" xfId="1" applyFont="1" applyAlignment="1">
      <alignment vertical="center"/>
    </xf>
    <xf numFmtId="9" fontId="23" fillId="0" borderId="0" xfId="2" applyFont="1" applyAlignment="1">
      <alignment vertical="center"/>
    </xf>
    <xf numFmtId="43" fontId="7" fillId="3" borderId="14" xfId="0" applyNumberFormat="1" applyFont="1" applyFill="1" applyBorder="1"/>
    <xf numFmtId="0" fontId="4" fillId="4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4" fillId="5" borderId="9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5" fillId="0" borderId="42" xfId="0" applyFont="1" applyBorder="1"/>
    <xf numFmtId="0" fontId="5" fillId="0" borderId="43" xfId="0" applyFont="1" applyBorder="1"/>
    <xf numFmtId="164" fontId="15" fillId="10" borderId="51" xfId="0" applyNumberFormat="1" applyFont="1" applyFill="1" applyBorder="1" applyAlignment="1">
      <alignment horizontal="left" vertical="center"/>
    </xf>
    <xf numFmtId="0" fontId="5" fillId="0" borderId="60" xfId="0" applyFont="1" applyBorder="1"/>
    <xf numFmtId="164" fontId="18" fillId="0" borderId="54" xfId="0" applyNumberFormat="1" applyFont="1" applyBorder="1" applyAlignment="1">
      <alignment horizontal="left" vertical="center"/>
    </xf>
    <xf numFmtId="0" fontId="5" fillId="0" borderId="55" xfId="0" applyFont="1" applyBorder="1"/>
    <xf numFmtId="0" fontId="5" fillId="0" borderId="56" xfId="0" applyFont="1" applyBorder="1"/>
    <xf numFmtId="164" fontId="16" fillId="8" borderId="51" xfId="0" applyNumberFormat="1" applyFont="1" applyFill="1" applyBorder="1" applyAlignment="1">
      <alignment horizontal="center" vertical="center"/>
    </xf>
    <xf numFmtId="0" fontId="5" fillId="0" borderId="52" xfId="0" applyFont="1" applyBorder="1"/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left" vertical="center"/>
    </xf>
    <xf numFmtId="164" fontId="18" fillId="3" borderId="54" xfId="0" applyNumberFormat="1" applyFont="1" applyFill="1" applyBorder="1" applyAlignment="1">
      <alignment horizontal="left" vertical="center"/>
    </xf>
    <xf numFmtId="0" fontId="25" fillId="12" borderId="41" xfId="0" applyFont="1" applyFill="1" applyBorder="1" applyAlignment="1">
      <alignment horizontal="center" vertical="center" wrapText="1"/>
    </xf>
    <xf numFmtId="0" fontId="5" fillId="0" borderId="85" xfId="0" applyFont="1" applyBorder="1"/>
    <xf numFmtId="0" fontId="27" fillId="10" borderId="94" xfId="0" applyFont="1" applyFill="1" applyBorder="1" applyAlignment="1">
      <alignment horizontal="right" vertical="center" wrapText="1"/>
    </xf>
    <xf numFmtId="0" fontId="5" fillId="0" borderId="95" xfId="0" applyFont="1" applyBorder="1"/>
    <xf numFmtId="0" fontId="5" fillId="0" borderId="96" xfId="0" applyFont="1" applyBorder="1"/>
    <xf numFmtId="0" fontId="22" fillId="0" borderId="71" xfId="0" applyFont="1" applyBorder="1" applyAlignment="1">
      <alignment horizontal="left" vertical="center" wrapText="1"/>
    </xf>
    <xf numFmtId="0" fontId="5" fillId="0" borderId="72" xfId="0" applyFont="1" applyBorder="1"/>
    <xf numFmtId="0" fontId="5" fillId="0" borderId="73" xfId="0" applyFont="1" applyBorder="1"/>
    <xf numFmtId="0" fontId="5" fillId="0" borderId="74" xfId="0" applyFont="1" applyBorder="1"/>
    <xf numFmtId="0" fontId="0" fillId="0" borderId="0" xfId="0"/>
    <xf numFmtId="0" fontId="5" fillId="0" borderId="75" xfId="0" applyFont="1" applyBorder="1"/>
    <xf numFmtId="0" fontId="5" fillId="0" borderId="76" xfId="0" applyFont="1" applyBorder="1"/>
    <xf numFmtId="0" fontId="5" fillId="0" borderId="77" xfId="0" applyFont="1" applyBorder="1"/>
    <xf numFmtId="0" fontId="5" fillId="0" borderId="78" xfId="0" applyFont="1" applyBorder="1"/>
    <xf numFmtId="0" fontId="26" fillId="0" borderId="79" xfId="0" applyFont="1" applyBorder="1" applyAlignment="1">
      <alignment horizontal="left" vertical="center"/>
    </xf>
    <xf numFmtId="0" fontId="5" fillId="0" borderId="80" xfId="0" applyFont="1" applyBorder="1"/>
    <xf numFmtId="0" fontId="5" fillId="0" borderId="81" xfId="0" applyFont="1" applyBorder="1"/>
    <xf numFmtId="0" fontId="26" fillId="0" borderId="51" xfId="0" applyFont="1" applyBorder="1" applyAlignment="1">
      <alignment horizontal="left" vertical="center"/>
    </xf>
    <xf numFmtId="14" fontId="26" fillId="0" borderId="51" xfId="0" applyNumberFormat="1" applyFont="1" applyBorder="1" applyAlignment="1">
      <alignment horizontal="left" vertical="center"/>
    </xf>
    <xf numFmtId="0" fontId="26" fillId="0" borderId="82" xfId="0" applyFont="1" applyBorder="1" applyAlignment="1">
      <alignment horizontal="left" vertical="center"/>
    </xf>
    <xf numFmtId="0" fontId="5" fillId="0" borderId="83" xfId="0" applyFont="1" applyBorder="1"/>
    <xf numFmtId="0" fontId="5" fillId="0" borderId="84" xfId="0" applyFon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19225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942975</xdr:colOff>
      <xdr:row>1</xdr:row>
      <xdr:rowOff>19050</xdr:rowOff>
    </xdr:from>
    <xdr:ext cx="4200525" cy="31242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Marine\03.%20Custo\03.5%20Custo%20-%20Determina&#231;&#227;o%20do%20or&#231;amento\R01\CTN-ALF-MRN%20-Or&#231;amento%20comentado-R01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Marine/03.%20Custo/03.5%20Custo%20-%20Determina&#231;&#227;o%20do%20or&#231;amento/R01/CTN-ALF-MRN%20-Or&#231;amento%20comentado-R01.xlsx?99019EA9" TargetMode="External"/><Relationship Id="rId1" Type="http://schemas.openxmlformats.org/officeDocument/2006/relationships/externalLinkPath" Target="file:///\\99019EA9\CTN-ALF-MRN%20-Or&#231;amento%20comentado-R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hiquetti%20e%20Dal%20Vesco/2024/2024.04%20Bela%20Vida/04.%20Custo/03.8%20Custo%20-%20Or&#231;.%20Executivo/R03%20-%20Valido/CTN-CDV-BVD%20-%20Or&#231;amento_R03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BD%20Empreendimentos\2025%20-%20Jardim%20Campeche\04.%20Custo\04.1%20Custo%20-%20Param&#233;trico\02%20-%20Diretos\CTN-BD-JARDIM%20CAMPECHE-Gerenciamento%20Executivo.xlsx" TargetMode="External"/><Relationship Id="rId2" Type="http://schemas.microsoft.com/office/2019/04/relationships/externalLinkLongPath" Target="/.shortcut-targets-by-id/16oaQUYgx8kiowDwLhg-oO1zGZ777DJUb/2.%20Projetos%20em%20Andamento/BD%20Empreendimentos/2025%20-%20Jardim%20Campeche/04.%20Custo/04.1%20Custo%20-%20Param&#233;trico/02%20-%20Diretos/CTN-BD-JARDIM%20CAMPECHE-Gerenciamento%20Executivo.xlsx?7AD0AE14" TargetMode="External"/><Relationship Id="rId1" Type="http://schemas.openxmlformats.org/officeDocument/2006/relationships/externalLinkPath" Target="file:///\\7AD0AE14\CTN-BD-JARDIM%20CAMPECHE-Gerenciamento%20Executivo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Indepy%20Constru&#231;&#245;es\Caio%20Prado%20-%2010.2023\03.%20Custo\03.0%20Custo%20-%20Or&#231;amento%20Param&#233;trico\R01\2.%20Custos%20Indiretos\CTN-XXX-XXX%20%20-%20Custos_Indiretos_R01-36%20meses.xlsx" TargetMode="External"/><Relationship Id="rId2" Type="http://schemas.microsoft.com/office/2019/04/relationships/externalLinkLongPath" Target="/.shortcut-targets-by-id/16oaQUYgx8kiowDwLhg-oO1zGZ777DJUb/2.%20Projetos%20em%20Andamento/Indepy%20Constru&#231;&#245;es/Caio%20Prado%20-%2010.2023/03.%20Custo/03.0%20Custo%20-%20Or&#231;amento%20Param&#233;trico/R01/2.%20Custos%20Indiretos/CTN-XXX-XXX%20%20-%20Custos_Indiretos_R01-36%20meses.xlsx?3B734027" TargetMode="External"/><Relationship Id="rId1" Type="http://schemas.openxmlformats.org/officeDocument/2006/relationships/externalLinkPath" Target="file:///\\3B734027\CTN-XXX-XXX%20%20-%20Custos_Indiretos_R01-36%20me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APA"/>
      <sheetName val="ORÇAMENTO_EXECUTIVO_COMENTADO"/>
      <sheetName val="EPC's"/>
      <sheetName val="ESTACAS"/>
      <sheetName val="BLOCOS E BALDRAMES"/>
      <sheetName val="INFRA"/>
      <sheetName val="SUPRAESTRUTURA"/>
      <sheetName val="ALVENARIAS"/>
      <sheetName val="IMPERMEABILIZAÇÃO"/>
      <sheetName val="REVEST PAREDES INTERNAS"/>
      <sheetName val="ESQUADRIAS"/>
      <sheetName val="FORRO"/>
      <sheetName val="PISO"/>
      <sheetName val="RODAPÉS"/>
      <sheetName val="LOUÇAS E METAIS"/>
      <sheetName val="COBERTURA"/>
      <sheetName val="REVEST PAREDES EXTERNAS"/>
      <sheetName val="MOBILIÁRIO"/>
    </sheetNames>
    <sheetDataSet>
      <sheetData sheetId="0" refreshError="1"/>
      <sheetData sheetId="1">
        <row r="17">
          <cell r="F17">
            <v>166779.75</v>
          </cell>
        </row>
        <row r="42">
          <cell r="F42">
            <v>73726.05</v>
          </cell>
        </row>
        <row r="51">
          <cell r="F51">
            <v>23350.000080000002</v>
          </cell>
        </row>
        <row r="56">
          <cell r="F56">
            <v>75033.350000000006</v>
          </cell>
        </row>
        <row r="70">
          <cell r="F70">
            <v>8250</v>
          </cell>
        </row>
        <row r="89">
          <cell r="F89">
            <v>4700</v>
          </cell>
        </row>
        <row r="92">
          <cell r="F92">
            <v>47500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  <sheetName val="Planilha Quantitativa"/>
      <sheetName val="Composições_Sienge"/>
      <sheetName val="EAP SIENGE"/>
      <sheetName val="Orçamento Preliminar"/>
      <sheetName val="CPU"/>
      <sheetName val="VERSÕES"/>
      <sheetName val="Alterações "/>
      <sheetName val="Insumos"/>
      <sheetName val="Obra "/>
      <sheetName val="Ger_Tec e Adm"/>
      <sheetName val="Ger_Executivo"/>
      <sheetName val="ARQUITETURA"/>
      <sheetName val="Levantamento Complementar"/>
      <sheetName val="Cont. Empreiteiro"/>
      <sheetName val="Itens Cotados_Material"/>
      <sheetName val="Supraestrutura"/>
      <sheetName val="Estrutura_Projetista"/>
      <sheetName val="ELÉTRICA_ESTIMATIVA"/>
      <sheetName val="EPCs"/>
      <sheetName val="CANTEIRO"/>
      <sheetName val="ESQUADRIAS"/>
      <sheetName val="Estacas"/>
      <sheetName val="Fundação Rasa"/>
      <sheetName val="Contenções"/>
      <sheetName val="Aço_Infraestrutura"/>
      <sheetName val="Escoramento"/>
      <sheetName val="HIDROSSANITÁRIO_ESTIMATIVA"/>
      <sheetName val="SISTEMAS ESPECIAIS"/>
      <sheetName val="CLIMATIZAÇÃO"/>
      <sheetName val="PPCI-ESTIMATIVA"/>
      <sheetName val="PISCINAS "/>
      <sheetName val="LOUÇAS E METAIS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9">
          <cell r="M89">
            <v>7560.02</v>
          </cell>
        </row>
        <row r="90">
          <cell r="M90">
            <v>6007.98</v>
          </cell>
        </row>
        <row r="104">
          <cell r="N104">
            <v>462826.16000000003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bra "/>
      <sheetName val="DADOS_INICIAIS"/>
      <sheetName val="MOVIMENTAÇÃO_DE_TERRA"/>
      <sheetName val="CONTENÇÕES"/>
      <sheetName val="INFRAESTRUTURA"/>
      <sheetName val="SUPRAESTRUTURA"/>
      <sheetName val="ALVENARIA"/>
      <sheetName val="IMPERMEABILIZAÇÃO"/>
      <sheetName val="INSTALAÇÕES"/>
      <sheetName val="SISTEMAS ESPECIAIS"/>
      <sheetName val="ARQUITETURA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 refreshError="1">
        <row r="10">
          <cell r="C10">
            <v>3632.7799999999997</v>
          </cell>
        </row>
        <row r="22">
          <cell r="F22">
            <v>123.46</v>
          </cell>
          <cell r="G22">
            <v>6.48</v>
          </cell>
        </row>
        <row r="24">
          <cell r="G24">
            <v>3.0599999999999996</v>
          </cell>
        </row>
        <row r="25">
          <cell r="F25">
            <v>116.66</v>
          </cell>
          <cell r="G25">
            <v>3.0600000000000005</v>
          </cell>
        </row>
        <row r="26">
          <cell r="G26">
            <v>3.0599999999999987</v>
          </cell>
        </row>
        <row r="27">
          <cell r="G27">
            <v>3.0600000000000023</v>
          </cell>
        </row>
        <row r="28">
          <cell r="G28">
            <v>3.0599999999999987</v>
          </cell>
        </row>
        <row r="29">
          <cell r="G29">
            <v>3.0599999999999987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4">
          <cell r="D14">
            <v>58.85</v>
          </cell>
        </row>
        <row r="15">
          <cell r="D15">
            <v>135.6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BRA"/>
      <sheetName val="CANTEIRO"/>
      <sheetName val="EPCs"/>
      <sheetName val="BASES"/>
      <sheetName val="CUSTOS_INDIRETOS"/>
    </sheetNames>
    <sheetDataSet>
      <sheetData sheetId="0" refreshError="1"/>
      <sheetData sheetId="1" refreshError="1"/>
      <sheetData sheetId="2" refreshError="1"/>
      <sheetData sheetId="3">
        <row r="4">
          <cell r="D4">
            <v>2362.1799999999998</v>
          </cell>
        </row>
        <row r="6">
          <cell r="J6">
            <v>2276.34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0"/>
  <sheetViews>
    <sheetView topLeftCell="B1" workbookViewId="0">
      <selection activeCell="B1" sqref="B1:B3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7109375" customWidth="1"/>
  </cols>
  <sheetData>
    <row r="1" spans="1:5" ht="18" customHeight="1" x14ac:dyDescent="0.6">
      <c r="A1" s="1" t="s">
        <v>0</v>
      </c>
      <c r="B1" s="2" t="s">
        <v>229</v>
      </c>
      <c r="C1" s="3"/>
      <c r="D1" s="4"/>
      <c r="E1" s="5"/>
    </row>
    <row r="2" spans="1:5" ht="18" customHeight="1" x14ac:dyDescent="0.6">
      <c r="A2" s="6" t="s">
        <v>1</v>
      </c>
      <c r="B2" s="7" t="s">
        <v>230</v>
      </c>
      <c r="C2" s="8"/>
      <c r="D2" s="9"/>
      <c r="E2" s="10"/>
    </row>
    <row r="3" spans="1:5" ht="18" customHeight="1" x14ac:dyDescent="0.6">
      <c r="A3" s="6" t="s">
        <v>2</v>
      </c>
      <c r="B3" s="7" t="s">
        <v>209</v>
      </c>
      <c r="C3" s="8"/>
      <c r="D3" s="9"/>
      <c r="E3" s="10"/>
    </row>
    <row r="4" spans="1:5" ht="24.75" customHeight="1" x14ac:dyDescent="0.25">
      <c r="A4" s="200" t="s">
        <v>3</v>
      </c>
      <c r="B4" s="201"/>
      <c r="C4" s="201"/>
      <c r="D4" s="201"/>
      <c r="E4" s="202"/>
    </row>
    <row r="5" spans="1:5" ht="14.25" customHeight="1" x14ac:dyDescent="0.6">
      <c r="A5" s="11"/>
      <c r="B5" s="12"/>
      <c r="C5" s="12"/>
      <c r="D5" s="13"/>
      <c r="E5" s="14"/>
    </row>
    <row r="6" spans="1:5" ht="16.5" customHeight="1" x14ac:dyDescent="0.25">
      <c r="A6" s="203" t="s">
        <v>4</v>
      </c>
      <c r="B6" s="201"/>
      <c r="C6" s="201"/>
      <c r="D6" s="201"/>
      <c r="E6" s="202"/>
    </row>
    <row r="7" spans="1:5" ht="14.25" customHeight="1" x14ac:dyDescent="0.6">
      <c r="A7" s="15"/>
      <c r="B7" s="16"/>
      <c r="C7" s="17"/>
      <c r="D7" s="18"/>
      <c r="E7" s="19"/>
    </row>
    <row r="8" spans="1:5" ht="21.75" customHeight="1" x14ac:dyDescent="0.6">
      <c r="A8" s="20"/>
      <c r="B8" s="21" t="s">
        <v>5</v>
      </c>
      <c r="C8" s="22" t="s">
        <v>6</v>
      </c>
      <c r="D8" s="23" t="s">
        <v>7</v>
      </c>
      <c r="E8" s="19"/>
    </row>
    <row r="9" spans="1:5" ht="21.75" customHeight="1" x14ac:dyDescent="0.6">
      <c r="A9" s="20"/>
      <c r="B9" s="24" t="s">
        <v>8</v>
      </c>
      <c r="C9" s="25" t="s">
        <v>9</v>
      </c>
      <c r="D9" s="26">
        <v>866.65</v>
      </c>
      <c r="E9" s="19"/>
    </row>
    <row r="10" spans="1:5" ht="21.75" customHeight="1" x14ac:dyDescent="0.6">
      <c r="A10" s="20"/>
      <c r="B10" s="27" t="s">
        <v>10</v>
      </c>
      <c r="C10" s="28" t="s">
        <v>9</v>
      </c>
      <c r="D10" s="29">
        <v>3632.7799999999997</v>
      </c>
      <c r="E10" s="199"/>
    </row>
    <row r="11" spans="1:5" ht="21.75" customHeight="1" x14ac:dyDescent="0.6">
      <c r="A11" s="20"/>
      <c r="B11" s="27" t="s">
        <v>11</v>
      </c>
      <c r="C11" s="28" t="s">
        <v>12</v>
      </c>
      <c r="D11" s="29">
        <v>20</v>
      </c>
      <c r="E11" s="19"/>
    </row>
    <row r="12" spans="1:5" ht="21.75" customHeight="1" x14ac:dyDescent="0.6">
      <c r="A12" s="20"/>
      <c r="B12" s="27" t="s">
        <v>13</v>
      </c>
      <c r="C12" s="28" t="s">
        <v>14</v>
      </c>
      <c r="D12" s="196">
        <v>36</v>
      </c>
      <c r="E12" s="19"/>
    </row>
    <row r="13" spans="1:5" ht="21.75" customHeight="1" x14ac:dyDescent="0.6">
      <c r="A13" s="20"/>
      <c r="B13" s="31" t="s">
        <v>15</v>
      </c>
      <c r="C13" s="32" t="s">
        <v>12</v>
      </c>
      <c r="D13" s="33">
        <v>7</v>
      </c>
      <c r="E13" s="19"/>
    </row>
    <row r="14" spans="1:5" ht="21.75" customHeight="1" x14ac:dyDescent="0.6">
      <c r="A14" s="34"/>
      <c r="B14" s="35"/>
      <c r="C14" s="35"/>
      <c r="D14" s="36"/>
      <c r="E14" s="37"/>
    </row>
    <row r="15" spans="1:5" ht="21.75" customHeight="1" x14ac:dyDescent="0.6">
      <c r="A15" s="38"/>
      <c r="B15" s="39"/>
      <c r="C15" s="39"/>
      <c r="D15" s="40"/>
      <c r="E15" s="38"/>
    </row>
    <row r="16" spans="1:5" ht="21.75" customHeight="1" x14ac:dyDescent="0.6">
      <c r="A16" s="38"/>
      <c r="B16" s="39"/>
      <c r="C16" s="39"/>
      <c r="D16" s="40"/>
      <c r="E16" s="38"/>
    </row>
    <row r="17" spans="1:5" ht="21.75" customHeight="1" x14ac:dyDescent="0.6">
      <c r="A17" s="38"/>
      <c r="B17" s="39"/>
      <c r="C17" s="39"/>
      <c r="D17" s="40"/>
      <c r="E17" s="38"/>
    </row>
    <row r="18" spans="1:5" ht="21.75" customHeight="1" x14ac:dyDescent="0.6">
      <c r="A18" s="38"/>
      <c r="B18" s="39"/>
      <c r="C18" s="39"/>
      <c r="D18" s="40"/>
      <c r="E18" s="38"/>
    </row>
    <row r="19" spans="1:5" ht="21.75" customHeight="1" x14ac:dyDescent="0.6">
      <c r="A19" s="38"/>
      <c r="B19" s="39"/>
      <c r="C19" s="39"/>
      <c r="D19" s="40"/>
      <c r="E19" s="38"/>
    </row>
    <row r="20" spans="1:5" ht="21.75" customHeight="1" x14ac:dyDescent="0.6">
      <c r="A20" s="38"/>
      <c r="B20" s="39"/>
      <c r="C20" s="39"/>
      <c r="D20" s="40"/>
      <c r="E20" s="38"/>
    </row>
    <row r="21" spans="1:5" ht="21.75" customHeight="1" x14ac:dyDescent="0.6">
      <c r="A21" s="38"/>
      <c r="B21" s="39"/>
      <c r="C21" s="39"/>
      <c r="D21" s="40"/>
      <c r="E21" s="38"/>
    </row>
    <row r="22" spans="1:5" ht="21.75" customHeight="1" x14ac:dyDescent="0.6">
      <c r="A22" s="38"/>
      <c r="B22" s="39"/>
      <c r="C22" s="39"/>
      <c r="D22" s="40"/>
      <c r="E22" s="38"/>
    </row>
    <row r="23" spans="1:5" ht="21.75" customHeight="1" x14ac:dyDescent="0.6">
      <c r="A23" s="38"/>
      <c r="B23" s="39"/>
      <c r="C23" s="39"/>
      <c r="D23" s="40"/>
      <c r="E23" s="38"/>
    </row>
    <row r="24" spans="1:5" ht="21.75" customHeight="1" x14ac:dyDescent="0.6">
      <c r="A24" s="38"/>
      <c r="B24" s="39"/>
      <c r="C24" s="39"/>
      <c r="D24" s="40"/>
      <c r="E24" s="38"/>
    </row>
    <row r="25" spans="1:5" ht="21.75" customHeight="1" x14ac:dyDescent="0.6">
      <c r="A25" s="38"/>
      <c r="B25" s="39"/>
      <c r="C25" s="39"/>
      <c r="D25" s="40"/>
      <c r="E25" s="38"/>
    </row>
    <row r="26" spans="1:5" ht="21.75" customHeight="1" x14ac:dyDescent="0.6">
      <c r="A26" s="38"/>
      <c r="B26" s="39"/>
      <c r="C26" s="39"/>
      <c r="D26" s="40"/>
      <c r="E26" s="38"/>
    </row>
    <row r="27" spans="1:5" ht="21.75" customHeight="1" x14ac:dyDescent="0.6">
      <c r="A27" s="38"/>
      <c r="B27" s="39"/>
      <c r="C27" s="39"/>
      <c r="D27" s="40"/>
      <c r="E27" s="38"/>
    </row>
    <row r="28" spans="1:5" ht="21.75" customHeight="1" x14ac:dyDescent="0.6">
      <c r="A28" s="38"/>
      <c r="B28" s="39"/>
      <c r="C28" s="39"/>
      <c r="D28" s="40"/>
      <c r="E28" s="38"/>
    </row>
    <row r="29" spans="1:5" ht="21.75" customHeight="1" x14ac:dyDescent="0.6">
      <c r="A29" s="38"/>
      <c r="B29" s="39"/>
      <c r="C29" s="39"/>
      <c r="D29" s="40"/>
      <c r="E29" s="38"/>
    </row>
    <row r="30" spans="1:5" ht="21.75" customHeight="1" x14ac:dyDescent="0.6">
      <c r="A30" s="38"/>
      <c r="B30" s="39"/>
      <c r="C30" s="39"/>
      <c r="D30" s="40"/>
      <c r="E30" s="38"/>
    </row>
    <row r="31" spans="1:5" ht="21.75" customHeight="1" x14ac:dyDescent="0.6">
      <c r="A31" s="38"/>
      <c r="B31" s="39"/>
      <c r="C31" s="39"/>
      <c r="D31" s="40"/>
      <c r="E31" s="38"/>
    </row>
    <row r="32" spans="1:5" ht="21.75" customHeight="1" x14ac:dyDescent="0.6">
      <c r="A32" s="38"/>
      <c r="B32" s="39"/>
      <c r="C32" s="39"/>
      <c r="D32" s="40"/>
      <c r="E32" s="38"/>
    </row>
    <row r="33" spans="1:5" ht="21.75" customHeight="1" x14ac:dyDescent="0.6">
      <c r="A33" s="38"/>
      <c r="B33" s="39"/>
      <c r="C33" s="39"/>
      <c r="D33" s="40"/>
      <c r="E33" s="38"/>
    </row>
    <row r="34" spans="1:5" ht="21.75" customHeight="1" x14ac:dyDescent="0.6">
      <c r="A34" s="38"/>
      <c r="B34" s="39"/>
      <c r="C34" s="39"/>
      <c r="D34" s="40"/>
      <c r="E34" s="38"/>
    </row>
    <row r="35" spans="1:5" ht="21.75" customHeight="1" x14ac:dyDescent="0.6">
      <c r="A35" s="38"/>
      <c r="B35" s="39"/>
      <c r="C35" s="39"/>
      <c r="D35" s="40"/>
      <c r="E35" s="38"/>
    </row>
    <row r="36" spans="1:5" ht="21.75" customHeight="1" x14ac:dyDescent="0.6">
      <c r="A36" s="38"/>
      <c r="B36" s="39"/>
      <c r="C36" s="39"/>
      <c r="D36" s="40"/>
      <c r="E36" s="38"/>
    </row>
    <row r="37" spans="1:5" ht="21.75" customHeight="1" x14ac:dyDescent="0.6">
      <c r="A37" s="38"/>
      <c r="B37" s="39"/>
      <c r="C37" s="39"/>
      <c r="D37" s="40"/>
      <c r="E37" s="38"/>
    </row>
    <row r="38" spans="1:5" ht="21.75" customHeight="1" x14ac:dyDescent="0.6">
      <c r="A38" s="38"/>
      <c r="B38" s="39"/>
      <c r="C38" s="39"/>
      <c r="D38" s="40"/>
      <c r="E38" s="38"/>
    </row>
    <row r="39" spans="1:5" ht="21.75" customHeight="1" x14ac:dyDescent="0.6">
      <c r="A39" s="38"/>
      <c r="B39" s="39"/>
      <c r="C39" s="39"/>
      <c r="D39" s="40"/>
      <c r="E39" s="38"/>
    </row>
    <row r="40" spans="1:5" ht="21.75" customHeight="1" x14ac:dyDescent="0.6">
      <c r="A40" s="38"/>
      <c r="B40" s="39"/>
      <c r="C40" s="39"/>
      <c r="D40" s="40"/>
      <c r="E40" s="38"/>
    </row>
    <row r="41" spans="1:5" ht="21.75" customHeight="1" x14ac:dyDescent="0.6">
      <c r="A41" s="38"/>
      <c r="B41" s="39"/>
      <c r="C41" s="39"/>
      <c r="D41" s="40"/>
      <c r="E41" s="38"/>
    </row>
    <row r="42" spans="1:5" ht="21.75" customHeight="1" x14ac:dyDescent="0.6">
      <c r="A42" s="38"/>
      <c r="B42" s="39"/>
      <c r="C42" s="39"/>
      <c r="D42" s="40"/>
      <c r="E42" s="38"/>
    </row>
    <row r="43" spans="1:5" ht="21.75" customHeight="1" x14ac:dyDescent="0.6">
      <c r="A43" s="38"/>
      <c r="B43" s="39"/>
      <c r="C43" s="39"/>
      <c r="D43" s="40"/>
      <c r="E43" s="38"/>
    </row>
    <row r="44" spans="1:5" ht="21.75" customHeight="1" x14ac:dyDescent="0.6">
      <c r="A44" s="38"/>
      <c r="B44" s="39"/>
      <c r="C44" s="39"/>
      <c r="D44" s="40"/>
      <c r="E44" s="38"/>
    </row>
    <row r="45" spans="1:5" ht="21.75" customHeight="1" x14ac:dyDescent="0.6">
      <c r="A45" s="38"/>
      <c r="B45" s="39"/>
      <c r="C45" s="39"/>
      <c r="D45" s="40"/>
      <c r="E45" s="38"/>
    </row>
    <row r="46" spans="1:5" ht="21.75" customHeight="1" x14ac:dyDescent="0.6">
      <c r="A46" s="38"/>
      <c r="B46" s="39"/>
      <c r="C46" s="39"/>
      <c r="D46" s="40"/>
      <c r="E46" s="38"/>
    </row>
    <row r="47" spans="1:5" ht="21.75" customHeight="1" x14ac:dyDescent="0.6">
      <c r="A47" s="38"/>
      <c r="B47" s="39"/>
      <c r="C47" s="39"/>
      <c r="D47" s="40"/>
      <c r="E47" s="38"/>
    </row>
    <row r="48" spans="1:5" ht="21.75" customHeight="1" x14ac:dyDescent="0.6">
      <c r="A48" s="38"/>
      <c r="B48" s="39"/>
      <c r="C48" s="39"/>
      <c r="D48" s="40"/>
      <c r="E48" s="38"/>
    </row>
    <row r="49" spans="1:5" ht="21.75" customHeight="1" x14ac:dyDescent="0.6">
      <c r="A49" s="38"/>
      <c r="B49" s="39"/>
      <c r="C49" s="39"/>
      <c r="D49" s="40"/>
      <c r="E49" s="38"/>
    </row>
    <row r="50" spans="1:5" ht="21.75" customHeight="1" x14ac:dyDescent="0.6">
      <c r="A50" s="38"/>
      <c r="B50" s="39"/>
      <c r="C50" s="39"/>
      <c r="D50" s="40"/>
      <c r="E50" s="38"/>
    </row>
    <row r="51" spans="1:5" ht="21.75" customHeight="1" x14ac:dyDescent="0.6">
      <c r="A51" s="38"/>
      <c r="B51" s="39"/>
      <c r="C51" s="39"/>
      <c r="D51" s="40"/>
      <c r="E51" s="38"/>
    </row>
    <row r="52" spans="1:5" ht="21.75" customHeight="1" x14ac:dyDescent="0.6">
      <c r="A52" s="38"/>
      <c r="B52" s="39"/>
      <c r="C52" s="39"/>
      <c r="D52" s="40"/>
      <c r="E52" s="38"/>
    </row>
    <row r="53" spans="1:5" ht="21.75" customHeight="1" x14ac:dyDescent="0.6">
      <c r="A53" s="38"/>
      <c r="B53" s="39"/>
      <c r="C53" s="39"/>
      <c r="D53" s="40"/>
      <c r="E53" s="38"/>
    </row>
    <row r="54" spans="1:5" ht="21.75" customHeight="1" x14ac:dyDescent="0.6">
      <c r="A54" s="38"/>
      <c r="B54" s="39"/>
      <c r="C54" s="39"/>
      <c r="D54" s="40"/>
      <c r="E54" s="38"/>
    </row>
    <row r="55" spans="1:5" ht="21.75" customHeight="1" x14ac:dyDescent="0.6">
      <c r="A55" s="38"/>
      <c r="B55" s="39"/>
      <c r="C55" s="39"/>
      <c r="D55" s="40"/>
      <c r="E55" s="38"/>
    </row>
    <row r="56" spans="1:5" ht="21.75" customHeight="1" x14ac:dyDescent="0.6">
      <c r="A56" s="38"/>
      <c r="B56" s="39"/>
      <c r="C56" s="39"/>
      <c r="D56" s="40"/>
      <c r="E56" s="38"/>
    </row>
    <row r="57" spans="1:5" ht="21.75" customHeight="1" x14ac:dyDescent="0.6">
      <c r="A57" s="38"/>
      <c r="B57" s="39"/>
      <c r="C57" s="39"/>
      <c r="D57" s="40"/>
      <c r="E57" s="38"/>
    </row>
    <row r="58" spans="1:5" ht="21.75" customHeight="1" x14ac:dyDescent="0.6">
      <c r="A58" s="38"/>
      <c r="B58" s="39"/>
      <c r="C58" s="39"/>
      <c r="D58" s="40"/>
      <c r="E58" s="38"/>
    </row>
    <row r="59" spans="1:5" ht="21.75" customHeight="1" x14ac:dyDescent="0.6">
      <c r="A59" s="38"/>
      <c r="B59" s="39"/>
      <c r="C59" s="39"/>
      <c r="D59" s="40"/>
      <c r="E59" s="38"/>
    </row>
    <row r="60" spans="1:5" ht="21.75" customHeight="1" x14ac:dyDescent="0.6">
      <c r="A60" s="38"/>
      <c r="B60" s="39"/>
      <c r="C60" s="39"/>
      <c r="D60" s="40"/>
      <c r="E60" s="38"/>
    </row>
    <row r="61" spans="1:5" ht="21.75" customHeight="1" x14ac:dyDescent="0.6">
      <c r="A61" s="38"/>
      <c r="B61" s="39"/>
      <c r="C61" s="39"/>
      <c r="D61" s="40"/>
      <c r="E61" s="38"/>
    </row>
    <row r="62" spans="1:5" ht="21.75" customHeight="1" x14ac:dyDescent="0.6">
      <c r="A62" s="38"/>
      <c r="B62" s="39"/>
      <c r="C62" s="39"/>
      <c r="D62" s="40"/>
      <c r="E62" s="38"/>
    </row>
    <row r="63" spans="1:5" ht="21.75" customHeight="1" x14ac:dyDescent="0.6">
      <c r="A63" s="38"/>
      <c r="B63" s="39"/>
      <c r="C63" s="39"/>
      <c r="D63" s="40"/>
      <c r="E63" s="38"/>
    </row>
    <row r="64" spans="1:5" ht="21.75" customHeight="1" x14ac:dyDescent="0.6">
      <c r="A64" s="38"/>
      <c r="B64" s="39"/>
      <c r="C64" s="39"/>
      <c r="D64" s="40"/>
      <c r="E64" s="38"/>
    </row>
    <row r="65" spans="1:5" ht="21.75" customHeight="1" x14ac:dyDescent="0.6">
      <c r="A65" s="38"/>
      <c r="B65" s="39"/>
      <c r="C65" s="39"/>
      <c r="D65" s="40"/>
      <c r="E65" s="38"/>
    </row>
    <row r="66" spans="1:5" ht="21.75" customHeight="1" x14ac:dyDescent="0.6">
      <c r="A66" s="38"/>
      <c r="B66" s="39"/>
      <c r="C66" s="39"/>
      <c r="D66" s="40"/>
      <c r="E66" s="38"/>
    </row>
    <row r="67" spans="1:5" ht="21.75" customHeight="1" x14ac:dyDescent="0.6">
      <c r="A67" s="38"/>
      <c r="B67" s="39"/>
      <c r="C67" s="39"/>
      <c r="D67" s="40"/>
      <c r="E67" s="38"/>
    </row>
    <row r="68" spans="1:5" ht="21.75" customHeight="1" x14ac:dyDescent="0.6">
      <c r="A68" s="38"/>
      <c r="B68" s="39"/>
      <c r="C68" s="39"/>
      <c r="D68" s="40"/>
      <c r="E68" s="38"/>
    </row>
    <row r="69" spans="1:5" ht="21.75" customHeight="1" x14ac:dyDescent="0.6">
      <c r="A69" s="38"/>
      <c r="B69" s="39"/>
      <c r="C69" s="39"/>
      <c r="D69" s="40"/>
      <c r="E69" s="38"/>
    </row>
    <row r="70" spans="1:5" ht="21.75" customHeight="1" x14ac:dyDescent="0.6">
      <c r="A70" s="38"/>
      <c r="B70" s="39"/>
      <c r="C70" s="39"/>
      <c r="D70" s="40"/>
      <c r="E70" s="38"/>
    </row>
    <row r="71" spans="1:5" ht="21.75" customHeight="1" x14ac:dyDescent="0.6">
      <c r="A71" s="38"/>
      <c r="B71" s="39"/>
      <c r="C71" s="39"/>
      <c r="D71" s="40"/>
      <c r="E71" s="38"/>
    </row>
    <row r="72" spans="1:5" ht="21.75" customHeight="1" x14ac:dyDescent="0.6">
      <c r="A72" s="38"/>
      <c r="B72" s="39"/>
      <c r="C72" s="39"/>
      <c r="D72" s="40"/>
      <c r="E72" s="38"/>
    </row>
    <row r="73" spans="1:5" ht="21.75" customHeight="1" x14ac:dyDescent="0.6">
      <c r="A73" s="38"/>
      <c r="B73" s="39"/>
      <c r="C73" s="39"/>
      <c r="D73" s="40"/>
      <c r="E73" s="38"/>
    </row>
    <row r="74" spans="1:5" ht="21.75" customHeight="1" x14ac:dyDescent="0.6">
      <c r="A74" s="38"/>
      <c r="B74" s="39"/>
      <c r="C74" s="39"/>
      <c r="D74" s="40"/>
      <c r="E74" s="38"/>
    </row>
    <row r="75" spans="1:5" ht="21.75" customHeight="1" x14ac:dyDescent="0.6">
      <c r="A75" s="38"/>
      <c r="B75" s="39"/>
      <c r="C75" s="39"/>
      <c r="D75" s="40"/>
      <c r="E75" s="38"/>
    </row>
    <row r="76" spans="1:5" ht="21.75" customHeight="1" x14ac:dyDescent="0.6">
      <c r="A76" s="38"/>
      <c r="B76" s="39"/>
      <c r="C76" s="39"/>
      <c r="D76" s="40"/>
      <c r="E76" s="38"/>
    </row>
    <row r="77" spans="1:5" ht="21.75" customHeight="1" x14ac:dyDescent="0.6">
      <c r="A77" s="38"/>
      <c r="B77" s="39"/>
      <c r="C77" s="39"/>
      <c r="D77" s="40"/>
      <c r="E77" s="38"/>
    </row>
    <row r="78" spans="1:5" ht="21.75" customHeight="1" x14ac:dyDescent="0.6">
      <c r="A78" s="38"/>
      <c r="B78" s="39"/>
      <c r="C78" s="39"/>
      <c r="D78" s="40"/>
      <c r="E78" s="38"/>
    </row>
    <row r="79" spans="1:5" ht="21.75" customHeight="1" x14ac:dyDescent="0.6">
      <c r="A79" s="38"/>
      <c r="B79" s="39"/>
      <c r="C79" s="39"/>
      <c r="D79" s="40"/>
      <c r="E79" s="38"/>
    </row>
    <row r="80" spans="1:5" ht="21.75" customHeight="1" x14ac:dyDescent="0.6">
      <c r="A80" s="38"/>
      <c r="B80" s="39"/>
      <c r="C80" s="39"/>
      <c r="D80" s="40"/>
      <c r="E80" s="38"/>
    </row>
    <row r="81" spans="1:5" ht="21.75" customHeight="1" x14ac:dyDescent="0.6">
      <c r="A81" s="38"/>
      <c r="B81" s="39"/>
      <c r="C81" s="39"/>
      <c r="D81" s="40"/>
      <c r="E81" s="38"/>
    </row>
    <row r="82" spans="1:5" ht="21.75" customHeight="1" x14ac:dyDescent="0.6">
      <c r="A82" s="38"/>
      <c r="B82" s="39"/>
      <c r="C82" s="39"/>
      <c r="D82" s="40"/>
      <c r="E82" s="38"/>
    </row>
    <row r="83" spans="1:5" ht="21.75" customHeight="1" x14ac:dyDescent="0.6">
      <c r="A83" s="38"/>
      <c r="B83" s="39"/>
      <c r="C83" s="39"/>
      <c r="D83" s="40"/>
      <c r="E83" s="38"/>
    </row>
    <row r="84" spans="1:5" ht="21.75" customHeight="1" x14ac:dyDescent="0.6">
      <c r="A84" s="38"/>
      <c r="B84" s="39"/>
      <c r="C84" s="39"/>
      <c r="D84" s="40"/>
      <c r="E84" s="38"/>
    </row>
    <row r="85" spans="1:5" ht="21.75" customHeight="1" x14ac:dyDescent="0.6">
      <c r="A85" s="38"/>
      <c r="B85" s="39"/>
      <c r="C85" s="39"/>
      <c r="D85" s="40"/>
      <c r="E85" s="38"/>
    </row>
    <row r="86" spans="1:5" ht="21.75" customHeight="1" x14ac:dyDescent="0.6">
      <c r="A86" s="38"/>
      <c r="B86" s="39"/>
      <c r="C86" s="39"/>
      <c r="D86" s="40"/>
      <c r="E86" s="38"/>
    </row>
    <row r="87" spans="1:5" ht="21.75" customHeight="1" x14ac:dyDescent="0.6">
      <c r="A87" s="38"/>
      <c r="B87" s="39"/>
      <c r="C87" s="39"/>
      <c r="D87" s="40"/>
      <c r="E87" s="38"/>
    </row>
    <row r="88" spans="1:5" ht="21.75" customHeight="1" x14ac:dyDescent="0.6">
      <c r="A88" s="38"/>
      <c r="B88" s="39"/>
      <c r="C88" s="39"/>
      <c r="D88" s="40"/>
      <c r="E88" s="38"/>
    </row>
    <row r="89" spans="1:5" ht="21.75" customHeight="1" x14ac:dyDescent="0.6">
      <c r="A89" s="38"/>
      <c r="B89" s="39"/>
      <c r="C89" s="39"/>
      <c r="D89" s="40"/>
      <c r="E89" s="38"/>
    </row>
    <row r="90" spans="1:5" ht="21.75" customHeight="1" x14ac:dyDescent="0.6">
      <c r="A90" s="38"/>
      <c r="B90" s="39"/>
      <c r="C90" s="39"/>
      <c r="D90" s="40"/>
      <c r="E90" s="38"/>
    </row>
    <row r="91" spans="1:5" ht="21.75" customHeight="1" x14ac:dyDescent="0.6">
      <c r="A91" s="38"/>
      <c r="B91" s="39"/>
      <c r="C91" s="39"/>
      <c r="D91" s="40"/>
      <c r="E91" s="38"/>
    </row>
    <row r="92" spans="1:5" ht="21.75" customHeight="1" x14ac:dyDescent="0.6">
      <c r="A92" s="38"/>
      <c r="B92" s="39"/>
      <c r="C92" s="39"/>
      <c r="D92" s="40"/>
      <c r="E92" s="38"/>
    </row>
    <row r="93" spans="1:5" ht="21.75" customHeight="1" x14ac:dyDescent="0.6">
      <c r="A93" s="38"/>
      <c r="B93" s="39"/>
      <c r="C93" s="39"/>
      <c r="D93" s="40"/>
      <c r="E93" s="38"/>
    </row>
    <row r="94" spans="1:5" ht="21.75" customHeight="1" x14ac:dyDescent="0.6">
      <c r="A94" s="38"/>
      <c r="B94" s="39"/>
      <c r="C94" s="39"/>
      <c r="D94" s="40"/>
      <c r="E94" s="38"/>
    </row>
    <row r="95" spans="1:5" ht="21.75" customHeight="1" x14ac:dyDescent="0.6">
      <c r="A95" s="38"/>
      <c r="B95" s="39"/>
      <c r="C95" s="39"/>
      <c r="D95" s="40"/>
      <c r="E95" s="38"/>
    </row>
    <row r="96" spans="1:5" ht="21.75" customHeight="1" x14ac:dyDescent="0.6">
      <c r="A96" s="38"/>
      <c r="B96" s="39"/>
      <c r="C96" s="39"/>
      <c r="D96" s="40"/>
      <c r="E96" s="38"/>
    </row>
    <row r="97" spans="1:5" ht="21.75" customHeight="1" x14ac:dyDescent="0.6">
      <c r="A97" s="38"/>
      <c r="B97" s="39"/>
      <c r="C97" s="39"/>
      <c r="D97" s="40"/>
      <c r="E97" s="38"/>
    </row>
    <row r="98" spans="1:5" ht="21.75" customHeight="1" x14ac:dyDescent="0.6">
      <c r="A98" s="38"/>
      <c r="B98" s="39"/>
      <c r="C98" s="39"/>
      <c r="D98" s="40"/>
      <c r="E98" s="38"/>
    </row>
    <row r="99" spans="1:5" ht="21.75" customHeight="1" x14ac:dyDescent="0.6">
      <c r="A99" s="38"/>
      <c r="B99" s="39"/>
      <c r="C99" s="39"/>
      <c r="D99" s="40"/>
      <c r="E99" s="38"/>
    </row>
    <row r="100" spans="1:5" ht="21.75" customHeight="1" x14ac:dyDescent="0.6">
      <c r="A100" s="38"/>
      <c r="B100" s="39"/>
      <c r="C100" s="39"/>
      <c r="D100" s="40"/>
      <c r="E100" s="38"/>
    </row>
    <row r="101" spans="1:5" ht="21.75" customHeight="1" x14ac:dyDescent="0.6">
      <c r="A101" s="38"/>
      <c r="B101" s="39"/>
      <c r="C101" s="39"/>
      <c r="D101" s="40"/>
      <c r="E101" s="38"/>
    </row>
    <row r="102" spans="1:5" ht="21.75" customHeight="1" x14ac:dyDescent="0.6">
      <c r="A102" s="38"/>
      <c r="B102" s="39"/>
      <c r="C102" s="39"/>
      <c r="D102" s="40"/>
      <c r="E102" s="38"/>
    </row>
    <row r="103" spans="1:5" ht="21.75" customHeight="1" x14ac:dyDescent="0.6">
      <c r="A103" s="38"/>
      <c r="B103" s="39"/>
      <c r="C103" s="39"/>
      <c r="D103" s="40"/>
      <c r="E103" s="38"/>
    </row>
    <row r="104" spans="1:5" ht="21.75" customHeight="1" x14ac:dyDescent="0.6">
      <c r="A104" s="38"/>
      <c r="B104" s="39"/>
      <c r="C104" s="39"/>
      <c r="D104" s="40"/>
      <c r="E104" s="38"/>
    </row>
    <row r="105" spans="1:5" ht="21.75" customHeight="1" x14ac:dyDescent="0.6">
      <c r="A105" s="38"/>
      <c r="B105" s="39"/>
      <c r="C105" s="39"/>
      <c r="D105" s="40"/>
      <c r="E105" s="38"/>
    </row>
    <row r="106" spans="1:5" ht="21.75" customHeight="1" x14ac:dyDescent="0.6">
      <c r="A106" s="38"/>
      <c r="B106" s="39"/>
      <c r="C106" s="39"/>
      <c r="D106" s="40"/>
      <c r="E106" s="38"/>
    </row>
    <row r="107" spans="1:5" ht="21.75" customHeight="1" x14ac:dyDescent="0.6">
      <c r="A107" s="38"/>
      <c r="B107" s="39"/>
      <c r="C107" s="39"/>
      <c r="D107" s="40"/>
      <c r="E107" s="38"/>
    </row>
    <row r="108" spans="1:5" ht="21.75" customHeight="1" x14ac:dyDescent="0.6">
      <c r="A108" s="38"/>
      <c r="B108" s="39"/>
      <c r="C108" s="39"/>
      <c r="D108" s="40"/>
      <c r="E108" s="38"/>
    </row>
    <row r="109" spans="1:5" ht="21.75" customHeight="1" x14ac:dyDescent="0.6">
      <c r="A109" s="38"/>
      <c r="B109" s="39"/>
      <c r="C109" s="39"/>
      <c r="D109" s="40"/>
      <c r="E109" s="38"/>
    </row>
    <row r="110" spans="1:5" ht="21.75" customHeight="1" x14ac:dyDescent="0.6">
      <c r="A110" s="38"/>
      <c r="B110" s="39"/>
      <c r="C110" s="39"/>
      <c r="D110" s="40"/>
      <c r="E110" s="38"/>
    </row>
    <row r="111" spans="1:5" ht="21.75" customHeight="1" x14ac:dyDescent="0.6">
      <c r="A111" s="38"/>
      <c r="B111" s="39"/>
      <c r="C111" s="39"/>
      <c r="D111" s="40"/>
      <c r="E111" s="38"/>
    </row>
    <row r="112" spans="1:5" ht="21.75" customHeight="1" x14ac:dyDescent="0.6">
      <c r="A112" s="38"/>
      <c r="B112" s="39"/>
      <c r="C112" s="39"/>
      <c r="D112" s="40"/>
      <c r="E112" s="38"/>
    </row>
    <row r="113" spans="1:5" ht="21.75" customHeight="1" x14ac:dyDescent="0.6">
      <c r="A113" s="38"/>
      <c r="B113" s="39"/>
      <c r="C113" s="39"/>
      <c r="D113" s="40"/>
      <c r="E113" s="38"/>
    </row>
    <row r="114" spans="1:5" ht="21.75" customHeight="1" x14ac:dyDescent="0.6">
      <c r="A114" s="38"/>
      <c r="B114" s="39"/>
      <c r="C114" s="39"/>
      <c r="D114" s="40"/>
      <c r="E114" s="38"/>
    </row>
    <row r="115" spans="1:5" ht="21.75" customHeight="1" x14ac:dyDescent="0.6">
      <c r="A115" s="38"/>
      <c r="B115" s="39"/>
      <c r="C115" s="39"/>
      <c r="D115" s="40"/>
      <c r="E115" s="38"/>
    </row>
    <row r="116" spans="1:5" ht="21.75" customHeight="1" x14ac:dyDescent="0.6">
      <c r="A116" s="38"/>
      <c r="B116" s="39"/>
      <c r="C116" s="39"/>
      <c r="D116" s="40"/>
      <c r="E116" s="38"/>
    </row>
    <row r="117" spans="1:5" ht="21.75" customHeight="1" x14ac:dyDescent="0.6">
      <c r="A117" s="38"/>
      <c r="B117" s="39"/>
      <c r="C117" s="39"/>
      <c r="D117" s="40"/>
      <c r="E117" s="38"/>
    </row>
    <row r="118" spans="1:5" ht="21.75" customHeight="1" x14ac:dyDescent="0.6">
      <c r="A118" s="38"/>
      <c r="B118" s="39"/>
      <c r="C118" s="39"/>
      <c r="D118" s="40"/>
      <c r="E118" s="38"/>
    </row>
    <row r="119" spans="1:5" ht="21.75" customHeight="1" x14ac:dyDescent="0.6">
      <c r="A119" s="38"/>
      <c r="B119" s="39"/>
      <c r="C119" s="39"/>
      <c r="D119" s="40"/>
      <c r="E119" s="38"/>
    </row>
    <row r="120" spans="1:5" ht="21.75" customHeight="1" x14ac:dyDescent="0.6">
      <c r="A120" s="38"/>
      <c r="B120" s="39"/>
      <c r="C120" s="39"/>
      <c r="D120" s="40"/>
      <c r="E120" s="38"/>
    </row>
    <row r="121" spans="1:5" ht="21.75" customHeight="1" x14ac:dyDescent="0.6">
      <c r="A121" s="38"/>
      <c r="B121" s="39"/>
      <c r="C121" s="39"/>
      <c r="D121" s="40"/>
      <c r="E121" s="38"/>
    </row>
    <row r="122" spans="1:5" ht="21.75" customHeight="1" x14ac:dyDescent="0.6">
      <c r="A122" s="38"/>
      <c r="B122" s="39"/>
      <c r="C122" s="39"/>
      <c r="D122" s="40"/>
      <c r="E122" s="38"/>
    </row>
    <row r="123" spans="1:5" ht="21.75" customHeight="1" x14ac:dyDescent="0.6">
      <c r="A123" s="38"/>
      <c r="B123" s="39"/>
      <c r="C123" s="39"/>
      <c r="D123" s="40"/>
      <c r="E123" s="38"/>
    </row>
    <row r="124" spans="1:5" ht="21.75" customHeight="1" x14ac:dyDescent="0.6">
      <c r="A124" s="38"/>
      <c r="B124" s="39"/>
      <c r="C124" s="39"/>
      <c r="D124" s="40"/>
      <c r="E124" s="38"/>
    </row>
    <row r="125" spans="1:5" ht="21.75" customHeight="1" x14ac:dyDescent="0.6">
      <c r="A125" s="38"/>
      <c r="B125" s="39"/>
      <c r="C125" s="39"/>
      <c r="D125" s="40"/>
      <c r="E125" s="38"/>
    </row>
    <row r="126" spans="1:5" ht="21.75" customHeight="1" x14ac:dyDescent="0.6">
      <c r="A126" s="38"/>
      <c r="B126" s="39"/>
      <c r="C126" s="39"/>
      <c r="D126" s="40"/>
      <c r="E126" s="38"/>
    </row>
    <row r="127" spans="1:5" ht="21.75" customHeight="1" x14ac:dyDescent="0.6">
      <c r="A127" s="38"/>
      <c r="B127" s="39"/>
      <c r="C127" s="39"/>
      <c r="D127" s="40"/>
      <c r="E127" s="38"/>
    </row>
    <row r="128" spans="1:5" ht="21.75" customHeight="1" x14ac:dyDescent="0.6">
      <c r="A128" s="38"/>
      <c r="B128" s="39"/>
      <c r="C128" s="39"/>
      <c r="D128" s="40"/>
      <c r="E128" s="38"/>
    </row>
    <row r="129" spans="1:5" ht="21.75" customHeight="1" x14ac:dyDescent="0.6">
      <c r="A129" s="38"/>
      <c r="B129" s="39"/>
      <c r="C129" s="39"/>
      <c r="D129" s="40"/>
      <c r="E129" s="38"/>
    </row>
    <row r="130" spans="1:5" ht="21.75" customHeight="1" x14ac:dyDescent="0.6">
      <c r="A130" s="38"/>
      <c r="B130" s="39"/>
      <c r="C130" s="39"/>
      <c r="D130" s="40"/>
      <c r="E130" s="38"/>
    </row>
    <row r="131" spans="1:5" ht="21.75" customHeight="1" x14ac:dyDescent="0.6">
      <c r="A131" s="38"/>
      <c r="B131" s="39"/>
      <c r="C131" s="39"/>
      <c r="D131" s="40"/>
      <c r="E131" s="38"/>
    </row>
    <row r="132" spans="1:5" ht="21.75" customHeight="1" x14ac:dyDescent="0.6">
      <c r="A132" s="38"/>
      <c r="B132" s="39"/>
      <c r="C132" s="39"/>
      <c r="D132" s="40"/>
      <c r="E132" s="38"/>
    </row>
    <row r="133" spans="1:5" ht="21.75" customHeight="1" x14ac:dyDescent="0.6">
      <c r="A133" s="38"/>
      <c r="B133" s="39"/>
      <c r="C133" s="39"/>
      <c r="D133" s="40"/>
      <c r="E133" s="38"/>
    </row>
    <row r="134" spans="1:5" ht="21.75" customHeight="1" x14ac:dyDescent="0.6">
      <c r="A134" s="38"/>
      <c r="B134" s="39"/>
      <c r="C134" s="39"/>
      <c r="D134" s="40"/>
      <c r="E134" s="38"/>
    </row>
    <row r="135" spans="1:5" ht="21.75" customHeight="1" x14ac:dyDescent="0.6">
      <c r="A135" s="38"/>
      <c r="B135" s="39"/>
      <c r="C135" s="39"/>
      <c r="D135" s="40"/>
      <c r="E135" s="38"/>
    </row>
    <row r="136" spans="1:5" ht="21.75" customHeight="1" x14ac:dyDescent="0.6">
      <c r="A136" s="38"/>
      <c r="B136" s="39"/>
      <c r="C136" s="39"/>
      <c r="D136" s="40"/>
      <c r="E136" s="38"/>
    </row>
    <row r="137" spans="1:5" ht="21.75" customHeight="1" x14ac:dyDescent="0.6">
      <c r="A137" s="38"/>
      <c r="B137" s="39"/>
      <c r="C137" s="39"/>
      <c r="D137" s="40"/>
      <c r="E137" s="38"/>
    </row>
    <row r="138" spans="1:5" ht="21.75" customHeight="1" x14ac:dyDescent="0.6">
      <c r="A138" s="38"/>
      <c r="B138" s="39"/>
      <c r="C138" s="39"/>
      <c r="D138" s="40"/>
      <c r="E138" s="38"/>
    </row>
    <row r="139" spans="1:5" ht="21.75" customHeight="1" x14ac:dyDescent="0.6">
      <c r="A139" s="38"/>
      <c r="B139" s="39"/>
      <c r="C139" s="39"/>
      <c r="D139" s="40"/>
      <c r="E139" s="38"/>
    </row>
    <row r="140" spans="1:5" ht="21.75" customHeight="1" x14ac:dyDescent="0.6">
      <c r="A140" s="38"/>
      <c r="B140" s="39"/>
      <c r="C140" s="39"/>
      <c r="D140" s="40"/>
      <c r="E140" s="38"/>
    </row>
    <row r="141" spans="1:5" ht="21.75" customHeight="1" x14ac:dyDescent="0.6">
      <c r="A141" s="38"/>
      <c r="B141" s="39"/>
      <c r="C141" s="39"/>
      <c r="D141" s="40"/>
      <c r="E141" s="38"/>
    </row>
    <row r="142" spans="1:5" ht="21.75" customHeight="1" x14ac:dyDescent="0.6">
      <c r="A142" s="38"/>
      <c r="B142" s="39"/>
      <c r="C142" s="39"/>
      <c r="D142" s="40"/>
      <c r="E142" s="38"/>
    </row>
    <row r="143" spans="1:5" ht="21.75" customHeight="1" x14ac:dyDescent="0.6">
      <c r="A143" s="38"/>
      <c r="B143" s="39"/>
      <c r="C143" s="39"/>
      <c r="D143" s="40"/>
      <c r="E143" s="38"/>
    </row>
    <row r="144" spans="1:5" ht="21.75" customHeight="1" x14ac:dyDescent="0.6">
      <c r="A144" s="38"/>
      <c r="B144" s="39"/>
      <c r="C144" s="39"/>
      <c r="D144" s="40"/>
      <c r="E144" s="38"/>
    </row>
    <row r="145" spans="1:5" ht="21.75" customHeight="1" x14ac:dyDescent="0.6">
      <c r="A145" s="38"/>
      <c r="B145" s="39"/>
      <c r="C145" s="39"/>
      <c r="D145" s="40"/>
      <c r="E145" s="38"/>
    </row>
    <row r="146" spans="1:5" ht="21.75" customHeight="1" x14ac:dyDescent="0.6">
      <c r="A146" s="38"/>
      <c r="B146" s="39"/>
      <c r="C146" s="39"/>
      <c r="D146" s="40"/>
      <c r="E146" s="38"/>
    </row>
    <row r="147" spans="1:5" ht="21.75" customHeight="1" x14ac:dyDescent="0.6">
      <c r="A147" s="38"/>
      <c r="B147" s="39"/>
      <c r="C147" s="39"/>
      <c r="D147" s="40"/>
      <c r="E147" s="38"/>
    </row>
    <row r="148" spans="1:5" ht="21.75" customHeight="1" x14ac:dyDescent="0.6">
      <c r="A148" s="38"/>
      <c r="B148" s="39"/>
      <c r="C148" s="39"/>
      <c r="D148" s="40"/>
      <c r="E148" s="38"/>
    </row>
    <row r="149" spans="1:5" ht="21.75" customHeight="1" x14ac:dyDescent="0.6">
      <c r="A149" s="38"/>
      <c r="B149" s="39"/>
      <c r="C149" s="39"/>
      <c r="D149" s="40"/>
      <c r="E149" s="38"/>
    </row>
    <row r="150" spans="1:5" ht="21.75" customHeight="1" x14ac:dyDescent="0.6">
      <c r="A150" s="38"/>
      <c r="B150" s="39"/>
      <c r="C150" s="39"/>
      <c r="D150" s="40"/>
      <c r="E150" s="38"/>
    </row>
    <row r="151" spans="1:5" ht="21.75" customHeight="1" x14ac:dyDescent="0.6">
      <c r="A151" s="38"/>
      <c r="B151" s="39"/>
      <c r="C151" s="39"/>
      <c r="D151" s="40"/>
      <c r="E151" s="38"/>
    </row>
    <row r="152" spans="1:5" ht="21.75" customHeight="1" x14ac:dyDescent="0.6">
      <c r="A152" s="38"/>
      <c r="B152" s="39"/>
      <c r="C152" s="39"/>
      <c r="D152" s="40"/>
      <c r="E152" s="38"/>
    </row>
    <row r="153" spans="1:5" ht="21.75" customHeight="1" x14ac:dyDescent="0.6">
      <c r="A153" s="38"/>
      <c r="B153" s="39"/>
      <c r="C153" s="39"/>
      <c r="D153" s="40"/>
      <c r="E153" s="38"/>
    </row>
    <row r="154" spans="1:5" ht="21.75" customHeight="1" x14ac:dyDescent="0.6">
      <c r="A154" s="38"/>
      <c r="B154" s="39"/>
      <c r="C154" s="39"/>
      <c r="D154" s="40"/>
      <c r="E154" s="38"/>
    </row>
    <row r="155" spans="1:5" ht="21.75" customHeight="1" x14ac:dyDescent="0.6">
      <c r="A155" s="38"/>
      <c r="B155" s="39"/>
      <c r="C155" s="39"/>
      <c r="D155" s="40"/>
      <c r="E155" s="38"/>
    </row>
    <row r="156" spans="1:5" ht="21.75" customHeight="1" x14ac:dyDescent="0.6">
      <c r="A156" s="38"/>
      <c r="B156" s="39"/>
      <c r="C156" s="39"/>
      <c r="D156" s="40"/>
      <c r="E156" s="38"/>
    </row>
    <row r="157" spans="1:5" ht="21.75" customHeight="1" x14ac:dyDescent="0.6">
      <c r="A157" s="38"/>
      <c r="B157" s="39"/>
      <c r="C157" s="39"/>
      <c r="D157" s="40"/>
      <c r="E157" s="38"/>
    </row>
    <row r="158" spans="1:5" ht="21.75" customHeight="1" x14ac:dyDescent="0.6">
      <c r="A158" s="38"/>
      <c r="B158" s="39"/>
      <c r="C158" s="39"/>
      <c r="D158" s="40"/>
      <c r="E158" s="38"/>
    </row>
    <row r="159" spans="1:5" ht="21.75" customHeight="1" x14ac:dyDescent="0.6">
      <c r="A159" s="38"/>
      <c r="B159" s="39"/>
      <c r="C159" s="39"/>
      <c r="D159" s="40"/>
      <c r="E159" s="38"/>
    </row>
    <row r="160" spans="1:5" ht="21.75" customHeight="1" x14ac:dyDescent="0.6">
      <c r="A160" s="38"/>
      <c r="B160" s="39"/>
      <c r="C160" s="39"/>
      <c r="D160" s="40"/>
      <c r="E160" s="38"/>
    </row>
    <row r="161" spans="1:5" ht="21.75" customHeight="1" x14ac:dyDescent="0.6">
      <c r="A161" s="38"/>
      <c r="B161" s="39"/>
      <c r="C161" s="39"/>
      <c r="D161" s="40"/>
      <c r="E161" s="38"/>
    </row>
    <row r="162" spans="1:5" ht="21.75" customHeight="1" x14ac:dyDescent="0.6">
      <c r="A162" s="38"/>
      <c r="B162" s="39"/>
      <c r="C162" s="39"/>
      <c r="D162" s="40"/>
      <c r="E162" s="38"/>
    </row>
    <row r="163" spans="1:5" ht="21.75" customHeight="1" x14ac:dyDescent="0.6">
      <c r="A163" s="38"/>
      <c r="B163" s="39"/>
      <c r="C163" s="39"/>
      <c r="D163" s="40"/>
      <c r="E163" s="38"/>
    </row>
    <row r="164" spans="1:5" ht="21.75" customHeight="1" x14ac:dyDescent="0.6">
      <c r="A164" s="38"/>
      <c r="B164" s="39"/>
      <c r="C164" s="39"/>
      <c r="D164" s="40"/>
      <c r="E164" s="38"/>
    </row>
    <row r="165" spans="1:5" ht="21.75" customHeight="1" x14ac:dyDescent="0.6">
      <c r="A165" s="38"/>
      <c r="B165" s="39"/>
      <c r="C165" s="39"/>
      <c r="D165" s="40"/>
      <c r="E165" s="38"/>
    </row>
    <row r="166" spans="1:5" ht="21.75" customHeight="1" x14ac:dyDescent="0.6">
      <c r="A166" s="38"/>
      <c r="B166" s="39"/>
      <c r="C166" s="39"/>
      <c r="D166" s="40"/>
      <c r="E166" s="38"/>
    </row>
    <row r="167" spans="1:5" ht="21.75" customHeight="1" x14ac:dyDescent="0.6">
      <c r="A167" s="38"/>
      <c r="B167" s="39"/>
      <c r="C167" s="39"/>
      <c r="D167" s="40"/>
      <c r="E167" s="38"/>
    </row>
    <row r="168" spans="1:5" ht="21.75" customHeight="1" x14ac:dyDescent="0.6">
      <c r="A168" s="38"/>
      <c r="B168" s="39"/>
      <c r="C168" s="39"/>
      <c r="D168" s="40"/>
      <c r="E168" s="38"/>
    </row>
    <row r="169" spans="1:5" ht="21.75" customHeight="1" x14ac:dyDescent="0.6">
      <c r="A169" s="38"/>
      <c r="B169" s="39"/>
      <c r="C169" s="39"/>
      <c r="D169" s="40"/>
      <c r="E169" s="38"/>
    </row>
    <row r="170" spans="1:5" ht="21.75" customHeight="1" x14ac:dyDescent="0.6">
      <c r="A170" s="38"/>
      <c r="B170" s="39"/>
      <c r="C170" s="39"/>
      <c r="D170" s="40"/>
      <c r="E170" s="38"/>
    </row>
    <row r="171" spans="1:5" ht="21.75" customHeight="1" x14ac:dyDescent="0.6">
      <c r="A171" s="38"/>
      <c r="B171" s="39"/>
      <c r="C171" s="39"/>
      <c r="D171" s="40"/>
      <c r="E171" s="38"/>
    </row>
    <row r="172" spans="1:5" ht="21.75" customHeight="1" x14ac:dyDescent="0.6">
      <c r="A172" s="38"/>
      <c r="B172" s="39"/>
      <c r="C172" s="39"/>
      <c r="D172" s="40"/>
      <c r="E172" s="38"/>
    </row>
    <row r="173" spans="1:5" ht="21.75" customHeight="1" x14ac:dyDescent="0.6">
      <c r="A173" s="38"/>
      <c r="B173" s="39"/>
      <c r="C173" s="39"/>
      <c r="D173" s="40"/>
      <c r="E173" s="38"/>
    </row>
    <row r="174" spans="1:5" ht="21.75" customHeight="1" x14ac:dyDescent="0.6">
      <c r="A174" s="38"/>
      <c r="B174" s="39"/>
      <c r="C174" s="39"/>
      <c r="D174" s="40"/>
      <c r="E174" s="38"/>
    </row>
    <row r="175" spans="1:5" ht="21.75" customHeight="1" x14ac:dyDescent="0.6">
      <c r="A175" s="38"/>
      <c r="B175" s="39"/>
      <c r="C175" s="39"/>
      <c r="D175" s="40"/>
      <c r="E175" s="38"/>
    </row>
    <row r="176" spans="1:5" ht="21.75" customHeight="1" x14ac:dyDescent="0.6">
      <c r="A176" s="38"/>
      <c r="B176" s="39"/>
      <c r="C176" s="39"/>
      <c r="D176" s="40"/>
      <c r="E176" s="38"/>
    </row>
    <row r="177" spans="1:5" ht="21.75" customHeight="1" x14ac:dyDescent="0.6">
      <c r="A177" s="38"/>
      <c r="B177" s="39"/>
      <c r="C177" s="39"/>
      <c r="D177" s="40"/>
      <c r="E177" s="38"/>
    </row>
    <row r="178" spans="1:5" ht="21.75" customHeight="1" x14ac:dyDescent="0.6">
      <c r="A178" s="38"/>
      <c r="B178" s="39"/>
      <c r="C178" s="39"/>
      <c r="D178" s="40"/>
      <c r="E178" s="38"/>
    </row>
    <row r="179" spans="1:5" ht="21.75" customHeight="1" x14ac:dyDescent="0.6">
      <c r="A179" s="38"/>
      <c r="B179" s="39"/>
      <c r="C179" s="39"/>
      <c r="D179" s="40"/>
      <c r="E179" s="38"/>
    </row>
    <row r="180" spans="1:5" ht="21.75" customHeight="1" x14ac:dyDescent="0.6">
      <c r="A180" s="38"/>
      <c r="B180" s="39"/>
      <c r="C180" s="39"/>
      <c r="D180" s="40"/>
      <c r="E180" s="38"/>
    </row>
    <row r="181" spans="1:5" ht="21.75" customHeight="1" x14ac:dyDescent="0.6">
      <c r="A181" s="38"/>
      <c r="B181" s="39"/>
      <c r="C181" s="39"/>
      <c r="D181" s="40"/>
      <c r="E181" s="38"/>
    </row>
    <row r="182" spans="1:5" ht="21.75" customHeight="1" x14ac:dyDescent="0.6">
      <c r="A182" s="38"/>
      <c r="B182" s="39"/>
      <c r="C182" s="39"/>
      <c r="D182" s="40"/>
      <c r="E182" s="38"/>
    </row>
    <row r="183" spans="1:5" ht="21.75" customHeight="1" x14ac:dyDescent="0.6">
      <c r="A183" s="38"/>
      <c r="B183" s="39"/>
      <c r="C183" s="39"/>
      <c r="D183" s="40"/>
      <c r="E183" s="38"/>
    </row>
    <row r="184" spans="1:5" ht="21.75" customHeight="1" x14ac:dyDescent="0.6">
      <c r="A184" s="38"/>
      <c r="B184" s="39"/>
      <c r="C184" s="39"/>
      <c r="D184" s="40"/>
      <c r="E184" s="38"/>
    </row>
    <row r="185" spans="1:5" ht="21.75" customHeight="1" x14ac:dyDescent="0.6">
      <c r="A185" s="38"/>
      <c r="B185" s="39"/>
      <c r="C185" s="39"/>
      <c r="D185" s="40"/>
      <c r="E185" s="38"/>
    </row>
    <row r="186" spans="1:5" ht="21.75" customHeight="1" x14ac:dyDescent="0.6">
      <c r="A186" s="38"/>
      <c r="B186" s="39"/>
      <c r="C186" s="39"/>
      <c r="D186" s="40"/>
      <c r="E186" s="38"/>
    </row>
    <row r="187" spans="1:5" ht="21.75" customHeight="1" x14ac:dyDescent="0.6">
      <c r="A187" s="38"/>
      <c r="B187" s="39"/>
      <c r="C187" s="39"/>
      <c r="D187" s="40"/>
      <c r="E187" s="38"/>
    </row>
    <row r="188" spans="1:5" ht="21.75" customHeight="1" x14ac:dyDescent="0.6">
      <c r="A188" s="38"/>
      <c r="B188" s="39"/>
      <c r="C188" s="39"/>
      <c r="D188" s="40"/>
      <c r="E188" s="38"/>
    </row>
    <row r="189" spans="1:5" ht="21.75" customHeight="1" x14ac:dyDescent="0.6">
      <c r="A189" s="38"/>
      <c r="B189" s="39"/>
      <c r="C189" s="39"/>
      <c r="D189" s="40"/>
      <c r="E189" s="38"/>
    </row>
    <row r="190" spans="1:5" ht="21.75" customHeight="1" x14ac:dyDescent="0.6">
      <c r="A190" s="38"/>
      <c r="B190" s="39"/>
      <c r="C190" s="39"/>
      <c r="D190" s="40"/>
      <c r="E190" s="38"/>
    </row>
    <row r="191" spans="1:5" ht="21.75" customHeight="1" x14ac:dyDescent="0.6">
      <c r="A191" s="38"/>
      <c r="B191" s="39"/>
      <c r="C191" s="39"/>
      <c r="D191" s="40"/>
      <c r="E191" s="38"/>
    </row>
    <row r="192" spans="1:5" ht="21.75" customHeight="1" x14ac:dyDescent="0.6">
      <c r="A192" s="38"/>
      <c r="B192" s="39"/>
      <c r="C192" s="39"/>
      <c r="D192" s="40"/>
      <c r="E192" s="38"/>
    </row>
    <row r="193" spans="1:5" ht="21.75" customHeight="1" x14ac:dyDescent="0.6">
      <c r="A193" s="38"/>
      <c r="B193" s="39"/>
      <c r="C193" s="39"/>
      <c r="D193" s="40"/>
      <c r="E193" s="38"/>
    </row>
    <row r="194" spans="1:5" ht="21.75" customHeight="1" x14ac:dyDescent="0.6">
      <c r="A194" s="38"/>
      <c r="B194" s="39"/>
      <c r="C194" s="39"/>
      <c r="D194" s="40"/>
      <c r="E194" s="38"/>
    </row>
    <row r="195" spans="1:5" ht="21.75" customHeight="1" x14ac:dyDescent="0.6">
      <c r="A195" s="38"/>
      <c r="B195" s="39"/>
      <c r="C195" s="39"/>
      <c r="D195" s="40"/>
      <c r="E195" s="38"/>
    </row>
    <row r="196" spans="1:5" ht="21.75" customHeight="1" x14ac:dyDescent="0.6">
      <c r="A196" s="38"/>
      <c r="B196" s="39"/>
      <c r="C196" s="39"/>
      <c r="D196" s="40"/>
      <c r="E196" s="38"/>
    </row>
    <row r="197" spans="1:5" ht="21.75" customHeight="1" x14ac:dyDescent="0.6">
      <c r="A197" s="38"/>
      <c r="B197" s="39"/>
      <c r="C197" s="39"/>
      <c r="D197" s="40"/>
      <c r="E197" s="38"/>
    </row>
    <row r="198" spans="1:5" ht="21.75" customHeight="1" x14ac:dyDescent="0.6">
      <c r="A198" s="38"/>
      <c r="B198" s="39"/>
      <c r="C198" s="39"/>
      <c r="D198" s="40"/>
      <c r="E198" s="38"/>
    </row>
    <row r="199" spans="1:5" ht="21.75" customHeight="1" x14ac:dyDescent="0.6">
      <c r="A199" s="38"/>
      <c r="B199" s="39"/>
      <c r="C199" s="39"/>
      <c r="D199" s="40"/>
      <c r="E199" s="38"/>
    </row>
    <row r="200" spans="1:5" ht="21.75" customHeight="1" x14ac:dyDescent="0.6">
      <c r="A200" s="38"/>
      <c r="B200" s="39"/>
      <c r="C200" s="39"/>
      <c r="D200" s="40"/>
      <c r="E200" s="38"/>
    </row>
    <row r="201" spans="1:5" ht="21.75" customHeight="1" x14ac:dyDescent="0.6">
      <c r="A201" s="38"/>
      <c r="B201" s="39"/>
      <c r="C201" s="39"/>
      <c r="D201" s="40"/>
      <c r="E201" s="38"/>
    </row>
    <row r="202" spans="1:5" ht="21.75" customHeight="1" x14ac:dyDescent="0.6">
      <c r="A202" s="38"/>
      <c r="B202" s="39"/>
      <c r="C202" s="39"/>
      <c r="D202" s="40"/>
      <c r="E202" s="38"/>
    </row>
    <row r="203" spans="1:5" ht="21.75" customHeight="1" x14ac:dyDescent="0.6">
      <c r="A203" s="38"/>
      <c r="B203" s="39"/>
      <c r="C203" s="39"/>
      <c r="D203" s="40"/>
      <c r="E203" s="38"/>
    </row>
    <row r="204" spans="1:5" ht="21.75" customHeight="1" x14ac:dyDescent="0.6">
      <c r="A204" s="38"/>
      <c r="B204" s="39"/>
      <c r="C204" s="39"/>
      <c r="D204" s="40"/>
      <c r="E204" s="38"/>
    </row>
    <row r="205" spans="1:5" ht="21.75" customHeight="1" x14ac:dyDescent="0.6">
      <c r="A205" s="38"/>
      <c r="B205" s="39"/>
      <c r="C205" s="39"/>
      <c r="D205" s="40"/>
      <c r="E205" s="38"/>
    </row>
    <row r="206" spans="1:5" ht="21.75" customHeight="1" x14ac:dyDescent="0.6">
      <c r="A206" s="38"/>
      <c r="B206" s="39"/>
      <c r="C206" s="39"/>
      <c r="D206" s="40"/>
      <c r="E206" s="38"/>
    </row>
    <row r="207" spans="1:5" ht="21.75" customHeight="1" x14ac:dyDescent="0.6">
      <c r="A207" s="38"/>
      <c r="B207" s="39"/>
      <c r="C207" s="39"/>
      <c r="D207" s="40"/>
      <c r="E207" s="38"/>
    </row>
    <row r="208" spans="1:5" ht="21.75" customHeight="1" x14ac:dyDescent="0.6">
      <c r="A208" s="38"/>
      <c r="B208" s="39"/>
      <c r="C208" s="39"/>
      <c r="D208" s="40"/>
      <c r="E208" s="38"/>
    </row>
    <row r="209" spans="1:5" ht="21.75" customHeight="1" x14ac:dyDescent="0.6">
      <c r="A209" s="38"/>
      <c r="B209" s="39"/>
      <c r="C209" s="39"/>
      <c r="D209" s="40"/>
      <c r="E209" s="38"/>
    </row>
    <row r="210" spans="1:5" ht="21.75" customHeight="1" x14ac:dyDescent="0.6">
      <c r="A210" s="38"/>
      <c r="B210" s="39"/>
      <c r="C210" s="39"/>
      <c r="D210" s="40"/>
      <c r="E210" s="38"/>
    </row>
    <row r="211" spans="1:5" ht="21.75" customHeight="1" x14ac:dyDescent="0.6">
      <c r="A211" s="38"/>
      <c r="B211" s="39"/>
      <c r="C211" s="39"/>
      <c r="D211" s="40"/>
      <c r="E211" s="38"/>
    </row>
    <row r="212" spans="1:5" ht="21.75" customHeight="1" x14ac:dyDescent="0.6">
      <c r="A212" s="38"/>
      <c r="B212" s="39"/>
      <c r="C212" s="39"/>
      <c r="D212" s="40"/>
      <c r="E212" s="38"/>
    </row>
    <row r="213" spans="1:5" ht="21.75" customHeight="1" x14ac:dyDescent="0.6">
      <c r="A213" s="38"/>
      <c r="B213" s="39"/>
      <c r="C213" s="39"/>
      <c r="D213" s="40"/>
      <c r="E213" s="38"/>
    </row>
    <row r="214" spans="1:5" ht="21.75" customHeight="1" x14ac:dyDescent="0.6">
      <c r="A214" s="38"/>
      <c r="B214" s="39"/>
      <c r="C214" s="39"/>
      <c r="D214" s="40"/>
      <c r="E214" s="38"/>
    </row>
    <row r="215" spans="1:5" ht="21.75" customHeight="1" x14ac:dyDescent="0.6">
      <c r="A215" s="38"/>
      <c r="B215" s="39"/>
      <c r="C215" s="39"/>
      <c r="D215" s="40"/>
      <c r="E215" s="38"/>
    </row>
    <row r="216" spans="1:5" ht="21.75" customHeight="1" x14ac:dyDescent="0.6">
      <c r="A216" s="38"/>
      <c r="B216" s="39"/>
      <c r="C216" s="39"/>
      <c r="D216" s="40"/>
      <c r="E216" s="38"/>
    </row>
    <row r="217" spans="1:5" ht="21.75" customHeight="1" x14ac:dyDescent="0.6">
      <c r="A217" s="38"/>
      <c r="B217" s="39"/>
      <c r="C217" s="39"/>
      <c r="D217" s="40"/>
      <c r="E217" s="38"/>
    </row>
    <row r="218" spans="1:5" ht="21.75" customHeight="1" x14ac:dyDescent="0.6">
      <c r="A218" s="38"/>
      <c r="B218" s="39"/>
      <c r="C218" s="39"/>
      <c r="D218" s="40"/>
      <c r="E218" s="38"/>
    </row>
    <row r="219" spans="1:5" ht="21.75" customHeight="1" x14ac:dyDescent="0.6">
      <c r="A219" s="38"/>
      <c r="B219" s="39"/>
      <c r="C219" s="39"/>
      <c r="D219" s="40"/>
      <c r="E219" s="38"/>
    </row>
    <row r="220" spans="1:5" ht="21.75" customHeight="1" x14ac:dyDescent="0.6">
      <c r="A220" s="38"/>
      <c r="B220" s="39"/>
      <c r="C220" s="39"/>
      <c r="D220" s="40"/>
      <c r="E220" s="38"/>
    </row>
    <row r="221" spans="1:5" ht="21.75" customHeight="1" x14ac:dyDescent="0.6">
      <c r="A221" s="38"/>
      <c r="B221" s="39"/>
      <c r="C221" s="39"/>
      <c r="D221" s="40"/>
      <c r="E221" s="38"/>
    </row>
    <row r="222" spans="1:5" ht="21.75" customHeight="1" x14ac:dyDescent="0.6">
      <c r="A222" s="38"/>
      <c r="B222" s="39"/>
      <c r="C222" s="39"/>
      <c r="D222" s="40"/>
      <c r="E222" s="38"/>
    </row>
    <row r="223" spans="1:5" ht="21.75" customHeight="1" x14ac:dyDescent="0.6">
      <c r="A223" s="38"/>
      <c r="B223" s="39"/>
      <c r="C223" s="39"/>
      <c r="D223" s="40"/>
      <c r="E223" s="38"/>
    </row>
    <row r="224" spans="1:5" ht="21.75" customHeight="1" x14ac:dyDescent="0.6">
      <c r="A224" s="38"/>
      <c r="B224" s="39"/>
      <c r="C224" s="39"/>
      <c r="D224" s="40"/>
      <c r="E224" s="38"/>
    </row>
    <row r="225" spans="1:5" ht="21.75" customHeight="1" x14ac:dyDescent="0.6">
      <c r="A225" s="38"/>
      <c r="B225" s="39"/>
      <c r="C225" s="39"/>
      <c r="D225" s="40"/>
      <c r="E225" s="38"/>
    </row>
    <row r="226" spans="1:5" ht="21.75" customHeight="1" x14ac:dyDescent="0.6">
      <c r="A226" s="38"/>
      <c r="B226" s="39"/>
      <c r="C226" s="39"/>
      <c r="D226" s="40"/>
      <c r="E226" s="38"/>
    </row>
    <row r="227" spans="1:5" ht="21.75" customHeight="1" x14ac:dyDescent="0.6">
      <c r="A227" s="38"/>
      <c r="B227" s="39"/>
      <c r="C227" s="39"/>
      <c r="D227" s="40"/>
      <c r="E227" s="38"/>
    </row>
    <row r="228" spans="1:5" ht="21.75" customHeight="1" x14ac:dyDescent="0.6">
      <c r="A228" s="38"/>
      <c r="B228" s="39"/>
      <c r="C228" s="39"/>
      <c r="D228" s="40"/>
      <c r="E228" s="38"/>
    </row>
    <row r="229" spans="1:5" ht="21.75" customHeight="1" x14ac:dyDescent="0.6">
      <c r="A229" s="38"/>
      <c r="B229" s="39"/>
      <c r="C229" s="39"/>
      <c r="D229" s="40"/>
      <c r="E229" s="38"/>
    </row>
    <row r="230" spans="1:5" ht="21.75" customHeight="1" x14ac:dyDescent="0.6">
      <c r="A230" s="38"/>
      <c r="B230" s="39"/>
      <c r="C230" s="39"/>
      <c r="D230" s="40"/>
      <c r="E230" s="38"/>
    </row>
    <row r="231" spans="1:5" ht="21.75" customHeight="1" x14ac:dyDescent="0.6">
      <c r="A231" s="38"/>
      <c r="B231" s="39"/>
      <c r="C231" s="39"/>
      <c r="D231" s="40"/>
      <c r="E231" s="38"/>
    </row>
    <row r="232" spans="1:5" ht="21.75" customHeight="1" x14ac:dyDescent="0.6">
      <c r="A232" s="38"/>
      <c r="B232" s="39"/>
      <c r="C232" s="39"/>
      <c r="D232" s="40"/>
      <c r="E232" s="38"/>
    </row>
    <row r="233" spans="1:5" ht="21.75" customHeight="1" x14ac:dyDescent="0.6">
      <c r="A233" s="38"/>
      <c r="B233" s="39"/>
      <c r="C233" s="39"/>
      <c r="D233" s="40"/>
      <c r="E233" s="38"/>
    </row>
    <row r="234" spans="1:5" ht="21.75" customHeight="1" x14ac:dyDescent="0.6">
      <c r="A234" s="38"/>
      <c r="B234" s="39"/>
      <c r="C234" s="39"/>
      <c r="D234" s="40"/>
      <c r="E234" s="38"/>
    </row>
    <row r="235" spans="1:5" ht="21.75" customHeight="1" x14ac:dyDescent="0.6">
      <c r="A235" s="38"/>
      <c r="B235" s="39"/>
      <c r="C235" s="39"/>
      <c r="D235" s="40"/>
      <c r="E235" s="38"/>
    </row>
    <row r="236" spans="1:5" ht="21.75" customHeight="1" x14ac:dyDescent="0.6">
      <c r="A236" s="38"/>
      <c r="B236" s="39"/>
      <c r="C236" s="39"/>
      <c r="D236" s="40"/>
      <c r="E236" s="38"/>
    </row>
    <row r="237" spans="1:5" ht="21.75" customHeight="1" x14ac:dyDescent="0.6">
      <c r="A237" s="38"/>
      <c r="B237" s="39"/>
      <c r="C237" s="39"/>
      <c r="D237" s="40"/>
      <c r="E237" s="38"/>
    </row>
    <row r="238" spans="1:5" ht="21.75" customHeight="1" x14ac:dyDescent="0.6">
      <c r="A238" s="38"/>
      <c r="B238" s="39"/>
      <c r="C238" s="39"/>
      <c r="D238" s="40"/>
      <c r="E238" s="38"/>
    </row>
    <row r="239" spans="1:5" ht="21.75" customHeight="1" x14ac:dyDescent="0.6">
      <c r="A239" s="38"/>
      <c r="B239" s="39"/>
      <c r="C239" s="39"/>
      <c r="D239" s="40"/>
      <c r="E239" s="38"/>
    </row>
    <row r="240" spans="1:5" ht="21.75" customHeight="1" x14ac:dyDescent="0.6">
      <c r="A240" s="38"/>
      <c r="B240" s="39"/>
      <c r="C240" s="39"/>
      <c r="D240" s="40"/>
      <c r="E240" s="38"/>
    </row>
    <row r="241" spans="1:5" ht="21.75" customHeight="1" x14ac:dyDescent="0.6">
      <c r="A241" s="38"/>
      <c r="B241" s="39"/>
      <c r="C241" s="39"/>
      <c r="D241" s="40"/>
      <c r="E241" s="38"/>
    </row>
    <row r="242" spans="1:5" ht="21.75" customHeight="1" x14ac:dyDescent="0.6">
      <c r="A242" s="38"/>
      <c r="B242" s="39"/>
      <c r="C242" s="39"/>
      <c r="D242" s="40"/>
      <c r="E242" s="38"/>
    </row>
    <row r="243" spans="1:5" ht="21.75" customHeight="1" x14ac:dyDescent="0.6">
      <c r="A243" s="38"/>
      <c r="B243" s="39"/>
      <c r="C243" s="39"/>
      <c r="D243" s="40"/>
      <c r="E243" s="38"/>
    </row>
    <row r="244" spans="1:5" ht="21.75" customHeight="1" x14ac:dyDescent="0.6">
      <c r="A244" s="38"/>
      <c r="B244" s="39"/>
      <c r="C244" s="39"/>
      <c r="D244" s="40"/>
      <c r="E244" s="38"/>
    </row>
    <row r="245" spans="1:5" ht="21.75" customHeight="1" x14ac:dyDescent="0.6">
      <c r="A245" s="38"/>
      <c r="B245" s="39"/>
      <c r="C245" s="39"/>
      <c r="D245" s="40"/>
      <c r="E245" s="38"/>
    </row>
    <row r="246" spans="1:5" ht="21.75" customHeight="1" x14ac:dyDescent="0.6">
      <c r="A246" s="38"/>
      <c r="B246" s="39"/>
      <c r="C246" s="39"/>
      <c r="D246" s="40"/>
      <c r="E246" s="38"/>
    </row>
    <row r="247" spans="1:5" ht="21.75" customHeight="1" x14ac:dyDescent="0.6">
      <c r="A247" s="38"/>
      <c r="B247" s="39"/>
      <c r="C247" s="39"/>
      <c r="D247" s="40"/>
      <c r="E247" s="38"/>
    </row>
    <row r="248" spans="1:5" ht="21.75" customHeight="1" x14ac:dyDescent="0.6">
      <c r="A248" s="38"/>
      <c r="B248" s="39"/>
      <c r="C248" s="39"/>
      <c r="D248" s="40"/>
      <c r="E248" s="38"/>
    </row>
    <row r="249" spans="1:5" ht="21.75" customHeight="1" x14ac:dyDescent="0.6">
      <c r="A249" s="38"/>
      <c r="B249" s="39"/>
      <c r="C249" s="39"/>
      <c r="D249" s="40"/>
      <c r="E249" s="38"/>
    </row>
    <row r="250" spans="1:5" ht="21.75" customHeight="1" x14ac:dyDescent="0.6">
      <c r="A250" s="38"/>
      <c r="B250" s="39"/>
      <c r="C250" s="39"/>
      <c r="D250" s="40"/>
      <c r="E250" s="38"/>
    </row>
    <row r="251" spans="1:5" ht="21.75" customHeight="1" x14ac:dyDescent="0.6">
      <c r="A251" s="38"/>
      <c r="B251" s="39"/>
      <c r="C251" s="39"/>
      <c r="D251" s="40"/>
      <c r="E251" s="38"/>
    </row>
    <row r="252" spans="1:5" ht="21.75" customHeight="1" x14ac:dyDescent="0.6">
      <c r="A252" s="38"/>
      <c r="B252" s="39"/>
      <c r="C252" s="39"/>
      <c r="D252" s="40"/>
      <c r="E252" s="38"/>
    </row>
    <row r="253" spans="1:5" ht="21.75" customHeight="1" x14ac:dyDescent="0.6">
      <c r="A253" s="38"/>
      <c r="B253" s="39"/>
      <c r="C253" s="39"/>
      <c r="D253" s="40"/>
      <c r="E253" s="38"/>
    </row>
    <row r="254" spans="1:5" ht="21.75" customHeight="1" x14ac:dyDescent="0.6">
      <c r="A254" s="38"/>
      <c r="B254" s="39"/>
      <c r="C254" s="39"/>
      <c r="D254" s="40"/>
      <c r="E254" s="38"/>
    </row>
    <row r="255" spans="1:5" ht="21.75" customHeight="1" x14ac:dyDescent="0.6">
      <c r="A255" s="38"/>
      <c r="B255" s="39"/>
      <c r="C255" s="39"/>
      <c r="D255" s="40"/>
      <c r="E255" s="38"/>
    </row>
    <row r="256" spans="1:5" ht="21.75" customHeight="1" x14ac:dyDescent="0.6">
      <c r="A256" s="38"/>
      <c r="B256" s="39"/>
      <c r="C256" s="39"/>
      <c r="D256" s="40"/>
      <c r="E256" s="38"/>
    </row>
    <row r="257" spans="1:5" ht="21.75" customHeight="1" x14ac:dyDescent="0.6">
      <c r="A257" s="38"/>
      <c r="B257" s="39"/>
      <c r="C257" s="39"/>
      <c r="D257" s="40"/>
      <c r="E257" s="38"/>
    </row>
    <row r="258" spans="1:5" ht="21.75" customHeight="1" x14ac:dyDescent="0.6">
      <c r="A258" s="38"/>
      <c r="B258" s="39"/>
      <c r="C258" s="39"/>
      <c r="D258" s="40"/>
      <c r="E258" s="38"/>
    </row>
    <row r="259" spans="1:5" ht="21.75" customHeight="1" x14ac:dyDescent="0.6">
      <c r="A259" s="38"/>
      <c r="B259" s="39"/>
      <c r="C259" s="39"/>
      <c r="D259" s="40"/>
      <c r="E259" s="38"/>
    </row>
    <row r="260" spans="1:5" ht="21.75" customHeight="1" x14ac:dyDescent="0.6">
      <c r="A260" s="38"/>
      <c r="B260" s="39"/>
      <c r="C260" s="39"/>
      <c r="D260" s="40"/>
      <c r="E260" s="38"/>
    </row>
    <row r="261" spans="1:5" ht="21.75" customHeight="1" x14ac:dyDescent="0.6">
      <c r="A261" s="38"/>
      <c r="B261" s="39"/>
      <c r="C261" s="39"/>
      <c r="D261" s="40"/>
      <c r="E261" s="38"/>
    </row>
    <row r="262" spans="1:5" ht="21.75" customHeight="1" x14ac:dyDescent="0.6">
      <c r="A262" s="38"/>
      <c r="B262" s="39"/>
      <c r="C262" s="39"/>
      <c r="D262" s="40"/>
      <c r="E262" s="38"/>
    </row>
    <row r="263" spans="1:5" ht="21.75" customHeight="1" x14ac:dyDescent="0.6">
      <c r="A263" s="38"/>
      <c r="B263" s="39"/>
      <c r="C263" s="39"/>
      <c r="D263" s="40"/>
      <c r="E263" s="38"/>
    </row>
    <row r="264" spans="1:5" ht="21.75" customHeight="1" x14ac:dyDescent="0.6">
      <c r="A264" s="38"/>
      <c r="B264" s="39"/>
      <c r="C264" s="39"/>
      <c r="D264" s="40"/>
      <c r="E264" s="38"/>
    </row>
    <row r="265" spans="1:5" ht="21.75" customHeight="1" x14ac:dyDescent="0.6">
      <c r="A265" s="38"/>
      <c r="B265" s="39"/>
      <c r="C265" s="39"/>
      <c r="D265" s="40"/>
      <c r="E265" s="38"/>
    </row>
    <row r="266" spans="1:5" ht="21.75" customHeight="1" x14ac:dyDescent="0.6">
      <c r="A266" s="38"/>
      <c r="B266" s="39"/>
      <c r="C266" s="39"/>
      <c r="D266" s="40"/>
      <c r="E266" s="38"/>
    </row>
    <row r="267" spans="1:5" ht="21.75" customHeight="1" x14ac:dyDescent="0.6">
      <c r="A267" s="38"/>
      <c r="B267" s="39"/>
      <c r="C267" s="39"/>
      <c r="D267" s="40"/>
      <c r="E267" s="38"/>
    </row>
    <row r="268" spans="1:5" ht="21.75" customHeight="1" x14ac:dyDescent="0.6">
      <c r="A268" s="38"/>
      <c r="B268" s="39"/>
      <c r="C268" s="39"/>
      <c r="D268" s="40"/>
      <c r="E268" s="38"/>
    </row>
    <row r="269" spans="1:5" ht="21.75" customHeight="1" x14ac:dyDescent="0.6">
      <c r="A269" s="38"/>
      <c r="B269" s="39"/>
      <c r="C269" s="39"/>
      <c r="D269" s="40"/>
      <c r="E269" s="38"/>
    </row>
    <row r="270" spans="1:5" ht="21.75" customHeight="1" x14ac:dyDescent="0.6">
      <c r="A270" s="38"/>
      <c r="B270" s="39"/>
      <c r="C270" s="39"/>
      <c r="D270" s="40"/>
      <c r="E270" s="38"/>
    </row>
    <row r="271" spans="1:5" ht="21.75" customHeight="1" x14ac:dyDescent="0.6">
      <c r="A271" s="38"/>
      <c r="B271" s="39"/>
      <c r="C271" s="39"/>
      <c r="D271" s="40"/>
      <c r="E271" s="38"/>
    </row>
    <row r="272" spans="1:5" ht="21.75" customHeight="1" x14ac:dyDescent="0.6">
      <c r="A272" s="38"/>
      <c r="B272" s="39"/>
      <c r="C272" s="39"/>
      <c r="D272" s="40"/>
      <c r="E272" s="38"/>
    </row>
    <row r="273" spans="1:5" ht="21.75" customHeight="1" x14ac:dyDescent="0.6">
      <c r="A273" s="38"/>
      <c r="B273" s="39"/>
      <c r="C273" s="39"/>
      <c r="D273" s="40"/>
      <c r="E273" s="38"/>
    </row>
    <row r="274" spans="1:5" ht="21.75" customHeight="1" x14ac:dyDescent="0.6">
      <c r="A274" s="38"/>
      <c r="B274" s="39"/>
      <c r="C274" s="39"/>
      <c r="D274" s="40"/>
      <c r="E274" s="38"/>
    </row>
    <row r="275" spans="1:5" ht="21.75" customHeight="1" x14ac:dyDescent="0.6">
      <c r="A275" s="38"/>
      <c r="B275" s="39"/>
      <c r="C275" s="39"/>
      <c r="D275" s="40"/>
      <c r="E275" s="38"/>
    </row>
    <row r="276" spans="1:5" ht="21.75" customHeight="1" x14ac:dyDescent="0.6">
      <c r="A276" s="38"/>
      <c r="B276" s="39"/>
      <c r="C276" s="39"/>
      <c r="D276" s="40"/>
      <c r="E276" s="38"/>
    </row>
    <row r="277" spans="1:5" ht="21.75" customHeight="1" x14ac:dyDescent="0.6">
      <c r="A277" s="38"/>
      <c r="B277" s="39"/>
      <c r="C277" s="39"/>
      <c r="D277" s="40"/>
      <c r="E277" s="38"/>
    </row>
    <row r="278" spans="1:5" ht="21.75" customHeight="1" x14ac:dyDescent="0.6">
      <c r="A278" s="38"/>
      <c r="B278" s="39"/>
      <c r="C278" s="39"/>
      <c r="D278" s="40"/>
      <c r="E278" s="38"/>
    </row>
    <row r="279" spans="1:5" ht="21.75" customHeight="1" x14ac:dyDescent="0.6">
      <c r="A279" s="38"/>
      <c r="B279" s="39"/>
      <c r="C279" s="39"/>
      <c r="D279" s="40"/>
      <c r="E279" s="38"/>
    </row>
    <row r="280" spans="1:5" ht="21.75" customHeight="1" x14ac:dyDescent="0.6">
      <c r="A280" s="38"/>
      <c r="B280" s="39"/>
      <c r="C280" s="39"/>
      <c r="D280" s="40"/>
      <c r="E280" s="38"/>
    </row>
    <row r="281" spans="1:5" ht="21.75" customHeight="1" x14ac:dyDescent="0.6">
      <c r="A281" s="38"/>
      <c r="B281" s="39"/>
      <c r="C281" s="39"/>
      <c r="D281" s="40"/>
      <c r="E281" s="38"/>
    </row>
    <row r="282" spans="1:5" ht="21.75" customHeight="1" x14ac:dyDescent="0.6">
      <c r="A282" s="38"/>
      <c r="B282" s="39"/>
      <c r="C282" s="39"/>
      <c r="D282" s="40"/>
      <c r="E282" s="38"/>
    </row>
    <row r="283" spans="1:5" ht="21.75" customHeight="1" x14ac:dyDescent="0.6">
      <c r="A283" s="38"/>
      <c r="B283" s="39"/>
      <c r="C283" s="39"/>
      <c r="D283" s="40"/>
      <c r="E283" s="38"/>
    </row>
    <row r="284" spans="1:5" ht="21.75" customHeight="1" x14ac:dyDescent="0.6">
      <c r="A284" s="38"/>
      <c r="B284" s="39"/>
      <c r="C284" s="39"/>
      <c r="D284" s="40"/>
      <c r="E284" s="38"/>
    </row>
    <row r="285" spans="1:5" ht="21.75" customHeight="1" x14ac:dyDescent="0.6">
      <c r="A285" s="38"/>
      <c r="B285" s="39"/>
      <c r="C285" s="39"/>
      <c r="D285" s="40"/>
      <c r="E285" s="38"/>
    </row>
    <row r="286" spans="1:5" ht="21.75" customHeight="1" x14ac:dyDescent="0.6">
      <c r="A286" s="38"/>
      <c r="B286" s="39"/>
      <c r="C286" s="39"/>
      <c r="D286" s="40"/>
      <c r="E286" s="38"/>
    </row>
    <row r="287" spans="1:5" ht="21.75" customHeight="1" x14ac:dyDescent="0.6">
      <c r="A287" s="38"/>
      <c r="B287" s="39"/>
      <c r="C287" s="39"/>
      <c r="D287" s="40"/>
      <c r="E287" s="38"/>
    </row>
    <row r="288" spans="1:5" ht="21.75" customHeight="1" x14ac:dyDescent="0.6">
      <c r="A288" s="38"/>
      <c r="B288" s="39"/>
      <c r="C288" s="39"/>
      <c r="D288" s="40"/>
      <c r="E288" s="38"/>
    </row>
    <row r="289" spans="1:5" ht="21.75" customHeight="1" x14ac:dyDescent="0.6">
      <c r="A289" s="38"/>
      <c r="B289" s="39"/>
      <c r="C289" s="39"/>
      <c r="D289" s="40"/>
      <c r="E289" s="38"/>
    </row>
    <row r="290" spans="1:5" ht="21.75" customHeight="1" x14ac:dyDescent="0.6">
      <c r="A290" s="38"/>
      <c r="B290" s="39"/>
      <c r="C290" s="39"/>
      <c r="D290" s="40"/>
      <c r="E290" s="38"/>
    </row>
    <row r="291" spans="1:5" ht="21.75" customHeight="1" x14ac:dyDescent="0.6">
      <c r="A291" s="38"/>
      <c r="B291" s="39"/>
      <c r="C291" s="39"/>
      <c r="D291" s="40"/>
      <c r="E291" s="38"/>
    </row>
    <row r="292" spans="1:5" ht="21.75" customHeight="1" x14ac:dyDescent="0.6">
      <c r="A292" s="38"/>
      <c r="B292" s="39"/>
      <c r="C292" s="39"/>
      <c r="D292" s="40"/>
      <c r="E292" s="38"/>
    </row>
    <row r="293" spans="1:5" ht="21.75" customHeight="1" x14ac:dyDescent="0.6">
      <c r="A293" s="38"/>
      <c r="B293" s="39"/>
      <c r="C293" s="39"/>
      <c r="D293" s="40"/>
      <c r="E293" s="38"/>
    </row>
    <row r="294" spans="1:5" ht="21.75" customHeight="1" x14ac:dyDescent="0.6">
      <c r="A294" s="38"/>
      <c r="B294" s="39"/>
      <c r="C294" s="39"/>
      <c r="D294" s="40"/>
      <c r="E294" s="38"/>
    </row>
    <row r="295" spans="1:5" ht="21.75" customHeight="1" x14ac:dyDescent="0.6">
      <c r="A295" s="38"/>
      <c r="B295" s="39"/>
      <c r="C295" s="39"/>
      <c r="D295" s="40"/>
      <c r="E295" s="38"/>
    </row>
    <row r="296" spans="1:5" ht="21.75" customHeight="1" x14ac:dyDescent="0.6">
      <c r="A296" s="38"/>
      <c r="B296" s="39"/>
      <c r="C296" s="39"/>
      <c r="D296" s="40"/>
      <c r="E296" s="38"/>
    </row>
    <row r="297" spans="1:5" ht="21.75" customHeight="1" x14ac:dyDescent="0.6">
      <c r="A297" s="38"/>
      <c r="B297" s="39"/>
      <c r="C297" s="39"/>
      <c r="D297" s="40"/>
      <c r="E297" s="38"/>
    </row>
    <row r="298" spans="1:5" ht="21.75" customHeight="1" x14ac:dyDescent="0.6">
      <c r="A298" s="38"/>
      <c r="B298" s="39"/>
      <c r="C298" s="39"/>
      <c r="D298" s="40"/>
      <c r="E298" s="38"/>
    </row>
    <row r="299" spans="1:5" ht="21.75" customHeight="1" x14ac:dyDescent="0.6">
      <c r="A299" s="38"/>
      <c r="B299" s="39"/>
      <c r="C299" s="39"/>
      <c r="D299" s="40"/>
      <c r="E299" s="38"/>
    </row>
    <row r="300" spans="1:5" ht="21.75" customHeight="1" x14ac:dyDescent="0.6">
      <c r="A300" s="38"/>
      <c r="B300" s="39"/>
      <c r="C300" s="39"/>
      <c r="D300" s="40"/>
      <c r="E300" s="38"/>
    </row>
    <row r="301" spans="1:5" ht="21.75" customHeight="1" x14ac:dyDescent="0.6">
      <c r="A301" s="38"/>
      <c r="B301" s="39"/>
      <c r="C301" s="39"/>
      <c r="D301" s="40"/>
      <c r="E301" s="38"/>
    </row>
    <row r="302" spans="1:5" ht="21.75" customHeight="1" x14ac:dyDescent="0.6">
      <c r="A302" s="38"/>
      <c r="B302" s="39"/>
      <c r="C302" s="39"/>
      <c r="D302" s="40"/>
      <c r="E302" s="38"/>
    </row>
    <row r="303" spans="1:5" ht="21.75" customHeight="1" x14ac:dyDescent="0.6">
      <c r="A303" s="38"/>
      <c r="B303" s="39"/>
      <c r="C303" s="39"/>
      <c r="D303" s="40"/>
      <c r="E303" s="38"/>
    </row>
    <row r="304" spans="1:5" ht="21.75" customHeight="1" x14ac:dyDescent="0.6">
      <c r="A304" s="38"/>
      <c r="B304" s="39"/>
      <c r="C304" s="39"/>
      <c r="D304" s="40"/>
      <c r="E304" s="38"/>
    </row>
    <row r="305" spans="1:5" ht="21.75" customHeight="1" x14ac:dyDescent="0.6">
      <c r="A305" s="38"/>
      <c r="B305" s="39"/>
      <c r="C305" s="39"/>
      <c r="D305" s="40"/>
      <c r="E305" s="38"/>
    </row>
    <row r="306" spans="1:5" ht="21.75" customHeight="1" x14ac:dyDescent="0.6">
      <c r="A306" s="38"/>
      <c r="B306" s="39"/>
      <c r="C306" s="39"/>
      <c r="D306" s="40"/>
      <c r="E306" s="38"/>
    </row>
    <row r="307" spans="1:5" ht="21.75" customHeight="1" x14ac:dyDescent="0.6">
      <c r="A307" s="38"/>
      <c r="B307" s="39"/>
      <c r="C307" s="39"/>
      <c r="D307" s="40"/>
      <c r="E307" s="38"/>
    </row>
    <row r="308" spans="1:5" ht="21.75" customHeight="1" x14ac:dyDescent="0.6">
      <c r="A308" s="38"/>
      <c r="B308" s="39"/>
      <c r="C308" s="39"/>
      <c r="D308" s="40"/>
      <c r="E308" s="38"/>
    </row>
    <row r="309" spans="1:5" ht="21.75" customHeight="1" x14ac:dyDescent="0.6">
      <c r="A309" s="38"/>
      <c r="B309" s="39"/>
      <c r="C309" s="39"/>
      <c r="D309" s="40"/>
      <c r="E309" s="38"/>
    </row>
    <row r="310" spans="1:5" ht="21.75" customHeight="1" x14ac:dyDescent="0.6">
      <c r="A310" s="38"/>
      <c r="B310" s="39"/>
      <c r="C310" s="39"/>
      <c r="D310" s="40"/>
      <c r="E310" s="38"/>
    </row>
    <row r="311" spans="1:5" ht="21.75" customHeight="1" x14ac:dyDescent="0.6">
      <c r="A311" s="38"/>
      <c r="B311" s="39"/>
      <c r="C311" s="39"/>
      <c r="D311" s="40"/>
      <c r="E311" s="38"/>
    </row>
    <row r="312" spans="1:5" ht="21.75" customHeight="1" x14ac:dyDescent="0.6">
      <c r="A312" s="38"/>
      <c r="B312" s="39"/>
      <c r="C312" s="39"/>
      <c r="D312" s="40"/>
      <c r="E312" s="38"/>
    </row>
    <row r="313" spans="1:5" ht="21.75" customHeight="1" x14ac:dyDescent="0.6">
      <c r="A313" s="38"/>
      <c r="B313" s="39"/>
      <c r="C313" s="39"/>
      <c r="D313" s="40"/>
      <c r="E313" s="38"/>
    </row>
    <row r="314" spans="1:5" ht="21.75" customHeight="1" x14ac:dyDescent="0.6">
      <c r="A314" s="38"/>
      <c r="B314" s="39"/>
      <c r="C314" s="39"/>
      <c r="D314" s="40"/>
      <c r="E314" s="38"/>
    </row>
    <row r="315" spans="1:5" ht="21.75" customHeight="1" x14ac:dyDescent="0.6">
      <c r="A315" s="38"/>
      <c r="B315" s="39"/>
      <c r="C315" s="39"/>
      <c r="D315" s="40"/>
      <c r="E315" s="38"/>
    </row>
    <row r="316" spans="1:5" ht="21.75" customHeight="1" x14ac:dyDescent="0.6">
      <c r="A316" s="38"/>
      <c r="B316" s="39"/>
      <c r="C316" s="39"/>
      <c r="D316" s="40"/>
      <c r="E316" s="38"/>
    </row>
    <row r="317" spans="1:5" ht="21.75" customHeight="1" x14ac:dyDescent="0.6">
      <c r="A317" s="38"/>
      <c r="B317" s="39"/>
      <c r="C317" s="39"/>
      <c r="D317" s="40"/>
      <c r="E317" s="38"/>
    </row>
    <row r="318" spans="1:5" ht="21.75" customHeight="1" x14ac:dyDescent="0.6">
      <c r="A318" s="38"/>
      <c r="B318" s="39"/>
      <c r="C318" s="39"/>
      <c r="D318" s="40"/>
      <c r="E318" s="38"/>
    </row>
    <row r="319" spans="1:5" ht="21.75" customHeight="1" x14ac:dyDescent="0.6">
      <c r="A319" s="38"/>
      <c r="B319" s="39"/>
      <c r="C319" s="39"/>
      <c r="D319" s="40"/>
      <c r="E319" s="38"/>
    </row>
    <row r="320" spans="1:5" ht="21.75" customHeight="1" x14ac:dyDescent="0.6">
      <c r="A320" s="38"/>
      <c r="B320" s="39"/>
      <c r="C320" s="39"/>
      <c r="D320" s="40"/>
      <c r="E320" s="38"/>
    </row>
    <row r="321" spans="1:5" ht="21.75" customHeight="1" x14ac:dyDescent="0.6">
      <c r="A321" s="38"/>
      <c r="B321" s="39"/>
      <c r="C321" s="39"/>
      <c r="D321" s="40"/>
      <c r="E321" s="38"/>
    </row>
    <row r="322" spans="1:5" ht="21.75" customHeight="1" x14ac:dyDescent="0.6">
      <c r="A322" s="38"/>
      <c r="B322" s="39"/>
      <c r="C322" s="39"/>
      <c r="D322" s="40"/>
      <c r="E322" s="38"/>
    </row>
    <row r="323" spans="1:5" ht="21.75" customHeight="1" x14ac:dyDescent="0.6">
      <c r="A323" s="38"/>
      <c r="B323" s="39"/>
      <c r="C323" s="39"/>
      <c r="D323" s="40"/>
      <c r="E323" s="38"/>
    </row>
    <row r="324" spans="1:5" ht="21.75" customHeight="1" x14ac:dyDescent="0.6">
      <c r="A324" s="38"/>
      <c r="B324" s="39"/>
      <c r="C324" s="39"/>
      <c r="D324" s="40"/>
      <c r="E324" s="38"/>
    </row>
    <row r="325" spans="1:5" ht="21.75" customHeight="1" x14ac:dyDescent="0.6">
      <c r="A325" s="38"/>
      <c r="B325" s="39"/>
      <c r="C325" s="39"/>
      <c r="D325" s="40"/>
      <c r="E325" s="38"/>
    </row>
    <row r="326" spans="1:5" ht="21.75" customHeight="1" x14ac:dyDescent="0.6">
      <c r="A326" s="38"/>
      <c r="B326" s="39"/>
      <c r="C326" s="39"/>
      <c r="D326" s="40"/>
      <c r="E326" s="38"/>
    </row>
    <row r="327" spans="1:5" ht="21.75" customHeight="1" x14ac:dyDescent="0.6">
      <c r="A327" s="38"/>
      <c r="B327" s="39"/>
      <c r="C327" s="39"/>
      <c r="D327" s="40"/>
      <c r="E327" s="38"/>
    </row>
    <row r="328" spans="1:5" ht="21.75" customHeight="1" x14ac:dyDescent="0.6">
      <c r="A328" s="38"/>
      <c r="B328" s="39"/>
      <c r="C328" s="39"/>
      <c r="D328" s="40"/>
      <c r="E328" s="38"/>
    </row>
    <row r="329" spans="1:5" ht="21.75" customHeight="1" x14ac:dyDescent="0.6">
      <c r="A329" s="38"/>
      <c r="B329" s="39"/>
      <c r="C329" s="39"/>
      <c r="D329" s="40"/>
      <c r="E329" s="38"/>
    </row>
    <row r="330" spans="1:5" ht="21.75" customHeight="1" x14ac:dyDescent="0.6">
      <c r="A330" s="38"/>
      <c r="B330" s="39"/>
      <c r="C330" s="39"/>
      <c r="D330" s="40"/>
      <c r="E330" s="38"/>
    </row>
    <row r="331" spans="1:5" ht="21.75" customHeight="1" x14ac:dyDescent="0.6">
      <c r="A331" s="38"/>
      <c r="B331" s="39"/>
      <c r="C331" s="39"/>
      <c r="D331" s="40"/>
      <c r="E331" s="38"/>
    </row>
    <row r="332" spans="1:5" ht="21.75" customHeight="1" x14ac:dyDescent="0.6">
      <c r="A332" s="38"/>
      <c r="B332" s="39"/>
      <c r="C332" s="39"/>
      <c r="D332" s="40"/>
      <c r="E332" s="38"/>
    </row>
    <row r="333" spans="1:5" ht="21.75" customHeight="1" x14ac:dyDescent="0.6">
      <c r="A333" s="38"/>
      <c r="B333" s="39"/>
      <c r="C333" s="39"/>
      <c r="D333" s="40"/>
      <c r="E333" s="38"/>
    </row>
    <row r="334" spans="1:5" ht="21.75" customHeight="1" x14ac:dyDescent="0.6">
      <c r="A334" s="38"/>
      <c r="B334" s="39"/>
      <c r="C334" s="39"/>
      <c r="D334" s="40"/>
      <c r="E334" s="38"/>
    </row>
    <row r="335" spans="1:5" ht="21.75" customHeight="1" x14ac:dyDescent="0.6">
      <c r="A335" s="38"/>
      <c r="B335" s="39"/>
      <c r="C335" s="39"/>
      <c r="D335" s="40"/>
      <c r="E335" s="38"/>
    </row>
    <row r="336" spans="1:5" ht="21.75" customHeight="1" x14ac:dyDescent="0.6">
      <c r="A336" s="38"/>
      <c r="B336" s="39"/>
      <c r="C336" s="39"/>
      <c r="D336" s="40"/>
      <c r="E336" s="38"/>
    </row>
    <row r="337" spans="1:5" ht="21.75" customHeight="1" x14ac:dyDescent="0.6">
      <c r="A337" s="38"/>
      <c r="B337" s="39"/>
      <c r="C337" s="39"/>
      <c r="D337" s="40"/>
      <c r="E337" s="38"/>
    </row>
    <row r="338" spans="1:5" ht="21.75" customHeight="1" x14ac:dyDescent="0.6">
      <c r="A338" s="38"/>
      <c r="B338" s="39"/>
      <c r="C338" s="39"/>
      <c r="D338" s="40"/>
      <c r="E338" s="38"/>
    </row>
    <row r="339" spans="1:5" ht="21.75" customHeight="1" x14ac:dyDescent="0.6">
      <c r="A339" s="38"/>
      <c r="B339" s="39"/>
      <c r="C339" s="39"/>
      <c r="D339" s="40"/>
      <c r="E339" s="38"/>
    </row>
    <row r="340" spans="1:5" ht="21.75" customHeight="1" x14ac:dyDescent="0.6">
      <c r="A340" s="38"/>
      <c r="B340" s="39"/>
      <c r="C340" s="39"/>
      <c r="D340" s="40"/>
      <c r="E340" s="38"/>
    </row>
    <row r="341" spans="1:5" ht="21.75" customHeight="1" x14ac:dyDescent="0.6">
      <c r="A341" s="38"/>
      <c r="B341" s="39"/>
      <c r="C341" s="39"/>
      <c r="D341" s="40"/>
      <c r="E341" s="38"/>
    </row>
    <row r="342" spans="1:5" ht="21.75" customHeight="1" x14ac:dyDescent="0.6">
      <c r="A342" s="38"/>
      <c r="B342" s="39"/>
      <c r="C342" s="39"/>
      <c r="D342" s="40"/>
      <c r="E342" s="38"/>
    </row>
    <row r="343" spans="1:5" ht="21.75" customHeight="1" x14ac:dyDescent="0.6">
      <c r="A343" s="38"/>
      <c r="B343" s="39"/>
      <c r="C343" s="39"/>
      <c r="D343" s="40"/>
      <c r="E343" s="38"/>
    </row>
    <row r="344" spans="1:5" ht="21.75" customHeight="1" x14ac:dyDescent="0.6">
      <c r="A344" s="38"/>
      <c r="B344" s="39"/>
      <c r="C344" s="39"/>
      <c r="D344" s="40"/>
      <c r="E344" s="38"/>
    </row>
    <row r="345" spans="1:5" ht="21.75" customHeight="1" x14ac:dyDescent="0.6">
      <c r="A345" s="38"/>
      <c r="B345" s="39"/>
      <c r="C345" s="39"/>
      <c r="D345" s="40"/>
      <c r="E345" s="38"/>
    </row>
    <row r="346" spans="1:5" ht="21.75" customHeight="1" x14ac:dyDescent="0.6">
      <c r="A346" s="38"/>
      <c r="B346" s="39"/>
      <c r="C346" s="39"/>
      <c r="D346" s="40"/>
      <c r="E346" s="38"/>
    </row>
    <row r="347" spans="1:5" ht="21.75" customHeight="1" x14ac:dyDescent="0.6">
      <c r="A347" s="38"/>
      <c r="B347" s="39"/>
      <c r="C347" s="39"/>
      <c r="D347" s="40"/>
      <c r="E347" s="38"/>
    </row>
    <row r="348" spans="1:5" ht="21.75" customHeight="1" x14ac:dyDescent="0.6">
      <c r="A348" s="38"/>
      <c r="B348" s="39"/>
      <c r="C348" s="39"/>
      <c r="D348" s="40"/>
      <c r="E348" s="38"/>
    </row>
    <row r="349" spans="1:5" ht="21.75" customHeight="1" x14ac:dyDescent="0.6">
      <c r="A349" s="38"/>
      <c r="B349" s="39"/>
      <c r="C349" s="39"/>
      <c r="D349" s="40"/>
      <c r="E349" s="38"/>
    </row>
    <row r="350" spans="1:5" ht="21.75" customHeight="1" x14ac:dyDescent="0.6">
      <c r="A350" s="38"/>
      <c r="B350" s="39"/>
      <c r="C350" s="39"/>
      <c r="D350" s="40"/>
      <c r="E350" s="38"/>
    </row>
    <row r="351" spans="1:5" ht="21.75" customHeight="1" x14ac:dyDescent="0.6">
      <c r="A351" s="38"/>
      <c r="B351" s="39"/>
      <c r="C351" s="39"/>
      <c r="D351" s="40"/>
      <c r="E351" s="38"/>
    </row>
    <row r="352" spans="1:5" ht="21.75" customHeight="1" x14ac:dyDescent="0.6">
      <c r="A352" s="38"/>
      <c r="B352" s="39"/>
      <c r="C352" s="39"/>
      <c r="D352" s="40"/>
      <c r="E352" s="38"/>
    </row>
    <row r="353" spans="1:5" ht="21.75" customHeight="1" x14ac:dyDescent="0.6">
      <c r="A353" s="38"/>
      <c r="B353" s="39"/>
      <c r="C353" s="39"/>
      <c r="D353" s="40"/>
      <c r="E353" s="38"/>
    </row>
    <row r="354" spans="1:5" ht="21.75" customHeight="1" x14ac:dyDescent="0.6">
      <c r="A354" s="38"/>
      <c r="B354" s="39"/>
      <c r="C354" s="39"/>
      <c r="D354" s="40"/>
      <c r="E354" s="38"/>
    </row>
    <row r="355" spans="1:5" ht="21.75" customHeight="1" x14ac:dyDescent="0.6">
      <c r="A355" s="38"/>
      <c r="B355" s="39"/>
      <c r="C355" s="39"/>
      <c r="D355" s="40"/>
      <c r="E355" s="38"/>
    </row>
    <row r="356" spans="1:5" ht="21.75" customHeight="1" x14ac:dyDescent="0.6">
      <c r="A356" s="38"/>
      <c r="B356" s="39"/>
      <c r="C356" s="39"/>
      <c r="D356" s="40"/>
      <c r="E356" s="38"/>
    </row>
    <row r="357" spans="1:5" ht="21.75" customHeight="1" x14ac:dyDescent="0.6">
      <c r="A357" s="38"/>
      <c r="B357" s="39"/>
      <c r="C357" s="39"/>
      <c r="D357" s="40"/>
      <c r="E357" s="38"/>
    </row>
    <row r="358" spans="1:5" ht="21.75" customHeight="1" x14ac:dyDescent="0.6">
      <c r="A358" s="38"/>
      <c r="B358" s="39"/>
      <c r="C358" s="39"/>
      <c r="D358" s="40"/>
      <c r="E358" s="38"/>
    </row>
    <row r="359" spans="1:5" ht="21.75" customHeight="1" x14ac:dyDescent="0.6">
      <c r="A359" s="38"/>
      <c r="B359" s="39"/>
      <c r="C359" s="39"/>
      <c r="D359" s="40"/>
      <c r="E359" s="38"/>
    </row>
    <row r="360" spans="1:5" ht="21.75" customHeight="1" x14ac:dyDescent="0.6">
      <c r="A360" s="38"/>
      <c r="B360" s="39"/>
      <c r="C360" s="39"/>
      <c r="D360" s="40"/>
      <c r="E360" s="38"/>
    </row>
    <row r="361" spans="1:5" ht="21.75" customHeight="1" x14ac:dyDescent="0.6">
      <c r="A361" s="38"/>
      <c r="B361" s="39"/>
      <c r="C361" s="39"/>
      <c r="D361" s="40"/>
      <c r="E361" s="38"/>
    </row>
    <row r="362" spans="1:5" ht="21.75" customHeight="1" x14ac:dyDescent="0.6">
      <c r="A362" s="38"/>
      <c r="B362" s="39"/>
      <c r="C362" s="39"/>
      <c r="D362" s="40"/>
      <c r="E362" s="38"/>
    </row>
    <row r="363" spans="1:5" ht="21.75" customHeight="1" x14ac:dyDescent="0.6">
      <c r="A363" s="38"/>
      <c r="B363" s="39"/>
      <c r="C363" s="39"/>
      <c r="D363" s="40"/>
      <c r="E363" s="38"/>
    </row>
    <row r="364" spans="1:5" ht="21.75" customHeight="1" x14ac:dyDescent="0.6">
      <c r="A364" s="38"/>
      <c r="B364" s="39"/>
      <c r="C364" s="39"/>
      <c r="D364" s="40"/>
      <c r="E364" s="38"/>
    </row>
    <row r="365" spans="1:5" ht="21.75" customHeight="1" x14ac:dyDescent="0.6">
      <c r="A365" s="38"/>
      <c r="B365" s="39"/>
      <c r="C365" s="39"/>
      <c r="D365" s="40"/>
      <c r="E365" s="38"/>
    </row>
    <row r="366" spans="1:5" ht="21.75" customHeight="1" x14ac:dyDescent="0.6">
      <c r="A366" s="38"/>
      <c r="B366" s="39"/>
      <c r="C366" s="39"/>
      <c r="D366" s="40"/>
      <c r="E366" s="38"/>
    </row>
    <row r="367" spans="1:5" ht="21.75" customHeight="1" x14ac:dyDescent="0.6">
      <c r="A367" s="38"/>
      <c r="B367" s="39"/>
      <c r="C367" s="39"/>
      <c r="D367" s="40"/>
      <c r="E367" s="38"/>
    </row>
    <row r="368" spans="1:5" ht="21.75" customHeight="1" x14ac:dyDescent="0.6">
      <c r="A368" s="38"/>
      <c r="B368" s="39"/>
      <c r="C368" s="39"/>
      <c r="D368" s="40"/>
      <c r="E368" s="38"/>
    </row>
    <row r="369" spans="1:5" ht="21.75" customHeight="1" x14ac:dyDescent="0.6">
      <c r="A369" s="38"/>
      <c r="B369" s="39"/>
      <c r="C369" s="39"/>
      <c r="D369" s="40"/>
      <c r="E369" s="38"/>
    </row>
    <row r="370" spans="1:5" ht="21.75" customHeight="1" x14ac:dyDescent="0.6">
      <c r="A370" s="38"/>
      <c r="B370" s="39"/>
      <c r="C370" s="39"/>
      <c r="D370" s="40"/>
      <c r="E370" s="38"/>
    </row>
    <row r="371" spans="1:5" ht="21.75" customHeight="1" x14ac:dyDescent="0.6">
      <c r="A371" s="38"/>
      <c r="B371" s="39"/>
      <c r="C371" s="39"/>
      <c r="D371" s="40"/>
      <c r="E371" s="38"/>
    </row>
    <row r="372" spans="1:5" ht="21.75" customHeight="1" x14ac:dyDescent="0.6">
      <c r="A372" s="38"/>
      <c r="B372" s="39"/>
      <c r="C372" s="39"/>
      <c r="D372" s="40"/>
      <c r="E372" s="38"/>
    </row>
    <row r="373" spans="1:5" ht="21.75" customHeight="1" x14ac:dyDescent="0.6">
      <c r="A373" s="38"/>
      <c r="B373" s="39"/>
      <c r="C373" s="39"/>
      <c r="D373" s="40"/>
      <c r="E373" s="38"/>
    </row>
    <row r="374" spans="1:5" ht="21.75" customHeight="1" x14ac:dyDescent="0.6">
      <c r="A374" s="38"/>
      <c r="B374" s="39"/>
      <c r="C374" s="39"/>
      <c r="D374" s="40"/>
      <c r="E374" s="38"/>
    </row>
    <row r="375" spans="1:5" ht="21.75" customHeight="1" x14ac:dyDescent="0.6">
      <c r="A375" s="38"/>
      <c r="B375" s="39"/>
      <c r="C375" s="39"/>
      <c r="D375" s="40"/>
      <c r="E375" s="38"/>
    </row>
    <row r="376" spans="1:5" ht="21.75" customHeight="1" x14ac:dyDescent="0.6">
      <c r="A376" s="38"/>
      <c r="B376" s="39"/>
      <c r="C376" s="39"/>
      <c r="D376" s="40"/>
      <c r="E376" s="38"/>
    </row>
    <row r="377" spans="1:5" ht="21.75" customHeight="1" x14ac:dyDescent="0.6">
      <c r="A377" s="38"/>
      <c r="B377" s="39"/>
      <c r="C377" s="39"/>
      <c r="D377" s="40"/>
      <c r="E377" s="38"/>
    </row>
    <row r="378" spans="1:5" ht="21.75" customHeight="1" x14ac:dyDescent="0.6">
      <c r="A378" s="38"/>
      <c r="B378" s="39"/>
      <c r="C378" s="39"/>
      <c r="D378" s="40"/>
      <c r="E378" s="38"/>
    </row>
    <row r="379" spans="1:5" ht="21.75" customHeight="1" x14ac:dyDescent="0.6">
      <c r="A379" s="38"/>
      <c r="B379" s="39"/>
      <c r="C379" s="39"/>
      <c r="D379" s="40"/>
      <c r="E379" s="38"/>
    </row>
    <row r="380" spans="1:5" ht="21.75" customHeight="1" x14ac:dyDescent="0.6">
      <c r="A380" s="38"/>
      <c r="B380" s="39"/>
      <c r="C380" s="39"/>
      <c r="D380" s="40"/>
      <c r="E380" s="38"/>
    </row>
    <row r="381" spans="1:5" ht="21.75" customHeight="1" x14ac:dyDescent="0.6">
      <c r="A381" s="38"/>
      <c r="B381" s="39"/>
      <c r="C381" s="39"/>
      <c r="D381" s="40"/>
      <c r="E381" s="38"/>
    </row>
    <row r="382" spans="1:5" ht="21.75" customHeight="1" x14ac:dyDescent="0.6">
      <c r="A382" s="38"/>
      <c r="B382" s="39"/>
      <c r="C382" s="39"/>
      <c r="D382" s="40"/>
      <c r="E382" s="38"/>
    </row>
    <row r="383" spans="1:5" ht="21.75" customHeight="1" x14ac:dyDescent="0.6">
      <c r="A383" s="38"/>
      <c r="B383" s="39"/>
      <c r="C383" s="39"/>
      <c r="D383" s="40"/>
      <c r="E383" s="38"/>
    </row>
    <row r="384" spans="1:5" ht="21.75" customHeight="1" x14ac:dyDescent="0.6">
      <c r="A384" s="38"/>
      <c r="B384" s="39"/>
      <c r="C384" s="39"/>
      <c r="D384" s="40"/>
      <c r="E384" s="38"/>
    </row>
    <row r="385" spans="1:5" ht="21.75" customHeight="1" x14ac:dyDescent="0.6">
      <c r="A385" s="38"/>
      <c r="B385" s="39"/>
      <c r="C385" s="39"/>
      <c r="D385" s="40"/>
      <c r="E385" s="38"/>
    </row>
    <row r="386" spans="1:5" ht="21.75" customHeight="1" x14ac:dyDescent="0.6">
      <c r="A386" s="38"/>
      <c r="B386" s="39"/>
      <c r="C386" s="39"/>
      <c r="D386" s="40"/>
      <c r="E386" s="38"/>
    </row>
    <row r="387" spans="1:5" ht="21.75" customHeight="1" x14ac:dyDescent="0.6">
      <c r="A387" s="38"/>
      <c r="B387" s="39"/>
      <c r="C387" s="39"/>
      <c r="D387" s="40"/>
      <c r="E387" s="38"/>
    </row>
    <row r="388" spans="1:5" ht="21.75" customHeight="1" x14ac:dyDescent="0.6">
      <c r="A388" s="38"/>
      <c r="B388" s="39"/>
      <c r="C388" s="39"/>
      <c r="D388" s="40"/>
      <c r="E388" s="38"/>
    </row>
    <row r="389" spans="1:5" ht="21.75" customHeight="1" x14ac:dyDescent="0.6">
      <c r="A389" s="38"/>
      <c r="B389" s="39"/>
      <c r="C389" s="39"/>
      <c r="D389" s="40"/>
      <c r="E389" s="38"/>
    </row>
    <row r="390" spans="1:5" ht="21.75" customHeight="1" x14ac:dyDescent="0.6">
      <c r="A390" s="38"/>
      <c r="B390" s="39"/>
      <c r="C390" s="39"/>
      <c r="D390" s="40"/>
      <c r="E390" s="38"/>
    </row>
    <row r="391" spans="1:5" ht="21.75" customHeight="1" x14ac:dyDescent="0.6">
      <c r="A391" s="38"/>
      <c r="B391" s="39"/>
      <c r="C391" s="39"/>
      <c r="D391" s="40"/>
      <c r="E391" s="38"/>
    </row>
    <row r="392" spans="1:5" ht="21.75" customHeight="1" x14ac:dyDescent="0.6">
      <c r="A392" s="38"/>
      <c r="B392" s="39"/>
      <c r="C392" s="39"/>
      <c r="D392" s="40"/>
      <c r="E392" s="38"/>
    </row>
    <row r="393" spans="1:5" ht="21.75" customHeight="1" x14ac:dyDescent="0.6">
      <c r="A393" s="38"/>
      <c r="B393" s="39"/>
      <c r="C393" s="39"/>
      <c r="D393" s="40"/>
      <c r="E393" s="38"/>
    </row>
    <row r="394" spans="1:5" ht="21.75" customHeight="1" x14ac:dyDescent="0.6">
      <c r="A394" s="38"/>
      <c r="B394" s="39"/>
      <c r="C394" s="39"/>
      <c r="D394" s="40"/>
      <c r="E394" s="38"/>
    </row>
    <row r="395" spans="1:5" ht="21.75" customHeight="1" x14ac:dyDescent="0.6">
      <c r="A395" s="38"/>
      <c r="B395" s="39"/>
      <c r="C395" s="39"/>
      <c r="D395" s="40"/>
      <c r="E395" s="38"/>
    </row>
    <row r="396" spans="1:5" ht="21.75" customHeight="1" x14ac:dyDescent="0.6">
      <c r="A396" s="38"/>
      <c r="B396" s="39"/>
      <c r="C396" s="39"/>
      <c r="D396" s="40"/>
      <c r="E396" s="38"/>
    </row>
    <row r="397" spans="1:5" ht="21.75" customHeight="1" x14ac:dyDescent="0.6">
      <c r="A397" s="38"/>
      <c r="B397" s="39"/>
      <c r="C397" s="39"/>
      <c r="D397" s="40"/>
      <c r="E397" s="38"/>
    </row>
    <row r="398" spans="1:5" ht="21.75" customHeight="1" x14ac:dyDescent="0.6">
      <c r="A398" s="38"/>
      <c r="B398" s="39"/>
      <c r="C398" s="39"/>
      <c r="D398" s="40"/>
      <c r="E398" s="38"/>
    </row>
    <row r="399" spans="1:5" ht="21.75" customHeight="1" x14ac:dyDescent="0.6">
      <c r="A399" s="38"/>
      <c r="B399" s="39"/>
      <c r="C399" s="39"/>
      <c r="D399" s="40"/>
      <c r="E399" s="38"/>
    </row>
    <row r="400" spans="1:5" ht="21.75" customHeight="1" x14ac:dyDescent="0.6">
      <c r="A400" s="38"/>
      <c r="B400" s="39"/>
      <c r="C400" s="39"/>
      <c r="D400" s="40"/>
      <c r="E400" s="38"/>
    </row>
    <row r="401" spans="1:5" ht="21.75" customHeight="1" x14ac:dyDescent="0.6">
      <c r="A401" s="38"/>
      <c r="B401" s="39"/>
      <c r="C401" s="39"/>
      <c r="D401" s="40"/>
      <c r="E401" s="38"/>
    </row>
    <row r="402" spans="1:5" ht="21.75" customHeight="1" x14ac:dyDescent="0.6">
      <c r="A402" s="38"/>
      <c r="B402" s="39"/>
      <c r="C402" s="39"/>
      <c r="D402" s="40"/>
      <c r="E402" s="38"/>
    </row>
    <row r="403" spans="1:5" ht="21.75" customHeight="1" x14ac:dyDescent="0.6">
      <c r="A403" s="38"/>
      <c r="B403" s="39"/>
      <c r="C403" s="39"/>
      <c r="D403" s="40"/>
      <c r="E403" s="38"/>
    </row>
    <row r="404" spans="1:5" ht="21.75" customHeight="1" x14ac:dyDescent="0.6">
      <c r="A404" s="38"/>
      <c r="B404" s="39"/>
      <c r="C404" s="39"/>
      <c r="D404" s="40"/>
      <c r="E404" s="38"/>
    </row>
    <row r="405" spans="1:5" ht="21.75" customHeight="1" x14ac:dyDescent="0.6">
      <c r="A405" s="38"/>
      <c r="B405" s="39"/>
      <c r="C405" s="39"/>
      <c r="D405" s="40"/>
      <c r="E405" s="38"/>
    </row>
    <row r="406" spans="1:5" ht="21.75" customHeight="1" x14ac:dyDescent="0.6">
      <c r="A406" s="38"/>
      <c r="B406" s="39"/>
      <c r="C406" s="39"/>
      <c r="D406" s="40"/>
      <c r="E406" s="38"/>
    </row>
    <row r="407" spans="1:5" ht="21.75" customHeight="1" x14ac:dyDescent="0.6">
      <c r="A407" s="38"/>
      <c r="B407" s="39"/>
      <c r="C407" s="39"/>
      <c r="D407" s="40"/>
      <c r="E407" s="38"/>
    </row>
    <row r="408" spans="1:5" ht="21.75" customHeight="1" x14ac:dyDescent="0.6">
      <c r="A408" s="38"/>
      <c r="B408" s="39"/>
      <c r="C408" s="39"/>
      <c r="D408" s="40"/>
      <c r="E408" s="38"/>
    </row>
    <row r="409" spans="1:5" ht="21.75" customHeight="1" x14ac:dyDescent="0.6">
      <c r="A409" s="38"/>
      <c r="B409" s="39"/>
      <c r="C409" s="39"/>
      <c r="D409" s="40"/>
      <c r="E409" s="38"/>
    </row>
    <row r="410" spans="1:5" ht="21.75" customHeight="1" x14ac:dyDescent="0.6">
      <c r="A410" s="38"/>
      <c r="B410" s="39"/>
      <c r="C410" s="39"/>
      <c r="D410" s="40"/>
      <c r="E410" s="38"/>
    </row>
    <row r="411" spans="1:5" ht="21.75" customHeight="1" x14ac:dyDescent="0.6">
      <c r="A411" s="38"/>
      <c r="B411" s="39"/>
      <c r="C411" s="39"/>
      <c r="D411" s="40"/>
      <c r="E411" s="38"/>
    </row>
    <row r="412" spans="1:5" ht="21.75" customHeight="1" x14ac:dyDescent="0.6">
      <c r="A412" s="38"/>
      <c r="B412" s="39"/>
      <c r="C412" s="39"/>
      <c r="D412" s="40"/>
      <c r="E412" s="38"/>
    </row>
    <row r="413" spans="1:5" ht="21.75" customHeight="1" x14ac:dyDescent="0.6">
      <c r="A413" s="38"/>
      <c r="B413" s="39"/>
      <c r="C413" s="39"/>
      <c r="D413" s="40"/>
      <c r="E413" s="38"/>
    </row>
    <row r="414" spans="1:5" ht="21.75" customHeight="1" x14ac:dyDescent="0.6">
      <c r="A414" s="38"/>
      <c r="B414" s="39"/>
      <c r="C414" s="39"/>
      <c r="D414" s="40"/>
      <c r="E414" s="38"/>
    </row>
    <row r="415" spans="1:5" ht="21.75" customHeight="1" x14ac:dyDescent="0.6">
      <c r="A415" s="38"/>
      <c r="B415" s="39"/>
      <c r="C415" s="39"/>
      <c r="D415" s="40"/>
      <c r="E415" s="38"/>
    </row>
    <row r="416" spans="1:5" ht="21.75" customHeight="1" x14ac:dyDescent="0.6">
      <c r="A416" s="38"/>
      <c r="B416" s="39"/>
      <c r="C416" s="39"/>
      <c r="D416" s="40"/>
      <c r="E416" s="38"/>
    </row>
    <row r="417" spans="1:5" ht="21.75" customHeight="1" x14ac:dyDescent="0.6">
      <c r="A417" s="38"/>
      <c r="B417" s="39"/>
      <c r="C417" s="39"/>
      <c r="D417" s="40"/>
      <c r="E417" s="38"/>
    </row>
    <row r="418" spans="1:5" ht="21.75" customHeight="1" x14ac:dyDescent="0.6">
      <c r="A418" s="38"/>
      <c r="B418" s="39"/>
      <c r="C418" s="39"/>
      <c r="D418" s="40"/>
      <c r="E418" s="38"/>
    </row>
    <row r="419" spans="1:5" ht="21.75" customHeight="1" x14ac:dyDescent="0.6">
      <c r="A419" s="38"/>
      <c r="B419" s="39"/>
      <c r="C419" s="39"/>
      <c r="D419" s="40"/>
      <c r="E419" s="38"/>
    </row>
    <row r="420" spans="1:5" ht="21.75" customHeight="1" x14ac:dyDescent="0.6">
      <c r="A420" s="38"/>
      <c r="B420" s="39"/>
      <c r="C420" s="39"/>
      <c r="D420" s="40"/>
      <c r="E420" s="38"/>
    </row>
    <row r="421" spans="1:5" ht="21.75" customHeight="1" x14ac:dyDescent="0.6">
      <c r="A421" s="38"/>
      <c r="B421" s="39"/>
      <c r="C421" s="39"/>
      <c r="D421" s="40"/>
      <c r="E421" s="38"/>
    </row>
    <row r="422" spans="1:5" ht="21.75" customHeight="1" x14ac:dyDescent="0.6">
      <c r="A422" s="38"/>
      <c r="B422" s="39"/>
      <c r="C422" s="39"/>
      <c r="D422" s="40"/>
      <c r="E422" s="38"/>
    </row>
    <row r="423" spans="1:5" ht="21.75" customHeight="1" x14ac:dyDescent="0.6">
      <c r="A423" s="38"/>
      <c r="B423" s="39"/>
      <c r="C423" s="39"/>
      <c r="D423" s="40"/>
      <c r="E423" s="38"/>
    </row>
    <row r="424" spans="1:5" ht="21.75" customHeight="1" x14ac:dyDescent="0.6">
      <c r="A424" s="38"/>
      <c r="B424" s="39"/>
      <c r="C424" s="39"/>
      <c r="D424" s="40"/>
      <c r="E424" s="38"/>
    </row>
    <row r="425" spans="1:5" ht="21.75" customHeight="1" x14ac:dyDescent="0.6">
      <c r="A425" s="38"/>
      <c r="B425" s="39"/>
      <c r="C425" s="39"/>
      <c r="D425" s="40"/>
      <c r="E425" s="38"/>
    </row>
    <row r="426" spans="1:5" ht="21.75" customHeight="1" x14ac:dyDescent="0.6">
      <c r="A426" s="38"/>
      <c r="B426" s="39"/>
      <c r="C426" s="39"/>
      <c r="D426" s="40"/>
      <c r="E426" s="38"/>
    </row>
    <row r="427" spans="1:5" ht="21.75" customHeight="1" x14ac:dyDescent="0.6">
      <c r="A427" s="38"/>
      <c r="B427" s="39"/>
      <c r="C427" s="39"/>
      <c r="D427" s="40"/>
      <c r="E427" s="38"/>
    </row>
    <row r="428" spans="1:5" ht="21.75" customHeight="1" x14ac:dyDescent="0.6">
      <c r="A428" s="38"/>
      <c r="B428" s="39"/>
      <c r="C428" s="39"/>
      <c r="D428" s="40"/>
      <c r="E428" s="38"/>
    </row>
    <row r="429" spans="1:5" ht="21.75" customHeight="1" x14ac:dyDescent="0.6">
      <c r="A429" s="38"/>
      <c r="B429" s="39"/>
      <c r="C429" s="39"/>
      <c r="D429" s="40"/>
      <c r="E429" s="38"/>
    </row>
    <row r="430" spans="1:5" ht="21.75" customHeight="1" x14ac:dyDescent="0.6">
      <c r="A430" s="38"/>
      <c r="B430" s="39"/>
      <c r="C430" s="39"/>
      <c r="D430" s="40"/>
      <c r="E430" s="38"/>
    </row>
    <row r="431" spans="1:5" ht="21.75" customHeight="1" x14ac:dyDescent="0.6">
      <c r="A431" s="38"/>
      <c r="B431" s="39"/>
      <c r="C431" s="39"/>
      <c r="D431" s="40"/>
      <c r="E431" s="38"/>
    </row>
    <row r="432" spans="1:5" ht="21.75" customHeight="1" x14ac:dyDescent="0.6">
      <c r="A432" s="38"/>
      <c r="B432" s="39"/>
      <c r="C432" s="39"/>
      <c r="D432" s="40"/>
      <c r="E432" s="38"/>
    </row>
    <row r="433" spans="1:5" ht="21.75" customHeight="1" x14ac:dyDescent="0.6">
      <c r="A433" s="38"/>
      <c r="B433" s="39"/>
      <c r="C433" s="39"/>
      <c r="D433" s="40"/>
      <c r="E433" s="38"/>
    </row>
    <row r="434" spans="1:5" ht="21.75" customHeight="1" x14ac:dyDescent="0.6">
      <c r="A434" s="38"/>
      <c r="B434" s="39"/>
      <c r="C434" s="39"/>
      <c r="D434" s="40"/>
      <c r="E434" s="38"/>
    </row>
    <row r="435" spans="1:5" ht="21.75" customHeight="1" x14ac:dyDescent="0.6">
      <c r="A435" s="38"/>
      <c r="B435" s="39"/>
      <c r="C435" s="39"/>
      <c r="D435" s="40"/>
      <c r="E435" s="38"/>
    </row>
    <row r="436" spans="1:5" ht="21.75" customHeight="1" x14ac:dyDescent="0.6">
      <c r="A436" s="38"/>
      <c r="B436" s="39"/>
      <c r="C436" s="39"/>
      <c r="D436" s="40"/>
      <c r="E436" s="38"/>
    </row>
    <row r="437" spans="1:5" ht="21.75" customHeight="1" x14ac:dyDescent="0.6">
      <c r="A437" s="38"/>
      <c r="B437" s="39"/>
      <c r="C437" s="39"/>
      <c r="D437" s="40"/>
      <c r="E437" s="38"/>
    </row>
    <row r="438" spans="1:5" ht="21.75" customHeight="1" x14ac:dyDescent="0.6">
      <c r="A438" s="38"/>
      <c r="B438" s="39"/>
      <c r="C438" s="39"/>
      <c r="D438" s="40"/>
      <c r="E438" s="38"/>
    </row>
    <row r="439" spans="1:5" ht="21.75" customHeight="1" x14ac:dyDescent="0.6">
      <c r="A439" s="38"/>
      <c r="B439" s="39"/>
      <c r="C439" s="39"/>
      <c r="D439" s="40"/>
      <c r="E439" s="38"/>
    </row>
    <row r="440" spans="1:5" ht="21.75" customHeight="1" x14ac:dyDescent="0.6">
      <c r="A440" s="38"/>
      <c r="B440" s="39"/>
      <c r="C440" s="39"/>
      <c r="D440" s="40"/>
      <c r="E440" s="38"/>
    </row>
    <row r="441" spans="1:5" ht="21.75" customHeight="1" x14ac:dyDescent="0.6">
      <c r="A441" s="38"/>
      <c r="B441" s="39"/>
      <c r="C441" s="39"/>
      <c r="D441" s="40"/>
      <c r="E441" s="38"/>
    </row>
    <row r="442" spans="1:5" ht="21.75" customHeight="1" x14ac:dyDescent="0.6">
      <c r="A442" s="38"/>
      <c r="B442" s="39"/>
      <c r="C442" s="39"/>
      <c r="D442" s="40"/>
      <c r="E442" s="38"/>
    </row>
    <row r="443" spans="1:5" ht="21.75" customHeight="1" x14ac:dyDescent="0.6">
      <c r="A443" s="38"/>
      <c r="B443" s="39"/>
      <c r="C443" s="39"/>
      <c r="D443" s="40"/>
      <c r="E443" s="38"/>
    </row>
    <row r="444" spans="1:5" ht="21.75" customHeight="1" x14ac:dyDescent="0.6">
      <c r="A444" s="38"/>
      <c r="B444" s="39"/>
      <c r="C444" s="39"/>
      <c r="D444" s="40"/>
      <c r="E444" s="38"/>
    </row>
    <row r="445" spans="1:5" ht="21.75" customHeight="1" x14ac:dyDescent="0.6">
      <c r="A445" s="38"/>
      <c r="B445" s="39"/>
      <c r="C445" s="39"/>
      <c r="D445" s="40"/>
      <c r="E445" s="38"/>
    </row>
    <row r="446" spans="1:5" ht="21.75" customHeight="1" x14ac:dyDescent="0.6">
      <c r="A446" s="38"/>
      <c r="B446" s="39"/>
      <c r="C446" s="39"/>
      <c r="D446" s="40"/>
      <c r="E446" s="38"/>
    </row>
    <row r="447" spans="1:5" ht="21.75" customHeight="1" x14ac:dyDescent="0.6">
      <c r="A447" s="38"/>
      <c r="B447" s="39"/>
      <c r="C447" s="39"/>
      <c r="D447" s="40"/>
      <c r="E447" s="38"/>
    </row>
    <row r="448" spans="1:5" ht="21.75" customHeight="1" x14ac:dyDescent="0.6">
      <c r="A448" s="38"/>
      <c r="B448" s="39"/>
      <c r="C448" s="39"/>
      <c r="D448" s="40"/>
      <c r="E448" s="38"/>
    </row>
    <row r="449" spans="1:5" ht="21.75" customHeight="1" x14ac:dyDescent="0.6">
      <c r="A449" s="38"/>
      <c r="B449" s="39"/>
      <c r="C449" s="39"/>
      <c r="D449" s="40"/>
      <c r="E449" s="38"/>
    </row>
    <row r="450" spans="1:5" ht="21.75" customHeight="1" x14ac:dyDescent="0.6">
      <c r="A450" s="38"/>
      <c r="B450" s="39"/>
      <c r="C450" s="39"/>
      <c r="D450" s="40"/>
      <c r="E450" s="38"/>
    </row>
    <row r="451" spans="1:5" ht="21.75" customHeight="1" x14ac:dyDescent="0.6">
      <c r="A451" s="38"/>
      <c r="B451" s="39"/>
      <c r="C451" s="39"/>
      <c r="D451" s="40"/>
      <c r="E451" s="38"/>
    </row>
    <row r="452" spans="1:5" ht="21.75" customHeight="1" x14ac:dyDescent="0.6">
      <c r="A452" s="38"/>
      <c r="B452" s="39"/>
      <c r="C452" s="39"/>
      <c r="D452" s="40"/>
      <c r="E452" s="38"/>
    </row>
    <row r="453" spans="1:5" ht="21.75" customHeight="1" x14ac:dyDescent="0.6">
      <c r="A453" s="38"/>
      <c r="B453" s="39"/>
      <c r="C453" s="39"/>
      <c r="D453" s="40"/>
      <c r="E453" s="38"/>
    </row>
    <row r="454" spans="1:5" ht="21.75" customHeight="1" x14ac:dyDescent="0.6">
      <c r="A454" s="38"/>
      <c r="B454" s="39"/>
      <c r="C454" s="39"/>
      <c r="D454" s="40"/>
      <c r="E454" s="38"/>
    </row>
    <row r="455" spans="1:5" ht="21.75" customHeight="1" x14ac:dyDescent="0.6">
      <c r="A455" s="38"/>
      <c r="B455" s="39"/>
      <c r="C455" s="39"/>
      <c r="D455" s="40"/>
      <c r="E455" s="38"/>
    </row>
    <row r="456" spans="1:5" ht="21.75" customHeight="1" x14ac:dyDescent="0.6">
      <c r="A456" s="38"/>
      <c r="B456" s="39"/>
      <c r="C456" s="39"/>
      <c r="D456" s="40"/>
      <c r="E456" s="38"/>
    </row>
    <row r="457" spans="1:5" ht="21.75" customHeight="1" x14ac:dyDescent="0.6">
      <c r="A457" s="38"/>
      <c r="B457" s="39"/>
      <c r="C457" s="39"/>
      <c r="D457" s="40"/>
      <c r="E457" s="38"/>
    </row>
    <row r="458" spans="1:5" ht="21.75" customHeight="1" x14ac:dyDescent="0.6">
      <c r="A458" s="38"/>
      <c r="B458" s="39"/>
      <c r="C458" s="39"/>
      <c r="D458" s="40"/>
      <c r="E458" s="38"/>
    </row>
    <row r="459" spans="1:5" ht="21.75" customHeight="1" x14ac:dyDescent="0.6">
      <c r="A459" s="38"/>
      <c r="B459" s="39"/>
      <c r="C459" s="39"/>
      <c r="D459" s="40"/>
      <c r="E459" s="38"/>
    </row>
    <row r="460" spans="1:5" ht="21.75" customHeight="1" x14ac:dyDescent="0.6">
      <c r="A460" s="38"/>
      <c r="B460" s="39"/>
      <c r="C460" s="39"/>
      <c r="D460" s="40"/>
      <c r="E460" s="38"/>
    </row>
    <row r="461" spans="1:5" ht="21.75" customHeight="1" x14ac:dyDescent="0.6">
      <c r="A461" s="38"/>
      <c r="B461" s="39"/>
      <c r="C461" s="39"/>
      <c r="D461" s="40"/>
      <c r="E461" s="38"/>
    </row>
    <row r="462" spans="1:5" ht="21.75" customHeight="1" x14ac:dyDescent="0.6">
      <c r="A462" s="38"/>
      <c r="B462" s="39"/>
      <c r="C462" s="39"/>
      <c r="D462" s="40"/>
      <c r="E462" s="38"/>
    </row>
    <row r="463" spans="1:5" ht="21.75" customHeight="1" x14ac:dyDescent="0.6">
      <c r="A463" s="38"/>
      <c r="B463" s="39"/>
      <c r="C463" s="39"/>
      <c r="D463" s="40"/>
      <c r="E463" s="38"/>
    </row>
    <row r="464" spans="1:5" ht="21.75" customHeight="1" x14ac:dyDescent="0.6">
      <c r="A464" s="38"/>
      <c r="B464" s="39"/>
      <c r="C464" s="39"/>
      <c r="D464" s="40"/>
      <c r="E464" s="38"/>
    </row>
    <row r="465" spans="1:5" ht="21.75" customHeight="1" x14ac:dyDescent="0.6">
      <c r="A465" s="38"/>
      <c r="B465" s="39"/>
      <c r="C465" s="39"/>
      <c r="D465" s="40"/>
      <c r="E465" s="38"/>
    </row>
    <row r="466" spans="1:5" ht="21.75" customHeight="1" x14ac:dyDescent="0.6">
      <c r="A466" s="38"/>
      <c r="B466" s="39"/>
      <c r="C466" s="39"/>
      <c r="D466" s="40"/>
      <c r="E466" s="38"/>
    </row>
    <row r="467" spans="1:5" ht="21.75" customHeight="1" x14ac:dyDescent="0.6">
      <c r="A467" s="38"/>
      <c r="B467" s="39"/>
      <c r="C467" s="39"/>
      <c r="D467" s="40"/>
      <c r="E467" s="38"/>
    </row>
    <row r="468" spans="1:5" ht="21.75" customHeight="1" x14ac:dyDescent="0.6">
      <c r="A468" s="38"/>
      <c r="B468" s="39"/>
      <c r="C468" s="39"/>
      <c r="D468" s="40"/>
      <c r="E468" s="38"/>
    </row>
    <row r="469" spans="1:5" ht="21.75" customHeight="1" x14ac:dyDescent="0.6">
      <c r="A469" s="38"/>
      <c r="B469" s="39"/>
      <c r="C469" s="39"/>
      <c r="D469" s="40"/>
      <c r="E469" s="38"/>
    </row>
    <row r="470" spans="1:5" ht="21.75" customHeight="1" x14ac:dyDescent="0.6">
      <c r="A470" s="38"/>
      <c r="B470" s="39"/>
      <c r="C470" s="39"/>
      <c r="D470" s="40"/>
      <c r="E470" s="38"/>
    </row>
    <row r="471" spans="1:5" ht="21.75" customHeight="1" x14ac:dyDescent="0.6">
      <c r="A471" s="38"/>
      <c r="B471" s="39"/>
      <c r="C471" s="39"/>
      <c r="D471" s="40"/>
      <c r="E471" s="38"/>
    </row>
    <row r="472" spans="1:5" ht="21.75" customHeight="1" x14ac:dyDescent="0.6">
      <c r="A472" s="38"/>
      <c r="B472" s="39"/>
      <c r="C472" s="39"/>
      <c r="D472" s="40"/>
      <c r="E472" s="38"/>
    </row>
    <row r="473" spans="1:5" ht="21.75" customHeight="1" x14ac:dyDescent="0.6">
      <c r="A473" s="38"/>
      <c r="B473" s="39"/>
      <c r="C473" s="39"/>
      <c r="D473" s="40"/>
      <c r="E473" s="38"/>
    </row>
    <row r="474" spans="1:5" ht="21.75" customHeight="1" x14ac:dyDescent="0.6">
      <c r="A474" s="38"/>
      <c r="B474" s="39"/>
      <c r="C474" s="39"/>
      <c r="D474" s="40"/>
      <c r="E474" s="38"/>
    </row>
    <row r="475" spans="1:5" ht="21.75" customHeight="1" x14ac:dyDescent="0.6">
      <c r="A475" s="38"/>
      <c r="B475" s="39"/>
      <c r="C475" s="39"/>
      <c r="D475" s="40"/>
      <c r="E475" s="38"/>
    </row>
    <row r="476" spans="1:5" ht="21.75" customHeight="1" x14ac:dyDescent="0.6">
      <c r="A476" s="38"/>
      <c r="B476" s="39"/>
      <c r="C476" s="39"/>
      <c r="D476" s="40"/>
      <c r="E476" s="38"/>
    </row>
    <row r="477" spans="1:5" ht="21.75" customHeight="1" x14ac:dyDescent="0.6">
      <c r="A477" s="38"/>
      <c r="B477" s="39"/>
      <c r="C477" s="39"/>
      <c r="D477" s="40"/>
      <c r="E477" s="38"/>
    </row>
    <row r="478" spans="1:5" ht="21.75" customHeight="1" x14ac:dyDescent="0.6">
      <c r="A478" s="38"/>
      <c r="B478" s="39"/>
      <c r="C478" s="39"/>
      <c r="D478" s="40"/>
      <c r="E478" s="38"/>
    </row>
    <row r="479" spans="1:5" ht="21.75" customHeight="1" x14ac:dyDescent="0.6">
      <c r="A479" s="38"/>
      <c r="B479" s="39"/>
      <c r="C479" s="39"/>
      <c r="D479" s="40"/>
      <c r="E479" s="38"/>
    </row>
    <row r="480" spans="1:5" ht="21.75" customHeight="1" x14ac:dyDescent="0.6">
      <c r="A480" s="38"/>
      <c r="B480" s="39"/>
      <c r="C480" s="39"/>
      <c r="D480" s="40"/>
      <c r="E480" s="38"/>
    </row>
    <row r="481" spans="1:5" ht="21.75" customHeight="1" x14ac:dyDescent="0.6">
      <c r="A481" s="38"/>
      <c r="B481" s="39"/>
      <c r="C481" s="39"/>
      <c r="D481" s="40"/>
      <c r="E481" s="38"/>
    </row>
    <row r="482" spans="1:5" ht="21.75" customHeight="1" x14ac:dyDescent="0.6">
      <c r="A482" s="38"/>
      <c r="B482" s="39"/>
      <c r="C482" s="39"/>
      <c r="D482" s="40"/>
      <c r="E482" s="38"/>
    </row>
    <row r="483" spans="1:5" ht="21.75" customHeight="1" x14ac:dyDescent="0.6">
      <c r="A483" s="38"/>
      <c r="B483" s="39"/>
      <c r="C483" s="39"/>
      <c r="D483" s="40"/>
      <c r="E483" s="38"/>
    </row>
    <row r="484" spans="1:5" ht="21.75" customHeight="1" x14ac:dyDescent="0.6">
      <c r="A484" s="38"/>
      <c r="B484" s="39"/>
      <c r="C484" s="39"/>
      <c r="D484" s="40"/>
      <c r="E484" s="38"/>
    </row>
    <row r="485" spans="1:5" ht="21.75" customHeight="1" x14ac:dyDescent="0.6">
      <c r="A485" s="38"/>
      <c r="B485" s="39"/>
      <c r="C485" s="39"/>
      <c r="D485" s="40"/>
      <c r="E485" s="38"/>
    </row>
    <row r="486" spans="1:5" ht="21.75" customHeight="1" x14ac:dyDescent="0.6">
      <c r="A486" s="38"/>
      <c r="B486" s="39"/>
      <c r="C486" s="39"/>
      <c r="D486" s="40"/>
      <c r="E486" s="38"/>
    </row>
    <row r="487" spans="1:5" ht="21.75" customHeight="1" x14ac:dyDescent="0.6">
      <c r="A487" s="38"/>
      <c r="B487" s="39"/>
      <c r="C487" s="39"/>
      <c r="D487" s="40"/>
      <c r="E487" s="38"/>
    </row>
    <row r="488" spans="1:5" ht="21.75" customHeight="1" x14ac:dyDescent="0.6">
      <c r="A488" s="38"/>
      <c r="B488" s="39"/>
      <c r="C488" s="39"/>
      <c r="D488" s="40"/>
      <c r="E488" s="38"/>
    </row>
    <row r="489" spans="1:5" ht="21.75" customHeight="1" x14ac:dyDescent="0.6">
      <c r="A489" s="38"/>
      <c r="B489" s="39"/>
      <c r="C489" s="39"/>
      <c r="D489" s="40"/>
      <c r="E489" s="38"/>
    </row>
    <row r="490" spans="1:5" ht="21.75" customHeight="1" x14ac:dyDescent="0.6">
      <c r="A490" s="38"/>
      <c r="B490" s="39"/>
      <c r="C490" s="39"/>
      <c r="D490" s="40"/>
      <c r="E490" s="38"/>
    </row>
    <row r="491" spans="1:5" ht="21.75" customHeight="1" x14ac:dyDescent="0.6">
      <c r="A491" s="38"/>
      <c r="B491" s="39"/>
      <c r="C491" s="39"/>
      <c r="D491" s="40"/>
      <c r="E491" s="38"/>
    </row>
    <row r="492" spans="1:5" ht="21.75" customHeight="1" x14ac:dyDescent="0.6">
      <c r="A492" s="38"/>
      <c r="B492" s="39"/>
      <c r="C492" s="39"/>
      <c r="D492" s="40"/>
      <c r="E492" s="38"/>
    </row>
    <row r="493" spans="1:5" ht="21.75" customHeight="1" x14ac:dyDescent="0.6">
      <c r="A493" s="38"/>
      <c r="B493" s="39"/>
      <c r="C493" s="39"/>
      <c r="D493" s="40"/>
      <c r="E493" s="38"/>
    </row>
    <row r="494" spans="1:5" ht="21.75" customHeight="1" x14ac:dyDescent="0.6">
      <c r="A494" s="38"/>
      <c r="B494" s="39"/>
      <c r="C494" s="39"/>
      <c r="D494" s="40"/>
      <c r="E494" s="38"/>
    </row>
    <row r="495" spans="1:5" ht="21.75" customHeight="1" x14ac:dyDescent="0.6">
      <c r="A495" s="38"/>
      <c r="B495" s="39"/>
      <c r="C495" s="39"/>
      <c r="D495" s="40"/>
      <c r="E495" s="38"/>
    </row>
    <row r="496" spans="1:5" ht="21.75" customHeight="1" x14ac:dyDescent="0.6">
      <c r="A496" s="38"/>
      <c r="B496" s="39"/>
      <c r="C496" s="39"/>
      <c r="D496" s="40"/>
      <c r="E496" s="38"/>
    </row>
    <row r="497" spans="1:5" ht="21.75" customHeight="1" x14ac:dyDescent="0.6">
      <c r="A497" s="38"/>
      <c r="B497" s="39"/>
      <c r="C497" s="39"/>
      <c r="D497" s="40"/>
      <c r="E497" s="38"/>
    </row>
    <row r="498" spans="1:5" ht="21.75" customHeight="1" x14ac:dyDescent="0.6">
      <c r="A498" s="38"/>
      <c r="B498" s="39"/>
      <c r="C498" s="39"/>
      <c r="D498" s="40"/>
      <c r="E498" s="38"/>
    </row>
    <row r="499" spans="1:5" ht="21.75" customHeight="1" x14ac:dyDescent="0.6">
      <c r="A499" s="38"/>
      <c r="B499" s="39"/>
      <c r="C499" s="39"/>
      <c r="D499" s="40"/>
      <c r="E499" s="38"/>
    </row>
    <row r="500" spans="1:5" ht="21.75" customHeight="1" x14ac:dyDescent="0.6">
      <c r="A500" s="38"/>
      <c r="B500" s="39"/>
      <c r="C500" s="39"/>
      <c r="D500" s="40"/>
      <c r="E500" s="38"/>
    </row>
    <row r="501" spans="1:5" ht="21.75" customHeight="1" x14ac:dyDescent="0.6">
      <c r="A501" s="38"/>
      <c r="B501" s="39"/>
      <c r="C501" s="39"/>
      <c r="D501" s="40"/>
      <c r="E501" s="38"/>
    </row>
    <row r="502" spans="1:5" ht="21.75" customHeight="1" x14ac:dyDescent="0.6">
      <c r="A502" s="38"/>
      <c r="B502" s="39"/>
      <c r="C502" s="39"/>
      <c r="D502" s="40"/>
      <c r="E502" s="38"/>
    </row>
    <row r="503" spans="1:5" ht="21.75" customHeight="1" x14ac:dyDescent="0.6">
      <c r="A503" s="38"/>
      <c r="B503" s="39"/>
      <c r="C503" s="39"/>
      <c r="D503" s="40"/>
      <c r="E503" s="38"/>
    </row>
    <row r="504" spans="1:5" ht="21.75" customHeight="1" x14ac:dyDescent="0.6">
      <c r="A504" s="38"/>
      <c r="B504" s="39"/>
      <c r="C504" s="39"/>
      <c r="D504" s="40"/>
      <c r="E504" s="38"/>
    </row>
    <row r="505" spans="1:5" ht="21.75" customHeight="1" x14ac:dyDescent="0.6">
      <c r="A505" s="38"/>
      <c r="B505" s="39"/>
      <c r="C505" s="39"/>
      <c r="D505" s="40"/>
      <c r="E505" s="38"/>
    </row>
    <row r="506" spans="1:5" ht="21.75" customHeight="1" x14ac:dyDescent="0.6">
      <c r="A506" s="38"/>
      <c r="B506" s="39"/>
      <c r="C506" s="39"/>
      <c r="D506" s="40"/>
      <c r="E506" s="38"/>
    </row>
    <row r="507" spans="1:5" ht="21.75" customHeight="1" x14ac:dyDescent="0.6">
      <c r="A507" s="38"/>
      <c r="B507" s="39"/>
      <c r="C507" s="39"/>
      <c r="D507" s="40"/>
      <c r="E507" s="38"/>
    </row>
    <row r="508" spans="1:5" ht="21.75" customHeight="1" x14ac:dyDescent="0.6">
      <c r="A508" s="38"/>
      <c r="B508" s="39"/>
      <c r="C508" s="39"/>
      <c r="D508" s="40"/>
      <c r="E508" s="38"/>
    </row>
    <row r="509" spans="1:5" ht="21.75" customHeight="1" x14ac:dyDescent="0.6">
      <c r="A509" s="38"/>
      <c r="B509" s="39"/>
      <c r="C509" s="39"/>
      <c r="D509" s="40"/>
      <c r="E509" s="38"/>
    </row>
    <row r="510" spans="1:5" ht="21.75" customHeight="1" x14ac:dyDescent="0.6">
      <c r="A510" s="38"/>
      <c r="B510" s="39"/>
      <c r="C510" s="39"/>
      <c r="D510" s="40"/>
      <c r="E510" s="38"/>
    </row>
    <row r="511" spans="1:5" ht="21.75" customHeight="1" x14ac:dyDescent="0.6">
      <c r="A511" s="38"/>
      <c r="B511" s="39"/>
      <c r="C511" s="39"/>
      <c r="D511" s="40"/>
      <c r="E511" s="38"/>
    </row>
    <row r="512" spans="1:5" ht="21.75" customHeight="1" x14ac:dyDescent="0.6">
      <c r="A512" s="38"/>
      <c r="B512" s="39"/>
      <c r="C512" s="39"/>
      <c r="D512" s="40"/>
      <c r="E512" s="38"/>
    </row>
    <row r="513" spans="1:5" ht="21.75" customHeight="1" x14ac:dyDescent="0.6">
      <c r="A513" s="38"/>
      <c r="B513" s="39"/>
      <c r="C513" s="39"/>
      <c r="D513" s="40"/>
      <c r="E513" s="38"/>
    </row>
    <row r="514" spans="1:5" ht="21.75" customHeight="1" x14ac:dyDescent="0.6">
      <c r="A514" s="38"/>
      <c r="B514" s="39"/>
      <c r="C514" s="39"/>
      <c r="D514" s="40"/>
      <c r="E514" s="38"/>
    </row>
    <row r="515" spans="1:5" ht="21.75" customHeight="1" x14ac:dyDescent="0.6">
      <c r="A515" s="38"/>
      <c r="B515" s="39"/>
      <c r="C515" s="39"/>
      <c r="D515" s="40"/>
      <c r="E515" s="38"/>
    </row>
    <row r="516" spans="1:5" ht="21.75" customHeight="1" x14ac:dyDescent="0.6">
      <c r="A516" s="38"/>
      <c r="B516" s="39"/>
      <c r="C516" s="39"/>
      <c r="D516" s="40"/>
      <c r="E516" s="38"/>
    </row>
    <row r="517" spans="1:5" ht="21.75" customHeight="1" x14ac:dyDescent="0.6">
      <c r="A517" s="38"/>
      <c r="B517" s="39"/>
      <c r="C517" s="39"/>
      <c r="D517" s="40"/>
      <c r="E517" s="38"/>
    </row>
    <row r="518" spans="1:5" ht="21.75" customHeight="1" x14ac:dyDescent="0.6">
      <c r="A518" s="38"/>
      <c r="B518" s="39"/>
      <c r="C518" s="39"/>
      <c r="D518" s="40"/>
      <c r="E518" s="38"/>
    </row>
    <row r="519" spans="1:5" ht="21.75" customHeight="1" x14ac:dyDescent="0.6">
      <c r="A519" s="38"/>
      <c r="B519" s="39"/>
      <c r="C519" s="39"/>
      <c r="D519" s="40"/>
      <c r="E519" s="38"/>
    </row>
    <row r="520" spans="1:5" ht="21.75" customHeight="1" x14ac:dyDescent="0.6">
      <c r="A520" s="38"/>
      <c r="B520" s="39"/>
      <c r="C520" s="39"/>
      <c r="D520" s="40"/>
      <c r="E520" s="38"/>
    </row>
    <row r="521" spans="1:5" ht="21.75" customHeight="1" x14ac:dyDescent="0.6">
      <c r="A521" s="38"/>
      <c r="B521" s="39"/>
      <c r="C521" s="39"/>
      <c r="D521" s="40"/>
      <c r="E521" s="38"/>
    </row>
    <row r="522" spans="1:5" ht="21.75" customHeight="1" x14ac:dyDescent="0.6">
      <c r="A522" s="38"/>
      <c r="B522" s="39"/>
      <c r="C522" s="39"/>
      <c r="D522" s="40"/>
      <c r="E522" s="38"/>
    </row>
    <row r="523" spans="1:5" ht="21.75" customHeight="1" x14ac:dyDescent="0.6">
      <c r="A523" s="38"/>
      <c r="B523" s="39"/>
      <c r="C523" s="39"/>
      <c r="D523" s="40"/>
      <c r="E523" s="38"/>
    </row>
    <row r="524" spans="1:5" ht="21.75" customHeight="1" x14ac:dyDescent="0.6">
      <c r="A524" s="38"/>
      <c r="B524" s="39"/>
      <c r="C524" s="39"/>
      <c r="D524" s="40"/>
      <c r="E524" s="38"/>
    </row>
    <row r="525" spans="1:5" ht="21.75" customHeight="1" x14ac:dyDescent="0.6">
      <c r="A525" s="38"/>
      <c r="B525" s="39"/>
      <c r="C525" s="39"/>
      <c r="D525" s="40"/>
      <c r="E525" s="38"/>
    </row>
    <row r="526" spans="1:5" ht="21.75" customHeight="1" x14ac:dyDescent="0.6">
      <c r="A526" s="38"/>
      <c r="B526" s="39"/>
      <c r="C526" s="39"/>
      <c r="D526" s="40"/>
      <c r="E526" s="38"/>
    </row>
    <row r="527" spans="1:5" ht="21.75" customHeight="1" x14ac:dyDescent="0.6">
      <c r="A527" s="38"/>
      <c r="B527" s="39"/>
      <c r="C527" s="39"/>
      <c r="D527" s="40"/>
      <c r="E527" s="38"/>
    </row>
    <row r="528" spans="1:5" ht="21.75" customHeight="1" x14ac:dyDescent="0.6">
      <c r="A528" s="38"/>
      <c r="B528" s="39"/>
      <c r="C528" s="39"/>
      <c r="D528" s="40"/>
      <c r="E528" s="38"/>
    </row>
    <row r="529" spans="1:5" ht="21.75" customHeight="1" x14ac:dyDescent="0.6">
      <c r="A529" s="38"/>
      <c r="B529" s="39"/>
      <c r="C529" s="39"/>
      <c r="D529" s="40"/>
      <c r="E529" s="38"/>
    </row>
    <row r="530" spans="1:5" ht="21.75" customHeight="1" x14ac:dyDescent="0.6">
      <c r="A530" s="38"/>
      <c r="B530" s="39"/>
      <c r="C530" s="39"/>
      <c r="D530" s="40"/>
      <c r="E530" s="38"/>
    </row>
    <row r="531" spans="1:5" ht="21.75" customHeight="1" x14ac:dyDescent="0.6">
      <c r="A531" s="38"/>
      <c r="B531" s="39"/>
      <c r="C531" s="39"/>
      <c r="D531" s="40"/>
      <c r="E531" s="38"/>
    </row>
    <row r="532" spans="1:5" ht="21.75" customHeight="1" x14ac:dyDescent="0.6">
      <c r="A532" s="38"/>
      <c r="B532" s="39"/>
      <c r="C532" s="39"/>
      <c r="D532" s="40"/>
      <c r="E532" s="38"/>
    </row>
    <row r="533" spans="1:5" ht="21.75" customHeight="1" x14ac:dyDescent="0.6">
      <c r="A533" s="38"/>
      <c r="B533" s="39"/>
      <c r="C533" s="39"/>
      <c r="D533" s="40"/>
      <c r="E533" s="38"/>
    </row>
    <row r="534" spans="1:5" ht="21.75" customHeight="1" x14ac:dyDescent="0.6">
      <c r="A534" s="38"/>
      <c r="B534" s="39"/>
      <c r="C534" s="39"/>
      <c r="D534" s="40"/>
      <c r="E534" s="38"/>
    </row>
    <row r="535" spans="1:5" ht="21.75" customHeight="1" x14ac:dyDescent="0.6">
      <c r="A535" s="38"/>
      <c r="B535" s="39"/>
      <c r="C535" s="39"/>
      <c r="D535" s="40"/>
      <c r="E535" s="38"/>
    </row>
    <row r="536" spans="1:5" ht="21.75" customHeight="1" x14ac:dyDescent="0.6">
      <c r="A536" s="38"/>
      <c r="B536" s="39"/>
      <c r="C536" s="39"/>
      <c r="D536" s="40"/>
      <c r="E536" s="38"/>
    </row>
    <row r="537" spans="1:5" ht="21.75" customHeight="1" x14ac:dyDescent="0.6">
      <c r="A537" s="38"/>
      <c r="B537" s="39"/>
      <c r="C537" s="39"/>
      <c r="D537" s="40"/>
      <c r="E537" s="38"/>
    </row>
    <row r="538" spans="1:5" ht="21.75" customHeight="1" x14ac:dyDescent="0.6">
      <c r="A538" s="38"/>
      <c r="B538" s="39"/>
      <c r="C538" s="39"/>
      <c r="D538" s="40"/>
      <c r="E538" s="38"/>
    </row>
    <row r="539" spans="1:5" ht="21.75" customHeight="1" x14ac:dyDescent="0.6">
      <c r="A539" s="38"/>
      <c r="B539" s="39"/>
      <c r="C539" s="39"/>
      <c r="D539" s="40"/>
      <c r="E539" s="38"/>
    </row>
    <row r="540" spans="1:5" ht="21.75" customHeight="1" x14ac:dyDescent="0.6">
      <c r="A540" s="38"/>
      <c r="B540" s="39"/>
      <c r="C540" s="39"/>
      <c r="D540" s="40"/>
      <c r="E540" s="38"/>
    </row>
    <row r="541" spans="1:5" ht="21.75" customHeight="1" x14ac:dyDescent="0.6">
      <c r="A541" s="38"/>
      <c r="B541" s="39"/>
      <c r="C541" s="39"/>
      <c r="D541" s="40"/>
      <c r="E541" s="38"/>
    </row>
    <row r="542" spans="1:5" ht="21.75" customHeight="1" x14ac:dyDescent="0.6">
      <c r="A542" s="38"/>
      <c r="B542" s="39"/>
      <c r="C542" s="39"/>
      <c r="D542" s="40"/>
      <c r="E542" s="38"/>
    </row>
    <row r="543" spans="1:5" ht="21.75" customHeight="1" x14ac:dyDescent="0.6">
      <c r="A543" s="38"/>
      <c r="B543" s="39"/>
      <c r="C543" s="39"/>
      <c r="D543" s="40"/>
      <c r="E543" s="38"/>
    </row>
    <row r="544" spans="1:5" ht="21.75" customHeight="1" x14ac:dyDescent="0.6">
      <c r="A544" s="38"/>
      <c r="B544" s="39"/>
      <c r="C544" s="39"/>
      <c r="D544" s="40"/>
      <c r="E544" s="38"/>
    </row>
    <row r="545" spans="1:5" ht="21.75" customHeight="1" x14ac:dyDescent="0.6">
      <c r="A545" s="38"/>
      <c r="B545" s="39"/>
      <c r="C545" s="39"/>
      <c r="D545" s="40"/>
      <c r="E545" s="38"/>
    </row>
    <row r="546" spans="1:5" ht="21.75" customHeight="1" x14ac:dyDescent="0.6">
      <c r="A546" s="38"/>
      <c r="B546" s="39"/>
      <c r="C546" s="39"/>
      <c r="D546" s="40"/>
      <c r="E546" s="38"/>
    </row>
    <row r="547" spans="1:5" ht="21.75" customHeight="1" x14ac:dyDescent="0.6">
      <c r="A547" s="38"/>
      <c r="B547" s="39"/>
      <c r="C547" s="39"/>
      <c r="D547" s="40"/>
      <c r="E547" s="38"/>
    </row>
    <row r="548" spans="1:5" ht="21.75" customHeight="1" x14ac:dyDescent="0.6">
      <c r="A548" s="38"/>
      <c r="B548" s="39"/>
      <c r="C548" s="39"/>
      <c r="D548" s="40"/>
      <c r="E548" s="38"/>
    </row>
    <row r="549" spans="1:5" ht="21.75" customHeight="1" x14ac:dyDescent="0.6">
      <c r="A549" s="38"/>
      <c r="B549" s="39"/>
      <c r="C549" s="39"/>
      <c r="D549" s="40"/>
      <c r="E549" s="38"/>
    </row>
    <row r="550" spans="1:5" ht="21.75" customHeight="1" x14ac:dyDescent="0.6">
      <c r="A550" s="38"/>
      <c r="B550" s="39"/>
      <c r="C550" s="39"/>
      <c r="D550" s="40"/>
      <c r="E550" s="38"/>
    </row>
    <row r="551" spans="1:5" ht="21.75" customHeight="1" x14ac:dyDescent="0.6">
      <c r="A551" s="38"/>
      <c r="B551" s="39"/>
      <c r="C551" s="39"/>
      <c r="D551" s="40"/>
      <c r="E551" s="38"/>
    </row>
    <row r="552" spans="1:5" ht="21.75" customHeight="1" x14ac:dyDescent="0.6">
      <c r="A552" s="38"/>
      <c r="B552" s="39"/>
      <c r="C552" s="39"/>
      <c r="D552" s="40"/>
      <c r="E552" s="38"/>
    </row>
    <row r="553" spans="1:5" ht="21.75" customHeight="1" x14ac:dyDescent="0.6">
      <c r="A553" s="38"/>
      <c r="B553" s="39"/>
      <c r="C553" s="39"/>
      <c r="D553" s="40"/>
      <c r="E553" s="38"/>
    </row>
    <row r="554" spans="1:5" ht="21.75" customHeight="1" x14ac:dyDescent="0.6">
      <c r="A554" s="38"/>
      <c r="B554" s="39"/>
      <c r="C554" s="39"/>
      <c r="D554" s="40"/>
      <c r="E554" s="38"/>
    </row>
    <row r="555" spans="1:5" ht="21.75" customHeight="1" x14ac:dyDescent="0.6">
      <c r="A555" s="38"/>
      <c r="B555" s="39"/>
      <c r="C555" s="39"/>
      <c r="D555" s="40"/>
      <c r="E555" s="38"/>
    </row>
    <row r="556" spans="1:5" ht="21.75" customHeight="1" x14ac:dyDescent="0.6">
      <c r="A556" s="38"/>
      <c r="B556" s="39"/>
      <c r="C556" s="39"/>
      <c r="D556" s="40"/>
      <c r="E556" s="38"/>
    </row>
    <row r="557" spans="1:5" ht="21.75" customHeight="1" x14ac:dyDescent="0.6">
      <c r="A557" s="38"/>
      <c r="B557" s="39"/>
      <c r="C557" s="39"/>
      <c r="D557" s="40"/>
      <c r="E557" s="38"/>
    </row>
    <row r="558" spans="1:5" ht="21.75" customHeight="1" x14ac:dyDescent="0.6">
      <c r="A558" s="38"/>
      <c r="B558" s="39"/>
      <c r="C558" s="39"/>
      <c r="D558" s="40"/>
      <c r="E558" s="38"/>
    </row>
    <row r="559" spans="1:5" ht="21.75" customHeight="1" x14ac:dyDescent="0.6">
      <c r="A559" s="38"/>
      <c r="B559" s="39"/>
      <c r="C559" s="39"/>
      <c r="D559" s="40"/>
      <c r="E559" s="38"/>
    </row>
    <row r="560" spans="1:5" ht="21.75" customHeight="1" x14ac:dyDescent="0.6">
      <c r="A560" s="38"/>
      <c r="B560" s="39"/>
      <c r="C560" s="39"/>
      <c r="D560" s="40"/>
      <c r="E560" s="38"/>
    </row>
    <row r="561" spans="1:5" ht="21.75" customHeight="1" x14ac:dyDescent="0.6">
      <c r="A561" s="38"/>
      <c r="B561" s="39"/>
      <c r="C561" s="39"/>
      <c r="D561" s="40"/>
      <c r="E561" s="38"/>
    </row>
    <row r="562" spans="1:5" ht="21.75" customHeight="1" x14ac:dyDescent="0.6">
      <c r="A562" s="38"/>
      <c r="B562" s="39"/>
      <c r="C562" s="39"/>
      <c r="D562" s="40"/>
      <c r="E562" s="38"/>
    </row>
    <row r="563" spans="1:5" ht="21.75" customHeight="1" x14ac:dyDescent="0.6">
      <c r="A563" s="38"/>
      <c r="B563" s="39"/>
      <c r="C563" s="39"/>
      <c r="D563" s="40"/>
      <c r="E563" s="38"/>
    </row>
    <row r="564" spans="1:5" ht="21.75" customHeight="1" x14ac:dyDescent="0.6">
      <c r="A564" s="38"/>
      <c r="B564" s="39"/>
      <c r="C564" s="39"/>
      <c r="D564" s="40"/>
      <c r="E564" s="38"/>
    </row>
    <row r="565" spans="1:5" ht="21.75" customHeight="1" x14ac:dyDescent="0.6">
      <c r="A565" s="38"/>
      <c r="B565" s="39"/>
      <c r="C565" s="39"/>
      <c r="D565" s="40"/>
      <c r="E565" s="38"/>
    </row>
    <row r="566" spans="1:5" ht="21.75" customHeight="1" x14ac:dyDescent="0.6">
      <c r="A566" s="38"/>
      <c r="B566" s="39"/>
      <c r="C566" s="39"/>
      <c r="D566" s="40"/>
      <c r="E566" s="38"/>
    </row>
    <row r="567" spans="1:5" ht="21.75" customHeight="1" x14ac:dyDescent="0.6">
      <c r="A567" s="38"/>
      <c r="B567" s="39"/>
      <c r="C567" s="39"/>
      <c r="D567" s="40"/>
      <c r="E567" s="38"/>
    </row>
    <row r="568" spans="1:5" ht="21.75" customHeight="1" x14ac:dyDescent="0.6">
      <c r="A568" s="38"/>
      <c r="B568" s="39"/>
      <c r="C568" s="39"/>
      <c r="D568" s="40"/>
      <c r="E568" s="38"/>
    </row>
    <row r="569" spans="1:5" ht="21.75" customHeight="1" x14ac:dyDescent="0.6">
      <c r="A569" s="38"/>
      <c r="B569" s="39"/>
      <c r="C569" s="39"/>
      <c r="D569" s="40"/>
      <c r="E569" s="38"/>
    </row>
    <row r="570" spans="1:5" ht="21.75" customHeight="1" x14ac:dyDescent="0.6">
      <c r="A570" s="38"/>
      <c r="B570" s="39"/>
      <c r="C570" s="39"/>
      <c r="D570" s="40"/>
      <c r="E570" s="38"/>
    </row>
    <row r="571" spans="1:5" ht="21.75" customHeight="1" x14ac:dyDescent="0.6">
      <c r="A571" s="38"/>
      <c r="B571" s="39"/>
      <c r="C571" s="39"/>
      <c r="D571" s="40"/>
      <c r="E571" s="38"/>
    </row>
    <row r="572" spans="1:5" ht="21.75" customHeight="1" x14ac:dyDescent="0.6">
      <c r="A572" s="38"/>
      <c r="B572" s="39"/>
      <c r="C572" s="39"/>
      <c r="D572" s="40"/>
      <c r="E572" s="38"/>
    </row>
    <row r="573" spans="1:5" ht="21.75" customHeight="1" x14ac:dyDescent="0.6">
      <c r="A573" s="38"/>
      <c r="B573" s="39"/>
      <c r="C573" s="39"/>
      <c r="D573" s="40"/>
      <c r="E573" s="38"/>
    </row>
    <row r="574" spans="1:5" ht="21.75" customHeight="1" x14ac:dyDescent="0.6">
      <c r="A574" s="38"/>
      <c r="B574" s="39"/>
      <c r="C574" s="39"/>
      <c r="D574" s="40"/>
      <c r="E574" s="38"/>
    </row>
    <row r="575" spans="1:5" ht="21.75" customHeight="1" x14ac:dyDescent="0.6">
      <c r="A575" s="38"/>
      <c r="B575" s="39"/>
      <c r="C575" s="39"/>
      <c r="D575" s="40"/>
      <c r="E575" s="38"/>
    </row>
    <row r="576" spans="1:5" ht="21.75" customHeight="1" x14ac:dyDescent="0.6">
      <c r="A576" s="38"/>
      <c r="B576" s="39"/>
      <c r="C576" s="39"/>
      <c r="D576" s="40"/>
      <c r="E576" s="38"/>
    </row>
    <row r="577" spans="1:5" ht="21.75" customHeight="1" x14ac:dyDescent="0.6">
      <c r="A577" s="38"/>
      <c r="B577" s="39"/>
      <c r="C577" s="39"/>
      <c r="D577" s="40"/>
      <c r="E577" s="38"/>
    </row>
    <row r="578" spans="1:5" ht="21.75" customHeight="1" x14ac:dyDescent="0.6">
      <c r="A578" s="38"/>
      <c r="B578" s="39"/>
      <c r="C578" s="39"/>
      <c r="D578" s="40"/>
      <c r="E578" s="38"/>
    </row>
    <row r="579" spans="1:5" ht="21.75" customHeight="1" x14ac:dyDescent="0.6">
      <c r="A579" s="38"/>
      <c r="B579" s="39"/>
      <c r="C579" s="39"/>
      <c r="D579" s="40"/>
      <c r="E579" s="38"/>
    </row>
    <row r="580" spans="1:5" ht="21.75" customHeight="1" x14ac:dyDescent="0.6">
      <c r="A580" s="38"/>
      <c r="B580" s="39"/>
      <c r="C580" s="39"/>
      <c r="D580" s="40"/>
      <c r="E580" s="38"/>
    </row>
    <row r="581" spans="1:5" ht="21.75" customHeight="1" x14ac:dyDescent="0.6">
      <c r="A581" s="38"/>
      <c r="B581" s="39"/>
      <c r="C581" s="39"/>
      <c r="D581" s="40"/>
      <c r="E581" s="38"/>
    </row>
    <row r="582" spans="1:5" ht="21.75" customHeight="1" x14ac:dyDescent="0.6">
      <c r="A582" s="38"/>
      <c r="B582" s="39"/>
      <c r="C582" s="39"/>
      <c r="D582" s="40"/>
      <c r="E582" s="38"/>
    </row>
    <row r="583" spans="1:5" ht="21.75" customHeight="1" x14ac:dyDescent="0.6">
      <c r="A583" s="38"/>
      <c r="B583" s="39"/>
      <c r="C583" s="39"/>
      <c r="D583" s="40"/>
      <c r="E583" s="38"/>
    </row>
    <row r="584" spans="1:5" ht="21.75" customHeight="1" x14ac:dyDescent="0.6">
      <c r="A584" s="38"/>
      <c r="B584" s="39"/>
      <c r="C584" s="39"/>
      <c r="D584" s="40"/>
      <c r="E584" s="38"/>
    </row>
    <row r="585" spans="1:5" ht="21.75" customHeight="1" x14ac:dyDescent="0.6">
      <c r="A585" s="38"/>
      <c r="B585" s="39"/>
      <c r="C585" s="39"/>
      <c r="D585" s="40"/>
      <c r="E585" s="38"/>
    </row>
    <row r="586" spans="1:5" ht="21.75" customHeight="1" x14ac:dyDescent="0.6">
      <c r="A586" s="38"/>
      <c r="B586" s="39"/>
      <c r="C586" s="39"/>
      <c r="D586" s="40"/>
      <c r="E586" s="38"/>
    </row>
    <row r="587" spans="1:5" ht="21.75" customHeight="1" x14ac:dyDescent="0.6">
      <c r="A587" s="38"/>
      <c r="B587" s="39"/>
      <c r="C587" s="39"/>
      <c r="D587" s="40"/>
      <c r="E587" s="38"/>
    </row>
    <row r="588" spans="1:5" ht="21.75" customHeight="1" x14ac:dyDescent="0.6">
      <c r="A588" s="38"/>
      <c r="B588" s="39"/>
      <c r="C588" s="39"/>
      <c r="D588" s="40"/>
      <c r="E588" s="38"/>
    </row>
    <row r="589" spans="1:5" ht="21.75" customHeight="1" x14ac:dyDescent="0.6">
      <c r="A589" s="38"/>
      <c r="B589" s="39"/>
      <c r="C589" s="39"/>
      <c r="D589" s="40"/>
      <c r="E589" s="38"/>
    </row>
    <row r="590" spans="1:5" ht="21.75" customHeight="1" x14ac:dyDescent="0.6">
      <c r="A590" s="38"/>
      <c r="B590" s="39"/>
      <c r="C590" s="39"/>
      <c r="D590" s="40"/>
      <c r="E590" s="38"/>
    </row>
    <row r="591" spans="1:5" ht="21.75" customHeight="1" x14ac:dyDescent="0.6">
      <c r="A591" s="38"/>
      <c r="B591" s="39"/>
      <c r="C591" s="39"/>
      <c r="D591" s="40"/>
      <c r="E591" s="38"/>
    </row>
    <row r="592" spans="1:5" ht="21.75" customHeight="1" x14ac:dyDescent="0.6">
      <c r="A592" s="38"/>
      <c r="B592" s="39"/>
      <c r="C592" s="39"/>
      <c r="D592" s="40"/>
      <c r="E592" s="38"/>
    </row>
    <row r="593" spans="1:5" ht="21.75" customHeight="1" x14ac:dyDescent="0.6">
      <c r="A593" s="38"/>
      <c r="B593" s="39"/>
      <c r="C593" s="39"/>
      <c r="D593" s="40"/>
      <c r="E593" s="38"/>
    </row>
    <row r="594" spans="1:5" ht="21.75" customHeight="1" x14ac:dyDescent="0.6">
      <c r="A594" s="38"/>
      <c r="B594" s="39"/>
      <c r="C594" s="39"/>
      <c r="D594" s="40"/>
      <c r="E594" s="38"/>
    </row>
    <row r="595" spans="1:5" ht="21.75" customHeight="1" x14ac:dyDescent="0.6">
      <c r="A595" s="38"/>
      <c r="B595" s="39"/>
      <c r="C595" s="39"/>
      <c r="D595" s="40"/>
      <c r="E595" s="38"/>
    </row>
    <row r="596" spans="1:5" ht="21.75" customHeight="1" x14ac:dyDescent="0.6">
      <c r="A596" s="38"/>
      <c r="B596" s="39"/>
      <c r="C596" s="39"/>
      <c r="D596" s="40"/>
      <c r="E596" s="38"/>
    </row>
    <row r="597" spans="1:5" ht="21.75" customHeight="1" x14ac:dyDescent="0.6">
      <c r="A597" s="38"/>
      <c r="B597" s="39"/>
      <c r="C597" s="39"/>
      <c r="D597" s="40"/>
      <c r="E597" s="38"/>
    </row>
    <row r="598" spans="1:5" ht="21.75" customHeight="1" x14ac:dyDescent="0.6">
      <c r="A598" s="38"/>
      <c r="B598" s="39"/>
      <c r="C598" s="39"/>
      <c r="D598" s="40"/>
      <c r="E598" s="38"/>
    </row>
    <row r="599" spans="1:5" ht="21.75" customHeight="1" x14ac:dyDescent="0.6">
      <c r="A599" s="38"/>
      <c r="B599" s="39"/>
      <c r="C599" s="39"/>
      <c r="D599" s="40"/>
      <c r="E599" s="38"/>
    </row>
    <row r="600" spans="1:5" ht="21.75" customHeight="1" x14ac:dyDescent="0.6">
      <c r="A600" s="38"/>
      <c r="B600" s="39"/>
      <c r="C600" s="39"/>
      <c r="D600" s="40"/>
      <c r="E600" s="38"/>
    </row>
    <row r="601" spans="1:5" ht="21.75" customHeight="1" x14ac:dyDescent="0.6">
      <c r="A601" s="38"/>
      <c r="B601" s="39"/>
      <c r="C601" s="39"/>
      <c r="D601" s="40"/>
      <c r="E601" s="38"/>
    </row>
    <row r="602" spans="1:5" ht="21.75" customHeight="1" x14ac:dyDescent="0.6">
      <c r="A602" s="38"/>
      <c r="B602" s="39"/>
      <c r="C602" s="39"/>
      <c r="D602" s="40"/>
      <c r="E602" s="38"/>
    </row>
    <row r="603" spans="1:5" ht="21.75" customHeight="1" x14ac:dyDescent="0.6">
      <c r="A603" s="38"/>
      <c r="B603" s="39"/>
      <c r="C603" s="39"/>
      <c r="D603" s="40"/>
      <c r="E603" s="38"/>
    </row>
    <row r="604" spans="1:5" ht="21.75" customHeight="1" x14ac:dyDescent="0.6">
      <c r="A604" s="38"/>
      <c r="B604" s="39"/>
      <c r="C604" s="39"/>
      <c r="D604" s="40"/>
      <c r="E604" s="38"/>
    </row>
    <row r="605" spans="1:5" ht="21.75" customHeight="1" x14ac:dyDescent="0.6">
      <c r="A605" s="38"/>
      <c r="B605" s="39"/>
      <c r="C605" s="39"/>
      <c r="D605" s="40"/>
      <c r="E605" s="38"/>
    </row>
    <row r="606" spans="1:5" ht="21.75" customHeight="1" x14ac:dyDescent="0.6">
      <c r="A606" s="38"/>
      <c r="B606" s="39"/>
      <c r="C606" s="39"/>
      <c r="D606" s="40"/>
      <c r="E606" s="38"/>
    </row>
    <row r="607" spans="1:5" ht="21.75" customHeight="1" x14ac:dyDescent="0.6">
      <c r="A607" s="38"/>
      <c r="B607" s="39"/>
      <c r="C607" s="39"/>
      <c r="D607" s="40"/>
      <c r="E607" s="38"/>
    </row>
    <row r="608" spans="1:5" ht="21.75" customHeight="1" x14ac:dyDescent="0.6">
      <c r="A608" s="38"/>
      <c r="B608" s="39"/>
      <c r="C608" s="39"/>
      <c r="D608" s="40"/>
      <c r="E608" s="38"/>
    </row>
    <row r="609" spans="1:5" ht="21.75" customHeight="1" x14ac:dyDescent="0.6">
      <c r="A609" s="38"/>
      <c r="B609" s="39"/>
      <c r="C609" s="39"/>
      <c r="D609" s="40"/>
      <c r="E609" s="38"/>
    </row>
    <row r="610" spans="1:5" ht="21.75" customHeight="1" x14ac:dyDescent="0.6">
      <c r="A610" s="38"/>
      <c r="B610" s="39"/>
      <c r="C610" s="39"/>
      <c r="D610" s="40"/>
      <c r="E610" s="38"/>
    </row>
    <row r="611" spans="1:5" ht="21.75" customHeight="1" x14ac:dyDescent="0.6">
      <c r="A611" s="38"/>
      <c r="B611" s="39"/>
      <c r="C611" s="39"/>
      <c r="D611" s="40"/>
      <c r="E611" s="38"/>
    </row>
    <row r="612" spans="1:5" ht="21.75" customHeight="1" x14ac:dyDescent="0.6">
      <c r="A612" s="38"/>
      <c r="B612" s="39"/>
      <c r="C612" s="39"/>
      <c r="D612" s="40"/>
      <c r="E612" s="38"/>
    </row>
    <row r="613" spans="1:5" ht="21.75" customHeight="1" x14ac:dyDescent="0.6">
      <c r="A613" s="38"/>
      <c r="B613" s="39"/>
      <c r="C613" s="39"/>
      <c r="D613" s="40"/>
      <c r="E613" s="38"/>
    </row>
    <row r="614" spans="1:5" ht="21.75" customHeight="1" x14ac:dyDescent="0.6">
      <c r="A614" s="38"/>
      <c r="B614" s="39"/>
      <c r="C614" s="39"/>
      <c r="D614" s="40"/>
      <c r="E614" s="38"/>
    </row>
    <row r="615" spans="1:5" ht="21.75" customHeight="1" x14ac:dyDescent="0.6">
      <c r="A615" s="38"/>
      <c r="B615" s="39"/>
      <c r="C615" s="39"/>
      <c r="D615" s="40"/>
      <c r="E615" s="38"/>
    </row>
    <row r="616" spans="1:5" ht="21.75" customHeight="1" x14ac:dyDescent="0.6">
      <c r="A616" s="38"/>
      <c r="B616" s="39"/>
      <c r="C616" s="39"/>
      <c r="D616" s="40"/>
      <c r="E616" s="38"/>
    </row>
    <row r="617" spans="1:5" ht="21.75" customHeight="1" x14ac:dyDescent="0.6">
      <c r="A617" s="38"/>
      <c r="B617" s="39"/>
      <c r="C617" s="39"/>
      <c r="D617" s="40"/>
      <c r="E617" s="38"/>
    </row>
    <row r="618" spans="1:5" ht="21.75" customHeight="1" x14ac:dyDescent="0.6">
      <c r="A618" s="38"/>
      <c r="B618" s="39"/>
      <c r="C618" s="39"/>
      <c r="D618" s="40"/>
      <c r="E618" s="38"/>
    </row>
    <row r="619" spans="1:5" ht="21.75" customHeight="1" x14ac:dyDescent="0.6">
      <c r="A619" s="38"/>
      <c r="B619" s="39"/>
      <c r="C619" s="39"/>
      <c r="D619" s="40"/>
      <c r="E619" s="38"/>
    </row>
    <row r="620" spans="1:5" ht="21.75" customHeight="1" x14ac:dyDescent="0.6">
      <c r="A620" s="38"/>
      <c r="B620" s="39"/>
      <c r="C620" s="39"/>
      <c r="D620" s="40"/>
      <c r="E620" s="38"/>
    </row>
    <row r="621" spans="1:5" ht="21.75" customHeight="1" x14ac:dyDescent="0.6">
      <c r="A621" s="38"/>
      <c r="B621" s="39"/>
      <c r="C621" s="39"/>
      <c r="D621" s="40"/>
      <c r="E621" s="38"/>
    </row>
    <row r="622" spans="1:5" ht="21.75" customHeight="1" x14ac:dyDescent="0.6">
      <c r="A622" s="38"/>
      <c r="B622" s="39"/>
      <c r="C622" s="39"/>
      <c r="D622" s="40"/>
      <c r="E622" s="38"/>
    </row>
    <row r="623" spans="1:5" ht="21.75" customHeight="1" x14ac:dyDescent="0.6">
      <c r="A623" s="38"/>
      <c r="B623" s="39"/>
      <c r="C623" s="39"/>
      <c r="D623" s="40"/>
      <c r="E623" s="38"/>
    </row>
    <row r="624" spans="1:5" ht="21.75" customHeight="1" x14ac:dyDescent="0.6">
      <c r="A624" s="38"/>
      <c r="B624" s="39"/>
      <c r="C624" s="39"/>
      <c r="D624" s="40"/>
      <c r="E624" s="38"/>
    </row>
    <row r="625" spans="1:5" ht="21.75" customHeight="1" x14ac:dyDescent="0.6">
      <c r="A625" s="38"/>
      <c r="B625" s="39"/>
      <c r="C625" s="39"/>
      <c r="D625" s="40"/>
      <c r="E625" s="38"/>
    </row>
    <row r="626" spans="1:5" ht="21.75" customHeight="1" x14ac:dyDescent="0.6">
      <c r="A626" s="38"/>
      <c r="B626" s="39"/>
      <c r="C626" s="39"/>
      <c r="D626" s="40"/>
      <c r="E626" s="38"/>
    </row>
    <row r="627" spans="1:5" ht="21.75" customHeight="1" x14ac:dyDescent="0.6">
      <c r="A627" s="38"/>
      <c r="B627" s="39"/>
      <c r="C627" s="39"/>
      <c r="D627" s="40"/>
      <c r="E627" s="38"/>
    </row>
    <row r="628" spans="1:5" ht="21.75" customHeight="1" x14ac:dyDescent="0.6">
      <c r="A628" s="38"/>
      <c r="B628" s="39"/>
      <c r="C628" s="39"/>
      <c r="D628" s="40"/>
      <c r="E628" s="38"/>
    </row>
    <row r="629" spans="1:5" ht="21.75" customHeight="1" x14ac:dyDescent="0.6">
      <c r="A629" s="38"/>
      <c r="B629" s="39"/>
      <c r="C629" s="39"/>
      <c r="D629" s="40"/>
      <c r="E629" s="38"/>
    </row>
    <row r="630" spans="1:5" ht="21.75" customHeight="1" x14ac:dyDescent="0.6">
      <c r="A630" s="38"/>
      <c r="B630" s="39"/>
      <c r="C630" s="39"/>
      <c r="D630" s="40"/>
      <c r="E630" s="38"/>
    </row>
    <row r="631" spans="1:5" ht="21.75" customHeight="1" x14ac:dyDescent="0.6">
      <c r="A631" s="38"/>
      <c r="B631" s="39"/>
      <c r="C631" s="39"/>
      <c r="D631" s="40"/>
      <c r="E631" s="38"/>
    </row>
    <row r="632" spans="1:5" ht="21.75" customHeight="1" x14ac:dyDescent="0.6">
      <c r="A632" s="38"/>
      <c r="B632" s="39"/>
      <c r="C632" s="39"/>
      <c r="D632" s="40"/>
      <c r="E632" s="38"/>
    </row>
    <row r="633" spans="1:5" ht="21.75" customHeight="1" x14ac:dyDescent="0.6">
      <c r="A633" s="38"/>
      <c r="B633" s="39"/>
      <c r="C633" s="39"/>
      <c r="D633" s="40"/>
      <c r="E633" s="38"/>
    </row>
    <row r="634" spans="1:5" ht="21.75" customHeight="1" x14ac:dyDescent="0.6">
      <c r="A634" s="38"/>
      <c r="B634" s="39"/>
      <c r="C634" s="39"/>
      <c r="D634" s="40"/>
      <c r="E634" s="38"/>
    </row>
    <row r="635" spans="1:5" ht="21.75" customHeight="1" x14ac:dyDescent="0.6">
      <c r="A635" s="38"/>
      <c r="B635" s="39"/>
      <c r="C635" s="39"/>
      <c r="D635" s="40"/>
      <c r="E635" s="38"/>
    </row>
    <row r="636" spans="1:5" ht="21.75" customHeight="1" x14ac:dyDescent="0.6">
      <c r="A636" s="38"/>
      <c r="B636" s="39"/>
      <c r="C636" s="39"/>
      <c r="D636" s="40"/>
      <c r="E636" s="38"/>
    </row>
    <row r="637" spans="1:5" ht="21.75" customHeight="1" x14ac:dyDescent="0.6">
      <c r="A637" s="38"/>
      <c r="B637" s="39"/>
      <c r="C637" s="39"/>
      <c r="D637" s="40"/>
      <c r="E637" s="38"/>
    </row>
    <row r="638" spans="1:5" ht="21.75" customHeight="1" x14ac:dyDescent="0.6">
      <c r="A638" s="38"/>
      <c r="B638" s="39"/>
      <c r="C638" s="39"/>
      <c r="D638" s="40"/>
      <c r="E638" s="38"/>
    </row>
    <row r="639" spans="1:5" ht="21.75" customHeight="1" x14ac:dyDescent="0.6">
      <c r="A639" s="38"/>
      <c r="B639" s="39"/>
      <c r="C639" s="39"/>
      <c r="D639" s="40"/>
      <c r="E639" s="38"/>
    </row>
    <row r="640" spans="1:5" ht="21.75" customHeight="1" x14ac:dyDescent="0.6">
      <c r="A640" s="38"/>
      <c r="B640" s="39"/>
      <c r="C640" s="39"/>
      <c r="D640" s="40"/>
      <c r="E640" s="38"/>
    </row>
    <row r="641" spans="1:5" ht="21.75" customHeight="1" x14ac:dyDescent="0.6">
      <c r="A641" s="38"/>
      <c r="B641" s="39"/>
      <c r="C641" s="39"/>
      <c r="D641" s="40"/>
      <c r="E641" s="38"/>
    </row>
    <row r="642" spans="1:5" ht="21.75" customHeight="1" x14ac:dyDescent="0.6">
      <c r="A642" s="38"/>
      <c r="B642" s="39"/>
      <c r="C642" s="39"/>
      <c r="D642" s="40"/>
      <c r="E642" s="38"/>
    </row>
    <row r="643" spans="1:5" ht="21.75" customHeight="1" x14ac:dyDescent="0.6">
      <c r="A643" s="38"/>
      <c r="B643" s="39"/>
      <c r="C643" s="39"/>
      <c r="D643" s="40"/>
      <c r="E643" s="38"/>
    </row>
    <row r="644" spans="1:5" ht="21.75" customHeight="1" x14ac:dyDescent="0.6">
      <c r="A644" s="38"/>
      <c r="B644" s="39"/>
      <c r="C644" s="39"/>
      <c r="D644" s="40"/>
      <c r="E644" s="38"/>
    </row>
    <row r="645" spans="1:5" ht="21.75" customHeight="1" x14ac:dyDescent="0.6">
      <c r="A645" s="38"/>
      <c r="B645" s="39"/>
      <c r="C645" s="39"/>
      <c r="D645" s="40"/>
      <c r="E645" s="38"/>
    </row>
    <row r="646" spans="1:5" ht="21.75" customHeight="1" x14ac:dyDescent="0.6">
      <c r="A646" s="38"/>
      <c r="B646" s="39"/>
      <c r="C646" s="39"/>
      <c r="D646" s="40"/>
      <c r="E646" s="38"/>
    </row>
    <row r="647" spans="1:5" ht="21.75" customHeight="1" x14ac:dyDescent="0.6">
      <c r="A647" s="38"/>
      <c r="B647" s="39"/>
      <c r="C647" s="39"/>
      <c r="D647" s="40"/>
      <c r="E647" s="38"/>
    </row>
    <row r="648" spans="1:5" ht="21.75" customHeight="1" x14ac:dyDescent="0.6">
      <c r="A648" s="38"/>
      <c r="B648" s="39"/>
      <c r="C648" s="39"/>
      <c r="D648" s="40"/>
      <c r="E648" s="38"/>
    </row>
    <row r="649" spans="1:5" ht="21.75" customHeight="1" x14ac:dyDescent="0.6">
      <c r="A649" s="38"/>
      <c r="B649" s="39"/>
      <c r="C649" s="39"/>
      <c r="D649" s="40"/>
      <c r="E649" s="38"/>
    </row>
    <row r="650" spans="1:5" ht="21.75" customHeight="1" x14ac:dyDescent="0.6">
      <c r="A650" s="38"/>
      <c r="B650" s="39"/>
      <c r="C650" s="39"/>
      <c r="D650" s="40"/>
      <c r="E650" s="38"/>
    </row>
    <row r="651" spans="1:5" ht="21.75" customHeight="1" x14ac:dyDescent="0.6">
      <c r="A651" s="38"/>
      <c r="B651" s="39"/>
      <c r="C651" s="39"/>
      <c r="D651" s="40"/>
      <c r="E651" s="38"/>
    </row>
    <row r="652" spans="1:5" ht="21.75" customHeight="1" x14ac:dyDescent="0.6">
      <c r="A652" s="38"/>
      <c r="B652" s="39"/>
      <c r="C652" s="39"/>
      <c r="D652" s="40"/>
      <c r="E652" s="38"/>
    </row>
    <row r="653" spans="1:5" ht="21.75" customHeight="1" x14ac:dyDescent="0.6">
      <c r="A653" s="38"/>
      <c r="B653" s="39"/>
      <c r="C653" s="39"/>
      <c r="D653" s="40"/>
      <c r="E653" s="38"/>
    </row>
    <row r="654" spans="1:5" ht="21.75" customHeight="1" x14ac:dyDescent="0.6">
      <c r="A654" s="38"/>
      <c r="B654" s="39"/>
      <c r="C654" s="39"/>
      <c r="D654" s="40"/>
      <c r="E654" s="38"/>
    </row>
    <row r="655" spans="1:5" ht="21.75" customHeight="1" x14ac:dyDescent="0.6">
      <c r="A655" s="38"/>
      <c r="B655" s="39"/>
      <c r="C655" s="39"/>
      <c r="D655" s="40"/>
      <c r="E655" s="38"/>
    </row>
    <row r="656" spans="1:5" ht="21.75" customHeight="1" x14ac:dyDescent="0.6">
      <c r="A656" s="38"/>
      <c r="B656" s="39"/>
      <c r="C656" s="39"/>
      <c r="D656" s="40"/>
      <c r="E656" s="38"/>
    </row>
    <row r="657" spans="1:5" ht="21.75" customHeight="1" x14ac:dyDescent="0.6">
      <c r="A657" s="38"/>
      <c r="B657" s="39"/>
      <c r="C657" s="39"/>
      <c r="D657" s="40"/>
      <c r="E657" s="38"/>
    </row>
    <row r="658" spans="1:5" ht="21.75" customHeight="1" x14ac:dyDescent="0.6">
      <c r="A658" s="38"/>
      <c r="B658" s="39"/>
      <c r="C658" s="39"/>
      <c r="D658" s="40"/>
      <c r="E658" s="38"/>
    </row>
    <row r="659" spans="1:5" ht="21.75" customHeight="1" x14ac:dyDescent="0.6">
      <c r="A659" s="38"/>
      <c r="B659" s="39"/>
      <c r="C659" s="39"/>
      <c r="D659" s="40"/>
      <c r="E659" s="38"/>
    </row>
    <row r="660" spans="1:5" ht="21.75" customHeight="1" x14ac:dyDescent="0.6">
      <c r="A660" s="38"/>
      <c r="B660" s="39"/>
      <c r="C660" s="39"/>
      <c r="D660" s="40"/>
      <c r="E660" s="38"/>
    </row>
    <row r="661" spans="1:5" ht="21.75" customHeight="1" x14ac:dyDescent="0.6">
      <c r="A661" s="38"/>
      <c r="B661" s="39"/>
      <c r="C661" s="39"/>
      <c r="D661" s="40"/>
      <c r="E661" s="38"/>
    </row>
    <row r="662" spans="1:5" ht="21.75" customHeight="1" x14ac:dyDescent="0.6">
      <c r="A662" s="38"/>
      <c r="B662" s="39"/>
      <c r="C662" s="39"/>
      <c r="D662" s="40"/>
      <c r="E662" s="38"/>
    </row>
    <row r="663" spans="1:5" ht="21.75" customHeight="1" x14ac:dyDescent="0.6">
      <c r="A663" s="38"/>
      <c r="B663" s="39"/>
      <c r="C663" s="39"/>
      <c r="D663" s="40"/>
      <c r="E663" s="38"/>
    </row>
    <row r="664" spans="1:5" ht="21.75" customHeight="1" x14ac:dyDescent="0.6">
      <c r="A664" s="38"/>
      <c r="B664" s="39"/>
      <c r="C664" s="39"/>
      <c r="D664" s="40"/>
      <c r="E664" s="38"/>
    </row>
    <row r="665" spans="1:5" ht="21.75" customHeight="1" x14ac:dyDescent="0.6">
      <c r="A665" s="38"/>
      <c r="B665" s="39"/>
      <c r="C665" s="39"/>
      <c r="D665" s="40"/>
      <c r="E665" s="38"/>
    </row>
    <row r="666" spans="1:5" ht="21.75" customHeight="1" x14ac:dyDescent="0.6">
      <c r="A666" s="38"/>
      <c r="B666" s="39"/>
      <c r="C666" s="39"/>
      <c r="D666" s="40"/>
      <c r="E666" s="38"/>
    </row>
    <row r="667" spans="1:5" ht="21.75" customHeight="1" x14ac:dyDescent="0.6">
      <c r="A667" s="38"/>
      <c r="B667" s="39"/>
      <c r="C667" s="39"/>
      <c r="D667" s="40"/>
      <c r="E667" s="38"/>
    </row>
    <row r="668" spans="1:5" ht="21.75" customHeight="1" x14ac:dyDescent="0.6">
      <c r="A668" s="38"/>
      <c r="B668" s="39"/>
      <c r="C668" s="39"/>
      <c r="D668" s="40"/>
      <c r="E668" s="38"/>
    </row>
    <row r="669" spans="1:5" ht="21.75" customHeight="1" x14ac:dyDescent="0.6">
      <c r="A669" s="38"/>
      <c r="B669" s="39"/>
      <c r="C669" s="39"/>
      <c r="D669" s="40"/>
      <c r="E669" s="38"/>
    </row>
    <row r="670" spans="1:5" ht="21.75" customHeight="1" x14ac:dyDescent="0.6">
      <c r="A670" s="38"/>
      <c r="B670" s="39"/>
      <c r="C670" s="39"/>
      <c r="D670" s="40"/>
      <c r="E670" s="38"/>
    </row>
    <row r="671" spans="1:5" ht="21.75" customHeight="1" x14ac:dyDescent="0.6">
      <c r="A671" s="38"/>
      <c r="B671" s="39"/>
      <c r="C671" s="39"/>
      <c r="D671" s="40"/>
      <c r="E671" s="38"/>
    </row>
    <row r="672" spans="1:5" ht="21.75" customHeight="1" x14ac:dyDescent="0.6">
      <c r="A672" s="38"/>
      <c r="B672" s="39"/>
      <c r="C672" s="39"/>
      <c r="D672" s="40"/>
      <c r="E672" s="38"/>
    </row>
    <row r="673" spans="1:5" ht="21.75" customHeight="1" x14ac:dyDescent="0.6">
      <c r="A673" s="38"/>
      <c r="B673" s="39"/>
      <c r="C673" s="39"/>
      <c r="D673" s="40"/>
      <c r="E673" s="38"/>
    </row>
    <row r="674" spans="1:5" ht="21.75" customHeight="1" x14ac:dyDescent="0.6">
      <c r="A674" s="38"/>
      <c r="B674" s="39"/>
      <c r="C674" s="39"/>
      <c r="D674" s="40"/>
      <c r="E674" s="38"/>
    </row>
    <row r="675" spans="1:5" ht="21.75" customHeight="1" x14ac:dyDescent="0.6">
      <c r="A675" s="38"/>
      <c r="B675" s="39"/>
      <c r="C675" s="39"/>
      <c r="D675" s="40"/>
      <c r="E675" s="38"/>
    </row>
    <row r="676" spans="1:5" ht="21.75" customHeight="1" x14ac:dyDescent="0.6">
      <c r="A676" s="38"/>
      <c r="B676" s="39"/>
      <c r="C676" s="39"/>
      <c r="D676" s="40"/>
      <c r="E676" s="38"/>
    </row>
    <row r="677" spans="1:5" ht="21.75" customHeight="1" x14ac:dyDescent="0.6">
      <c r="A677" s="38"/>
      <c r="B677" s="39"/>
      <c r="C677" s="39"/>
      <c r="D677" s="40"/>
      <c r="E677" s="38"/>
    </row>
    <row r="678" spans="1:5" ht="21.75" customHeight="1" x14ac:dyDescent="0.6">
      <c r="A678" s="38"/>
      <c r="B678" s="39"/>
      <c r="C678" s="39"/>
      <c r="D678" s="40"/>
      <c r="E678" s="38"/>
    </row>
    <row r="679" spans="1:5" ht="21.75" customHeight="1" x14ac:dyDescent="0.6">
      <c r="A679" s="38"/>
      <c r="B679" s="39"/>
      <c r="C679" s="39"/>
      <c r="D679" s="40"/>
      <c r="E679" s="38"/>
    </row>
    <row r="680" spans="1:5" ht="21.75" customHeight="1" x14ac:dyDescent="0.6">
      <c r="A680" s="38"/>
      <c r="B680" s="39"/>
      <c r="C680" s="39"/>
      <c r="D680" s="40"/>
      <c r="E680" s="38"/>
    </row>
    <row r="681" spans="1:5" ht="21.75" customHeight="1" x14ac:dyDescent="0.6">
      <c r="A681" s="38"/>
      <c r="B681" s="39"/>
      <c r="C681" s="39"/>
      <c r="D681" s="40"/>
      <c r="E681" s="38"/>
    </row>
    <row r="682" spans="1:5" ht="21.75" customHeight="1" x14ac:dyDescent="0.6">
      <c r="A682" s="38"/>
      <c r="B682" s="39"/>
      <c r="C682" s="39"/>
      <c r="D682" s="40"/>
      <c r="E682" s="38"/>
    </row>
    <row r="683" spans="1:5" ht="21.75" customHeight="1" x14ac:dyDescent="0.6">
      <c r="A683" s="38"/>
      <c r="B683" s="39"/>
      <c r="C683" s="39"/>
      <c r="D683" s="40"/>
      <c r="E683" s="38"/>
    </row>
    <row r="684" spans="1:5" ht="21.75" customHeight="1" x14ac:dyDescent="0.6">
      <c r="A684" s="38"/>
      <c r="B684" s="39"/>
      <c r="C684" s="39"/>
      <c r="D684" s="40"/>
      <c r="E684" s="38"/>
    </row>
    <row r="685" spans="1:5" ht="21.75" customHeight="1" x14ac:dyDescent="0.6">
      <c r="A685" s="38"/>
      <c r="B685" s="39"/>
      <c r="C685" s="39"/>
      <c r="D685" s="40"/>
      <c r="E685" s="38"/>
    </row>
    <row r="686" spans="1:5" ht="21.75" customHeight="1" x14ac:dyDescent="0.6">
      <c r="A686" s="38"/>
      <c r="B686" s="39"/>
      <c r="C686" s="39"/>
      <c r="D686" s="40"/>
      <c r="E686" s="38"/>
    </row>
    <row r="687" spans="1:5" ht="21.75" customHeight="1" x14ac:dyDescent="0.6">
      <c r="A687" s="38"/>
      <c r="B687" s="39"/>
      <c r="C687" s="39"/>
      <c r="D687" s="40"/>
      <c r="E687" s="38"/>
    </row>
    <row r="688" spans="1:5" ht="21.75" customHeight="1" x14ac:dyDescent="0.6">
      <c r="A688" s="38"/>
      <c r="B688" s="39"/>
      <c r="C688" s="39"/>
      <c r="D688" s="40"/>
      <c r="E688" s="38"/>
    </row>
    <row r="689" spans="1:5" ht="21.75" customHeight="1" x14ac:dyDescent="0.6">
      <c r="A689" s="38"/>
      <c r="B689" s="39"/>
      <c r="C689" s="39"/>
      <c r="D689" s="40"/>
      <c r="E689" s="38"/>
    </row>
    <row r="690" spans="1:5" ht="21.75" customHeight="1" x14ac:dyDescent="0.6">
      <c r="A690" s="38"/>
      <c r="B690" s="39"/>
      <c r="C690" s="39"/>
      <c r="D690" s="40"/>
      <c r="E690" s="38"/>
    </row>
    <row r="691" spans="1:5" ht="21.75" customHeight="1" x14ac:dyDescent="0.6">
      <c r="A691" s="38"/>
      <c r="B691" s="39"/>
      <c r="C691" s="39"/>
      <c r="D691" s="40"/>
      <c r="E691" s="38"/>
    </row>
    <row r="692" spans="1:5" ht="21.75" customHeight="1" x14ac:dyDescent="0.6">
      <c r="A692" s="38"/>
      <c r="B692" s="39"/>
      <c r="C692" s="39"/>
      <c r="D692" s="40"/>
      <c r="E692" s="38"/>
    </row>
    <row r="693" spans="1:5" ht="21.75" customHeight="1" x14ac:dyDescent="0.6">
      <c r="A693" s="38"/>
      <c r="B693" s="39"/>
      <c r="C693" s="39"/>
      <c r="D693" s="40"/>
      <c r="E693" s="38"/>
    </row>
    <row r="694" spans="1:5" ht="21.75" customHeight="1" x14ac:dyDescent="0.6">
      <c r="A694" s="38"/>
      <c r="B694" s="39"/>
      <c r="C694" s="39"/>
      <c r="D694" s="40"/>
      <c r="E694" s="38"/>
    </row>
    <row r="695" spans="1:5" ht="21.75" customHeight="1" x14ac:dyDescent="0.6">
      <c r="A695" s="38"/>
      <c r="B695" s="39"/>
      <c r="C695" s="39"/>
      <c r="D695" s="40"/>
      <c r="E695" s="38"/>
    </row>
    <row r="696" spans="1:5" ht="21.75" customHeight="1" x14ac:dyDescent="0.6">
      <c r="A696" s="38"/>
      <c r="B696" s="39"/>
      <c r="C696" s="39"/>
      <c r="D696" s="40"/>
      <c r="E696" s="38"/>
    </row>
    <row r="697" spans="1:5" ht="21.75" customHeight="1" x14ac:dyDescent="0.6">
      <c r="A697" s="38"/>
      <c r="B697" s="39"/>
      <c r="C697" s="39"/>
      <c r="D697" s="40"/>
      <c r="E697" s="38"/>
    </row>
    <row r="698" spans="1:5" ht="21.75" customHeight="1" x14ac:dyDescent="0.6">
      <c r="A698" s="38"/>
      <c r="B698" s="39"/>
      <c r="C698" s="39"/>
      <c r="D698" s="40"/>
      <c r="E698" s="38"/>
    </row>
    <row r="699" spans="1:5" ht="21.75" customHeight="1" x14ac:dyDescent="0.6">
      <c r="A699" s="38"/>
      <c r="B699" s="39"/>
      <c r="C699" s="39"/>
      <c r="D699" s="40"/>
      <c r="E699" s="38"/>
    </row>
    <row r="700" spans="1:5" ht="21.75" customHeight="1" x14ac:dyDescent="0.6">
      <c r="A700" s="38"/>
      <c r="B700" s="39"/>
      <c r="C700" s="39"/>
      <c r="D700" s="40"/>
      <c r="E700" s="38"/>
    </row>
    <row r="701" spans="1:5" ht="21.75" customHeight="1" x14ac:dyDescent="0.6">
      <c r="A701" s="38"/>
      <c r="B701" s="39"/>
      <c r="C701" s="39"/>
      <c r="D701" s="40"/>
      <c r="E701" s="38"/>
    </row>
    <row r="702" spans="1:5" ht="21.75" customHeight="1" x14ac:dyDescent="0.6">
      <c r="A702" s="38"/>
      <c r="B702" s="39"/>
      <c r="C702" s="39"/>
      <c r="D702" s="40"/>
      <c r="E702" s="38"/>
    </row>
    <row r="703" spans="1:5" ht="21.75" customHeight="1" x14ac:dyDescent="0.6">
      <c r="A703" s="38"/>
      <c r="B703" s="39"/>
      <c r="C703" s="39"/>
      <c r="D703" s="40"/>
      <c r="E703" s="38"/>
    </row>
    <row r="704" spans="1:5" ht="21.75" customHeight="1" x14ac:dyDescent="0.6">
      <c r="A704" s="38"/>
      <c r="B704" s="39"/>
      <c r="C704" s="39"/>
      <c r="D704" s="40"/>
      <c r="E704" s="38"/>
    </row>
    <row r="705" spans="1:5" ht="21.75" customHeight="1" x14ac:dyDescent="0.6">
      <c r="A705" s="38"/>
      <c r="B705" s="39"/>
      <c r="C705" s="39"/>
      <c r="D705" s="40"/>
      <c r="E705" s="38"/>
    </row>
    <row r="706" spans="1:5" ht="21.75" customHeight="1" x14ac:dyDescent="0.6">
      <c r="A706" s="38"/>
      <c r="B706" s="39"/>
      <c r="C706" s="39"/>
      <c r="D706" s="40"/>
      <c r="E706" s="38"/>
    </row>
    <row r="707" spans="1:5" ht="21.75" customHeight="1" x14ac:dyDescent="0.6">
      <c r="A707" s="38"/>
      <c r="B707" s="39"/>
      <c r="C707" s="39"/>
      <c r="D707" s="40"/>
      <c r="E707" s="38"/>
    </row>
    <row r="708" spans="1:5" ht="21.75" customHeight="1" x14ac:dyDescent="0.6">
      <c r="A708" s="38"/>
      <c r="B708" s="39"/>
      <c r="C708" s="39"/>
      <c r="D708" s="40"/>
      <c r="E708" s="38"/>
    </row>
    <row r="709" spans="1:5" ht="21.75" customHeight="1" x14ac:dyDescent="0.6">
      <c r="A709" s="38"/>
      <c r="B709" s="39"/>
      <c r="C709" s="39"/>
      <c r="D709" s="40"/>
      <c r="E709" s="38"/>
    </row>
    <row r="710" spans="1:5" ht="21.75" customHeight="1" x14ac:dyDescent="0.6">
      <c r="A710" s="38"/>
      <c r="B710" s="39"/>
      <c r="C710" s="39"/>
      <c r="D710" s="40"/>
      <c r="E710" s="38"/>
    </row>
    <row r="711" spans="1:5" ht="21.75" customHeight="1" x14ac:dyDescent="0.6">
      <c r="A711" s="38"/>
      <c r="B711" s="39"/>
      <c r="C711" s="39"/>
      <c r="D711" s="40"/>
      <c r="E711" s="38"/>
    </row>
    <row r="712" spans="1:5" ht="21.75" customHeight="1" x14ac:dyDescent="0.6">
      <c r="A712" s="38"/>
      <c r="B712" s="39"/>
      <c r="C712" s="39"/>
      <c r="D712" s="40"/>
      <c r="E712" s="38"/>
    </row>
    <row r="713" spans="1:5" ht="21.75" customHeight="1" x14ac:dyDescent="0.6">
      <c r="A713" s="38"/>
      <c r="B713" s="39"/>
      <c r="C713" s="39"/>
      <c r="D713" s="40"/>
      <c r="E713" s="38"/>
    </row>
    <row r="714" spans="1:5" ht="21.75" customHeight="1" x14ac:dyDescent="0.6">
      <c r="A714" s="38"/>
      <c r="B714" s="39"/>
      <c r="C714" s="39"/>
      <c r="D714" s="40"/>
      <c r="E714" s="38"/>
    </row>
    <row r="715" spans="1:5" ht="21.75" customHeight="1" x14ac:dyDescent="0.6">
      <c r="A715" s="38"/>
      <c r="B715" s="39"/>
      <c r="C715" s="39"/>
      <c r="D715" s="40"/>
      <c r="E715" s="38"/>
    </row>
    <row r="716" spans="1:5" ht="21.75" customHeight="1" x14ac:dyDescent="0.6">
      <c r="A716" s="38"/>
      <c r="B716" s="39"/>
      <c r="C716" s="39"/>
      <c r="D716" s="40"/>
      <c r="E716" s="38"/>
    </row>
    <row r="717" spans="1:5" ht="21.75" customHeight="1" x14ac:dyDescent="0.6">
      <c r="A717" s="38"/>
      <c r="B717" s="39"/>
      <c r="C717" s="39"/>
      <c r="D717" s="40"/>
      <c r="E717" s="38"/>
    </row>
    <row r="718" spans="1:5" ht="21.75" customHeight="1" x14ac:dyDescent="0.6">
      <c r="A718" s="38"/>
      <c r="B718" s="39"/>
      <c r="C718" s="39"/>
      <c r="D718" s="40"/>
      <c r="E718" s="38"/>
    </row>
    <row r="719" spans="1:5" ht="21.75" customHeight="1" x14ac:dyDescent="0.6">
      <c r="A719" s="38"/>
      <c r="B719" s="39"/>
      <c r="C719" s="39"/>
      <c r="D719" s="40"/>
      <c r="E719" s="38"/>
    </row>
    <row r="720" spans="1:5" ht="21.75" customHeight="1" x14ac:dyDescent="0.6">
      <c r="A720" s="38"/>
      <c r="B720" s="39"/>
      <c r="C720" s="39"/>
      <c r="D720" s="40"/>
      <c r="E720" s="38"/>
    </row>
    <row r="721" spans="1:5" ht="21.75" customHeight="1" x14ac:dyDescent="0.6">
      <c r="A721" s="38"/>
      <c r="B721" s="39"/>
      <c r="C721" s="39"/>
      <c r="D721" s="40"/>
      <c r="E721" s="38"/>
    </row>
    <row r="722" spans="1:5" ht="21.75" customHeight="1" x14ac:dyDescent="0.6">
      <c r="A722" s="38"/>
      <c r="B722" s="39"/>
      <c r="C722" s="39"/>
      <c r="D722" s="40"/>
      <c r="E722" s="38"/>
    </row>
    <row r="723" spans="1:5" ht="21.75" customHeight="1" x14ac:dyDescent="0.6">
      <c r="A723" s="38"/>
      <c r="B723" s="39"/>
      <c r="C723" s="39"/>
      <c r="D723" s="40"/>
      <c r="E723" s="38"/>
    </row>
    <row r="724" spans="1:5" ht="21.75" customHeight="1" x14ac:dyDescent="0.6">
      <c r="A724" s="38"/>
      <c r="B724" s="39"/>
      <c r="C724" s="39"/>
      <c r="D724" s="40"/>
      <c r="E724" s="38"/>
    </row>
    <row r="725" spans="1:5" ht="21.75" customHeight="1" x14ac:dyDescent="0.6">
      <c r="A725" s="38"/>
      <c r="B725" s="39"/>
      <c r="C725" s="39"/>
      <c r="D725" s="40"/>
      <c r="E725" s="38"/>
    </row>
    <row r="726" spans="1:5" ht="21.75" customHeight="1" x14ac:dyDescent="0.6">
      <c r="A726" s="38"/>
      <c r="B726" s="39"/>
      <c r="C726" s="39"/>
      <c r="D726" s="40"/>
      <c r="E726" s="38"/>
    </row>
    <row r="727" spans="1:5" ht="21.75" customHeight="1" x14ac:dyDescent="0.6">
      <c r="A727" s="38"/>
      <c r="B727" s="39"/>
      <c r="C727" s="39"/>
      <c r="D727" s="40"/>
      <c r="E727" s="38"/>
    </row>
    <row r="728" spans="1:5" ht="21.75" customHeight="1" x14ac:dyDescent="0.6">
      <c r="A728" s="38"/>
      <c r="B728" s="39"/>
      <c r="C728" s="39"/>
      <c r="D728" s="40"/>
      <c r="E728" s="38"/>
    </row>
    <row r="729" spans="1:5" ht="21.75" customHeight="1" x14ac:dyDescent="0.6">
      <c r="A729" s="38"/>
      <c r="B729" s="39"/>
      <c r="C729" s="39"/>
      <c r="D729" s="40"/>
      <c r="E729" s="38"/>
    </row>
    <row r="730" spans="1:5" ht="21.75" customHeight="1" x14ac:dyDescent="0.6">
      <c r="A730" s="38"/>
      <c r="B730" s="39"/>
      <c r="C730" s="39"/>
      <c r="D730" s="40"/>
      <c r="E730" s="38"/>
    </row>
    <row r="731" spans="1:5" ht="21.75" customHeight="1" x14ac:dyDescent="0.6">
      <c r="A731" s="38"/>
      <c r="B731" s="39"/>
      <c r="C731" s="39"/>
      <c r="D731" s="40"/>
      <c r="E731" s="38"/>
    </row>
    <row r="732" spans="1:5" ht="21.75" customHeight="1" x14ac:dyDescent="0.6">
      <c r="A732" s="38"/>
      <c r="B732" s="39"/>
      <c r="C732" s="39"/>
      <c r="D732" s="40"/>
      <c r="E732" s="38"/>
    </row>
    <row r="733" spans="1:5" ht="21.75" customHeight="1" x14ac:dyDescent="0.6">
      <c r="A733" s="38"/>
      <c r="B733" s="39"/>
      <c r="C733" s="39"/>
      <c r="D733" s="40"/>
      <c r="E733" s="38"/>
    </row>
    <row r="734" spans="1:5" ht="21.75" customHeight="1" x14ac:dyDescent="0.6">
      <c r="A734" s="38"/>
      <c r="B734" s="39"/>
      <c r="C734" s="39"/>
      <c r="D734" s="40"/>
      <c r="E734" s="38"/>
    </row>
    <row r="735" spans="1:5" ht="21.75" customHeight="1" x14ac:dyDescent="0.6">
      <c r="A735" s="38"/>
      <c r="B735" s="39"/>
      <c r="C735" s="39"/>
      <c r="D735" s="40"/>
      <c r="E735" s="38"/>
    </row>
    <row r="736" spans="1:5" ht="21.75" customHeight="1" x14ac:dyDescent="0.6">
      <c r="A736" s="38"/>
      <c r="B736" s="39"/>
      <c r="C736" s="39"/>
      <c r="D736" s="40"/>
      <c r="E736" s="38"/>
    </row>
    <row r="737" spans="1:5" ht="21.75" customHeight="1" x14ac:dyDescent="0.6">
      <c r="A737" s="38"/>
      <c r="B737" s="39"/>
      <c r="C737" s="39"/>
      <c r="D737" s="40"/>
      <c r="E737" s="38"/>
    </row>
    <row r="738" spans="1:5" ht="21.75" customHeight="1" x14ac:dyDescent="0.6">
      <c r="A738" s="38"/>
      <c r="B738" s="39"/>
      <c r="C738" s="39"/>
      <c r="D738" s="40"/>
      <c r="E738" s="38"/>
    </row>
    <row r="739" spans="1:5" ht="21.75" customHeight="1" x14ac:dyDescent="0.6">
      <c r="A739" s="38"/>
      <c r="B739" s="39"/>
      <c r="C739" s="39"/>
      <c r="D739" s="40"/>
      <c r="E739" s="38"/>
    </row>
    <row r="740" spans="1:5" ht="21.75" customHeight="1" x14ac:dyDescent="0.6">
      <c r="A740" s="38"/>
      <c r="B740" s="39"/>
      <c r="C740" s="39"/>
      <c r="D740" s="40"/>
      <c r="E740" s="38"/>
    </row>
    <row r="741" spans="1:5" ht="21.75" customHeight="1" x14ac:dyDescent="0.6">
      <c r="A741" s="38"/>
      <c r="B741" s="39"/>
      <c r="C741" s="39"/>
      <c r="D741" s="40"/>
      <c r="E741" s="38"/>
    </row>
    <row r="742" spans="1:5" ht="21.75" customHeight="1" x14ac:dyDescent="0.6">
      <c r="A742" s="38"/>
      <c r="B742" s="39"/>
      <c r="C742" s="39"/>
      <c r="D742" s="40"/>
      <c r="E742" s="38"/>
    </row>
    <row r="743" spans="1:5" ht="21.75" customHeight="1" x14ac:dyDescent="0.6">
      <c r="A743" s="38"/>
      <c r="B743" s="39"/>
      <c r="C743" s="39"/>
      <c r="D743" s="40"/>
      <c r="E743" s="38"/>
    </row>
    <row r="744" spans="1:5" ht="21.75" customHeight="1" x14ac:dyDescent="0.6">
      <c r="A744" s="38"/>
      <c r="B744" s="39"/>
      <c r="C744" s="39"/>
      <c r="D744" s="40"/>
      <c r="E744" s="38"/>
    </row>
    <row r="745" spans="1:5" ht="21.75" customHeight="1" x14ac:dyDescent="0.6">
      <c r="A745" s="38"/>
      <c r="B745" s="39"/>
      <c r="C745" s="39"/>
      <c r="D745" s="40"/>
      <c r="E745" s="38"/>
    </row>
    <row r="746" spans="1:5" ht="21.75" customHeight="1" x14ac:dyDescent="0.6">
      <c r="A746" s="38"/>
      <c r="B746" s="39"/>
      <c r="C746" s="39"/>
      <c r="D746" s="40"/>
      <c r="E746" s="38"/>
    </row>
    <row r="747" spans="1:5" ht="21.75" customHeight="1" x14ac:dyDescent="0.6">
      <c r="A747" s="38"/>
      <c r="B747" s="39"/>
      <c r="C747" s="39"/>
      <c r="D747" s="40"/>
      <c r="E747" s="38"/>
    </row>
    <row r="748" spans="1:5" ht="21.75" customHeight="1" x14ac:dyDescent="0.6">
      <c r="A748" s="38"/>
      <c r="B748" s="39"/>
      <c r="C748" s="39"/>
      <c r="D748" s="40"/>
      <c r="E748" s="38"/>
    </row>
    <row r="749" spans="1:5" ht="21.75" customHeight="1" x14ac:dyDescent="0.6">
      <c r="A749" s="38"/>
      <c r="B749" s="39"/>
      <c r="C749" s="39"/>
      <c r="D749" s="40"/>
      <c r="E749" s="38"/>
    </row>
    <row r="750" spans="1:5" ht="21.75" customHeight="1" x14ac:dyDescent="0.6">
      <c r="A750" s="38"/>
      <c r="B750" s="39"/>
      <c r="C750" s="39"/>
      <c r="D750" s="40"/>
      <c r="E750" s="38"/>
    </row>
    <row r="751" spans="1:5" ht="21.75" customHeight="1" x14ac:dyDescent="0.6">
      <c r="A751" s="38"/>
      <c r="B751" s="39"/>
      <c r="C751" s="39"/>
      <c r="D751" s="40"/>
      <c r="E751" s="38"/>
    </row>
    <row r="752" spans="1:5" ht="21.75" customHeight="1" x14ac:dyDescent="0.6">
      <c r="A752" s="38"/>
      <c r="B752" s="39"/>
      <c r="C752" s="39"/>
      <c r="D752" s="40"/>
      <c r="E752" s="38"/>
    </row>
    <row r="753" spans="1:5" ht="21.75" customHeight="1" x14ac:dyDescent="0.6">
      <c r="A753" s="38"/>
      <c r="B753" s="39"/>
      <c r="C753" s="39"/>
      <c r="D753" s="40"/>
      <c r="E753" s="38"/>
    </row>
    <row r="754" spans="1:5" ht="21.75" customHeight="1" x14ac:dyDescent="0.6">
      <c r="A754" s="38"/>
      <c r="B754" s="39"/>
      <c r="C754" s="39"/>
      <c r="D754" s="40"/>
      <c r="E754" s="38"/>
    </row>
    <row r="755" spans="1:5" ht="21.75" customHeight="1" x14ac:dyDescent="0.6">
      <c r="A755" s="38"/>
      <c r="B755" s="39"/>
      <c r="C755" s="39"/>
      <c r="D755" s="40"/>
      <c r="E755" s="38"/>
    </row>
    <row r="756" spans="1:5" ht="21.75" customHeight="1" x14ac:dyDescent="0.6">
      <c r="A756" s="38"/>
      <c r="B756" s="39"/>
      <c r="C756" s="39"/>
      <c r="D756" s="40"/>
      <c r="E756" s="38"/>
    </row>
    <row r="757" spans="1:5" ht="21.75" customHeight="1" x14ac:dyDescent="0.6">
      <c r="A757" s="38"/>
      <c r="B757" s="39"/>
      <c r="C757" s="39"/>
      <c r="D757" s="40"/>
      <c r="E757" s="38"/>
    </row>
    <row r="758" spans="1:5" ht="21.75" customHeight="1" x14ac:dyDescent="0.6">
      <c r="A758" s="38"/>
      <c r="B758" s="39"/>
      <c r="C758" s="39"/>
      <c r="D758" s="40"/>
      <c r="E758" s="38"/>
    </row>
    <row r="759" spans="1:5" ht="21.75" customHeight="1" x14ac:dyDescent="0.6">
      <c r="A759" s="38"/>
      <c r="B759" s="39"/>
      <c r="C759" s="39"/>
      <c r="D759" s="40"/>
      <c r="E759" s="38"/>
    </row>
    <row r="760" spans="1:5" ht="21.75" customHeight="1" x14ac:dyDescent="0.6">
      <c r="A760" s="38"/>
      <c r="B760" s="39"/>
      <c r="C760" s="39"/>
      <c r="D760" s="40"/>
      <c r="E760" s="38"/>
    </row>
    <row r="761" spans="1:5" ht="21.75" customHeight="1" x14ac:dyDescent="0.6">
      <c r="A761" s="38"/>
      <c r="B761" s="39"/>
      <c r="C761" s="39"/>
      <c r="D761" s="40"/>
      <c r="E761" s="38"/>
    </row>
    <row r="762" spans="1:5" ht="21.75" customHeight="1" x14ac:dyDescent="0.6">
      <c r="A762" s="38"/>
      <c r="B762" s="39"/>
      <c r="C762" s="39"/>
      <c r="D762" s="40"/>
      <c r="E762" s="38"/>
    </row>
    <row r="763" spans="1:5" ht="21.75" customHeight="1" x14ac:dyDescent="0.6">
      <c r="A763" s="38"/>
      <c r="B763" s="39"/>
      <c r="C763" s="39"/>
      <c r="D763" s="40"/>
      <c r="E763" s="38"/>
    </row>
    <row r="764" spans="1:5" ht="21.75" customHeight="1" x14ac:dyDescent="0.6">
      <c r="A764" s="38"/>
      <c r="B764" s="39"/>
      <c r="C764" s="39"/>
      <c r="D764" s="40"/>
      <c r="E764" s="38"/>
    </row>
    <row r="765" spans="1:5" ht="21.75" customHeight="1" x14ac:dyDescent="0.6">
      <c r="A765" s="38"/>
      <c r="B765" s="39"/>
      <c r="C765" s="39"/>
      <c r="D765" s="40"/>
      <c r="E765" s="38"/>
    </row>
    <row r="766" spans="1:5" ht="21.75" customHeight="1" x14ac:dyDescent="0.6">
      <c r="A766" s="38"/>
      <c r="B766" s="39"/>
      <c r="C766" s="39"/>
      <c r="D766" s="40"/>
      <c r="E766" s="38"/>
    </row>
    <row r="767" spans="1:5" ht="21.75" customHeight="1" x14ac:dyDescent="0.6">
      <c r="A767" s="38"/>
      <c r="B767" s="39"/>
      <c r="C767" s="39"/>
      <c r="D767" s="40"/>
      <c r="E767" s="38"/>
    </row>
    <row r="768" spans="1:5" ht="21.75" customHeight="1" x14ac:dyDescent="0.6">
      <c r="A768" s="38"/>
      <c r="B768" s="39"/>
      <c r="C768" s="39"/>
      <c r="D768" s="40"/>
      <c r="E768" s="38"/>
    </row>
    <row r="769" spans="1:5" ht="21.75" customHeight="1" x14ac:dyDescent="0.6">
      <c r="A769" s="38"/>
      <c r="B769" s="39"/>
      <c r="C769" s="39"/>
      <c r="D769" s="40"/>
      <c r="E769" s="38"/>
    </row>
    <row r="770" spans="1:5" ht="21.75" customHeight="1" x14ac:dyDescent="0.6">
      <c r="A770" s="38"/>
      <c r="B770" s="39"/>
      <c r="C770" s="39"/>
      <c r="D770" s="40"/>
      <c r="E770" s="38"/>
    </row>
    <row r="771" spans="1:5" ht="21.75" customHeight="1" x14ac:dyDescent="0.6">
      <c r="A771" s="38"/>
      <c r="B771" s="39"/>
      <c r="C771" s="39"/>
      <c r="D771" s="40"/>
      <c r="E771" s="38"/>
    </row>
    <row r="772" spans="1:5" ht="21.75" customHeight="1" x14ac:dyDescent="0.6">
      <c r="A772" s="38"/>
      <c r="B772" s="39"/>
      <c r="C772" s="39"/>
      <c r="D772" s="40"/>
      <c r="E772" s="38"/>
    </row>
    <row r="773" spans="1:5" ht="21.75" customHeight="1" x14ac:dyDescent="0.6">
      <c r="A773" s="38"/>
      <c r="B773" s="39"/>
      <c r="C773" s="39"/>
      <c r="D773" s="40"/>
      <c r="E773" s="38"/>
    </row>
    <row r="774" spans="1:5" ht="21.75" customHeight="1" x14ac:dyDescent="0.6">
      <c r="A774" s="38"/>
      <c r="B774" s="39"/>
      <c r="C774" s="39"/>
      <c r="D774" s="40"/>
      <c r="E774" s="38"/>
    </row>
    <row r="775" spans="1:5" ht="21.75" customHeight="1" x14ac:dyDescent="0.6">
      <c r="A775" s="38"/>
      <c r="B775" s="39"/>
      <c r="C775" s="39"/>
      <c r="D775" s="40"/>
      <c r="E775" s="38"/>
    </row>
    <row r="776" spans="1:5" ht="21.75" customHeight="1" x14ac:dyDescent="0.6">
      <c r="A776" s="38"/>
      <c r="B776" s="39"/>
      <c r="C776" s="39"/>
      <c r="D776" s="40"/>
      <c r="E776" s="38"/>
    </row>
    <row r="777" spans="1:5" ht="21.75" customHeight="1" x14ac:dyDescent="0.6">
      <c r="A777" s="38"/>
      <c r="B777" s="39"/>
      <c r="C777" s="39"/>
      <c r="D777" s="40"/>
      <c r="E777" s="38"/>
    </row>
    <row r="778" spans="1:5" ht="21.75" customHeight="1" x14ac:dyDescent="0.6">
      <c r="A778" s="38"/>
      <c r="B778" s="39"/>
      <c r="C778" s="39"/>
      <c r="D778" s="40"/>
      <c r="E778" s="38"/>
    </row>
    <row r="779" spans="1:5" ht="21.75" customHeight="1" x14ac:dyDescent="0.6">
      <c r="A779" s="38"/>
      <c r="B779" s="39"/>
      <c r="C779" s="39"/>
      <c r="D779" s="40"/>
      <c r="E779" s="38"/>
    </row>
    <row r="780" spans="1:5" ht="21.75" customHeight="1" x14ac:dyDescent="0.6">
      <c r="A780" s="38"/>
      <c r="B780" s="39"/>
      <c r="C780" s="39"/>
      <c r="D780" s="40"/>
      <c r="E780" s="38"/>
    </row>
    <row r="781" spans="1:5" ht="21.75" customHeight="1" x14ac:dyDescent="0.6">
      <c r="A781" s="38"/>
      <c r="B781" s="39"/>
      <c r="C781" s="39"/>
      <c r="D781" s="40"/>
      <c r="E781" s="38"/>
    </row>
    <row r="782" spans="1:5" ht="21.75" customHeight="1" x14ac:dyDescent="0.6">
      <c r="A782" s="38"/>
      <c r="B782" s="39"/>
      <c r="C782" s="39"/>
      <c r="D782" s="40"/>
      <c r="E782" s="38"/>
    </row>
    <row r="783" spans="1:5" ht="21.75" customHeight="1" x14ac:dyDescent="0.6">
      <c r="A783" s="38"/>
      <c r="B783" s="39"/>
      <c r="C783" s="39"/>
      <c r="D783" s="40"/>
      <c r="E783" s="38"/>
    </row>
    <row r="784" spans="1:5" ht="21.75" customHeight="1" x14ac:dyDescent="0.6">
      <c r="A784" s="38"/>
      <c r="B784" s="39"/>
      <c r="C784" s="39"/>
      <c r="D784" s="40"/>
      <c r="E784" s="38"/>
    </row>
    <row r="785" spans="1:5" ht="21.75" customHeight="1" x14ac:dyDescent="0.6">
      <c r="A785" s="38"/>
      <c r="B785" s="39"/>
      <c r="C785" s="39"/>
      <c r="D785" s="40"/>
      <c r="E785" s="38"/>
    </row>
    <row r="786" spans="1:5" ht="21.75" customHeight="1" x14ac:dyDescent="0.6">
      <c r="A786" s="38"/>
      <c r="B786" s="39"/>
      <c r="C786" s="39"/>
      <c r="D786" s="40"/>
      <c r="E786" s="38"/>
    </row>
    <row r="787" spans="1:5" ht="21.75" customHeight="1" x14ac:dyDescent="0.6">
      <c r="A787" s="38"/>
      <c r="B787" s="39"/>
      <c r="C787" s="39"/>
      <c r="D787" s="40"/>
      <c r="E787" s="38"/>
    </row>
    <row r="788" spans="1:5" ht="21.75" customHeight="1" x14ac:dyDescent="0.6">
      <c r="A788" s="38"/>
      <c r="B788" s="39"/>
      <c r="C788" s="39"/>
      <c r="D788" s="40"/>
      <c r="E788" s="38"/>
    </row>
    <row r="789" spans="1:5" ht="21.75" customHeight="1" x14ac:dyDescent="0.6">
      <c r="A789" s="38"/>
      <c r="B789" s="39"/>
      <c r="C789" s="39"/>
      <c r="D789" s="40"/>
      <c r="E789" s="38"/>
    </row>
    <row r="790" spans="1:5" ht="21.75" customHeight="1" x14ac:dyDescent="0.6">
      <c r="A790" s="38"/>
      <c r="B790" s="39"/>
      <c r="C790" s="39"/>
      <c r="D790" s="40"/>
      <c r="E790" s="38"/>
    </row>
    <row r="791" spans="1:5" ht="21.75" customHeight="1" x14ac:dyDescent="0.6">
      <c r="A791" s="38"/>
      <c r="B791" s="39"/>
      <c r="C791" s="39"/>
      <c r="D791" s="40"/>
      <c r="E791" s="38"/>
    </row>
    <row r="792" spans="1:5" ht="21.75" customHeight="1" x14ac:dyDescent="0.6">
      <c r="A792" s="38"/>
      <c r="B792" s="39"/>
      <c r="C792" s="39"/>
      <c r="D792" s="40"/>
      <c r="E792" s="38"/>
    </row>
    <row r="793" spans="1:5" ht="21.75" customHeight="1" x14ac:dyDescent="0.6">
      <c r="A793" s="38"/>
      <c r="B793" s="39"/>
      <c r="C793" s="39"/>
      <c r="D793" s="40"/>
      <c r="E793" s="38"/>
    </row>
    <row r="794" spans="1:5" ht="21.75" customHeight="1" x14ac:dyDescent="0.6">
      <c r="A794" s="38"/>
      <c r="B794" s="39"/>
      <c r="C794" s="39"/>
      <c r="D794" s="40"/>
      <c r="E794" s="38"/>
    </row>
    <row r="795" spans="1:5" ht="21.75" customHeight="1" x14ac:dyDescent="0.6">
      <c r="A795" s="38"/>
      <c r="B795" s="39"/>
      <c r="C795" s="39"/>
      <c r="D795" s="40"/>
      <c r="E795" s="38"/>
    </row>
    <row r="796" spans="1:5" ht="21.75" customHeight="1" x14ac:dyDescent="0.6">
      <c r="A796" s="38"/>
      <c r="B796" s="39"/>
      <c r="C796" s="39"/>
      <c r="D796" s="40"/>
      <c r="E796" s="38"/>
    </row>
    <row r="797" spans="1:5" ht="21.75" customHeight="1" x14ac:dyDescent="0.6">
      <c r="A797" s="38"/>
      <c r="B797" s="39"/>
      <c r="C797" s="39"/>
      <c r="D797" s="40"/>
      <c r="E797" s="38"/>
    </row>
    <row r="798" spans="1:5" ht="21.75" customHeight="1" x14ac:dyDescent="0.6">
      <c r="A798" s="38"/>
      <c r="B798" s="39"/>
      <c r="C798" s="39"/>
      <c r="D798" s="40"/>
      <c r="E798" s="38"/>
    </row>
    <row r="799" spans="1:5" ht="21.75" customHeight="1" x14ac:dyDescent="0.6">
      <c r="A799" s="38"/>
      <c r="B799" s="39"/>
      <c r="C799" s="39"/>
      <c r="D799" s="40"/>
      <c r="E799" s="38"/>
    </row>
    <row r="800" spans="1:5" ht="21.75" customHeight="1" x14ac:dyDescent="0.6">
      <c r="A800" s="38"/>
      <c r="B800" s="39"/>
      <c r="C800" s="39"/>
      <c r="D800" s="40"/>
      <c r="E800" s="38"/>
    </row>
    <row r="801" spans="1:5" ht="21.75" customHeight="1" x14ac:dyDescent="0.6">
      <c r="A801" s="38"/>
      <c r="B801" s="39"/>
      <c r="C801" s="39"/>
      <c r="D801" s="40"/>
      <c r="E801" s="38"/>
    </row>
    <row r="802" spans="1:5" ht="21.75" customHeight="1" x14ac:dyDescent="0.6">
      <c r="A802" s="38"/>
      <c r="B802" s="39"/>
      <c r="C802" s="39"/>
      <c r="D802" s="40"/>
      <c r="E802" s="38"/>
    </row>
    <row r="803" spans="1:5" ht="21.75" customHeight="1" x14ac:dyDescent="0.6">
      <c r="A803" s="38"/>
      <c r="B803" s="39"/>
      <c r="C803" s="39"/>
      <c r="D803" s="40"/>
      <c r="E803" s="38"/>
    </row>
    <row r="804" spans="1:5" ht="21.75" customHeight="1" x14ac:dyDescent="0.6">
      <c r="A804" s="38"/>
      <c r="B804" s="39"/>
      <c r="C804" s="39"/>
      <c r="D804" s="40"/>
      <c r="E804" s="38"/>
    </row>
    <row r="805" spans="1:5" ht="21.75" customHeight="1" x14ac:dyDescent="0.6">
      <c r="A805" s="38"/>
      <c r="B805" s="39"/>
      <c r="C805" s="39"/>
      <c r="D805" s="40"/>
      <c r="E805" s="38"/>
    </row>
    <row r="806" spans="1:5" ht="21.75" customHeight="1" x14ac:dyDescent="0.6">
      <c r="A806" s="38"/>
      <c r="B806" s="39"/>
      <c r="C806" s="39"/>
      <c r="D806" s="40"/>
      <c r="E806" s="38"/>
    </row>
    <row r="807" spans="1:5" ht="21.75" customHeight="1" x14ac:dyDescent="0.6">
      <c r="A807" s="38"/>
      <c r="B807" s="39"/>
      <c r="C807" s="39"/>
      <c r="D807" s="40"/>
      <c r="E807" s="38"/>
    </row>
    <row r="808" spans="1:5" ht="21.75" customHeight="1" x14ac:dyDescent="0.6">
      <c r="A808" s="38"/>
      <c r="B808" s="39"/>
      <c r="C808" s="39"/>
      <c r="D808" s="40"/>
      <c r="E808" s="38"/>
    </row>
    <row r="809" spans="1:5" ht="21.75" customHeight="1" x14ac:dyDescent="0.6">
      <c r="A809" s="38"/>
      <c r="B809" s="39"/>
      <c r="C809" s="39"/>
      <c r="D809" s="40"/>
      <c r="E809" s="38"/>
    </row>
    <row r="810" spans="1:5" ht="21.75" customHeight="1" x14ac:dyDescent="0.6">
      <c r="A810" s="38"/>
      <c r="B810" s="39"/>
      <c r="C810" s="39"/>
      <c r="D810" s="40"/>
      <c r="E810" s="38"/>
    </row>
    <row r="811" spans="1:5" ht="21.75" customHeight="1" x14ac:dyDescent="0.6">
      <c r="A811" s="38"/>
      <c r="B811" s="39"/>
      <c r="C811" s="39"/>
      <c r="D811" s="40"/>
      <c r="E811" s="38"/>
    </row>
    <row r="812" spans="1:5" ht="21.75" customHeight="1" x14ac:dyDescent="0.6">
      <c r="A812" s="38"/>
      <c r="B812" s="39"/>
      <c r="C812" s="39"/>
      <c r="D812" s="40"/>
      <c r="E812" s="38"/>
    </row>
    <row r="813" spans="1:5" ht="21.75" customHeight="1" x14ac:dyDescent="0.6">
      <c r="A813" s="38"/>
      <c r="B813" s="39"/>
      <c r="C813" s="39"/>
      <c r="D813" s="40"/>
      <c r="E813" s="38"/>
    </row>
    <row r="814" spans="1:5" ht="21.75" customHeight="1" x14ac:dyDescent="0.6">
      <c r="A814" s="38"/>
      <c r="B814" s="39"/>
      <c r="C814" s="39"/>
      <c r="D814" s="40"/>
      <c r="E814" s="38"/>
    </row>
    <row r="815" spans="1:5" ht="21.75" customHeight="1" x14ac:dyDescent="0.6">
      <c r="A815" s="38"/>
      <c r="B815" s="39"/>
      <c r="C815" s="39"/>
      <c r="D815" s="40"/>
      <c r="E815" s="38"/>
    </row>
    <row r="816" spans="1:5" ht="21.75" customHeight="1" x14ac:dyDescent="0.6">
      <c r="A816" s="38"/>
      <c r="B816" s="39"/>
      <c r="C816" s="39"/>
      <c r="D816" s="40"/>
      <c r="E816" s="38"/>
    </row>
    <row r="817" spans="1:5" ht="21.75" customHeight="1" x14ac:dyDescent="0.6">
      <c r="A817" s="38"/>
      <c r="B817" s="39"/>
      <c r="C817" s="39"/>
      <c r="D817" s="40"/>
      <c r="E817" s="38"/>
    </row>
    <row r="818" spans="1:5" ht="21.75" customHeight="1" x14ac:dyDescent="0.6">
      <c r="A818" s="38"/>
      <c r="B818" s="39"/>
      <c r="C818" s="39"/>
      <c r="D818" s="40"/>
      <c r="E818" s="38"/>
    </row>
    <row r="819" spans="1:5" ht="21.75" customHeight="1" x14ac:dyDescent="0.6">
      <c r="A819" s="38"/>
      <c r="B819" s="39"/>
      <c r="C819" s="39"/>
      <c r="D819" s="40"/>
      <c r="E819" s="38"/>
    </row>
    <row r="820" spans="1:5" ht="21.75" customHeight="1" x14ac:dyDescent="0.6">
      <c r="A820" s="38"/>
      <c r="B820" s="39"/>
      <c r="C820" s="39"/>
      <c r="D820" s="40"/>
      <c r="E820" s="38"/>
    </row>
    <row r="821" spans="1:5" ht="21.75" customHeight="1" x14ac:dyDescent="0.6">
      <c r="A821" s="38"/>
      <c r="B821" s="39"/>
      <c r="C821" s="39"/>
      <c r="D821" s="40"/>
      <c r="E821" s="38"/>
    </row>
    <row r="822" spans="1:5" ht="21.75" customHeight="1" x14ac:dyDescent="0.6">
      <c r="A822" s="38"/>
      <c r="B822" s="39"/>
      <c r="C822" s="39"/>
      <c r="D822" s="40"/>
      <c r="E822" s="38"/>
    </row>
    <row r="823" spans="1:5" ht="21.75" customHeight="1" x14ac:dyDescent="0.6">
      <c r="A823" s="38"/>
      <c r="B823" s="39"/>
      <c r="C823" s="39"/>
      <c r="D823" s="40"/>
      <c r="E823" s="38"/>
    </row>
    <row r="824" spans="1:5" ht="21.75" customHeight="1" x14ac:dyDescent="0.6">
      <c r="A824" s="38"/>
      <c r="B824" s="39"/>
      <c r="C824" s="39"/>
      <c r="D824" s="40"/>
      <c r="E824" s="38"/>
    </row>
    <row r="825" spans="1:5" ht="21.75" customHeight="1" x14ac:dyDescent="0.6">
      <c r="A825" s="38"/>
      <c r="B825" s="39"/>
      <c r="C825" s="39"/>
      <c r="D825" s="40"/>
      <c r="E825" s="38"/>
    </row>
    <row r="826" spans="1:5" ht="21.75" customHeight="1" x14ac:dyDescent="0.6">
      <c r="A826" s="38"/>
      <c r="B826" s="39"/>
      <c r="C826" s="39"/>
      <c r="D826" s="40"/>
      <c r="E826" s="38"/>
    </row>
    <row r="827" spans="1:5" ht="21.75" customHeight="1" x14ac:dyDescent="0.6">
      <c r="A827" s="38"/>
      <c r="B827" s="39"/>
      <c r="C827" s="39"/>
      <c r="D827" s="40"/>
      <c r="E827" s="38"/>
    </row>
    <row r="828" spans="1:5" ht="21.75" customHeight="1" x14ac:dyDescent="0.6">
      <c r="A828" s="38"/>
      <c r="B828" s="39"/>
      <c r="C828" s="39"/>
      <c r="D828" s="40"/>
      <c r="E828" s="38"/>
    </row>
    <row r="829" spans="1:5" ht="21.75" customHeight="1" x14ac:dyDescent="0.6">
      <c r="A829" s="38"/>
      <c r="B829" s="39"/>
      <c r="C829" s="39"/>
      <c r="D829" s="40"/>
      <c r="E829" s="38"/>
    </row>
    <row r="830" spans="1:5" ht="21.75" customHeight="1" x14ac:dyDescent="0.6">
      <c r="A830" s="38"/>
      <c r="B830" s="39"/>
      <c r="C830" s="39"/>
      <c r="D830" s="40"/>
      <c r="E830" s="38"/>
    </row>
    <row r="831" spans="1:5" ht="21.75" customHeight="1" x14ac:dyDescent="0.6">
      <c r="A831" s="38"/>
      <c r="B831" s="39"/>
      <c r="C831" s="39"/>
      <c r="D831" s="40"/>
      <c r="E831" s="38"/>
    </row>
    <row r="832" spans="1:5" ht="21.75" customHeight="1" x14ac:dyDescent="0.6">
      <c r="A832" s="38"/>
      <c r="B832" s="39"/>
      <c r="C832" s="39"/>
      <c r="D832" s="40"/>
      <c r="E832" s="38"/>
    </row>
    <row r="833" spans="1:5" ht="21.75" customHeight="1" x14ac:dyDescent="0.6">
      <c r="A833" s="38"/>
      <c r="B833" s="39"/>
      <c r="C833" s="39"/>
      <c r="D833" s="40"/>
      <c r="E833" s="38"/>
    </row>
    <row r="834" spans="1:5" ht="21.75" customHeight="1" x14ac:dyDescent="0.6">
      <c r="A834" s="38"/>
      <c r="B834" s="39"/>
      <c r="C834" s="39"/>
      <c r="D834" s="40"/>
      <c r="E834" s="38"/>
    </row>
    <row r="835" spans="1:5" ht="21.75" customHeight="1" x14ac:dyDescent="0.6">
      <c r="A835" s="38"/>
      <c r="B835" s="39"/>
      <c r="C835" s="39"/>
      <c r="D835" s="40"/>
      <c r="E835" s="38"/>
    </row>
    <row r="836" spans="1:5" ht="21.75" customHeight="1" x14ac:dyDescent="0.6">
      <c r="A836" s="38"/>
      <c r="B836" s="39"/>
      <c r="C836" s="39"/>
      <c r="D836" s="40"/>
      <c r="E836" s="38"/>
    </row>
    <row r="837" spans="1:5" ht="21.75" customHeight="1" x14ac:dyDescent="0.6">
      <c r="A837" s="38"/>
      <c r="B837" s="39"/>
      <c r="C837" s="39"/>
      <c r="D837" s="40"/>
      <c r="E837" s="38"/>
    </row>
    <row r="838" spans="1:5" ht="21.75" customHeight="1" x14ac:dyDescent="0.6">
      <c r="A838" s="38"/>
      <c r="B838" s="39"/>
      <c r="C838" s="39"/>
      <c r="D838" s="40"/>
      <c r="E838" s="38"/>
    </row>
    <row r="839" spans="1:5" ht="21.75" customHeight="1" x14ac:dyDescent="0.6">
      <c r="A839" s="38"/>
      <c r="B839" s="39"/>
      <c r="C839" s="39"/>
      <c r="D839" s="40"/>
      <c r="E839" s="38"/>
    </row>
    <row r="840" spans="1:5" ht="21.75" customHeight="1" x14ac:dyDescent="0.6">
      <c r="A840" s="38"/>
      <c r="B840" s="39"/>
      <c r="C840" s="39"/>
      <c r="D840" s="40"/>
      <c r="E840" s="38"/>
    </row>
    <row r="841" spans="1:5" ht="21.75" customHeight="1" x14ac:dyDescent="0.6">
      <c r="A841" s="38"/>
      <c r="B841" s="39"/>
      <c r="C841" s="39"/>
      <c r="D841" s="40"/>
      <c r="E841" s="38"/>
    </row>
    <row r="842" spans="1:5" ht="21.75" customHeight="1" x14ac:dyDescent="0.6">
      <c r="A842" s="38"/>
      <c r="B842" s="39"/>
      <c r="C842" s="39"/>
      <c r="D842" s="40"/>
      <c r="E842" s="38"/>
    </row>
    <row r="843" spans="1:5" ht="21.75" customHeight="1" x14ac:dyDescent="0.6">
      <c r="A843" s="38"/>
      <c r="B843" s="39"/>
      <c r="C843" s="39"/>
      <c r="D843" s="40"/>
      <c r="E843" s="38"/>
    </row>
    <row r="844" spans="1:5" ht="21.75" customHeight="1" x14ac:dyDescent="0.6">
      <c r="A844" s="38"/>
      <c r="B844" s="39"/>
      <c r="C844" s="39"/>
      <c r="D844" s="40"/>
      <c r="E844" s="38"/>
    </row>
    <row r="845" spans="1:5" ht="21.75" customHeight="1" x14ac:dyDescent="0.6">
      <c r="A845" s="38"/>
      <c r="B845" s="39"/>
      <c r="C845" s="39"/>
      <c r="D845" s="40"/>
      <c r="E845" s="38"/>
    </row>
    <row r="846" spans="1:5" ht="21.75" customHeight="1" x14ac:dyDescent="0.6">
      <c r="A846" s="38"/>
      <c r="B846" s="39"/>
      <c r="C846" s="39"/>
      <c r="D846" s="40"/>
      <c r="E846" s="38"/>
    </row>
    <row r="847" spans="1:5" ht="21.75" customHeight="1" x14ac:dyDescent="0.6">
      <c r="A847" s="38"/>
      <c r="B847" s="39"/>
      <c r="C847" s="39"/>
      <c r="D847" s="40"/>
      <c r="E847" s="38"/>
    </row>
    <row r="848" spans="1:5" ht="21.75" customHeight="1" x14ac:dyDescent="0.6">
      <c r="A848" s="38"/>
      <c r="B848" s="39"/>
      <c r="C848" s="39"/>
      <c r="D848" s="40"/>
      <c r="E848" s="38"/>
    </row>
    <row r="849" spans="1:5" ht="21.75" customHeight="1" x14ac:dyDescent="0.6">
      <c r="A849" s="38"/>
      <c r="B849" s="39"/>
      <c r="C849" s="39"/>
      <c r="D849" s="40"/>
      <c r="E849" s="38"/>
    </row>
    <row r="850" spans="1:5" ht="21.75" customHeight="1" x14ac:dyDescent="0.6">
      <c r="A850" s="38"/>
      <c r="B850" s="39"/>
      <c r="C850" s="39"/>
      <c r="D850" s="40"/>
      <c r="E850" s="38"/>
    </row>
    <row r="851" spans="1:5" ht="21.75" customHeight="1" x14ac:dyDescent="0.6">
      <c r="A851" s="38"/>
      <c r="B851" s="39"/>
      <c r="C851" s="39"/>
      <c r="D851" s="40"/>
      <c r="E851" s="38"/>
    </row>
    <row r="852" spans="1:5" ht="21.75" customHeight="1" x14ac:dyDescent="0.6">
      <c r="A852" s="38"/>
      <c r="B852" s="39"/>
      <c r="C852" s="39"/>
      <c r="D852" s="40"/>
      <c r="E852" s="38"/>
    </row>
    <row r="853" spans="1:5" ht="21.75" customHeight="1" x14ac:dyDescent="0.6">
      <c r="A853" s="38"/>
      <c r="B853" s="39"/>
      <c r="C853" s="39"/>
      <c r="D853" s="40"/>
      <c r="E853" s="38"/>
    </row>
    <row r="854" spans="1:5" ht="21.75" customHeight="1" x14ac:dyDescent="0.6">
      <c r="A854" s="38"/>
      <c r="B854" s="39"/>
      <c r="C854" s="39"/>
      <c r="D854" s="40"/>
      <c r="E854" s="38"/>
    </row>
    <row r="855" spans="1:5" ht="21.75" customHeight="1" x14ac:dyDescent="0.6">
      <c r="A855" s="38"/>
      <c r="B855" s="39"/>
      <c r="C855" s="39"/>
      <c r="D855" s="40"/>
      <c r="E855" s="38"/>
    </row>
    <row r="856" spans="1:5" ht="21.75" customHeight="1" x14ac:dyDescent="0.6">
      <c r="A856" s="38"/>
      <c r="B856" s="39"/>
      <c r="C856" s="39"/>
      <c r="D856" s="40"/>
      <c r="E856" s="38"/>
    </row>
    <row r="857" spans="1:5" ht="21.75" customHeight="1" x14ac:dyDescent="0.6">
      <c r="A857" s="38"/>
      <c r="B857" s="39"/>
      <c r="C857" s="39"/>
      <c r="D857" s="40"/>
      <c r="E857" s="38"/>
    </row>
    <row r="858" spans="1:5" ht="21.75" customHeight="1" x14ac:dyDescent="0.6">
      <c r="A858" s="38"/>
      <c r="B858" s="39"/>
      <c r="C858" s="39"/>
      <c r="D858" s="40"/>
      <c r="E858" s="38"/>
    </row>
    <row r="859" spans="1:5" ht="21.75" customHeight="1" x14ac:dyDescent="0.6">
      <c r="A859" s="38"/>
      <c r="B859" s="39"/>
      <c r="C859" s="39"/>
      <c r="D859" s="40"/>
      <c r="E859" s="38"/>
    </row>
    <row r="860" spans="1:5" ht="21.75" customHeight="1" x14ac:dyDescent="0.6">
      <c r="A860" s="38"/>
      <c r="B860" s="39"/>
      <c r="C860" s="39"/>
      <c r="D860" s="40"/>
      <c r="E860" s="38"/>
    </row>
    <row r="861" spans="1:5" ht="21.75" customHeight="1" x14ac:dyDescent="0.6">
      <c r="A861" s="38"/>
      <c r="B861" s="39"/>
      <c r="C861" s="39"/>
      <c r="D861" s="40"/>
      <c r="E861" s="38"/>
    </row>
    <row r="862" spans="1:5" ht="21.75" customHeight="1" x14ac:dyDescent="0.6">
      <c r="A862" s="38"/>
      <c r="B862" s="39"/>
      <c r="C862" s="39"/>
      <c r="D862" s="40"/>
      <c r="E862" s="38"/>
    </row>
    <row r="863" spans="1:5" ht="21.75" customHeight="1" x14ac:dyDescent="0.6">
      <c r="A863" s="38"/>
      <c r="B863" s="39"/>
      <c r="C863" s="39"/>
      <c r="D863" s="40"/>
      <c r="E863" s="38"/>
    </row>
    <row r="864" spans="1:5" ht="21.75" customHeight="1" x14ac:dyDescent="0.6">
      <c r="A864" s="38"/>
      <c r="B864" s="39"/>
      <c r="C864" s="39"/>
      <c r="D864" s="40"/>
      <c r="E864" s="38"/>
    </row>
    <row r="865" spans="1:5" ht="21.75" customHeight="1" x14ac:dyDescent="0.6">
      <c r="A865" s="38"/>
      <c r="B865" s="39"/>
      <c r="C865" s="39"/>
      <c r="D865" s="40"/>
      <c r="E865" s="38"/>
    </row>
    <row r="866" spans="1:5" ht="21.75" customHeight="1" x14ac:dyDescent="0.6">
      <c r="A866" s="38"/>
      <c r="B866" s="39"/>
      <c r="C866" s="39"/>
      <c r="D866" s="40"/>
      <c r="E866" s="38"/>
    </row>
    <row r="867" spans="1:5" ht="21.75" customHeight="1" x14ac:dyDescent="0.6">
      <c r="A867" s="38"/>
      <c r="B867" s="39"/>
      <c r="C867" s="39"/>
      <c r="D867" s="40"/>
      <c r="E867" s="38"/>
    </row>
    <row r="868" spans="1:5" ht="21.75" customHeight="1" x14ac:dyDescent="0.6">
      <c r="A868" s="38"/>
      <c r="B868" s="39"/>
      <c r="C868" s="39"/>
      <c r="D868" s="40"/>
      <c r="E868" s="38"/>
    </row>
    <row r="869" spans="1:5" ht="21.75" customHeight="1" x14ac:dyDescent="0.6">
      <c r="A869" s="38"/>
      <c r="B869" s="39"/>
      <c r="C869" s="39"/>
      <c r="D869" s="40"/>
      <c r="E869" s="38"/>
    </row>
    <row r="870" spans="1:5" ht="21.75" customHeight="1" x14ac:dyDescent="0.6">
      <c r="A870" s="38"/>
      <c r="B870" s="39"/>
      <c r="C870" s="39"/>
      <c r="D870" s="40"/>
      <c r="E870" s="38"/>
    </row>
    <row r="871" spans="1:5" ht="21.75" customHeight="1" x14ac:dyDescent="0.6">
      <c r="A871" s="38"/>
      <c r="B871" s="39"/>
      <c r="C871" s="39"/>
      <c r="D871" s="40"/>
      <c r="E871" s="38"/>
    </row>
    <row r="872" spans="1:5" ht="21.75" customHeight="1" x14ac:dyDescent="0.6">
      <c r="A872" s="38"/>
      <c r="B872" s="39"/>
      <c r="C872" s="39"/>
      <c r="D872" s="40"/>
      <c r="E872" s="38"/>
    </row>
    <row r="873" spans="1:5" ht="21.75" customHeight="1" x14ac:dyDescent="0.6">
      <c r="A873" s="38"/>
      <c r="B873" s="39"/>
      <c r="C873" s="39"/>
      <c r="D873" s="40"/>
      <c r="E873" s="38"/>
    </row>
    <row r="874" spans="1:5" ht="21.75" customHeight="1" x14ac:dyDescent="0.6">
      <c r="A874" s="38"/>
      <c r="B874" s="39"/>
      <c r="C874" s="39"/>
      <c r="D874" s="40"/>
      <c r="E874" s="38"/>
    </row>
    <row r="875" spans="1:5" ht="21.75" customHeight="1" x14ac:dyDescent="0.6">
      <c r="A875" s="38"/>
      <c r="B875" s="39"/>
      <c r="C875" s="39"/>
      <c r="D875" s="40"/>
      <c r="E875" s="38"/>
    </row>
    <row r="876" spans="1:5" ht="21.75" customHeight="1" x14ac:dyDescent="0.6">
      <c r="A876" s="38"/>
      <c r="B876" s="39"/>
      <c r="C876" s="39"/>
      <c r="D876" s="40"/>
      <c r="E876" s="38"/>
    </row>
    <row r="877" spans="1:5" ht="21.75" customHeight="1" x14ac:dyDescent="0.6">
      <c r="A877" s="38"/>
      <c r="B877" s="39"/>
      <c r="C877" s="39"/>
      <c r="D877" s="40"/>
      <c r="E877" s="38"/>
    </row>
    <row r="878" spans="1:5" ht="21.75" customHeight="1" x14ac:dyDescent="0.6">
      <c r="A878" s="38"/>
      <c r="B878" s="39"/>
      <c r="C878" s="39"/>
      <c r="D878" s="40"/>
      <c r="E878" s="38"/>
    </row>
    <row r="879" spans="1:5" ht="21.75" customHeight="1" x14ac:dyDescent="0.6">
      <c r="A879" s="38"/>
      <c r="B879" s="39"/>
      <c r="C879" s="39"/>
      <c r="D879" s="40"/>
      <c r="E879" s="38"/>
    </row>
    <row r="880" spans="1:5" ht="21.75" customHeight="1" x14ac:dyDescent="0.6">
      <c r="A880" s="38"/>
      <c r="B880" s="39"/>
      <c r="C880" s="39"/>
      <c r="D880" s="40"/>
      <c r="E880" s="38"/>
    </row>
    <row r="881" spans="1:5" ht="21.75" customHeight="1" x14ac:dyDescent="0.6">
      <c r="A881" s="38"/>
      <c r="B881" s="39"/>
      <c r="C881" s="39"/>
      <c r="D881" s="40"/>
      <c r="E881" s="38"/>
    </row>
    <row r="882" spans="1:5" ht="21.75" customHeight="1" x14ac:dyDescent="0.6">
      <c r="A882" s="38"/>
      <c r="B882" s="39"/>
      <c r="C882" s="39"/>
      <c r="D882" s="40"/>
      <c r="E882" s="38"/>
    </row>
    <row r="883" spans="1:5" ht="21.75" customHeight="1" x14ac:dyDescent="0.6">
      <c r="A883" s="38"/>
      <c r="B883" s="39"/>
      <c r="C883" s="39"/>
      <c r="D883" s="40"/>
      <c r="E883" s="38"/>
    </row>
    <row r="884" spans="1:5" ht="21.75" customHeight="1" x14ac:dyDescent="0.6">
      <c r="A884" s="38"/>
      <c r="B884" s="39"/>
      <c r="C884" s="39"/>
      <c r="D884" s="40"/>
      <c r="E884" s="38"/>
    </row>
    <row r="885" spans="1:5" ht="21.75" customHeight="1" x14ac:dyDescent="0.6">
      <c r="A885" s="38"/>
      <c r="B885" s="39"/>
      <c r="C885" s="39"/>
      <c r="D885" s="40"/>
      <c r="E885" s="38"/>
    </row>
    <row r="886" spans="1:5" ht="21.75" customHeight="1" x14ac:dyDescent="0.6">
      <c r="A886" s="38"/>
      <c r="B886" s="39"/>
      <c r="C886" s="39"/>
      <c r="D886" s="40"/>
      <c r="E886" s="38"/>
    </row>
    <row r="887" spans="1:5" ht="21.75" customHeight="1" x14ac:dyDescent="0.6">
      <c r="A887" s="38"/>
      <c r="B887" s="39"/>
      <c r="C887" s="39"/>
      <c r="D887" s="40"/>
      <c r="E887" s="38"/>
    </row>
    <row r="888" spans="1:5" ht="21.75" customHeight="1" x14ac:dyDescent="0.6">
      <c r="A888" s="38"/>
      <c r="B888" s="39"/>
      <c r="C888" s="39"/>
      <c r="D888" s="40"/>
      <c r="E888" s="38"/>
    </row>
    <row r="889" spans="1:5" ht="21.75" customHeight="1" x14ac:dyDescent="0.6">
      <c r="A889" s="38"/>
      <c r="B889" s="39"/>
      <c r="C889" s="39"/>
      <c r="D889" s="40"/>
      <c r="E889" s="38"/>
    </row>
    <row r="890" spans="1:5" ht="21.75" customHeight="1" x14ac:dyDescent="0.6">
      <c r="A890" s="38"/>
      <c r="B890" s="39"/>
      <c r="C890" s="39"/>
      <c r="D890" s="40"/>
      <c r="E890" s="38"/>
    </row>
    <row r="891" spans="1:5" ht="21.75" customHeight="1" x14ac:dyDescent="0.6">
      <c r="A891" s="38"/>
      <c r="B891" s="39"/>
      <c r="C891" s="39"/>
      <c r="D891" s="40"/>
      <c r="E891" s="38"/>
    </row>
    <row r="892" spans="1:5" ht="21.75" customHeight="1" x14ac:dyDescent="0.6">
      <c r="A892" s="38"/>
      <c r="B892" s="39"/>
      <c r="C892" s="39"/>
      <c r="D892" s="40"/>
      <c r="E892" s="38"/>
    </row>
    <row r="893" spans="1:5" ht="21.75" customHeight="1" x14ac:dyDescent="0.6">
      <c r="A893" s="38"/>
      <c r="B893" s="39"/>
      <c r="C893" s="39"/>
      <c r="D893" s="40"/>
      <c r="E893" s="38"/>
    </row>
    <row r="894" spans="1:5" ht="21.75" customHeight="1" x14ac:dyDescent="0.6">
      <c r="A894" s="38"/>
      <c r="B894" s="39"/>
      <c r="C894" s="39"/>
      <c r="D894" s="40"/>
      <c r="E894" s="38"/>
    </row>
    <row r="895" spans="1:5" ht="21.75" customHeight="1" x14ac:dyDescent="0.6">
      <c r="A895" s="38"/>
      <c r="B895" s="39"/>
      <c r="C895" s="39"/>
      <c r="D895" s="40"/>
      <c r="E895" s="38"/>
    </row>
    <row r="896" spans="1:5" ht="21.75" customHeight="1" x14ac:dyDescent="0.6">
      <c r="A896" s="38"/>
      <c r="B896" s="39"/>
      <c r="C896" s="39"/>
      <c r="D896" s="40"/>
      <c r="E896" s="38"/>
    </row>
    <row r="897" spans="1:5" ht="21.75" customHeight="1" x14ac:dyDescent="0.6">
      <c r="A897" s="38"/>
      <c r="B897" s="39"/>
      <c r="C897" s="39"/>
      <c r="D897" s="40"/>
      <c r="E897" s="38"/>
    </row>
    <row r="898" spans="1:5" ht="21.75" customHeight="1" x14ac:dyDescent="0.6">
      <c r="A898" s="38"/>
      <c r="B898" s="39"/>
      <c r="C898" s="39"/>
      <c r="D898" s="40"/>
      <c r="E898" s="38"/>
    </row>
    <row r="899" spans="1:5" ht="21.75" customHeight="1" x14ac:dyDescent="0.6">
      <c r="A899" s="38"/>
      <c r="B899" s="39"/>
      <c r="C899" s="39"/>
      <c r="D899" s="40"/>
      <c r="E899" s="38"/>
    </row>
    <row r="900" spans="1:5" ht="21.75" customHeight="1" x14ac:dyDescent="0.6">
      <c r="A900" s="38"/>
      <c r="B900" s="39"/>
      <c r="C900" s="39"/>
      <c r="D900" s="40"/>
      <c r="E900" s="38"/>
    </row>
    <row r="901" spans="1:5" ht="21.75" customHeight="1" x14ac:dyDescent="0.6">
      <c r="A901" s="38"/>
      <c r="B901" s="39"/>
      <c r="C901" s="39"/>
      <c r="D901" s="40"/>
      <c r="E901" s="38"/>
    </row>
    <row r="902" spans="1:5" ht="21.75" customHeight="1" x14ac:dyDescent="0.6">
      <c r="A902" s="38"/>
      <c r="B902" s="39"/>
      <c r="C902" s="39"/>
      <c r="D902" s="40"/>
      <c r="E902" s="38"/>
    </row>
    <row r="903" spans="1:5" ht="21.75" customHeight="1" x14ac:dyDescent="0.6">
      <c r="A903" s="38"/>
      <c r="B903" s="39"/>
      <c r="C903" s="39"/>
      <c r="D903" s="40"/>
      <c r="E903" s="38"/>
    </row>
    <row r="904" spans="1:5" ht="21.75" customHeight="1" x14ac:dyDescent="0.6">
      <c r="A904" s="38"/>
      <c r="B904" s="39"/>
      <c r="C904" s="39"/>
      <c r="D904" s="40"/>
      <c r="E904" s="38"/>
    </row>
    <row r="905" spans="1:5" ht="21.75" customHeight="1" x14ac:dyDescent="0.6">
      <c r="A905" s="38"/>
      <c r="B905" s="39"/>
      <c r="C905" s="39"/>
      <c r="D905" s="40"/>
      <c r="E905" s="38"/>
    </row>
    <row r="906" spans="1:5" ht="21.75" customHeight="1" x14ac:dyDescent="0.6">
      <c r="A906" s="38"/>
      <c r="B906" s="39"/>
      <c r="C906" s="39"/>
      <c r="D906" s="40"/>
      <c r="E906" s="38"/>
    </row>
    <row r="907" spans="1:5" ht="21.75" customHeight="1" x14ac:dyDescent="0.6">
      <c r="A907" s="38"/>
      <c r="B907" s="39"/>
      <c r="C907" s="39"/>
      <c r="D907" s="40"/>
      <c r="E907" s="38"/>
    </row>
    <row r="908" spans="1:5" ht="21.75" customHeight="1" x14ac:dyDescent="0.6">
      <c r="A908" s="38"/>
      <c r="B908" s="39"/>
      <c r="C908" s="39"/>
      <c r="D908" s="40"/>
      <c r="E908" s="38"/>
    </row>
    <row r="909" spans="1:5" ht="21.75" customHeight="1" x14ac:dyDescent="0.6">
      <c r="A909" s="38"/>
      <c r="B909" s="39"/>
      <c r="C909" s="39"/>
      <c r="D909" s="40"/>
      <c r="E909" s="38"/>
    </row>
    <row r="910" spans="1:5" ht="21.75" customHeight="1" x14ac:dyDescent="0.6">
      <c r="A910" s="38"/>
      <c r="B910" s="39"/>
      <c r="C910" s="39"/>
      <c r="D910" s="40"/>
      <c r="E910" s="38"/>
    </row>
    <row r="911" spans="1:5" ht="21.75" customHeight="1" x14ac:dyDescent="0.6">
      <c r="A911" s="38"/>
      <c r="B911" s="39"/>
      <c r="C911" s="39"/>
      <c r="D911" s="40"/>
      <c r="E911" s="38"/>
    </row>
    <row r="912" spans="1:5" ht="21.75" customHeight="1" x14ac:dyDescent="0.6">
      <c r="A912" s="38"/>
      <c r="B912" s="39"/>
      <c r="C912" s="39"/>
      <c r="D912" s="40"/>
      <c r="E912" s="38"/>
    </row>
    <row r="913" spans="1:5" ht="21.75" customHeight="1" x14ac:dyDescent="0.6">
      <c r="A913" s="38"/>
      <c r="B913" s="39"/>
      <c r="C913" s="39"/>
      <c r="D913" s="40"/>
      <c r="E913" s="38"/>
    </row>
    <row r="914" spans="1:5" ht="21.75" customHeight="1" x14ac:dyDescent="0.6">
      <c r="A914" s="38"/>
      <c r="B914" s="39"/>
      <c r="C914" s="39"/>
      <c r="D914" s="40"/>
      <c r="E914" s="38"/>
    </row>
    <row r="915" spans="1:5" ht="21.75" customHeight="1" x14ac:dyDescent="0.6">
      <c r="A915" s="38"/>
      <c r="B915" s="39"/>
      <c r="C915" s="39"/>
      <c r="D915" s="40"/>
      <c r="E915" s="38"/>
    </row>
    <row r="916" spans="1:5" ht="21.75" customHeight="1" x14ac:dyDescent="0.6">
      <c r="A916" s="38"/>
      <c r="B916" s="39"/>
      <c r="C916" s="39"/>
      <c r="D916" s="40"/>
      <c r="E916" s="38"/>
    </row>
    <row r="917" spans="1:5" ht="21.75" customHeight="1" x14ac:dyDescent="0.6">
      <c r="A917" s="38"/>
      <c r="B917" s="39"/>
      <c r="C917" s="39"/>
      <c r="D917" s="40"/>
      <c r="E917" s="38"/>
    </row>
    <row r="918" spans="1:5" ht="21.75" customHeight="1" x14ac:dyDescent="0.6">
      <c r="A918" s="38"/>
      <c r="B918" s="39"/>
      <c r="C918" s="39"/>
      <c r="D918" s="40"/>
      <c r="E918" s="38"/>
    </row>
    <row r="919" spans="1:5" ht="21.75" customHeight="1" x14ac:dyDescent="0.6">
      <c r="A919" s="38"/>
      <c r="B919" s="39"/>
      <c r="C919" s="39"/>
      <c r="D919" s="40"/>
      <c r="E919" s="38"/>
    </row>
    <row r="920" spans="1:5" ht="21.75" customHeight="1" x14ac:dyDescent="0.6">
      <c r="A920" s="38"/>
      <c r="B920" s="39"/>
      <c r="C920" s="39"/>
      <c r="D920" s="40"/>
      <c r="E920" s="38"/>
    </row>
    <row r="921" spans="1:5" ht="21.75" customHeight="1" x14ac:dyDescent="0.6">
      <c r="A921" s="38"/>
      <c r="B921" s="39"/>
      <c r="C921" s="39"/>
      <c r="D921" s="40"/>
      <c r="E921" s="38"/>
    </row>
    <row r="922" spans="1:5" ht="21.75" customHeight="1" x14ac:dyDescent="0.6">
      <c r="A922" s="38"/>
      <c r="B922" s="39"/>
      <c r="C922" s="39"/>
      <c r="D922" s="40"/>
      <c r="E922" s="38"/>
    </row>
    <row r="923" spans="1:5" ht="21.75" customHeight="1" x14ac:dyDescent="0.6">
      <c r="A923" s="38"/>
      <c r="B923" s="39"/>
      <c r="C923" s="39"/>
      <c r="D923" s="40"/>
      <c r="E923" s="38"/>
    </row>
    <row r="924" spans="1:5" ht="21.75" customHeight="1" x14ac:dyDescent="0.6">
      <c r="A924" s="38"/>
      <c r="B924" s="39"/>
      <c r="C924" s="39"/>
      <c r="D924" s="40"/>
      <c r="E924" s="38"/>
    </row>
    <row r="925" spans="1:5" ht="21.75" customHeight="1" x14ac:dyDescent="0.6">
      <c r="A925" s="38"/>
      <c r="B925" s="39"/>
      <c r="C925" s="39"/>
      <c r="D925" s="40"/>
      <c r="E925" s="38"/>
    </row>
    <row r="926" spans="1:5" ht="21.75" customHeight="1" x14ac:dyDescent="0.6">
      <c r="A926" s="38"/>
      <c r="B926" s="39"/>
      <c r="C926" s="39"/>
      <c r="D926" s="40"/>
      <c r="E926" s="38"/>
    </row>
    <row r="927" spans="1:5" ht="21.75" customHeight="1" x14ac:dyDescent="0.6">
      <c r="A927" s="38"/>
      <c r="B927" s="39"/>
      <c r="C927" s="39"/>
      <c r="D927" s="40"/>
      <c r="E927" s="38"/>
    </row>
    <row r="928" spans="1:5" ht="21.75" customHeight="1" x14ac:dyDescent="0.6">
      <c r="A928" s="38"/>
      <c r="B928" s="39"/>
      <c r="C928" s="39"/>
      <c r="D928" s="40"/>
      <c r="E928" s="38"/>
    </row>
    <row r="929" spans="1:5" ht="21.75" customHeight="1" x14ac:dyDescent="0.6">
      <c r="A929" s="38"/>
      <c r="B929" s="39"/>
      <c r="C929" s="39"/>
      <c r="D929" s="40"/>
      <c r="E929" s="38"/>
    </row>
    <row r="930" spans="1:5" ht="21.75" customHeight="1" x14ac:dyDescent="0.6">
      <c r="A930" s="38"/>
      <c r="B930" s="39"/>
      <c r="C930" s="39"/>
      <c r="D930" s="40"/>
      <c r="E930" s="38"/>
    </row>
    <row r="931" spans="1:5" ht="21.75" customHeight="1" x14ac:dyDescent="0.6">
      <c r="A931" s="38"/>
      <c r="B931" s="39"/>
      <c r="C931" s="39"/>
      <c r="D931" s="40"/>
      <c r="E931" s="38"/>
    </row>
    <row r="932" spans="1:5" ht="21.75" customHeight="1" x14ac:dyDescent="0.6">
      <c r="A932" s="38"/>
      <c r="B932" s="39"/>
      <c r="C932" s="39"/>
      <c r="D932" s="40"/>
      <c r="E932" s="38"/>
    </row>
    <row r="933" spans="1:5" ht="21.75" customHeight="1" x14ac:dyDescent="0.6">
      <c r="A933" s="38"/>
      <c r="B933" s="39"/>
      <c r="C933" s="39"/>
      <c r="D933" s="40"/>
      <c r="E933" s="38"/>
    </row>
    <row r="934" spans="1:5" ht="21.75" customHeight="1" x14ac:dyDescent="0.6">
      <c r="A934" s="38"/>
      <c r="B934" s="39"/>
      <c r="C934" s="39"/>
      <c r="D934" s="40"/>
      <c r="E934" s="38"/>
    </row>
    <row r="935" spans="1:5" ht="21.75" customHeight="1" x14ac:dyDescent="0.6">
      <c r="A935" s="38"/>
      <c r="B935" s="39"/>
      <c r="C935" s="39"/>
      <c r="D935" s="40"/>
      <c r="E935" s="38"/>
    </row>
    <row r="936" spans="1:5" ht="21.75" customHeight="1" x14ac:dyDescent="0.6">
      <c r="A936" s="38"/>
      <c r="B936" s="39"/>
      <c r="C936" s="39"/>
      <c r="D936" s="40"/>
      <c r="E936" s="38"/>
    </row>
    <row r="937" spans="1:5" ht="21.75" customHeight="1" x14ac:dyDescent="0.6">
      <c r="A937" s="38"/>
      <c r="B937" s="39"/>
      <c r="C937" s="39"/>
      <c r="D937" s="40"/>
      <c r="E937" s="38"/>
    </row>
    <row r="938" spans="1:5" ht="21.75" customHeight="1" x14ac:dyDescent="0.6">
      <c r="A938" s="38"/>
      <c r="B938" s="39"/>
      <c r="C938" s="39"/>
      <c r="D938" s="40"/>
      <c r="E938" s="38"/>
    </row>
    <row r="939" spans="1:5" ht="21.75" customHeight="1" x14ac:dyDescent="0.6">
      <c r="A939" s="38"/>
      <c r="B939" s="39"/>
      <c r="C939" s="39"/>
      <c r="D939" s="40"/>
      <c r="E939" s="38"/>
    </row>
    <row r="940" spans="1:5" ht="21.75" customHeight="1" x14ac:dyDescent="0.6">
      <c r="A940" s="38"/>
      <c r="B940" s="39"/>
      <c r="C940" s="39"/>
      <c r="D940" s="40"/>
      <c r="E940" s="38"/>
    </row>
    <row r="941" spans="1:5" ht="21.75" customHeight="1" x14ac:dyDescent="0.6">
      <c r="A941" s="38"/>
      <c r="B941" s="39"/>
      <c r="C941" s="39"/>
      <c r="D941" s="40"/>
      <c r="E941" s="38"/>
    </row>
    <row r="942" spans="1:5" ht="21.75" customHeight="1" x14ac:dyDescent="0.6">
      <c r="A942" s="38"/>
      <c r="B942" s="39"/>
      <c r="C942" s="39"/>
      <c r="D942" s="40"/>
      <c r="E942" s="38"/>
    </row>
    <row r="943" spans="1:5" ht="21.75" customHeight="1" x14ac:dyDescent="0.6">
      <c r="A943" s="38"/>
      <c r="B943" s="39"/>
      <c r="C943" s="39"/>
      <c r="D943" s="40"/>
      <c r="E943" s="38"/>
    </row>
    <row r="944" spans="1:5" ht="21.75" customHeight="1" x14ac:dyDescent="0.6">
      <c r="A944" s="38"/>
      <c r="B944" s="39"/>
      <c r="C944" s="39"/>
      <c r="D944" s="40"/>
      <c r="E944" s="38"/>
    </row>
    <row r="945" spans="1:5" ht="21.75" customHeight="1" x14ac:dyDescent="0.6">
      <c r="A945" s="38"/>
      <c r="B945" s="39"/>
      <c r="C945" s="39"/>
      <c r="D945" s="40"/>
      <c r="E945" s="38"/>
    </row>
    <row r="946" spans="1:5" ht="21.75" customHeight="1" x14ac:dyDescent="0.6">
      <c r="A946" s="38"/>
      <c r="B946" s="39"/>
      <c r="C946" s="39"/>
      <c r="D946" s="40"/>
      <c r="E946" s="38"/>
    </row>
    <row r="947" spans="1:5" ht="21.75" customHeight="1" x14ac:dyDescent="0.6">
      <c r="A947" s="38"/>
      <c r="B947" s="39"/>
      <c r="C947" s="39"/>
      <c r="D947" s="40"/>
      <c r="E947" s="38"/>
    </row>
    <row r="948" spans="1:5" ht="21.75" customHeight="1" x14ac:dyDescent="0.6">
      <c r="A948" s="38"/>
      <c r="B948" s="39"/>
      <c r="C948" s="39"/>
      <c r="D948" s="40"/>
      <c r="E948" s="38"/>
    </row>
    <row r="949" spans="1:5" ht="21.75" customHeight="1" x14ac:dyDescent="0.6">
      <c r="A949" s="38"/>
      <c r="B949" s="39"/>
      <c r="C949" s="39"/>
      <c r="D949" s="40"/>
      <c r="E949" s="38"/>
    </row>
    <row r="950" spans="1:5" ht="21.75" customHeight="1" x14ac:dyDescent="0.6">
      <c r="A950" s="38"/>
      <c r="B950" s="39"/>
      <c r="C950" s="39"/>
      <c r="D950" s="40"/>
      <c r="E950" s="38"/>
    </row>
    <row r="951" spans="1:5" ht="21.75" customHeight="1" x14ac:dyDescent="0.6">
      <c r="A951" s="38"/>
      <c r="B951" s="39"/>
      <c r="C951" s="39"/>
      <c r="D951" s="40"/>
      <c r="E951" s="38"/>
    </row>
    <row r="952" spans="1:5" ht="21.75" customHeight="1" x14ac:dyDescent="0.6">
      <c r="A952" s="38"/>
      <c r="B952" s="39"/>
      <c r="C952" s="39"/>
      <c r="D952" s="40"/>
      <c r="E952" s="38"/>
    </row>
    <row r="953" spans="1:5" ht="21.75" customHeight="1" x14ac:dyDescent="0.6">
      <c r="A953" s="38"/>
      <c r="B953" s="39"/>
      <c r="C953" s="39"/>
      <c r="D953" s="40"/>
      <c r="E953" s="38"/>
    </row>
    <row r="954" spans="1:5" ht="21.75" customHeight="1" x14ac:dyDescent="0.6">
      <c r="A954" s="38"/>
      <c r="B954" s="39"/>
      <c r="C954" s="39"/>
      <c r="D954" s="40"/>
      <c r="E954" s="38"/>
    </row>
    <row r="955" spans="1:5" ht="21.75" customHeight="1" x14ac:dyDescent="0.6">
      <c r="A955" s="38"/>
      <c r="B955" s="39"/>
      <c r="C955" s="39"/>
      <c r="D955" s="40"/>
      <c r="E955" s="38"/>
    </row>
    <row r="956" spans="1:5" ht="21.75" customHeight="1" x14ac:dyDescent="0.6">
      <c r="A956" s="38"/>
      <c r="B956" s="39"/>
      <c r="C956" s="39"/>
      <c r="D956" s="40"/>
      <c r="E956" s="38"/>
    </row>
    <row r="957" spans="1:5" ht="21.75" customHeight="1" x14ac:dyDescent="0.6">
      <c r="A957" s="38"/>
      <c r="B957" s="39"/>
      <c r="C957" s="39"/>
      <c r="D957" s="40"/>
      <c r="E957" s="38"/>
    </row>
    <row r="958" spans="1:5" ht="21.75" customHeight="1" x14ac:dyDescent="0.6">
      <c r="A958" s="38"/>
      <c r="B958" s="39"/>
      <c r="C958" s="39"/>
      <c r="D958" s="40"/>
      <c r="E958" s="38"/>
    </row>
    <row r="959" spans="1:5" ht="21.75" customHeight="1" x14ac:dyDescent="0.6">
      <c r="A959" s="38"/>
      <c r="B959" s="39"/>
      <c r="C959" s="39"/>
      <c r="D959" s="40"/>
      <c r="E959" s="38"/>
    </row>
    <row r="960" spans="1:5" ht="21.75" customHeight="1" x14ac:dyDescent="0.6">
      <c r="A960" s="38"/>
      <c r="B960" s="39"/>
      <c r="C960" s="39"/>
      <c r="D960" s="40"/>
      <c r="E960" s="38"/>
    </row>
    <row r="961" spans="1:5" ht="21.75" customHeight="1" x14ac:dyDescent="0.6">
      <c r="A961" s="38"/>
      <c r="B961" s="39"/>
      <c r="C961" s="39"/>
      <c r="D961" s="40"/>
      <c r="E961" s="38"/>
    </row>
    <row r="962" spans="1:5" ht="21.75" customHeight="1" x14ac:dyDescent="0.6">
      <c r="A962" s="38"/>
      <c r="B962" s="39"/>
      <c r="C962" s="39"/>
      <c r="D962" s="40"/>
      <c r="E962" s="38"/>
    </row>
    <row r="963" spans="1:5" ht="21.75" customHeight="1" x14ac:dyDescent="0.6">
      <c r="A963" s="38"/>
      <c r="B963" s="39"/>
      <c r="C963" s="39"/>
      <c r="D963" s="40"/>
      <c r="E963" s="38"/>
    </row>
    <row r="964" spans="1:5" ht="21.75" customHeight="1" x14ac:dyDescent="0.6">
      <c r="A964" s="38"/>
      <c r="B964" s="39"/>
      <c r="C964" s="39"/>
      <c r="D964" s="40"/>
      <c r="E964" s="38"/>
    </row>
    <row r="965" spans="1:5" ht="21.75" customHeight="1" x14ac:dyDescent="0.6">
      <c r="A965" s="38"/>
      <c r="B965" s="39"/>
      <c r="C965" s="39"/>
      <c r="D965" s="40"/>
      <c r="E965" s="38"/>
    </row>
    <row r="966" spans="1:5" ht="21.75" customHeight="1" x14ac:dyDescent="0.6">
      <c r="A966" s="38"/>
      <c r="B966" s="39"/>
      <c r="C966" s="39"/>
      <c r="D966" s="40"/>
      <c r="E966" s="38"/>
    </row>
    <row r="967" spans="1:5" ht="21.75" customHeight="1" x14ac:dyDescent="0.6">
      <c r="A967" s="38"/>
      <c r="B967" s="39"/>
      <c r="C967" s="39"/>
      <c r="D967" s="40"/>
      <c r="E967" s="38"/>
    </row>
    <row r="968" spans="1:5" ht="21.75" customHeight="1" x14ac:dyDescent="0.6">
      <c r="A968" s="38"/>
      <c r="B968" s="39"/>
      <c r="C968" s="39"/>
      <c r="D968" s="40"/>
      <c r="E968" s="38"/>
    </row>
    <row r="969" spans="1:5" ht="21.75" customHeight="1" x14ac:dyDescent="0.6">
      <c r="A969" s="38"/>
      <c r="B969" s="39"/>
      <c r="C969" s="39"/>
      <c r="D969" s="40"/>
      <c r="E969" s="38"/>
    </row>
    <row r="970" spans="1:5" ht="21.75" customHeight="1" x14ac:dyDescent="0.6">
      <c r="A970" s="38"/>
      <c r="B970" s="39"/>
      <c r="C970" s="39"/>
      <c r="D970" s="40"/>
      <c r="E970" s="38"/>
    </row>
    <row r="971" spans="1:5" ht="21.75" customHeight="1" x14ac:dyDescent="0.6">
      <c r="A971" s="38"/>
      <c r="B971" s="39"/>
      <c r="C971" s="39"/>
      <c r="D971" s="40"/>
      <c r="E971" s="38"/>
    </row>
    <row r="972" spans="1:5" ht="21.75" customHeight="1" x14ac:dyDescent="0.6">
      <c r="A972" s="38"/>
      <c r="B972" s="39"/>
      <c r="C972" s="39"/>
      <c r="D972" s="40"/>
      <c r="E972" s="38"/>
    </row>
    <row r="973" spans="1:5" ht="21.75" customHeight="1" x14ac:dyDescent="0.6">
      <c r="A973" s="38"/>
      <c r="B973" s="39"/>
      <c r="C973" s="39"/>
      <c r="D973" s="40"/>
      <c r="E973" s="38"/>
    </row>
    <row r="974" spans="1:5" ht="21.75" customHeight="1" x14ac:dyDescent="0.6">
      <c r="A974" s="38"/>
      <c r="B974" s="39"/>
      <c r="C974" s="39"/>
      <c r="D974" s="40"/>
      <c r="E974" s="38"/>
    </row>
    <row r="975" spans="1:5" ht="21.75" customHeight="1" x14ac:dyDescent="0.6">
      <c r="A975" s="38"/>
      <c r="B975" s="39"/>
      <c r="C975" s="39"/>
      <c r="D975" s="40"/>
      <c r="E975" s="38"/>
    </row>
    <row r="976" spans="1:5" ht="21.75" customHeight="1" x14ac:dyDescent="0.6">
      <c r="A976" s="38"/>
      <c r="B976" s="39"/>
      <c r="C976" s="39"/>
      <c r="D976" s="40"/>
      <c r="E976" s="38"/>
    </row>
    <row r="977" spans="1:5" ht="21.75" customHeight="1" x14ac:dyDescent="0.6">
      <c r="A977" s="38"/>
      <c r="B977" s="39"/>
      <c r="C977" s="39"/>
      <c r="D977" s="40"/>
      <c r="E977" s="38"/>
    </row>
    <row r="978" spans="1:5" ht="21.75" customHeight="1" x14ac:dyDescent="0.6">
      <c r="A978" s="38"/>
      <c r="B978" s="39"/>
      <c r="C978" s="39"/>
      <c r="D978" s="40"/>
      <c r="E978" s="38"/>
    </row>
    <row r="979" spans="1:5" ht="21.75" customHeight="1" x14ac:dyDescent="0.6">
      <c r="A979" s="38"/>
      <c r="B979" s="39"/>
      <c r="C979" s="39"/>
      <c r="D979" s="40"/>
      <c r="E979" s="38"/>
    </row>
    <row r="980" spans="1:5" ht="21.75" customHeight="1" x14ac:dyDescent="0.6">
      <c r="A980" s="38"/>
      <c r="B980" s="39"/>
      <c r="C980" s="39"/>
      <c r="D980" s="40"/>
      <c r="E980" s="38"/>
    </row>
    <row r="981" spans="1:5" ht="21.75" customHeight="1" x14ac:dyDescent="0.6">
      <c r="A981" s="38"/>
      <c r="B981" s="39"/>
      <c r="C981" s="39"/>
      <c r="D981" s="40"/>
      <c r="E981" s="38"/>
    </row>
    <row r="982" spans="1:5" ht="21.75" customHeight="1" x14ac:dyDescent="0.6">
      <c r="A982" s="38"/>
      <c r="B982" s="39"/>
      <c r="C982" s="39"/>
      <c r="D982" s="40"/>
      <c r="E982" s="38"/>
    </row>
    <row r="983" spans="1:5" ht="21.75" customHeight="1" x14ac:dyDescent="0.6">
      <c r="A983" s="38"/>
      <c r="B983" s="39"/>
      <c r="C983" s="39"/>
      <c r="D983" s="40"/>
      <c r="E983" s="38"/>
    </row>
    <row r="984" spans="1:5" ht="21.75" customHeight="1" x14ac:dyDescent="0.6">
      <c r="A984" s="38"/>
      <c r="B984" s="39"/>
      <c r="C984" s="39"/>
      <c r="D984" s="40"/>
      <c r="E984" s="38"/>
    </row>
    <row r="985" spans="1:5" ht="21.75" customHeight="1" x14ac:dyDescent="0.6">
      <c r="A985" s="38"/>
      <c r="B985" s="39"/>
      <c r="C985" s="39"/>
      <c r="D985" s="40"/>
      <c r="E985" s="38"/>
    </row>
    <row r="986" spans="1:5" ht="21.75" customHeight="1" x14ac:dyDescent="0.6">
      <c r="A986" s="38"/>
      <c r="B986" s="39"/>
      <c r="C986" s="39"/>
      <c r="D986" s="40"/>
      <c r="E986" s="38"/>
    </row>
    <row r="987" spans="1:5" ht="21.75" customHeight="1" x14ac:dyDescent="0.6">
      <c r="A987" s="38"/>
      <c r="B987" s="39"/>
      <c r="C987" s="39"/>
      <c r="D987" s="40"/>
      <c r="E987" s="38"/>
    </row>
    <row r="988" spans="1:5" ht="21.75" customHeight="1" x14ac:dyDescent="0.6">
      <c r="A988" s="38"/>
      <c r="B988" s="39"/>
      <c r="C988" s="39"/>
      <c r="D988" s="40"/>
      <c r="E988" s="38"/>
    </row>
    <row r="989" spans="1:5" ht="21.75" customHeight="1" x14ac:dyDescent="0.6">
      <c r="A989" s="38"/>
      <c r="B989" s="39"/>
      <c r="C989" s="39"/>
      <c r="D989" s="40"/>
      <c r="E989" s="38"/>
    </row>
    <row r="990" spans="1:5" ht="21.75" customHeight="1" x14ac:dyDescent="0.6">
      <c r="A990" s="38"/>
      <c r="B990" s="39"/>
      <c r="C990" s="39"/>
      <c r="D990" s="40"/>
      <c r="E990" s="38"/>
    </row>
    <row r="991" spans="1:5" ht="21.75" customHeight="1" x14ac:dyDescent="0.6">
      <c r="A991" s="38"/>
      <c r="B991" s="39"/>
      <c r="C991" s="39"/>
      <c r="D991" s="40"/>
      <c r="E991" s="38"/>
    </row>
    <row r="992" spans="1:5" ht="21.75" customHeight="1" x14ac:dyDescent="0.6">
      <c r="A992" s="38"/>
      <c r="B992" s="39"/>
      <c r="C992" s="39"/>
      <c r="D992" s="40"/>
      <c r="E992" s="38"/>
    </row>
    <row r="993" spans="1:5" ht="21.75" customHeight="1" x14ac:dyDescent="0.6">
      <c r="A993" s="38"/>
      <c r="B993" s="39"/>
      <c r="C993" s="39"/>
      <c r="D993" s="40"/>
      <c r="E993" s="38"/>
    </row>
    <row r="994" spans="1:5" ht="21.75" customHeight="1" x14ac:dyDescent="0.6">
      <c r="A994" s="38"/>
      <c r="B994" s="39"/>
      <c r="C994" s="39"/>
      <c r="D994" s="40"/>
      <c r="E994" s="38"/>
    </row>
    <row r="995" spans="1:5" ht="21.75" customHeight="1" x14ac:dyDescent="0.6">
      <c r="A995" s="38"/>
      <c r="B995" s="39"/>
      <c r="C995" s="39"/>
      <c r="D995" s="40"/>
      <c r="E995" s="38"/>
    </row>
    <row r="996" spans="1:5" ht="21.75" customHeight="1" x14ac:dyDescent="0.6">
      <c r="A996" s="38"/>
      <c r="B996" s="39"/>
      <c r="C996" s="39"/>
      <c r="D996" s="40"/>
      <c r="E996" s="38"/>
    </row>
    <row r="997" spans="1:5" ht="21.75" customHeight="1" x14ac:dyDescent="0.6">
      <c r="A997" s="38"/>
      <c r="B997" s="39"/>
      <c r="C997" s="39"/>
      <c r="D997" s="40"/>
      <c r="E997" s="38"/>
    </row>
    <row r="998" spans="1:5" ht="21.75" customHeight="1" x14ac:dyDescent="0.6">
      <c r="A998" s="38"/>
      <c r="B998" s="39"/>
      <c r="C998" s="39"/>
      <c r="D998" s="40"/>
      <c r="E998" s="38"/>
    </row>
    <row r="999" spans="1:5" ht="21.75" customHeight="1" x14ac:dyDescent="0.6">
      <c r="A999" s="38"/>
      <c r="B999" s="39"/>
      <c r="C999" s="39"/>
      <c r="D999" s="40"/>
      <c r="E999" s="38"/>
    </row>
    <row r="1000" spans="1:5" ht="21.75" customHeight="1" x14ac:dyDescent="0.6">
      <c r="A1000" s="38"/>
      <c r="B1000" s="39"/>
      <c r="C1000" s="39"/>
      <c r="D1000" s="40"/>
      <c r="E1000" s="38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0" workbookViewId="0">
      <selection activeCell="D31" sqref="D31"/>
    </sheetView>
  </sheetViews>
  <sheetFormatPr defaultColWidth="14.42578125" defaultRowHeight="15" customHeight="1" x14ac:dyDescent="0.25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24" width="8.7109375" customWidth="1"/>
  </cols>
  <sheetData>
    <row r="1" spans="1:7" ht="21.75" x14ac:dyDescent="0.6">
      <c r="A1" s="1" t="s">
        <v>0</v>
      </c>
      <c r="B1" s="2" t="str">
        <f>OBRA!B1</f>
        <v>Jardim Campeche</v>
      </c>
      <c r="C1" s="3"/>
      <c r="D1" s="4"/>
      <c r="E1" s="41"/>
      <c r="F1" s="41"/>
      <c r="G1" s="5"/>
    </row>
    <row r="2" spans="1:7" ht="21.75" x14ac:dyDescent="0.6">
      <c r="A2" s="6" t="s">
        <v>1</v>
      </c>
      <c r="B2" s="7" t="str">
        <f>OBRA!B2</f>
        <v>BD Empreendimentos</v>
      </c>
      <c r="C2" s="8"/>
      <c r="D2" s="9"/>
      <c r="E2" s="42"/>
      <c r="F2" s="42"/>
      <c r="G2" s="10"/>
    </row>
    <row r="3" spans="1:7" ht="21.75" x14ac:dyDescent="0.6">
      <c r="A3" s="6" t="s">
        <v>2</v>
      </c>
      <c r="B3" s="7" t="str">
        <f>OBRA!B3</f>
        <v>R00</v>
      </c>
      <c r="C3" s="8"/>
      <c r="D3" s="9"/>
      <c r="E3" s="42"/>
      <c r="F3" s="43"/>
      <c r="G3" s="10"/>
    </row>
    <row r="4" spans="1:7" x14ac:dyDescent="0.25">
      <c r="A4" s="200" t="s">
        <v>16</v>
      </c>
      <c r="B4" s="201"/>
      <c r="C4" s="201"/>
      <c r="D4" s="201"/>
      <c r="E4" s="201"/>
      <c r="F4" s="201"/>
      <c r="G4" s="202"/>
    </row>
    <row r="5" spans="1:7" ht="28.5" x14ac:dyDescent="0.6">
      <c r="A5" s="11"/>
      <c r="B5" s="12"/>
      <c r="C5" s="12"/>
      <c r="D5" s="13"/>
      <c r="E5" s="44"/>
      <c r="F5" s="44"/>
      <c r="G5" s="14"/>
    </row>
    <row r="6" spans="1:7" x14ac:dyDescent="0.25">
      <c r="A6" s="203" t="s">
        <v>19</v>
      </c>
      <c r="B6" s="201"/>
      <c r="C6" s="201"/>
      <c r="D6" s="201"/>
      <c r="E6" s="201"/>
      <c r="F6" s="201"/>
      <c r="G6" s="202"/>
    </row>
    <row r="7" spans="1:7" ht="21.75" x14ac:dyDescent="0.6">
      <c r="A7" s="15"/>
      <c r="B7" s="16"/>
      <c r="C7" s="17"/>
      <c r="D7" s="18"/>
      <c r="E7" s="43"/>
      <c r="F7" s="43"/>
      <c r="G7" s="19"/>
    </row>
    <row r="8" spans="1:7" ht="21.75" x14ac:dyDescent="0.6">
      <c r="A8" s="45" t="s">
        <v>19</v>
      </c>
      <c r="B8" s="46"/>
      <c r="C8" s="46"/>
      <c r="D8" s="47"/>
      <c r="E8" s="48"/>
      <c r="F8" s="48"/>
      <c r="G8" s="49"/>
    </row>
    <row r="9" spans="1:7" ht="21.75" x14ac:dyDescent="0.6">
      <c r="A9" s="20"/>
      <c r="B9" s="50"/>
      <c r="C9" s="50"/>
      <c r="D9" s="51"/>
      <c r="E9" s="52"/>
      <c r="F9" s="52"/>
      <c r="G9" s="19"/>
    </row>
    <row r="10" spans="1:7" ht="21.75" x14ac:dyDescent="0.6">
      <c r="A10" s="20"/>
      <c r="B10" s="21" t="s">
        <v>5</v>
      </c>
      <c r="C10" s="22" t="s">
        <v>6</v>
      </c>
      <c r="D10" s="23" t="s">
        <v>7</v>
      </c>
      <c r="E10" s="52"/>
      <c r="F10" s="52"/>
      <c r="G10" s="19"/>
    </row>
    <row r="11" spans="1:7" ht="21.75" x14ac:dyDescent="0.6">
      <c r="A11" s="20"/>
      <c r="B11" s="24" t="s">
        <v>21</v>
      </c>
      <c r="C11" s="25" t="s">
        <v>22</v>
      </c>
      <c r="D11" s="53">
        <f>OBRA!D10/OBRA!D12</f>
        <v>100.91055555555555</v>
      </c>
      <c r="E11" s="52"/>
      <c r="F11" s="52"/>
      <c r="G11" s="19"/>
    </row>
    <row r="12" spans="1:7" ht="21.75" x14ac:dyDescent="0.6">
      <c r="A12" s="20"/>
      <c r="B12" s="54" t="s">
        <v>17</v>
      </c>
      <c r="C12" s="55" t="s">
        <v>18</v>
      </c>
      <c r="D12" s="56">
        <v>49</v>
      </c>
      <c r="E12" s="52"/>
      <c r="F12" s="52"/>
      <c r="G12" s="19"/>
    </row>
    <row r="13" spans="1:7" ht="21.75" x14ac:dyDescent="0.6">
      <c r="A13" s="20"/>
      <c r="B13" s="57" t="s">
        <v>23</v>
      </c>
      <c r="C13" s="58" t="s">
        <v>24</v>
      </c>
      <c r="D13" s="59">
        <f>ROUNDUP((D12*OBRA!D10)/OBRA!D12/180,)</f>
        <v>28</v>
      </c>
      <c r="E13" s="52"/>
      <c r="F13" s="52"/>
      <c r="G13" s="19"/>
    </row>
    <row r="14" spans="1:7" ht="21.75" x14ac:dyDescent="0.6">
      <c r="A14" s="20"/>
      <c r="B14" s="60" t="s">
        <v>20</v>
      </c>
      <c r="C14" s="61" t="s">
        <v>24</v>
      </c>
      <c r="D14" s="62">
        <v>4</v>
      </c>
      <c r="E14" s="52"/>
      <c r="F14" s="52"/>
      <c r="G14" s="19"/>
    </row>
    <row r="15" spans="1:7" ht="21.75" x14ac:dyDescent="0.6">
      <c r="A15" s="20"/>
      <c r="B15" s="63" t="s">
        <v>25</v>
      </c>
      <c r="C15" s="64" t="s">
        <v>24</v>
      </c>
      <c r="D15" s="65">
        <f>ROUNDUP($D$13/20,0)</f>
        <v>2</v>
      </c>
      <c r="E15" s="66" t="s">
        <v>26</v>
      </c>
      <c r="F15" s="66"/>
      <c r="G15" s="19"/>
    </row>
    <row r="16" spans="1:7" ht="21.75" x14ac:dyDescent="0.6">
      <c r="A16" s="20"/>
      <c r="B16" s="27" t="s">
        <v>27</v>
      </c>
      <c r="C16" s="64" t="s">
        <v>24</v>
      </c>
      <c r="D16" s="67">
        <f>ROUNDUP(OBRA!$D$13/5,0)</f>
        <v>2</v>
      </c>
      <c r="E16" s="66" t="s">
        <v>28</v>
      </c>
      <c r="F16" s="66"/>
      <c r="G16" s="19"/>
    </row>
    <row r="17" spans="1:7" ht="21.75" x14ac:dyDescent="0.6">
      <c r="A17" s="68"/>
      <c r="B17" s="63" t="s">
        <v>29</v>
      </c>
      <c r="C17" s="64" t="s">
        <v>30</v>
      </c>
      <c r="D17" s="69">
        <f>800*D13</f>
        <v>22400</v>
      </c>
      <c r="E17" s="66" t="s">
        <v>31</v>
      </c>
      <c r="F17" s="66"/>
      <c r="G17" s="19"/>
    </row>
    <row r="18" spans="1:7" ht="18" x14ac:dyDescent="0.45">
      <c r="A18" s="70"/>
      <c r="B18" s="63" t="s">
        <v>32</v>
      </c>
      <c r="C18" s="64" t="s">
        <v>30</v>
      </c>
      <c r="D18" s="69">
        <f>500*(D13+D14)</f>
        <v>16000</v>
      </c>
      <c r="E18" s="66" t="s">
        <v>33</v>
      </c>
      <c r="F18" s="66"/>
      <c r="G18" s="71"/>
    </row>
    <row r="19" spans="1:7" ht="18" x14ac:dyDescent="0.45">
      <c r="A19" s="70"/>
      <c r="B19" s="72" t="s">
        <v>34</v>
      </c>
      <c r="C19" s="73" t="s">
        <v>24</v>
      </c>
      <c r="D19" s="74">
        <f>ROUNDUP($D$13/20,0)</f>
        <v>2</v>
      </c>
      <c r="E19" s="66" t="s">
        <v>35</v>
      </c>
      <c r="F19" s="66"/>
      <c r="G19" s="71"/>
    </row>
    <row r="20" spans="1:7" x14ac:dyDescent="0.25">
      <c r="A20" s="70"/>
      <c r="B20" s="75"/>
      <c r="C20" s="75"/>
      <c r="D20" s="75"/>
      <c r="E20" s="75"/>
      <c r="F20" s="75"/>
      <c r="G20" s="71"/>
    </row>
    <row r="21" spans="1:7" ht="15.75" customHeight="1" x14ac:dyDescent="0.6">
      <c r="A21" s="45" t="s">
        <v>36</v>
      </c>
      <c r="B21" s="46"/>
      <c r="C21" s="46"/>
      <c r="D21" s="47"/>
      <c r="E21" s="48"/>
      <c r="F21" s="48"/>
      <c r="G21" s="49"/>
    </row>
    <row r="22" spans="1:7" ht="15.75" customHeight="1" x14ac:dyDescent="0.6">
      <c r="A22" s="20"/>
      <c r="B22" s="50"/>
      <c r="C22" s="50"/>
      <c r="D22" s="51"/>
      <c r="E22" s="52"/>
      <c r="F22" s="52"/>
      <c r="G22" s="19"/>
    </row>
    <row r="23" spans="1:7" ht="15.75" customHeight="1" x14ac:dyDescent="0.6">
      <c r="A23" s="20"/>
      <c r="B23" s="21" t="s">
        <v>5</v>
      </c>
      <c r="C23" s="22" t="s">
        <v>6</v>
      </c>
      <c r="D23" s="22" t="s">
        <v>7</v>
      </c>
      <c r="E23" s="22" t="s">
        <v>37</v>
      </c>
      <c r="F23" s="76" t="s">
        <v>38</v>
      </c>
      <c r="G23" s="19"/>
    </row>
    <row r="24" spans="1:7" ht="15.75" customHeight="1" x14ac:dyDescent="0.6">
      <c r="A24" s="20"/>
      <c r="B24" s="24" t="s">
        <v>39</v>
      </c>
      <c r="C24" s="25" t="s">
        <v>24</v>
      </c>
      <c r="D24" s="64">
        <f>D14*1.5</f>
        <v>6</v>
      </c>
      <c r="E24" s="64">
        <v>200</v>
      </c>
      <c r="F24" s="65">
        <f>D24*E24</f>
        <v>1200</v>
      </c>
      <c r="G24" s="19"/>
    </row>
    <row r="25" spans="1:7" ht="15.75" customHeight="1" x14ac:dyDescent="0.6">
      <c r="A25" s="20"/>
      <c r="B25" s="27" t="s">
        <v>40</v>
      </c>
      <c r="C25" s="64" t="s">
        <v>24</v>
      </c>
      <c r="D25" s="64">
        <v>1</v>
      </c>
      <c r="E25" s="64">
        <v>1000</v>
      </c>
      <c r="F25" s="65">
        <f t="shared" ref="F25:F28" si="0">E25*D25</f>
        <v>1000</v>
      </c>
      <c r="G25" s="19"/>
    </row>
    <row r="26" spans="1:7" ht="15.75" customHeight="1" x14ac:dyDescent="0.25">
      <c r="A26" s="70"/>
      <c r="B26" s="27" t="s">
        <v>41</v>
      </c>
      <c r="C26" s="64" t="s">
        <v>24</v>
      </c>
      <c r="D26" s="64">
        <v>1</v>
      </c>
      <c r="E26" s="64">
        <v>5000</v>
      </c>
      <c r="F26" s="65">
        <f t="shared" si="0"/>
        <v>5000</v>
      </c>
      <c r="G26" s="71"/>
    </row>
    <row r="27" spans="1:7" ht="15.75" customHeight="1" x14ac:dyDescent="0.25">
      <c r="A27" s="70"/>
      <c r="B27" s="27" t="s">
        <v>42</v>
      </c>
      <c r="C27" s="64" t="s">
        <v>43</v>
      </c>
      <c r="D27" s="64">
        <f>2</f>
        <v>2</v>
      </c>
      <c r="E27" s="64">
        <v>900</v>
      </c>
      <c r="F27" s="65">
        <f t="shared" si="0"/>
        <v>1800</v>
      </c>
      <c r="G27" s="71"/>
    </row>
    <row r="28" spans="1:7" ht="15.75" customHeight="1" x14ac:dyDescent="0.25">
      <c r="A28" s="70"/>
      <c r="B28" s="31" t="s">
        <v>44</v>
      </c>
      <c r="C28" s="73" t="s">
        <v>24</v>
      </c>
      <c r="D28" s="73">
        <f>D14</f>
        <v>4</v>
      </c>
      <c r="E28" s="73">
        <v>800</v>
      </c>
      <c r="F28" s="74">
        <f t="shared" si="0"/>
        <v>3200</v>
      </c>
      <c r="G28" s="71"/>
    </row>
    <row r="29" spans="1:7" ht="15.75" customHeight="1" x14ac:dyDescent="0.25">
      <c r="A29" s="70"/>
      <c r="B29" s="204" t="s">
        <v>45</v>
      </c>
      <c r="C29" s="205"/>
      <c r="D29" s="205"/>
      <c r="E29" s="206"/>
      <c r="F29" s="77">
        <f>F26+F27+F28+F25+F24</f>
        <v>12200</v>
      </c>
      <c r="G29" s="71"/>
    </row>
    <row r="30" spans="1:7" ht="15.75" customHeight="1" x14ac:dyDescent="0.25">
      <c r="A30" s="70"/>
      <c r="B30" s="21" t="s">
        <v>5</v>
      </c>
      <c r="C30" s="22" t="s">
        <v>6</v>
      </c>
      <c r="D30" s="22" t="s">
        <v>7</v>
      </c>
      <c r="E30" s="22" t="s">
        <v>37</v>
      </c>
      <c r="F30" s="76" t="s">
        <v>38</v>
      </c>
      <c r="G30" s="71"/>
    </row>
    <row r="31" spans="1:7" ht="15.75" customHeight="1" x14ac:dyDescent="0.25">
      <c r="A31" s="70"/>
      <c r="B31" s="24" t="s">
        <v>46</v>
      </c>
      <c r="C31" s="25" t="s">
        <v>24</v>
      </c>
      <c r="D31" s="64">
        <f>D14/2</f>
        <v>2</v>
      </c>
      <c r="E31" s="64">
        <v>6000</v>
      </c>
      <c r="F31" s="65">
        <f>D31*E31</f>
        <v>12000</v>
      </c>
      <c r="G31" s="71"/>
    </row>
    <row r="32" spans="1:7" ht="15.75" customHeight="1" x14ac:dyDescent="0.25">
      <c r="A32" s="70"/>
      <c r="B32" s="27" t="s">
        <v>47</v>
      </c>
      <c r="C32" s="64" t="s">
        <v>24</v>
      </c>
      <c r="D32" s="64">
        <v>1</v>
      </c>
      <c r="E32" s="64">
        <v>2000</v>
      </c>
      <c r="F32" s="65">
        <f t="shared" ref="F32:F33" si="1">E32*D32</f>
        <v>2000</v>
      </c>
      <c r="G32" s="71"/>
    </row>
    <row r="33" spans="1:7" ht="15.75" customHeight="1" x14ac:dyDescent="0.25">
      <c r="A33" s="70"/>
      <c r="B33" s="78" t="s">
        <v>48</v>
      </c>
      <c r="C33" s="79" t="s">
        <v>24</v>
      </c>
      <c r="D33" s="79">
        <v>1</v>
      </c>
      <c r="E33" s="79">
        <v>500</v>
      </c>
      <c r="F33" s="80">
        <f t="shared" si="1"/>
        <v>500</v>
      </c>
      <c r="G33" s="71"/>
    </row>
    <row r="34" spans="1:7" ht="15.75" customHeight="1" x14ac:dyDescent="0.25">
      <c r="A34" s="81"/>
      <c r="B34" s="204" t="s">
        <v>45</v>
      </c>
      <c r="C34" s="205"/>
      <c r="D34" s="205"/>
      <c r="E34" s="206"/>
      <c r="F34" s="77">
        <f>+F31+F32+F33</f>
        <v>14500</v>
      </c>
      <c r="G34" s="82"/>
    </row>
    <row r="35" spans="1:7" ht="15.75" customHeight="1" x14ac:dyDescent="0.25">
      <c r="A35" s="83"/>
      <c r="B35" s="84"/>
      <c r="C35" s="84"/>
      <c r="D35" s="84"/>
      <c r="E35" s="84"/>
      <c r="F35" s="84"/>
      <c r="G35" s="85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34:E34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topLeftCell="H1" workbookViewId="0">
      <pane ySplit="6" topLeftCell="A27" activePane="bottomLeft" state="frozen"/>
      <selection pane="bottomLeft" activeCell="H40" sqref="H40"/>
    </sheetView>
  </sheetViews>
  <sheetFormatPr defaultColWidth="14.42578125" defaultRowHeight="15" customHeight="1" x14ac:dyDescent="0.25"/>
  <cols>
    <col min="1" max="1" width="19.42578125" customWidth="1"/>
    <col min="2" max="2" width="10.85546875" customWidth="1"/>
    <col min="3" max="3" width="12.28515625" customWidth="1"/>
    <col min="4" max="4" width="10.7109375" customWidth="1"/>
    <col min="5" max="5" width="15.42578125" hidden="1" customWidth="1"/>
    <col min="6" max="6" width="16.85546875" customWidth="1"/>
    <col min="7" max="7" width="12.140625" customWidth="1"/>
    <col min="8" max="8" width="14.5703125" customWidth="1"/>
    <col min="9" max="16" width="14.42578125" customWidth="1"/>
  </cols>
  <sheetData>
    <row r="1" spans="1:26" ht="18.75" x14ac:dyDescent="0.25">
      <c r="A1" s="86" t="s">
        <v>50</v>
      </c>
      <c r="B1" s="87"/>
      <c r="C1" s="87"/>
      <c r="D1" s="87"/>
      <c r="E1" s="87"/>
      <c r="F1" s="88"/>
      <c r="G1" s="87"/>
      <c r="H1" s="88"/>
      <c r="I1" s="89"/>
      <c r="J1" s="89"/>
      <c r="K1" s="88"/>
      <c r="L1" s="88"/>
      <c r="M1" s="88"/>
      <c r="N1" s="88"/>
      <c r="O1" s="88"/>
      <c r="P1" s="88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5.75" x14ac:dyDescent="0.25">
      <c r="A2" s="87"/>
      <c r="B2" s="87"/>
      <c r="C2" s="87"/>
      <c r="D2" s="87"/>
      <c r="E2" s="87"/>
      <c r="F2" s="88"/>
      <c r="G2" s="90"/>
      <c r="H2" s="90"/>
      <c r="I2" s="90"/>
      <c r="J2" s="90"/>
      <c r="K2" s="88"/>
      <c r="L2" s="88"/>
      <c r="M2" s="88"/>
      <c r="N2" s="88"/>
      <c r="O2" s="88"/>
      <c r="P2" s="88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5.75" x14ac:dyDescent="0.25">
      <c r="A3" s="87"/>
      <c r="B3" s="91" t="s">
        <v>51</v>
      </c>
      <c r="C3" s="91" t="s">
        <v>52</v>
      </c>
      <c r="D3" s="212" t="s">
        <v>53</v>
      </c>
      <c r="E3" s="213"/>
      <c r="F3" s="88"/>
      <c r="G3" s="92" t="s">
        <v>54</v>
      </c>
      <c r="H3" s="93" t="s">
        <v>51</v>
      </c>
      <c r="I3" s="93" t="s">
        <v>52</v>
      </c>
      <c r="J3" s="93" t="s">
        <v>210</v>
      </c>
      <c r="K3" s="88"/>
      <c r="L3" s="88"/>
      <c r="M3" s="88"/>
      <c r="N3" s="88"/>
      <c r="O3" s="88"/>
      <c r="P3" s="88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5" customHeight="1" x14ac:dyDescent="0.25">
      <c r="A4" s="94" t="str">
        <f>OBRA!B1</f>
        <v>Jardim Campeche</v>
      </c>
      <c r="B4" s="95">
        <f>OBRA!D9</f>
        <v>866.65</v>
      </c>
      <c r="C4" s="95">
        <f>OBRA!D10</f>
        <v>3632.7799999999997</v>
      </c>
      <c r="D4" s="214">
        <f>OBRA!D13</f>
        <v>7</v>
      </c>
      <c r="E4" s="213"/>
      <c r="F4" s="88"/>
      <c r="G4" s="96" t="s">
        <v>221</v>
      </c>
      <c r="H4" s="97">
        <v>0</v>
      </c>
      <c r="I4" s="97">
        <v>5039.9799999999996</v>
      </c>
      <c r="J4" s="97">
        <v>0</v>
      </c>
      <c r="K4" s="88"/>
      <c r="L4" s="88"/>
      <c r="M4" s="88"/>
      <c r="N4" s="88"/>
      <c r="O4" s="88"/>
      <c r="P4" s="88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5" customHeight="1" x14ac:dyDescent="0.25">
      <c r="A5" s="87"/>
      <c r="B5" s="87"/>
      <c r="C5" s="87"/>
      <c r="D5" s="87"/>
      <c r="E5" s="90"/>
      <c r="F5" s="88"/>
      <c r="G5" s="96" t="s">
        <v>222</v>
      </c>
      <c r="H5" s="97">
        <v>0</v>
      </c>
      <c r="I5" s="97">
        <v>5579.63</v>
      </c>
      <c r="J5" s="97">
        <v>0</v>
      </c>
      <c r="K5" s="88"/>
      <c r="L5" s="88"/>
      <c r="M5" s="88"/>
      <c r="N5" s="88"/>
      <c r="O5" s="88"/>
      <c r="P5" s="88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5" customHeight="1" x14ac:dyDescent="0.25">
      <c r="A6" s="87"/>
      <c r="B6" s="87"/>
      <c r="C6" s="87"/>
      <c r="D6" s="87"/>
      <c r="E6" s="90"/>
      <c r="F6" s="88"/>
      <c r="G6" s="96" t="s">
        <v>227</v>
      </c>
      <c r="H6" s="97">
        <v>0</v>
      </c>
      <c r="I6" s="97">
        <v>4498.66</v>
      </c>
      <c r="J6" s="97">
        <v>0</v>
      </c>
      <c r="K6" s="88"/>
      <c r="L6" s="88"/>
      <c r="M6" s="88"/>
      <c r="N6" s="88"/>
      <c r="O6" s="88"/>
      <c r="P6" s="88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5.75" x14ac:dyDescent="0.25">
      <c r="A7" s="87" t="s">
        <v>55</v>
      </c>
      <c r="B7" s="87"/>
      <c r="C7" s="87"/>
      <c r="D7" s="87"/>
      <c r="E7" s="87"/>
      <c r="F7" s="88"/>
      <c r="G7" s="87"/>
      <c r="H7" s="88"/>
      <c r="I7" s="89"/>
      <c r="J7" s="89"/>
      <c r="K7" s="88"/>
      <c r="L7" s="88"/>
      <c r="M7" s="88"/>
      <c r="N7" s="88"/>
      <c r="O7" s="88"/>
      <c r="P7" s="88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15.75" x14ac:dyDescent="0.25">
      <c r="A8" s="87"/>
      <c r="B8" s="87"/>
      <c r="C8" s="87"/>
      <c r="D8" s="87"/>
      <c r="E8" s="87"/>
      <c r="F8" s="88"/>
      <c r="G8" s="87"/>
      <c r="H8" s="88"/>
      <c r="I8" s="98" t="str">
        <f>G4</f>
        <v>Bela Vida</v>
      </c>
      <c r="J8" s="98" t="str">
        <f>G4</f>
        <v>Bela Vida</v>
      </c>
      <c r="K8" s="98" t="str">
        <f t="shared" ref="K8:L8" si="0">$G$5</f>
        <v>Esmeralda</v>
      </c>
      <c r="L8" s="98" t="str">
        <f t="shared" si="0"/>
        <v>Esmeralda</v>
      </c>
      <c r="M8" s="98" t="str">
        <f>G6</f>
        <v>MARINE</v>
      </c>
      <c r="N8" s="98" t="str">
        <f>G6</f>
        <v>MARINE</v>
      </c>
      <c r="O8" s="88"/>
      <c r="P8" s="88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15.75" x14ac:dyDescent="0.25">
      <c r="A9" s="215" t="s">
        <v>5</v>
      </c>
      <c r="B9" s="201"/>
      <c r="C9" s="201"/>
      <c r="D9" s="201"/>
      <c r="E9" s="213"/>
      <c r="F9" s="99" t="s">
        <v>6</v>
      </c>
      <c r="G9" s="99" t="s">
        <v>7</v>
      </c>
      <c r="H9" s="99" t="s">
        <v>56</v>
      </c>
      <c r="I9" s="99" t="s">
        <v>57</v>
      </c>
      <c r="J9" s="99" t="s">
        <v>58</v>
      </c>
      <c r="K9" s="99" t="s">
        <v>57</v>
      </c>
      <c r="L9" s="99" t="s">
        <v>58</v>
      </c>
      <c r="M9" s="99" t="s">
        <v>57</v>
      </c>
      <c r="N9" s="99" t="s">
        <v>58</v>
      </c>
      <c r="O9" s="88"/>
      <c r="P9" s="88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15.75" x14ac:dyDescent="0.25">
      <c r="A10" s="100" t="s">
        <v>59</v>
      </c>
      <c r="B10" s="101"/>
      <c r="C10" s="101"/>
      <c r="D10" s="101"/>
      <c r="E10" s="101"/>
      <c r="F10" s="101"/>
      <c r="G10" s="101"/>
      <c r="H10" s="101">
        <f>$C$4*J10</f>
        <v>18489.049516069506</v>
      </c>
      <c r="I10" s="188">
        <v>25651</v>
      </c>
      <c r="J10" s="102">
        <f t="shared" ref="J10:J13" si="1">I10/$I$4</f>
        <v>5.0895043234298551</v>
      </c>
      <c r="K10" s="188">
        <v>30482.799041589347</v>
      </c>
      <c r="L10" s="102">
        <f t="shared" ref="L10:L13" si="2">K10/$I$5</f>
        <v>5.463229468905527</v>
      </c>
      <c r="M10" s="102">
        <v>40433.9</v>
      </c>
      <c r="N10" s="102">
        <f t="shared" ref="N10:N13" si="3">M10/$I$6</f>
        <v>8.9879875340657005</v>
      </c>
      <c r="O10" s="88"/>
      <c r="P10" s="88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15.75" x14ac:dyDescent="0.25">
      <c r="A11" s="100" t="s">
        <v>60</v>
      </c>
      <c r="B11" s="101"/>
      <c r="C11" s="101"/>
      <c r="D11" s="101"/>
      <c r="E11" s="101"/>
      <c r="F11" s="101"/>
      <c r="G11" s="101"/>
      <c r="H11" s="101">
        <f>$C$4*L11</f>
        <v>208534.21906487082</v>
      </c>
      <c r="I11" s="188">
        <v>631568.72</v>
      </c>
      <c r="J11" s="102">
        <f t="shared" si="1"/>
        <v>125.31175123710808</v>
      </c>
      <c r="K11" s="188">
        <v>320290.18677732348</v>
      </c>
      <c r="L11" s="102">
        <f t="shared" si="2"/>
        <v>57.403481373733293</v>
      </c>
      <c r="M11" s="102">
        <f>[4]ORÇAMENTO_EXECUTIVO_COMENTADO!$F$17</f>
        <v>166779.75</v>
      </c>
      <c r="N11" s="102">
        <f t="shared" si="3"/>
        <v>37.073206243636996</v>
      </c>
      <c r="O11" s="88"/>
      <c r="P11" s="88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15" customHeight="1" x14ac:dyDescent="0.25">
      <c r="A12" s="100" t="s">
        <v>61</v>
      </c>
      <c r="B12" s="101"/>
      <c r="C12" s="101"/>
      <c r="D12" s="101"/>
      <c r="E12" s="101"/>
      <c r="F12" s="101"/>
      <c r="G12" s="101"/>
      <c r="H12" s="101">
        <f>$C$4*N12</f>
        <v>59535.621700461917</v>
      </c>
      <c r="I12" s="188">
        <v>117787.79695652175</v>
      </c>
      <c r="J12" s="102">
        <f t="shared" si="1"/>
        <v>23.370687375053425</v>
      </c>
      <c r="K12" s="188">
        <v>51771.995763526313</v>
      </c>
      <c r="L12" s="102">
        <f t="shared" si="2"/>
        <v>9.278750699155017</v>
      </c>
      <c r="M12" s="102">
        <f>[4]ORÇAMENTO_EXECUTIVO_COMENTADO!$F$42</f>
        <v>73726.05</v>
      </c>
      <c r="N12" s="102">
        <f t="shared" si="3"/>
        <v>16.388446781930622</v>
      </c>
      <c r="O12" s="88"/>
      <c r="P12" s="88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15.75" x14ac:dyDescent="0.25">
      <c r="A13" s="100" t="s">
        <v>62</v>
      </c>
      <c r="B13" s="101"/>
      <c r="C13" s="101"/>
      <c r="D13" s="101"/>
      <c r="E13" s="101"/>
      <c r="F13" s="101"/>
      <c r="G13" s="101"/>
      <c r="H13" s="101">
        <f>$C$4*L13</f>
        <v>24168.053007099035</v>
      </c>
      <c r="I13" s="188">
        <v>200352.18</v>
      </c>
      <c r="J13" s="102">
        <f t="shared" si="1"/>
        <v>39.752574414977836</v>
      </c>
      <c r="K13" s="188">
        <v>37120</v>
      </c>
      <c r="L13" s="102">
        <f t="shared" si="2"/>
        <v>6.6527708826570935</v>
      </c>
      <c r="M13" s="102">
        <f>[4]ORÇAMENTO_EXECUTIVO_COMENTADO!$F$51</f>
        <v>23350.000080000002</v>
      </c>
      <c r="N13" s="102">
        <f t="shared" si="3"/>
        <v>5.1904345027185874</v>
      </c>
      <c r="O13" s="88"/>
      <c r="P13" s="88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15.75" x14ac:dyDescent="0.25">
      <c r="A14" s="100" t="s">
        <v>63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89"/>
      <c r="L14" s="101"/>
      <c r="M14" s="101"/>
      <c r="N14" s="101"/>
      <c r="O14" s="88"/>
      <c r="P14" s="88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15.75" x14ac:dyDescent="0.25">
      <c r="A15" s="216" t="s">
        <v>64</v>
      </c>
      <c r="B15" s="210"/>
      <c r="C15" s="210"/>
      <c r="D15" s="210"/>
      <c r="E15" s="211"/>
      <c r="F15" s="103" t="s">
        <v>65</v>
      </c>
      <c r="G15" s="104"/>
      <c r="H15" s="104">
        <f>J15*$C$4</f>
        <v>32356.333999976196</v>
      </c>
      <c r="I15" s="104">
        <v>44889.94</v>
      </c>
      <c r="J15" s="104">
        <f t="shared" ref="J15:J17" si="4">I15/$I$4</f>
        <v>8.9067694713074275</v>
      </c>
      <c r="K15" s="104">
        <v>31285.256630250242</v>
      </c>
      <c r="L15" s="104">
        <f t="shared" ref="L15:L17" si="5">K15/$I$5</f>
        <v>5.6070486090027911</v>
      </c>
      <c r="M15" s="104">
        <v>13004.64</v>
      </c>
      <c r="N15" s="104">
        <f t="shared" ref="N15:N17" si="6">M15/$I$6</f>
        <v>2.8907808102857295</v>
      </c>
      <c r="O15" s="88"/>
      <c r="P15" s="88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15.75" x14ac:dyDescent="0.25">
      <c r="A16" s="105" t="s">
        <v>66</v>
      </c>
      <c r="B16" s="106"/>
      <c r="C16" s="106"/>
      <c r="D16" s="106"/>
      <c r="E16" s="107" t="s">
        <v>67</v>
      </c>
      <c r="F16" s="103" t="s">
        <v>65</v>
      </c>
      <c r="G16" s="104"/>
      <c r="H16" s="104">
        <f>N16*$C$4</f>
        <v>50089.728299938208</v>
      </c>
      <c r="I16" s="104">
        <v>174592.56</v>
      </c>
      <c r="J16" s="104">
        <f t="shared" si="4"/>
        <v>34.641518418723884</v>
      </c>
      <c r="K16" s="104">
        <v>67490.002891701413</v>
      </c>
      <c r="L16" s="104">
        <f t="shared" si="5"/>
        <v>12.095784647315577</v>
      </c>
      <c r="M16" s="104">
        <f>[4]ORÇAMENTO_EXECUTIVO_COMENTADO!$F$56-M15</f>
        <v>62028.710000000006</v>
      </c>
      <c r="N16" s="104">
        <f t="shared" si="6"/>
        <v>13.788263616276849</v>
      </c>
      <c r="O16" s="88"/>
      <c r="P16" s="88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15.75" x14ac:dyDescent="0.25">
      <c r="A17" s="100" t="s">
        <v>68</v>
      </c>
      <c r="B17" s="101"/>
      <c r="C17" s="101"/>
      <c r="D17" s="101"/>
      <c r="E17" s="101"/>
      <c r="F17" s="101"/>
      <c r="G17" s="101"/>
      <c r="H17" s="101">
        <f>L17*C4</f>
        <v>15366.853974655922</v>
      </c>
      <c r="I17" s="101">
        <v>26937.34</v>
      </c>
      <c r="J17" s="102">
        <f t="shared" si="4"/>
        <v>5.3447315267124083</v>
      </c>
      <c r="K17" s="188">
        <v>23602.133749527755</v>
      </c>
      <c r="L17" s="102">
        <f t="shared" si="5"/>
        <v>4.2300535608145617</v>
      </c>
      <c r="M17" s="102">
        <f>[4]ORÇAMENTO_EXECUTIVO_COMENTADO!$F$70</f>
        <v>8250</v>
      </c>
      <c r="N17" s="102">
        <f t="shared" si="6"/>
        <v>1.8338794218722909</v>
      </c>
      <c r="O17" s="88"/>
      <c r="P17" s="88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15.75" x14ac:dyDescent="0.25">
      <c r="A18" s="207" t="s">
        <v>69</v>
      </c>
      <c r="B18" s="201"/>
      <c r="C18" s="201"/>
      <c r="D18" s="201"/>
      <c r="E18" s="201"/>
      <c r="F18" s="201"/>
      <c r="G18" s="201"/>
      <c r="H18" s="201"/>
      <c r="I18" s="201"/>
      <c r="J18" s="208"/>
      <c r="K18" s="188"/>
      <c r="L18" s="102"/>
      <c r="M18" s="102"/>
      <c r="N18" s="102"/>
      <c r="O18" s="88"/>
      <c r="P18" s="88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15.75" x14ac:dyDescent="0.25">
      <c r="A19" s="216" t="s">
        <v>70</v>
      </c>
      <c r="B19" s="210"/>
      <c r="C19" s="210"/>
      <c r="D19" s="210"/>
      <c r="E19" s="211"/>
      <c r="F19" s="103" t="s">
        <v>71</v>
      </c>
      <c r="G19" s="104"/>
      <c r="H19" s="104">
        <v>2000</v>
      </c>
      <c r="I19" s="104">
        <v>2000</v>
      </c>
      <c r="J19" s="104">
        <f t="shared" ref="J19:J21" si="7">I19/$I$4</f>
        <v>0.39682697153560137</v>
      </c>
      <c r="K19" s="104">
        <v>875.49</v>
      </c>
      <c r="L19" s="104">
        <f t="shared" ref="L19:L21" si="8">K19/$I$5</f>
        <v>0.15690825377309964</v>
      </c>
      <c r="M19" s="104">
        <v>60000</v>
      </c>
      <c r="N19" s="104">
        <f t="shared" ref="N19:N22" si="9">M19/$I$6</f>
        <v>13.337304886343935</v>
      </c>
      <c r="O19" s="88"/>
      <c r="P19" s="88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15.75" x14ac:dyDescent="0.25">
      <c r="A20" s="216" t="s">
        <v>72</v>
      </c>
      <c r="B20" s="210"/>
      <c r="C20" s="210"/>
      <c r="D20" s="210"/>
      <c r="E20" s="211"/>
      <c r="F20" s="103" t="s">
        <v>65</v>
      </c>
      <c r="G20" s="104"/>
      <c r="H20" s="104">
        <v>2850</v>
      </c>
      <c r="I20" s="104"/>
      <c r="J20" s="104">
        <f t="shared" si="7"/>
        <v>0</v>
      </c>
      <c r="K20" s="104"/>
      <c r="L20" s="104">
        <f t="shared" si="8"/>
        <v>0</v>
      </c>
      <c r="M20" s="104">
        <v>1500</v>
      </c>
      <c r="N20" s="104">
        <f t="shared" si="9"/>
        <v>0.33343262215859837</v>
      </c>
      <c r="O20" s="88"/>
      <c r="P20" s="88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15.75" customHeight="1" x14ac:dyDescent="0.25">
      <c r="A21" s="100" t="s">
        <v>73</v>
      </c>
      <c r="B21" s="101"/>
      <c r="C21" s="101"/>
      <c r="D21" s="101"/>
      <c r="E21" s="101"/>
      <c r="F21" s="101"/>
      <c r="G21" s="101"/>
      <c r="H21" s="101">
        <f>J21*C4</f>
        <v>27209.918491740049</v>
      </c>
      <c r="I21" s="188">
        <v>37750</v>
      </c>
      <c r="J21" s="102">
        <f t="shared" si="7"/>
        <v>7.490109087734476</v>
      </c>
      <c r="K21" s="102">
        <v>0</v>
      </c>
      <c r="L21" s="102">
        <f t="shared" si="8"/>
        <v>0</v>
      </c>
      <c r="M21" s="102">
        <f>[4]ORÇAMENTO_EXECUTIVO_COMENTADO!$F$92+[4]ORÇAMENTO_EXECUTIVO_COMENTADO!$F$89</f>
        <v>52200</v>
      </c>
      <c r="N21" s="102">
        <f t="shared" si="9"/>
        <v>11.603455251119222</v>
      </c>
      <c r="O21" s="88"/>
      <c r="P21" s="88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15.75" customHeight="1" x14ac:dyDescent="0.25">
      <c r="A22" s="207" t="s">
        <v>74</v>
      </c>
      <c r="B22" s="201"/>
      <c r="C22" s="201"/>
      <c r="D22" s="201"/>
      <c r="E22" s="201"/>
      <c r="F22" s="201"/>
      <c r="G22" s="201"/>
      <c r="H22" s="201"/>
      <c r="I22" s="201"/>
      <c r="J22" s="208"/>
      <c r="K22" s="102"/>
      <c r="L22" s="102"/>
      <c r="M22" s="102">
        <v>1107599</v>
      </c>
      <c r="N22" s="102">
        <f t="shared" si="9"/>
        <v>246.20642591349426</v>
      </c>
      <c r="O22" s="88"/>
      <c r="P22" s="88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spans="1:26" ht="15.75" customHeight="1" x14ac:dyDescent="0.25">
      <c r="A23" s="108" t="s">
        <v>75</v>
      </c>
      <c r="B23" s="109"/>
      <c r="C23" s="109"/>
      <c r="D23" s="109"/>
      <c r="E23" s="110"/>
      <c r="F23" s="103" t="s">
        <v>71</v>
      </c>
      <c r="G23" s="104"/>
      <c r="H23" s="104">
        <v>8000</v>
      </c>
      <c r="I23" s="104">
        <v>5000</v>
      </c>
      <c r="J23" s="104"/>
      <c r="K23" s="104">
        <v>13580.813848964193</v>
      </c>
      <c r="L23" s="104"/>
      <c r="M23" s="104">
        <v>5000</v>
      </c>
      <c r="N23" s="104"/>
      <c r="O23" s="88"/>
      <c r="P23" s="88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15.75" customHeight="1" x14ac:dyDescent="0.25">
      <c r="A24" s="111" t="s">
        <v>76</v>
      </c>
      <c r="B24" s="112"/>
      <c r="C24" s="112"/>
      <c r="D24" s="112"/>
      <c r="E24" s="113"/>
      <c r="F24" s="103" t="s">
        <v>71</v>
      </c>
      <c r="G24" s="104"/>
      <c r="H24" s="104">
        <v>6000</v>
      </c>
      <c r="I24" s="104"/>
      <c r="J24" s="104"/>
      <c r="K24" s="104"/>
      <c r="L24" s="104"/>
      <c r="M24" s="104">
        <v>5000</v>
      </c>
      <c r="N24" s="104"/>
      <c r="O24" s="88"/>
      <c r="P24" s="88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15.75" customHeight="1" x14ac:dyDescent="0.25">
      <c r="A25" s="111" t="s">
        <v>77</v>
      </c>
      <c r="B25" s="112"/>
      <c r="C25" s="112"/>
      <c r="D25" s="112"/>
      <c r="E25" s="113"/>
      <c r="F25" s="103" t="s">
        <v>71</v>
      </c>
      <c r="G25" s="104"/>
      <c r="H25" s="104">
        <v>5000</v>
      </c>
      <c r="I25" s="104">
        <v>3000</v>
      </c>
      <c r="J25" s="104"/>
      <c r="K25" s="104">
        <v>1833.2167457649396</v>
      </c>
      <c r="L25" s="104"/>
      <c r="M25" s="104">
        <v>2500</v>
      </c>
      <c r="N25" s="104"/>
      <c r="O25" s="88"/>
      <c r="P25" s="88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15.75" customHeight="1" x14ac:dyDescent="0.25">
      <c r="A26" s="111" t="s">
        <v>78</v>
      </c>
      <c r="B26" s="112"/>
      <c r="C26" s="112"/>
      <c r="D26" s="112"/>
      <c r="E26" s="113"/>
      <c r="F26" s="103" t="s">
        <v>71</v>
      </c>
      <c r="G26" s="104"/>
      <c r="H26" s="104">
        <v>3000</v>
      </c>
      <c r="I26" s="104">
        <v>3000</v>
      </c>
      <c r="J26" s="104"/>
      <c r="K26" s="104">
        <v>1833.2167457649396</v>
      </c>
      <c r="L26" s="104"/>
      <c r="M26" s="104"/>
      <c r="N26" s="104"/>
      <c r="O26" s="88"/>
      <c r="P26" s="88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15.75" customHeight="1" x14ac:dyDescent="0.25">
      <c r="A27" s="105" t="s">
        <v>79</v>
      </c>
      <c r="B27" s="114"/>
      <c r="C27" s="114"/>
      <c r="D27" s="114"/>
      <c r="E27" s="115"/>
      <c r="F27" s="103" t="s">
        <v>71</v>
      </c>
      <c r="G27" s="104"/>
      <c r="H27" s="104">
        <v>1400</v>
      </c>
      <c r="I27" s="104">
        <v>700</v>
      </c>
      <c r="J27" s="104"/>
      <c r="K27" s="104">
        <v>1833.2167457649396</v>
      </c>
      <c r="L27" s="104"/>
      <c r="M27" s="104">
        <v>2400</v>
      </c>
      <c r="N27" s="104"/>
      <c r="O27" s="88"/>
      <c r="P27" s="88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15.75" customHeight="1" x14ac:dyDescent="0.25">
      <c r="A28" s="105" t="s">
        <v>80</v>
      </c>
      <c r="B28" s="114"/>
      <c r="C28" s="114"/>
      <c r="D28" s="114"/>
      <c r="E28" s="115"/>
      <c r="F28" s="103" t="s">
        <v>71</v>
      </c>
      <c r="G28" s="104"/>
      <c r="H28" s="104">
        <v>3500</v>
      </c>
      <c r="I28" s="104"/>
      <c r="J28" s="104"/>
      <c r="K28" s="104"/>
      <c r="L28" s="104"/>
      <c r="M28" s="104">
        <v>2500</v>
      </c>
      <c r="N28" s="104"/>
      <c r="O28" s="88"/>
      <c r="P28" s="88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15.75" customHeight="1" x14ac:dyDescent="0.25">
      <c r="A29" s="105" t="s">
        <v>211</v>
      </c>
      <c r="B29" s="114"/>
      <c r="C29" s="114"/>
      <c r="D29" s="114"/>
      <c r="E29" s="115"/>
      <c r="F29" s="103" t="s">
        <v>71</v>
      </c>
      <c r="G29" s="104"/>
      <c r="H29" s="104">
        <v>10500</v>
      </c>
      <c r="I29" s="104"/>
      <c r="J29" s="104"/>
      <c r="K29" s="104"/>
      <c r="L29" s="104"/>
      <c r="M29" s="104">
        <v>380448</v>
      </c>
      <c r="N29" s="104"/>
      <c r="O29" s="88"/>
      <c r="P29" s="88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15.75" customHeight="1" x14ac:dyDescent="0.25">
      <c r="A30" s="105" t="s">
        <v>81</v>
      </c>
      <c r="B30" s="114"/>
      <c r="C30" s="114"/>
      <c r="D30" s="114"/>
      <c r="E30" s="115"/>
      <c r="F30" s="103" t="s">
        <v>65</v>
      </c>
      <c r="G30" s="104"/>
      <c r="H30" s="104">
        <v>2500</v>
      </c>
      <c r="I30" s="104">
        <v>1700</v>
      </c>
      <c r="J30" s="104">
        <f>I30/$I$4</f>
        <v>0.33730292580526117</v>
      </c>
      <c r="K30" s="104"/>
      <c r="L30" s="104">
        <f>K30/$I$5</f>
        <v>0</v>
      </c>
      <c r="M30" s="104">
        <v>26358.92</v>
      </c>
      <c r="N30" s="104">
        <f>M30/$I$6</f>
        <v>5.8592825419124805</v>
      </c>
      <c r="O30" s="88"/>
      <c r="P30" s="88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15.75" customHeight="1" x14ac:dyDescent="0.25">
      <c r="A31" s="207" t="s">
        <v>82</v>
      </c>
      <c r="B31" s="201"/>
      <c r="C31" s="201"/>
      <c r="D31" s="201"/>
      <c r="E31" s="201"/>
      <c r="F31" s="201"/>
      <c r="G31" s="201"/>
      <c r="H31" s="201"/>
      <c r="I31" s="201"/>
      <c r="J31" s="208"/>
      <c r="K31" s="102"/>
      <c r="L31" s="102"/>
      <c r="M31" s="102"/>
      <c r="N31" s="102"/>
      <c r="O31" s="88"/>
      <c r="P31" s="88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15.75" customHeight="1" x14ac:dyDescent="0.25">
      <c r="A32" s="116" t="s">
        <v>83</v>
      </c>
      <c r="B32" s="117"/>
      <c r="C32" s="117"/>
      <c r="D32" s="117"/>
      <c r="E32" s="118"/>
      <c r="F32" s="103" t="s">
        <v>49</v>
      </c>
      <c r="G32" s="119"/>
      <c r="H32" s="104">
        <f>3.5*B4</f>
        <v>3033.2750000000001</v>
      </c>
      <c r="I32" s="119">
        <v>36000</v>
      </c>
      <c r="J32" s="104">
        <f t="shared" ref="J32:J39" si="10">I32/$I$4</f>
        <v>7.1428854876408243</v>
      </c>
      <c r="K32" s="119">
        <v>33733.300000000003</v>
      </c>
      <c r="L32" s="104">
        <f t="shared" ref="L32:L39" si="11">K32/$I$5</f>
        <v>6.0457951512913946</v>
      </c>
      <c r="M32" s="119">
        <v>37440</v>
      </c>
      <c r="N32" s="104">
        <f t="shared" ref="N32:N39" si="12">M32/$I$6</f>
        <v>8.322478249078614</v>
      </c>
      <c r="O32" s="88"/>
      <c r="P32" s="88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15.75" customHeight="1" x14ac:dyDescent="0.25">
      <c r="A33" s="116" t="s">
        <v>84</v>
      </c>
      <c r="B33" s="117"/>
      <c r="C33" s="117"/>
      <c r="D33" s="117"/>
      <c r="E33" s="118"/>
      <c r="F33" s="103"/>
      <c r="G33" s="119"/>
      <c r="H33" s="104">
        <f>N33*C4</f>
        <v>28263.371759590631</v>
      </c>
      <c r="I33" s="119">
        <v>80000</v>
      </c>
      <c r="J33" s="104">
        <f t="shared" si="10"/>
        <v>15.873078861424055</v>
      </c>
      <c r="K33" s="119">
        <v>24271.74</v>
      </c>
      <c r="L33" s="104">
        <f t="shared" si="11"/>
        <v>4.3500626385620551</v>
      </c>
      <c r="M33" s="119">
        <v>35000</v>
      </c>
      <c r="N33" s="104">
        <f t="shared" si="12"/>
        <v>7.7800945170339615</v>
      </c>
      <c r="O33" s="88"/>
      <c r="P33" s="88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15.75" customHeight="1" x14ac:dyDescent="0.25">
      <c r="A34" s="116" t="s">
        <v>85</v>
      </c>
      <c r="B34" s="117"/>
      <c r="C34" s="117"/>
      <c r="D34" s="117"/>
      <c r="E34" s="118"/>
      <c r="F34" s="103" t="s">
        <v>43</v>
      </c>
      <c r="G34" s="119"/>
      <c r="H34" s="120"/>
      <c r="I34" s="119"/>
      <c r="J34" s="104">
        <f t="shared" si="10"/>
        <v>0</v>
      </c>
      <c r="K34" s="119"/>
      <c r="L34" s="104">
        <f t="shared" si="11"/>
        <v>0</v>
      </c>
      <c r="M34" s="119"/>
      <c r="N34" s="104">
        <f t="shared" si="12"/>
        <v>0</v>
      </c>
      <c r="O34" s="88"/>
      <c r="P34" s="88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15.75" customHeight="1" x14ac:dyDescent="0.25">
      <c r="A35" s="116" t="s">
        <v>86</v>
      </c>
      <c r="B35" s="117"/>
      <c r="C35" s="117"/>
      <c r="D35" s="117"/>
      <c r="E35" s="118"/>
      <c r="F35" s="103" t="s">
        <v>65</v>
      </c>
      <c r="G35" s="104"/>
      <c r="H35" s="104">
        <f>N35*$C$4</f>
        <v>4360.6345000511255</v>
      </c>
      <c r="I35" s="104">
        <f>'[5]Ger_Tec e Adm'!$M$90</f>
        <v>6007.98</v>
      </c>
      <c r="J35" s="104">
        <f t="shared" si="10"/>
        <v>1.1920642542232311</v>
      </c>
      <c r="K35" s="104">
        <v>9417.8358655306074</v>
      </c>
      <c r="L35" s="104">
        <f t="shared" si="11"/>
        <v>1.687896126719981</v>
      </c>
      <c r="M35" s="104">
        <v>5400</v>
      </c>
      <c r="N35" s="104">
        <f t="shared" si="12"/>
        <v>1.200357439770954</v>
      </c>
      <c r="O35" s="88"/>
      <c r="P35" s="88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15.75" customHeight="1" x14ac:dyDescent="0.25">
      <c r="A36" s="116" t="s">
        <v>87</v>
      </c>
      <c r="B36" s="117"/>
      <c r="C36" s="117"/>
      <c r="D36" s="117"/>
      <c r="E36" s="118"/>
      <c r="F36" s="121" t="s">
        <v>65</v>
      </c>
      <c r="G36" s="119"/>
      <c r="H36" s="104">
        <f>J36*$C$4</f>
        <v>5449.2060396271418</v>
      </c>
      <c r="I36" s="119">
        <f>'[5]Ger_Tec e Adm'!$M$89</f>
        <v>7560.02</v>
      </c>
      <c r="J36" s="104">
        <f t="shared" si="10"/>
        <v>1.5000099206742885</v>
      </c>
      <c r="K36" s="119">
        <v>10635.501465325933</v>
      </c>
      <c r="L36" s="104">
        <f t="shared" si="11"/>
        <v>1.9061302389810675</v>
      </c>
      <c r="M36" s="119">
        <v>4730</v>
      </c>
      <c r="N36" s="104">
        <f t="shared" si="12"/>
        <v>1.0514242018734468</v>
      </c>
      <c r="O36" s="88"/>
      <c r="P36" s="88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15.75" customHeight="1" x14ac:dyDescent="0.25">
      <c r="A37" s="116" t="s">
        <v>88</v>
      </c>
      <c r="B37" s="117"/>
      <c r="C37" s="117"/>
      <c r="D37" s="117"/>
      <c r="E37" s="118"/>
      <c r="F37" s="121" t="s">
        <v>71</v>
      </c>
      <c r="G37" s="119"/>
      <c r="H37" s="104">
        <f>L37*$C$4</f>
        <v>0</v>
      </c>
      <c r="I37" s="119"/>
      <c r="J37" s="104">
        <f t="shared" si="10"/>
        <v>0</v>
      </c>
      <c r="K37" s="119"/>
      <c r="L37" s="104">
        <f t="shared" si="11"/>
        <v>0</v>
      </c>
      <c r="M37" s="119"/>
      <c r="N37" s="104">
        <f t="shared" si="12"/>
        <v>0</v>
      </c>
      <c r="O37" s="88"/>
      <c r="P37" s="88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15.75" customHeight="1" x14ac:dyDescent="0.25">
      <c r="A38" s="116" t="s">
        <v>89</v>
      </c>
      <c r="B38" s="117"/>
      <c r="C38" s="117"/>
      <c r="D38" s="117"/>
      <c r="E38" s="118"/>
      <c r="F38" s="103" t="s">
        <v>65</v>
      </c>
      <c r="G38" s="104"/>
      <c r="H38" s="104">
        <f>N38*$C$4</f>
        <v>114828.98397705094</v>
      </c>
      <c r="I38" s="119"/>
      <c r="J38" s="104">
        <f t="shared" si="10"/>
        <v>0</v>
      </c>
      <c r="K38" s="119"/>
      <c r="L38" s="104">
        <f t="shared" si="11"/>
        <v>0</v>
      </c>
      <c r="M38" s="119">
        <v>142198.69</v>
      </c>
      <c r="N38" s="104">
        <f t="shared" si="12"/>
        <v>31.609121382811772</v>
      </c>
      <c r="O38" s="88"/>
      <c r="P38" s="88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15.75" customHeight="1" x14ac:dyDescent="0.25">
      <c r="A39" s="209" t="s">
        <v>90</v>
      </c>
      <c r="B39" s="210"/>
      <c r="C39" s="210"/>
      <c r="D39" s="210"/>
      <c r="E39" s="211"/>
      <c r="F39" s="103" t="s">
        <v>65</v>
      </c>
      <c r="G39" s="104"/>
      <c r="H39" s="104">
        <f>N39*$C$4</f>
        <v>201899.68687360233</v>
      </c>
      <c r="I39" s="119">
        <f>'[5]Ger_Tec e Adm'!$N$104</f>
        <v>462826.16000000003</v>
      </c>
      <c r="J39" s="104">
        <f t="shared" si="10"/>
        <v>91.830951710125845</v>
      </c>
      <c r="K39" s="119">
        <v>1156289.6543294913</v>
      </c>
      <c r="L39" s="104">
        <f t="shared" si="11"/>
        <v>207.23410948924771</v>
      </c>
      <c r="M39" s="119">
        <v>250022.86</v>
      </c>
      <c r="N39" s="104">
        <f t="shared" si="12"/>
        <v>55.577185206261419</v>
      </c>
      <c r="O39" s="88"/>
      <c r="P39" s="88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15.75" customHeight="1" x14ac:dyDescent="0.25">
      <c r="A40" s="87"/>
      <c r="B40" s="87"/>
      <c r="C40" s="87"/>
      <c r="D40" s="87"/>
      <c r="E40" s="87"/>
      <c r="F40" s="88"/>
      <c r="G40" s="87"/>
      <c r="H40" s="88"/>
      <c r="I40" s="89"/>
      <c r="J40" s="89"/>
      <c r="K40" s="88"/>
      <c r="L40" s="88"/>
      <c r="M40" s="88"/>
      <c r="N40" s="88"/>
      <c r="O40" s="88"/>
      <c r="P40" s="88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15.75" customHeight="1" x14ac:dyDescent="0.25">
      <c r="A41" s="87"/>
      <c r="B41" s="87"/>
      <c r="C41" s="87"/>
      <c r="D41" s="87"/>
      <c r="E41" s="87"/>
      <c r="F41" s="88"/>
      <c r="G41" s="87"/>
      <c r="H41" s="88"/>
      <c r="I41" s="89"/>
      <c r="J41" s="89"/>
      <c r="K41" s="88"/>
      <c r="L41" s="88"/>
      <c r="M41" s="88"/>
      <c r="N41" s="88"/>
      <c r="O41" s="88"/>
      <c r="P41" s="88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15.75" customHeight="1" x14ac:dyDescent="0.25">
      <c r="A42" s="87"/>
      <c r="B42" s="87"/>
      <c r="C42" s="87"/>
      <c r="D42" s="87"/>
      <c r="E42" s="87"/>
      <c r="F42" s="88"/>
      <c r="G42" s="87"/>
      <c r="H42" s="88"/>
      <c r="I42" s="89"/>
      <c r="J42" s="89"/>
      <c r="K42" s="88"/>
      <c r="L42" s="88"/>
      <c r="M42" s="88"/>
      <c r="N42" s="88"/>
      <c r="O42" s="88"/>
      <c r="P42" s="88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15.75" customHeight="1" x14ac:dyDescent="0.25">
      <c r="A43" s="87"/>
      <c r="B43" s="87"/>
      <c r="C43" s="87"/>
      <c r="D43" s="87"/>
      <c r="E43" s="87"/>
      <c r="F43" s="88"/>
      <c r="G43" s="87"/>
      <c r="H43" s="88"/>
      <c r="I43" s="89"/>
      <c r="J43" s="89"/>
      <c r="K43" s="88"/>
      <c r="L43" s="88"/>
      <c r="M43" s="88"/>
      <c r="N43" s="88"/>
      <c r="O43" s="88"/>
      <c r="P43" s="88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15.75" customHeight="1" x14ac:dyDescent="0.25">
      <c r="A44" s="87"/>
      <c r="B44" s="87"/>
      <c r="C44" s="87"/>
      <c r="D44" s="87"/>
      <c r="E44" s="87"/>
      <c r="F44" s="88"/>
      <c r="G44" s="87"/>
      <c r="H44" s="88"/>
      <c r="I44" s="89"/>
      <c r="J44" s="89"/>
      <c r="K44" s="88"/>
      <c r="L44" s="88"/>
      <c r="M44" s="88"/>
      <c r="N44" s="88"/>
      <c r="O44" s="88"/>
      <c r="P44" s="88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15.75" customHeight="1" x14ac:dyDescent="0.25">
      <c r="A45" s="87"/>
      <c r="B45" s="87"/>
      <c r="C45" s="87"/>
      <c r="D45" s="87"/>
      <c r="E45" s="87"/>
      <c r="F45" s="88"/>
      <c r="G45" s="87"/>
      <c r="H45" s="88"/>
      <c r="I45" s="89"/>
      <c r="J45" s="89"/>
      <c r="K45" s="88"/>
      <c r="L45" s="88"/>
      <c r="M45" s="88"/>
      <c r="N45" s="88"/>
      <c r="O45" s="88"/>
      <c r="P45" s="88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15.75" customHeight="1" x14ac:dyDescent="0.25">
      <c r="A46" s="87"/>
      <c r="B46" s="87"/>
      <c r="C46" s="87"/>
      <c r="D46" s="87"/>
      <c r="E46" s="87"/>
      <c r="F46" s="88"/>
      <c r="G46" s="87"/>
      <c r="H46" s="88"/>
      <c r="I46" s="89"/>
      <c r="J46" s="89"/>
      <c r="K46" s="88"/>
      <c r="L46" s="88"/>
      <c r="M46" s="88"/>
      <c r="N46" s="88"/>
      <c r="O46" s="88"/>
      <c r="P46" s="88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15.75" customHeight="1" x14ac:dyDescent="0.25">
      <c r="A47" s="87"/>
      <c r="B47" s="87"/>
      <c r="C47" s="87"/>
      <c r="D47" s="87"/>
      <c r="E47" s="87"/>
      <c r="F47" s="88"/>
      <c r="G47" s="87"/>
      <c r="H47" s="88"/>
      <c r="I47" s="89"/>
      <c r="J47" s="89"/>
      <c r="K47" s="88"/>
      <c r="L47" s="88"/>
      <c r="M47" s="88"/>
      <c r="N47" s="88"/>
      <c r="O47" s="88"/>
      <c r="P47" s="88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15.75" customHeight="1" x14ac:dyDescent="0.25">
      <c r="A48" s="87"/>
      <c r="B48" s="87"/>
      <c r="C48" s="87"/>
      <c r="D48" s="87"/>
      <c r="E48" s="87"/>
      <c r="F48" s="88"/>
      <c r="G48" s="87"/>
      <c r="H48" s="88"/>
      <c r="I48" s="89"/>
      <c r="J48" s="89"/>
      <c r="K48" s="88"/>
      <c r="L48" s="88"/>
      <c r="M48" s="88"/>
      <c r="N48" s="88"/>
      <c r="O48" s="88"/>
      <c r="P48" s="88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15.75" customHeight="1" x14ac:dyDescent="0.25">
      <c r="A49" s="87"/>
      <c r="B49" s="87"/>
      <c r="C49" s="87"/>
      <c r="D49" s="87"/>
      <c r="E49" s="87"/>
      <c r="F49" s="88"/>
      <c r="G49" s="87"/>
      <c r="H49" s="88"/>
      <c r="I49" s="89"/>
      <c r="J49" s="89"/>
      <c r="K49" s="88"/>
      <c r="L49" s="88"/>
      <c r="M49" s="88"/>
      <c r="N49" s="88"/>
      <c r="O49" s="88"/>
      <c r="P49" s="88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15.75" customHeight="1" x14ac:dyDescent="0.25">
      <c r="A50" s="87"/>
      <c r="B50" s="87"/>
      <c r="C50" s="87"/>
      <c r="D50" s="87"/>
      <c r="E50" s="87"/>
      <c r="F50" s="88"/>
      <c r="G50" s="87"/>
      <c r="H50" s="88"/>
      <c r="I50" s="89"/>
      <c r="J50" s="89"/>
      <c r="K50" s="88"/>
      <c r="L50" s="88"/>
      <c r="M50" s="88"/>
      <c r="N50" s="88"/>
      <c r="O50" s="88"/>
      <c r="P50" s="88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15.75" customHeight="1" x14ac:dyDescent="0.25">
      <c r="A51" s="87"/>
      <c r="B51" s="87"/>
      <c r="C51" s="87"/>
      <c r="D51" s="87"/>
      <c r="E51" s="87"/>
      <c r="F51" s="88"/>
      <c r="G51" s="87"/>
      <c r="H51" s="88"/>
      <c r="I51" s="89"/>
      <c r="J51" s="89"/>
      <c r="K51" s="88"/>
      <c r="L51" s="88"/>
      <c r="M51" s="88"/>
      <c r="N51" s="88"/>
      <c r="O51" s="88"/>
      <c r="P51" s="88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15.75" customHeight="1" x14ac:dyDescent="0.25">
      <c r="A52" s="87"/>
      <c r="B52" s="87"/>
      <c r="C52" s="87"/>
      <c r="D52" s="87"/>
      <c r="E52" s="87"/>
      <c r="F52" s="88"/>
      <c r="G52" s="87"/>
      <c r="H52" s="88"/>
      <c r="I52" s="89"/>
      <c r="J52" s="89"/>
      <c r="K52" s="88"/>
      <c r="L52" s="88"/>
      <c r="M52" s="88"/>
      <c r="N52" s="88"/>
      <c r="O52" s="88"/>
      <c r="P52" s="88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15.75" customHeight="1" x14ac:dyDescent="0.25">
      <c r="A53" s="87"/>
      <c r="B53" s="87"/>
      <c r="C53" s="87"/>
      <c r="D53" s="87"/>
      <c r="E53" s="87"/>
      <c r="F53" s="88"/>
      <c r="G53" s="87"/>
      <c r="H53" s="88"/>
      <c r="I53" s="89"/>
      <c r="J53" s="89"/>
      <c r="K53" s="88"/>
      <c r="L53" s="88"/>
      <c r="M53" s="88"/>
      <c r="N53" s="88"/>
      <c r="O53" s="88"/>
      <c r="P53" s="88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15.75" customHeight="1" x14ac:dyDescent="0.25">
      <c r="A54" s="87"/>
      <c r="B54" s="87"/>
      <c r="C54" s="87"/>
      <c r="D54" s="87"/>
      <c r="E54" s="87"/>
      <c r="F54" s="88"/>
      <c r="G54" s="87"/>
      <c r="H54" s="88"/>
      <c r="I54" s="89"/>
      <c r="J54" s="89"/>
      <c r="K54" s="88"/>
      <c r="L54" s="88"/>
      <c r="M54" s="88"/>
      <c r="N54" s="88"/>
      <c r="O54" s="88"/>
      <c r="P54" s="88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15.75" customHeight="1" x14ac:dyDescent="0.25">
      <c r="A55" s="87"/>
      <c r="B55" s="87"/>
      <c r="C55" s="87"/>
      <c r="D55" s="87"/>
      <c r="E55" s="87"/>
      <c r="F55" s="88"/>
      <c r="G55" s="87"/>
      <c r="H55" s="88"/>
      <c r="I55" s="89"/>
      <c r="J55" s="89"/>
      <c r="K55" s="88"/>
      <c r="L55" s="88"/>
      <c r="M55" s="88"/>
      <c r="N55" s="88"/>
      <c r="O55" s="88"/>
      <c r="P55" s="88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15.75" customHeight="1" x14ac:dyDescent="0.25">
      <c r="A56" s="87"/>
      <c r="B56" s="87"/>
      <c r="C56" s="87"/>
      <c r="D56" s="87"/>
      <c r="E56" s="87"/>
      <c r="F56" s="88"/>
      <c r="G56" s="87"/>
      <c r="H56" s="88"/>
      <c r="I56" s="89"/>
      <c r="J56" s="89"/>
      <c r="K56" s="88"/>
      <c r="L56" s="88"/>
      <c r="M56" s="88"/>
      <c r="N56" s="88"/>
      <c r="O56" s="88"/>
      <c r="P56" s="88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15.75" customHeight="1" x14ac:dyDescent="0.25">
      <c r="A57" s="87"/>
      <c r="B57" s="87"/>
      <c r="C57" s="87"/>
      <c r="D57" s="87"/>
      <c r="E57" s="87"/>
      <c r="F57" s="88"/>
      <c r="G57" s="87"/>
      <c r="H57" s="88"/>
      <c r="I57" s="89"/>
      <c r="J57" s="89"/>
      <c r="K57" s="88"/>
      <c r="L57" s="88"/>
      <c r="M57" s="88"/>
      <c r="N57" s="88"/>
      <c r="O57" s="88"/>
      <c r="P57" s="88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15.75" customHeight="1" x14ac:dyDescent="0.25">
      <c r="A58" s="87"/>
      <c r="B58" s="87"/>
      <c r="C58" s="87"/>
      <c r="D58" s="87"/>
      <c r="E58" s="87"/>
      <c r="F58" s="88"/>
      <c r="G58" s="87"/>
      <c r="H58" s="88"/>
      <c r="I58" s="89"/>
      <c r="J58" s="89"/>
      <c r="K58" s="88"/>
      <c r="L58" s="88"/>
      <c r="M58" s="88"/>
      <c r="N58" s="88"/>
      <c r="O58" s="88"/>
      <c r="P58" s="88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15.75" customHeight="1" x14ac:dyDescent="0.25">
      <c r="A59" s="87"/>
      <c r="B59" s="87"/>
      <c r="C59" s="87"/>
      <c r="D59" s="87"/>
      <c r="E59" s="87"/>
      <c r="F59" s="88"/>
      <c r="G59" s="87"/>
      <c r="H59" s="88"/>
      <c r="I59" s="89"/>
      <c r="J59" s="89"/>
      <c r="K59" s="88"/>
      <c r="L59" s="88"/>
      <c r="M59" s="88"/>
      <c r="N59" s="88"/>
      <c r="O59" s="88"/>
      <c r="P59" s="88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15.75" customHeight="1" x14ac:dyDescent="0.25">
      <c r="A60" s="87"/>
      <c r="B60" s="87"/>
      <c r="C60" s="87"/>
      <c r="D60" s="87"/>
      <c r="E60" s="87"/>
      <c r="F60" s="88"/>
      <c r="G60" s="87"/>
      <c r="H60" s="88"/>
      <c r="I60" s="89"/>
      <c r="J60" s="89"/>
      <c r="K60" s="88"/>
      <c r="L60" s="88"/>
      <c r="M60" s="88"/>
      <c r="N60" s="88"/>
      <c r="O60" s="88"/>
      <c r="P60" s="88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15.75" customHeight="1" x14ac:dyDescent="0.25">
      <c r="A61" s="87"/>
      <c r="B61" s="87"/>
      <c r="C61" s="87"/>
      <c r="D61" s="87"/>
      <c r="E61" s="87"/>
      <c r="F61" s="88"/>
      <c r="G61" s="87"/>
      <c r="H61" s="88"/>
      <c r="I61" s="89"/>
      <c r="J61" s="89"/>
      <c r="K61" s="88"/>
      <c r="L61" s="88"/>
      <c r="M61" s="88"/>
      <c r="N61" s="88"/>
      <c r="O61" s="88"/>
      <c r="P61" s="88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15.75" customHeight="1" x14ac:dyDescent="0.25">
      <c r="A62" s="87"/>
      <c r="B62" s="87"/>
      <c r="C62" s="87"/>
      <c r="D62" s="87"/>
      <c r="E62" s="87"/>
      <c r="F62" s="88"/>
      <c r="G62" s="87"/>
      <c r="H62" s="88"/>
      <c r="I62" s="89"/>
      <c r="J62" s="89"/>
      <c r="K62" s="88"/>
      <c r="L62" s="88"/>
      <c r="M62" s="88"/>
      <c r="N62" s="88"/>
      <c r="O62" s="88"/>
      <c r="P62" s="88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15.75" customHeight="1" x14ac:dyDescent="0.25">
      <c r="A63" s="87"/>
      <c r="B63" s="87"/>
      <c r="C63" s="87"/>
      <c r="D63" s="87"/>
      <c r="E63" s="87"/>
      <c r="F63" s="88"/>
      <c r="G63" s="87"/>
      <c r="H63" s="88"/>
      <c r="I63" s="89"/>
      <c r="J63" s="89"/>
      <c r="K63" s="88"/>
      <c r="L63" s="88"/>
      <c r="M63" s="88"/>
      <c r="N63" s="88"/>
      <c r="O63" s="88"/>
      <c r="P63" s="88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15.75" customHeight="1" x14ac:dyDescent="0.25">
      <c r="A64" s="87"/>
      <c r="B64" s="87"/>
      <c r="C64" s="87"/>
      <c r="D64" s="87"/>
      <c r="E64" s="87"/>
      <c r="F64" s="88"/>
      <c r="G64" s="87"/>
      <c r="H64" s="88"/>
      <c r="I64" s="89"/>
      <c r="J64" s="89"/>
      <c r="K64" s="88"/>
      <c r="L64" s="88"/>
      <c r="M64" s="88"/>
      <c r="N64" s="88"/>
      <c r="O64" s="88"/>
      <c r="P64" s="88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15.75" customHeight="1" x14ac:dyDescent="0.25">
      <c r="A65" s="87"/>
      <c r="B65" s="87"/>
      <c r="C65" s="87"/>
      <c r="D65" s="87"/>
      <c r="E65" s="87"/>
      <c r="F65" s="88"/>
      <c r="G65" s="87"/>
      <c r="H65" s="88"/>
      <c r="I65" s="89"/>
      <c r="J65" s="89"/>
      <c r="K65" s="88"/>
      <c r="L65" s="88"/>
      <c r="M65" s="88"/>
      <c r="N65" s="88"/>
      <c r="O65" s="88"/>
      <c r="P65" s="88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15.75" customHeight="1" x14ac:dyDescent="0.25">
      <c r="A66" s="87"/>
      <c r="B66" s="87"/>
      <c r="C66" s="87"/>
      <c r="D66" s="87"/>
      <c r="E66" s="87"/>
      <c r="F66" s="88"/>
      <c r="G66" s="87"/>
      <c r="H66" s="88"/>
      <c r="I66" s="89"/>
      <c r="J66" s="89"/>
      <c r="K66" s="88"/>
      <c r="L66" s="88"/>
      <c r="M66" s="88"/>
      <c r="N66" s="88"/>
      <c r="O66" s="88"/>
      <c r="P66" s="88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15.75" customHeight="1" x14ac:dyDescent="0.25">
      <c r="A67" s="87"/>
      <c r="B67" s="87"/>
      <c r="C67" s="87"/>
      <c r="D67" s="87"/>
      <c r="E67" s="87"/>
      <c r="F67" s="88"/>
      <c r="G67" s="87"/>
      <c r="H67" s="88"/>
      <c r="I67" s="89"/>
      <c r="J67" s="89"/>
      <c r="K67" s="88"/>
      <c r="L67" s="88"/>
      <c r="M67" s="88"/>
      <c r="N67" s="88"/>
      <c r="O67" s="88"/>
      <c r="P67" s="88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15.75" customHeight="1" x14ac:dyDescent="0.25">
      <c r="A68" s="87"/>
      <c r="B68" s="87"/>
      <c r="C68" s="87"/>
      <c r="D68" s="87"/>
      <c r="E68" s="87"/>
      <c r="F68" s="88"/>
      <c r="G68" s="87"/>
      <c r="H68" s="88"/>
      <c r="I68" s="89"/>
      <c r="J68" s="89"/>
      <c r="K68" s="88"/>
      <c r="L68" s="88"/>
      <c r="M68" s="88"/>
      <c r="N68" s="88"/>
      <c r="O68" s="88"/>
      <c r="P68" s="88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15.75" customHeight="1" x14ac:dyDescent="0.25">
      <c r="A69" s="87"/>
      <c r="B69" s="87"/>
      <c r="C69" s="87"/>
      <c r="D69" s="87"/>
      <c r="E69" s="87"/>
      <c r="F69" s="88"/>
      <c r="G69" s="87"/>
      <c r="H69" s="88"/>
      <c r="I69" s="89"/>
      <c r="J69" s="89"/>
      <c r="K69" s="88"/>
      <c r="L69" s="88"/>
      <c r="M69" s="88"/>
      <c r="N69" s="88"/>
      <c r="O69" s="88"/>
      <c r="P69" s="88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15.75" customHeight="1" x14ac:dyDescent="0.25">
      <c r="A70" s="87"/>
      <c r="B70" s="87"/>
      <c r="C70" s="87"/>
      <c r="D70" s="87"/>
      <c r="E70" s="87"/>
      <c r="F70" s="88"/>
      <c r="G70" s="87"/>
      <c r="H70" s="88"/>
      <c r="I70" s="89"/>
      <c r="J70" s="89"/>
      <c r="K70" s="88"/>
      <c r="L70" s="88"/>
      <c r="M70" s="88"/>
      <c r="N70" s="88"/>
      <c r="O70" s="88"/>
      <c r="P70" s="88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15.75" customHeight="1" x14ac:dyDescent="0.25">
      <c r="A71" s="87"/>
      <c r="B71" s="87"/>
      <c r="C71" s="87"/>
      <c r="D71" s="87"/>
      <c r="E71" s="87"/>
      <c r="F71" s="88"/>
      <c r="G71" s="87"/>
      <c r="H71" s="88"/>
      <c r="I71" s="89"/>
      <c r="J71" s="89"/>
      <c r="K71" s="88"/>
      <c r="L71" s="88"/>
      <c r="M71" s="88"/>
      <c r="N71" s="88"/>
      <c r="O71" s="88"/>
      <c r="P71" s="88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15.75" customHeight="1" x14ac:dyDescent="0.25">
      <c r="A72" s="87"/>
      <c r="B72" s="87"/>
      <c r="C72" s="87"/>
      <c r="D72" s="87"/>
      <c r="E72" s="87"/>
      <c r="F72" s="88"/>
      <c r="G72" s="87"/>
      <c r="H72" s="88"/>
      <c r="I72" s="89"/>
      <c r="J72" s="89"/>
      <c r="K72" s="88"/>
      <c r="L72" s="88"/>
      <c r="M72" s="88"/>
      <c r="N72" s="88"/>
      <c r="O72" s="88"/>
      <c r="P72" s="88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15.75" customHeight="1" x14ac:dyDescent="0.25">
      <c r="A73" s="87"/>
      <c r="B73" s="87"/>
      <c r="C73" s="87"/>
      <c r="D73" s="87"/>
      <c r="E73" s="87"/>
      <c r="F73" s="88"/>
      <c r="G73" s="87"/>
      <c r="H73" s="88"/>
      <c r="I73" s="89"/>
      <c r="J73" s="89"/>
      <c r="K73" s="88"/>
      <c r="L73" s="88"/>
      <c r="M73" s="88"/>
      <c r="N73" s="88"/>
      <c r="O73" s="88"/>
      <c r="P73" s="88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15.75" customHeight="1" x14ac:dyDescent="0.25">
      <c r="A74" s="87"/>
      <c r="B74" s="87"/>
      <c r="C74" s="87"/>
      <c r="D74" s="87"/>
      <c r="E74" s="87"/>
      <c r="F74" s="88"/>
      <c r="G74" s="87"/>
      <c r="H74" s="88"/>
      <c r="I74" s="89"/>
      <c r="J74" s="89"/>
      <c r="K74" s="88"/>
      <c r="L74" s="88"/>
      <c r="M74" s="88"/>
      <c r="N74" s="88"/>
      <c r="O74" s="88"/>
      <c r="P74" s="88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15.75" customHeight="1" x14ac:dyDescent="0.25">
      <c r="A75" s="87"/>
      <c r="B75" s="87"/>
      <c r="C75" s="87"/>
      <c r="D75" s="87"/>
      <c r="E75" s="87"/>
      <c r="F75" s="88"/>
      <c r="G75" s="87"/>
      <c r="H75" s="88"/>
      <c r="I75" s="89"/>
      <c r="J75" s="89"/>
      <c r="K75" s="88"/>
      <c r="L75" s="88"/>
      <c r="M75" s="88"/>
      <c r="N75" s="88"/>
      <c r="O75" s="88"/>
      <c r="P75" s="88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15.75" customHeight="1" x14ac:dyDescent="0.25">
      <c r="A76" s="87"/>
      <c r="B76" s="87"/>
      <c r="C76" s="87"/>
      <c r="D76" s="87"/>
      <c r="E76" s="87"/>
      <c r="F76" s="88"/>
      <c r="G76" s="87"/>
      <c r="H76" s="88"/>
      <c r="I76" s="89"/>
      <c r="J76" s="89"/>
      <c r="K76" s="88"/>
      <c r="L76" s="88"/>
      <c r="M76" s="88"/>
      <c r="N76" s="88"/>
      <c r="O76" s="88"/>
      <c r="P76" s="88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15.75" customHeight="1" x14ac:dyDescent="0.25">
      <c r="A77" s="87"/>
      <c r="B77" s="87"/>
      <c r="C77" s="87"/>
      <c r="D77" s="87"/>
      <c r="E77" s="87"/>
      <c r="F77" s="88"/>
      <c r="G77" s="87"/>
      <c r="H77" s="88"/>
      <c r="I77" s="89"/>
      <c r="J77" s="89"/>
      <c r="K77" s="88"/>
      <c r="L77" s="88"/>
      <c r="M77" s="88"/>
      <c r="N77" s="88"/>
      <c r="O77" s="88"/>
      <c r="P77" s="88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15.75" customHeight="1" x14ac:dyDescent="0.25">
      <c r="A78" s="87"/>
      <c r="B78" s="87"/>
      <c r="C78" s="87"/>
      <c r="D78" s="87"/>
      <c r="E78" s="87"/>
      <c r="F78" s="88"/>
      <c r="G78" s="87"/>
      <c r="H78" s="88"/>
      <c r="I78" s="89"/>
      <c r="J78" s="89"/>
      <c r="K78" s="88"/>
      <c r="L78" s="88"/>
      <c r="M78" s="88"/>
      <c r="N78" s="88"/>
      <c r="O78" s="88"/>
      <c r="P78" s="88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15.75" customHeight="1" x14ac:dyDescent="0.25">
      <c r="A79" s="87"/>
      <c r="B79" s="87"/>
      <c r="C79" s="87"/>
      <c r="D79" s="87"/>
      <c r="E79" s="87"/>
      <c r="F79" s="88"/>
      <c r="G79" s="87"/>
      <c r="H79" s="88"/>
      <c r="I79" s="89"/>
      <c r="J79" s="89"/>
      <c r="K79" s="88"/>
      <c r="L79" s="88"/>
      <c r="M79" s="88"/>
      <c r="N79" s="88"/>
      <c r="O79" s="88"/>
      <c r="P79" s="88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15.75" customHeight="1" x14ac:dyDescent="0.25">
      <c r="A80" s="87"/>
      <c r="B80" s="87"/>
      <c r="C80" s="87"/>
      <c r="D80" s="87"/>
      <c r="E80" s="87"/>
      <c r="F80" s="88"/>
      <c r="G80" s="87"/>
      <c r="H80" s="88"/>
      <c r="I80" s="89"/>
      <c r="J80" s="89"/>
      <c r="K80" s="88"/>
      <c r="L80" s="88"/>
      <c r="M80" s="88"/>
      <c r="N80" s="88"/>
      <c r="O80" s="88"/>
      <c r="P80" s="88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15.75" customHeight="1" x14ac:dyDescent="0.25">
      <c r="A81" s="87"/>
      <c r="B81" s="87"/>
      <c r="C81" s="87"/>
      <c r="D81" s="87"/>
      <c r="E81" s="87"/>
      <c r="F81" s="88"/>
      <c r="G81" s="87"/>
      <c r="H81" s="88"/>
      <c r="I81" s="89"/>
      <c r="J81" s="89"/>
      <c r="K81" s="88"/>
      <c r="L81" s="88"/>
      <c r="M81" s="88"/>
      <c r="N81" s="88"/>
      <c r="O81" s="88"/>
      <c r="P81" s="88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15.75" customHeight="1" x14ac:dyDescent="0.25">
      <c r="A82" s="87"/>
      <c r="B82" s="87"/>
      <c r="C82" s="87"/>
      <c r="D82" s="87"/>
      <c r="E82" s="87"/>
      <c r="F82" s="88"/>
      <c r="G82" s="87"/>
      <c r="H82" s="88"/>
      <c r="I82" s="89"/>
      <c r="J82" s="89"/>
      <c r="K82" s="88"/>
      <c r="L82" s="88"/>
      <c r="M82" s="88"/>
      <c r="N82" s="88"/>
      <c r="O82" s="88"/>
      <c r="P82" s="88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15.75" customHeight="1" x14ac:dyDescent="0.25">
      <c r="A83" s="87"/>
      <c r="B83" s="87"/>
      <c r="C83" s="87"/>
      <c r="D83" s="87"/>
      <c r="E83" s="87"/>
      <c r="F83" s="88"/>
      <c r="G83" s="87"/>
      <c r="H83" s="88"/>
      <c r="I83" s="89"/>
      <c r="J83" s="89"/>
      <c r="K83" s="88"/>
      <c r="L83" s="88"/>
      <c r="M83" s="88"/>
      <c r="N83" s="88"/>
      <c r="O83" s="88"/>
      <c r="P83" s="88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15.75" customHeight="1" x14ac:dyDescent="0.25">
      <c r="A84" s="87"/>
      <c r="B84" s="87"/>
      <c r="C84" s="87"/>
      <c r="D84" s="87"/>
      <c r="E84" s="87"/>
      <c r="F84" s="88"/>
      <c r="G84" s="87"/>
      <c r="H84" s="88"/>
      <c r="I84" s="89"/>
      <c r="J84" s="89"/>
      <c r="K84" s="88"/>
      <c r="L84" s="88"/>
      <c r="M84" s="88"/>
      <c r="N84" s="88"/>
      <c r="O84" s="88"/>
      <c r="P84" s="88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15.75" customHeight="1" x14ac:dyDescent="0.25">
      <c r="A85" s="87"/>
      <c r="B85" s="87"/>
      <c r="C85" s="87"/>
      <c r="D85" s="87"/>
      <c r="E85" s="87"/>
      <c r="F85" s="88"/>
      <c r="G85" s="87"/>
      <c r="H85" s="88"/>
      <c r="I85" s="89"/>
      <c r="J85" s="89"/>
      <c r="K85" s="88"/>
      <c r="L85" s="88"/>
      <c r="M85" s="88"/>
      <c r="N85" s="88"/>
      <c r="O85" s="88"/>
      <c r="P85" s="88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15.75" customHeight="1" x14ac:dyDescent="0.25">
      <c r="A86" s="87"/>
      <c r="B86" s="87"/>
      <c r="C86" s="87"/>
      <c r="D86" s="87"/>
      <c r="E86" s="87"/>
      <c r="F86" s="88"/>
      <c r="G86" s="87"/>
      <c r="H86" s="88"/>
      <c r="I86" s="89"/>
      <c r="J86" s="89"/>
      <c r="K86" s="88"/>
      <c r="L86" s="88"/>
      <c r="M86" s="88"/>
      <c r="N86" s="88"/>
      <c r="O86" s="88"/>
      <c r="P86" s="88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15.75" customHeight="1" x14ac:dyDescent="0.25">
      <c r="A87" s="87"/>
      <c r="B87" s="87"/>
      <c r="C87" s="87"/>
      <c r="D87" s="87"/>
      <c r="E87" s="87"/>
      <c r="F87" s="88"/>
      <c r="G87" s="87"/>
      <c r="H87" s="88"/>
      <c r="I87" s="89"/>
      <c r="J87" s="89"/>
      <c r="K87" s="88"/>
      <c r="L87" s="88"/>
      <c r="M87" s="88"/>
      <c r="N87" s="88"/>
      <c r="O87" s="88"/>
      <c r="P87" s="88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15.75" customHeight="1" x14ac:dyDescent="0.25">
      <c r="A88" s="87"/>
      <c r="B88" s="87"/>
      <c r="C88" s="87"/>
      <c r="D88" s="87"/>
      <c r="E88" s="87"/>
      <c r="F88" s="88"/>
      <c r="G88" s="87"/>
      <c r="H88" s="88"/>
      <c r="I88" s="89"/>
      <c r="J88" s="89"/>
      <c r="K88" s="88"/>
      <c r="L88" s="88"/>
      <c r="M88" s="88"/>
      <c r="N88" s="88"/>
      <c r="O88" s="88"/>
      <c r="P88" s="88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15.75" customHeight="1" x14ac:dyDescent="0.25">
      <c r="A89" s="87"/>
      <c r="B89" s="87"/>
      <c r="C89" s="87"/>
      <c r="D89" s="87"/>
      <c r="E89" s="87"/>
      <c r="F89" s="88"/>
      <c r="G89" s="87"/>
      <c r="H89" s="88"/>
      <c r="I89" s="89"/>
      <c r="J89" s="89"/>
      <c r="K89" s="88"/>
      <c r="L89" s="88"/>
      <c r="M89" s="88"/>
      <c r="N89" s="88"/>
      <c r="O89" s="88"/>
      <c r="P89" s="88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15.75" customHeight="1" x14ac:dyDescent="0.25">
      <c r="A90" s="87"/>
      <c r="B90" s="87"/>
      <c r="C90" s="87"/>
      <c r="D90" s="87"/>
      <c r="E90" s="87"/>
      <c r="F90" s="88"/>
      <c r="G90" s="87"/>
      <c r="H90" s="88"/>
      <c r="I90" s="89"/>
      <c r="J90" s="89"/>
      <c r="K90" s="88"/>
      <c r="L90" s="88"/>
      <c r="M90" s="88"/>
      <c r="N90" s="88"/>
      <c r="O90" s="88"/>
      <c r="P90" s="88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15.75" customHeight="1" x14ac:dyDescent="0.25">
      <c r="A91" s="87"/>
      <c r="B91" s="87"/>
      <c r="C91" s="87"/>
      <c r="D91" s="87"/>
      <c r="E91" s="87"/>
      <c r="F91" s="88"/>
      <c r="G91" s="87"/>
      <c r="H91" s="88"/>
      <c r="I91" s="89"/>
      <c r="J91" s="89"/>
      <c r="K91" s="88"/>
      <c r="L91" s="88"/>
      <c r="M91" s="88"/>
      <c r="N91" s="88"/>
      <c r="O91" s="88"/>
      <c r="P91" s="88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15.75" customHeight="1" x14ac:dyDescent="0.25">
      <c r="A92" s="87"/>
      <c r="B92" s="87"/>
      <c r="C92" s="87"/>
      <c r="D92" s="87"/>
      <c r="E92" s="87"/>
      <c r="F92" s="88"/>
      <c r="G92" s="87"/>
      <c r="H92" s="88"/>
      <c r="I92" s="89"/>
      <c r="J92" s="89"/>
      <c r="K92" s="88"/>
      <c r="L92" s="88"/>
      <c r="M92" s="88"/>
      <c r="N92" s="88"/>
      <c r="O92" s="88"/>
      <c r="P92" s="88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15.75" customHeight="1" x14ac:dyDescent="0.25">
      <c r="A93" s="87"/>
      <c r="B93" s="87"/>
      <c r="C93" s="87"/>
      <c r="D93" s="87"/>
      <c r="E93" s="87"/>
      <c r="F93" s="88"/>
      <c r="G93" s="87"/>
      <c r="H93" s="88"/>
      <c r="I93" s="89"/>
      <c r="J93" s="89"/>
      <c r="K93" s="88"/>
      <c r="L93" s="88"/>
      <c r="M93" s="88"/>
      <c r="N93" s="88"/>
      <c r="O93" s="88"/>
      <c r="P93" s="88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15.75" customHeight="1" x14ac:dyDescent="0.25">
      <c r="A94" s="87"/>
      <c r="B94" s="87"/>
      <c r="C94" s="87"/>
      <c r="D94" s="87"/>
      <c r="E94" s="87"/>
      <c r="F94" s="88"/>
      <c r="G94" s="87"/>
      <c r="H94" s="88"/>
      <c r="I94" s="89"/>
      <c r="J94" s="89"/>
      <c r="K94" s="88"/>
      <c r="L94" s="88"/>
      <c r="M94" s="88"/>
      <c r="N94" s="88"/>
      <c r="O94" s="88"/>
      <c r="P94" s="88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15.75" customHeight="1" x14ac:dyDescent="0.25">
      <c r="A95" s="87"/>
      <c r="B95" s="87"/>
      <c r="C95" s="87"/>
      <c r="D95" s="87"/>
      <c r="E95" s="87"/>
      <c r="F95" s="88"/>
      <c r="G95" s="87"/>
      <c r="H95" s="88"/>
      <c r="I95" s="89"/>
      <c r="J95" s="89"/>
      <c r="K95" s="88"/>
      <c r="L95" s="88"/>
      <c r="M95" s="88"/>
      <c r="N95" s="88"/>
      <c r="O95" s="88"/>
      <c r="P95" s="88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15.75" customHeight="1" x14ac:dyDescent="0.25">
      <c r="A96" s="87"/>
      <c r="B96" s="87"/>
      <c r="C96" s="87"/>
      <c r="D96" s="87"/>
      <c r="E96" s="87"/>
      <c r="F96" s="88"/>
      <c r="G96" s="87"/>
      <c r="H96" s="88"/>
      <c r="I96" s="89"/>
      <c r="J96" s="89"/>
      <c r="K96" s="88"/>
      <c r="L96" s="88"/>
      <c r="M96" s="88"/>
      <c r="N96" s="88"/>
      <c r="O96" s="88"/>
      <c r="P96" s="88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15.75" customHeight="1" x14ac:dyDescent="0.25">
      <c r="A97" s="87"/>
      <c r="B97" s="87"/>
      <c r="C97" s="87"/>
      <c r="D97" s="87"/>
      <c r="E97" s="87"/>
      <c r="F97" s="88"/>
      <c r="G97" s="87"/>
      <c r="H97" s="88"/>
      <c r="I97" s="89"/>
      <c r="J97" s="89"/>
      <c r="K97" s="88"/>
      <c r="L97" s="88"/>
      <c r="M97" s="88"/>
      <c r="N97" s="88"/>
      <c r="O97" s="88"/>
      <c r="P97" s="88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15.75" customHeight="1" x14ac:dyDescent="0.25">
      <c r="A98" s="87"/>
      <c r="B98" s="87"/>
      <c r="C98" s="87"/>
      <c r="D98" s="87"/>
      <c r="E98" s="87"/>
      <c r="F98" s="88"/>
      <c r="G98" s="87"/>
      <c r="H98" s="88"/>
      <c r="I98" s="89"/>
      <c r="J98" s="89"/>
      <c r="K98" s="88"/>
      <c r="L98" s="88"/>
      <c r="M98" s="88"/>
      <c r="N98" s="88"/>
      <c r="O98" s="88"/>
      <c r="P98" s="88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15.75" customHeight="1" x14ac:dyDescent="0.25">
      <c r="A99" s="87"/>
      <c r="B99" s="87"/>
      <c r="C99" s="87"/>
      <c r="D99" s="87"/>
      <c r="E99" s="87"/>
      <c r="F99" s="88"/>
      <c r="G99" s="87"/>
      <c r="H99" s="88"/>
      <c r="I99" s="89"/>
      <c r="J99" s="89"/>
      <c r="K99" s="88"/>
      <c r="L99" s="88"/>
      <c r="M99" s="88"/>
      <c r="N99" s="88"/>
      <c r="O99" s="88"/>
      <c r="P99" s="88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15.75" customHeight="1" x14ac:dyDescent="0.25">
      <c r="A100" s="87"/>
      <c r="B100" s="87"/>
      <c r="C100" s="87"/>
      <c r="D100" s="87"/>
      <c r="E100" s="87"/>
      <c r="F100" s="88"/>
      <c r="G100" s="87"/>
      <c r="H100" s="88"/>
      <c r="I100" s="89"/>
      <c r="J100" s="89"/>
      <c r="K100" s="88"/>
      <c r="L100" s="88"/>
      <c r="M100" s="88"/>
      <c r="N100" s="88"/>
      <c r="O100" s="88"/>
      <c r="P100" s="88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15.75" customHeight="1" x14ac:dyDescent="0.25">
      <c r="A101" s="87"/>
      <c r="B101" s="87"/>
      <c r="C101" s="87"/>
      <c r="D101" s="87"/>
      <c r="E101" s="87"/>
      <c r="F101" s="88"/>
      <c r="G101" s="87"/>
      <c r="H101" s="88"/>
      <c r="I101" s="89"/>
      <c r="J101" s="89"/>
      <c r="K101" s="88"/>
      <c r="L101" s="88"/>
      <c r="M101" s="88"/>
      <c r="N101" s="88"/>
      <c r="O101" s="88"/>
      <c r="P101" s="88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15.75" customHeight="1" x14ac:dyDescent="0.25">
      <c r="A102" s="87"/>
      <c r="B102" s="87"/>
      <c r="C102" s="87"/>
      <c r="D102" s="87"/>
      <c r="E102" s="87"/>
      <c r="F102" s="88"/>
      <c r="G102" s="87"/>
      <c r="H102" s="88"/>
      <c r="I102" s="89"/>
      <c r="J102" s="89"/>
      <c r="K102" s="88"/>
      <c r="L102" s="88"/>
      <c r="M102" s="88"/>
      <c r="N102" s="88"/>
      <c r="O102" s="88"/>
      <c r="P102" s="88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15.75" customHeight="1" x14ac:dyDescent="0.25">
      <c r="A103" s="87"/>
      <c r="B103" s="87"/>
      <c r="C103" s="87"/>
      <c r="D103" s="87"/>
      <c r="E103" s="87"/>
      <c r="F103" s="88"/>
      <c r="G103" s="87"/>
      <c r="H103" s="88"/>
      <c r="I103" s="89"/>
      <c r="J103" s="89"/>
      <c r="K103" s="88"/>
      <c r="L103" s="88"/>
      <c r="M103" s="88"/>
      <c r="N103" s="88"/>
      <c r="O103" s="88"/>
      <c r="P103" s="88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15.75" customHeight="1" x14ac:dyDescent="0.25">
      <c r="A104" s="87"/>
      <c r="B104" s="87"/>
      <c r="C104" s="87"/>
      <c r="D104" s="87"/>
      <c r="E104" s="87"/>
      <c r="F104" s="88"/>
      <c r="G104" s="87"/>
      <c r="H104" s="88"/>
      <c r="I104" s="89"/>
      <c r="J104" s="89"/>
      <c r="K104" s="88"/>
      <c r="L104" s="88"/>
      <c r="M104" s="88"/>
      <c r="N104" s="88"/>
      <c r="O104" s="88"/>
      <c r="P104" s="88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15.75" customHeight="1" x14ac:dyDescent="0.25">
      <c r="A105" s="87"/>
      <c r="B105" s="87"/>
      <c r="C105" s="87"/>
      <c r="D105" s="87"/>
      <c r="E105" s="87"/>
      <c r="F105" s="88"/>
      <c r="G105" s="87"/>
      <c r="H105" s="88"/>
      <c r="I105" s="89"/>
      <c r="J105" s="89"/>
      <c r="K105" s="88"/>
      <c r="L105" s="88"/>
      <c r="M105" s="88"/>
      <c r="N105" s="88"/>
      <c r="O105" s="88"/>
      <c r="P105" s="88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15.75" customHeight="1" x14ac:dyDescent="0.25">
      <c r="A106" s="87"/>
      <c r="B106" s="87"/>
      <c r="C106" s="87"/>
      <c r="D106" s="87"/>
      <c r="E106" s="87"/>
      <c r="F106" s="88"/>
      <c r="G106" s="87"/>
      <c r="H106" s="88"/>
      <c r="I106" s="89"/>
      <c r="J106" s="89"/>
      <c r="K106" s="88"/>
      <c r="L106" s="88"/>
      <c r="M106" s="88"/>
      <c r="N106" s="88"/>
      <c r="O106" s="88"/>
      <c r="P106" s="88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15.75" customHeight="1" x14ac:dyDescent="0.25">
      <c r="A107" s="87"/>
      <c r="B107" s="87"/>
      <c r="C107" s="87"/>
      <c r="D107" s="87"/>
      <c r="E107" s="87"/>
      <c r="F107" s="88"/>
      <c r="G107" s="87"/>
      <c r="H107" s="88"/>
      <c r="I107" s="89"/>
      <c r="J107" s="89"/>
      <c r="K107" s="88"/>
      <c r="L107" s="88"/>
      <c r="M107" s="88"/>
      <c r="N107" s="88"/>
      <c r="O107" s="88"/>
      <c r="P107" s="88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15.75" customHeight="1" x14ac:dyDescent="0.25">
      <c r="A108" s="87"/>
      <c r="B108" s="87"/>
      <c r="C108" s="87"/>
      <c r="D108" s="87"/>
      <c r="E108" s="87"/>
      <c r="F108" s="88"/>
      <c r="G108" s="87"/>
      <c r="H108" s="88"/>
      <c r="I108" s="89"/>
      <c r="J108" s="89"/>
      <c r="K108" s="88"/>
      <c r="L108" s="88"/>
      <c r="M108" s="88"/>
      <c r="N108" s="88"/>
      <c r="O108" s="88"/>
      <c r="P108" s="88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15.75" customHeight="1" x14ac:dyDescent="0.25">
      <c r="A109" s="87"/>
      <c r="B109" s="87"/>
      <c r="C109" s="87"/>
      <c r="D109" s="87"/>
      <c r="E109" s="87"/>
      <c r="F109" s="88"/>
      <c r="G109" s="87"/>
      <c r="H109" s="88"/>
      <c r="I109" s="89"/>
      <c r="J109" s="89"/>
      <c r="K109" s="88"/>
      <c r="L109" s="88"/>
      <c r="M109" s="88"/>
      <c r="N109" s="88"/>
      <c r="O109" s="88"/>
      <c r="P109" s="88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15.75" customHeight="1" x14ac:dyDescent="0.25">
      <c r="A110" s="87"/>
      <c r="B110" s="87"/>
      <c r="C110" s="87"/>
      <c r="D110" s="87"/>
      <c r="E110" s="87"/>
      <c r="F110" s="88"/>
      <c r="G110" s="87"/>
      <c r="H110" s="88"/>
      <c r="I110" s="89"/>
      <c r="J110" s="89"/>
      <c r="K110" s="88"/>
      <c r="L110" s="88"/>
      <c r="M110" s="88"/>
      <c r="N110" s="88"/>
      <c r="O110" s="88"/>
      <c r="P110" s="88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15.75" customHeight="1" x14ac:dyDescent="0.25">
      <c r="A111" s="87"/>
      <c r="B111" s="87"/>
      <c r="C111" s="87"/>
      <c r="D111" s="87"/>
      <c r="E111" s="87"/>
      <c r="F111" s="88"/>
      <c r="G111" s="87"/>
      <c r="H111" s="88"/>
      <c r="I111" s="89"/>
      <c r="J111" s="89"/>
      <c r="K111" s="88"/>
      <c r="L111" s="88"/>
      <c r="M111" s="88"/>
      <c r="N111" s="88"/>
      <c r="O111" s="88"/>
      <c r="P111" s="88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15.75" customHeight="1" x14ac:dyDescent="0.25">
      <c r="A112" s="87"/>
      <c r="B112" s="87"/>
      <c r="C112" s="87"/>
      <c r="D112" s="87"/>
      <c r="E112" s="87"/>
      <c r="F112" s="88"/>
      <c r="G112" s="87"/>
      <c r="H112" s="88"/>
      <c r="I112" s="89"/>
      <c r="J112" s="89"/>
      <c r="K112" s="88"/>
      <c r="L112" s="88"/>
      <c r="M112" s="88"/>
      <c r="N112" s="88"/>
      <c r="O112" s="88"/>
      <c r="P112" s="88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15.75" customHeight="1" x14ac:dyDescent="0.25">
      <c r="A113" s="87"/>
      <c r="B113" s="87"/>
      <c r="C113" s="87"/>
      <c r="D113" s="87"/>
      <c r="E113" s="87"/>
      <c r="F113" s="88"/>
      <c r="G113" s="87"/>
      <c r="H113" s="88"/>
      <c r="I113" s="89"/>
      <c r="J113" s="89"/>
      <c r="K113" s="88"/>
      <c r="L113" s="88"/>
      <c r="M113" s="88"/>
      <c r="N113" s="88"/>
      <c r="O113" s="88"/>
      <c r="P113" s="88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15.75" customHeight="1" x14ac:dyDescent="0.25">
      <c r="A114" s="87"/>
      <c r="B114" s="87"/>
      <c r="C114" s="87"/>
      <c r="D114" s="87"/>
      <c r="E114" s="87"/>
      <c r="F114" s="88"/>
      <c r="G114" s="87"/>
      <c r="H114" s="88"/>
      <c r="I114" s="89"/>
      <c r="J114" s="89"/>
      <c r="K114" s="88"/>
      <c r="L114" s="88"/>
      <c r="M114" s="88"/>
      <c r="N114" s="88"/>
      <c r="O114" s="88"/>
      <c r="P114" s="88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15.75" customHeight="1" x14ac:dyDescent="0.25">
      <c r="A115" s="87"/>
      <c r="B115" s="87"/>
      <c r="C115" s="87"/>
      <c r="D115" s="87"/>
      <c r="E115" s="87"/>
      <c r="F115" s="88"/>
      <c r="G115" s="87"/>
      <c r="H115" s="88"/>
      <c r="I115" s="89"/>
      <c r="J115" s="89"/>
      <c r="K115" s="88"/>
      <c r="L115" s="88"/>
      <c r="M115" s="88"/>
      <c r="N115" s="88"/>
      <c r="O115" s="88"/>
      <c r="P115" s="88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15.75" customHeight="1" x14ac:dyDescent="0.25">
      <c r="A116" s="87"/>
      <c r="B116" s="87"/>
      <c r="C116" s="87"/>
      <c r="D116" s="87"/>
      <c r="E116" s="87"/>
      <c r="F116" s="88"/>
      <c r="G116" s="87"/>
      <c r="H116" s="88"/>
      <c r="I116" s="89"/>
      <c r="J116" s="89"/>
      <c r="K116" s="88"/>
      <c r="L116" s="88"/>
      <c r="M116" s="88"/>
      <c r="N116" s="88"/>
      <c r="O116" s="88"/>
      <c r="P116" s="88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15.75" customHeight="1" x14ac:dyDescent="0.25">
      <c r="A117" s="87"/>
      <c r="B117" s="87"/>
      <c r="C117" s="87"/>
      <c r="D117" s="87"/>
      <c r="E117" s="87"/>
      <c r="F117" s="88"/>
      <c r="G117" s="87"/>
      <c r="H117" s="88"/>
      <c r="I117" s="89"/>
      <c r="J117" s="89"/>
      <c r="K117" s="88"/>
      <c r="L117" s="88"/>
      <c r="M117" s="88"/>
      <c r="N117" s="88"/>
      <c r="O117" s="88"/>
      <c r="P117" s="88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15.75" customHeight="1" x14ac:dyDescent="0.25">
      <c r="A118" s="87"/>
      <c r="B118" s="87"/>
      <c r="C118" s="87"/>
      <c r="D118" s="87"/>
      <c r="E118" s="87"/>
      <c r="F118" s="88"/>
      <c r="G118" s="87"/>
      <c r="H118" s="88"/>
      <c r="I118" s="89"/>
      <c r="J118" s="89"/>
      <c r="K118" s="88"/>
      <c r="L118" s="88"/>
      <c r="M118" s="88"/>
      <c r="N118" s="88"/>
      <c r="O118" s="88"/>
      <c r="P118" s="88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15.75" customHeight="1" x14ac:dyDescent="0.25">
      <c r="A119" s="87"/>
      <c r="B119" s="87"/>
      <c r="C119" s="87"/>
      <c r="D119" s="87"/>
      <c r="E119" s="87"/>
      <c r="F119" s="88"/>
      <c r="G119" s="87"/>
      <c r="H119" s="88"/>
      <c r="I119" s="89"/>
      <c r="J119" s="89"/>
      <c r="K119" s="88"/>
      <c r="L119" s="88"/>
      <c r="M119" s="88"/>
      <c r="N119" s="88"/>
      <c r="O119" s="88"/>
      <c r="P119" s="88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15.75" customHeight="1" x14ac:dyDescent="0.25">
      <c r="A120" s="87"/>
      <c r="B120" s="87"/>
      <c r="C120" s="87"/>
      <c r="D120" s="87"/>
      <c r="E120" s="87"/>
      <c r="F120" s="88"/>
      <c r="G120" s="87"/>
      <c r="H120" s="88"/>
      <c r="I120" s="89"/>
      <c r="J120" s="89"/>
      <c r="K120" s="88"/>
      <c r="L120" s="88"/>
      <c r="M120" s="88"/>
      <c r="N120" s="88"/>
      <c r="O120" s="88"/>
      <c r="P120" s="88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15.75" customHeight="1" x14ac:dyDescent="0.25">
      <c r="A121" s="87"/>
      <c r="B121" s="87"/>
      <c r="C121" s="87"/>
      <c r="D121" s="87"/>
      <c r="E121" s="87"/>
      <c r="F121" s="88"/>
      <c r="G121" s="87"/>
      <c r="H121" s="88"/>
      <c r="I121" s="89"/>
      <c r="J121" s="89"/>
      <c r="K121" s="88"/>
      <c r="L121" s="88"/>
      <c r="M121" s="88"/>
      <c r="N121" s="88"/>
      <c r="O121" s="88"/>
      <c r="P121" s="88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15.75" customHeight="1" x14ac:dyDescent="0.25">
      <c r="A122" s="87"/>
      <c r="B122" s="87"/>
      <c r="C122" s="87"/>
      <c r="D122" s="87"/>
      <c r="E122" s="87"/>
      <c r="F122" s="88"/>
      <c r="G122" s="87"/>
      <c r="H122" s="88"/>
      <c r="I122" s="89"/>
      <c r="J122" s="89"/>
      <c r="K122" s="88"/>
      <c r="L122" s="88"/>
      <c r="M122" s="88"/>
      <c r="N122" s="88"/>
      <c r="O122" s="88"/>
      <c r="P122" s="88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15.75" customHeight="1" x14ac:dyDescent="0.25">
      <c r="A123" s="87"/>
      <c r="B123" s="87"/>
      <c r="C123" s="87"/>
      <c r="D123" s="87"/>
      <c r="E123" s="87"/>
      <c r="F123" s="88"/>
      <c r="G123" s="87"/>
      <c r="H123" s="88"/>
      <c r="I123" s="89"/>
      <c r="J123" s="89"/>
      <c r="K123" s="88"/>
      <c r="L123" s="88"/>
      <c r="M123" s="88"/>
      <c r="N123" s="88"/>
      <c r="O123" s="88"/>
      <c r="P123" s="88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15.75" customHeight="1" x14ac:dyDescent="0.25">
      <c r="A124" s="87"/>
      <c r="B124" s="87"/>
      <c r="C124" s="87"/>
      <c r="D124" s="87"/>
      <c r="E124" s="87"/>
      <c r="F124" s="88"/>
      <c r="G124" s="87"/>
      <c r="H124" s="88"/>
      <c r="I124" s="89"/>
      <c r="J124" s="89"/>
      <c r="K124" s="88"/>
      <c r="L124" s="88"/>
      <c r="M124" s="88"/>
      <c r="N124" s="88"/>
      <c r="O124" s="88"/>
      <c r="P124" s="88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15.75" customHeight="1" x14ac:dyDescent="0.25">
      <c r="A125" s="87"/>
      <c r="B125" s="87"/>
      <c r="C125" s="87"/>
      <c r="D125" s="87"/>
      <c r="E125" s="87"/>
      <c r="F125" s="88"/>
      <c r="G125" s="87"/>
      <c r="H125" s="88"/>
      <c r="I125" s="89"/>
      <c r="J125" s="89"/>
      <c r="K125" s="88"/>
      <c r="L125" s="88"/>
      <c r="M125" s="88"/>
      <c r="N125" s="88"/>
      <c r="O125" s="88"/>
      <c r="P125" s="88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15.75" customHeight="1" x14ac:dyDescent="0.25">
      <c r="A126" s="87"/>
      <c r="B126" s="87"/>
      <c r="C126" s="87"/>
      <c r="D126" s="87"/>
      <c r="E126" s="87"/>
      <c r="F126" s="88"/>
      <c r="G126" s="87"/>
      <c r="H126" s="88"/>
      <c r="I126" s="89"/>
      <c r="J126" s="89"/>
      <c r="K126" s="88"/>
      <c r="L126" s="88"/>
      <c r="M126" s="88"/>
      <c r="N126" s="88"/>
      <c r="O126" s="88"/>
      <c r="P126" s="88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15.75" customHeight="1" x14ac:dyDescent="0.25">
      <c r="A127" s="87"/>
      <c r="B127" s="87"/>
      <c r="C127" s="87"/>
      <c r="D127" s="87"/>
      <c r="E127" s="87"/>
      <c r="F127" s="88"/>
      <c r="G127" s="87"/>
      <c r="H127" s="88"/>
      <c r="I127" s="89"/>
      <c r="J127" s="89"/>
      <c r="K127" s="88"/>
      <c r="L127" s="88"/>
      <c r="M127" s="88"/>
      <c r="N127" s="88"/>
      <c r="O127" s="88"/>
      <c r="P127" s="88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15.75" customHeight="1" x14ac:dyDescent="0.25">
      <c r="A128" s="87"/>
      <c r="B128" s="87"/>
      <c r="C128" s="87"/>
      <c r="D128" s="87"/>
      <c r="E128" s="87"/>
      <c r="F128" s="88"/>
      <c r="G128" s="87"/>
      <c r="H128" s="88"/>
      <c r="I128" s="89"/>
      <c r="J128" s="89"/>
      <c r="K128" s="88"/>
      <c r="L128" s="88"/>
      <c r="M128" s="88"/>
      <c r="N128" s="88"/>
      <c r="O128" s="88"/>
      <c r="P128" s="88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15.75" customHeight="1" x14ac:dyDescent="0.25">
      <c r="A129" s="87"/>
      <c r="B129" s="87"/>
      <c r="C129" s="87"/>
      <c r="D129" s="87"/>
      <c r="E129" s="87"/>
      <c r="F129" s="88"/>
      <c r="G129" s="87"/>
      <c r="H129" s="88"/>
      <c r="I129" s="89"/>
      <c r="J129" s="89"/>
      <c r="K129" s="88"/>
      <c r="L129" s="88"/>
      <c r="M129" s="88"/>
      <c r="N129" s="88"/>
      <c r="O129" s="88"/>
      <c r="P129" s="88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15.75" customHeight="1" x14ac:dyDescent="0.25">
      <c r="A130" s="87"/>
      <c r="B130" s="87"/>
      <c r="C130" s="87"/>
      <c r="D130" s="87"/>
      <c r="E130" s="87"/>
      <c r="F130" s="88"/>
      <c r="G130" s="87"/>
      <c r="H130" s="88"/>
      <c r="I130" s="89"/>
      <c r="J130" s="89"/>
      <c r="K130" s="88"/>
      <c r="L130" s="88"/>
      <c r="M130" s="88"/>
      <c r="N130" s="88"/>
      <c r="O130" s="88"/>
      <c r="P130" s="88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15.75" customHeight="1" x14ac:dyDescent="0.25">
      <c r="A131" s="87"/>
      <c r="B131" s="87"/>
      <c r="C131" s="87"/>
      <c r="D131" s="87"/>
      <c r="E131" s="87"/>
      <c r="F131" s="88"/>
      <c r="G131" s="87"/>
      <c r="H131" s="88"/>
      <c r="I131" s="89"/>
      <c r="J131" s="89"/>
      <c r="K131" s="88"/>
      <c r="L131" s="88"/>
      <c r="M131" s="88"/>
      <c r="N131" s="88"/>
      <c r="O131" s="88"/>
      <c r="P131" s="88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15.75" customHeight="1" x14ac:dyDescent="0.25">
      <c r="A132" s="87"/>
      <c r="B132" s="87"/>
      <c r="C132" s="87"/>
      <c r="D132" s="87"/>
      <c r="E132" s="87"/>
      <c r="F132" s="88"/>
      <c r="G132" s="87"/>
      <c r="H132" s="88"/>
      <c r="I132" s="89"/>
      <c r="J132" s="89"/>
      <c r="K132" s="88"/>
      <c r="L132" s="88"/>
      <c r="M132" s="88"/>
      <c r="N132" s="88"/>
      <c r="O132" s="88"/>
      <c r="P132" s="88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15.75" customHeight="1" x14ac:dyDescent="0.25">
      <c r="A133" s="87"/>
      <c r="B133" s="87"/>
      <c r="C133" s="87"/>
      <c r="D133" s="87"/>
      <c r="E133" s="87"/>
      <c r="F133" s="88"/>
      <c r="G133" s="87"/>
      <c r="H133" s="88"/>
      <c r="I133" s="89"/>
      <c r="J133" s="89"/>
      <c r="K133" s="88"/>
      <c r="L133" s="88"/>
      <c r="M133" s="88"/>
      <c r="N133" s="88"/>
      <c r="O133" s="88"/>
      <c r="P133" s="88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15.75" customHeight="1" x14ac:dyDescent="0.25">
      <c r="A134" s="87"/>
      <c r="B134" s="87"/>
      <c r="C134" s="87"/>
      <c r="D134" s="87"/>
      <c r="E134" s="87"/>
      <c r="F134" s="88"/>
      <c r="G134" s="87"/>
      <c r="H134" s="88"/>
      <c r="I134" s="89"/>
      <c r="J134" s="89"/>
      <c r="K134" s="88"/>
      <c r="L134" s="88"/>
      <c r="M134" s="88"/>
      <c r="N134" s="88"/>
      <c r="O134" s="88"/>
      <c r="P134" s="88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15.75" customHeight="1" x14ac:dyDescent="0.25">
      <c r="A135" s="87"/>
      <c r="B135" s="87"/>
      <c r="C135" s="87"/>
      <c r="D135" s="87"/>
      <c r="E135" s="87"/>
      <c r="F135" s="88"/>
      <c r="G135" s="87"/>
      <c r="H135" s="88"/>
      <c r="I135" s="89"/>
      <c r="J135" s="89"/>
      <c r="K135" s="88"/>
      <c r="L135" s="88"/>
      <c r="M135" s="88"/>
      <c r="N135" s="88"/>
      <c r="O135" s="88"/>
      <c r="P135" s="88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15.75" customHeight="1" x14ac:dyDescent="0.25">
      <c r="A136" s="87"/>
      <c r="B136" s="87"/>
      <c r="C136" s="87"/>
      <c r="D136" s="87"/>
      <c r="E136" s="87"/>
      <c r="F136" s="88"/>
      <c r="G136" s="87"/>
      <c r="H136" s="88"/>
      <c r="I136" s="89"/>
      <c r="J136" s="89"/>
      <c r="K136" s="88"/>
      <c r="L136" s="88"/>
      <c r="M136" s="88"/>
      <c r="N136" s="88"/>
      <c r="O136" s="88"/>
      <c r="P136" s="88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15.75" customHeight="1" x14ac:dyDescent="0.25">
      <c r="A137" s="87"/>
      <c r="B137" s="87"/>
      <c r="C137" s="87"/>
      <c r="D137" s="87"/>
      <c r="E137" s="87"/>
      <c r="F137" s="88"/>
      <c r="G137" s="87"/>
      <c r="H137" s="88"/>
      <c r="I137" s="89"/>
      <c r="J137" s="89"/>
      <c r="K137" s="88"/>
      <c r="L137" s="88"/>
      <c r="M137" s="88"/>
      <c r="N137" s="88"/>
      <c r="O137" s="88"/>
      <c r="P137" s="88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15.75" customHeight="1" x14ac:dyDescent="0.25">
      <c r="A138" s="87"/>
      <c r="B138" s="87"/>
      <c r="C138" s="87"/>
      <c r="D138" s="87"/>
      <c r="E138" s="87"/>
      <c r="F138" s="88"/>
      <c r="G138" s="87"/>
      <c r="H138" s="88"/>
      <c r="I138" s="89"/>
      <c r="J138" s="89"/>
      <c r="K138" s="88"/>
      <c r="L138" s="88"/>
      <c r="M138" s="88"/>
      <c r="N138" s="88"/>
      <c r="O138" s="88"/>
      <c r="P138" s="88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15.75" customHeight="1" x14ac:dyDescent="0.25">
      <c r="A139" s="87"/>
      <c r="B139" s="87"/>
      <c r="C139" s="87"/>
      <c r="D139" s="87"/>
      <c r="E139" s="87"/>
      <c r="F139" s="88"/>
      <c r="G139" s="87"/>
      <c r="H139" s="88"/>
      <c r="I139" s="89"/>
      <c r="J139" s="89"/>
      <c r="K139" s="88"/>
      <c r="L139" s="88"/>
      <c r="M139" s="88"/>
      <c r="N139" s="88"/>
      <c r="O139" s="88"/>
      <c r="P139" s="88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15.75" customHeight="1" x14ac:dyDescent="0.25">
      <c r="A140" s="87"/>
      <c r="B140" s="87"/>
      <c r="C140" s="87"/>
      <c r="D140" s="87"/>
      <c r="E140" s="87"/>
      <c r="F140" s="88"/>
      <c r="G140" s="87"/>
      <c r="H140" s="88"/>
      <c r="I140" s="89"/>
      <c r="J140" s="89"/>
      <c r="K140" s="88"/>
      <c r="L140" s="88"/>
      <c r="M140" s="88"/>
      <c r="N140" s="88"/>
      <c r="O140" s="88"/>
      <c r="P140" s="88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15.75" customHeight="1" x14ac:dyDescent="0.25">
      <c r="A141" s="87"/>
      <c r="B141" s="87"/>
      <c r="C141" s="87"/>
      <c r="D141" s="87"/>
      <c r="E141" s="87"/>
      <c r="F141" s="88"/>
      <c r="G141" s="87"/>
      <c r="H141" s="88"/>
      <c r="I141" s="89"/>
      <c r="J141" s="89"/>
      <c r="K141" s="88"/>
      <c r="L141" s="88"/>
      <c r="M141" s="88"/>
      <c r="N141" s="88"/>
      <c r="O141" s="88"/>
      <c r="P141" s="88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15.75" customHeight="1" x14ac:dyDescent="0.25">
      <c r="A142" s="87"/>
      <c r="B142" s="87"/>
      <c r="C142" s="87"/>
      <c r="D142" s="87"/>
      <c r="E142" s="87"/>
      <c r="F142" s="88"/>
      <c r="G142" s="87"/>
      <c r="H142" s="88"/>
      <c r="I142" s="89"/>
      <c r="J142" s="89"/>
      <c r="K142" s="88"/>
      <c r="L142" s="88"/>
      <c r="M142" s="88"/>
      <c r="N142" s="88"/>
      <c r="O142" s="88"/>
      <c r="P142" s="88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15.75" customHeight="1" x14ac:dyDescent="0.25">
      <c r="A143" s="87"/>
      <c r="B143" s="87"/>
      <c r="C143" s="87"/>
      <c r="D143" s="87"/>
      <c r="E143" s="87"/>
      <c r="F143" s="88"/>
      <c r="G143" s="87"/>
      <c r="H143" s="88"/>
      <c r="I143" s="89"/>
      <c r="J143" s="89"/>
      <c r="K143" s="88"/>
      <c r="L143" s="88"/>
      <c r="M143" s="88"/>
      <c r="N143" s="88"/>
      <c r="O143" s="88"/>
      <c r="P143" s="88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15.75" customHeight="1" x14ac:dyDescent="0.25">
      <c r="A144" s="87"/>
      <c r="B144" s="87"/>
      <c r="C144" s="87"/>
      <c r="D144" s="87"/>
      <c r="E144" s="87"/>
      <c r="F144" s="88"/>
      <c r="G144" s="87"/>
      <c r="H144" s="88"/>
      <c r="I144" s="89"/>
      <c r="J144" s="89"/>
      <c r="K144" s="88"/>
      <c r="L144" s="88"/>
      <c r="M144" s="88"/>
      <c r="N144" s="88"/>
      <c r="O144" s="88"/>
      <c r="P144" s="88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15.75" customHeight="1" x14ac:dyDescent="0.25">
      <c r="A145" s="87"/>
      <c r="B145" s="87"/>
      <c r="C145" s="87"/>
      <c r="D145" s="87"/>
      <c r="E145" s="87"/>
      <c r="F145" s="88"/>
      <c r="G145" s="87"/>
      <c r="H145" s="88"/>
      <c r="I145" s="89"/>
      <c r="J145" s="89"/>
      <c r="K145" s="88"/>
      <c r="L145" s="88"/>
      <c r="M145" s="88"/>
      <c r="N145" s="88"/>
      <c r="O145" s="88"/>
      <c r="P145" s="88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15.75" customHeight="1" x14ac:dyDescent="0.25">
      <c r="A146" s="87"/>
      <c r="B146" s="87"/>
      <c r="C146" s="87"/>
      <c r="D146" s="87"/>
      <c r="E146" s="87"/>
      <c r="F146" s="88"/>
      <c r="G146" s="87"/>
      <c r="H146" s="88"/>
      <c r="I146" s="89"/>
      <c r="J146" s="89"/>
      <c r="K146" s="88"/>
      <c r="L146" s="88"/>
      <c r="M146" s="88"/>
      <c r="N146" s="88"/>
      <c r="O146" s="88"/>
      <c r="P146" s="88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15.75" customHeight="1" x14ac:dyDescent="0.25">
      <c r="A147" s="87"/>
      <c r="B147" s="87"/>
      <c r="C147" s="87"/>
      <c r="D147" s="87"/>
      <c r="E147" s="87"/>
      <c r="F147" s="88"/>
      <c r="G147" s="87"/>
      <c r="H147" s="88"/>
      <c r="I147" s="89"/>
      <c r="J147" s="89"/>
      <c r="K147" s="88"/>
      <c r="L147" s="88"/>
      <c r="M147" s="88"/>
      <c r="N147" s="88"/>
      <c r="O147" s="88"/>
      <c r="P147" s="88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15.75" customHeight="1" x14ac:dyDescent="0.25">
      <c r="A148" s="87"/>
      <c r="B148" s="87"/>
      <c r="C148" s="87"/>
      <c r="D148" s="87"/>
      <c r="E148" s="87"/>
      <c r="F148" s="88"/>
      <c r="G148" s="87"/>
      <c r="H148" s="88"/>
      <c r="I148" s="89"/>
      <c r="J148" s="89"/>
      <c r="K148" s="88"/>
      <c r="L148" s="88"/>
      <c r="M148" s="88"/>
      <c r="N148" s="88"/>
      <c r="O148" s="88"/>
      <c r="P148" s="88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15.75" customHeight="1" x14ac:dyDescent="0.25">
      <c r="A149" s="87"/>
      <c r="B149" s="87"/>
      <c r="C149" s="87"/>
      <c r="D149" s="87"/>
      <c r="E149" s="87"/>
      <c r="F149" s="88"/>
      <c r="G149" s="87"/>
      <c r="H149" s="88"/>
      <c r="I149" s="89"/>
      <c r="J149" s="89"/>
      <c r="K149" s="88"/>
      <c r="L149" s="88"/>
      <c r="M149" s="88"/>
      <c r="N149" s="88"/>
      <c r="O149" s="88"/>
      <c r="P149" s="88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15.75" customHeight="1" x14ac:dyDescent="0.25">
      <c r="A150" s="87"/>
      <c r="B150" s="87"/>
      <c r="C150" s="87"/>
      <c r="D150" s="87"/>
      <c r="E150" s="87"/>
      <c r="F150" s="88"/>
      <c r="G150" s="87"/>
      <c r="H150" s="88"/>
      <c r="I150" s="89"/>
      <c r="J150" s="89"/>
      <c r="K150" s="88"/>
      <c r="L150" s="88"/>
      <c r="M150" s="88"/>
      <c r="N150" s="88"/>
      <c r="O150" s="88"/>
      <c r="P150" s="88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15.75" customHeight="1" x14ac:dyDescent="0.25">
      <c r="A151" s="87"/>
      <c r="B151" s="87"/>
      <c r="C151" s="87"/>
      <c r="D151" s="87"/>
      <c r="E151" s="87"/>
      <c r="F151" s="88"/>
      <c r="G151" s="87"/>
      <c r="H151" s="88"/>
      <c r="I151" s="89"/>
      <c r="J151" s="89"/>
      <c r="K151" s="88"/>
      <c r="L151" s="88"/>
      <c r="M151" s="88"/>
      <c r="N151" s="88"/>
      <c r="O151" s="88"/>
      <c r="P151" s="88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15.75" customHeight="1" x14ac:dyDescent="0.25">
      <c r="A152" s="87"/>
      <c r="B152" s="87"/>
      <c r="C152" s="87"/>
      <c r="D152" s="87"/>
      <c r="E152" s="87"/>
      <c r="F152" s="88"/>
      <c r="G152" s="87"/>
      <c r="H152" s="88"/>
      <c r="I152" s="89"/>
      <c r="J152" s="89"/>
      <c r="K152" s="88"/>
      <c r="L152" s="88"/>
      <c r="M152" s="88"/>
      <c r="N152" s="88"/>
      <c r="O152" s="88"/>
      <c r="P152" s="88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15.75" customHeight="1" x14ac:dyDescent="0.25">
      <c r="A153" s="87"/>
      <c r="B153" s="87"/>
      <c r="C153" s="87"/>
      <c r="D153" s="87"/>
      <c r="E153" s="87"/>
      <c r="F153" s="88"/>
      <c r="G153" s="87"/>
      <c r="H153" s="88"/>
      <c r="I153" s="89"/>
      <c r="J153" s="89"/>
      <c r="K153" s="88"/>
      <c r="L153" s="88"/>
      <c r="M153" s="88"/>
      <c r="N153" s="88"/>
      <c r="O153" s="88"/>
      <c r="P153" s="88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15.75" customHeight="1" x14ac:dyDescent="0.25">
      <c r="A154" s="87"/>
      <c r="B154" s="87"/>
      <c r="C154" s="87"/>
      <c r="D154" s="87"/>
      <c r="E154" s="87"/>
      <c r="F154" s="88"/>
      <c r="G154" s="87"/>
      <c r="H154" s="88"/>
      <c r="I154" s="89"/>
      <c r="J154" s="89"/>
      <c r="K154" s="88"/>
      <c r="L154" s="88"/>
      <c r="M154" s="88"/>
      <c r="N154" s="88"/>
      <c r="O154" s="88"/>
      <c r="P154" s="88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15.75" customHeight="1" x14ac:dyDescent="0.25">
      <c r="A155" s="87"/>
      <c r="B155" s="87"/>
      <c r="C155" s="87"/>
      <c r="D155" s="87"/>
      <c r="E155" s="87"/>
      <c r="F155" s="88"/>
      <c r="G155" s="87"/>
      <c r="H155" s="88"/>
      <c r="I155" s="89"/>
      <c r="J155" s="89"/>
      <c r="K155" s="88"/>
      <c r="L155" s="88"/>
      <c r="M155" s="88"/>
      <c r="N155" s="88"/>
      <c r="O155" s="88"/>
      <c r="P155" s="88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15.75" customHeight="1" x14ac:dyDescent="0.25">
      <c r="A156" s="87"/>
      <c r="B156" s="87"/>
      <c r="C156" s="87"/>
      <c r="D156" s="87"/>
      <c r="E156" s="87"/>
      <c r="F156" s="88"/>
      <c r="G156" s="87"/>
      <c r="H156" s="88"/>
      <c r="I156" s="89"/>
      <c r="J156" s="89"/>
      <c r="K156" s="88"/>
      <c r="L156" s="88"/>
      <c r="M156" s="88"/>
      <c r="N156" s="88"/>
      <c r="O156" s="88"/>
      <c r="P156" s="88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15.75" customHeight="1" x14ac:dyDescent="0.25">
      <c r="A157" s="87"/>
      <c r="B157" s="87"/>
      <c r="C157" s="87"/>
      <c r="D157" s="87"/>
      <c r="E157" s="87"/>
      <c r="F157" s="88"/>
      <c r="G157" s="87"/>
      <c r="H157" s="88"/>
      <c r="I157" s="89"/>
      <c r="J157" s="89"/>
      <c r="K157" s="88"/>
      <c r="L157" s="88"/>
      <c r="M157" s="88"/>
      <c r="N157" s="88"/>
      <c r="O157" s="88"/>
      <c r="P157" s="88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15.75" customHeight="1" x14ac:dyDescent="0.25">
      <c r="A158" s="87"/>
      <c r="B158" s="87"/>
      <c r="C158" s="87"/>
      <c r="D158" s="87"/>
      <c r="E158" s="87"/>
      <c r="F158" s="88"/>
      <c r="G158" s="87"/>
      <c r="H158" s="88"/>
      <c r="I158" s="89"/>
      <c r="J158" s="89"/>
      <c r="K158" s="88"/>
      <c r="L158" s="88"/>
      <c r="M158" s="88"/>
      <c r="N158" s="88"/>
      <c r="O158" s="88"/>
      <c r="P158" s="88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15.75" customHeight="1" x14ac:dyDescent="0.25">
      <c r="A159" s="87"/>
      <c r="B159" s="87"/>
      <c r="C159" s="87"/>
      <c r="D159" s="87"/>
      <c r="E159" s="87"/>
      <c r="F159" s="88"/>
      <c r="G159" s="87"/>
      <c r="H159" s="88"/>
      <c r="I159" s="89"/>
      <c r="J159" s="89"/>
      <c r="K159" s="88"/>
      <c r="L159" s="88"/>
      <c r="M159" s="88"/>
      <c r="N159" s="88"/>
      <c r="O159" s="88"/>
      <c r="P159" s="88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15.75" customHeight="1" x14ac:dyDescent="0.25">
      <c r="A160" s="87"/>
      <c r="B160" s="87"/>
      <c r="C160" s="87"/>
      <c r="D160" s="87"/>
      <c r="E160" s="87"/>
      <c r="F160" s="88"/>
      <c r="G160" s="87"/>
      <c r="H160" s="88"/>
      <c r="I160" s="89"/>
      <c r="J160" s="89"/>
      <c r="K160" s="88"/>
      <c r="L160" s="88"/>
      <c r="M160" s="88"/>
      <c r="N160" s="88"/>
      <c r="O160" s="88"/>
      <c r="P160" s="88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15.75" customHeight="1" x14ac:dyDescent="0.25">
      <c r="A161" s="87"/>
      <c r="B161" s="87"/>
      <c r="C161" s="87"/>
      <c r="D161" s="87"/>
      <c r="E161" s="87"/>
      <c r="F161" s="88"/>
      <c r="G161" s="87"/>
      <c r="H161" s="88"/>
      <c r="I161" s="89"/>
      <c r="J161" s="89"/>
      <c r="K161" s="88"/>
      <c r="L161" s="88"/>
      <c r="M161" s="88"/>
      <c r="N161" s="88"/>
      <c r="O161" s="88"/>
      <c r="P161" s="88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15.75" customHeight="1" x14ac:dyDescent="0.25">
      <c r="A162" s="87"/>
      <c r="B162" s="87"/>
      <c r="C162" s="87"/>
      <c r="D162" s="87"/>
      <c r="E162" s="87"/>
      <c r="F162" s="88"/>
      <c r="G162" s="87"/>
      <c r="H162" s="88"/>
      <c r="I162" s="89"/>
      <c r="J162" s="89"/>
      <c r="K162" s="88"/>
      <c r="L162" s="88"/>
      <c r="M162" s="88"/>
      <c r="N162" s="88"/>
      <c r="O162" s="88"/>
      <c r="P162" s="88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15.75" customHeight="1" x14ac:dyDescent="0.25">
      <c r="A163" s="87"/>
      <c r="B163" s="87"/>
      <c r="C163" s="87"/>
      <c r="D163" s="87"/>
      <c r="E163" s="87"/>
      <c r="F163" s="88"/>
      <c r="G163" s="87"/>
      <c r="H163" s="88"/>
      <c r="I163" s="89"/>
      <c r="J163" s="89"/>
      <c r="K163" s="88"/>
      <c r="L163" s="88"/>
      <c r="M163" s="88"/>
      <c r="N163" s="88"/>
      <c r="O163" s="88"/>
      <c r="P163" s="88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15.75" customHeight="1" x14ac:dyDescent="0.25">
      <c r="A164" s="87"/>
      <c r="B164" s="87"/>
      <c r="C164" s="87"/>
      <c r="D164" s="87"/>
      <c r="E164" s="87"/>
      <c r="F164" s="88"/>
      <c r="G164" s="87"/>
      <c r="H164" s="88"/>
      <c r="I164" s="89"/>
      <c r="J164" s="89"/>
      <c r="K164" s="88"/>
      <c r="L164" s="88"/>
      <c r="M164" s="88"/>
      <c r="N164" s="88"/>
      <c r="O164" s="88"/>
      <c r="P164" s="88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15.75" customHeight="1" x14ac:dyDescent="0.25">
      <c r="A165" s="87"/>
      <c r="B165" s="87"/>
      <c r="C165" s="87"/>
      <c r="D165" s="87"/>
      <c r="E165" s="87"/>
      <c r="F165" s="88"/>
      <c r="G165" s="87"/>
      <c r="H165" s="88"/>
      <c r="I165" s="89"/>
      <c r="J165" s="89"/>
      <c r="K165" s="88"/>
      <c r="L165" s="88"/>
      <c r="M165" s="88"/>
      <c r="N165" s="88"/>
      <c r="O165" s="88"/>
      <c r="P165" s="88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15.75" customHeight="1" x14ac:dyDescent="0.25">
      <c r="A166" s="87"/>
      <c r="B166" s="87"/>
      <c r="C166" s="87"/>
      <c r="D166" s="87"/>
      <c r="E166" s="87"/>
      <c r="F166" s="88"/>
      <c r="G166" s="87"/>
      <c r="H166" s="88"/>
      <c r="I166" s="89"/>
      <c r="J166" s="89"/>
      <c r="K166" s="88"/>
      <c r="L166" s="88"/>
      <c r="M166" s="88"/>
      <c r="N166" s="88"/>
      <c r="O166" s="88"/>
      <c r="P166" s="88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15.75" customHeight="1" x14ac:dyDescent="0.25">
      <c r="A167" s="87"/>
      <c r="B167" s="87"/>
      <c r="C167" s="87"/>
      <c r="D167" s="87"/>
      <c r="E167" s="87"/>
      <c r="F167" s="88"/>
      <c r="G167" s="87"/>
      <c r="H167" s="88"/>
      <c r="I167" s="89"/>
      <c r="J167" s="89"/>
      <c r="K167" s="88"/>
      <c r="L167" s="88"/>
      <c r="M167" s="88"/>
      <c r="N167" s="88"/>
      <c r="O167" s="88"/>
      <c r="P167" s="88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15.75" customHeight="1" x14ac:dyDescent="0.25">
      <c r="A168" s="87"/>
      <c r="B168" s="87"/>
      <c r="C168" s="87"/>
      <c r="D168" s="87"/>
      <c r="E168" s="87"/>
      <c r="F168" s="88"/>
      <c r="G168" s="87"/>
      <c r="H168" s="88"/>
      <c r="I168" s="89"/>
      <c r="J168" s="89"/>
      <c r="K168" s="88"/>
      <c r="L168" s="88"/>
      <c r="M168" s="88"/>
      <c r="N168" s="88"/>
      <c r="O168" s="88"/>
      <c r="P168" s="88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15.75" customHeight="1" x14ac:dyDescent="0.25">
      <c r="A169" s="87"/>
      <c r="B169" s="87"/>
      <c r="C169" s="87"/>
      <c r="D169" s="87"/>
      <c r="E169" s="87"/>
      <c r="F169" s="88"/>
      <c r="G169" s="87"/>
      <c r="H169" s="88"/>
      <c r="I169" s="89"/>
      <c r="J169" s="89"/>
      <c r="K169" s="88"/>
      <c r="L169" s="88"/>
      <c r="M169" s="88"/>
      <c r="N169" s="88"/>
      <c r="O169" s="88"/>
      <c r="P169" s="88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15.75" customHeight="1" x14ac:dyDescent="0.25">
      <c r="A170" s="87"/>
      <c r="B170" s="87"/>
      <c r="C170" s="87"/>
      <c r="D170" s="87"/>
      <c r="E170" s="87"/>
      <c r="F170" s="88"/>
      <c r="G170" s="87"/>
      <c r="H170" s="88"/>
      <c r="I170" s="89"/>
      <c r="J170" s="89"/>
      <c r="K170" s="88"/>
      <c r="L170" s="88"/>
      <c r="M170" s="88"/>
      <c r="N170" s="88"/>
      <c r="O170" s="88"/>
      <c r="P170" s="88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15.75" customHeight="1" x14ac:dyDescent="0.25">
      <c r="A171" s="87"/>
      <c r="B171" s="87"/>
      <c r="C171" s="87"/>
      <c r="D171" s="87"/>
      <c r="E171" s="87"/>
      <c r="F171" s="88"/>
      <c r="G171" s="87"/>
      <c r="H171" s="88"/>
      <c r="I171" s="89"/>
      <c r="J171" s="89"/>
      <c r="K171" s="88"/>
      <c r="L171" s="88"/>
      <c r="M171" s="88"/>
      <c r="N171" s="88"/>
      <c r="O171" s="88"/>
      <c r="P171" s="88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15.75" customHeight="1" x14ac:dyDescent="0.25">
      <c r="A172" s="87"/>
      <c r="B172" s="87"/>
      <c r="C172" s="87"/>
      <c r="D172" s="87"/>
      <c r="E172" s="87"/>
      <c r="F172" s="88"/>
      <c r="G172" s="87"/>
      <c r="H172" s="88"/>
      <c r="I172" s="89"/>
      <c r="J172" s="89"/>
      <c r="K172" s="88"/>
      <c r="L172" s="88"/>
      <c r="M172" s="88"/>
      <c r="N172" s="88"/>
      <c r="O172" s="88"/>
      <c r="P172" s="88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15.75" customHeight="1" x14ac:dyDescent="0.25">
      <c r="A173" s="87"/>
      <c r="B173" s="87"/>
      <c r="C173" s="87"/>
      <c r="D173" s="87"/>
      <c r="E173" s="87"/>
      <c r="F173" s="88"/>
      <c r="G173" s="87"/>
      <c r="H173" s="88"/>
      <c r="I173" s="89"/>
      <c r="J173" s="89"/>
      <c r="K173" s="88"/>
      <c r="L173" s="88"/>
      <c r="M173" s="88"/>
      <c r="N173" s="88"/>
      <c r="O173" s="88"/>
      <c r="P173" s="88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15.75" customHeight="1" x14ac:dyDescent="0.25">
      <c r="A174" s="87"/>
      <c r="B174" s="87"/>
      <c r="C174" s="87"/>
      <c r="D174" s="87"/>
      <c r="E174" s="87"/>
      <c r="F174" s="88"/>
      <c r="G174" s="87"/>
      <c r="H174" s="88"/>
      <c r="I174" s="89"/>
      <c r="J174" s="89"/>
      <c r="K174" s="88"/>
      <c r="L174" s="88"/>
      <c r="M174" s="88"/>
      <c r="N174" s="88"/>
      <c r="O174" s="88"/>
      <c r="P174" s="88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15.75" customHeight="1" x14ac:dyDescent="0.25">
      <c r="A175" s="87"/>
      <c r="B175" s="87"/>
      <c r="C175" s="87"/>
      <c r="D175" s="87"/>
      <c r="E175" s="87"/>
      <c r="F175" s="88"/>
      <c r="G175" s="87"/>
      <c r="H175" s="88"/>
      <c r="I175" s="89"/>
      <c r="J175" s="89"/>
      <c r="K175" s="88"/>
      <c r="L175" s="88"/>
      <c r="M175" s="88"/>
      <c r="N175" s="88"/>
      <c r="O175" s="88"/>
      <c r="P175" s="88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15.75" customHeight="1" x14ac:dyDescent="0.25">
      <c r="A176" s="87"/>
      <c r="B176" s="87"/>
      <c r="C176" s="87"/>
      <c r="D176" s="87"/>
      <c r="E176" s="87"/>
      <c r="F176" s="88"/>
      <c r="G176" s="87"/>
      <c r="H176" s="88"/>
      <c r="I176" s="89"/>
      <c r="J176" s="89"/>
      <c r="K176" s="88"/>
      <c r="L176" s="88"/>
      <c r="M176" s="88"/>
      <c r="N176" s="88"/>
      <c r="O176" s="88"/>
      <c r="P176" s="88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15.75" customHeight="1" x14ac:dyDescent="0.25">
      <c r="A177" s="87"/>
      <c r="B177" s="87"/>
      <c r="C177" s="87"/>
      <c r="D177" s="87"/>
      <c r="E177" s="87"/>
      <c r="F177" s="88"/>
      <c r="G177" s="87"/>
      <c r="H177" s="88"/>
      <c r="I177" s="89"/>
      <c r="J177" s="89"/>
      <c r="K177" s="88"/>
      <c r="L177" s="88"/>
      <c r="M177" s="88"/>
      <c r="N177" s="88"/>
      <c r="O177" s="88"/>
      <c r="P177" s="88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15.75" customHeight="1" x14ac:dyDescent="0.25">
      <c r="A178" s="87"/>
      <c r="B178" s="87"/>
      <c r="C178" s="87"/>
      <c r="D178" s="87"/>
      <c r="E178" s="87"/>
      <c r="F178" s="88"/>
      <c r="G178" s="87"/>
      <c r="H178" s="88"/>
      <c r="I178" s="89"/>
      <c r="J178" s="89"/>
      <c r="K178" s="88"/>
      <c r="L178" s="88"/>
      <c r="M178" s="88"/>
      <c r="N178" s="88"/>
      <c r="O178" s="88"/>
      <c r="P178" s="88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15.75" customHeight="1" x14ac:dyDescent="0.25">
      <c r="A179" s="87"/>
      <c r="B179" s="87"/>
      <c r="C179" s="87"/>
      <c r="D179" s="87"/>
      <c r="E179" s="87"/>
      <c r="F179" s="88"/>
      <c r="G179" s="87"/>
      <c r="H179" s="88"/>
      <c r="I179" s="89"/>
      <c r="J179" s="89"/>
      <c r="K179" s="88"/>
      <c r="L179" s="88"/>
      <c r="M179" s="88"/>
      <c r="N179" s="88"/>
      <c r="O179" s="88"/>
      <c r="P179" s="88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15.75" customHeight="1" x14ac:dyDescent="0.25">
      <c r="A180" s="87"/>
      <c r="B180" s="87"/>
      <c r="C180" s="87"/>
      <c r="D180" s="87"/>
      <c r="E180" s="87"/>
      <c r="F180" s="88"/>
      <c r="G180" s="87"/>
      <c r="H180" s="88"/>
      <c r="I180" s="89"/>
      <c r="J180" s="89"/>
      <c r="K180" s="88"/>
      <c r="L180" s="88"/>
      <c r="M180" s="88"/>
      <c r="N180" s="88"/>
      <c r="O180" s="88"/>
      <c r="P180" s="88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15.75" customHeight="1" x14ac:dyDescent="0.25">
      <c r="A181" s="87"/>
      <c r="B181" s="87"/>
      <c r="C181" s="87"/>
      <c r="D181" s="87"/>
      <c r="E181" s="87"/>
      <c r="F181" s="88"/>
      <c r="G181" s="87"/>
      <c r="H181" s="88"/>
      <c r="I181" s="89"/>
      <c r="J181" s="89"/>
      <c r="K181" s="88"/>
      <c r="L181" s="88"/>
      <c r="M181" s="88"/>
      <c r="N181" s="88"/>
      <c r="O181" s="88"/>
      <c r="P181" s="88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15.75" customHeight="1" x14ac:dyDescent="0.25">
      <c r="A182" s="87"/>
      <c r="B182" s="87"/>
      <c r="C182" s="87"/>
      <c r="D182" s="87"/>
      <c r="E182" s="87"/>
      <c r="F182" s="88"/>
      <c r="G182" s="87"/>
      <c r="H182" s="88"/>
      <c r="I182" s="89"/>
      <c r="J182" s="89"/>
      <c r="K182" s="88"/>
      <c r="L182" s="88"/>
      <c r="M182" s="88"/>
      <c r="N182" s="88"/>
      <c r="O182" s="88"/>
      <c r="P182" s="88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15.75" customHeight="1" x14ac:dyDescent="0.25">
      <c r="A183" s="87"/>
      <c r="B183" s="87"/>
      <c r="C183" s="87"/>
      <c r="D183" s="87"/>
      <c r="E183" s="87"/>
      <c r="F183" s="88"/>
      <c r="G183" s="87"/>
      <c r="H183" s="88"/>
      <c r="I183" s="89"/>
      <c r="J183" s="89"/>
      <c r="K183" s="88"/>
      <c r="L183" s="88"/>
      <c r="M183" s="88"/>
      <c r="N183" s="88"/>
      <c r="O183" s="88"/>
      <c r="P183" s="88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15.75" customHeight="1" x14ac:dyDescent="0.25">
      <c r="A184" s="87"/>
      <c r="B184" s="87"/>
      <c r="C184" s="87"/>
      <c r="D184" s="87"/>
      <c r="E184" s="87"/>
      <c r="F184" s="88"/>
      <c r="G184" s="87"/>
      <c r="H184" s="88"/>
      <c r="I184" s="89"/>
      <c r="J184" s="89"/>
      <c r="K184" s="88"/>
      <c r="L184" s="88"/>
      <c r="M184" s="88"/>
      <c r="N184" s="88"/>
      <c r="O184" s="88"/>
      <c r="P184" s="88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15.75" customHeight="1" x14ac:dyDescent="0.25">
      <c r="A185" s="87"/>
      <c r="B185" s="87"/>
      <c r="C185" s="87"/>
      <c r="D185" s="87"/>
      <c r="E185" s="87"/>
      <c r="F185" s="88"/>
      <c r="G185" s="87"/>
      <c r="H185" s="88"/>
      <c r="I185" s="89"/>
      <c r="J185" s="89"/>
      <c r="K185" s="88"/>
      <c r="L185" s="88"/>
      <c r="M185" s="88"/>
      <c r="N185" s="88"/>
      <c r="O185" s="88"/>
      <c r="P185" s="88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15.75" customHeight="1" x14ac:dyDescent="0.25">
      <c r="A186" s="87"/>
      <c r="B186" s="87"/>
      <c r="C186" s="87"/>
      <c r="D186" s="87"/>
      <c r="E186" s="87"/>
      <c r="F186" s="88"/>
      <c r="G186" s="87"/>
      <c r="H186" s="88"/>
      <c r="I186" s="89"/>
      <c r="J186" s="89"/>
      <c r="K186" s="88"/>
      <c r="L186" s="88"/>
      <c r="M186" s="88"/>
      <c r="N186" s="88"/>
      <c r="O186" s="88"/>
      <c r="P186" s="88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15.75" customHeight="1" x14ac:dyDescent="0.25">
      <c r="A187" s="87"/>
      <c r="B187" s="87"/>
      <c r="C187" s="87"/>
      <c r="D187" s="87"/>
      <c r="E187" s="87"/>
      <c r="F187" s="88"/>
      <c r="G187" s="87"/>
      <c r="H187" s="88"/>
      <c r="I187" s="89"/>
      <c r="J187" s="89"/>
      <c r="K187" s="88"/>
      <c r="L187" s="88"/>
      <c r="M187" s="88"/>
      <c r="N187" s="88"/>
      <c r="O187" s="88"/>
      <c r="P187" s="88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15.75" customHeight="1" x14ac:dyDescent="0.25">
      <c r="A188" s="87"/>
      <c r="B188" s="87"/>
      <c r="C188" s="87"/>
      <c r="D188" s="87"/>
      <c r="E188" s="87"/>
      <c r="F188" s="88"/>
      <c r="G188" s="87"/>
      <c r="H188" s="88"/>
      <c r="I188" s="89"/>
      <c r="J188" s="89"/>
      <c r="K188" s="88"/>
      <c r="L188" s="88"/>
      <c r="M188" s="88"/>
      <c r="N188" s="88"/>
      <c r="O188" s="88"/>
      <c r="P188" s="88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15.75" customHeight="1" x14ac:dyDescent="0.25">
      <c r="A189" s="87"/>
      <c r="B189" s="87"/>
      <c r="C189" s="87"/>
      <c r="D189" s="87"/>
      <c r="E189" s="87"/>
      <c r="F189" s="88"/>
      <c r="G189" s="87"/>
      <c r="H189" s="88"/>
      <c r="I189" s="89"/>
      <c r="J189" s="89"/>
      <c r="K189" s="88"/>
      <c r="L189" s="88"/>
      <c r="M189" s="88"/>
      <c r="N189" s="88"/>
      <c r="O189" s="88"/>
      <c r="P189" s="88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15.75" customHeight="1" x14ac:dyDescent="0.25">
      <c r="A190" s="87"/>
      <c r="B190" s="87"/>
      <c r="C190" s="87"/>
      <c r="D190" s="87"/>
      <c r="E190" s="87"/>
      <c r="F190" s="88"/>
      <c r="G190" s="87"/>
      <c r="H190" s="88"/>
      <c r="I190" s="89"/>
      <c r="J190" s="89"/>
      <c r="K190" s="88"/>
      <c r="L190" s="88"/>
      <c r="M190" s="88"/>
      <c r="N190" s="88"/>
      <c r="O190" s="88"/>
      <c r="P190" s="88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15.75" customHeight="1" x14ac:dyDescent="0.25">
      <c r="A191" s="87"/>
      <c r="B191" s="87"/>
      <c r="C191" s="87"/>
      <c r="D191" s="87"/>
      <c r="E191" s="87"/>
      <c r="F191" s="88"/>
      <c r="G191" s="87"/>
      <c r="H191" s="88"/>
      <c r="I191" s="89"/>
      <c r="J191" s="89"/>
      <c r="K191" s="88"/>
      <c r="L191" s="88"/>
      <c r="M191" s="88"/>
      <c r="N191" s="88"/>
      <c r="O191" s="88"/>
      <c r="P191" s="88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15.75" customHeight="1" x14ac:dyDescent="0.25">
      <c r="A192" s="87"/>
      <c r="B192" s="87"/>
      <c r="C192" s="87"/>
      <c r="D192" s="87"/>
      <c r="E192" s="87"/>
      <c r="F192" s="88"/>
      <c r="G192" s="87"/>
      <c r="H192" s="88"/>
      <c r="I192" s="89"/>
      <c r="J192" s="89"/>
      <c r="K192" s="88"/>
      <c r="L192" s="88"/>
      <c r="M192" s="88"/>
      <c r="N192" s="88"/>
      <c r="O192" s="88"/>
      <c r="P192" s="88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15.75" customHeight="1" x14ac:dyDescent="0.25">
      <c r="A193" s="87"/>
      <c r="B193" s="87"/>
      <c r="C193" s="87"/>
      <c r="D193" s="87"/>
      <c r="E193" s="87"/>
      <c r="F193" s="88"/>
      <c r="G193" s="87"/>
      <c r="H193" s="88"/>
      <c r="I193" s="89"/>
      <c r="J193" s="89"/>
      <c r="K193" s="88"/>
      <c r="L193" s="88"/>
      <c r="M193" s="88"/>
      <c r="N193" s="88"/>
      <c r="O193" s="88"/>
      <c r="P193" s="88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15.75" customHeight="1" x14ac:dyDescent="0.25">
      <c r="A194" s="87"/>
      <c r="B194" s="87"/>
      <c r="C194" s="87"/>
      <c r="D194" s="87"/>
      <c r="E194" s="87"/>
      <c r="F194" s="88"/>
      <c r="G194" s="87"/>
      <c r="H194" s="88"/>
      <c r="I194" s="89"/>
      <c r="J194" s="89"/>
      <c r="K194" s="88"/>
      <c r="L194" s="88"/>
      <c r="M194" s="88"/>
      <c r="N194" s="88"/>
      <c r="O194" s="88"/>
      <c r="P194" s="88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15.75" customHeight="1" x14ac:dyDescent="0.25">
      <c r="A195" s="87"/>
      <c r="B195" s="87"/>
      <c r="C195" s="87"/>
      <c r="D195" s="87"/>
      <c r="E195" s="87"/>
      <c r="F195" s="88"/>
      <c r="G195" s="87"/>
      <c r="H195" s="88"/>
      <c r="I195" s="89"/>
      <c r="J195" s="89"/>
      <c r="K195" s="88"/>
      <c r="L195" s="88"/>
      <c r="M195" s="88"/>
      <c r="N195" s="88"/>
      <c r="O195" s="88"/>
      <c r="P195" s="88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15.75" customHeight="1" x14ac:dyDescent="0.25">
      <c r="A196" s="87"/>
      <c r="B196" s="87"/>
      <c r="C196" s="87"/>
      <c r="D196" s="87"/>
      <c r="E196" s="87"/>
      <c r="F196" s="88"/>
      <c r="G196" s="87"/>
      <c r="H196" s="88"/>
      <c r="I196" s="89"/>
      <c r="J196" s="89"/>
      <c r="K196" s="88"/>
      <c r="L196" s="88"/>
      <c r="M196" s="88"/>
      <c r="N196" s="88"/>
      <c r="O196" s="88"/>
      <c r="P196" s="88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15.75" customHeight="1" x14ac:dyDescent="0.25">
      <c r="A197" s="87"/>
      <c r="B197" s="87"/>
      <c r="C197" s="87"/>
      <c r="D197" s="87"/>
      <c r="E197" s="87"/>
      <c r="F197" s="88"/>
      <c r="G197" s="87"/>
      <c r="H197" s="88"/>
      <c r="I197" s="89"/>
      <c r="J197" s="89"/>
      <c r="K197" s="88"/>
      <c r="L197" s="88"/>
      <c r="M197" s="88"/>
      <c r="N197" s="88"/>
      <c r="O197" s="88"/>
      <c r="P197" s="88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15.75" customHeight="1" x14ac:dyDescent="0.25">
      <c r="A198" s="87"/>
      <c r="B198" s="87"/>
      <c r="C198" s="87"/>
      <c r="D198" s="87"/>
      <c r="E198" s="87"/>
      <c r="F198" s="88"/>
      <c r="G198" s="87"/>
      <c r="H198" s="88"/>
      <c r="I198" s="89"/>
      <c r="J198" s="89"/>
      <c r="K198" s="88"/>
      <c r="L198" s="88"/>
      <c r="M198" s="88"/>
      <c r="N198" s="88"/>
      <c r="O198" s="88"/>
      <c r="P198" s="88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15.75" customHeight="1" x14ac:dyDescent="0.25">
      <c r="A199" s="87"/>
      <c r="B199" s="87"/>
      <c r="C199" s="87"/>
      <c r="D199" s="87"/>
      <c r="E199" s="87"/>
      <c r="F199" s="88"/>
      <c r="G199" s="87"/>
      <c r="H199" s="88"/>
      <c r="I199" s="89"/>
      <c r="J199" s="89"/>
      <c r="K199" s="88"/>
      <c r="L199" s="88"/>
      <c r="M199" s="88"/>
      <c r="N199" s="88"/>
      <c r="O199" s="88"/>
      <c r="P199" s="88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15.75" customHeight="1" x14ac:dyDescent="0.25">
      <c r="A200" s="87"/>
      <c r="B200" s="87"/>
      <c r="C200" s="87"/>
      <c r="D200" s="87"/>
      <c r="E200" s="87"/>
      <c r="F200" s="88"/>
      <c r="G200" s="87"/>
      <c r="H200" s="88"/>
      <c r="I200" s="89"/>
      <c r="J200" s="89"/>
      <c r="K200" s="88"/>
      <c r="L200" s="88"/>
      <c r="M200" s="88"/>
      <c r="N200" s="88"/>
      <c r="O200" s="88"/>
      <c r="P200" s="88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15.75" customHeight="1" x14ac:dyDescent="0.25">
      <c r="A201" s="87"/>
      <c r="B201" s="87"/>
      <c r="C201" s="87"/>
      <c r="D201" s="87"/>
      <c r="E201" s="87"/>
      <c r="F201" s="88"/>
      <c r="G201" s="87"/>
      <c r="H201" s="88"/>
      <c r="I201" s="89"/>
      <c r="J201" s="89"/>
      <c r="K201" s="88"/>
      <c r="L201" s="88"/>
      <c r="M201" s="88"/>
      <c r="N201" s="88"/>
      <c r="O201" s="88"/>
      <c r="P201" s="88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15.75" customHeight="1" x14ac:dyDescent="0.25">
      <c r="A202" s="87"/>
      <c r="B202" s="87"/>
      <c r="C202" s="87"/>
      <c r="D202" s="87"/>
      <c r="E202" s="87"/>
      <c r="F202" s="88"/>
      <c r="G202" s="87"/>
      <c r="H202" s="88"/>
      <c r="I202" s="89"/>
      <c r="J202" s="89"/>
      <c r="K202" s="88"/>
      <c r="L202" s="88"/>
      <c r="M202" s="88"/>
      <c r="N202" s="88"/>
      <c r="O202" s="88"/>
      <c r="P202" s="88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15.75" customHeight="1" x14ac:dyDescent="0.25">
      <c r="A203" s="87"/>
      <c r="B203" s="87"/>
      <c r="C203" s="87"/>
      <c r="D203" s="87"/>
      <c r="E203" s="87"/>
      <c r="F203" s="88"/>
      <c r="G203" s="87"/>
      <c r="H203" s="88"/>
      <c r="I203" s="89"/>
      <c r="J203" s="89"/>
      <c r="K203" s="88"/>
      <c r="L203" s="88"/>
      <c r="M203" s="88"/>
      <c r="N203" s="88"/>
      <c r="O203" s="88"/>
      <c r="P203" s="88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15.75" customHeight="1" x14ac:dyDescent="0.25">
      <c r="A204" s="87"/>
      <c r="B204" s="87"/>
      <c r="C204" s="87"/>
      <c r="D204" s="87"/>
      <c r="E204" s="87"/>
      <c r="F204" s="88"/>
      <c r="G204" s="87"/>
      <c r="H204" s="88"/>
      <c r="I204" s="89"/>
      <c r="J204" s="89"/>
      <c r="K204" s="88"/>
      <c r="L204" s="88"/>
      <c r="M204" s="88"/>
      <c r="N204" s="88"/>
      <c r="O204" s="88"/>
      <c r="P204" s="88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15.75" customHeight="1" x14ac:dyDescent="0.25">
      <c r="A205" s="87"/>
      <c r="B205" s="87"/>
      <c r="C205" s="87"/>
      <c r="D205" s="87"/>
      <c r="E205" s="87"/>
      <c r="F205" s="88"/>
      <c r="G205" s="87"/>
      <c r="H205" s="88"/>
      <c r="I205" s="89"/>
      <c r="J205" s="89"/>
      <c r="K205" s="88"/>
      <c r="L205" s="88"/>
      <c r="M205" s="88"/>
      <c r="N205" s="88"/>
      <c r="O205" s="88"/>
      <c r="P205" s="88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15.75" customHeight="1" x14ac:dyDescent="0.25">
      <c r="A206" s="87"/>
      <c r="B206" s="87"/>
      <c r="C206" s="87"/>
      <c r="D206" s="87"/>
      <c r="E206" s="87"/>
      <c r="F206" s="88"/>
      <c r="G206" s="87"/>
      <c r="H206" s="88"/>
      <c r="I206" s="89"/>
      <c r="J206" s="89"/>
      <c r="K206" s="88"/>
      <c r="L206" s="88"/>
      <c r="M206" s="88"/>
      <c r="N206" s="88"/>
      <c r="O206" s="88"/>
      <c r="P206" s="88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15.75" customHeight="1" x14ac:dyDescent="0.25">
      <c r="A207" s="87"/>
      <c r="B207" s="87"/>
      <c r="C207" s="87"/>
      <c r="D207" s="87"/>
      <c r="E207" s="87"/>
      <c r="F207" s="88"/>
      <c r="G207" s="87"/>
      <c r="H207" s="88"/>
      <c r="I207" s="89"/>
      <c r="J207" s="89"/>
      <c r="K207" s="88"/>
      <c r="L207" s="88"/>
      <c r="M207" s="88"/>
      <c r="N207" s="88"/>
      <c r="O207" s="88"/>
      <c r="P207" s="88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15.75" customHeight="1" x14ac:dyDescent="0.25">
      <c r="A208" s="87"/>
      <c r="B208" s="87"/>
      <c r="C208" s="87"/>
      <c r="D208" s="87"/>
      <c r="E208" s="87"/>
      <c r="F208" s="88"/>
      <c r="G208" s="87"/>
      <c r="H208" s="88"/>
      <c r="I208" s="89"/>
      <c r="J208" s="89"/>
      <c r="K208" s="88"/>
      <c r="L208" s="88"/>
      <c r="M208" s="88"/>
      <c r="N208" s="88"/>
      <c r="O208" s="88"/>
      <c r="P208" s="88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15.75" customHeight="1" x14ac:dyDescent="0.25">
      <c r="A209" s="87"/>
      <c r="B209" s="87"/>
      <c r="C209" s="87"/>
      <c r="D209" s="87"/>
      <c r="E209" s="87"/>
      <c r="F209" s="88"/>
      <c r="G209" s="87"/>
      <c r="H209" s="88"/>
      <c r="I209" s="89"/>
      <c r="J209" s="89"/>
      <c r="K209" s="88"/>
      <c r="L209" s="88"/>
      <c r="M209" s="88"/>
      <c r="N209" s="88"/>
      <c r="O209" s="88"/>
      <c r="P209" s="88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15.75" customHeight="1" x14ac:dyDescent="0.25">
      <c r="A210" s="87"/>
      <c r="B210" s="87"/>
      <c r="C210" s="87"/>
      <c r="D210" s="87"/>
      <c r="E210" s="87"/>
      <c r="F210" s="88"/>
      <c r="G210" s="87"/>
      <c r="H210" s="88"/>
      <c r="I210" s="89"/>
      <c r="J210" s="89"/>
      <c r="K210" s="88"/>
      <c r="L210" s="88"/>
      <c r="M210" s="88"/>
      <c r="N210" s="88"/>
      <c r="O210" s="88"/>
      <c r="P210" s="88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15.75" customHeight="1" x14ac:dyDescent="0.25">
      <c r="A211" s="87"/>
      <c r="B211" s="87"/>
      <c r="C211" s="87"/>
      <c r="D211" s="87"/>
      <c r="E211" s="87"/>
      <c r="F211" s="88"/>
      <c r="G211" s="87"/>
      <c r="H211" s="88"/>
      <c r="I211" s="89"/>
      <c r="J211" s="89"/>
      <c r="K211" s="88"/>
      <c r="L211" s="88"/>
      <c r="M211" s="88"/>
      <c r="N211" s="88"/>
      <c r="O211" s="88"/>
      <c r="P211" s="88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15.75" customHeight="1" x14ac:dyDescent="0.25">
      <c r="A212" s="87"/>
      <c r="B212" s="87"/>
      <c r="C212" s="87"/>
      <c r="D212" s="87"/>
      <c r="E212" s="87"/>
      <c r="F212" s="88"/>
      <c r="G212" s="87"/>
      <c r="H212" s="88"/>
      <c r="I212" s="89"/>
      <c r="J212" s="89"/>
      <c r="K212" s="88"/>
      <c r="L212" s="88"/>
      <c r="M212" s="88"/>
      <c r="N212" s="88"/>
      <c r="O212" s="88"/>
      <c r="P212" s="88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15.75" customHeight="1" x14ac:dyDescent="0.25">
      <c r="A213" s="87"/>
      <c r="B213" s="87"/>
      <c r="C213" s="87"/>
      <c r="D213" s="87"/>
      <c r="E213" s="87"/>
      <c r="F213" s="88"/>
      <c r="G213" s="87"/>
      <c r="H213" s="88"/>
      <c r="I213" s="89"/>
      <c r="J213" s="89"/>
      <c r="K213" s="88"/>
      <c r="L213" s="88"/>
      <c r="M213" s="88"/>
      <c r="N213" s="88"/>
      <c r="O213" s="88"/>
      <c r="P213" s="88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15.75" customHeight="1" x14ac:dyDescent="0.25">
      <c r="A214" s="87"/>
      <c r="B214" s="87"/>
      <c r="C214" s="87"/>
      <c r="D214" s="87"/>
      <c r="E214" s="87"/>
      <c r="F214" s="88"/>
      <c r="G214" s="87"/>
      <c r="H214" s="88"/>
      <c r="I214" s="89"/>
      <c r="J214" s="89"/>
      <c r="K214" s="88"/>
      <c r="L214" s="88"/>
      <c r="M214" s="88"/>
      <c r="N214" s="88"/>
      <c r="O214" s="88"/>
      <c r="P214" s="88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15.75" customHeight="1" x14ac:dyDescent="0.25">
      <c r="A215" s="87"/>
      <c r="B215" s="87"/>
      <c r="C215" s="87"/>
      <c r="D215" s="87"/>
      <c r="E215" s="87"/>
      <c r="F215" s="88"/>
      <c r="G215" s="87"/>
      <c r="H215" s="88"/>
      <c r="I215" s="89"/>
      <c r="J215" s="89"/>
      <c r="K215" s="88"/>
      <c r="L215" s="88"/>
      <c r="M215" s="88"/>
      <c r="N215" s="88"/>
      <c r="O215" s="88"/>
      <c r="P215" s="88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15.75" customHeight="1" x14ac:dyDescent="0.25">
      <c r="A216" s="87"/>
      <c r="B216" s="87"/>
      <c r="C216" s="87"/>
      <c r="D216" s="87"/>
      <c r="E216" s="87"/>
      <c r="F216" s="88"/>
      <c r="G216" s="87"/>
      <c r="H216" s="88"/>
      <c r="I216" s="89"/>
      <c r="J216" s="89"/>
      <c r="K216" s="88"/>
      <c r="L216" s="88"/>
      <c r="M216" s="88"/>
      <c r="N216" s="88"/>
      <c r="O216" s="88"/>
      <c r="P216" s="88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15.75" customHeight="1" x14ac:dyDescent="0.25">
      <c r="A217" s="87"/>
      <c r="B217" s="87"/>
      <c r="C217" s="87"/>
      <c r="D217" s="87"/>
      <c r="E217" s="87"/>
      <c r="F217" s="88"/>
      <c r="G217" s="87"/>
      <c r="H217" s="88"/>
      <c r="I217" s="89"/>
      <c r="J217" s="89"/>
      <c r="K217" s="88"/>
      <c r="L217" s="88"/>
      <c r="M217" s="88"/>
      <c r="N217" s="88"/>
      <c r="O217" s="88"/>
      <c r="P217" s="88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15.75" customHeight="1" x14ac:dyDescent="0.25">
      <c r="A218" s="87"/>
      <c r="B218" s="87"/>
      <c r="C218" s="87"/>
      <c r="D218" s="87"/>
      <c r="E218" s="87"/>
      <c r="F218" s="88"/>
      <c r="G218" s="87"/>
      <c r="H218" s="88"/>
      <c r="I218" s="89"/>
      <c r="J218" s="89"/>
      <c r="K218" s="88"/>
      <c r="L218" s="88"/>
      <c r="M218" s="88"/>
      <c r="N218" s="88"/>
      <c r="O218" s="88"/>
      <c r="P218" s="88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15.75" customHeight="1" x14ac:dyDescent="0.25">
      <c r="A219" s="87"/>
      <c r="B219" s="87"/>
      <c r="C219" s="87"/>
      <c r="D219" s="87"/>
      <c r="E219" s="87"/>
      <c r="F219" s="88"/>
      <c r="G219" s="87"/>
      <c r="H219" s="88"/>
      <c r="I219" s="89"/>
      <c r="J219" s="89"/>
      <c r="K219" s="88"/>
      <c r="L219" s="88"/>
      <c r="M219" s="88"/>
      <c r="N219" s="88"/>
      <c r="O219" s="88"/>
      <c r="P219" s="88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15.75" customHeight="1" x14ac:dyDescent="0.25">
      <c r="A220" s="87"/>
      <c r="B220" s="87"/>
      <c r="C220" s="87"/>
      <c r="D220" s="87"/>
      <c r="E220" s="87"/>
      <c r="F220" s="88"/>
      <c r="G220" s="87"/>
      <c r="H220" s="88"/>
      <c r="I220" s="89"/>
      <c r="J220" s="89"/>
      <c r="K220" s="88"/>
      <c r="L220" s="88"/>
      <c r="M220" s="88"/>
      <c r="N220" s="88"/>
      <c r="O220" s="88"/>
      <c r="P220" s="88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15.75" customHeight="1" x14ac:dyDescent="0.25">
      <c r="A221" s="87"/>
      <c r="B221" s="87"/>
      <c r="C221" s="87"/>
      <c r="D221" s="87"/>
      <c r="E221" s="87"/>
      <c r="F221" s="88"/>
      <c r="G221" s="87"/>
      <c r="H221" s="88"/>
      <c r="I221" s="89"/>
      <c r="J221" s="89"/>
      <c r="K221" s="88"/>
      <c r="L221" s="88"/>
      <c r="M221" s="88"/>
      <c r="N221" s="88"/>
      <c r="O221" s="88"/>
      <c r="P221" s="88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15.75" customHeight="1" x14ac:dyDescent="0.25">
      <c r="A222" s="87"/>
      <c r="B222" s="87"/>
      <c r="C222" s="87"/>
      <c r="D222" s="87"/>
      <c r="E222" s="87"/>
      <c r="F222" s="88"/>
      <c r="G222" s="87"/>
      <c r="H222" s="88"/>
      <c r="I222" s="89"/>
      <c r="J222" s="89"/>
      <c r="K222" s="88"/>
      <c r="L222" s="88"/>
      <c r="M222" s="88"/>
      <c r="N222" s="88"/>
      <c r="O222" s="88"/>
      <c r="P222" s="88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15.75" customHeight="1" x14ac:dyDescent="0.25">
      <c r="A223" s="87"/>
      <c r="B223" s="87"/>
      <c r="C223" s="87"/>
      <c r="D223" s="87"/>
      <c r="E223" s="87"/>
      <c r="F223" s="88"/>
      <c r="G223" s="87"/>
      <c r="H223" s="88"/>
      <c r="I223" s="89"/>
      <c r="J223" s="89"/>
      <c r="K223" s="88"/>
      <c r="L223" s="88"/>
      <c r="M223" s="88"/>
      <c r="N223" s="88"/>
      <c r="O223" s="88"/>
      <c r="P223" s="88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15.75" customHeight="1" x14ac:dyDescent="0.25">
      <c r="A224" s="87"/>
      <c r="B224" s="87"/>
      <c r="C224" s="87"/>
      <c r="D224" s="87"/>
      <c r="E224" s="87"/>
      <c r="F224" s="88"/>
      <c r="G224" s="87"/>
      <c r="H224" s="88"/>
      <c r="I224" s="89"/>
      <c r="J224" s="89"/>
      <c r="K224" s="88"/>
      <c r="L224" s="88"/>
      <c r="M224" s="88"/>
      <c r="N224" s="88"/>
      <c r="O224" s="88"/>
      <c r="P224" s="88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15.75" customHeight="1" x14ac:dyDescent="0.25">
      <c r="A225" s="87"/>
      <c r="B225" s="87"/>
      <c r="C225" s="87"/>
      <c r="D225" s="87"/>
      <c r="E225" s="87"/>
      <c r="F225" s="88"/>
      <c r="G225" s="87"/>
      <c r="H225" s="88"/>
      <c r="I225" s="89"/>
      <c r="J225" s="89"/>
      <c r="K225" s="88"/>
      <c r="L225" s="88"/>
      <c r="M225" s="88"/>
      <c r="N225" s="88"/>
      <c r="O225" s="88"/>
      <c r="P225" s="88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15.75" customHeight="1" x14ac:dyDescent="0.25">
      <c r="A226" s="87"/>
      <c r="B226" s="87"/>
      <c r="C226" s="87"/>
      <c r="D226" s="87"/>
      <c r="E226" s="87"/>
      <c r="F226" s="88"/>
      <c r="G226" s="87"/>
      <c r="H226" s="88"/>
      <c r="I226" s="89"/>
      <c r="J226" s="89"/>
      <c r="K226" s="88"/>
      <c r="L226" s="88"/>
      <c r="M226" s="88"/>
      <c r="N226" s="88"/>
      <c r="O226" s="88"/>
      <c r="P226" s="88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15.75" customHeight="1" x14ac:dyDescent="0.25">
      <c r="A227" s="87"/>
      <c r="B227" s="87"/>
      <c r="C227" s="87"/>
      <c r="D227" s="87"/>
      <c r="E227" s="87"/>
      <c r="F227" s="88"/>
      <c r="G227" s="87"/>
      <c r="H227" s="88"/>
      <c r="I227" s="89"/>
      <c r="J227" s="89"/>
      <c r="K227" s="88"/>
      <c r="L227" s="88"/>
      <c r="M227" s="88"/>
      <c r="N227" s="88"/>
      <c r="O227" s="88"/>
      <c r="P227" s="88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15.75" customHeight="1" x14ac:dyDescent="0.25">
      <c r="A228" s="87"/>
      <c r="B228" s="87"/>
      <c r="C228" s="87"/>
      <c r="D228" s="87"/>
      <c r="E228" s="87"/>
      <c r="F228" s="88"/>
      <c r="G228" s="87"/>
      <c r="H228" s="88"/>
      <c r="I228" s="89"/>
      <c r="J228" s="89"/>
      <c r="K228" s="88"/>
      <c r="L228" s="88"/>
      <c r="M228" s="88"/>
      <c r="N228" s="88"/>
      <c r="O228" s="88"/>
      <c r="P228" s="88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15.75" customHeight="1" x14ac:dyDescent="0.25">
      <c r="A229" s="87"/>
      <c r="B229" s="87"/>
      <c r="C229" s="87"/>
      <c r="D229" s="87"/>
      <c r="E229" s="87"/>
      <c r="F229" s="88"/>
      <c r="G229" s="87"/>
      <c r="H229" s="88"/>
      <c r="I229" s="89"/>
      <c r="J229" s="89"/>
      <c r="K229" s="88"/>
      <c r="L229" s="88"/>
      <c r="M229" s="88"/>
      <c r="N229" s="88"/>
      <c r="O229" s="88"/>
      <c r="P229" s="88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15.75" customHeight="1" x14ac:dyDescent="0.25">
      <c r="A230" s="87"/>
      <c r="B230" s="87"/>
      <c r="C230" s="87"/>
      <c r="D230" s="87"/>
      <c r="E230" s="87"/>
      <c r="F230" s="88"/>
      <c r="G230" s="87"/>
      <c r="H230" s="88"/>
      <c r="I230" s="89"/>
      <c r="J230" s="89"/>
      <c r="K230" s="88"/>
      <c r="L230" s="88"/>
      <c r="M230" s="88"/>
      <c r="N230" s="88"/>
      <c r="O230" s="88"/>
      <c r="P230" s="88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15.75" customHeight="1" x14ac:dyDescent="0.25">
      <c r="A231" s="87"/>
      <c r="B231" s="87"/>
      <c r="C231" s="87"/>
      <c r="D231" s="87"/>
      <c r="E231" s="87"/>
      <c r="F231" s="88"/>
      <c r="G231" s="87"/>
      <c r="H231" s="88"/>
      <c r="I231" s="89"/>
      <c r="J231" s="89"/>
      <c r="K231" s="88"/>
      <c r="L231" s="88"/>
      <c r="M231" s="88"/>
      <c r="N231" s="88"/>
      <c r="O231" s="88"/>
      <c r="P231" s="88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15.75" customHeight="1" x14ac:dyDescent="0.25">
      <c r="A232" s="87"/>
      <c r="B232" s="87"/>
      <c r="C232" s="87"/>
      <c r="D232" s="87"/>
      <c r="E232" s="87"/>
      <c r="F232" s="88"/>
      <c r="G232" s="87"/>
      <c r="H232" s="88"/>
      <c r="I232" s="89"/>
      <c r="J232" s="89"/>
      <c r="K232" s="88"/>
      <c r="L232" s="88"/>
      <c r="M232" s="88"/>
      <c r="N232" s="88"/>
      <c r="O232" s="88"/>
      <c r="P232" s="88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15.75" customHeight="1" x14ac:dyDescent="0.25">
      <c r="A233" s="87"/>
      <c r="B233" s="87"/>
      <c r="C233" s="87"/>
      <c r="D233" s="87"/>
      <c r="E233" s="87"/>
      <c r="F233" s="88"/>
      <c r="G233" s="87"/>
      <c r="H233" s="88"/>
      <c r="I233" s="89"/>
      <c r="J233" s="89"/>
      <c r="K233" s="88"/>
      <c r="L233" s="88"/>
      <c r="M233" s="88"/>
      <c r="N233" s="88"/>
      <c r="O233" s="88"/>
      <c r="P233" s="88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15.75" customHeight="1" x14ac:dyDescent="0.25">
      <c r="A234" s="87"/>
      <c r="B234" s="87"/>
      <c r="C234" s="87"/>
      <c r="D234" s="87"/>
      <c r="E234" s="87"/>
      <c r="F234" s="88"/>
      <c r="G234" s="87"/>
      <c r="H234" s="88"/>
      <c r="I234" s="89"/>
      <c r="J234" s="89"/>
      <c r="K234" s="88"/>
      <c r="L234" s="88"/>
      <c r="M234" s="88"/>
      <c r="N234" s="88"/>
      <c r="O234" s="88"/>
      <c r="P234" s="88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15.75" customHeight="1" x14ac:dyDescent="0.25">
      <c r="A235" s="87"/>
      <c r="B235" s="87"/>
      <c r="C235" s="87"/>
      <c r="D235" s="87"/>
      <c r="E235" s="87"/>
      <c r="F235" s="88"/>
      <c r="G235" s="87"/>
      <c r="H235" s="88"/>
      <c r="I235" s="89"/>
      <c r="J235" s="89"/>
      <c r="K235" s="88"/>
      <c r="L235" s="88"/>
      <c r="M235" s="88"/>
      <c r="N235" s="88"/>
      <c r="O235" s="88"/>
      <c r="P235" s="88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15.75" customHeight="1" x14ac:dyDescent="0.25">
      <c r="A236" s="87"/>
      <c r="B236" s="87"/>
      <c r="C236" s="87"/>
      <c r="D236" s="87"/>
      <c r="E236" s="87"/>
      <c r="F236" s="88"/>
      <c r="G236" s="87"/>
      <c r="H236" s="88"/>
      <c r="I236" s="89"/>
      <c r="J236" s="89"/>
      <c r="K236" s="88"/>
      <c r="L236" s="88"/>
      <c r="M236" s="88"/>
      <c r="N236" s="88"/>
      <c r="O236" s="88"/>
      <c r="P236" s="88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15.75" customHeight="1" x14ac:dyDescent="0.25">
      <c r="A237" s="87"/>
      <c r="B237" s="87"/>
      <c r="C237" s="87"/>
      <c r="D237" s="87"/>
      <c r="E237" s="87"/>
      <c r="F237" s="88"/>
      <c r="G237" s="87"/>
      <c r="H237" s="88"/>
      <c r="I237" s="89"/>
      <c r="J237" s="89"/>
      <c r="K237" s="88"/>
      <c r="L237" s="88"/>
      <c r="M237" s="88"/>
      <c r="N237" s="88"/>
      <c r="O237" s="88"/>
      <c r="P237" s="88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15.75" customHeight="1" x14ac:dyDescent="0.25">
      <c r="A238" s="87"/>
      <c r="B238" s="87"/>
      <c r="C238" s="87"/>
      <c r="D238" s="87"/>
      <c r="E238" s="87"/>
      <c r="F238" s="88"/>
      <c r="G238" s="87"/>
      <c r="H238" s="88"/>
      <c r="I238" s="89"/>
      <c r="J238" s="89"/>
      <c r="K238" s="88"/>
      <c r="L238" s="88"/>
      <c r="M238" s="88"/>
      <c r="N238" s="88"/>
      <c r="O238" s="88"/>
      <c r="P238" s="88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15.75" customHeight="1" x14ac:dyDescent="0.25">
      <c r="A239" s="87"/>
      <c r="B239" s="87"/>
      <c r="C239" s="87"/>
      <c r="D239" s="87"/>
      <c r="E239" s="87"/>
      <c r="F239" s="88"/>
      <c r="G239" s="87"/>
      <c r="H239" s="88"/>
      <c r="I239" s="89"/>
      <c r="J239" s="89"/>
      <c r="K239" s="88"/>
      <c r="L239" s="88"/>
      <c r="M239" s="88"/>
      <c r="N239" s="88"/>
      <c r="O239" s="88"/>
      <c r="P239" s="88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15.75" customHeight="1" x14ac:dyDescent="0.25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15.75" customHeight="1" x14ac:dyDescent="0.2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15.75" customHeight="1" x14ac:dyDescent="0.2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15.75" customHeight="1" x14ac:dyDescent="0.2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spans="1:26" ht="15.75" customHeight="1" x14ac:dyDescent="0.2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spans="1:26" ht="15.75" customHeight="1" x14ac:dyDescent="0.2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spans="1:26" ht="15.75" customHeight="1" x14ac:dyDescent="0.2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spans="1:26" ht="15.75" customHeight="1" x14ac:dyDescent="0.2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spans="1:26" ht="15.75" customHeight="1" x14ac:dyDescent="0.2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spans="1:26" ht="15.75" customHeight="1" x14ac:dyDescent="0.2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spans="1:26" ht="15.75" customHeight="1" x14ac:dyDescent="0.2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spans="1:26" ht="15.75" customHeight="1" x14ac:dyDescent="0.2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spans="1:26" ht="15.75" customHeight="1" x14ac:dyDescent="0.2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spans="1:26" ht="15.75" customHeight="1" x14ac:dyDescent="0.2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spans="1:26" ht="15.75" customHeight="1" x14ac:dyDescent="0.2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spans="1:26" ht="15.75" customHeight="1" x14ac:dyDescent="0.2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spans="1:26" ht="15.75" customHeight="1" x14ac:dyDescent="0.2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spans="1:26" ht="15.75" customHeight="1" x14ac:dyDescent="0.2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spans="1:26" ht="15.75" customHeight="1" x14ac:dyDescent="0.2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spans="1:26" ht="15.75" customHeight="1" x14ac:dyDescent="0.2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spans="1:26" ht="15.75" customHeight="1" x14ac:dyDescent="0.2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spans="1:26" ht="15.75" customHeight="1" x14ac:dyDescent="0.2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spans="1:26" ht="15.75" customHeight="1" x14ac:dyDescent="0.2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spans="1:26" ht="15.75" customHeight="1" x14ac:dyDescent="0.2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spans="1:26" ht="15.75" customHeight="1" x14ac:dyDescent="0.2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spans="1:26" ht="15.75" customHeight="1" x14ac:dyDescent="0.2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spans="1:26" ht="15.75" customHeight="1" x14ac:dyDescent="0.2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spans="1:26" ht="15.75" customHeight="1" x14ac:dyDescent="0.2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spans="1:26" ht="15.75" customHeight="1" x14ac:dyDescent="0.2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spans="1:26" ht="15.75" customHeight="1" x14ac:dyDescent="0.2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spans="1:26" ht="15.75" customHeight="1" x14ac:dyDescent="0.2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spans="1:26" ht="15.75" customHeight="1" x14ac:dyDescent="0.2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spans="1:26" ht="15.75" customHeight="1" x14ac:dyDescent="0.2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spans="1:26" ht="15.75" customHeight="1" x14ac:dyDescent="0.2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spans="1:26" ht="15.75" customHeight="1" x14ac:dyDescent="0.2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spans="1:26" ht="15.75" customHeight="1" x14ac:dyDescent="0.2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spans="1:26" ht="15.75" customHeight="1" x14ac:dyDescent="0.2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spans="1:26" ht="15.75" customHeight="1" x14ac:dyDescent="0.2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spans="1:26" ht="15.75" customHeight="1" x14ac:dyDescent="0.2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spans="1:26" ht="15.75" customHeight="1" x14ac:dyDescent="0.2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spans="1:26" ht="15.75" customHeight="1" x14ac:dyDescent="0.2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spans="1:26" ht="15.75" customHeight="1" x14ac:dyDescent="0.2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spans="1:26" ht="15.75" customHeight="1" x14ac:dyDescent="0.2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spans="1:26" ht="15.75" customHeight="1" x14ac:dyDescent="0.2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spans="1:26" ht="15.75" customHeight="1" x14ac:dyDescent="0.2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spans="1:26" ht="15.75" customHeight="1" x14ac:dyDescent="0.2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spans="1:26" ht="15.75" customHeight="1" x14ac:dyDescent="0.2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spans="1:26" ht="15.75" customHeight="1" x14ac:dyDescent="0.2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spans="1:26" ht="15.75" customHeight="1" x14ac:dyDescent="0.2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spans="1:26" ht="15.75" customHeight="1" x14ac:dyDescent="0.2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spans="1:26" ht="15.75" customHeight="1" x14ac:dyDescent="0.2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spans="1:26" ht="15.75" customHeight="1" x14ac:dyDescent="0.2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spans="1:26" ht="15.75" customHeight="1" x14ac:dyDescent="0.2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spans="1:26" ht="15.75" customHeight="1" x14ac:dyDescent="0.2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spans="1:26" ht="15.75" customHeight="1" x14ac:dyDescent="0.2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spans="1:26" ht="15.75" customHeight="1" x14ac:dyDescent="0.2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spans="1:26" ht="15.75" customHeight="1" x14ac:dyDescent="0.2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spans="1:26" ht="15.75" customHeight="1" x14ac:dyDescent="0.2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spans="1:26" ht="15.75" customHeight="1" x14ac:dyDescent="0.2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spans="1:26" ht="15.75" customHeight="1" x14ac:dyDescent="0.2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spans="1:26" ht="15.75" customHeight="1" x14ac:dyDescent="0.2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spans="1:26" ht="15.75" customHeight="1" x14ac:dyDescent="0.2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spans="1:26" ht="15.75" customHeight="1" x14ac:dyDescent="0.2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spans="1:26" ht="15.75" customHeight="1" x14ac:dyDescent="0.2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spans="1:26" ht="15.75" customHeight="1" x14ac:dyDescent="0.2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spans="1:26" ht="15.75" customHeight="1" x14ac:dyDescent="0.2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spans="1:26" ht="15.75" customHeight="1" x14ac:dyDescent="0.2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spans="1:26" ht="15.75" customHeight="1" x14ac:dyDescent="0.2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spans="1:26" ht="15.75" customHeight="1" x14ac:dyDescent="0.2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spans="1:26" ht="15.75" customHeight="1" x14ac:dyDescent="0.2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spans="1:26" ht="15.75" customHeight="1" x14ac:dyDescent="0.2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spans="1:26" ht="15.75" customHeight="1" x14ac:dyDescent="0.2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spans="1:26" ht="15.75" customHeight="1" x14ac:dyDescent="0.2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spans="1:26" ht="15.75" customHeight="1" x14ac:dyDescent="0.2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spans="1:26" ht="15.75" customHeight="1" x14ac:dyDescent="0.2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spans="1:26" ht="15.75" customHeight="1" x14ac:dyDescent="0.2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spans="1:26" ht="15.75" customHeight="1" x14ac:dyDescent="0.2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spans="1:26" ht="15.75" customHeight="1" x14ac:dyDescent="0.2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spans="1:26" ht="15.75" customHeight="1" x14ac:dyDescent="0.2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spans="1:26" ht="15.75" customHeight="1" x14ac:dyDescent="0.2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spans="1:26" ht="15.75" customHeight="1" x14ac:dyDescent="0.2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spans="1:26" ht="15.75" customHeight="1" x14ac:dyDescent="0.2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spans="1:26" ht="15.75" customHeight="1" x14ac:dyDescent="0.2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spans="1:26" ht="15.75" customHeight="1" x14ac:dyDescent="0.2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spans="1:26" ht="15.75" customHeight="1" x14ac:dyDescent="0.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spans="1:26" ht="15.75" customHeight="1" x14ac:dyDescent="0.25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spans="1:26" ht="15.75" customHeight="1" x14ac:dyDescent="0.25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spans="1:26" ht="15.75" customHeight="1" x14ac:dyDescent="0.25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spans="1:26" ht="15.75" customHeight="1" x14ac:dyDescent="0.25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spans="1:26" ht="15.75" customHeight="1" x14ac:dyDescent="0.25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spans="1:26" ht="15.75" customHeight="1" x14ac:dyDescent="0.25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spans="1:26" ht="15.75" customHeight="1" x14ac:dyDescent="0.25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spans="1:26" ht="15.75" customHeight="1" x14ac:dyDescent="0.25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spans="1:26" ht="15.75" customHeight="1" x14ac:dyDescent="0.25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spans="1:26" ht="15.75" customHeight="1" x14ac:dyDescent="0.2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spans="1:26" ht="15.75" customHeight="1" x14ac:dyDescent="0.25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spans="1:26" ht="15.75" customHeight="1" x14ac:dyDescent="0.25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spans="1:26" ht="15.75" customHeight="1" x14ac:dyDescent="0.25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spans="1:26" ht="15.75" customHeight="1" x14ac:dyDescent="0.25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spans="1:26" ht="15.75" customHeight="1" x14ac:dyDescent="0.25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spans="1:26" ht="15.75" customHeight="1" x14ac:dyDescent="0.25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spans="1:26" ht="15.75" customHeight="1" x14ac:dyDescent="0.25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spans="1:26" ht="15.75" customHeight="1" x14ac:dyDescent="0.25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spans="1:26" ht="15.75" customHeight="1" x14ac:dyDescent="0.25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spans="1:26" ht="15.75" customHeight="1" x14ac:dyDescent="0.2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spans="1:26" ht="15.75" customHeight="1" x14ac:dyDescent="0.25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spans="1:26" ht="15.75" customHeight="1" x14ac:dyDescent="0.25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spans="1:26" ht="15.75" customHeight="1" x14ac:dyDescent="0.25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spans="1:26" ht="15.75" customHeight="1" x14ac:dyDescent="0.25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spans="1:26" ht="15.75" customHeight="1" x14ac:dyDescent="0.25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spans="1:26" ht="15.75" customHeight="1" x14ac:dyDescent="0.25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spans="1:26" ht="15.75" customHeight="1" x14ac:dyDescent="0.25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spans="1:26" ht="15.75" customHeight="1" x14ac:dyDescent="0.25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spans="1:26" ht="15.75" customHeight="1" x14ac:dyDescent="0.25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spans="1:26" ht="15.75" customHeight="1" x14ac:dyDescent="0.2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spans="1:26" ht="15.75" customHeight="1" x14ac:dyDescent="0.25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spans="1:26" ht="15.75" customHeight="1" x14ac:dyDescent="0.25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spans="1:26" ht="15.75" customHeight="1" x14ac:dyDescent="0.25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spans="1:26" ht="15.75" customHeight="1" x14ac:dyDescent="0.25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spans="1:26" ht="15.75" customHeight="1" x14ac:dyDescent="0.25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spans="1:26" ht="15.75" customHeight="1" x14ac:dyDescent="0.25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spans="1:26" ht="15.75" customHeight="1" x14ac:dyDescent="0.25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spans="1:26" ht="15.75" customHeight="1" x14ac:dyDescent="0.25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spans="1:26" ht="15.75" customHeight="1" x14ac:dyDescent="0.25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spans="1:26" ht="15.75" customHeight="1" x14ac:dyDescent="0.2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spans="1:26" ht="15.75" customHeight="1" x14ac:dyDescent="0.25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spans="1:26" ht="15.75" customHeight="1" x14ac:dyDescent="0.25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spans="1:26" ht="15.75" customHeight="1" x14ac:dyDescent="0.25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spans="1:26" ht="15.75" customHeight="1" x14ac:dyDescent="0.25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spans="1:26" ht="15.75" customHeight="1" x14ac:dyDescent="0.25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spans="1:26" ht="15.75" customHeight="1" x14ac:dyDescent="0.25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spans="1:26" ht="15.75" customHeight="1" x14ac:dyDescent="0.25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spans="1:26" ht="15.75" customHeight="1" x14ac:dyDescent="0.25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spans="1:26" ht="15.75" customHeight="1" x14ac:dyDescent="0.25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spans="1:26" ht="15.75" customHeight="1" x14ac:dyDescent="0.2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spans="1:26" ht="15.75" customHeight="1" x14ac:dyDescent="0.25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spans="1:26" ht="15.75" customHeight="1" x14ac:dyDescent="0.25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spans="1:26" ht="15.75" customHeight="1" x14ac:dyDescent="0.25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spans="1:26" ht="15.75" customHeight="1" x14ac:dyDescent="0.25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spans="1:26" ht="15.75" customHeight="1" x14ac:dyDescent="0.25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spans="1:26" ht="15.75" customHeight="1" x14ac:dyDescent="0.25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spans="1:26" ht="15.75" customHeight="1" x14ac:dyDescent="0.25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spans="1:26" ht="15.75" customHeight="1" x14ac:dyDescent="0.25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spans="1:26" ht="15.75" customHeight="1" x14ac:dyDescent="0.25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spans="1:26" ht="15.75" customHeight="1" x14ac:dyDescent="0.2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spans="1:26" ht="15.75" customHeight="1" x14ac:dyDescent="0.25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spans="1:26" ht="15.75" customHeight="1" x14ac:dyDescent="0.25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spans="1:26" ht="15.75" customHeight="1" x14ac:dyDescent="0.25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spans="1:26" ht="15.75" customHeight="1" x14ac:dyDescent="0.25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spans="1:26" ht="15.75" customHeight="1" x14ac:dyDescent="0.25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spans="1:26" ht="15.75" customHeight="1" x14ac:dyDescent="0.25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spans="1:26" ht="15.75" customHeight="1" x14ac:dyDescent="0.25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spans="1:26" ht="15.75" customHeight="1" x14ac:dyDescent="0.25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spans="1:26" ht="15.75" customHeight="1" x14ac:dyDescent="0.25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spans="1:26" ht="15.75" customHeight="1" x14ac:dyDescent="0.2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spans="1:26" ht="15.75" customHeight="1" x14ac:dyDescent="0.25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spans="1:26" ht="15.75" customHeight="1" x14ac:dyDescent="0.25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spans="1:26" ht="15.75" customHeight="1" x14ac:dyDescent="0.25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spans="1:26" ht="15.75" customHeight="1" x14ac:dyDescent="0.25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spans="1:26" ht="15.75" customHeight="1" x14ac:dyDescent="0.25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spans="1:26" ht="15.75" customHeight="1" x14ac:dyDescent="0.25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spans="1:26" ht="15.75" customHeight="1" x14ac:dyDescent="0.25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spans="1:26" ht="15.75" customHeight="1" x14ac:dyDescent="0.25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spans="1:26" ht="15.75" customHeight="1" x14ac:dyDescent="0.25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spans="1:26" ht="15.75" customHeight="1" x14ac:dyDescent="0.2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spans="1:26" ht="15.75" customHeight="1" x14ac:dyDescent="0.25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spans="1:26" ht="15.75" customHeight="1" x14ac:dyDescent="0.25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spans="1:26" ht="15.75" customHeight="1" x14ac:dyDescent="0.25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spans="1:26" ht="15.75" customHeight="1" x14ac:dyDescent="0.25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spans="1:26" ht="15.75" customHeight="1" x14ac:dyDescent="0.25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spans="1:26" ht="15.75" customHeight="1" x14ac:dyDescent="0.25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spans="1:26" ht="15.75" customHeight="1" x14ac:dyDescent="0.25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spans="1:26" ht="15.75" customHeight="1" x14ac:dyDescent="0.25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spans="1:26" ht="15.75" customHeight="1" x14ac:dyDescent="0.25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spans="1:26" ht="15.75" customHeight="1" x14ac:dyDescent="0.2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spans="1:26" ht="15.75" customHeight="1" x14ac:dyDescent="0.25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spans="1:26" ht="15.75" customHeight="1" x14ac:dyDescent="0.25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spans="1:26" ht="15.75" customHeight="1" x14ac:dyDescent="0.25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spans="1:26" ht="15.75" customHeight="1" x14ac:dyDescent="0.25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spans="1:26" ht="15.75" customHeight="1" x14ac:dyDescent="0.25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spans="1:26" ht="15.75" customHeight="1" x14ac:dyDescent="0.25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spans="1:26" ht="15.75" customHeight="1" x14ac:dyDescent="0.25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spans="1:26" ht="15.75" customHeight="1" x14ac:dyDescent="0.25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spans="1:26" ht="15.75" customHeight="1" x14ac:dyDescent="0.25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spans="1:26" ht="15.75" customHeight="1" x14ac:dyDescent="0.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spans="1:26" ht="15.75" customHeight="1" x14ac:dyDescent="0.25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spans="1:26" ht="15.75" customHeight="1" x14ac:dyDescent="0.25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spans="1:26" ht="15.75" customHeight="1" x14ac:dyDescent="0.25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spans="1:26" ht="15.75" customHeight="1" x14ac:dyDescent="0.25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spans="1:26" ht="15.75" customHeight="1" x14ac:dyDescent="0.25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spans="1:26" ht="15.75" customHeight="1" x14ac:dyDescent="0.25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spans="1:26" ht="15.75" customHeight="1" x14ac:dyDescent="0.25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spans="1:26" ht="15.75" customHeight="1" x14ac:dyDescent="0.25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spans="1:26" ht="15.75" customHeight="1" x14ac:dyDescent="0.25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spans="1:26" ht="15.75" customHeight="1" x14ac:dyDescent="0.2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spans="1:26" ht="15.75" customHeight="1" x14ac:dyDescent="0.25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spans="1:26" ht="15.75" customHeight="1" x14ac:dyDescent="0.25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spans="1:26" ht="15.75" customHeight="1" x14ac:dyDescent="0.25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spans="1:26" ht="15.75" customHeight="1" x14ac:dyDescent="0.25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spans="1:26" ht="15.75" customHeight="1" x14ac:dyDescent="0.25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spans="1:26" ht="15.75" customHeight="1" x14ac:dyDescent="0.25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spans="1:26" ht="15.75" customHeight="1" x14ac:dyDescent="0.25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spans="1:26" ht="15.75" customHeight="1" x14ac:dyDescent="0.25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spans="1:26" ht="15.75" customHeight="1" x14ac:dyDescent="0.25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spans="1:26" ht="15.75" customHeight="1" x14ac:dyDescent="0.2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spans="1:26" ht="15.75" customHeight="1" x14ac:dyDescent="0.25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spans="1:26" ht="15.75" customHeight="1" x14ac:dyDescent="0.25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spans="1:26" ht="15.75" customHeight="1" x14ac:dyDescent="0.25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spans="1:26" ht="15.75" customHeight="1" x14ac:dyDescent="0.25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spans="1:26" ht="15.75" customHeight="1" x14ac:dyDescent="0.25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spans="1:26" ht="15.75" customHeight="1" x14ac:dyDescent="0.25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spans="1:26" ht="15.75" customHeight="1" x14ac:dyDescent="0.25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spans="1:26" ht="15.75" customHeight="1" x14ac:dyDescent="0.25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spans="1:26" ht="15.75" customHeight="1" x14ac:dyDescent="0.25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spans="1:26" ht="15.75" customHeight="1" x14ac:dyDescent="0.2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spans="1:26" ht="15.75" customHeight="1" x14ac:dyDescent="0.25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spans="1:26" ht="15.75" customHeight="1" x14ac:dyDescent="0.25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spans="1:26" ht="15.75" customHeight="1" x14ac:dyDescent="0.25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spans="1:26" ht="15.75" customHeight="1" x14ac:dyDescent="0.25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spans="1:26" ht="15.75" customHeight="1" x14ac:dyDescent="0.25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spans="1:26" ht="15.75" customHeight="1" x14ac:dyDescent="0.25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spans="1:26" ht="15.75" customHeight="1" x14ac:dyDescent="0.25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spans="1:26" ht="15.75" customHeight="1" x14ac:dyDescent="0.25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spans="1:26" ht="15.75" customHeight="1" x14ac:dyDescent="0.25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spans="1:26" ht="15.75" customHeight="1" x14ac:dyDescent="0.2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spans="1:26" ht="15.75" customHeight="1" x14ac:dyDescent="0.25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spans="1:26" ht="15.75" customHeight="1" x14ac:dyDescent="0.25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spans="1:26" ht="15.75" customHeight="1" x14ac:dyDescent="0.25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spans="1:26" ht="15.75" customHeight="1" x14ac:dyDescent="0.25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spans="1:26" ht="15.75" customHeight="1" x14ac:dyDescent="0.25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spans="1:26" ht="15.75" customHeight="1" x14ac:dyDescent="0.25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spans="1:26" ht="15.75" customHeight="1" x14ac:dyDescent="0.25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spans="1:26" ht="15.75" customHeight="1" x14ac:dyDescent="0.25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spans="1:26" ht="15.75" customHeight="1" x14ac:dyDescent="0.25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spans="1:26" ht="15.75" customHeight="1" x14ac:dyDescent="0.2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spans="1:26" ht="15.75" customHeight="1" x14ac:dyDescent="0.25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spans="1:26" ht="15.75" customHeight="1" x14ac:dyDescent="0.25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spans="1:26" ht="15.75" customHeight="1" x14ac:dyDescent="0.25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spans="1:26" ht="15.75" customHeight="1" x14ac:dyDescent="0.25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spans="1:26" ht="15.75" customHeight="1" x14ac:dyDescent="0.25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spans="1:26" ht="15.75" customHeight="1" x14ac:dyDescent="0.25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spans="1:26" ht="15.75" customHeight="1" x14ac:dyDescent="0.25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spans="1:26" ht="15.75" customHeight="1" x14ac:dyDescent="0.25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spans="1:26" ht="15.75" customHeight="1" x14ac:dyDescent="0.25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spans="1:26" ht="15.75" customHeight="1" x14ac:dyDescent="0.2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spans="1:26" ht="15.75" customHeight="1" x14ac:dyDescent="0.25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spans="1:26" ht="15.75" customHeight="1" x14ac:dyDescent="0.25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spans="1:26" ht="15.75" customHeight="1" x14ac:dyDescent="0.25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spans="1:26" ht="15.75" customHeight="1" x14ac:dyDescent="0.25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spans="1:26" ht="15.75" customHeight="1" x14ac:dyDescent="0.25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spans="1:26" ht="15.75" customHeight="1" x14ac:dyDescent="0.25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spans="1:26" ht="15.75" customHeight="1" x14ac:dyDescent="0.25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spans="1:26" ht="15.75" customHeight="1" x14ac:dyDescent="0.25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spans="1:26" ht="15.75" customHeight="1" x14ac:dyDescent="0.25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spans="1:26" ht="15.75" customHeight="1" x14ac:dyDescent="0.2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spans="1:26" ht="15.75" customHeight="1" x14ac:dyDescent="0.25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spans="1:26" ht="15.75" customHeight="1" x14ac:dyDescent="0.25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spans="1:26" ht="15.75" customHeight="1" x14ac:dyDescent="0.25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spans="1:26" ht="15.75" customHeight="1" x14ac:dyDescent="0.25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spans="1:26" ht="15.75" customHeight="1" x14ac:dyDescent="0.25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spans="1:26" ht="15.75" customHeight="1" x14ac:dyDescent="0.25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spans="1:26" ht="15.75" customHeight="1" x14ac:dyDescent="0.25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spans="1:26" ht="15.75" customHeight="1" x14ac:dyDescent="0.25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spans="1:26" ht="15.75" customHeight="1" x14ac:dyDescent="0.25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spans="1:26" ht="15.75" customHeight="1" x14ac:dyDescent="0.2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spans="1:26" ht="15.75" customHeight="1" x14ac:dyDescent="0.25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spans="1:26" ht="15.75" customHeight="1" x14ac:dyDescent="0.25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spans="1:26" ht="15.75" customHeight="1" x14ac:dyDescent="0.25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spans="1:26" ht="15.75" customHeight="1" x14ac:dyDescent="0.25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spans="1:26" ht="15.75" customHeight="1" x14ac:dyDescent="0.25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spans="1:26" ht="15.75" customHeight="1" x14ac:dyDescent="0.25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spans="1:26" ht="15.75" customHeight="1" x14ac:dyDescent="0.25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spans="1:26" ht="15.75" customHeight="1" x14ac:dyDescent="0.25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spans="1:26" ht="15.75" customHeight="1" x14ac:dyDescent="0.25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spans="1:26" ht="15.75" customHeight="1" x14ac:dyDescent="0.2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spans="1:26" ht="15.75" customHeight="1" x14ac:dyDescent="0.25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spans="1:26" ht="15.75" customHeight="1" x14ac:dyDescent="0.25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spans="1:26" ht="15.75" customHeight="1" x14ac:dyDescent="0.25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spans="1:26" ht="15.75" customHeight="1" x14ac:dyDescent="0.25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spans="1:26" ht="15.75" customHeight="1" x14ac:dyDescent="0.25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spans="1:26" ht="15.75" customHeight="1" x14ac:dyDescent="0.25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spans="1:26" ht="15.75" customHeight="1" x14ac:dyDescent="0.25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spans="1:26" ht="15.75" customHeight="1" x14ac:dyDescent="0.25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spans="1:26" ht="15.75" customHeight="1" x14ac:dyDescent="0.25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spans="1:26" ht="15.75" customHeight="1" x14ac:dyDescent="0.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spans="1:26" ht="15.75" customHeight="1" x14ac:dyDescent="0.25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spans="1:26" ht="15.75" customHeight="1" x14ac:dyDescent="0.25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spans="1:26" ht="15.75" customHeight="1" x14ac:dyDescent="0.25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spans="1:26" ht="15.75" customHeight="1" x14ac:dyDescent="0.25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spans="1:26" ht="15.75" customHeight="1" x14ac:dyDescent="0.25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spans="1:26" ht="15.75" customHeight="1" x14ac:dyDescent="0.25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spans="1:26" ht="15.75" customHeight="1" x14ac:dyDescent="0.25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spans="1:26" ht="15.75" customHeight="1" x14ac:dyDescent="0.25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spans="1:26" ht="15.75" customHeight="1" x14ac:dyDescent="0.25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spans="1:26" ht="15.75" customHeight="1" x14ac:dyDescent="0.2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spans="1:26" ht="15.75" customHeight="1" x14ac:dyDescent="0.25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spans="1:26" ht="15.75" customHeight="1" x14ac:dyDescent="0.25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spans="1:26" ht="15.75" customHeight="1" x14ac:dyDescent="0.25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spans="1:26" ht="15.75" customHeight="1" x14ac:dyDescent="0.25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spans="1:26" ht="15.75" customHeight="1" x14ac:dyDescent="0.25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spans="1:26" ht="15.75" customHeight="1" x14ac:dyDescent="0.25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spans="1:26" ht="15.75" customHeight="1" x14ac:dyDescent="0.25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spans="1:26" ht="15.75" customHeight="1" x14ac:dyDescent="0.25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spans="1:26" ht="15.75" customHeight="1" x14ac:dyDescent="0.25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spans="1:26" ht="15.75" customHeight="1" x14ac:dyDescent="0.2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spans="1:26" ht="15.75" customHeight="1" x14ac:dyDescent="0.25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spans="1:26" ht="15.75" customHeight="1" x14ac:dyDescent="0.25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spans="1:26" ht="15.75" customHeight="1" x14ac:dyDescent="0.25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spans="1:26" ht="15.75" customHeight="1" x14ac:dyDescent="0.25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spans="1:26" ht="15.75" customHeight="1" x14ac:dyDescent="0.25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spans="1:26" ht="15.75" customHeight="1" x14ac:dyDescent="0.25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spans="1:26" ht="15.75" customHeight="1" x14ac:dyDescent="0.25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spans="1:26" ht="15.75" customHeight="1" x14ac:dyDescent="0.25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spans="1:26" ht="15.75" customHeight="1" x14ac:dyDescent="0.25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spans="1:26" ht="15.75" customHeight="1" x14ac:dyDescent="0.2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spans="1:26" ht="15.75" customHeight="1" x14ac:dyDescent="0.25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spans="1:26" ht="15.75" customHeight="1" x14ac:dyDescent="0.25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spans="1:26" ht="15.75" customHeight="1" x14ac:dyDescent="0.25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spans="1:26" ht="15.75" customHeight="1" x14ac:dyDescent="0.25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spans="1:26" ht="15.75" customHeight="1" x14ac:dyDescent="0.25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spans="1:26" ht="15.75" customHeight="1" x14ac:dyDescent="0.25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spans="1:26" ht="15.75" customHeight="1" x14ac:dyDescent="0.25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spans="1:26" ht="15.75" customHeight="1" x14ac:dyDescent="0.25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spans="1:26" ht="15.75" customHeight="1" x14ac:dyDescent="0.25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spans="1:26" ht="15.75" customHeight="1" x14ac:dyDescent="0.2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spans="1:26" ht="15.75" customHeight="1" x14ac:dyDescent="0.25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spans="1:26" ht="15.75" customHeight="1" x14ac:dyDescent="0.25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spans="1:26" ht="15.75" customHeight="1" x14ac:dyDescent="0.25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spans="1:26" ht="15.75" customHeight="1" x14ac:dyDescent="0.25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spans="1:26" ht="15.75" customHeight="1" x14ac:dyDescent="0.25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spans="1:26" ht="15.75" customHeight="1" x14ac:dyDescent="0.25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spans="1:26" ht="15.75" customHeight="1" x14ac:dyDescent="0.25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spans="1:26" ht="15.75" customHeight="1" x14ac:dyDescent="0.25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spans="1:26" ht="15.75" customHeight="1" x14ac:dyDescent="0.25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spans="1:26" ht="15.75" customHeight="1" x14ac:dyDescent="0.2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spans="1:26" ht="15.75" customHeight="1" x14ac:dyDescent="0.25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spans="1:26" ht="15.75" customHeight="1" x14ac:dyDescent="0.25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spans="1:26" ht="15.75" customHeight="1" x14ac:dyDescent="0.25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spans="1:26" ht="15.75" customHeight="1" x14ac:dyDescent="0.25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spans="1:26" ht="15.75" customHeight="1" x14ac:dyDescent="0.25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spans="1:26" ht="15.75" customHeight="1" x14ac:dyDescent="0.25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spans="1:26" ht="15.75" customHeight="1" x14ac:dyDescent="0.25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spans="1:26" ht="15.75" customHeight="1" x14ac:dyDescent="0.25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spans="1:26" ht="15.75" customHeight="1" x14ac:dyDescent="0.25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spans="1:26" ht="15.75" customHeight="1" x14ac:dyDescent="0.2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spans="1:26" ht="15.75" customHeight="1" x14ac:dyDescent="0.25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spans="1:26" ht="15.75" customHeight="1" x14ac:dyDescent="0.25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spans="1:26" ht="15.75" customHeight="1" x14ac:dyDescent="0.25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spans="1:26" ht="15.75" customHeight="1" x14ac:dyDescent="0.25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spans="1:26" ht="15.75" customHeight="1" x14ac:dyDescent="0.25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spans="1:26" ht="15.75" customHeight="1" x14ac:dyDescent="0.25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spans="1:26" ht="15.75" customHeight="1" x14ac:dyDescent="0.25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spans="1:26" ht="15.75" customHeight="1" x14ac:dyDescent="0.25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spans="1:26" ht="15.75" customHeight="1" x14ac:dyDescent="0.25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spans="1:26" ht="15.75" customHeight="1" x14ac:dyDescent="0.2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spans="1:26" ht="15.75" customHeight="1" x14ac:dyDescent="0.25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spans="1:26" ht="15.75" customHeight="1" x14ac:dyDescent="0.25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spans="1:26" ht="15.75" customHeight="1" x14ac:dyDescent="0.25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spans="1:26" ht="15.75" customHeight="1" x14ac:dyDescent="0.25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spans="1:26" ht="15.75" customHeight="1" x14ac:dyDescent="0.25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spans="1:26" ht="15.75" customHeight="1" x14ac:dyDescent="0.25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spans="1:26" ht="15.75" customHeight="1" x14ac:dyDescent="0.25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spans="1:26" ht="15.75" customHeight="1" x14ac:dyDescent="0.25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spans="1:26" ht="15.75" customHeight="1" x14ac:dyDescent="0.25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spans="1:26" ht="15.75" customHeight="1" x14ac:dyDescent="0.2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spans="1:26" ht="15.75" customHeight="1" x14ac:dyDescent="0.25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spans="1:26" ht="15.75" customHeight="1" x14ac:dyDescent="0.25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spans="1:26" ht="15.75" customHeight="1" x14ac:dyDescent="0.25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spans="1:26" ht="15.75" customHeight="1" x14ac:dyDescent="0.25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spans="1:26" ht="15.75" customHeight="1" x14ac:dyDescent="0.25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spans="1:26" ht="15.75" customHeight="1" x14ac:dyDescent="0.25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spans="1:26" ht="15.75" customHeight="1" x14ac:dyDescent="0.25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spans="1:26" ht="15.75" customHeight="1" x14ac:dyDescent="0.25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spans="1:26" ht="15.75" customHeight="1" x14ac:dyDescent="0.25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spans="1:26" ht="15.75" customHeight="1" x14ac:dyDescent="0.2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spans="1:26" ht="15.75" customHeight="1" x14ac:dyDescent="0.25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spans="1:26" ht="15.75" customHeight="1" x14ac:dyDescent="0.25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spans="1:26" ht="15.75" customHeight="1" x14ac:dyDescent="0.25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spans="1:26" ht="15.75" customHeight="1" x14ac:dyDescent="0.25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spans="1:26" ht="15.75" customHeight="1" x14ac:dyDescent="0.25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spans="1:26" ht="15.75" customHeight="1" x14ac:dyDescent="0.25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spans="1:26" ht="15.75" customHeight="1" x14ac:dyDescent="0.25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spans="1:26" ht="15.75" customHeight="1" x14ac:dyDescent="0.25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spans="1:26" ht="15.75" customHeight="1" x14ac:dyDescent="0.25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spans="1:26" ht="15.75" customHeight="1" x14ac:dyDescent="0.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spans="1:26" ht="15.75" customHeight="1" x14ac:dyDescent="0.25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spans="1:26" ht="15.75" customHeight="1" x14ac:dyDescent="0.25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spans="1:26" ht="15.75" customHeight="1" x14ac:dyDescent="0.25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spans="1:26" ht="15.75" customHeight="1" x14ac:dyDescent="0.25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spans="1:26" ht="15.75" customHeight="1" x14ac:dyDescent="0.25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spans="1:26" ht="15.75" customHeight="1" x14ac:dyDescent="0.25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spans="1:26" ht="15.75" customHeight="1" x14ac:dyDescent="0.25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spans="1:26" ht="15.75" customHeight="1" x14ac:dyDescent="0.25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spans="1:26" ht="15.75" customHeight="1" x14ac:dyDescent="0.25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spans="1:26" ht="15.75" customHeight="1" x14ac:dyDescent="0.2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spans="1:26" ht="15.75" customHeight="1" x14ac:dyDescent="0.25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spans="1:26" ht="15.75" customHeight="1" x14ac:dyDescent="0.25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spans="1:26" ht="15.75" customHeight="1" x14ac:dyDescent="0.25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spans="1:26" ht="15.75" customHeight="1" x14ac:dyDescent="0.25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spans="1:26" ht="15.75" customHeight="1" x14ac:dyDescent="0.25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spans="1:26" ht="15.75" customHeight="1" x14ac:dyDescent="0.25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spans="1:26" ht="15.75" customHeight="1" x14ac:dyDescent="0.25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spans="1:26" ht="15.75" customHeight="1" x14ac:dyDescent="0.25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spans="1:26" ht="15.75" customHeight="1" x14ac:dyDescent="0.25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spans="1:26" ht="15.75" customHeight="1" x14ac:dyDescent="0.2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spans="1:26" ht="15.75" customHeight="1" x14ac:dyDescent="0.25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spans="1:26" ht="15.75" customHeight="1" x14ac:dyDescent="0.25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spans="1:26" ht="15.75" customHeight="1" x14ac:dyDescent="0.25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spans="1:26" ht="15.75" customHeight="1" x14ac:dyDescent="0.25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spans="1:26" ht="15.75" customHeight="1" x14ac:dyDescent="0.25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spans="1:26" ht="15.75" customHeight="1" x14ac:dyDescent="0.25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spans="1:26" ht="15.75" customHeight="1" x14ac:dyDescent="0.25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spans="1:26" ht="15.75" customHeight="1" x14ac:dyDescent="0.25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spans="1:26" ht="15.75" customHeight="1" x14ac:dyDescent="0.25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spans="1:26" ht="15.75" customHeight="1" x14ac:dyDescent="0.2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spans="1:26" ht="15.75" customHeight="1" x14ac:dyDescent="0.25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spans="1:26" ht="15.75" customHeight="1" x14ac:dyDescent="0.25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spans="1:26" ht="15.75" customHeight="1" x14ac:dyDescent="0.25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spans="1:26" ht="15.75" customHeight="1" x14ac:dyDescent="0.25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spans="1:26" ht="15.75" customHeight="1" x14ac:dyDescent="0.25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spans="1:26" ht="15.75" customHeight="1" x14ac:dyDescent="0.25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spans="1:26" ht="15.75" customHeight="1" x14ac:dyDescent="0.25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spans="1:26" ht="15.75" customHeight="1" x14ac:dyDescent="0.25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spans="1:26" ht="15.75" customHeight="1" x14ac:dyDescent="0.25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spans="1:26" ht="15.75" customHeight="1" x14ac:dyDescent="0.2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spans="1:26" ht="15.75" customHeight="1" x14ac:dyDescent="0.25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spans="1:26" ht="15.75" customHeight="1" x14ac:dyDescent="0.25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spans="1:26" ht="15.75" customHeight="1" x14ac:dyDescent="0.25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spans="1:26" ht="15.75" customHeight="1" x14ac:dyDescent="0.25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spans="1:26" ht="15.75" customHeight="1" x14ac:dyDescent="0.25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spans="1:26" ht="15.75" customHeight="1" x14ac:dyDescent="0.25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spans="1:26" ht="15.75" customHeight="1" x14ac:dyDescent="0.25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spans="1:26" ht="15.75" customHeight="1" x14ac:dyDescent="0.25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spans="1:26" ht="15.75" customHeight="1" x14ac:dyDescent="0.25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spans="1:26" ht="15.75" customHeight="1" x14ac:dyDescent="0.2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spans="1:26" ht="15.75" customHeight="1" x14ac:dyDescent="0.25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spans="1:26" ht="15.75" customHeight="1" x14ac:dyDescent="0.25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spans="1:26" ht="15.75" customHeight="1" x14ac:dyDescent="0.25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spans="1:26" ht="15.75" customHeight="1" x14ac:dyDescent="0.25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spans="1:26" ht="15.75" customHeight="1" x14ac:dyDescent="0.25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spans="1:26" ht="15.75" customHeight="1" x14ac:dyDescent="0.25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spans="1:26" ht="15.75" customHeight="1" x14ac:dyDescent="0.25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spans="1:26" ht="15.75" customHeight="1" x14ac:dyDescent="0.25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spans="1:26" ht="15.75" customHeight="1" x14ac:dyDescent="0.25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spans="1:26" ht="15.75" customHeight="1" x14ac:dyDescent="0.2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spans="1:26" ht="15.75" customHeight="1" x14ac:dyDescent="0.25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spans="1:26" ht="15.75" customHeight="1" x14ac:dyDescent="0.25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spans="1:26" ht="15.75" customHeight="1" x14ac:dyDescent="0.25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spans="1:26" ht="15.75" customHeight="1" x14ac:dyDescent="0.25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spans="1:26" ht="15.75" customHeight="1" x14ac:dyDescent="0.25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spans="1:26" ht="15.75" customHeight="1" x14ac:dyDescent="0.25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spans="1:26" ht="15.75" customHeight="1" x14ac:dyDescent="0.25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spans="1:26" ht="15.75" customHeight="1" x14ac:dyDescent="0.25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spans="1:26" ht="15.75" customHeight="1" x14ac:dyDescent="0.25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spans="1:26" ht="15.75" customHeight="1" x14ac:dyDescent="0.2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spans="1:26" ht="15.75" customHeight="1" x14ac:dyDescent="0.25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spans="1:26" ht="15.75" customHeight="1" x14ac:dyDescent="0.25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spans="1:26" ht="15.75" customHeight="1" x14ac:dyDescent="0.25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spans="1:26" ht="15.75" customHeight="1" x14ac:dyDescent="0.25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spans="1:26" ht="15.75" customHeight="1" x14ac:dyDescent="0.25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spans="1:26" ht="15.75" customHeight="1" x14ac:dyDescent="0.25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spans="1:26" ht="15.75" customHeight="1" x14ac:dyDescent="0.25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spans="1:26" ht="15.75" customHeight="1" x14ac:dyDescent="0.25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spans="1:26" ht="15.75" customHeight="1" x14ac:dyDescent="0.25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spans="1:26" ht="15.75" customHeight="1" x14ac:dyDescent="0.2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spans="1:26" ht="15.75" customHeight="1" x14ac:dyDescent="0.25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spans="1:26" ht="15.75" customHeight="1" x14ac:dyDescent="0.25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spans="1:26" ht="15.75" customHeight="1" x14ac:dyDescent="0.25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spans="1:26" ht="15.75" customHeight="1" x14ac:dyDescent="0.25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spans="1:26" ht="15.75" customHeight="1" x14ac:dyDescent="0.25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spans="1:26" ht="15.75" customHeight="1" x14ac:dyDescent="0.25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spans="1:26" ht="15.75" customHeight="1" x14ac:dyDescent="0.25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spans="1:26" ht="15.75" customHeight="1" x14ac:dyDescent="0.25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spans="1:26" ht="15.75" customHeight="1" x14ac:dyDescent="0.25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spans="1:26" ht="15.75" customHeight="1" x14ac:dyDescent="0.2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spans="1:26" ht="15.75" customHeight="1" x14ac:dyDescent="0.25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spans="1:26" ht="15.75" customHeight="1" x14ac:dyDescent="0.25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spans="1:26" ht="15.75" customHeight="1" x14ac:dyDescent="0.25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spans="1:26" ht="15.75" customHeight="1" x14ac:dyDescent="0.25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spans="1:26" ht="15.75" customHeight="1" x14ac:dyDescent="0.25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spans="1:26" ht="15.75" customHeight="1" x14ac:dyDescent="0.25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spans="1:26" ht="15.75" customHeight="1" x14ac:dyDescent="0.25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spans="1:26" ht="15.75" customHeight="1" x14ac:dyDescent="0.25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spans="1:26" ht="15.75" customHeight="1" x14ac:dyDescent="0.25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spans="1:26" ht="15.75" customHeight="1" x14ac:dyDescent="0.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spans="1:26" ht="15.75" customHeight="1" x14ac:dyDescent="0.25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spans="1:26" ht="15.75" customHeight="1" x14ac:dyDescent="0.25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spans="1:26" ht="15.75" customHeight="1" x14ac:dyDescent="0.25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spans="1:26" ht="15.75" customHeight="1" x14ac:dyDescent="0.25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spans="1:26" ht="15.75" customHeight="1" x14ac:dyDescent="0.25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spans="1:26" ht="15.75" customHeight="1" x14ac:dyDescent="0.25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spans="1:26" ht="15.75" customHeight="1" x14ac:dyDescent="0.25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spans="1:26" ht="15.75" customHeight="1" x14ac:dyDescent="0.25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spans="1:26" ht="15.75" customHeight="1" x14ac:dyDescent="0.25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spans="1:26" ht="15.75" customHeight="1" x14ac:dyDescent="0.2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spans="1:26" ht="15.75" customHeight="1" x14ac:dyDescent="0.25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spans="1:26" ht="15.75" customHeight="1" x14ac:dyDescent="0.25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spans="1:26" ht="15.75" customHeight="1" x14ac:dyDescent="0.25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spans="1:26" ht="15.75" customHeight="1" x14ac:dyDescent="0.25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spans="1:26" ht="15.75" customHeight="1" x14ac:dyDescent="0.25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spans="1:26" ht="15.75" customHeight="1" x14ac:dyDescent="0.25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spans="1:26" ht="15.75" customHeight="1" x14ac:dyDescent="0.25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spans="1:26" ht="15.75" customHeight="1" x14ac:dyDescent="0.25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spans="1:26" ht="15.75" customHeight="1" x14ac:dyDescent="0.25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spans="1:26" ht="15.75" customHeight="1" x14ac:dyDescent="0.2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spans="1:26" ht="15.75" customHeight="1" x14ac:dyDescent="0.25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spans="1:26" ht="15.75" customHeight="1" x14ac:dyDescent="0.25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spans="1:26" ht="15.75" customHeight="1" x14ac:dyDescent="0.25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spans="1:26" ht="15.75" customHeight="1" x14ac:dyDescent="0.25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spans="1:26" ht="15.75" customHeight="1" x14ac:dyDescent="0.25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spans="1:26" ht="15.75" customHeight="1" x14ac:dyDescent="0.25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spans="1:26" ht="15.75" customHeight="1" x14ac:dyDescent="0.25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spans="1:26" ht="15.75" customHeight="1" x14ac:dyDescent="0.25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spans="1:26" ht="15.75" customHeight="1" x14ac:dyDescent="0.25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spans="1:26" ht="15.75" customHeight="1" x14ac:dyDescent="0.2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spans="1:26" ht="15.75" customHeight="1" x14ac:dyDescent="0.25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spans="1:26" ht="15.75" customHeight="1" x14ac:dyDescent="0.25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spans="1:26" ht="15.75" customHeight="1" x14ac:dyDescent="0.25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spans="1:26" ht="15.75" customHeight="1" x14ac:dyDescent="0.25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spans="1:26" ht="15.75" customHeight="1" x14ac:dyDescent="0.25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spans="1:26" ht="15.75" customHeight="1" x14ac:dyDescent="0.25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spans="1:26" ht="15.75" customHeight="1" x14ac:dyDescent="0.25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spans="1:26" ht="15.75" customHeight="1" x14ac:dyDescent="0.25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spans="1:26" ht="15.75" customHeight="1" x14ac:dyDescent="0.25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spans="1:26" ht="15.75" customHeight="1" x14ac:dyDescent="0.2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spans="1:26" ht="15.75" customHeight="1" x14ac:dyDescent="0.25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spans="1:26" ht="15.75" customHeight="1" x14ac:dyDescent="0.25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spans="1:26" ht="15.75" customHeight="1" x14ac:dyDescent="0.25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spans="1:26" ht="15.75" customHeight="1" x14ac:dyDescent="0.25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spans="1:26" ht="15.75" customHeight="1" x14ac:dyDescent="0.25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spans="1:26" ht="15.75" customHeight="1" x14ac:dyDescent="0.25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spans="1:26" ht="15.75" customHeight="1" x14ac:dyDescent="0.25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spans="1:26" ht="15.75" customHeight="1" x14ac:dyDescent="0.25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spans="1:26" ht="15.75" customHeight="1" x14ac:dyDescent="0.25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spans="1:26" ht="15.75" customHeight="1" x14ac:dyDescent="0.2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spans="1:26" ht="15.75" customHeight="1" x14ac:dyDescent="0.25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spans="1:26" ht="15.75" customHeight="1" x14ac:dyDescent="0.25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spans="1:26" ht="15.75" customHeight="1" x14ac:dyDescent="0.25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spans="1:26" ht="15.75" customHeight="1" x14ac:dyDescent="0.25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spans="1:26" ht="15.75" customHeight="1" x14ac:dyDescent="0.25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spans="1:26" ht="15.75" customHeight="1" x14ac:dyDescent="0.25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spans="1:26" ht="15.75" customHeight="1" x14ac:dyDescent="0.25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spans="1:26" ht="15.75" customHeight="1" x14ac:dyDescent="0.25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spans="1:26" ht="15.75" customHeight="1" x14ac:dyDescent="0.25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spans="1:26" ht="15.75" customHeight="1" x14ac:dyDescent="0.2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spans="1:26" ht="15.75" customHeight="1" x14ac:dyDescent="0.25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spans="1:26" ht="15.75" customHeight="1" x14ac:dyDescent="0.25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spans="1:26" ht="15.75" customHeight="1" x14ac:dyDescent="0.25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spans="1:26" ht="15.75" customHeight="1" x14ac:dyDescent="0.25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spans="1:26" ht="15.75" customHeight="1" x14ac:dyDescent="0.25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spans="1:26" ht="15.75" customHeight="1" x14ac:dyDescent="0.25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spans="1:26" ht="15.75" customHeight="1" x14ac:dyDescent="0.25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spans="1:26" ht="15.75" customHeight="1" x14ac:dyDescent="0.25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spans="1:26" ht="15.75" customHeight="1" x14ac:dyDescent="0.25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spans="1:26" ht="15.75" customHeight="1" x14ac:dyDescent="0.2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spans="1:26" ht="15.75" customHeight="1" x14ac:dyDescent="0.25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spans="1:26" ht="15.75" customHeight="1" x14ac:dyDescent="0.25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spans="1:26" ht="15.75" customHeight="1" x14ac:dyDescent="0.25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spans="1:26" ht="15.75" customHeight="1" x14ac:dyDescent="0.25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spans="1:26" ht="15.75" customHeight="1" x14ac:dyDescent="0.25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spans="1:26" ht="15.75" customHeight="1" x14ac:dyDescent="0.25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spans="1:26" ht="15.75" customHeight="1" x14ac:dyDescent="0.25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spans="1:26" ht="15.75" customHeight="1" x14ac:dyDescent="0.25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spans="1:26" ht="15.75" customHeight="1" x14ac:dyDescent="0.25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spans="1:26" ht="15.75" customHeight="1" x14ac:dyDescent="0.2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spans="1:26" ht="15.75" customHeight="1" x14ac:dyDescent="0.25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spans="1:26" ht="15.75" customHeight="1" x14ac:dyDescent="0.25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spans="1:26" ht="15.75" customHeight="1" x14ac:dyDescent="0.25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spans="1:26" ht="15.75" customHeight="1" x14ac:dyDescent="0.25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spans="1:26" ht="15.75" customHeight="1" x14ac:dyDescent="0.25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spans="1:26" ht="15.75" customHeight="1" x14ac:dyDescent="0.25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spans="1:26" ht="15.75" customHeight="1" x14ac:dyDescent="0.25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spans="1:26" ht="15.75" customHeight="1" x14ac:dyDescent="0.25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spans="1:26" ht="15.75" customHeight="1" x14ac:dyDescent="0.25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spans="1:26" ht="15.75" customHeight="1" x14ac:dyDescent="0.2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spans="1:26" ht="15.75" customHeight="1" x14ac:dyDescent="0.25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spans="1:26" ht="15.75" customHeight="1" x14ac:dyDescent="0.25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spans="1:26" ht="15.75" customHeight="1" x14ac:dyDescent="0.25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spans="1:26" ht="15.75" customHeight="1" x14ac:dyDescent="0.25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spans="1:26" ht="15.75" customHeight="1" x14ac:dyDescent="0.25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spans="1:26" ht="15.75" customHeight="1" x14ac:dyDescent="0.25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spans="1:26" ht="15.75" customHeight="1" x14ac:dyDescent="0.25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spans="1:26" ht="15.75" customHeight="1" x14ac:dyDescent="0.25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spans="1:26" ht="15.75" customHeight="1" x14ac:dyDescent="0.25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spans="1:26" ht="15.75" customHeight="1" x14ac:dyDescent="0.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spans="1:26" ht="15.75" customHeight="1" x14ac:dyDescent="0.25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spans="1:26" ht="15.75" customHeight="1" x14ac:dyDescent="0.25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spans="1:26" ht="15.75" customHeight="1" x14ac:dyDescent="0.25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spans="1:26" ht="15.75" customHeight="1" x14ac:dyDescent="0.25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spans="1:26" ht="15.75" customHeight="1" x14ac:dyDescent="0.25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spans="1:26" ht="15.75" customHeight="1" x14ac:dyDescent="0.25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spans="1:26" ht="15.75" customHeight="1" x14ac:dyDescent="0.25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spans="1:26" ht="15.75" customHeight="1" x14ac:dyDescent="0.25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spans="1:26" ht="15.75" customHeight="1" x14ac:dyDescent="0.25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spans="1:26" ht="15.75" customHeight="1" x14ac:dyDescent="0.2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spans="1:26" ht="15.75" customHeight="1" x14ac:dyDescent="0.25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spans="1:26" ht="15.75" customHeight="1" x14ac:dyDescent="0.25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spans="1:26" ht="15.75" customHeight="1" x14ac:dyDescent="0.25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spans="1:26" ht="15.75" customHeight="1" x14ac:dyDescent="0.25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spans="1:26" ht="15.75" customHeight="1" x14ac:dyDescent="0.25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spans="1:26" ht="15.75" customHeight="1" x14ac:dyDescent="0.25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spans="1:26" ht="15.75" customHeight="1" x14ac:dyDescent="0.25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spans="1:26" ht="15.75" customHeight="1" x14ac:dyDescent="0.25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spans="1:26" ht="15.75" customHeight="1" x14ac:dyDescent="0.25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spans="1:26" ht="15.75" customHeight="1" x14ac:dyDescent="0.2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spans="1:26" ht="15.75" customHeight="1" x14ac:dyDescent="0.25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spans="1:26" ht="15.75" customHeight="1" x14ac:dyDescent="0.25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spans="1:26" ht="15.75" customHeight="1" x14ac:dyDescent="0.25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spans="1:26" ht="15.75" customHeight="1" x14ac:dyDescent="0.25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spans="1:26" ht="15.75" customHeight="1" x14ac:dyDescent="0.25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spans="1:26" ht="15.75" customHeight="1" x14ac:dyDescent="0.25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spans="1:26" ht="15.75" customHeight="1" x14ac:dyDescent="0.25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spans="1:26" ht="15.75" customHeight="1" x14ac:dyDescent="0.25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spans="1:26" ht="15.75" customHeight="1" x14ac:dyDescent="0.25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spans="1:26" ht="15.75" customHeight="1" x14ac:dyDescent="0.2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spans="1:26" ht="15.75" customHeight="1" x14ac:dyDescent="0.25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spans="1:26" ht="15.75" customHeight="1" x14ac:dyDescent="0.25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spans="1:26" ht="15.75" customHeight="1" x14ac:dyDescent="0.25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spans="1:26" ht="15.75" customHeight="1" x14ac:dyDescent="0.25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spans="1:26" ht="15.75" customHeight="1" x14ac:dyDescent="0.25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spans="1:26" ht="15.75" customHeight="1" x14ac:dyDescent="0.25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spans="1:26" ht="15.75" customHeight="1" x14ac:dyDescent="0.25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spans="1:26" ht="15.75" customHeight="1" x14ac:dyDescent="0.25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spans="1:26" ht="15.75" customHeight="1" x14ac:dyDescent="0.25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spans="1:26" ht="15.75" customHeight="1" x14ac:dyDescent="0.2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spans="1:26" ht="15.75" customHeight="1" x14ac:dyDescent="0.25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spans="1:26" ht="15.75" customHeight="1" x14ac:dyDescent="0.25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spans="1:26" ht="15.75" customHeight="1" x14ac:dyDescent="0.25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spans="1:26" ht="15.75" customHeight="1" x14ac:dyDescent="0.25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spans="1:26" ht="15.75" customHeight="1" x14ac:dyDescent="0.25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spans="1:26" ht="15.75" customHeight="1" x14ac:dyDescent="0.25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spans="1:26" ht="15.75" customHeight="1" x14ac:dyDescent="0.25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spans="1:26" ht="15.75" customHeight="1" x14ac:dyDescent="0.25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spans="1:26" ht="15.75" customHeight="1" x14ac:dyDescent="0.25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spans="1:26" ht="15.75" customHeight="1" x14ac:dyDescent="0.2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spans="1:26" ht="15.75" customHeight="1" x14ac:dyDescent="0.25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spans="1:26" ht="15.75" customHeight="1" x14ac:dyDescent="0.25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spans="1:26" ht="15.75" customHeight="1" x14ac:dyDescent="0.25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spans="1:26" ht="15.75" customHeight="1" x14ac:dyDescent="0.25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spans="1:26" ht="15.75" customHeight="1" x14ac:dyDescent="0.25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spans="1:26" ht="15.75" customHeight="1" x14ac:dyDescent="0.25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spans="1:26" ht="15.75" customHeight="1" x14ac:dyDescent="0.25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spans="1:26" ht="15.75" customHeight="1" x14ac:dyDescent="0.25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spans="1:26" ht="15.75" customHeight="1" x14ac:dyDescent="0.25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spans="1:26" ht="15.75" customHeight="1" x14ac:dyDescent="0.2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spans="1:26" ht="15.75" customHeight="1" x14ac:dyDescent="0.25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spans="1:26" ht="15.75" customHeight="1" x14ac:dyDescent="0.25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spans="1:26" ht="15.75" customHeight="1" x14ac:dyDescent="0.25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spans="1:26" ht="15.75" customHeight="1" x14ac:dyDescent="0.25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spans="1:26" ht="15.75" customHeight="1" x14ac:dyDescent="0.25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spans="1:26" ht="15.75" customHeight="1" x14ac:dyDescent="0.25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spans="1:26" ht="15.75" customHeight="1" x14ac:dyDescent="0.25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spans="1:26" ht="15.75" customHeight="1" x14ac:dyDescent="0.25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spans="1:26" ht="15.75" customHeight="1" x14ac:dyDescent="0.25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spans="1:26" ht="15.75" customHeight="1" x14ac:dyDescent="0.2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spans="1:26" ht="15.75" customHeight="1" x14ac:dyDescent="0.25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spans="1:26" ht="15.75" customHeight="1" x14ac:dyDescent="0.25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spans="1:26" ht="15.75" customHeight="1" x14ac:dyDescent="0.25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spans="1:26" ht="15.75" customHeight="1" x14ac:dyDescent="0.25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spans="1:26" ht="15.75" customHeight="1" x14ac:dyDescent="0.25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spans="1:26" ht="15.75" customHeight="1" x14ac:dyDescent="0.25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spans="1:26" ht="15.75" customHeight="1" x14ac:dyDescent="0.25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spans="1:26" ht="15.75" customHeight="1" x14ac:dyDescent="0.25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spans="1:26" ht="15.75" customHeight="1" x14ac:dyDescent="0.25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spans="1:26" ht="15.75" customHeight="1" x14ac:dyDescent="0.2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spans="1:26" ht="15.75" customHeight="1" x14ac:dyDescent="0.25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spans="1:26" ht="15.75" customHeight="1" x14ac:dyDescent="0.25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spans="1:26" ht="15.75" customHeight="1" x14ac:dyDescent="0.25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spans="1:26" ht="15.75" customHeight="1" x14ac:dyDescent="0.25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spans="1:26" ht="15.75" customHeight="1" x14ac:dyDescent="0.25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spans="1:26" ht="15.75" customHeight="1" x14ac:dyDescent="0.25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spans="1:26" ht="15.75" customHeight="1" x14ac:dyDescent="0.25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spans="1:26" ht="15.75" customHeight="1" x14ac:dyDescent="0.25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spans="1:26" ht="15.75" customHeight="1" x14ac:dyDescent="0.25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spans="1:26" ht="15.75" customHeight="1" x14ac:dyDescent="0.2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spans="1:26" ht="15.75" customHeight="1" x14ac:dyDescent="0.25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spans="1:26" ht="15.75" customHeight="1" x14ac:dyDescent="0.25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spans="1:26" ht="15.75" customHeight="1" x14ac:dyDescent="0.25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spans="1:26" ht="15.75" customHeight="1" x14ac:dyDescent="0.25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spans="1:26" ht="15.75" customHeight="1" x14ac:dyDescent="0.25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spans="1:26" ht="15.75" customHeight="1" x14ac:dyDescent="0.25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spans="1:26" ht="15.75" customHeight="1" x14ac:dyDescent="0.25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spans="1:26" ht="15.75" customHeight="1" x14ac:dyDescent="0.25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spans="1:26" ht="15.75" customHeight="1" x14ac:dyDescent="0.25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spans="1:26" ht="15.75" customHeight="1" x14ac:dyDescent="0.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spans="1:26" ht="15.75" customHeight="1" x14ac:dyDescent="0.25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spans="1:26" ht="15.75" customHeight="1" x14ac:dyDescent="0.25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spans="1:26" ht="15.75" customHeight="1" x14ac:dyDescent="0.25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spans="1:26" ht="15.75" customHeight="1" x14ac:dyDescent="0.25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spans="1:26" ht="15.75" customHeight="1" x14ac:dyDescent="0.25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spans="1:26" ht="15.75" customHeight="1" x14ac:dyDescent="0.25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spans="1:26" ht="15.75" customHeight="1" x14ac:dyDescent="0.25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spans="1:26" ht="15.75" customHeight="1" x14ac:dyDescent="0.25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spans="1:26" ht="15.75" customHeight="1" x14ac:dyDescent="0.25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spans="1:26" ht="15.75" customHeight="1" x14ac:dyDescent="0.2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spans="1:26" ht="15.75" customHeight="1" x14ac:dyDescent="0.25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spans="1:26" ht="15.75" customHeight="1" x14ac:dyDescent="0.25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spans="1:26" ht="15.75" customHeight="1" x14ac:dyDescent="0.25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spans="1:26" ht="15.75" customHeight="1" x14ac:dyDescent="0.25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spans="1:26" ht="15.75" customHeight="1" x14ac:dyDescent="0.25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spans="1:26" ht="15.75" customHeight="1" x14ac:dyDescent="0.25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spans="1:26" ht="15.75" customHeight="1" x14ac:dyDescent="0.25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spans="1:26" ht="15.75" customHeight="1" x14ac:dyDescent="0.25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spans="1:26" ht="15.75" customHeight="1" x14ac:dyDescent="0.25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spans="1:26" ht="15.75" customHeight="1" x14ac:dyDescent="0.2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spans="1:26" ht="15.75" customHeight="1" x14ac:dyDescent="0.25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spans="1:26" ht="15.75" customHeight="1" x14ac:dyDescent="0.25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spans="1:26" ht="15.75" customHeight="1" x14ac:dyDescent="0.25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spans="1:26" ht="15.75" customHeight="1" x14ac:dyDescent="0.25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spans="1:26" ht="15.75" customHeight="1" x14ac:dyDescent="0.25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spans="1:26" ht="15.75" customHeight="1" x14ac:dyDescent="0.25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spans="1:26" ht="15.75" customHeight="1" x14ac:dyDescent="0.25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spans="1:26" ht="15.75" customHeight="1" x14ac:dyDescent="0.25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spans="1:26" ht="15.75" customHeight="1" x14ac:dyDescent="0.25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spans="1:26" ht="15.75" customHeight="1" x14ac:dyDescent="0.2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spans="1:26" ht="15.75" customHeight="1" x14ac:dyDescent="0.25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spans="1:26" ht="15.75" customHeight="1" x14ac:dyDescent="0.25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spans="1:26" ht="15.75" customHeight="1" x14ac:dyDescent="0.25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spans="1:26" ht="15.75" customHeight="1" x14ac:dyDescent="0.25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spans="1:26" ht="15.75" customHeight="1" x14ac:dyDescent="0.25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spans="1:26" ht="15.75" customHeight="1" x14ac:dyDescent="0.25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spans="1:26" ht="15.75" customHeight="1" x14ac:dyDescent="0.25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spans="1:26" ht="15.75" customHeight="1" x14ac:dyDescent="0.25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spans="1:26" ht="15.75" customHeight="1" x14ac:dyDescent="0.25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spans="1:26" ht="15.75" customHeight="1" x14ac:dyDescent="0.2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spans="1:26" ht="15.75" customHeight="1" x14ac:dyDescent="0.25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spans="1:26" ht="15.75" customHeight="1" x14ac:dyDescent="0.25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spans="1:26" ht="15.75" customHeight="1" x14ac:dyDescent="0.25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spans="1:26" ht="15.75" customHeight="1" x14ac:dyDescent="0.25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spans="1:26" ht="15.75" customHeight="1" x14ac:dyDescent="0.25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spans="1:26" ht="15.75" customHeight="1" x14ac:dyDescent="0.25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spans="1:26" ht="15.75" customHeight="1" x14ac:dyDescent="0.25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spans="1:26" ht="15.75" customHeight="1" x14ac:dyDescent="0.25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spans="1:26" ht="15.75" customHeight="1" x14ac:dyDescent="0.25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spans="1:26" ht="15.75" customHeight="1" x14ac:dyDescent="0.2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spans="1:26" ht="15.75" customHeight="1" x14ac:dyDescent="0.25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spans="1:26" ht="15.75" customHeight="1" x14ac:dyDescent="0.25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spans="1:26" ht="15.75" customHeight="1" x14ac:dyDescent="0.25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spans="1:26" ht="15.75" customHeight="1" x14ac:dyDescent="0.25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spans="1:26" ht="15.75" customHeight="1" x14ac:dyDescent="0.25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spans="1:26" ht="15.75" customHeight="1" x14ac:dyDescent="0.25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spans="1:26" ht="15.75" customHeight="1" x14ac:dyDescent="0.25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spans="1:26" ht="15.75" customHeight="1" x14ac:dyDescent="0.25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spans="1:26" ht="15.75" customHeight="1" x14ac:dyDescent="0.25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spans="1:26" ht="15.75" customHeight="1" x14ac:dyDescent="0.2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spans="1:26" ht="15.75" customHeight="1" x14ac:dyDescent="0.25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spans="1:26" ht="15.75" customHeight="1" x14ac:dyDescent="0.25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spans="1:26" ht="15.75" customHeight="1" x14ac:dyDescent="0.25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spans="1:26" ht="15.75" customHeight="1" x14ac:dyDescent="0.25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spans="1:26" ht="15.75" customHeight="1" x14ac:dyDescent="0.25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spans="1:26" ht="15.75" customHeight="1" x14ac:dyDescent="0.25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spans="1:26" ht="15.75" customHeight="1" x14ac:dyDescent="0.25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spans="1:26" ht="15.75" customHeight="1" x14ac:dyDescent="0.25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spans="1:26" ht="15.75" customHeight="1" x14ac:dyDescent="0.25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spans="1:26" ht="15.75" customHeight="1" x14ac:dyDescent="0.2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spans="1:26" ht="15.75" customHeight="1" x14ac:dyDescent="0.25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spans="1:26" ht="15.75" customHeight="1" x14ac:dyDescent="0.25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spans="1:26" ht="15.75" customHeight="1" x14ac:dyDescent="0.25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spans="1:26" ht="15.75" customHeight="1" x14ac:dyDescent="0.25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</sheetData>
  <mergeCells count="10">
    <mergeCell ref="A22:J22"/>
    <mergeCell ref="A31:J31"/>
    <mergeCell ref="A39:E39"/>
    <mergeCell ref="D3:E3"/>
    <mergeCell ref="D4:E4"/>
    <mergeCell ref="A9:E9"/>
    <mergeCell ref="A15:E15"/>
    <mergeCell ref="A18:J18"/>
    <mergeCell ref="A19:E19"/>
    <mergeCell ref="A20:E20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9"/>
  <sheetViews>
    <sheetView topLeftCell="A33" workbookViewId="0">
      <selection activeCell="D41" sqref="D41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4" width="8.5703125" customWidth="1"/>
    <col min="25" max="26" width="12.5703125" customWidth="1"/>
  </cols>
  <sheetData>
    <row r="1" spans="1:26" ht="18" customHeight="1" x14ac:dyDescent="0.6">
      <c r="A1" s="1" t="s">
        <v>0</v>
      </c>
      <c r="B1" s="2" t="str">
        <f>OBRA!B1</f>
        <v>Jardim Campeche</v>
      </c>
      <c r="C1" s="3"/>
      <c r="D1" s="4"/>
      <c r="E1" s="41"/>
      <c r="F1" s="5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8" customHeight="1" x14ac:dyDescent="0.6">
      <c r="A2" s="6" t="s">
        <v>1</v>
      </c>
      <c r="B2" s="7" t="str">
        <f>OBRA!B2</f>
        <v>BD Empreendimentos</v>
      </c>
      <c r="C2" s="8"/>
      <c r="D2" s="9"/>
      <c r="E2" s="42"/>
      <c r="F2" s="1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8" customHeight="1" x14ac:dyDescent="0.6">
      <c r="A3" s="6" t="s">
        <v>2</v>
      </c>
      <c r="B3" s="7" t="str">
        <f>OBRA!B3</f>
        <v>R00</v>
      </c>
      <c r="C3" s="8"/>
      <c r="D3" s="9"/>
      <c r="E3" s="42"/>
      <c r="F3" s="1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24.75" customHeight="1" x14ac:dyDescent="0.25">
      <c r="A4" s="200" t="s">
        <v>16</v>
      </c>
      <c r="B4" s="201"/>
      <c r="C4" s="201"/>
      <c r="D4" s="201"/>
      <c r="E4" s="201"/>
      <c r="F4" s="202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4.25" customHeight="1" x14ac:dyDescent="0.6">
      <c r="A5" s="11"/>
      <c r="B5" s="12"/>
      <c r="C5" s="12"/>
      <c r="D5" s="13"/>
      <c r="E5" s="44"/>
      <c r="F5" s="14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6.5" customHeight="1" x14ac:dyDescent="0.25">
      <c r="A6" s="203" t="s">
        <v>91</v>
      </c>
      <c r="B6" s="201"/>
      <c r="C6" s="201"/>
      <c r="D6" s="201"/>
      <c r="E6" s="201"/>
      <c r="F6" s="202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4.25" customHeight="1" x14ac:dyDescent="0.6">
      <c r="A7" s="15"/>
      <c r="B7" s="16"/>
      <c r="C7" s="17"/>
      <c r="D7" s="18"/>
      <c r="E7" s="43"/>
      <c r="F7" s="19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1.75" customHeight="1" x14ac:dyDescent="0.6">
      <c r="A8" s="45" t="s">
        <v>92</v>
      </c>
      <c r="B8" s="46"/>
      <c r="C8" s="46"/>
      <c r="D8" s="47"/>
      <c r="E8" s="48"/>
      <c r="F8" s="49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21.75" customHeight="1" x14ac:dyDescent="0.6">
      <c r="A9" s="20"/>
      <c r="B9" s="50"/>
      <c r="C9" s="50"/>
      <c r="D9" s="51"/>
      <c r="E9" s="52"/>
      <c r="F9" s="19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21.75" customHeight="1" x14ac:dyDescent="0.6">
      <c r="A10" s="20"/>
      <c r="B10" s="21" t="s">
        <v>5</v>
      </c>
      <c r="C10" s="22" t="s">
        <v>6</v>
      </c>
      <c r="D10" s="23" t="s">
        <v>7</v>
      </c>
      <c r="E10" s="52"/>
      <c r="F10" s="19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21.75" customHeight="1" x14ac:dyDescent="0.6">
      <c r="A11" s="20"/>
      <c r="B11" s="27" t="s">
        <v>93</v>
      </c>
      <c r="C11" s="28" t="s">
        <v>43</v>
      </c>
      <c r="D11" s="29">
        <f>'[6]Obra '!$F$22</f>
        <v>123.46</v>
      </c>
      <c r="E11" s="52"/>
      <c r="F11" s="19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21.75" customHeight="1" x14ac:dyDescent="0.6">
      <c r="A12" s="20"/>
      <c r="B12" s="27" t="s">
        <v>94</v>
      </c>
      <c r="C12" s="28" t="s">
        <v>43</v>
      </c>
      <c r="D12" s="29">
        <f>'[6]Obra '!$F$25</f>
        <v>116.66</v>
      </c>
      <c r="E12" s="52"/>
      <c r="F12" s="19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21.75" customHeight="1" x14ac:dyDescent="0.6">
      <c r="A13" s="20"/>
      <c r="B13" s="122" t="s">
        <v>95</v>
      </c>
      <c r="C13" s="123" t="s">
        <v>43</v>
      </c>
      <c r="D13" s="124">
        <f>D11</f>
        <v>123.46</v>
      </c>
      <c r="E13" s="52"/>
      <c r="F13" s="19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21.75" customHeight="1" x14ac:dyDescent="0.6">
      <c r="A14" s="20"/>
      <c r="B14" s="122" t="s">
        <v>96</v>
      </c>
      <c r="C14" s="123" t="s">
        <v>43</v>
      </c>
      <c r="D14" s="124">
        <f>D12</f>
        <v>116.66</v>
      </c>
      <c r="E14" s="52"/>
      <c r="F14" s="19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21.75" customHeight="1" x14ac:dyDescent="0.6">
      <c r="A15" s="68"/>
      <c r="B15" s="50"/>
      <c r="C15" s="50"/>
      <c r="D15" s="51"/>
      <c r="E15" s="52"/>
      <c r="F15" s="19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21.75" customHeight="1" x14ac:dyDescent="0.6">
      <c r="A16" s="45" t="s">
        <v>97</v>
      </c>
      <c r="B16" s="46"/>
      <c r="C16" s="46"/>
      <c r="D16" s="47"/>
      <c r="E16" s="48"/>
      <c r="F16" s="49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21.75" customHeight="1" x14ac:dyDescent="0.6">
      <c r="A17" s="68"/>
      <c r="B17" s="50"/>
      <c r="C17" s="50"/>
      <c r="D17" s="51"/>
      <c r="E17" s="52"/>
      <c r="F17" s="19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21.75" customHeight="1" x14ac:dyDescent="0.6">
      <c r="A18" s="68"/>
      <c r="B18" s="21" t="s">
        <v>5</v>
      </c>
      <c r="C18" s="22" t="s">
        <v>6</v>
      </c>
      <c r="D18" s="23" t="s">
        <v>7</v>
      </c>
      <c r="E18" s="52"/>
      <c r="F18" s="19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21.75" customHeight="1" x14ac:dyDescent="0.6">
      <c r="A19" s="68"/>
      <c r="B19" s="24" t="s">
        <v>98</v>
      </c>
      <c r="C19" s="25" t="s">
        <v>43</v>
      </c>
      <c r="D19" s="26">
        <f>D12</f>
        <v>116.66</v>
      </c>
      <c r="E19" s="52"/>
      <c r="F19" s="19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21.75" customHeight="1" x14ac:dyDescent="0.6">
      <c r="A20" s="68"/>
      <c r="B20" s="54" t="s">
        <v>99</v>
      </c>
      <c r="C20" s="55" t="s">
        <v>24</v>
      </c>
      <c r="D20" s="125">
        <v>4</v>
      </c>
      <c r="E20" s="52"/>
      <c r="F20" s="19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21.75" customHeight="1" x14ac:dyDescent="0.6">
      <c r="A21" s="68"/>
      <c r="B21" s="126" t="s">
        <v>100</v>
      </c>
      <c r="C21" s="127" t="s">
        <v>43</v>
      </c>
      <c r="D21" s="128">
        <f>(D19*D20)</f>
        <v>466.64</v>
      </c>
      <c r="E21" s="52"/>
      <c r="F21" s="19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21.75" customHeight="1" x14ac:dyDescent="0.45">
      <c r="A22" s="20"/>
      <c r="B22" s="52"/>
      <c r="C22" s="52"/>
      <c r="D22" s="129"/>
      <c r="E22" s="52"/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21.75" customHeight="1" x14ac:dyDescent="0.6">
      <c r="A23" s="45" t="s">
        <v>101</v>
      </c>
      <c r="B23" s="46"/>
      <c r="C23" s="46"/>
      <c r="D23" s="47"/>
      <c r="E23" s="48"/>
      <c r="F23" s="49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21.75" customHeight="1" x14ac:dyDescent="0.6">
      <c r="A24" s="68"/>
      <c r="B24" s="50"/>
      <c r="C24" s="50"/>
      <c r="D24" s="51"/>
      <c r="E24" s="52"/>
      <c r="F24" s="1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21.75" customHeight="1" x14ac:dyDescent="0.6">
      <c r="A25" s="68"/>
      <c r="B25" s="21" t="s">
        <v>5</v>
      </c>
      <c r="C25" s="22" t="s">
        <v>6</v>
      </c>
      <c r="D25" s="23" t="s">
        <v>7</v>
      </c>
      <c r="E25" s="52"/>
      <c r="F25" s="19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21.75" customHeight="1" x14ac:dyDescent="0.6">
      <c r="A26" s="68"/>
      <c r="B26" s="24" t="s">
        <v>212</v>
      </c>
      <c r="C26" s="25" t="s">
        <v>43</v>
      </c>
      <c r="D26" s="125">
        <f>D12</f>
        <v>116.66</v>
      </c>
      <c r="E26" s="52"/>
      <c r="F26" s="19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21.75" customHeight="1" x14ac:dyDescent="0.6">
      <c r="A27" s="190"/>
      <c r="B27" s="191" t="s">
        <v>213</v>
      </c>
      <c r="C27" s="192" t="s">
        <v>43</v>
      </c>
      <c r="D27" s="193">
        <f>SUM('[6]Obra '!$G$22:$G$29)</f>
        <v>24.839999999999996</v>
      </c>
      <c r="E27" s="52"/>
      <c r="F27" s="194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21.75" customHeight="1" x14ac:dyDescent="0.6">
      <c r="A28" s="68"/>
      <c r="B28" s="126" t="s">
        <v>101</v>
      </c>
      <c r="C28" s="127" t="s">
        <v>49</v>
      </c>
      <c r="D28" s="128">
        <f>D26*D27</f>
        <v>2897.8343999999993</v>
      </c>
      <c r="E28" s="52"/>
      <c r="F28" s="19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21.75" customHeight="1" x14ac:dyDescent="0.6">
      <c r="A29" s="68"/>
      <c r="B29" s="50"/>
      <c r="C29" s="50"/>
      <c r="D29" s="51"/>
      <c r="E29" s="52"/>
      <c r="F29" s="19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21.75" customHeight="1" x14ac:dyDescent="0.6">
      <c r="A30" s="45" t="s">
        <v>102</v>
      </c>
      <c r="B30" s="46"/>
      <c r="C30" s="46"/>
      <c r="D30" s="47"/>
      <c r="E30" s="48"/>
      <c r="F30" s="49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21.75" customHeight="1" x14ac:dyDescent="0.6">
      <c r="A31" s="68"/>
      <c r="B31" s="50"/>
      <c r="C31" s="50"/>
      <c r="D31" s="51"/>
      <c r="E31" s="52"/>
      <c r="F31" s="19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21.75" customHeight="1" x14ac:dyDescent="0.6">
      <c r="A32" s="68"/>
      <c r="B32" s="132" t="s">
        <v>5</v>
      </c>
      <c r="C32" s="133" t="s">
        <v>6</v>
      </c>
      <c r="D32" s="134" t="s">
        <v>7</v>
      </c>
      <c r="E32" s="52"/>
      <c r="F32" s="19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21.75" customHeight="1" x14ac:dyDescent="0.6">
      <c r="A33" s="68"/>
      <c r="B33" s="27" t="s">
        <v>103</v>
      </c>
      <c r="C33" s="28" t="s">
        <v>49</v>
      </c>
      <c r="D33" s="30">
        <f>0.9*2.4</f>
        <v>2.16</v>
      </c>
      <c r="E33" s="52"/>
      <c r="F33" s="19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21.75" customHeight="1" x14ac:dyDescent="0.6">
      <c r="A34" s="68"/>
      <c r="B34" s="27" t="s">
        <v>104</v>
      </c>
      <c r="C34" s="28" t="s">
        <v>24</v>
      </c>
      <c r="D34" s="30">
        <v>1</v>
      </c>
      <c r="E34" s="52"/>
      <c r="F34" s="19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21.75" customHeight="1" x14ac:dyDescent="0.6">
      <c r="A35" s="68"/>
      <c r="B35" s="27" t="s">
        <v>105</v>
      </c>
      <c r="C35" s="28" t="s">
        <v>24</v>
      </c>
      <c r="D35" s="30">
        <f>D34*OBRA!D13</f>
        <v>7</v>
      </c>
      <c r="E35" s="52"/>
      <c r="F35" s="19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21.75" customHeight="1" x14ac:dyDescent="0.6">
      <c r="A36" s="68"/>
      <c r="B36" s="135" t="s">
        <v>102</v>
      </c>
      <c r="C36" s="136" t="s">
        <v>49</v>
      </c>
      <c r="D36" s="137">
        <f>D33*D35</f>
        <v>15.120000000000001</v>
      </c>
      <c r="E36" s="52"/>
      <c r="F36" s="19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21.75" customHeight="1" x14ac:dyDescent="0.6">
      <c r="A37" s="68"/>
      <c r="B37" s="50"/>
      <c r="C37" s="50"/>
      <c r="D37" s="51"/>
      <c r="E37" s="52"/>
      <c r="F37" s="19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21.75" customHeight="1" x14ac:dyDescent="0.6">
      <c r="A38" s="45" t="s">
        <v>106</v>
      </c>
      <c r="B38" s="46"/>
      <c r="C38" s="46"/>
      <c r="D38" s="47"/>
      <c r="E38" s="48"/>
      <c r="F38" s="4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21.75" customHeight="1" x14ac:dyDescent="0.6">
      <c r="A39" s="68"/>
      <c r="B39" s="50"/>
      <c r="C39" s="50"/>
      <c r="D39" s="51"/>
      <c r="E39" s="52"/>
      <c r="F39" s="19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21.75" customHeight="1" x14ac:dyDescent="0.6">
      <c r="A40" s="68"/>
      <c r="B40" s="21" t="s">
        <v>5</v>
      </c>
      <c r="C40" s="22" t="s">
        <v>6</v>
      </c>
      <c r="D40" s="23" t="s">
        <v>7</v>
      </c>
      <c r="E40" s="52"/>
      <c r="F40" s="19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21.75" customHeight="1" x14ac:dyDescent="0.6">
      <c r="A41" s="68"/>
      <c r="B41" s="24" t="s">
        <v>107</v>
      </c>
      <c r="C41" s="25" t="s">
        <v>43</v>
      </c>
      <c r="D41" s="26">
        <f>20+34</f>
        <v>54</v>
      </c>
      <c r="E41" s="52"/>
      <c r="F41" s="19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21.75" customHeight="1" x14ac:dyDescent="0.6">
      <c r="A42" s="68"/>
      <c r="B42" s="54" t="s">
        <v>108</v>
      </c>
      <c r="C42" s="55" t="s">
        <v>43</v>
      </c>
      <c r="D42" s="125">
        <v>2.4</v>
      </c>
      <c r="E42" s="52"/>
      <c r="F42" s="19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21.75" customHeight="1" x14ac:dyDescent="0.6">
      <c r="A43" s="68"/>
      <c r="B43" s="126" t="s">
        <v>109</v>
      </c>
      <c r="C43" s="127" t="s">
        <v>49</v>
      </c>
      <c r="D43" s="128">
        <f>D42*D41</f>
        <v>129.6</v>
      </c>
      <c r="E43" s="52"/>
      <c r="F43" s="19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21.75" customHeight="1" x14ac:dyDescent="0.6">
      <c r="A44" s="68"/>
      <c r="B44" s="50"/>
      <c r="C44" s="50"/>
      <c r="D44" s="51"/>
      <c r="E44" s="52"/>
      <c r="F44" s="19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21.75" customHeight="1" x14ac:dyDescent="0.6">
      <c r="A45" s="34"/>
      <c r="B45" s="35"/>
      <c r="C45" s="35"/>
      <c r="D45" s="36"/>
      <c r="E45" s="138"/>
      <c r="F45" s="37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21.75" customHeight="1" x14ac:dyDescent="0.6">
      <c r="A46" s="139"/>
      <c r="B46" s="140"/>
      <c r="C46" s="140"/>
      <c r="D46" s="141"/>
      <c r="E46" s="142"/>
      <c r="F46" s="139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21.75" customHeight="1" x14ac:dyDescent="0.6">
      <c r="A47" s="139"/>
      <c r="B47" s="140"/>
      <c r="C47" s="140"/>
      <c r="D47" s="141"/>
      <c r="E47" s="142"/>
      <c r="F47" s="139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21.75" customHeight="1" x14ac:dyDescent="0.6">
      <c r="A48" s="38"/>
      <c r="B48" s="39"/>
      <c r="C48" s="39"/>
      <c r="D48" s="40"/>
      <c r="E48" s="143"/>
      <c r="F48" s="38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21.75" customHeight="1" x14ac:dyDescent="0.6">
      <c r="A49" s="38"/>
      <c r="B49" s="39"/>
      <c r="C49" s="39"/>
      <c r="D49" s="40"/>
      <c r="E49" s="143"/>
      <c r="F49" s="38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21.75" customHeight="1" x14ac:dyDescent="0.6">
      <c r="A50" s="38"/>
      <c r="B50" s="39"/>
      <c r="C50" s="39"/>
      <c r="D50" s="40"/>
      <c r="E50" s="143"/>
      <c r="F50" s="38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21.75" customHeight="1" x14ac:dyDescent="0.6">
      <c r="A51" s="38"/>
      <c r="B51" s="39"/>
      <c r="C51" s="39"/>
      <c r="D51" s="40"/>
      <c r="E51" s="143"/>
      <c r="F51" s="38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21.75" customHeight="1" x14ac:dyDescent="0.6">
      <c r="A52" s="38"/>
      <c r="B52" s="39"/>
      <c r="C52" s="39"/>
      <c r="D52" s="40"/>
      <c r="E52" s="143"/>
      <c r="F52" s="38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21.75" customHeight="1" x14ac:dyDescent="0.6">
      <c r="A53" s="38"/>
      <c r="B53" s="39"/>
      <c r="C53" s="39"/>
      <c r="D53" s="40"/>
      <c r="E53" s="143"/>
      <c r="F53" s="38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21.75" customHeight="1" x14ac:dyDescent="0.6">
      <c r="A54" s="38"/>
      <c r="B54" s="39"/>
      <c r="C54" s="39"/>
      <c r="D54" s="40"/>
      <c r="E54" s="143"/>
      <c r="F54" s="38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21.75" customHeight="1" x14ac:dyDescent="0.6">
      <c r="A55" s="38"/>
      <c r="B55" s="39"/>
      <c r="C55" s="39"/>
      <c r="D55" s="40"/>
      <c r="E55" s="143"/>
      <c r="F55" s="38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21.75" customHeight="1" x14ac:dyDescent="0.6">
      <c r="A56" s="38"/>
      <c r="B56" s="39"/>
      <c r="C56" s="39"/>
      <c r="D56" s="40"/>
      <c r="E56" s="143"/>
      <c r="F56" s="38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21.75" customHeight="1" x14ac:dyDescent="0.6">
      <c r="A57" s="38"/>
      <c r="B57" s="39"/>
      <c r="C57" s="39"/>
      <c r="D57" s="40"/>
      <c r="E57" s="143"/>
      <c r="F57" s="38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21.75" customHeight="1" x14ac:dyDescent="0.6">
      <c r="A58" s="38"/>
      <c r="B58" s="39"/>
      <c r="C58" s="39"/>
      <c r="D58" s="40"/>
      <c r="E58" s="143"/>
      <c r="F58" s="38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21.75" customHeight="1" x14ac:dyDescent="0.6">
      <c r="A59" s="38"/>
      <c r="B59" s="39"/>
      <c r="C59" s="39"/>
      <c r="D59" s="40"/>
      <c r="E59" s="143"/>
      <c r="F59" s="38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21.75" customHeight="1" x14ac:dyDescent="0.6">
      <c r="A60" s="38"/>
      <c r="B60" s="39"/>
      <c r="C60" s="39"/>
      <c r="D60" s="40"/>
      <c r="E60" s="143"/>
      <c r="F60" s="38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21.75" customHeight="1" x14ac:dyDescent="0.6">
      <c r="A61" s="38"/>
      <c r="B61" s="39"/>
      <c r="C61" s="39"/>
      <c r="D61" s="40"/>
      <c r="E61" s="143"/>
      <c r="F61" s="38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21.75" customHeight="1" x14ac:dyDescent="0.6">
      <c r="A62" s="38"/>
      <c r="B62" s="39"/>
      <c r="C62" s="39"/>
      <c r="D62" s="40"/>
      <c r="E62" s="143"/>
      <c r="F62" s="38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21.75" customHeight="1" x14ac:dyDescent="0.6">
      <c r="A63" s="38"/>
      <c r="B63" s="39"/>
      <c r="C63" s="39"/>
      <c r="D63" s="40"/>
      <c r="E63" s="143"/>
      <c r="F63" s="38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21.75" customHeight="1" x14ac:dyDescent="0.6">
      <c r="A64" s="38"/>
      <c r="B64" s="39"/>
      <c r="C64" s="39"/>
      <c r="D64" s="40"/>
      <c r="E64" s="143"/>
      <c r="F64" s="38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21.75" customHeight="1" x14ac:dyDescent="0.6">
      <c r="A65" s="38"/>
      <c r="B65" s="39"/>
      <c r="C65" s="39"/>
      <c r="D65" s="40"/>
      <c r="E65" s="143"/>
      <c r="F65" s="38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21.75" customHeight="1" x14ac:dyDescent="0.6">
      <c r="A66" s="38"/>
      <c r="B66" s="39"/>
      <c r="C66" s="39"/>
      <c r="D66" s="40"/>
      <c r="E66" s="143"/>
      <c r="F66" s="38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21.75" customHeight="1" x14ac:dyDescent="0.6">
      <c r="A67" s="38"/>
      <c r="B67" s="39"/>
      <c r="C67" s="39"/>
      <c r="D67" s="40"/>
      <c r="E67" s="143"/>
      <c r="F67" s="38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21.75" customHeight="1" x14ac:dyDescent="0.6">
      <c r="A68" s="38"/>
      <c r="B68" s="39"/>
      <c r="C68" s="39"/>
      <c r="D68" s="40"/>
      <c r="E68" s="143"/>
      <c r="F68" s="38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21.75" customHeight="1" x14ac:dyDescent="0.6">
      <c r="A69" s="38"/>
      <c r="B69" s="39"/>
      <c r="C69" s="39"/>
      <c r="D69" s="40"/>
      <c r="E69" s="143"/>
      <c r="F69" s="38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21.75" customHeight="1" x14ac:dyDescent="0.6">
      <c r="A70" s="38"/>
      <c r="B70" s="39"/>
      <c r="C70" s="39"/>
      <c r="D70" s="40"/>
      <c r="E70" s="143"/>
      <c r="F70" s="38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21.75" customHeight="1" x14ac:dyDescent="0.6">
      <c r="A71" s="38"/>
      <c r="B71" s="39"/>
      <c r="C71" s="39"/>
      <c r="D71" s="40"/>
      <c r="E71" s="143"/>
      <c r="F71" s="38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21.75" customHeight="1" x14ac:dyDescent="0.6">
      <c r="A72" s="38"/>
      <c r="B72" s="39"/>
      <c r="C72" s="39"/>
      <c r="D72" s="40"/>
      <c r="E72" s="143"/>
      <c r="F72" s="38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21.75" customHeight="1" x14ac:dyDescent="0.6">
      <c r="A73" s="38"/>
      <c r="B73" s="39"/>
      <c r="C73" s="39"/>
      <c r="D73" s="40"/>
      <c r="E73" s="143"/>
      <c r="F73" s="38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21.75" customHeight="1" x14ac:dyDescent="0.6">
      <c r="A74" s="38"/>
      <c r="B74" s="39"/>
      <c r="C74" s="39"/>
      <c r="D74" s="40"/>
      <c r="E74" s="143"/>
      <c r="F74" s="38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21.75" customHeight="1" x14ac:dyDescent="0.6">
      <c r="A75" s="38"/>
      <c r="B75" s="39"/>
      <c r="C75" s="39"/>
      <c r="D75" s="40"/>
      <c r="E75" s="143"/>
      <c r="F75" s="38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21.75" customHeight="1" x14ac:dyDescent="0.6">
      <c r="A76" s="38"/>
      <c r="B76" s="39"/>
      <c r="C76" s="39"/>
      <c r="D76" s="40"/>
      <c r="E76" s="143"/>
      <c r="F76" s="38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21.75" customHeight="1" x14ac:dyDescent="0.6">
      <c r="A77" s="38"/>
      <c r="B77" s="39"/>
      <c r="C77" s="39"/>
      <c r="D77" s="40"/>
      <c r="E77" s="143"/>
      <c r="F77" s="38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21.75" customHeight="1" x14ac:dyDescent="0.6">
      <c r="A78" s="38"/>
      <c r="B78" s="39"/>
      <c r="C78" s="39"/>
      <c r="D78" s="40"/>
      <c r="E78" s="143"/>
      <c r="F78" s="38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21.75" customHeight="1" x14ac:dyDescent="0.6">
      <c r="A79" s="38"/>
      <c r="B79" s="39"/>
      <c r="C79" s="39"/>
      <c r="D79" s="40"/>
      <c r="E79" s="143"/>
      <c r="F79" s="38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21.75" customHeight="1" x14ac:dyDescent="0.6">
      <c r="A80" s="38"/>
      <c r="B80" s="39"/>
      <c r="C80" s="39"/>
      <c r="D80" s="40"/>
      <c r="E80" s="143"/>
      <c r="F80" s="38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21.75" customHeight="1" x14ac:dyDescent="0.6">
      <c r="A81" s="38"/>
      <c r="B81" s="39"/>
      <c r="C81" s="39"/>
      <c r="D81" s="40"/>
      <c r="E81" s="143"/>
      <c r="F81" s="38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21.75" customHeight="1" x14ac:dyDescent="0.6">
      <c r="A82" s="38"/>
      <c r="B82" s="39"/>
      <c r="C82" s="39"/>
      <c r="D82" s="40"/>
      <c r="E82" s="143"/>
      <c r="F82" s="38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21.75" customHeight="1" x14ac:dyDescent="0.6">
      <c r="A83" s="38"/>
      <c r="B83" s="39"/>
      <c r="C83" s="39"/>
      <c r="D83" s="40"/>
      <c r="E83" s="143"/>
      <c r="F83" s="38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21.75" customHeight="1" x14ac:dyDescent="0.6">
      <c r="A84" s="38"/>
      <c r="B84" s="39"/>
      <c r="C84" s="39"/>
      <c r="D84" s="40"/>
      <c r="E84" s="143"/>
      <c r="F84" s="38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21.75" customHeight="1" x14ac:dyDescent="0.6">
      <c r="A85" s="38"/>
      <c r="B85" s="39"/>
      <c r="C85" s="39"/>
      <c r="D85" s="40"/>
      <c r="E85" s="143"/>
      <c r="F85" s="38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21.75" customHeight="1" x14ac:dyDescent="0.6">
      <c r="A86" s="38"/>
      <c r="B86" s="39"/>
      <c r="C86" s="39"/>
      <c r="D86" s="40"/>
      <c r="E86" s="143"/>
      <c r="F86" s="38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21.75" customHeight="1" x14ac:dyDescent="0.6">
      <c r="A87" s="38"/>
      <c r="B87" s="39"/>
      <c r="C87" s="39"/>
      <c r="D87" s="40"/>
      <c r="E87" s="143"/>
      <c r="F87" s="38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21.75" customHeight="1" x14ac:dyDescent="0.6">
      <c r="A88" s="38"/>
      <c r="B88" s="39"/>
      <c r="C88" s="39"/>
      <c r="D88" s="40"/>
      <c r="E88" s="143"/>
      <c r="F88" s="38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21.75" customHeight="1" x14ac:dyDescent="0.6">
      <c r="A89" s="38"/>
      <c r="B89" s="39"/>
      <c r="C89" s="39"/>
      <c r="D89" s="40"/>
      <c r="E89" s="143"/>
      <c r="F89" s="38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21.75" customHeight="1" x14ac:dyDescent="0.6">
      <c r="A90" s="38"/>
      <c r="B90" s="39"/>
      <c r="C90" s="39"/>
      <c r="D90" s="40"/>
      <c r="E90" s="143"/>
      <c r="F90" s="38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21.75" customHeight="1" x14ac:dyDescent="0.6">
      <c r="A91" s="38"/>
      <c r="B91" s="39"/>
      <c r="C91" s="39"/>
      <c r="D91" s="40"/>
      <c r="E91" s="143"/>
      <c r="F91" s="38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21.75" customHeight="1" x14ac:dyDescent="0.6">
      <c r="A92" s="38"/>
      <c r="B92" s="39"/>
      <c r="C92" s="39"/>
      <c r="D92" s="40"/>
      <c r="E92" s="143"/>
      <c r="F92" s="38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21.75" customHeight="1" x14ac:dyDescent="0.6">
      <c r="A93" s="38"/>
      <c r="B93" s="39"/>
      <c r="C93" s="39"/>
      <c r="D93" s="40"/>
      <c r="E93" s="143"/>
      <c r="F93" s="38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21.75" customHeight="1" x14ac:dyDescent="0.6">
      <c r="A94" s="38"/>
      <c r="B94" s="39"/>
      <c r="C94" s="39"/>
      <c r="D94" s="40"/>
      <c r="E94" s="143"/>
      <c r="F94" s="38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21.75" customHeight="1" x14ac:dyDescent="0.6">
      <c r="A95" s="38"/>
      <c r="B95" s="39"/>
      <c r="C95" s="39"/>
      <c r="D95" s="40"/>
      <c r="E95" s="143"/>
      <c r="F95" s="38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21.75" customHeight="1" x14ac:dyDescent="0.6">
      <c r="A96" s="38"/>
      <c r="B96" s="39"/>
      <c r="C96" s="39"/>
      <c r="D96" s="40"/>
      <c r="E96" s="143"/>
      <c r="F96" s="38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21.75" customHeight="1" x14ac:dyDescent="0.6">
      <c r="A97" s="38"/>
      <c r="B97" s="39"/>
      <c r="C97" s="39"/>
      <c r="D97" s="40"/>
      <c r="E97" s="143"/>
      <c r="F97" s="38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21.75" customHeight="1" x14ac:dyDescent="0.6">
      <c r="A98" s="38"/>
      <c r="B98" s="39"/>
      <c r="C98" s="39"/>
      <c r="D98" s="40"/>
      <c r="E98" s="143"/>
      <c r="F98" s="38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21.75" customHeight="1" x14ac:dyDescent="0.6">
      <c r="A99" s="38"/>
      <c r="B99" s="39"/>
      <c r="C99" s="39"/>
      <c r="D99" s="40"/>
      <c r="E99" s="143"/>
      <c r="F99" s="38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21.75" customHeight="1" x14ac:dyDescent="0.6">
      <c r="A100" s="38"/>
      <c r="B100" s="39"/>
      <c r="C100" s="39"/>
      <c r="D100" s="40"/>
      <c r="E100" s="143"/>
      <c r="F100" s="38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21.75" customHeight="1" x14ac:dyDescent="0.6">
      <c r="A101" s="38"/>
      <c r="B101" s="39"/>
      <c r="C101" s="39"/>
      <c r="D101" s="40"/>
      <c r="E101" s="143"/>
      <c r="F101" s="38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21.75" customHeight="1" x14ac:dyDescent="0.6">
      <c r="A102" s="38"/>
      <c r="B102" s="39"/>
      <c r="C102" s="39"/>
      <c r="D102" s="40"/>
      <c r="E102" s="143"/>
      <c r="F102" s="38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21.75" customHeight="1" x14ac:dyDescent="0.6">
      <c r="A103" s="38"/>
      <c r="B103" s="39"/>
      <c r="C103" s="39"/>
      <c r="D103" s="40"/>
      <c r="E103" s="143"/>
      <c r="F103" s="38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21.75" customHeight="1" x14ac:dyDescent="0.6">
      <c r="A104" s="38"/>
      <c r="B104" s="39"/>
      <c r="C104" s="39"/>
      <c r="D104" s="40"/>
      <c r="E104" s="143"/>
      <c r="F104" s="38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21.75" customHeight="1" x14ac:dyDescent="0.6">
      <c r="A105" s="38"/>
      <c r="B105" s="39"/>
      <c r="C105" s="39"/>
      <c r="D105" s="40"/>
      <c r="E105" s="143"/>
      <c r="F105" s="38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21.75" customHeight="1" x14ac:dyDescent="0.6">
      <c r="A106" s="38"/>
      <c r="B106" s="39"/>
      <c r="C106" s="39"/>
      <c r="D106" s="40"/>
      <c r="E106" s="143"/>
      <c r="F106" s="38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21.75" customHeight="1" x14ac:dyDescent="0.6">
      <c r="A107" s="38"/>
      <c r="B107" s="39"/>
      <c r="C107" s="39"/>
      <c r="D107" s="40"/>
      <c r="E107" s="143"/>
      <c r="F107" s="38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21.75" customHeight="1" x14ac:dyDescent="0.6">
      <c r="A108" s="38"/>
      <c r="B108" s="39"/>
      <c r="C108" s="39"/>
      <c r="D108" s="40"/>
      <c r="E108" s="143"/>
      <c r="F108" s="38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21.75" customHeight="1" x14ac:dyDescent="0.6">
      <c r="A109" s="38"/>
      <c r="B109" s="39"/>
      <c r="C109" s="39"/>
      <c r="D109" s="40"/>
      <c r="E109" s="143"/>
      <c r="F109" s="38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21.75" customHeight="1" x14ac:dyDescent="0.6">
      <c r="A110" s="38"/>
      <c r="B110" s="39"/>
      <c r="C110" s="39"/>
      <c r="D110" s="40"/>
      <c r="E110" s="143"/>
      <c r="F110" s="38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21.75" customHeight="1" x14ac:dyDescent="0.6">
      <c r="A111" s="38"/>
      <c r="B111" s="39"/>
      <c r="C111" s="39"/>
      <c r="D111" s="40"/>
      <c r="E111" s="143"/>
      <c r="F111" s="38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21.75" customHeight="1" x14ac:dyDescent="0.6">
      <c r="A112" s="38"/>
      <c r="B112" s="39"/>
      <c r="C112" s="39"/>
      <c r="D112" s="40"/>
      <c r="E112" s="143"/>
      <c r="F112" s="38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21.75" customHeight="1" x14ac:dyDescent="0.6">
      <c r="A113" s="38"/>
      <c r="B113" s="39"/>
      <c r="C113" s="39"/>
      <c r="D113" s="40"/>
      <c r="E113" s="143"/>
      <c r="F113" s="38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21.75" customHeight="1" x14ac:dyDescent="0.6">
      <c r="A114" s="38"/>
      <c r="B114" s="39"/>
      <c r="C114" s="39"/>
      <c r="D114" s="40"/>
      <c r="E114" s="143"/>
      <c r="F114" s="38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21.75" customHeight="1" x14ac:dyDescent="0.6">
      <c r="A115" s="38"/>
      <c r="B115" s="39"/>
      <c r="C115" s="39"/>
      <c r="D115" s="40"/>
      <c r="E115" s="143"/>
      <c r="F115" s="38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21.75" customHeight="1" x14ac:dyDescent="0.6">
      <c r="A116" s="38"/>
      <c r="B116" s="39"/>
      <c r="C116" s="39"/>
      <c r="D116" s="40"/>
      <c r="E116" s="143"/>
      <c r="F116" s="38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21.75" customHeight="1" x14ac:dyDescent="0.6">
      <c r="A117" s="38"/>
      <c r="B117" s="39"/>
      <c r="C117" s="39"/>
      <c r="D117" s="40"/>
      <c r="E117" s="143"/>
      <c r="F117" s="38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21.75" customHeight="1" x14ac:dyDescent="0.6">
      <c r="A118" s="38"/>
      <c r="B118" s="39"/>
      <c r="C118" s="39"/>
      <c r="D118" s="40"/>
      <c r="E118" s="143"/>
      <c r="F118" s="38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21.75" customHeight="1" x14ac:dyDescent="0.6">
      <c r="A119" s="38"/>
      <c r="B119" s="39"/>
      <c r="C119" s="39"/>
      <c r="D119" s="40"/>
      <c r="E119" s="143"/>
      <c r="F119" s="38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21.75" customHeight="1" x14ac:dyDescent="0.6">
      <c r="A120" s="38"/>
      <c r="B120" s="39"/>
      <c r="C120" s="39"/>
      <c r="D120" s="40"/>
      <c r="E120" s="143"/>
      <c r="F120" s="38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21.75" customHeight="1" x14ac:dyDescent="0.6">
      <c r="A121" s="38"/>
      <c r="B121" s="39"/>
      <c r="C121" s="39"/>
      <c r="D121" s="40"/>
      <c r="E121" s="143"/>
      <c r="F121" s="38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21.75" customHeight="1" x14ac:dyDescent="0.6">
      <c r="A122" s="38"/>
      <c r="B122" s="39"/>
      <c r="C122" s="39"/>
      <c r="D122" s="40"/>
      <c r="E122" s="143"/>
      <c r="F122" s="38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21.75" customHeight="1" x14ac:dyDescent="0.6">
      <c r="A123" s="38"/>
      <c r="B123" s="39"/>
      <c r="C123" s="39"/>
      <c r="D123" s="40"/>
      <c r="E123" s="143"/>
      <c r="F123" s="38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21.75" customHeight="1" x14ac:dyDescent="0.6">
      <c r="A124" s="38"/>
      <c r="B124" s="39"/>
      <c r="C124" s="39"/>
      <c r="D124" s="40"/>
      <c r="E124" s="143"/>
      <c r="F124" s="38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21.75" customHeight="1" x14ac:dyDescent="0.6">
      <c r="A125" s="38"/>
      <c r="B125" s="39"/>
      <c r="C125" s="39"/>
      <c r="D125" s="40"/>
      <c r="E125" s="143"/>
      <c r="F125" s="38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21.75" customHeight="1" x14ac:dyDescent="0.6">
      <c r="A126" s="38"/>
      <c r="B126" s="39"/>
      <c r="C126" s="39"/>
      <c r="D126" s="40"/>
      <c r="E126" s="143"/>
      <c r="F126" s="38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21.75" customHeight="1" x14ac:dyDescent="0.6">
      <c r="A127" s="38"/>
      <c r="B127" s="39"/>
      <c r="C127" s="39"/>
      <c r="D127" s="40"/>
      <c r="E127" s="143"/>
      <c r="F127" s="38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21.75" customHeight="1" x14ac:dyDescent="0.6">
      <c r="A128" s="38"/>
      <c r="B128" s="39"/>
      <c r="C128" s="39"/>
      <c r="D128" s="40"/>
      <c r="E128" s="143"/>
      <c r="F128" s="38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21.75" customHeight="1" x14ac:dyDescent="0.6">
      <c r="A129" s="38"/>
      <c r="B129" s="39"/>
      <c r="C129" s="39"/>
      <c r="D129" s="40"/>
      <c r="E129" s="143"/>
      <c r="F129" s="38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21.75" customHeight="1" x14ac:dyDescent="0.6">
      <c r="A130" s="38"/>
      <c r="B130" s="39"/>
      <c r="C130" s="39"/>
      <c r="D130" s="40"/>
      <c r="E130" s="143"/>
      <c r="F130" s="38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21.75" customHeight="1" x14ac:dyDescent="0.6">
      <c r="A131" s="38"/>
      <c r="B131" s="39"/>
      <c r="C131" s="39"/>
      <c r="D131" s="40"/>
      <c r="E131" s="143"/>
      <c r="F131" s="38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21.75" customHeight="1" x14ac:dyDescent="0.6">
      <c r="A132" s="38"/>
      <c r="B132" s="39"/>
      <c r="C132" s="39"/>
      <c r="D132" s="40"/>
      <c r="E132" s="143"/>
      <c r="F132" s="38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21.75" customHeight="1" x14ac:dyDescent="0.6">
      <c r="A133" s="38"/>
      <c r="B133" s="39"/>
      <c r="C133" s="39"/>
      <c r="D133" s="40"/>
      <c r="E133" s="143"/>
      <c r="F133" s="38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21.75" customHeight="1" x14ac:dyDescent="0.6">
      <c r="A134" s="38"/>
      <c r="B134" s="39"/>
      <c r="C134" s="39"/>
      <c r="D134" s="40"/>
      <c r="E134" s="143"/>
      <c r="F134" s="38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21.75" customHeight="1" x14ac:dyDescent="0.6">
      <c r="A135" s="38"/>
      <c r="B135" s="39"/>
      <c r="C135" s="39"/>
      <c r="D135" s="40"/>
      <c r="E135" s="143"/>
      <c r="F135" s="38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21.75" customHeight="1" x14ac:dyDescent="0.6">
      <c r="A136" s="38"/>
      <c r="B136" s="39"/>
      <c r="C136" s="39"/>
      <c r="D136" s="40"/>
      <c r="E136" s="143"/>
      <c r="F136" s="38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21.75" customHeight="1" x14ac:dyDescent="0.6">
      <c r="A137" s="38"/>
      <c r="B137" s="39"/>
      <c r="C137" s="39"/>
      <c r="D137" s="40"/>
      <c r="E137" s="143"/>
      <c r="F137" s="38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21.75" customHeight="1" x14ac:dyDescent="0.6">
      <c r="A138" s="38"/>
      <c r="B138" s="39"/>
      <c r="C138" s="39"/>
      <c r="D138" s="40"/>
      <c r="E138" s="143"/>
      <c r="F138" s="38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21.75" customHeight="1" x14ac:dyDescent="0.6">
      <c r="A139" s="38"/>
      <c r="B139" s="39"/>
      <c r="C139" s="39"/>
      <c r="D139" s="40"/>
      <c r="E139" s="143"/>
      <c r="F139" s="38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21.75" customHeight="1" x14ac:dyDescent="0.6">
      <c r="A140" s="38"/>
      <c r="B140" s="39"/>
      <c r="C140" s="39"/>
      <c r="D140" s="40"/>
      <c r="E140" s="143"/>
      <c r="F140" s="38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21.75" customHeight="1" x14ac:dyDescent="0.6">
      <c r="A141" s="38"/>
      <c r="B141" s="39"/>
      <c r="C141" s="39"/>
      <c r="D141" s="40"/>
      <c r="E141" s="143"/>
      <c r="F141" s="38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21.75" customHeight="1" x14ac:dyDescent="0.6">
      <c r="A142" s="38"/>
      <c r="B142" s="39"/>
      <c r="C142" s="39"/>
      <c r="D142" s="40"/>
      <c r="E142" s="143"/>
      <c r="F142" s="38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21.75" customHeight="1" x14ac:dyDescent="0.6">
      <c r="A143" s="38"/>
      <c r="B143" s="39"/>
      <c r="C143" s="39"/>
      <c r="D143" s="40"/>
      <c r="E143" s="143"/>
      <c r="F143" s="38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21.75" customHeight="1" x14ac:dyDescent="0.6">
      <c r="A144" s="38"/>
      <c r="B144" s="39"/>
      <c r="C144" s="39"/>
      <c r="D144" s="40"/>
      <c r="E144" s="143"/>
      <c r="F144" s="38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21.75" customHeight="1" x14ac:dyDescent="0.6">
      <c r="A145" s="38"/>
      <c r="B145" s="39"/>
      <c r="C145" s="39"/>
      <c r="D145" s="40"/>
      <c r="E145" s="143"/>
      <c r="F145" s="38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21.75" customHeight="1" x14ac:dyDescent="0.6">
      <c r="A146" s="38"/>
      <c r="B146" s="39"/>
      <c r="C146" s="39"/>
      <c r="D146" s="40"/>
      <c r="E146" s="143"/>
      <c r="F146" s="38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21.75" customHeight="1" x14ac:dyDescent="0.6">
      <c r="A147" s="38"/>
      <c r="B147" s="39"/>
      <c r="C147" s="39"/>
      <c r="D147" s="40"/>
      <c r="E147" s="143"/>
      <c r="F147" s="38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21.75" customHeight="1" x14ac:dyDescent="0.6">
      <c r="A148" s="38"/>
      <c r="B148" s="39"/>
      <c r="C148" s="39"/>
      <c r="D148" s="40"/>
      <c r="E148" s="143"/>
      <c r="F148" s="38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21.75" customHeight="1" x14ac:dyDescent="0.6">
      <c r="A149" s="38"/>
      <c r="B149" s="39"/>
      <c r="C149" s="39"/>
      <c r="D149" s="40"/>
      <c r="E149" s="143"/>
      <c r="F149" s="38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21.75" customHeight="1" x14ac:dyDescent="0.6">
      <c r="A150" s="38"/>
      <c r="B150" s="39"/>
      <c r="C150" s="39"/>
      <c r="D150" s="40"/>
      <c r="E150" s="143"/>
      <c r="F150" s="38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21.75" customHeight="1" x14ac:dyDescent="0.6">
      <c r="A151" s="38"/>
      <c r="B151" s="39"/>
      <c r="C151" s="39"/>
      <c r="D151" s="40"/>
      <c r="E151" s="143"/>
      <c r="F151" s="38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21.75" customHeight="1" x14ac:dyDescent="0.6">
      <c r="A152" s="38"/>
      <c r="B152" s="39"/>
      <c r="C152" s="39"/>
      <c r="D152" s="40"/>
      <c r="E152" s="143"/>
      <c r="F152" s="38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21.75" customHeight="1" x14ac:dyDescent="0.6">
      <c r="A153" s="38"/>
      <c r="B153" s="39"/>
      <c r="C153" s="39"/>
      <c r="D153" s="40"/>
      <c r="E153" s="143"/>
      <c r="F153" s="38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21.75" customHeight="1" x14ac:dyDescent="0.6">
      <c r="A154" s="38"/>
      <c r="B154" s="39"/>
      <c r="C154" s="39"/>
      <c r="D154" s="40"/>
      <c r="E154" s="143"/>
      <c r="F154" s="38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21.75" customHeight="1" x14ac:dyDescent="0.6">
      <c r="A155" s="38"/>
      <c r="B155" s="39"/>
      <c r="C155" s="39"/>
      <c r="D155" s="40"/>
      <c r="E155" s="143"/>
      <c r="F155" s="38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21.75" customHeight="1" x14ac:dyDescent="0.6">
      <c r="A156" s="38"/>
      <c r="B156" s="39"/>
      <c r="C156" s="39"/>
      <c r="D156" s="40"/>
      <c r="E156" s="143"/>
      <c r="F156" s="38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21.75" customHeight="1" x14ac:dyDescent="0.6">
      <c r="A157" s="38"/>
      <c r="B157" s="39"/>
      <c r="C157" s="39"/>
      <c r="D157" s="40"/>
      <c r="E157" s="143"/>
      <c r="F157" s="38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21.75" customHeight="1" x14ac:dyDescent="0.6">
      <c r="A158" s="38"/>
      <c r="B158" s="39"/>
      <c r="C158" s="39"/>
      <c r="D158" s="40"/>
      <c r="E158" s="143"/>
      <c r="F158" s="38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21.75" customHeight="1" x14ac:dyDescent="0.6">
      <c r="A159" s="38"/>
      <c r="B159" s="39"/>
      <c r="C159" s="39"/>
      <c r="D159" s="40"/>
      <c r="E159" s="143"/>
      <c r="F159" s="38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21.75" customHeight="1" x14ac:dyDescent="0.6">
      <c r="A160" s="38"/>
      <c r="B160" s="39"/>
      <c r="C160" s="39"/>
      <c r="D160" s="40"/>
      <c r="E160" s="143"/>
      <c r="F160" s="38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21.75" customHeight="1" x14ac:dyDescent="0.6">
      <c r="A161" s="38"/>
      <c r="B161" s="39"/>
      <c r="C161" s="39"/>
      <c r="D161" s="40"/>
      <c r="E161" s="143"/>
      <c r="F161" s="38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21.75" customHeight="1" x14ac:dyDescent="0.6">
      <c r="A162" s="38"/>
      <c r="B162" s="39"/>
      <c r="C162" s="39"/>
      <c r="D162" s="40"/>
      <c r="E162" s="143"/>
      <c r="F162" s="38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21.75" customHeight="1" x14ac:dyDescent="0.6">
      <c r="A163" s="38"/>
      <c r="B163" s="39"/>
      <c r="C163" s="39"/>
      <c r="D163" s="40"/>
      <c r="E163" s="143"/>
      <c r="F163" s="38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21.75" customHeight="1" x14ac:dyDescent="0.6">
      <c r="A164" s="38"/>
      <c r="B164" s="39"/>
      <c r="C164" s="39"/>
      <c r="D164" s="40"/>
      <c r="E164" s="143"/>
      <c r="F164" s="38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21.75" customHeight="1" x14ac:dyDescent="0.6">
      <c r="A165" s="38"/>
      <c r="B165" s="39"/>
      <c r="C165" s="39"/>
      <c r="D165" s="40"/>
      <c r="E165" s="143"/>
      <c r="F165" s="38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21.75" customHeight="1" x14ac:dyDescent="0.6">
      <c r="A166" s="38"/>
      <c r="B166" s="39"/>
      <c r="C166" s="39"/>
      <c r="D166" s="40"/>
      <c r="E166" s="143"/>
      <c r="F166" s="38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21.75" customHeight="1" x14ac:dyDescent="0.6">
      <c r="A167" s="38"/>
      <c r="B167" s="39"/>
      <c r="C167" s="39"/>
      <c r="D167" s="40"/>
      <c r="E167" s="143"/>
      <c r="F167" s="38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21.75" customHeight="1" x14ac:dyDescent="0.6">
      <c r="A168" s="38"/>
      <c r="B168" s="39"/>
      <c r="C168" s="39"/>
      <c r="D168" s="40"/>
      <c r="E168" s="143"/>
      <c r="F168" s="38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21.75" customHeight="1" x14ac:dyDescent="0.6">
      <c r="A169" s="38"/>
      <c r="B169" s="39"/>
      <c r="C169" s="39"/>
      <c r="D169" s="40"/>
      <c r="E169" s="143"/>
      <c r="F169" s="38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21.75" customHeight="1" x14ac:dyDescent="0.6">
      <c r="A170" s="38"/>
      <c r="B170" s="39"/>
      <c r="C170" s="39"/>
      <c r="D170" s="40"/>
      <c r="E170" s="143"/>
      <c r="F170" s="38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21.75" customHeight="1" x14ac:dyDescent="0.6">
      <c r="A171" s="38"/>
      <c r="B171" s="39"/>
      <c r="C171" s="39"/>
      <c r="D171" s="40"/>
      <c r="E171" s="143"/>
      <c r="F171" s="38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21.75" customHeight="1" x14ac:dyDescent="0.6">
      <c r="A172" s="38"/>
      <c r="B172" s="39"/>
      <c r="C172" s="39"/>
      <c r="D172" s="40"/>
      <c r="E172" s="143"/>
      <c r="F172" s="38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21.75" customHeight="1" x14ac:dyDescent="0.6">
      <c r="A173" s="38"/>
      <c r="B173" s="39"/>
      <c r="C173" s="39"/>
      <c r="D173" s="40"/>
      <c r="E173" s="143"/>
      <c r="F173" s="38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21.75" customHeight="1" x14ac:dyDescent="0.6">
      <c r="A174" s="38"/>
      <c r="B174" s="39"/>
      <c r="C174" s="39"/>
      <c r="D174" s="40"/>
      <c r="E174" s="143"/>
      <c r="F174" s="38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21.75" customHeight="1" x14ac:dyDescent="0.6">
      <c r="A175" s="38"/>
      <c r="B175" s="39"/>
      <c r="C175" s="39"/>
      <c r="D175" s="40"/>
      <c r="E175" s="143"/>
      <c r="F175" s="38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21.75" customHeight="1" x14ac:dyDescent="0.6">
      <c r="A176" s="38"/>
      <c r="B176" s="39"/>
      <c r="C176" s="39"/>
      <c r="D176" s="40"/>
      <c r="E176" s="143"/>
      <c r="F176" s="38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21.75" customHeight="1" x14ac:dyDescent="0.6">
      <c r="A177" s="38"/>
      <c r="B177" s="39"/>
      <c r="C177" s="39"/>
      <c r="D177" s="40"/>
      <c r="E177" s="143"/>
      <c r="F177" s="38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21.75" customHeight="1" x14ac:dyDescent="0.6">
      <c r="A178" s="38"/>
      <c r="B178" s="39"/>
      <c r="C178" s="39"/>
      <c r="D178" s="40"/>
      <c r="E178" s="143"/>
      <c r="F178" s="38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21.75" customHeight="1" x14ac:dyDescent="0.6">
      <c r="A179" s="38"/>
      <c r="B179" s="39"/>
      <c r="C179" s="39"/>
      <c r="D179" s="40"/>
      <c r="E179" s="143"/>
      <c r="F179" s="38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21.75" customHeight="1" x14ac:dyDescent="0.6">
      <c r="A180" s="38"/>
      <c r="B180" s="39"/>
      <c r="C180" s="39"/>
      <c r="D180" s="40"/>
      <c r="E180" s="143"/>
      <c r="F180" s="38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21.75" customHeight="1" x14ac:dyDescent="0.6">
      <c r="A181" s="38"/>
      <c r="B181" s="39"/>
      <c r="C181" s="39"/>
      <c r="D181" s="40"/>
      <c r="E181" s="143"/>
      <c r="F181" s="38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21.75" customHeight="1" x14ac:dyDescent="0.6">
      <c r="A182" s="38"/>
      <c r="B182" s="39"/>
      <c r="C182" s="39"/>
      <c r="D182" s="40"/>
      <c r="E182" s="143"/>
      <c r="F182" s="38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21.75" customHeight="1" x14ac:dyDescent="0.6">
      <c r="A183" s="38"/>
      <c r="B183" s="39"/>
      <c r="C183" s="39"/>
      <c r="D183" s="40"/>
      <c r="E183" s="143"/>
      <c r="F183" s="38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21.75" customHeight="1" x14ac:dyDescent="0.6">
      <c r="A184" s="38"/>
      <c r="B184" s="39"/>
      <c r="C184" s="39"/>
      <c r="D184" s="40"/>
      <c r="E184" s="143"/>
      <c r="F184" s="38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21.75" customHeight="1" x14ac:dyDescent="0.6">
      <c r="A185" s="38"/>
      <c r="B185" s="39"/>
      <c r="C185" s="39"/>
      <c r="D185" s="40"/>
      <c r="E185" s="143"/>
      <c r="F185" s="38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21.75" customHeight="1" x14ac:dyDescent="0.6">
      <c r="A186" s="38"/>
      <c r="B186" s="39"/>
      <c r="C186" s="39"/>
      <c r="D186" s="40"/>
      <c r="E186" s="143"/>
      <c r="F186" s="38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21.75" customHeight="1" x14ac:dyDescent="0.6">
      <c r="A187" s="38"/>
      <c r="B187" s="39"/>
      <c r="C187" s="39"/>
      <c r="D187" s="40"/>
      <c r="E187" s="143"/>
      <c r="F187" s="38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21.75" customHeight="1" x14ac:dyDescent="0.6">
      <c r="A188" s="38"/>
      <c r="B188" s="39"/>
      <c r="C188" s="39"/>
      <c r="D188" s="40"/>
      <c r="E188" s="143"/>
      <c r="F188" s="38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21.75" customHeight="1" x14ac:dyDescent="0.6">
      <c r="A189" s="38"/>
      <c r="B189" s="39"/>
      <c r="C189" s="39"/>
      <c r="D189" s="40"/>
      <c r="E189" s="143"/>
      <c r="F189" s="38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21.75" customHeight="1" x14ac:dyDescent="0.6">
      <c r="A190" s="38"/>
      <c r="B190" s="39"/>
      <c r="C190" s="39"/>
      <c r="D190" s="40"/>
      <c r="E190" s="143"/>
      <c r="F190" s="38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21.75" customHeight="1" x14ac:dyDescent="0.6">
      <c r="A191" s="38"/>
      <c r="B191" s="39"/>
      <c r="C191" s="39"/>
      <c r="D191" s="40"/>
      <c r="E191" s="143"/>
      <c r="F191" s="38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21.75" customHeight="1" x14ac:dyDescent="0.6">
      <c r="A192" s="38"/>
      <c r="B192" s="39"/>
      <c r="C192" s="39"/>
      <c r="D192" s="40"/>
      <c r="E192" s="143"/>
      <c r="F192" s="38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21.75" customHeight="1" x14ac:dyDescent="0.6">
      <c r="A193" s="38"/>
      <c r="B193" s="39"/>
      <c r="C193" s="39"/>
      <c r="D193" s="40"/>
      <c r="E193" s="143"/>
      <c r="F193" s="38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21.75" customHeight="1" x14ac:dyDescent="0.6">
      <c r="A194" s="38"/>
      <c r="B194" s="39"/>
      <c r="C194" s="39"/>
      <c r="D194" s="40"/>
      <c r="E194" s="143"/>
      <c r="F194" s="38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21.75" customHeight="1" x14ac:dyDescent="0.6">
      <c r="A195" s="38"/>
      <c r="B195" s="39"/>
      <c r="C195" s="39"/>
      <c r="D195" s="40"/>
      <c r="E195" s="143"/>
      <c r="F195" s="38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21.75" customHeight="1" x14ac:dyDescent="0.6">
      <c r="A196" s="38"/>
      <c r="B196" s="39"/>
      <c r="C196" s="39"/>
      <c r="D196" s="40"/>
      <c r="E196" s="143"/>
      <c r="F196" s="38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21.75" customHeight="1" x14ac:dyDescent="0.6">
      <c r="A197" s="38"/>
      <c r="B197" s="39"/>
      <c r="C197" s="39"/>
      <c r="D197" s="40"/>
      <c r="E197" s="143"/>
      <c r="F197" s="38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21.75" customHeight="1" x14ac:dyDescent="0.6">
      <c r="A198" s="38"/>
      <c r="B198" s="39"/>
      <c r="C198" s="39"/>
      <c r="D198" s="40"/>
      <c r="E198" s="143"/>
      <c r="F198" s="38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21.75" customHeight="1" x14ac:dyDescent="0.6">
      <c r="A199" s="38"/>
      <c r="B199" s="39"/>
      <c r="C199" s="39"/>
      <c r="D199" s="40"/>
      <c r="E199" s="143"/>
      <c r="F199" s="38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21.75" customHeight="1" x14ac:dyDescent="0.6">
      <c r="A200" s="38"/>
      <c r="B200" s="39"/>
      <c r="C200" s="39"/>
      <c r="D200" s="40"/>
      <c r="E200" s="143"/>
      <c r="F200" s="38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21.75" customHeight="1" x14ac:dyDescent="0.6">
      <c r="A201" s="38"/>
      <c r="B201" s="39"/>
      <c r="C201" s="39"/>
      <c r="D201" s="40"/>
      <c r="E201" s="143"/>
      <c r="F201" s="38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21.75" customHeight="1" x14ac:dyDescent="0.6">
      <c r="A202" s="38"/>
      <c r="B202" s="39"/>
      <c r="C202" s="39"/>
      <c r="D202" s="40"/>
      <c r="E202" s="143"/>
      <c r="F202" s="38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21.75" customHeight="1" x14ac:dyDescent="0.6">
      <c r="A203" s="38"/>
      <c r="B203" s="39"/>
      <c r="C203" s="39"/>
      <c r="D203" s="40"/>
      <c r="E203" s="143"/>
      <c r="F203" s="38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21.75" customHeight="1" x14ac:dyDescent="0.6">
      <c r="A204" s="38"/>
      <c r="B204" s="39"/>
      <c r="C204" s="39"/>
      <c r="D204" s="40"/>
      <c r="E204" s="143"/>
      <c r="F204" s="38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21.75" customHeight="1" x14ac:dyDescent="0.6">
      <c r="A205" s="38"/>
      <c r="B205" s="39"/>
      <c r="C205" s="39"/>
      <c r="D205" s="40"/>
      <c r="E205" s="143"/>
      <c r="F205" s="38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21.75" customHeight="1" x14ac:dyDescent="0.6">
      <c r="A206" s="38"/>
      <c r="B206" s="39"/>
      <c r="C206" s="39"/>
      <c r="D206" s="40"/>
      <c r="E206" s="143"/>
      <c r="F206" s="38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21.75" customHeight="1" x14ac:dyDescent="0.6">
      <c r="A207" s="38"/>
      <c r="B207" s="39"/>
      <c r="C207" s="39"/>
      <c r="D207" s="40"/>
      <c r="E207" s="143"/>
      <c r="F207" s="38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21.75" customHeight="1" x14ac:dyDescent="0.6">
      <c r="A208" s="38"/>
      <c r="B208" s="39"/>
      <c r="C208" s="39"/>
      <c r="D208" s="40"/>
      <c r="E208" s="143"/>
      <c r="F208" s="38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21.75" customHeight="1" x14ac:dyDescent="0.6">
      <c r="A209" s="38"/>
      <c r="B209" s="39"/>
      <c r="C209" s="39"/>
      <c r="D209" s="40"/>
      <c r="E209" s="143"/>
      <c r="F209" s="38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21.75" customHeight="1" x14ac:dyDescent="0.6">
      <c r="A210" s="38"/>
      <c r="B210" s="39"/>
      <c r="C210" s="39"/>
      <c r="D210" s="40"/>
      <c r="E210" s="143"/>
      <c r="F210" s="38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21.75" customHeight="1" x14ac:dyDescent="0.6">
      <c r="A211" s="38"/>
      <c r="B211" s="39"/>
      <c r="C211" s="39"/>
      <c r="D211" s="40"/>
      <c r="E211" s="143"/>
      <c r="F211" s="38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21.75" customHeight="1" x14ac:dyDescent="0.6">
      <c r="A212" s="38"/>
      <c r="B212" s="39"/>
      <c r="C212" s="39"/>
      <c r="D212" s="40"/>
      <c r="E212" s="143"/>
      <c r="F212" s="38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21.75" customHeight="1" x14ac:dyDescent="0.6">
      <c r="A213" s="38"/>
      <c r="B213" s="39"/>
      <c r="C213" s="39"/>
      <c r="D213" s="40"/>
      <c r="E213" s="143"/>
      <c r="F213" s="38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21.75" customHeight="1" x14ac:dyDescent="0.6">
      <c r="A214" s="38"/>
      <c r="B214" s="39"/>
      <c r="C214" s="39"/>
      <c r="D214" s="40"/>
      <c r="E214" s="143"/>
      <c r="F214" s="38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21.75" customHeight="1" x14ac:dyDescent="0.6">
      <c r="A215" s="38"/>
      <c r="B215" s="39"/>
      <c r="C215" s="39"/>
      <c r="D215" s="40"/>
      <c r="E215" s="143"/>
      <c r="F215" s="38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21.75" customHeight="1" x14ac:dyDescent="0.6">
      <c r="A216" s="38"/>
      <c r="B216" s="39"/>
      <c r="C216" s="39"/>
      <c r="D216" s="40"/>
      <c r="E216" s="143"/>
      <c r="F216" s="38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21.75" customHeight="1" x14ac:dyDescent="0.6">
      <c r="A217" s="38"/>
      <c r="B217" s="39"/>
      <c r="C217" s="39"/>
      <c r="D217" s="40"/>
      <c r="E217" s="143"/>
      <c r="F217" s="38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21.75" customHeight="1" x14ac:dyDescent="0.6">
      <c r="A218" s="38"/>
      <c r="B218" s="39"/>
      <c r="C218" s="39"/>
      <c r="D218" s="40"/>
      <c r="E218" s="143"/>
      <c r="F218" s="38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21.75" customHeight="1" x14ac:dyDescent="0.6">
      <c r="A219" s="38"/>
      <c r="B219" s="39"/>
      <c r="C219" s="39"/>
      <c r="D219" s="40"/>
      <c r="E219" s="143"/>
      <c r="F219" s="38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21.75" customHeight="1" x14ac:dyDescent="0.6">
      <c r="A220" s="38"/>
      <c r="B220" s="39"/>
      <c r="C220" s="39"/>
      <c r="D220" s="40"/>
      <c r="E220" s="143"/>
      <c r="F220" s="38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21.75" customHeight="1" x14ac:dyDescent="0.6">
      <c r="A221" s="38"/>
      <c r="B221" s="39"/>
      <c r="C221" s="39"/>
      <c r="D221" s="40"/>
      <c r="E221" s="143"/>
      <c r="F221" s="38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21.75" customHeight="1" x14ac:dyDescent="0.6">
      <c r="A222" s="38"/>
      <c r="B222" s="39"/>
      <c r="C222" s="39"/>
      <c r="D222" s="40"/>
      <c r="E222" s="143"/>
      <c r="F222" s="38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21.75" customHeight="1" x14ac:dyDescent="0.6">
      <c r="A223" s="38"/>
      <c r="B223" s="39"/>
      <c r="C223" s="39"/>
      <c r="D223" s="40"/>
      <c r="E223" s="143"/>
      <c r="F223" s="38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21.75" customHeight="1" x14ac:dyDescent="0.6">
      <c r="A224" s="38"/>
      <c r="B224" s="39"/>
      <c r="C224" s="39"/>
      <c r="D224" s="40"/>
      <c r="E224" s="143"/>
      <c r="F224" s="38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21.75" customHeight="1" x14ac:dyDescent="0.6">
      <c r="A225" s="38"/>
      <c r="B225" s="39"/>
      <c r="C225" s="39"/>
      <c r="D225" s="40"/>
      <c r="E225" s="143"/>
      <c r="F225" s="38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21.75" customHeight="1" x14ac:dyDescent="0.6">
      <c r="A226" s="38"/>
      <c r="B226" s="39"/>
      <c r="C226" s="39"/>
      <c r="D226" s="40"/>
      <c r="E226" s="143"/>
      <c r="F226" s="38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21.75" customHeight="1" x14ac:dyDescent="0.6">
      <c r="A227" s="38"/>
      <c r="B227" s="39"/>
      <c r="C227" s="39"/>
      <c r="D227" s="40"/>
      <c r="E227" s="143"/>
      <c r="F227" s="38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21.75" customHeight="1" x14ac:dyDescent="0.6">
      <c r="A228" s="38"/>
      <c r="B228" s="39"/>
      <c r="C228" s="39"/>
      <c r="D228" s="40"/>
      <c r="E228" s="143"/>
      <c r="F228" s="38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21.75" customHeight="1" x14ac:dyDescent="0.6">
      <c r="A229" s="38"/>
      <c r="B229" s="39"/>
      <c r="C229" s="39"/>
      <c r="D229" s="40"/>
      <c r="E229" s="143"/>
      <c r="F229" s="38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21.75" customHeight="1" x14ac:dyDescent="0.6">
      <c r="A230" s="38"/>
      <c r="B230" s="39"/>
      <c r="C230" s="39"/>
      <c r="D230" s="40"/>
      <c r="E230" s="143"/>
      <c r="F230" s="38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21.75" customHeight="1" x14ac:dyDescent="0.6">
      <c r="A231" s="38"/>
      <c r="B231" s="39"/>
      <c r="C231" s="39"/>
      <c r="D231" s="40"/>
      <c r="E231" s="143"/>
      <c r="F231" s="38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21.75" customHeight="1" x14ac:dyDescent="0.6">
      <c r="A232" s="38"/>
      <c r="B232" s="39"/>
      <c r="C232" s="39"/>
      <c r="D232" s="40"/>
      <c r="E232" s="143"/>
      <c r="F232" s="38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21.75" customHeight="1" x14ac:dyDescent="0.6">
      <c r="A233" s="38"/>
      <c r="B233" s="39"/>
      <c r="C233" s="39"/>
      <c r="D233" s="40"/>
      <c r="E233" s="143"/>
      <c r="F233" s="38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21.75" customHeight="1" x14ac:dyDescent="0.6">
      <c r="A234" s="38"/>
      <c r="B234" s="39"/>
      <c r="C234" s="39"/>
      <c r="D234" s="40"/>
      <c r="E234" s="143"/>
      <c r="F234" s="38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21.75" customHeight="1" x14ac:dyDescent="0.6">
      <c r="A235" s="38"/>
      <c r="B235" s="39"/>
      <c r="C235" s="39"/>
      <c r="D235" s="40"/>
      <c r="E235" s="143"/>
      <c r="F235" s="38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21.75" customHeight="1" x14ac:dyDescent="0.6">
      <c r="A236" s="38"/>
      <c r="B236" s="39"/>
      <c r="C236" s="39"/>
      <c r="D236" s="40"/>
      <c r="E236" s="143"/>
      <c r="F236" s="38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21.75" customHeight="1" x14ac:dyDescent="0.6">
      <c r="A237" s="38"/>
      <c r="B237" s="39"/>
      <c r="C237" s="39"/>
      <c r="D237" s="40"/>
      <c r="E237" s="143"/>
      <c r="F237" s="38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21.75" customHeight="1" x14ac:dyDescent="0.6">
      <c r="A238" s="38"/>
      <c r="B238" s="39"/>
      <c r="C238" s="39"/>
      <c r="D238" s="40"/>
      <c r="E238" s="143"/>
      <c r="F238" s="38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21.75" customHeight="1" x14ac:dyDescent="0.6">
      <c r="A239" s="38"/>
      <c r="B239" s="39"/>
      <c r="C239" s="39"/>
      <c r="D239" s="40"/>
      <c r="E239" s="143"/>
      <c r="F239" s="38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21.75" customHeight="1" x14ac:dyDescent="0.6">
      <c r="A240" s="38"/>
      <c r="B240" s="39"/>
      <c r="C240" s="39"/>
      <c r="D240" s="40"/>
      <c r="E240" s="143"/>
      <c r="F240" s="38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21.75" customHeight="1" x14ac:dyDescent="0.6">
      <c r="A241" s="38"/>
      <c r="B241" s="39"/>
      <c r="C241" s="39"/>
      <c r="D241" s="40"/>
      <c r="E241" s="143"/>
      <c r="F241" s="38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21.75" customHeight="1" x14ac:dyDescent="0.6">
      <c r="A242" s="38"/>
      <c r="B242" s="39"/>
      <c r="C242" s="39"/>
      <c r="D242" s="40"/>
      <c r="E242" s="143"/>
      <c r="F242" s="38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21.75" customHeight="1" x14ac:dyDescent="0.6">
      <c r="A243" s="38"/>
      <c r="B243" s="39"/>
      <c r="C243" s="39"/>
      <c r="D243" s="40"/>
      <c r="E243" s="143"/>
      <c r="F243" s="38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spans="1:26" ht="15.75" customHeight="1" x14ac:dyDescent="0.2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spans="1:26" ht="15.75" customHeight="1" x14ac:dyDescent="0.25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spans="1:26" ht="15.75" customHeight="1" x14ac:dyDescent="0.25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spans="1:26" ht="15.75" customHeight="1" x14ac:dyDescent="0.25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spans="1:26" ht="15.75" customHeight="1" x14ac:dyDescent="0.25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spans="1:26" ht="15.75" customHeight="1" x14ac:dyDescent="0.25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spans="1:26" ht="15.75" customHeight="1" x14ac:dyDescent="0.25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spans="1:26" ht="15.75" customHeight="1" x14ac:dyDescent="0.25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spans="1:26" ht="15.75" customHeight="1" x14ac:dyDescent="0.25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spans="1:26" ht="15.75" customHeight="1" x14ac:dyDescent="0.25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spans="1:26" ht="15.75" customHeight="1" x14ac:dyDescent="0.2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spans="1:26" ht="15.75" customHeight="1" x14ac:dyDescent="0.25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spans="1:26" ht="15.75" customHeight="1" x14ac:dyDescent="0.25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spans="1:26" ht="15.75" customHeight="1" x14ac:dyDescent="0.25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spans="1:26" ht="15.75" customHeight="1" x14ac:dyDescent="0.25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spans="1:26" ht="15.75" customHeight="1" x14ac:dyDescent="0.25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spans="1:26" ht="15.75" customHeight="1" x14ac:dyDescent="0.25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spans="1:26" ht="15.75" customHeight="1" x14ac:dyDescent="0.25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spans="1:26" ht="15.75" customHeight="1" x14ac:dyDescent="0.25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spans="1:26" ht="15.75" customHeight="1" x14ac:dyDescent="0.25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spans="1:26" ht="15.75" customHeight="1" x14ac:dyDescent="0.2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spans="1:26" ht="15.75" customHeight="1" x14ac:dyDescent="0.25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spans="1:26" ht="15.75" customHeight="1" x14ac:dyDescent="0.25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spans="1:26" ht="15.75" customHeight="1" x14ac:dyDescent="0.25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spans="1:26" ht="15.75" customHeight="1" x14ac:dyDescent="0.25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spans="1:26" ht="15.75" customHeight="1" x14ac:dyDescent="0.25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spans="1:26" ht="15.75" customHeight="1" x14ac:dyDescent="0.25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spans="1:26" ht="15.75" customHeight="1" x14ac:dyDescent="0.25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spans="1:26" ht="15.75" customHeight="1" x14ac:dyDescent="0.25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spans="1:26" ht="15.75" customHeight="1" x14ac:dyDescent="0.25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spans="1:26" ht="15.75" customHeight="1" x14ac:dyDescent="0.2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spans="1:26" ht="15.75" customHeight="1" x14ac:dyDescent="0.25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spans="1:26" ht="15.75" customHeight="1" x14ac:dyDescent="0.25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spans="1:26" ht="15.75" customHeight="1" x14ac:dyDescent="0.25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spans="1:26" ht="15.75" customHeight="1" x14ac:dyDescent="0.25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spans="1:26" ht="15.75" customHeight="1" x14ac:dyDescent="0.25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spans="1:26" ht="15.75" customHeight="1" x14ac:dyDescent="0.25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spans="1:26" ht="15.75" customHeight="1" x14ac:dyDescent="0.25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spans="1:26" ht="15.75" customHeight="1" x14ac:dyDescent="0.25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spans="1:26" ht="15.75" customHeight="1" x14ac:dyDescent="0.25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spans="1:26" ht="15.75" customHeight="1" x14ac:dyDescent="0.2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spans="1:26" ht="15.75" customHeight="1" x14ac:dyDescent="0.25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spans="1:26" ht="15.75" customHeight="1" x14ac:dyDescent="0.25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spans="1:26" ht="15.75" customHeight="1" x14ac:dyDescent="0.25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spans="1:26" ht="15.75" customHeight="1" x14ac:dyDescent="0.25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spans="1:26" ht="15.75" customHeight="1" x14ac:dyDescent="0.25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spans="1:26" ht="15.75" customHeight="1" x14ac:dyDescent="0.25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spans="1:26" ht="15.75" customHeight="1" x14ac:dyDescent="0.25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spans="1:26" ht="15.75" customHeight="1" x14ac:dyDescent="0.25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spans="1:26" ht="15.75" customHeight="1" x14ac:dyDescent="0.25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spans="1:26" ht="15.75" customHeight="1" x14ac:dyDescent="0.2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spans="1:26" ht="15.75" customHeight="1" x14ac:dyDescent="0.25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spans="1:26" ht="15.75" customHeight="1" x14ac:dyDescent="0.25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spans="1:26" ht="15.75" customHeight="1" x14ac:dyDescent="0.25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spans="1:26" ht="15.75" customHeight="1" x14ac:dyDescent="0.25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spans="1:26" ht="15.75" customHeight="1" x14ac:dyDescent="0.25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spans="1:26" ht="15.75" customHeight="1" x14ac:dyDescent="0.25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spans="1:26" ht="15.75" customHeight="1" x14ac:dyDescent="0.25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spans="1:26" ht="15.75" customHeight="1" x14ac:dyDescent="0.25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spans="1:26" ht="15.75" customHeight="1" x14ac:dyDescent="0.25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spans="1:26" ht="15.75" customHeight="1" x14ac:dyDescent="0.2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spans="1:26" ht="15.75" customHeight="1" x14ac:dyDescent="0.25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spans="1:26" ht="15.75" customHeight="1" x14ac:dyDescent="0.25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spans="1:26" ht="15.75" customHeight="1" x14ac:dyDescent="0.25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spans="1:26" ht="15.75" customHeight="1" x14ac:dyDescent="0.25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spans="1:26" ht="15.75" customHeight="1" x14ac:dyDescent="0.25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spans="1:26" ht="15.75" customHeight="1" x14ac:dyDescent="0.25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spans="1:26" ht="15.75" customHeight="1" x14ac:dyDescent="0.25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spans="1:26" ht="15.75" customHeight="1" x14ac:dyDescent="0.25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spans="1:26" ht="15.75" customHeight="1" x14ac:dyDescent="0.25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spans="1:26" ht="15.75" customHeight="1" x14ac:dyDescent="0.2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spans="1:26" ht="15.75" customHeight="1" x14ac:dyDescent="0.25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spans="1:26" ht="15.75" customHeight="1" x14ac:dyDescent="0.25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spans="1:26" ht="15.75" customHeight="1" x14ac:dyDescent="0.25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spans="1:26" ht="15.75" customHeight="1" x14ac:dyDescent="0.25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spans="1:26" ht="15.75" customHeight="1" x14ac:dyDescent="0.25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spans="1:26" ht="15.75" customHeight="1" x14ac:dyDescent="0.25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spans="1:26" ht="15.75" customHeight="1" x14ac:dyDescent="0.25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spans="1:26" ht="15.75" customHeight="1" x14ac:dyDescent="0.25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spans="1:26" ht="15.75" customHeight="1" x14ac:dyDescent="0.25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spans="1:26" ht="15.75" customHeight="1" x14ac:dyDescent="0.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spans="1:26" ht="15.75" customHeight="1" x14ac:dyDescent="0.25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spans="1:26" ht="15.75" customHeight="1" x14ac:dyDescent="0.25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spans="1:26" ht="15.75" customHeight="1" x14ac:dyDescent="0.25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spans="1:26" ht="15.75" customHeight="1" x14ac:dyDescent="0.25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spans="1:26" ht="15.75" customHeight="1" x14ac:dyDescent="0.25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spans="1:26" ht="15.75" customHeight="1" x14ac:dyDescent="0.25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spans="1:26" ht="15.75" customHeight="1" x14ac:dyDescent="0.25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spans="1:26" ht="15.75" customHeight="1" x14ac:dyDescent="0.25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spans="1:26" ht="15.75" customHeight="1" x14ac:dyDescent="0.25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spans="1:26" ht="15.75" customHeight="1" x14ac:dyDescent="0.2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spans="1:26" ht="15.75" customHeight="1" x14ac:dyDescent="0.25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spans="1:26" ht="15.75" customHeight="1" x14ac:dyDescent="0.25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spans="1:26" ht="15.75" customHeight="1" x14ac:dyDescent="0.25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spans="1:26" ht="15.75" customHeight="1" x14ac:dyDescent="0.25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spans="1:26" ht="15.75" customHeight="1" x14ac:dyDescent="0.25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spans="1:26" ht="15.75" customHeight="1" x14ac:dyDescent="0.25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spans="1:26" ht="15.75" customHeight="1" x14ac:dyDescent="0.25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spans="1:26" ht="15.75" customHeight="1" x14ac:dyDescent="0.25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spans="1:26" ht="15.75" customHeight="1" x14ac:dyDescent="0.25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spans="1:26" ht="15.75" customHeight="1" x14ac:dyDescent="0.2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spans="1:26" ht="15.75" customHeight="1" x14ac:dyDescent="0.25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spans="1:26" ht="15.75" customHeight="1" x14ac:dyDescent="0.25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spans="1:26" ht="15.75" customHeight="1" x14ac:dyDescent="0.25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spans="1:26" ht="15.75" customHeight="1" x14ac:dyDescent="0.25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spans="1:26" ht="15.75" customHeight="1" x14ac:dyDescent="0.25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spans="1:26" ht="15.75" customHeight="1" x14ac:dyDescent="0.25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spans="1:26" ht="15.75" customHeight="1" x14ac:dyDescent="0.25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spans="1:26" ht="15.75" customHeight="1" x14ac:dyDescent="0.25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spans="1:26" ht="15.75" customHeight="1" x14ac:dyDescent="0.25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spans="1:26" ht="15.75" customHeight="1" x14ac:dyDescent="0.2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spans="1:26" ht="15.75" customHeight="1" x14ac:dyDescent="0.25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spans="1:26" ht="15.75" customHeight="1" x14ac:dyDescent="0.25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spans="1:26" ht="15.75" customHeight="1" x14ac:dyDescent="0.25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spans="1:26" ht="15.75" customHeight="1" x14ac:dyDescent="0.25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spans="1:26" ht="15.75" customHeight="1" x14ac:dyDescent="0.25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spans="1:26" ht="15.75" customHeight="1" x14ac:dyDescent="0.25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spans="1:26" ht="15.75" customHeight="1" x14ac:dyDescent="0.25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spans="1:26" ht="15.75" customHeight="1" x14ac:dyDescent="0.25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spans="1:26" ht="15.75" customHeight="1" x14ac:dyDescent="0.25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spans="1:26" ht="15.75" customHeight="1" x14ac:dyDescent="0.2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spans="1:26" ht="15.75" customHeight="1" x14ac:dyDescent="0.25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spans="1:26" ht="15.75" customHeight="1" x14ac:dyDescent="0.25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spans="1:26" ht="15.75" customHeight="1" x14ac:dyDescent="0.25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spans="1:26" ht="15.75" customHeight="1" x14ac:dyDescent="0.25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spans="1:26" ht="15.75" customHeight="1" x14ac:dyDescent="0.25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spans="1:26" ht="15.75" customHeight="1" x14ac:dyDescent="0.25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spans="1:26" ht="15.75" customHeight="1" x14ac:dyDescent="0.25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spans="1:26" ht="15.75" customHeight="1" x14ac:dyDescent="0.25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spans="1:26" ht="15.75" customHeight="1" x14ac:dyDescent="0.25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spans="1:26" ht="15.75" customHeight="1" x14ac:dyDescent="0.2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spans="1:26" ht="15.75" customHeight="1" x14ac:dyDescent="0.25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spans="1:26" ht="15.75" customHeight="1" x14ac:dyDescent="0.25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spans="1:26" ht="15.75" customHeight="1" x14ac:dyDescent="0.25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spans="1:26" ht="15.75" customHeight="1" x14ac:dyDescent="0.25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spans="1:26" ht="15.75" customHeight="1" x14ac:dyDescent="0.25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spans="1:26" ht="15.75" customHeight="1" x14ac:dyDescent="0.25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spans="1:26" ht="15.75" customHeight="1" x14ac:dyDescent="0.25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spans="1:26" ht="15.75" customHeight="1" x14ac:dyDescent="0.25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spans="1:26" ht="15.75" customHeight="1" x14ac:dyDescent="0.25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spans="1:26" ht="15.75" customHeight="1" x14ac:dyDescent="0.2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spans="1:26" ht="15.75" customHeight="1" x14ac:dyDescent="0.25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spans="1:26" ht="15.75" customHeight="1" x14ac:dyDescent="0.25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spans="1:26" ht="15.75" customHeight="1" x14ac:dyDescent="0.25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spans="1:26" ht="15.75" customHeight="1" x14ac:dyDescent="0.25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spans="1:26" ht="15.75" customHeight="1" x14ac:dyDescent="0.25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spans="1:26" ht="15.75" customHeight="1" x14ac:dyDescent="0.25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spans="1:26" ht="15.75" customHeight="1" x14ac:dyDescent="0.25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spans="1:26" ht="15.75" customHeight="1" x14ac:dyDescent="0.25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spans="1:26" ht="15.75" customHeight="1" x14ac:dyDescent="0.25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spans="1:26" ht="15.75" customHeight="1" x14ac:dyDescent="0.2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spans="1:26" ht="15.75" customHeight="1" x14ac:dyDescent="0.25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spans="1:26" ht="15.75" customHeight="1" x14ac:dyDescent="0.25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spans="1:26" ht="15.75" customHeight="1" x14ac:dyDescent="0.25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spans="1:26" ht="15.75" customHeight="1" x14ac:dyDescent="0.25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spans="1:26" ht="15.75" customHeight="1" x14ac:dyDescent="0.25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spans="1:26" ht="15.75" customHeight="1" x14ac:dyDescent="0.25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spans="1:26" ht="15.75" customHeight="1" x14ac:dyDescent="0.25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spans="1:26" ht="15.75" customHeight="1" x14ac:dyDescent="0.25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spans="1:26" ht="15.75" customHeight="1" x14ac:dyDescent="0.25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spans="1:26" ht="15.75" customHeight="1" x14ac:dyDescent="0.2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spans="1:26" ht="15.75" customHeight="1" x14ac:dyDescent="0.25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spans="1:26" ht="15.75" customHeight="1" x14ac:dyDescent="0.25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spans="1:26" ht="15.75" customHeight="1" x14ac:dyDescent="0.25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spans="1:26" ht="15.75" customHeight="1" x14ac:dyDescent="0.25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spans="1:26" ht="15.75" customHeight="1" x14ac:dyDescent="0.25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spans="1:26" ht="15.75" customHeight="1" x14ac:dyDescent="0.25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spans="1:26" ht="15.75" customHeight="1" x14ac:dyDescent="0.25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spans="1:26" ht="15.75" customHeight="1" x14ac:dyDescent="0.25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spans="1:26" ht="15.75" customHeight="1" x14ac:dyDescent="0.25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spans="1:26" ht="15.75" customHeight="1" x14ac:dyDescent="0.2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spans="1:26" ht="15.75" customHeight="1" x14ac:dyDescent="0.25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spans="1:26" ht="15.75" customHeight="1" x14ac:dyDescent="0.25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spans="1:26" ht="15.75" customHeight="1" x14ac:dyDescent="0.25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spans="1:26" ht="15.75" customHeight="1" x14ac:dyDescent="0.25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spans="1:26" ht="15.75" customHeight="1" x14ac:dyDescent="0.25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spans="1:26" ht="15.75" customHeight="1" x14ac:dyDescent="0.25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spans="1:26" ht="15.75" customHeight="1" x14ac:dyDescent="0.25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spans="1:26" ht="15.75" customHeight="1" x14ac:dyDescent="0.25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spans="1:26" ht="15.75" customHeight="1" x14ac:dyDescent="0.25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spans="1:26" ht="15.75" customHeight="1" x14ac:dyDescent="0.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spans="1:26" ht="15.75" customHeight="1" x14ac:dyDescent="0.25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spans="1:26" ht="15.75" customHeight="1" x14ac:dyDescent="0.25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spans="1:26" ht="15.75" customHeight="1" x14ac:dyDescent="0.25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spans="1:26" ht="15.75" customHeight="1" x14ac:dyDescent="0.25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spans="1:26" ht="15.75" customHeight="1" x14ac:dyDescent="0.25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spans="1:26" ht="15.75" customHeight="1" x14ac:dyDescent="0.25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spans="1:26" ht="15.75" customHeight="1" x14ac:dyDescent="0.25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spans="1:26" ht="15.75" customHeight="1" x14ac:dyDescent="0.25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spans="1:26" ht="15.75" customHeight="1" x14ac:dyDescent="0.25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spans="1:26" ht="15.75" customHeight="1" x14ac:dyDescent="0.2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spans="1:26" ht="15.75" customHeight="1" x14ac:dyDescent="0.25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spans="1:26" ht="15.75" customHeight="1" x14ac:dyDescent="0.25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spans="1:26" ht="15.75" customHeight="1" x14ac:dyDescent="0.25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spans="1:26" ht="15.75" customHeight="1" x14ac:dyDescent="0.25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spans="1:26" ht="15.75" customHeight="1" x14ac:dyDescent="0.25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spans="1:26" ht="15.75" customHeight="1" x14ac:dyDescent="0.25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spans="1:26" ht="15.75" customHeight="1" x14ac:dyDescent="0.25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spans="1:26" ht="15.75" customHeight="1" x14ac:dyDescent="0.25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spans="1:26" ht="15.75" customHeight="1" x14ac:dyDescent="0.25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spans="1:26" ht="15.75" customHeight="1" x14ac:dyDescent="0.2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spans="1:26" ht="15.75" customHeight="1" x14ac:dyDescent="0.25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spans="1:26" ht="15.75" customHeight="1" x14ac:dyDescent="0.25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spans="1:26" ht="15.75" customHeight="1" x14ac:dyDescent="0.25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spans="1:26" ht="15.75" customHeight="1" x14ac:dyDescent="0.25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spans="1:26" ht="15.75" customHeight="1" x14ac:dyDescent="0.25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spans="1:26" ht="15.75" customHeight="1" x14ac:dyDescent="0.25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spans="1:26" ht="15.75" customHeight="1" x14ac:dyDescent="0.25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spans="1:26" ht="15.75" customHeight="1" x14ac:dyDescent="0.25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spans="1:26" ht="15.75" customHeight="1" x14ac:dyDescent="0.25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spans="1:26" ht="15.75" customHeight="1" x14ac:dyDescent="0.2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spans="1:26" ht="15.75" customHeight="1" x14ac:dyDescent="0.25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spans="1:26" ht="15.75" customHeight="1" x14ac:dyDescent="0.25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spans="1:26" ht="15.75" customHeight="1" x14ac:dyDescent="0.25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spans="1:26" ht="15.75" customHeight="1" x14ac:dyDescent="0.25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spans="1:26" ht="15.75" customHeight="1" x14ac:dyDescent="0.25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spans="1:26" ht="15.75" customHeight="1" x14ac:dyDescent="0.25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spans="1:26" ht="15.75" customHeight="1" x14ac:dyDescent="0.25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spans="1:26" ht="15.75" customHeight="1" x14ac:dyDescent="0.25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spans="1:26" ht="15.75" customHeight="1" x14ac:dyDescent="0.25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spans="1:26" ht="15.75" customHeight="1" x14ac:dyDescent="0.2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spans="1:26" ht="15.75" customHeight="1" x14ac:dyDescent="0.25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spans="1:26" ht="15.75" customHeight="1" x14ac:dyDescent="0.25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spans="1:26" ht="15.75" customHeight="1" x14ac:dyDescent="0.25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spans="1:26" ht="15.75" customHeight="1" x14ac:dyDescent="0.25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spans="1:26" ht="15.75" customHeight="1" x14ac:dyDescent="0.25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spans="1:26" ht="15.75" customHeight="1" x14ac:dyDescent="0.25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spans="1:26" ht="15.75" customHeight="1" x14ac:dyDescent="0.25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spans="1:26" ht="15.75" customHeight="1" x14ac:dyDescent="0.25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spans="1:26" ht="15.75" customHeight="1" x14ac:dyDescent="0.25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spans="1:26" ht="15.75" customHeight="1" x14ac:dyDescent="0.2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spans="1:26" ht="15.75" customHeight="1" x14ac:dyDescent="0.25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spans="1:26" ht="15.75" customHeight="1" x14ac:dyDescent="0.25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spans="1:26" ht="15.75" customHeight="1" x14ac:dyDescent="0.25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spans="1:26" ht="15.75" customHeight="1" x14ac:dyDescent="0.25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spans="1:26" ht="15.75" customHeight="1" x14ac:dyDescent="0.25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spans="1:26" ht="15.75" customHeight="1" x14ac:dyDescent="0.25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spans="1:26" ht="15.75" customHeight="1" x14ac:dyDescent="0.25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spans="1:26" ht="15.75" customHeight="1" x14ac:dyDescent="0.25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spans="1:26" ht="15.75" customHeight="1" x14ac:dyDescent="0.25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spans="1:26" ht="15.75" customHeight="1" x14ac:dyDescent="0.2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spans="1:26" ht="15.75" customHeight="1" x14ac:dyDescent="0.25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spans="1:26" ht="15.75" customHeight="1" x14ac:dyDescent="0.25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spans="1:26" ht="15.75" customHeight="1" x14ac:dyDescent="0.25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spans="1:26" ht="15.75" customHeight="1" x14ac:dyDescent="0.25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spans="1:26" ht="15.75" customHeight="1" x14ac:dyDescent="0.25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spans="1:26" ht="15.75" customHeight="1" x14ac:dyDescent="0.25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spans="1:26" ht="15.75" customHeight="1" x14ac:dyDescent="0.25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spans="1:26" ht="15.75" customHeight="1" x14ac:dyDescent="0.25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spans="1:26" ht="15.75" customHeight="1" x14ac:dyDescent="0.25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spans="1:26" ht="15.75" customHeight="1" x14ac:dyDescent="0.2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spans="1:26" ht="15.75" customHeight="1" x14ac:dyDescent="0.25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spans="1:26" ht="15.75" customHeight="1" x14ac:dyDescent="0.25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spans="1:26" ht="15.75" customHeight="1" x14ac:dyDescent="0.25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spans="1:26" ht="15.75" customHeight="1" x14ac:dyDescent="0.25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spans="1:26" ht="15.75" customHeight="1" x14ac:dyDescent="0.25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spans="1:26" ht="15.75" customHeight="1" x14ac:dyDescent="0.25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spans="1:26" ht="15.75" customHeight="1" x14ac:dyDescent="0.25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spans="1:26" ht="15.75" customHeight="1" x14ac:dyDescent="0.25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spans="1:26" ht="15.75" customHeight="1" x14ac:dyDescent="0.25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spans="1:26" ht="15.75" customHeight="1" x14ac:dyDescent="0.2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spans="1:26" ht="15.75" customHeight="1" x14ac:dyDescent="0.25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spans="1:26" ht="15.75" customHeight="1" x14ac:dyDescent="0.25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spans="1:26" ht="15.75" customHeight="1" x14ac:dyDescent="0.25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spans="1:26" ht="15.75" customHeight="1" x14ac:dyDescent="0.25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spans="1:26" ht="15.75" customHeight="1" x14ac:dyDescent="0.25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spans="1:26" ht="15.75" customHeight="1" x14ac:dyDescent="0.25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spans="1:26" ht="15.75" customHeight="1" x14ac:dyDescent="0.25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spans="1:26" ht="15.75" customHeight="1" x14ac:dyDescent="0.25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spans="1:26" ht="15.75" customHeight="1" x14ac:dyDescent="0.25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spans="1:26" ht="15.75" customHeight="1" x14ac:dyDescent="0.2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spans="1:26" ht="15.75" customHeight="1" x14ac:dyDescent="0.25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spans="1:26" ht="15.75" customHeight="1" x14ac:dyDescent="0.25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spans="1:26" ht="15.75" customHeight="1" x14ac:dyDescent="0.25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spans="1:26" ht="15.75" customHeight="1" x14ac:dyDescent="0.25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spans="1:26" ht="15.75" customHeight="1" x14ac:dyDescent="0.25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spans="1:26" ht="15.75" customHeight="1" x14ac:dyDescent="0.25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spans="1:26" ht="15.75" customHeight="1" x14ac:dyDescent="0.25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spans="1:26" ht="15.75" customHeight="1" x14ac:dyDescent="0.25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spans="1:26" ht="15.75" customHeight="1" x14ac:dyDescent="0.25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spans="1:26" ht="15.75" customHeight="1" x14ac:dyDescent="0.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spans="1:26" ht="15.75" customHeight="1" x14ac:dyDescent="0.25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spans="1:26" ht="15.75" customHeight="1" x14ac:dyDescent="0.25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spans="1:26" ht="15.75" customHeight="1" x14ac:dyDescent="0.25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spans="1:26" ht="15.75" customHeight="1" x14ac:dyDescent="0.25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spans="1:26" ht="15.75" customHeight="1" x14ac:dyDescent="0.25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spans="1:26" ht="15.75" customHeight="1" x14ac:dyDescent="0.25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spans="1:26" ht="15.75" customHeight="1" x14ac:dyDescent="0.25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spans="1:26" ht="15.75" customHeight="1" x14ac:dyDescent="0.25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spans="1:26" ht="15.75" customHeight="1" x14ac:dyDescent="0.25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spans="1:26" ht="15.75" customHeight="1" x14ac:dyDescent="0.2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spans="1:26" ht="15.75" customHeight="1" x14ac:dyDescent="0.25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spans="1:26" ht="15.75" customHeight="1" x14ac:dyDescent="0.25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spans="1:26" ht="15.75" customHeight="1" x14ac:dyDescent="0.25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spans="1:26" ht="15.75" customHeight="1" x14ac:dyDescent="0.25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spans="1:26" ht="15.75" customHeight="1" x14ac:dyDescent="0.25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spans="1:26" ht="15.75" customHeight="1" x14ac:dyDescent="0.25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spans="1:26" ht="15.75" customHeight="1" x14ac:dyDescent="0.25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spans="1:26" ht="15.75" customHeight="1" x14ac:dyDescent="0.25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spans="1:26" ht="15.75" customHeight="1" x14ac:dyDescent="0.25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spans="1:26" ht="15.75" customHeight="1" x14ac:dyDescent="0.2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spans="1:26" ht="15.75" customHeight="1" x14ac:dyDescent="0.25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spans="1:26" ht="15.75" customHeight="1" x14ac:dyDescent="0.25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spans="1:26" ht="15.75" customHeight="1" x14ac:dyDescent="0.25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spans="1:26" ht="15.75" customHeight="1" x14ac:dyDescent="0.25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spans="1:26" ht="15.75" customHeight="1" x14ac:dyDescent="0.25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spans="1:26" ht="15.75" customHeight="1" x14ac:dyDescent="0.25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spans="1:26" ht="15.75" customHeight="1" x14ac:dyDescent="0.25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spans="1:26" ht="15.75" customHeight="1" x14ac:dyDescent="0.25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spans="1:26" ht="15.75" customHeight="1" x14ac:dyDescent="0.25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spans="1:26" ht="15.75" customHeight="1" x14ac:dyDescent="0.2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spans="1:26" ht="15.75" customHeight="1" x14ac:dyDescent="0.25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spans="1:26" ht="15.75" customHeight="1" x14ac:dyDescent="0.25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spans="1:26" ht="15.75" customHeight="1" x14ac:dyDescent="0.25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spans="1:26" ht="15.75" customHeight="1" x14ac:dyDescent="0.25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spans="1:26" ht="15.75" customHeight="1" x14ac:dyDescent="0.25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spans="1:26" ht="15.75" customHeight="1" x14ac:dyDescent="0.25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spans="1:26" ht="15.75" customHeight="1" x14ac:dyDescent="0.25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spans="1:26" ht="15.75" customHeight="1" x14ac:dyDescent="0.25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spans="1:26" ht="15.75" customHeight="1" x14ac:dyDescent="0.25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spans="1:26" ht="15.75" customHeight="1" x14ac:dyDescent="0.2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spans="1:26" ht="15.75" customHeight="1" x14ac:dyDescent="0.25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spans="1:26" ht="15.75" customHeight="1" x14ac:dyDescent="0.25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spans="1:26" ht="15.75" customHeight="1" x14ac:dyDescent="0.25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spans="1:26" ht="15.75" customHeight="1" x14ac:dyDescent="0.25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spans="1:26" ht="15.75" customHeight="1" x14ac:dyDescent="0.25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spans="1:26" ht="15.75" customHeight="1" x14ac:dyDescent="0.25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spans="1:26" ht="15.75" customHeight="1" x14ac:dyDescent="0.25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spans="1:26" ht="15.75" customHeight="1" x14ac:dyDescent="0.25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spans="1:26" ht="15.75" customHeight="1" x14ac:dyDescent="0.25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spans="1:26" ht="15.75" customHeight="1" x14ac:dyDescent="0.2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spans="1:26" ht="15.75" customHeight="1" x14ac:dyDescent="0.25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spans="1:26" ht="15.75" customHeight="1" x14ac:dyDescent="0.25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spans="1:26" ht="15.75" customHeight="1" x14ac:dyDescent="0.25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spans="1:26" ht="15.75" customHeight="1" x14ac:dyDescent="0.25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spans="1:26" ht="15.75" customHeight="1" x14ac:dyDescent="0.25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spans="1:26" ht="15.75" customHeight="1" x14ac:dyDescent="0.25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spans="1:26" ht="15.75" customHeight="1" x14ac:dyDescent="0.25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spans="1:26" ht="15.75" customHeight="1" x14ac:dyDescent="0.25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spans="1:26" ht="15.75" customHeight="1" x14ac:dyDescent="0.25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spans="1:26" ht="15.75" customHeight="1" x14ac:dyDescent="0.2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spans="1:26" ht="15.75" customHeight="1" x14ac:dyDescent="0.25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spans="1:26" ht="15.75" customHeight="1" x14ac:dyDescent="0.25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spans="1:26" ht="15.75" customHeight="1" x14ac:dyDescent="0.25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spans="1:26" ht="15.75" customHeight="1" x14ac:dyDescent="0.25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spans="1:26" ht="15.75" customHeight="1" x14ac:dyDescent="0.25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spans="1:26" ht="15.75" customHeight="1" x14ac:dyDescent="0.25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spans="1:26" ht="15.75" customHeight="1" x14ac:dyDescent="0.25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spans="1:26" ht="15.75" customHeight="1" x14ac:dyDescent="0.25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spans="1:26" ht="15.75" customHeight="1" x14ac:dyDescent="0.25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spans="1:26" ht="15.75" customHeight="1" x14ac:dyDescent="0.2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spans="1:26" ht="15.75" customHeight="1" x14ac:dyDescent="0.25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spans="1:26" ht="15.75" customHeight="1" x14ac:dyDescent="0.25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spans="1:26" ht="15.75" customHeight="1" x14ac:dyDescent="0.25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spans="1:26" ht="15.75" customHeight="1" x14ac:dyDescent="0.25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spans="1:26" ht="15.75" customHeight="1" x14ac:dyDescent="0.25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spans="1:26" ht="15.75" customHeight="1" x14ac:dyDescent="0.25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spans="1:26" ht="15.75" customHeight="1" x14ac:dyDescent="0.25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spans="1:26" ht="15.75" customHeight="1" x14ac:dyDescent="0.25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spans="1:26" ht="15.75" customHeight="1" x14ac:dyDescent="0.25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spans="1:26" ht="15.75" customHeight="1" x14ac:dyDescent="0.2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spans="1:26" ht="15.75" customHeight="1" x14ac:dyDescent="0.25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spans="1:26" ht="15.75" customHeight="1" x14ac:dyDescent="0.25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spans="1:26" ht="15.75" customHeight="1" x14ac:dyDescent="0.25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spans="1:26" ht="15.75" customHeight="1" x14ac:dyDescent="0.25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spans="1:26" ht="15.75" customHeight="1" x14ac:dyDescent="0.25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spans="1:26" ht="15.75" customHeight="1" x14ac:dyDescent="0.25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spans="1:26" ht="15.75" customHeight="1" x14ac:dyDescent="0.25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spans="1:26" ht="15.75" customHeight="1" x14ac:dyDescent="0.25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spans="1:26" ht="15.75" customHeight="1" x14ac:dyDescent="0.25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spans="1:26" ht="15.75" customHeight="1" x14ac:dyDescent="0.2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spans="1:26" ht="15.75" customHeight="1" x14ac:dyDescent="0.25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spans="1:26" ht="15.75" customHeight="1" x14ac:dyDescent="0.25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spans="1:26" ht="15.75" customHeight="1" x14ac:dyDescent="0.25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spans="1:26" ht="15.75" customHeight="1" x14ac:dyDescent="0.25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spans="1:26" ht="15.75" customHeight="1" x14ac:dyDescent="0.25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spans="1:26" ht="15.75" customHeight="1" x14ac:dyDescent="0.25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spans="1:26" ht="15.75" customHeight="1" x14ac:dyDescent="0.25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spans="1:26" ht="15.75" customHeight="1" x14ac:dyDescent="0.25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spans="1:26" ht="15.75" customHeight="1" x14ac:dyDescent="0.25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spans="1:26" ht="15.75" customHeight="1" x14ac:dyDescent="0.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spans="1:26" ht="15.75" customHeight="1" x14ac:dyDescent="0.25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spans="1:26" ht="15.75" customHeight="1" x14ac:dyDescent="0.25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spans="1:26" ht="15.75" customHeight="1" x14ac:dyDescent="0.25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spans="1:26" ht="15.75" customHeight="1" x14ac:dyDescent="0.25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spans="1:26" ht="15.75" customHeight="1" x14ac:dyDescent="0.25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spans="1:26" ht="15.75" customHeight="1" x14ac:dyDescent="0.25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spans="1:26" ht="15.75" customHeight="1" x14ac:dyDescent="0.25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spans="1:26" ht="15.75" customHeight="1" x14ac:dyDescent="0.25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spans="1:26" ht="15.75" customHeight="1" x14ac:dyDescent="0.25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spans="1:26" ht="15.75" customHeight="1" x14ac:dyDescent="0.2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spans="1:26" ht="15.75" customHeight="1" x14ac:dyDescent="0.25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spans="1:26" ht="15.75" customHeight="1" x14ac:dyDescent="0.25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spans="1:26" ht="15.75" customHeight="1" x14ac:dyDescent="0.25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spans="1:26" ht="15.75" customHeight="1" x14ac:dyDescent="0.25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spans="1:26" ht="15.75" customHeight="1" x14ac:dyDescent="0.25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spans="1:26" ht="15.75" customHeight="1" x14ac:dyDescent="0.25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spans="1:26" ht="15.75" customHeight="1" x14ac:dyDescent="0.25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spans="1:26" ht="15.75" customHeight="1" x14ac:dyDescent="0.25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spans="1:26" ht="15.75" customHeight="1" x14ac:dyDescent="0.25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spans="1:26" ht="15.75" customHeight="1" x14ac:dyDescent="0.2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spans="1:26" ht="15.75" customHeight="1" x14ac:dyDescent="0.25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spans="1:26" ht="15.75" customHeight="1" x14ac:dyDescent="0.25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spans="1:26" ht="15.75" customHeight="1" x14ac:dyDescent="0.25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spans="1:26" ht="15.75" customHeight="1" x14ac:dyDescent="0.25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spans="1:26" ht="15.75" customHeight="1" x14ac:dyDescent="0.25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spans="1:26" ht="15.75" customHeight="1" x14ac:dyDescent="0.25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spans="1:26" ht="15.75" customHeight="1" x14ac:dyDescent="0.25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spans="1:26" ht="15.75" customHeight="1" x14ac:dyDescent="0.25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spans="1:26" ht="15.75" customHeight="1" x14ac:dyDescent="0.25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spans="1:26" ht="15.75" customHeight="1" x14ac:dyDescent="0.2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spans="1:26" ht="15.75" customHeight="1" x14ac:dyDescent="0.25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spans="1:26" ht="15.75" customHeight="1" x14ac:dyDescent="0.25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spans="1:26" ht="15.75" customHeight="1" x14ac:dyDescent="0.25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spans="1:26" ht="15.75" customHeight="1" x14ac:dyDescent="0.25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spans="1:26" ht="15.75" customHeight="1" x14ac:dyDescent="0.25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spans="1:26" ht="15.75" customHeight="1" x14ac:dyDescent="0.25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spans="1:26" ht="15.75" customHeight="1" x14ac:dyDescent="0.25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spans="1:26" ht="15.75" customHeight="1" x14ac:dyDescent="0.25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spans="1:26" ht="15.75" customHeight="1" x14ac:dyDescent="0.25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spans="1:26" ht="15.75" customHeight="1" x14ac:dyDescent="0.2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spans="1:26" ht="15.75" customHeight="1" x14ac:dyDescent="0.25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spans="1:26" ht="15.75" customHeight="1" x14ac:dyDescent="0.25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spans="1:26" ht="15.75" customHeight="1" x14ac:dyDescent="0.25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spans="1:26" ht="15.75" customHeight="1" x14ac:dyDescent="0.25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spans="1:26" ht="15.75" customHeight="1" x14ac:dyDescent="0.25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spans="1:26" ht="15.75" customHeight="1" x14ac:dyDescent="0.25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spans="1:26" ht="15.75" customHeight="1" x14ac:dyDescent="0.25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spans="1:26" ht="15.75" customHeight="1" x14ac:dyDescent="0.25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spans="1:26" ht="15.75" customHeight="1" x14ac:dyDescent="0.25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spans="1:26" ht="15.75" customHeight="1" x14ac:dyDescent="0.2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spans="1:26" ht="15.75" customHeight="1" x14ac:dyDescent="0.25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spans="1:26" ht="15.75" customHeight="1" x14ac:dyDescent="0.25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spans="1:26" ht="15.75" customHeight="1" x14ac:dyDescent="0.25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spans="1:26" ht="15.75" customHeight="1" x14ac:dyDescent="0.25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spans="1:26" ht="15.75" customHeight="1" x14ac:dyDescent="0.25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spans="1:26" ht="15.75" customHeight="1" x14ac:dyDescent="0.25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spans="1:26" ht="15.75" customHeight="1" x14ac:dyDescent="0.25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spans="1:26" ht="15.75" customHeight="1" x14ac:dyDescent="0.25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spans="1:26" ht="15.75" customHeight="1" x14ac:dyDescent="0.25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spans="1:26" ht="15.75" customHeight="1" x14ac:dyDescent="0.2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spans="1:26" ht="15.75" customHeight="1" x14ac:dyDescent="0.25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spans="1:26" ht="15.75" customHeight="1" x14ac:dyDescent="0.25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spans="1:26" ht="15.75" customHeight="1" x14ac:dyDescent="0.25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spans="1:26" ht="15.75" customHeight="1" x14ac:dyDescent="0.25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spans="1:26" ht="15.75" customHeight="1" x14ac:dyDescent="0.25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spans="1:26" ht="15.75" customHeight="1" x14ac:dyDescent="0.25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spans="1:26" ht="15.75" customHeight="1" x14ac:dyDescent="0.25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spans="1:26" ht="15.75" customHeight="1" x14ac:dyDescent="0.25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spans="1:26" ht="15.75" customHeight="1" x14ac:dyDescent="0.25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spans="1:26" ht="15.75" customHeight="1" x14ac:dyDescent="0.2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spans="1:26" ht="15.75" customHeight="1" x14ac:dyDescent="0.25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spans="1:26" ht="15.75" customHeight="1" x14ac:dyDescent="0.25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spans="1:26" ht="15.75" customHeight="1" x14ac:dyDescent="0.25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spans="1:26" ht="15.75" customHeight="1" x14ac:dyDescent="0.25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spans="1:26" ht="15.75" customHeight="1" x14ac:dyDescent="0.25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spans="1:26" ht="15.75" customHeight="1" x14ac:dyDescent="0.25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spans="1:26" ht="15.75" customHeight="1" x14ac:dyDescent="0.25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spans="1:26" ht="15.75" customHeight="1" x14ac:dyDescent="0.25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spans="1:26" ht="15.75" customHeight="1" x14ac:dyDescent="0.25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spans="1:26" ht="15.75" customHeight="1" x14ac:dyDescent="0.2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spans="1:26" ht="15.75" customHeight="1" x14ac:dyDescent="0.25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spans="1:26" ht="15.75" customHeight="1" x14ac:dyDescent="0.25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spans="1:26" ht="15.75" customHeight="1" x14ac:dyDescent="0.25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spans="1:26" ht="15.75" customHeight="1" x14ac:dyDescent="0.25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spans="1:26" ht="15.75" customHeight="1" x14ac:dyDescent="0.25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spans="1:26" ht="15.75" customHeight="1" x14ac:dyDescent="0.25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spans="1:26" ht="15.75" customHeight="1" x14ac:dyDescent="0.25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spans="1:26" ht="15.75" customHeight="1" x14ac:dyDescent="0.25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spans="1:26" ht="15.75" customHeight="1" x14ac:dyDescent="0.25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spans="1:26" ht="15.75" customHeight="1" x14ac:dyDescent="0.2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spans="1:26" ht="15.75" customHeight="1" x14ac:dyDescent="0.25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spans="1:26" ht="15.75" customHeight="1" x14ac:dyDescent="0.25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spans="1:26" ht="15.75" customHeight="1" x14ac:dyDescent="0.25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spans="1:26" ht="15.75" customHeight="1" x14ac:dyDescent="0.25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spans="1:26" ht="15.75" customHeight="1" x14ac:dyDescent="0.25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spans="1:26" ht="15.75" customHeight="1" x14ac:dyDescent="0.25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spans="1:26" ht="15.75" customHeight="1" x14ac:dyDescent="0.25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spans="1:26" ht="15.75" customHeight="1" x14ac:dyDescent="0.25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spans="1:26" ht="15.75" customHeight="1" x14ac:dyDescent="0.25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spans="1:26" ht="15.75" customHeight="1" x14ac:dyDescent="0.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spans="1:26" ht="15.75" customHeight="1" x14ac:dyDescent="0.25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spans="1:26" ht="15.75" customHeight="1" x14ac:dyDescent="0.25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spans="1:26" ht="15.75" customHeight="1" x14ac:dyDescent="0.25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spans="1:26" ht="15.75" customHeight="1" x14ac:dyDescent="0.25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spans="1:26" ht="15.75" customHeight="1" x14ac:dyDescent="0.25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spans="1:26" ht="15.75" customHeight="1" x14ac:dyDescent="0.25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spans="1:26" ht="15.75" customHeight="1" x14ac:dyDescent="0.25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spans="1:26" ht="15.75" customHeight="1" x14ac:dyDescent="0.25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spans="1:26" ht="15.75" customHeight="1" x14ac:dyDescent="0.25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spans="1:26" ht="15.75" customHeight="1" x14ac:dyDescent="0.2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spans="1:26" ht="15.75" customHeight="1" x14ac:dyDescent="0.25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spans="1:26" ht="15.75" customHeight="1" x14ac:dyDescent="0.25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spans="1:26" ht="15.75" customHeight="1" x14ac:dyDescent="0.25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spans="1:26" ht="15.75" customHeight="1" x14ac:dyDescent="0.25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spans="1:26" ht="15.75" customHeight="1" x14ac:dyDescent="0.25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spans="1:26" ht="15.75" customHeight="1" x14ac:dyDescent="0.25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spans="1:26" ht="15.75" customHeight="1" x14ac:dyDescent="0.25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spans="1:26" ht="15.75" customHeight="1" x14ac:dyDescent="0.25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spans="1:26" ht="15.75" customHeight="1" x14ac:dyDescent="0.25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spans="1:26" ht="15.75" customHeight="1" x14ac:dyDescent="0.2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spans="1:26" ht="15.75" customHeight="1" x14ac:dyDescent="0.25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spans="1:26" ht="15.75" customHeight="1" x14ac:dyDescent="0.25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spans="1:26" ht="15.75" customHeight="1" x14ac:dyDescent="0.25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spans="1:26" ht="15.75" customHeight="1" x14ac:dyDescent="0.25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spans="1:26" ht="15.75" customHeight="1" x14ac:dyDescent="0.25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spans="1:26" ht="15.75" customHeight="1" x14ac:dyDescent="0.25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spans="1:26" ht="15.75" customHeight="1" x14ac:dyDescent="0.25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spans="1:26" ht="15.75" customHeight="1" x14ac:dyDescent="0.25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spans="1:26" ht="15.75" customHeight="1" x14ac:dyDescent="0.25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spans="1:26" ht="15.75" customHeight="1" x14ac:dyDescent="0.2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spans="1:26" ht="15.75" customHeight="1" x14ac:dyDescent="0.25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spans="1:26" ht="15.75" customHeight="1" x14ac:dyDescent="0.25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spans="1:26" ht="15.75" customHeight="1" x14ac:dyDescent="0.25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spans="1:26" ht="15.75" customHeight="1" x14ac:dyDescent="0.25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spans="1:26" ht="15.75" customHeight="1" x14ac:dyDescent="0.25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spans="1:26" ht="15.75" customHeight="1" x14ac:dyDescent="0.25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spans="1:26" ht="15.75" customHeight="1" x14ac:dyDescent="0.25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spans="1:26" ht="15.75" customHeight="1" x14ac:dyDescent="0.25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spans="1:26" ht="15.75" customHeight="1" x14ac:dyDescent="0.25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spans="1:26" ht="15.75" customHeight="1" x14ac:dyDescent="0.2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spans="1:26" ht="15.75" customHeight="1" x14ac:dyDescent="0.25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spans="1:26" ht="15.75" customHeight="1" x14ac:dyDescent="0.25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spans="1:26" ht="15.75" customHeight="1" x14ac:dyDescent="0.25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spans="1:26" ht="15.75" customHeight="1" x14ac:dyDescent="0.25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spans="1:26" ht="15.75" customHeight="1" x14ac:dyDescent="0.25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spans="1:26" ht="15.75" customHeight="1" x14ac:dyDescent="0.25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spans="1:26" ht="15.75" customHeight="1" x14ac:dyDescent="0.25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spans="1:26" ht="15.75" customHeight="1" x14ac:dyDescent="0.25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spans="1:26" ht="15.75" customHeight="1" x14ac:dyDescent="0.25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spans="1:26" ht="15.75" customHeight="1" x14ac:dyDescent="0.2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spans="1:26" ht="15.75" customHeight="1" x14ac:dyDescent="0.25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spans="1:26" ht="15.75" customHeight="1" x14ac:dyDescent="0.25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spans="1:26" ht="15.75" customHeight="1" x14ac:dyDescent="0.25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spans="1:26" ht="15.75" customHeight="1" x14ac:dyDescent="0.25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spans="1:26" ht="15.75" customHeight="1" x14ac:dyDescent="0.25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spans="1:26" ht="15.75" customHeight="1" x14ac:dyDescent="0.25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spans="1:26" ht="15.75" customHeight="1" x14ac:dyDescent="0.25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spans="1:26" ht="15.75" customHeight="1" x14ac:dyDescent="0.25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spans="1:26" ht="15.75" customHeight="1" x14ac:dyDescent="0.25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spans="1:26" ht="15.75" customHeight="1" x14ac:dyDescent="0.2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spans="1:26" ht="15.75" customHeight="1" x14ac:dyDescent="0.25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spans="1:26" ht="15.75" customHeight="1" x14ac:dyDescent="0.25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spans="1:26" ht="15.75" customHeight="1" x14ac:dyDescent="0.25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spans="1:26" ht="15.75" customHeight="1" x14ac:dyDescent="0.25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spans="1:26" ht="15.75" customHeight="1" x14ac:dyDescent="0.25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spans="1:26" ht="15.75" customHeight="1" x14ac:dyDescent="0.25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spans="1:26" ht="15.75" customHeight="1" x14ac:dyDescent="0.25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spans="1:26" ht="15.75" customHeight="1" x14ac:dyDescent="0.25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spans="1:26" ht="15.75" customHeight="1" x14ac:dyDescent="0.25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spans="1:26" ht="15.75" customHeight="1" x14ac:dyDescent="0.2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spans="1:26" ht="15.75" customHeight="1" x14ac:dyDescent="0.25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spans="1:26" ht="15.75" customHeight="1" x14ac:dyDescent="0.25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spans="1:26" ht="15.75" customHeight="1" x14ac:dyDescent="0.25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spans="1:26" ht="15.75" customHeight="1" x14ac:dyDescent="0.25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spans="1:26" ht="15.75" customHeight="1" x14ac:dyDescent="0.25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spans="1:26" ht="15.75" customHeight="1" x14ac:dyDescent="0.25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spans="1:26" ht="15.75" customHeight="1" x14ac:dyDescent="0.25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spans="1:26" ht="15.75" customHeight="1" x14ac:dyDescent="0.25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spans="1:26" ht="15.75" customHeight="1" x14ac:dyDescent="0.25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spans="1:26" ht="15.75" customHeight="1" x14ac:dyDescent="0.2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spans="1:26" ht="15.75" customHeight="1" x14ac:dyDescent="0.25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spans="1:26" ht="15.75" customHeight="1" x14ac:dyDescent="0.25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spans="1:26" ht="15.75" customHeight="1" x14ac:dyDescent="0.25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spans="1:26" ht="15.75" customHeight="1" x14ac:dyDescent="0.25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spans="1:26" ht="15.75" customHeight="1" x14ac:dyDescent="0.25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spans="1:26" ht="15.75" customHeight="1" x14ac:dyDescent="0.25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spans="1:26" ht="15.75" customHeight="1" x14ac:dyDescent="0.25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spans="1:26" ht="15.75" customHeight="1" x14ac:dyDescent="0.25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spans="1:26" ht="15.75" customHeight="1" x14ac:dyDescent="0.25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spans="1:26" ht="15.75" customHeight="1" x14ac:dyDescent="0.2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spans="1:26" ht="15.75" customHeight="1" x14ac:dyDescent="0.25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spans="1:26" ht="15.75" customHeight="1" x14ac:dyDescent="0.25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spans="1:26" ht="15.75" customHeight="1" x14ac:dyDescent="0.25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spans="1:26" ht="15.75" customHeight="1" x14ac:dyDescent="0.25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spans="1:26" ht="15.75" customHeight="1" x14ac:dyDescent="0.25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spans="1:26" ht="15.75" customHeight="1" x14ac:dyDescent="0.25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spans="1:26" ht="15.75" customHeight="1" x14ac:dyDescent="0.25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spans="1:26" ht="15.75" customHeight="1" x14ac:dyDescent="0.25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spans="1:26" ht="15.75" customHeight="1" x14ac:dyDescent="0.25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spans="1:26" ht="15.75" customHeight="1" x14ac:dyDescent="0.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spans="1:26" ht="15.75" customHeight="1" x14ac:dyDescent="0.25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spans="1:26" ht="15.75" customHeight="1" x14ac:dyDescent="0.25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spans="1:26" ht="15.75" customHeight="1" x14ac:dyDescent="0.25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spans="1:26" ht="15.75" customHeight="1" x14ac:dyDescent="0.25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spans="1:26" ht="15.75" customHeight="1" x14ac:dyDescent="0.25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spans="1:26" ht="15.75" customHeight="1" x14ac:dyDescent="0.25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spans="1:26" ht="15.75" customHeight="1" x14ac:dyDescent="0.25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spans="1:26" ht="15.75" customHeight="1" x14ac:dyDescent="0.25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spans="1:26" ht="15.75" customHeight="1" x14ac:dyDescent="0.25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spans="1:26" ht="15.75" customHeight="1" x14ac:dyDescent="0.2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spans="1:26" ht="15.75" customHeight="1" x14ac:dyDescent="0.25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spans="1:26" ht="15.75" customHeight="1" x14ac:dyDescent="0.25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spans="1:26" ht="15.75" customHeight="1" x14ac:dyDescent="0.25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spans="1:26" ht="15.75" customHeight="1" x14ac:dyDescent="0.25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spans="1:26" ht="15.75" customHeight="1" x14ac:dyDescent="0.25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spans="1:26" ht="15.75" customHeight="1" x14ac:dyDescent="0.25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spans="1:26" ht="15.75" customHeight="1" x14ac:dyDescent="0.25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spans="1:26" ht="15.75" customHeight="1" x14ac:dyDescent="0.25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spans="1:26" ht="15.75" customHeight="1" x14ac:dyDescent="0.25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spans="1:26" ht="15.75" customHeight="1" x14ac:dyDescent="0.2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spans="1:26" ht="15.75" customHeight="1" x14ac:dyDescent="0.25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spans="1:26" ht="15.75" customHeight="1" x14ac:dyDescent="0.25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spans="1:26" ht="15.75" customHeight="1" x14ac:dyDescent="0.25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spans="1:26" ht="15.75" customHeight="1" x14ac:dyDescent="0.25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spans="1:26" ht="15.75" customHeight="1" x14ac:dyDescent="0.25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spans="1:26" ht="15.75" customHeight="1" x14ac:dyDescent="0.25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spans="1:26" ht="15.75" customHeight="1" x14ac:dyDescent="0.25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spans="1:26" ht="15.75" customHeight="1" x14ac:dyDescent="0.25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spans="1:26" ht="15.75" customHeight="1" x14ac:dyDescent="0.25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spans="1:26" ht="15.75" customHeight="1" x14ac:dyDescent="0.2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spans="1:26" ht="15.75" customHeight="1" x14ac:dyDescent="0.25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spans="1:26" ht="15.75" customHeight="1" x14ac:dyDescent="0.25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spans="1:26" ht="15.75" customHeight="1" x14ac:dyDescent="0.25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spans="1:26" ht="15.75" customHeight="1" x14ac:dyDescent="0.25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spans="1:26" ht="15.75" customHeight="1" x14ac:dyDescent="0.25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spans="1:26" ht="15.75" customHeight="1" x14ac:dyDescent="0.25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spans="1:26" ht="15.75" customHeight="1" x14ac:dyDescent="0.25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spans="1:26" ht="15.75" customHeight="1" x14ac:dyDescent="0.25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spans="1:26" ht="15.75" customHeight="1" x14ac:dyDescent="0.25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spans="1:26" ht="15.75" customHeight="1" x14ac:dyDescent="0.2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spans="1:26" ht="15.75" customHeight="1" x14ac:dyDescent="0.25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spans="1:26" ht="15.75" customHeight="1" x14ac:dyDescent="0.25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spans="1:26" ht="15.75" customHeight="1" x14ac:dyDescent="0.25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spans="1:26" ht="15.75" customHeight="1" x14ac:dyDescent="0.25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spans="1:26" ht="15.75" customHeight="1" x14ac:dyDescent="0.25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spans="1:26" ht="15.75" customHeight="1" x14ac:dyDescent="0.25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spans="1:26" ht="15.75" customHeight="1" x14ac:dyDescent="0.25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spans="1:26" ht="15.75" customHeight="1" x14ac:dyDescent="0.25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spans="1:26" ht="15.75" customHeight="1" x14ac:dyDescent="0.25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spans="1:26" ht="15.75" customHeight="1" x14ac:dyDescent="0.2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spans="1:26" ht="15.75" customHeight="1" x14ac:dyDescent="0.25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spans="1:26" ht="15.75" customHeight="1" x14ac:dyDescent="0.25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spans="1:26" ht="15.75" customHeight="1" x14ac:dyDescent="0.25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spans="1:26" ht="15.75" customHeight="1" x14ac:dyDescent="0.25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spans="1:26" ht="15.75" customHeight="1" x14ac:dyDescent="0.25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spans="1:26" ht="15.75" customHeight="1" x14ac:dyDescent="0.25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spans="1:26" ht="15.75" customHeight="1" x14ac:dyDescent="0.25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spans="1:26" ht="15.75" customHeight="1" x14ac:dyDescent="0.25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spans="1:26" ht="15.75" customHeight="1" x14ac:dyDescent="0.25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spans="1:26" ht="15.75" customHeight="1" x14ac:dyDescent="0.2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spans="1:26" ht="15.75" customHeight="1" x14ac:dyDescent="0.25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spans="1:26" ht="15.75" customHeight="1" x14ac:dyDescent="0.25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spans="1:26" ht="15.75" customHeight="1" x14ac:dyDescent="0.25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spans="1:26" ht="15.75" customHeight="1" x14ac:dyDescent="0.25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spans="1:26" ht="15.75" customHeight="1" x14ac:dyDescent="0.25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spans="1:26" ht="15.75" customHeight="1" x14ac:dyDescent="0.25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spans="1:26" ht="15.75" customHeight="1" x14ac:dyDescent="0.25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spans="1:26" ht="15.75" customHeight="1" x14ac:dyDescent="0.25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spans="1:26" ht="15.75" customHeight="1" x14ac:dyDescent="0.25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spans="1:26" ht="15.75" customHeight="1" x14ac:dyDescent="0.2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spans="1:26" ht="15.75" customHeight="1" x14ac:dyDescent="0.25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spans="1:26" ht="15.75" customHeight="1" x14ac:dyDescent="0.25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spans="1:26" ht="15.75" customHeight="1" x14ac:dyDescent="0.25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spans="1:26" ht="15.75" customHeight="1" x14ac:dyDescent="0.25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spans="1:26" ht="15.75" customHeight="1" x14ac:dyDescent="0.25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spans="1:26" ht="15.75" customHeight="1" x14ac:dyDescent="0.25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spans="1:26" ht="15.75" customHeight="1" x14ac:dyDescent="0.25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spans="1:26" ht="15.75" customHeight="1" x14ac:dyDescent="0.25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spans="1:26" ht="15.75" customHeight="1" x14ac:dyDescent="0.25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spans="1:26" ht="15.75" customHeight="1" x14ac:dyDescent="0.2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spans="1:26" ht="15.75" customHeight="1" x14ac:dyDescent="0.25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spans="1:26" ht="15.75" customHeight="1" x14ac:dyDescent="0.25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spans="1:26" ht="15.75" customHeight="1" x14ac:dyDescent="0.25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spans="1:26" ht="15.75" customHeight="1" x14ac:dyDescent="0.25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spans="1:26" ht="15.75" customHeight="1" x14ac:dyDescent="0.25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spans="1:26" ht="15.75" customHeight="1" x14ac:dyDescent="0.25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spans="1:26" ht="15.75" customHeight="1" x14ac:dyDescent="0.25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spans="1:26" ht="15.75" customHeight="1" x14ac:dyDescent="0.25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spans="1:26" ht="15.75" customHeight="1" x14ac:dyDescent="0.25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spans="1:26" ht="15.75" customHeight="1" x14ac:dyDescent="0.2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spans="1:26" ht="15.75" customHeight="1" x14ac:dyDescent="0.25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spans="1:26" ht="15.75" customHeight="1" x14ac:dyDescent="0.25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spans="1:26" ht="15.75" customHeight="1" x14ac:dyDescent="0.25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spans="1:26" ht="15.75" customHeight="1" x14ac:dyDescent="0.25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spans="1:26" ht="15.75" customHeight="1" x14ac:dyDescent="0.25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spans="1:26" ht="15.75" customHeight="1" x14ac:dyDescent="0.25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spans="1:26" ht="15.75" customHeight="1" x14ac:dyDescent="0.25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spans="1:26" ht="15.75" customHeight="1" x14ac:dyDescent="0.25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spans="1:26" ht="15.75" customHeight="1" x14ac:dyDescent="0.25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spans="1:26" ht="15.75" customHeight="1" x14ac:dyDescent="0.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spans="1:26" ht="15.75" customHeight="1" x14ac:dyDescent="0.25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spans="1:26" ht="15.75" customHeight="1" x14ac:dyDescent="0.25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spans="1:26" ht="15.75" customHeight="1" x14ac:dyDescent="0.25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spans="1:26" ht="15.75" customHeight="1" x14ac:dyDescent="0.25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spans="1:26" ht="15.75" customHeight="1" x14ac:dyDescent="0.25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spans="1:26" ht="15.75" customHeight="1" x14ac:dyDescent="0.25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spans="1:26" ht="15.75" customHeight="1" x14ac:dyDescent="0.25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spans="1:26" ht="15.75" customHeight="1" x14ac:dyDescent="0.25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spans="1:26" ht="15.75" customHeight="1" x14ac:dyDescent="0.25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spans="1:26" ht="15.75" customHeight="1" x14ac:dyDescent="0.2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spans="1:26" ht="15.75" customHeight="1" x14ac:dyDescent="0.25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spans="1:26" ht="15.75" customHeight="1" x14ac:dyDescent="0.25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spans="1:26" ht="15.75" customHeight="1" x14ac:dyDescent="0.25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spans="1:26" ht="15.75" customHeight="1" x14ac:dyDescent="0.25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spans="1:26" ht="15.75" customHeight="1" x14ac:dyDescent="0.25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spans="1:26" ht="15.75" customHeight="1" x14ac:dyDescent="0.25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spans="1:26" ht="15.75" customHeight="1" x14ac:dyDescent="0.25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spans="1:26" ht="15.75" customHeight="1" x14ac:dyDescent="0.25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spans="1:26" ht="15.75" customHeight="1" x14ac:dyDescent="0.25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spans="1:26" ht="15.75" customHeight="1" x14ac:dyDescent="0.2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spans="1:26" ht="15.75" customHeight="1" x14ac:dyDescent="0.25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spans="1:26" ht="15.75" customHeight="1" x14ac:dyDescent="0.25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spans="1:26" ht="15.75" customHeight="1" x14ac:dyDescent="0.25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spans="1:26" ht="15.75" customHeight="1" x14ac:dyDescent="0.25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spans="1:26" ht="15.75" customHeight="1" x14ac:dyDescent="0.25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spans="1:26" ht="15.75" customHeight="1" x14ac:dyDescent="0.25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spans="1:26" ht="15.75" customHeight="1" x14ac:dyDescent="0.25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spans="1:26" ht="15.75" customHeight="1" x14ac:dyDescent="0.25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spans="1:26" ht="15.75" customHeight="1" x14ac:dyDescent="0.25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spans="1:26" ht="15.75" customHeight="1" x14ac:dyDescent="0.2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spans="1:26" ht="15.75" customHeight="1" x14ac:dyDescent="0.25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spans="1:26" ht="15.75" customHeight="1" x14ac:dyDescent="0.25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spans="1:26" ht="15.75" customHeight="1" x14ac:dyDescent="0.25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spans="1:26" ht="15.75" customHeight="1" x14ac:dyDescent="0.25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spans="1:26" ht="15.75" customHeight="1" x14ac:dyDescent="0.25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spans="1:26" ht="15.75" customHeight="1" x14ac:dyDescent="0.25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spans="1:26" ht="15.75" customHeight="1" x14ac:dyDescent="0.25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spans="1:26" ht="15.75" customHeight="1" x14ac:dyDescent="0.25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spans="1:26" ht="15.75" customHeight="1" x14ac:dyDescent="0.25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spans="1:26" ht="15.75" customHeight="1" x14ac:dyDescent="0.2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spans="1:26" ht="15.75" customHeight="1" x14ac:dyDescent="0.25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spans="1:26" ht="15.75" customHeight="1" x14ac:dyDescent="0.25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spans="1:26" ht="15.75" customHeight="1" x14ac:dyDescent="0.25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spans="1:26" ht="15.75" customHeight="1" x14ac:dyDescent="0.25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spans="1:26" ht="15.75" customHeight="1" x14ac:dyDescent="0.25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spans="1:26" ht="15.75" customHeight="1" x14ac:dyDescent="0.25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spans="1:26" ht="15.75" customHeight="1" x14ac:dyDescent="0.25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spans="1:26" ht="15.75" customHeight="1" x14ac:dyDescent="0.25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spans="1:26" ht="15.75" customHeight="1" x14ac:dyDescent="0.25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spans="1:26" ht="15.75" customHeight="1" x14ac:dyDescent="0.2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spans="1:26" ht="15.75" customHeight="1" x14ac:dyDescent="0.25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spans="1:26" ht="15.75" customHeight="1" x14ac:dyDescent="0.25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spans="1:26" ht="15.75" customHeight="1" x14ac:dyDescent="0.25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spans="1:26" ht="15.75" customHeight="1" x14ac:dyDescent="0.25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spans="1:26" ht="15.75" customHeight="1" x14ac:dyDescent="0.25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spans="1:26" ht="15.75" customHeight="1" x14ac:dyDescent="0.25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spans="1:26" ht="15.75" customHeight="1" x14ac:dyDescent="0.25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spans="1:26" ht="15.75" customHeight="1" x14ac:dyDescent="0.25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spans="1:26" ht="15.75" customHeight="1" x14ac:dyDescent="0.25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spans="1:26" ht="15.75" customHeight="1" x14ac:dyDescent="0.2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spans="1:26" ht="15.75" customHeight="1" x14ac:dyDescent="0.25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spans="1:26" ht="15.75" customHeight="1" x14ac:dyDescent="0.25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spans="1:26" ht="15.75" customHeight="1" x14ac:dyDescent="0.25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spans="1:26" ht="15.75" customHeight="1" x14ac:dyDescent="0.25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spans="1:26" ht="15.75" customHeight="1" x14ac:dyDescent="0.25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spans="1:26" ht="15.75" customHeight="1" x14ac:dyDescent="0.25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spans="1:26" ht="15.75" customHeight="1" x14ac:dyDescent="0.25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spans="1:26" ht="15.75" customHeight="1" x14ac:dyDescent="0.25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spans="1:26" ht="15.75" customHeight="1" x14ac:dyDescent="0.25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spans="1:26" ht="15.75" customHeight="1" x14ac:dyDescent="0.2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spans="1:26" ht="15.75" customHeight="1" x14ac:dyDescent="0.25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spans="1:26" ht="15.75" customHeight="1" x14ac:dyDescent="0.25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spans="1:26" ht="15.75" customHeight="1" x14ac:dyDescent="0.25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 spans="1:26" ht="15.75" customHeight="1" x14ac:dyDescent="0.25">
      <c r="A999" s="144"/>
      <c r="B999" s="144"/>
      <c r="C999" s="144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6"/>
  <sheetViews>
    <sheetView showGridLines="0" tabSelected="1" topLeftCell="A53" workbookViewId="0">
      <selection activeCell="F68" sqref="F68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8" width="15.42578125" customWidth="1"/>
    <col min="9" max="9" width="9.140625" customWidth="1"/>
    <col min="10" max="10" width="11.7109375" customWidth="1"/>
    <col min="11" max="27" width="9.140625" customWidth="1"/>
  </cols>
  <sheetData>
    <row r="1" spans="1:27" ht="12.75" customHeight="1" x14ac:dyDescent="0.25">
      <c r="A1" s="222" t="s">
        <v>110</v>
      </c>
      <c r="B1" s="223"/>
      <c r="C1" s="223"/>
      <c r="D1" s="223"/>
      <c r="E1" s="223"/>
      <c r="F1" s="224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</row>
    <row r="2" spans="1:27" ht="12.75" customHeight="1" x14ac:dyDescent="0.25">
      <c r="A2" s="225"/>
      <c r="B2" s="226"/>
      <c r="C2" s="226"/>
      <c r="D2" s="226"/>
      <c r="E2" s="226"/>
      <c r="F2" s="227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</row>
    <row r="3" spans="1:27" ht="12.75" customHeight="1" x14ac:dyDescent="0.25">
      <c r="A3" s="225"/>
      <c r="B3" s="226"/>
      <c r="C3" s="226"/>
      <c r="D3" s="226"/>
      <c r="E3" s="226"/>
      <c r="F3" s="227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</row>
    <row r="4" spans="1:27" ht="12.75" customHeight="1" x14ac:dyDescent="0.25">
      <c r="A4" s="225"/>
      <c r="B4" s="226"/>
      <c r="C4" s="226"/>
      <c r="D4" s="226"/>
      <c r="E4" s="226"/>
      <c r="F4" s="227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</row>
    <row r="5" spans="1:27" ht="13.5" customHeight="1" x14ac:dyDescent="0.25">
      <c r="A5" s="228"/>
      <c r="B5" s="229"/>
      <c r="C5" s="229"/>
      <c r="D5" s="229"/>
      <c r="E5" s="229"/>
      <c r="F5" s="230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</row>
    <row r="6" spans="1:27" ht="19.5" customHeight="1" x14ac:dyDescent="0.25">
      <c r="A6" s="146"/>
      <c r="B6" s="147"/>
      <c r="C6" s="147"/>
      <c r="D6" s="148"/>
      <c r="E6" s="148"/>
      <c r="F6" s="149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</row>
    <row r="7" spans="1:27" ht="19.5" customHeight="1" x14ac:dyDescent="0.25">
      <c r="A7" s="150" t="s">
        <v>111</v>
      </c>
      <c r="B7" s="231" t="str">
        <f>OBRA!B2</f>
        <v>BD Empreendimentos</v>
      </c>
      <c r="C7" s="232"/>
      <c r="D7" s="232"/>
      <c r="E7" s="232"/>
      <c r="F7" s="233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</row>
    <row r="8" spans="1:27" ht="19.5" customHeight="1" x14ac:dyDescent="0.25">
      <c r="A8" s="151" t="s">
        <v>0</v>
      </c>
      <c r="B8" s="234" t="str">
        <f>OBRA!B1</f>
        <v>Jardim Campeche</v>
      </c>
      <c r="C8" s="201"/>
      <c r="D8" s="201"/>
      <c r="E8" s="201"/>
      <c r="F8" s="202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</row>
    <row r="9" spans="1:27" ht="19.5" customHeight="1" x14ac:dyDescent="0.25">
      <c r="A9" s="151" t="s">
        <v>112</v>
      </c>
      <c r="B9" s="235">
        <v>46050</v>
      </c>
      <c r="C9" s="201"/>
      <c r="D9" s="201"/>
      <c r="E9" s="201"/>
      <c r="F9" s="202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</row>
    <row r="10" spans="1:27" ht="19.5" customHeight="1" x14ac:dyDescent="0.25">
      <c r="A10" s="152" t="s">
        <v>113</v>
      </c>
      <c r="B10" s="236" t="str">
        <f>OBRA!B3</f>
        <v>R00</v>
      </c>
      <c r="C10" s="237"/>
      <c r="D10" s="237"/>
      <c r="E10" s="237"/>
      <c r="F10" s="238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</row>
    <row r="11" spans="1:27" ht="19.5" customHeight="1" x14ac:dyDescent="0.25">
      <c r="A11" s="153"/>
      <c r="B11" s="153"/>
      <c r="C11" s="153"/>
      <c r="D11" s="154"/>
      <c r="E11" s="154"/>
      <c r="F11" s="154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</row>
    <row r="12" spans="1:27" ht="21" customHeight="1" x14ac:dyDescent="0.25">
      <c r="A12" s="217" t="s">
        <v>114</v>
      </c>
      <c r="B12" s="205"/>
      <c r="C12" s="205"/>
      <c r="D12" s="205"/>
      <c r="E12" s="205"/>
      <c r="F12" s="218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</row>
    <row r="13" spans="1:27" ht="19.5" customHeight="1" x14ac:dyDescent="0.25">
      <c r="A13" s="155" t="s">
        <v>115</v>
      </c>
      <c r="B13" s="155" t="s">
        <v>5</v>
      </c>
      <c r="C13" s="155" t="s">
        <v>116</v>
      </c>
      <c r="D13" s="156" t="s">
        <v>117</v>
      </c>
      <c r="E13" s="156" t="s">
        <v>118</v>
      </c>
      <c r="F13" s="156" t="s">
        <v>119</v>
      </c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</row>
    <row r="14" spans="1:27" ht="15.75" customHeight="1" x14ac:dyDescent="0.25">
      <c r="A14" s="158" t="s">
        <v>120</v>
      </c>
      <c r="B14" s="159" t="s">
        <v>114</v>
      </c>
      <c r="C14" s="159"/>
      <c r="D14" s="160"/>
      <c r="E14" s="160"/>
      <c r="F14" s="161">
        <f>F15+F20</f>
        <v>408539.85956307157</v>
      </c>
      <c r="G14" s="162"/>
      <c r="H14" s="162"/>
      <c r="I14" s="162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</row>
    <row r="15" spans="1:27" ht="15.75" customHeight="1" x14ac:dyDescent="0.25">
      <c r="A15" s="163" t="s">
        <v>121</v>
      </c>
      <c r="B15" s="164" t="s">
        <v>122</v>
      </c>
      <c r="C15" s="164"/>
      <c r="D15" s="165"/>
      <c r="E15" s="165"/>
      <c r="F15" s="166">
        <f>SUM(F16:F19)</f>
        <v>310726.94328850124</v>
      </c>
      <c r="G15" s="198">
        <f t="shared" ref="G15:G46" si="0">F15/$F$72</f>
        <v>0.12037718457665041</v>
      </c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</row>
    <row r="16" spans="1:27" ht="15.75" customHeight="1" x14ac:dyDescent="0.25">
      <c r="A16" s="167" t="s">
        <v>123</v>
      </c>
      <c r="B16" s="168" t="s">
        <v>124</v>
      </c>
      <c r="C16" s="168"/>
      <c r="D16" s="169"/>
      <c r="E16" s="169"/>
      <c r="F16" s="170">
        <f>BASES!H10</f>
        <v>18489.049516069506</v>
      </c>
      <c r="G16" s="198">
        <f t="shared" si="0"/>
        <v>7.1627510079686442E-3</v>
      </c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</row>
    <row r="17" spans="1:27" ht="15.75" customHeight="1" x14ac:dyDescent="0.25">
      <c r="A17" s="167" t="s">
        <v>125</v>
      </c>
      <c r="B17" s="168" t="s">
        <v>126</v>
      </c>
      <c r="C17" s="168"/>
      <c r="D17" s="169"/>
      <c r="E17" s="169"/>
      <c r="F17" s="170">
        <f>BASES!H11</f>
        <v>208534.21906487082</v>
      </c>
      <c r="G17" s="198">
        <f t="shared" si="0"/>
        <v>8.0787207936494895E-2</v>
      </c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</row>
    <row r="18" spans="1:27" ht="15.75" customHeight="1" x14ac:dyDescent="0.25">
      <c r="A18" s="167" t="s">
        <v>127</v>
      </c>
      <c r="B18" s="168" t="s">
        <v>128</v>
      </c>
      <c r="C18" s="168"/>
      <c r="D18" s="169"/>
      <c r="E18" s="169"/>
      <c r="F18" s="170">
        <f>BASES!H12</f>
        <v>59535.621700461917</v>
      </c>
      <c r="G18" s="198">
        <f t="shared" si="0"/>
        <v>2.306440003713495E-2</v>
      </c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</row>
    <row r="19" spans="1:27" ht="15.75" customHeight="1" x14ac:dyDescent="0.25">
      <c r="A19" s="167" t="s">
        <v>129</v>
      </c>
      <c r="B19" s="168" t="s">
        <v>130</v>
      </c>
      <c r="C19" s="168"/>
      <c r="D19" s="169"/>
      <c r="E19" s="169"/>
      <c r="F19" s="170">
        <f>BASES!H13</f>
        <v>24168.053007099035</v>
      </c>
      <c r="G19" s="198">
        <f t="shared" si="0"/>
        <v>9.3628255950519382E-3</v>
      </c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</row>
    <row r="20" spans="1:27" ht="15.75" customHeight="1" x14ac:dyDescent="0.25">
      <c r="A20" s="163" t="s">
        <v>131</v>
      </c>
      <c r="B20" s="164" t="s">
        <v>132</v>
      </c>
      <c r="C20" s="164"/>
      <c r="D20" s="165"/>
      <c r="E20" s="165"/>
      <c r="F20" s="166">
        <f>SUM(F21:F23)</f>
        <v>97812.916274570322</v>
      </c>
      <c r="G20" s="198">
        <f t="shared" si="0"/>
        <v>3.7893216956831982E-2</v>
      </c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</row>
    <row r="21" spans="1:27" ht="15.75" customHeight="1" x14ac:dyDescent="0.25">
      <c r="A21" s="171" t="s">
        <v>133</v>
      </c>
      <c r="B21" s="168" t="s">
        <v>134</v>
      </c>
      <c r="C21" s="168"/>
      <c r="D21" s="169"/>
      <c r="E21" s="169"/>
      <c r="F21" s="170">
        <f>BASES!H15</f>
        <v>32356.333999976196</v>
      </c>
      <c r="G21" s="198">
        <f t="shared" si="0"/>
        <v>1.2535006938624305E-2</v>
      </c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</row>
    <row r="22" spans="1:27" ht="15.75" customHeight="1" x14ac:dyDescent="0.25">
      <c r="A22" s="171" t="s">
        <v>135</v>
      </c>
      <c r="B22" s="168" t="s">
        <v>228</v>
      </c>
      <c r="C22" s="168"/>
      <c r="D22" s="169"/>
      <c r="E22" s="169"/>
      <c r="F22" s="170">
        <f>BASES!H16+H22</f>
        <v>50089.728299938208</v>
      </c>
      <c r="G22" s="198">
        <f t="shared" si="0"/>
        <v>1.9405013305709897E-2</v>
      </c>
      <c r="H22" s="197">
        <v>0</v>
      </c>
      <c r="I22" s="145" t="s">
        <v>225</v>
      </c>
      <c r="J22" s="145" t="s">
        <v>226</v>
      </c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</row>
    <row r="23" spans="1:27" ht="15.75" customHeight="1" x14ac:dyDescent="0.25">
      <c r="A23" s="167" t="s">
        <v>136</v>
      </c>
      <c r="B23" s="168" t="s">
        <v>137</v>
      </c>
      <c r="C23" s="168"/>
      <c r="D23" s="169"/>
      <c r="E23" s="169"/>
      <c r="F23" s="170">
        <f>BASES!H17</f>
        <v>15366.853974655922</v>
      </c>
      <c r="G23" s="198">
        <f t="shared" si="0"/>
        <v>5.9531967124977804E-3</v>
      </c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</row>
    <row r="24" spans="1:27" ht="15.75" customHeight="1" x14ac:dyDescent="0.25">
      <c r="A24" s="172" t="s">
        <v>138</v>
      </c>
      <c r="B24" s="173" t="s">
        <v>139</v>
      </c>
      <c r="C24" s="173"/>
      <c r="D24" s="174"/>
      <c r="E24" s="174"/>
      <c r="F24" s="175">
        <f>F25+F39+F58</f>
        <v>2172737.8500069277</v>
      </c>
      <c r="G24" s="198">
        <f t="shared" si="0"/>
        <v>0.84172959846651751</v>
      </c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</row>
    <row r="25" spans="1:27" ht="15.75" customHeight="1" x14ac:dyDescent="0.25">
      <c r="A25" s="176" t="s">
        <v>140</v>
      </c>
      <c r="B25" s="164" t="s">
        <v>141</v>
      </c>
      <c r="C25" s="164"/>
      <c r="D25" s="165"/>
      <c r="E25" s="165"/>
      <c r="F25" s="166">
        <f>F26+F28+F38</f>
        <v>337318.92798834905</v>
      </c>
      <c r="G25" s="198">
        <f t="shared" si="0"/>
        <v>0.13067905353141607</v>
      </c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</row>
    <row r="26" spans="1:27" ht="15.75" customHeight="1" x14ac:dyDescent="0.25">
      <c r="A26" s="171" t="s">
        <v>142</v>
      </c>
      <c r="B26" s="168" t="s">
        <v>143</v>
      </c>
      <c r="C26" s="168"/>
      <c r="D26" s="169"/>
      <c r="E26" s="169"/>
      <c r="F26" s="170">
        <f>F27</f>
        <v>43200</v>
      </c>
      <c r="G26" s="198">
        <f t="shared" si="0"/>
        <v>1.673589782294151E-2</v>
      </c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</row>
    <row r="27" spans="1:27" ht="15.75" customHeight="1" x14ac:dyDescent="0.25">
      <c r="A27" s="177" t="s">
        <v>144</v>
      </c>
      <c r="B27" s="178" t="s">
        <v>145</v>
      </c>
      <c r="C27" s="178" t="s">
        <v>146</v>
      </c>
      <c r="D27" s="179">
        <f>OBRA!D12</f>
        <v>36</v>
      </c>
      <c r="E27" s="180">
        <v>1200</v>
      </c>
      <c r="F27" s="181">
        <f>E27*D27</f>
        <v>43200</v>
      </c>
      <c r="G27" s="198">
        <f t="shared" si="0"/>
        <v>1.673589782294151E-2</v>
      </c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</row>
    <row r="28" spans="1:27" ht="15.75" customHeight="1" x14ac:dyDescent="0.25">
      <c r="A28" s="171" t="s">
        <v>147</v>
      </c>
      <c r="B28" s="168" t="s">
        <v>148</v>
      </c>
      <c r="C28" s="168"/>
      <c r="D28" s="169"/>
      <c r="E28" s="169"/>
      <c r="F28" s="170">
        <f>SUM(F29:F37)</f>
        <v>266909.00949660898</v>
      </c>
      <c r="G28" s="198">
        <f t="shared" si="0"/>
        <v>0.10340189608698548</v>
      </c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</row>
    <row r="29" spans="1:27" ht="15.75" customHeight="1" x14ac:dyDescent="0.25">
      <c r="A29" s="177" t="s">
        <v>149</v>
      </c>
      <c r="B29" s="178" t="s">
        <v>95</v>
      </c>
      <c r="C29" s="178" t="s">
        <v>43</v>
      </c>
      <c r="D29" s="179">
        <f>EPCs!D13</f>
        <v>123.46</v>
      </c>
      <c r="E29" s="179">
        <v>243.95614637281909</v>
      </c>
      <c r="F29" s="181">
        <f t="shared" ref="F29:F37" si="1">E29*D29</f>
        <v>30118.825831188242</v>
      </c>
      <c r="G29" s="198">
        <f t="shared" si="0"/>
        <v>1.1668184992077264E-2</v>
      </c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</row>
    <row r="30" spans="1:27" ht="15.75" customHeight="1" x14ac:dyDescent="0.25">
      <c r="A30" s="177" t="s">
        <v>150</v>
      </c>
      <c r="B30" s="178" t="s">
        <v>96</v>
      </c>
      <c r="C30" s="178" t="s">
        <v>43</v>
      </c>
      <c r="D30" s="179">
        <f>EPCs!D14</f>
        <v>116.66</v>
      </c>
      <c r="E30" s="179">
        <f>(210.06/2)*1.1</f>
        <v>115.53300000000002</v>
      </c>
      <c r="F30" s="181">
        <f t="shared" si="1"/>
        <v>13478.079780000002</v>
      </c>
      <c r="G30" s="198">
        <f t="shared" si="0"/>
        <v>5.2214760659151389E-3</v>
      </c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</row>
    <row r="31" spans="1:27" ht="19.5" customHeight="1" x14ac:dyDescent="0.25">
      <c r="A31" s="177" t="s">
        <v>152</v>
      </c>
      <c r="B31" s="178" t="s">
        <v>151</v>
      </c>
      <c r="C31" s="178" t="s">
        <v>43</v>
      </c>
      <c r="D31" s="179">
        <f>EPCs!D21</f>
        <v>466.64</v>
      </c>
      <c r="E31" s="179">
        <v>41.842177000000007</v>
      </c>
      <c r="F31" s="181">
        <f t="shared" si="1"/>
        <v>19525.233475280002</v>
      </c>
      <c r="G31" s="198">
        <f t="shared" si="0"/>
        <v>7.5641738984111861E-3</v>
      </c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</row>
    <row r="32" spans="1:27" ht="19.5" customHeight="1" x14ac:dyDescent="0.25">
      <c r="A32" s="177" t="s">
        <v>152</v>
      </c>
      <c r="B32" s="178" t="s">
        <v>220</v>
      </c>
      <c r="C32" s="178" t="s">
        <v>43</v>
      </c>
      <c r="D32" s="179">
        <f>[6]ARQUITETURA!$D$14+[6]ARQUITETURA!$D$15</f>
        <v>194.45</v>
      </c>
      <c r="E32" s="179">
        <f>19.89*1.1</f>
        <v>21.879000000000001</v>
      </c>
      <c r="F32" s="181">
        <f t="shared" ref="F32" si="2">E32*D32</f>
        <v>4254.3715499999998</v>
      </c>
      <c r="G32" s="198">
        <f t="shared" si="0"/>
        <v>1.6481649898525299E-3</v>
      </c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</row>
    <row r="33" spans="1:27" ht="19.5" customHeight="1" x14ac:dyDescent="0.25">
      <c r="A33" s="177" t="s">
        <v>154</v>
      </c>
      <c r="B33" s="178" t="s">
        <v>153</v>
      </c>
      <c r="C33" s="178" t="s">
        <v>49</v>
      </c>
      <c r="D33" s="179">
        <f>EPCs!D36</f>
        <v>15.120000000000001</v>
      </c>
      <c r="E33" s="179">
        <f>34.94*([7]BASES!$D$4/[7]BASES!$J$6)</f>
        <v>36.2575754061344</v>
      </c>
      <c r="F33" s="181">
        <f t="shared" si="1"/>
        <v>548.21454014075221</v>
      </c>
      <c r="G33" s="198">
        <f t="shared" si="0"/>
        <v>2.1238107705663184E-4</v>
      </c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</row>
    <row r="34" spans="1:27" ht="17.25" customHeight="1" x14ac:dyDescent="0.25">
      <c r="A34" s="177" t="s">
        <v>157</v>
      </c>
      <c r="B34" s="178" t="s">
        <v>155</v>
      </c>
      <c r="C34" s="178" t="s">
        <v>43</v>
      </c>
      <c r="D34" s="179">
        <f>D31</f>
        <v>466.64</v>
      </c>
      <c r="E34" s="179">
        <f>244*1.1</f>
        <v>268.40000000000003</v>
      </c>
      <c r="F34" s="181">
        <f t="shared" si="1"/>
        <v>125246.17600000001</v>
      </c>
      <c r="G34" s="198">
        <f t="shared" si="0"/>
        <v>4.8521000098383081E-2</v>
      </c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</row>
    <row r="35" spans="1:27" ht="17.25" customHeight="1" x14ac:dyDescent="0.25">
      <c r="A35" s="177" t="s">
        <v>218</v>
      </c>
      <c r="B35" s="178" t="s">
        <v>156</v>
      </c>
      <c r="C35" s="178" t="s">
        <v>49</v>
      </c>
      <c r="D35" s="179">
        <f>EPCs!D28</f>
        <v>2897.8343999999993</v>
      </c>
      <c r="E35" s="179">
        <v>7.8</v>
      </c>
      <c r="F35" s="181">
        <f t="shared" si="1"/>
        <v>22603.108319999992</v>
      </c>
      <c r="G35" s="198">
        <f t="shared" si="0"/>
        <v>8.7565581325092356E-3</v>
      </c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</row>
    <row r="36" spans="1:27" ht="15.75" customHeight="1" x14ac:dyDescent="0.25">
      <c r="A36" s="177" t="s">
        <v>159</v>
      </c>
      <c r="B36" s="178" t="s">
        <v>158</v>
      </c>
      <c r="C36" s="178" t="s">
        <v>65</v>
      </c>
      <c r="D36" s="179">
        <v>1</v>
      </c>
      <c r="E36" s="179">
        <f>BASES!H20*1.1</f>
        <v>3135.0000000000005</v>
      </c>
      <c r="F36" s="181">
        <f t="shared" si="1"/>
        <v>3135.0000000000005</v>
      </c>
      <c r="G36" s="198">
        <f t="shared" si="0"/>
        <v>1.2145148072898527E-3</v>
      </c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</row>
    <row r="37" spans="1:27" ht="15.75" customHeight="1" x14ac:dyDescent="0.25">
      <c r="A37" s="177" t="s">
        <v>219</v>
      </c>
      <c r="B37" s="178" t="s">
        <v>160</v>
      </c>
      <c r="C37" s="178" t="s">
        <v>65</v>
      </c>
      <c r="D37" s="179">
        <v>1</v>
      </c>
      <c r="E37" s="179">
        <v>48000</v>
      </c>
      <c r="F37" s="181">
        <f t="shared" si="1"/>
        <v>48000</v>
      </c>
      <c r="G37" s="198">
        <f t="shared" si="0"/>
        <v>1.8595442025490565E-2</v>
      </c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</row>
    <row r="38" spans="1:27" ht="15.75" customHeight="1" x14ac:dyDescent="0.25">
      <c r="A38" s="171" t="s">
        <v>161</v>
      </c>
      <c r="B38" s="168" t="s">
        <v>162</v>
      </c>
      <c r="C38" s="168"/>
      <c r="D38" s="169"/>
      <c r="E38" s="169"/>
      <c r="F38" s="170">
        <f>BASES!H21</f>
        <v>27209.918491740049</v>
      </c>
      <c r="G38" s="198">
        <f t="shared" si="0"/>
        <v>1.0541259621489078E-2</v>
      </c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</row>
    <row r="39" spans="1:27" ht="15.75" customHeight="1" x14ac:dyDescent="0.25">
      <c r="A39" s="176" t="s">
        <v>163</v>
      </c>
      <c r="B39" s="164" t="s">
        <v>164</v>
      </c>
      <c r="C39" s="164"/>
      <c r="D39" s="165"/>
      <c r="E39" s="165"/>
      <c r="F39" s="166">
        <f>F40+F47+F49+F57</f>
        <v>1502849.0360185788</v>
      </c>
      <c r="G39" s="198">
        <f t="shared" si="0"/>
        <v>0.58221129421558049</v>
      </c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</row>
    <row r="40" spans="1:27" ht="15.75" customHeight="1" x14ac:dyDescent="0.25">
      <c r="A40" s="171" t="s">
        <v>165</v>
      </c>
      <c r="B40" s="168" t="s">
        <v>166</v>
      </c>
      <c r="C40" s="168"/>
      <c r="D40" s="169"/>
      <c r="E40" s="169"/>
      <c r="F40" s="170">
        <f>SUM(F41:F46)</f>
        <v>1106201.8636282475</v>
      </c>
      <c r="G40" s="198">
        <f t="shared" si="0"/>
        <v>0.42854817965809788</v>
      </c>
      <c r="H40" s="195">
        <f>F40/OBRA!$D$10</f>
        <v>304.50560276929724</v>
      </c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</row>
    <row r="41" spans="1:27" ht="15.75" customHeight="1" x14ac:dyDescent="0.25">
      <c r="A41" s="177" t="s">
        <v>167</v>
      </c>
      <c r="B41" s="178" t="s">
        <v>75</v>
      </c>
      <c r="C41" s="178" t="s">
        <v>146</v>
      </c>
      <c r="D41" s="179">
        <f>OBRA!$D$12</f>
        <v>36</v>
      </c>
      <c r="E41" s="180">
        <f>13200/2</f>
        <v>6600</v>
      </c>
      <c r="F41" s="181">
        <f t="shared" ref="F41:F43" si="3">E41*D41</f>
        <v>237600</v>
      </c>
      <c r="G41" s="198">
        <f t="shared" si="0"/>
        <v>9.2047438026178305E-2</v>
      </c>
      <c r="H41" s="145" t="s">
        <v>233</v>
      </c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</row>
    <row r="42" spans="1:27" ht="15.75" customHeight="1" x14ac:dyDescent="0.25">
      <c r="A42" s="177" t="s">
        <v>167</v>
      </c>
      <c r="B42" s="178" t="s">
        <v>76</v>
      </c>
      <c r="C42" s="178" t="s">
        <v>146</v>
      </c>
      <c r="D42" s="179">
        <f>OBRA!$D$12</f>
        <v>36</v>
      </c>
      <c r="E42" s="180">
        <v>7500</v>
      </c>
      <c r="F42" s="181">
        <f t="shared" si="3"/>
        <v>270000</v>
      </c>
      <c r="G42" s="198">
        <f t="shared" si="0"/>
        <v>0.10459936139338444</v>
      </c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</row>
    <row r="43" spans="1:27" ht="15.75" customHeight="1" x14ac:dyDescent="0.25">
      <c r="A43" s="177" t="s">
        <v>167</v>
      </c>
      <c r="B43" s="178" t="s">
        <v>78</v>
      </c>
      <c r="C43" s="178" t="s">
        <v>146</v>
      </c>
      <c r="D43" s="179">
        <f>OBRA!$D$12</f>
        <v>36</v>
      </c>
      <c r="E43" s="180">
        <v>5500</v>
      </c>
      <c r="F43" s="181">
        <f t="shared" si="3"/>
        <v>198000</v>
      </c>
      <c r="G43" s="198">
        <f t="shared" si="0"/>
        <v>7.670619835514858E-2</v>
      </c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</row>
    <row r="44" spans="1:27" ht="15.75" customHeight="1" x14ac:dyDescent="0.25">
      <c r="A44" s="177" t="s">
        <v>167</v>
      </c>
      <c r="B44" s="178" t="s">
        <v>80</v>
      </c>
      <c r="C44" s="178" t="s">
        <v>146</v>
      </c>
      <c r="D44" s="179">
        <f>D62</f>
        <v>13</v>
      </c>
      <c r="E44" s="180">
        <v>3500</v>
      </c>
      <c r="F44" s="181">
        <f t="shared" ref="F44" si="4">E44*D44</f>
        <v>45500</v>
      </c>
      <c r="G44" s="198">
        <f t="shared" si="0"/>
        <v>1.7626929419996266E-2</v>
      </c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</row>
    <row r="45" spans="1:27" ht="15.75" customHeight="1" x14ac:dyDescent="0.25">
      <c r="A45" s="177" t="s">
        <v>167</v>
      </c>
      <c r="B45" s="178" t="s">
        <v>211</v>
      </c>
      <c r="C45" s="178" t="s">
        <v>146</v>
      </c>
      <c r="D45" s="179">
        <f>OBRA!$D$12</f>
        <v>36</v>
      </c>
      <c r="E45" s="180">
        <f>(2007.5+2769)</f>
        <v>4776.5</v>
      </c>
      <c r="F45" s="181">
        <f t="shared" ref="F45:F46" si="5">E45*D45</f>
        <v>171954</v>
      </c>
      <c r="G45" s="198">
        <f t="shared" si="0"/>
        <v>6.661584662606676E-2</v>
      </c>
      <c r="H45" s="145" t="s">
        <v>231</v>
      </c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</row>
    <row r="46" spans="1:27" ht="15.75" customHeight="1" x14ac:dyDescent="0.25">
      <c r="A46" s="177" t="s">
        <v>167</v>
      </c>
      <c r="B46" s="178" t="s">
        <v>81</v>
      </c>
      <c r="C46" s="178" t="s">
        <v>146</v>
      </c>
      <c r="D46" s="179">
        <f>OBRA!$D$12</f>
        <v>36</v>
      </c>
      <c r="E46" s="180">
        <v>5087.440656340209</v>
      </c>
      <c r="F46" s="181">
        <f t="shared" si="5"/>
        <v>183147.86362824752</v>
      </c>
      <c r="G46" s="198">
        <f t="shared" si="0"/>
        <v>7.0952405837323526E-2</v>
      </c>
      <c r="H46" s="145" t="s">
        <v>232</v>
      </c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</row>
    <row r="47" spans="1:27" ht="15.75" customHeight="1" x14ac:dyDescent="0.25">
      <c r="A47" s="171" t="s">
        <v>168</v>
      </c>
      <c r="B47" s="168" t="s">
        <v>169</v>
      </c>
      <c r="C47" s="168"/>
      <c r="D47" s="169"/>
      <c r="E47" s="169"/>
      <c r="F47" s="170">
        <f>SUM(F48)</f>
        <v>10833.125</v>
      </c>
      <c r="G47" s="198">
        <f t="shared" ref="G47:G78" si="6">F47/$F$72</f>
        <v>4.1968072477581771E-3</v>
      </c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</row>
    <row r="48" spans="1:27" ht="15.75" customHeight="1" x14ac:dyDescent="0.25">
      <c r="A48" s="177" t="s">
        <v>170</v>
      </c>
      <c r="B48" s="178" t="s">
        <v>171</v>
      </c>
      <c r="C48" s="178" t="s">
        <v>49</v>
      </c>
      <c r="D48" s="179">
        <f>OBRA!D9</f>
        <v>866.65</v>
      </c>
      <c r="E48" s="180">
        <v>12.5</v>
      </c>
      <c r="F48" s="181">
        <f>E48*D48</f>
        <v>10833.125</v>
      </c>
      <c r="G48" s="198">
        <f t="shared" si="6"/>
        <v>4.1968072477581771E-3</v>
      </c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</row>
    <row r="49" spans="1:27" ht="15.75" customHeight="1" x14ac:dyDescent="0.25">
      <c r="A49" s="171" t="s">
        <v>172</v>
      </c>
      <c r="B49" s="168" t="s">
        <v>173</v>
      </c>
      <c r="C49" s="168"/>
      <c r="D49" s="169"/>
      <c r="E49" s="169"/>
      <c r="F49" s="170">
        <f>SUM(F50:F56)</f>
        <v>183914.36051672918</v>
      </c>
      <c r="G49" s="198">
        <f t="shared" si="6"/>
        <v>7.124935059675018E-2</v>
      </c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</row>
    <row r="50" spans="1:27" ht="15.75" customHeight="1" x14ac:dyDescent="0.25">
      <c r="A50" s="177" t="s">
        <v>174</v>
      </c>
      <c r="B50" s="178" t="s">
        <v>88</v>
      </c>
      <c r="C50" s="182" t="s">
        <v>146</v>
      </c>
      <c r="D50" s="179">
        <v>6</v>
      </c>
      <c r="E50" s="179">
        <v>2850</v>
      </c>
      <c r="F50" s="181">
        <f t="shared" ref="F50:F55" si="7">E50*D50</f>
        <v>17100</v>
      </c>
      <c r="G50" s="198">
        <f t="shared" si="6"/>
        <v>6.6246262215810137E-3</v>
      </c>
      <c r="H50" s="145"/>
      <c r="I50" s="145"/>
      <c r="J50" s="162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</row>
    <row r="51" spans="1:27" ht="15.75" customHeight="1" x14ac:dyDescent="0.25">
      <c r="A51" s="177" t="s">
        <v>175</v>
      </c>
      <c r="B51" s="178" t="s">
        <v>19</v>
      </c>
      <c r="C51" s="178" t="s">
        <v>65</v>
      </c>
      <c r="D51" s="180">
        <v>1</v>
      </c>
      <c r="E51" s="180">
        <f>BASES!H38</f>
        <v>114828.98397705094</v>
      </c>
      <c r="F51" s="183">
        <f t="shared" si="7"/>
        <v>114828.98397705094</v>
      </c>
      <c r="G51" s="198">
        <f t="shared" si="6"/>
        <v>4.4485327383150745E-2</v>
      </c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</row>
    <row r="52" spans="1:27" ht="15.75" customHeight="1" x14ac:dyDescent="0.25">
      <c r="A52" s="177" t="s">
        <v>176</v>
      </c>
      <c r="B52" s="178" t="s">
        <v>86</v>
      </c>
      <c r="C52" s="178" t="s">
        <v>65</v>
      </c>
      <c r="D52" s="180">
        <v>1</v>
      </c>
      <c r="E52" s="180">
        <f>BASES!H35</f>
        <v>4360.6345000511255</v>
      </c>
      <c r="F52" s="183">
        <f t="shared" si="7"/>
        <v>4360.6345000511255</v>
      </c>
      <c r="G52" s="198">
        <f t="shared" si="6"/>
        <v>1.6893317925011405E-3</v>
      </c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</row>
    <row r="53" spans="1:27" ht="15.75" customHeight="1" x14ac:dyDescent="0.25">
      <c r="A53" s="177" t="s">
        <v>177</v>
      </c>
      <c r="B53" s="178" t="s">
        <v>87</v>
      </c>
      <c r="C53" s="178" t="s">
        <v>65</v>
      </c>
      <c r="D53" s="180">
        <v>1</v>
      </c>
      <c r="E53" s="180">
        <f>BASES!H36</f>
        <v>5449.2060396271418</v>
      </c>
      <c r="F53" s="183">
        <f t="shared" si="7"/>
        <v>5449.2060396271418</v>
      </c>
      <c r="G53" s="198">
        <f t="shared" si="6"/>
        <v>2.1110498957258241E-3</v>
      </c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</row>
    <row r="54" spans="1:27" ht="15.75" customHeight="1" x14ac:dyDescent="0.25">
      <c r="A54" s="177" t="s">
        <v>178</v>
      </c>
      <c r="B54" s="178" t="s">
        <v>179</v>
      </c>
      <c r="C54" s="178" t="s">
        <v>65</v>
      </c>
      <c r="D54" s="180">
        <v>1</v>
      </c>
      <c r="E54" s="180">
        <f>CANTEIRO!F29</f>
        <v>12200</v>
      </c>
      <c r="F54" s="183">
        <f t="shared" si="7"/>
        <v>12200</v>
      </c>
      <c r="G54" s="198">
        <f t="shared" si="6"/>
        <v>4.7263415148121853E-3</v>
      </c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</row>
    <row r="55" spans="1:27" ht="15.75" customHeight="1" x14ac:dyDescent="0.25">
      <c r="A55" s="177" t="s">
        <v>180</v>
      </c>
      <c r="B55" s="178" t="s">
        <v>181</v>
      </c>
      <c r="C55" s="182" t="s">
        <v>65</v>
      </c>
      <c r="D55" s="180">
        <v>1</v>
      </c>
      <c r="E55" s="180">
        <f>CANTEIRO!F34</f>
        <v>14500</v>
      </c>
      <c r="F55" s="183">
        <f t="shared" si="7"/>
        <v>14500</v>
      </c>
      <c r="G55" s="198">
        <f t="shared" si="6"/>
        <v>5.6173731118669421E-3</v>
      </c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</row>
    <row r="56" spans="1:27" ht="15.75" customHeight="1" x14ac:dyDescent="0.25">
      <c r="A56" s="177" t="s">
        <v>182</v>
      </c>
      <c r="B56" s="178" t="s">
        <v>183</v>
      </c>
      <c r="C56" s="178" t="s">
        <v>49</v>
      </c>
      <c r="D56" s="179">
        <f>EPCs!D43</f>
        <v>129.6</v>
      </c>
      <c r="E56" s="180">
        <v>119.41</v>
      </c>
      <c r="F56" s="181">
        <f>E56*D56</f>
        <v>15475.535999999998</v>
      </c>
      <c r="G56" s="198">
        <f t="shared" si="6"/>
        <v>5.9953006771123361E-3</v>
      </c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  <c r="AA56" s="145"/>
    </row>
    <row r="57" spans="1:27" ht="15.75" customHeight="1" x14ac:dyDescent="0.25">
      <c r="A57" s="171" t="s">
        <v>184</v>
      </c>
      <c r="B57" s="168" t="s">
        <v>185</v>
      </c>
      <c r="C57" s="168"/>
      <c r="D57" s="169"/>
      <c r="E57" s="169"/>
      <c r="F57" s="170">
        <f>BASES!H39</f>
        <v>201899.68687360233</v>
      </c>
      <c r="G57" s="198">
        <f t="shared" si="6"/>
        <v>7.8216956712974392E-2</v>
      </c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</row>
    <row r="58" spans="1:27" ht="15.75" customHeight="1" x14ac:dyDescent="0.25">
      <c r="A58" s="176" t="s">
        <v>186</v>
      </c>
      <c r="B58" s="164" t="s">
        <v>187</v>
      </c>
      <c r="C58" s="164"/>
      <c r="D58" s="165"/>
      <c r="E58" s="165"/>
      <c r="F58" s="166">
        <f>F59+F68</f>
        <v>332569.88600000006</v>
      </c>
      <c r="G58" s="198">
        <f t="shared" si="6"/>
        <v>0.12883925071952099</v>
      </c>
      <c r="H58" s="195">
        <f>F58/OBRA!$D$10</f>
        <v>91.546938157554294</v>
      </c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  <c r="AA58" s="145"/>
    </row>
    <row r="59" spans="1:27" ht="15.75" customHeight="1" x14ac:dyDescent="0.25">
      <c r="A59" s="171" t="s">
        <v>188</v>
      </c>
      <c r="B59" s="168" t="s">
        <v>189</v>
      </c>
      <c r="C59" s="168"/>
      <c r="D59" s="169"/>
      <c r="E59" s="169"/>
      <c r="F59" s="170">
        <f>SUM(F60:F67)</f>
        <v>255349.88600000003</v>
      </c>
      <c r="G59" s="198">
        <f t="shared" si="6"/>
        <v>9.8923833361013028E-2</v>
      </c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</row>
    <row r="60" spans="1:27" ht="15.75" customHeight="1" x14ac:dyDescent="0.25">
      <c r="A60" s="177" t="s">
        <v>190</v>
      </c>
      <c r="B60" s="178" t="s">
        <v>191</v>
      </c>
      <c r="C60" s="178" t="s">
        <v>65</v>
      </c>
      <c r="D60" s="179">
        <v>1</v>
      </c>
      <c r="E60" s="179">
        <f>CANTEIRO!D17</f>
        <v>22400</v>
      </c>
      <c r="F60" s="183">
        <f>E60*D60*1.1</f>
        <v>24640.000000000004</v>
      </c>
      <c r="G60" s="198">
        <f t="shared" si="6"/>
        <v>9.5456602397518252E-3</v>
      </c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  <c r="AA60" s="145"/>
    </row>
    <row r="61" spans="1:27" ht="15.75" customHeight="1" x14ac:dyDescent="0.25">
      <c r="A61" s="177" t="s">
        <v>192</v>
      </c>
      <c r="B61" s="178" t="s">
        <v>223</v>
      </c>
      <c r="C61" s="178" t="s">
        <v>116</v>
      </c>
      <c r="D61" s="179">
        <v>1</v>
      </c>
      <c r="E61" s="179">
        <f>(7*(162.6+180)+(7*2*145.6))*1.1</f>
        <v>4880.2600000000011</v>
      </c>
      <c r="F61" s="183">
        <f t="shared" ref="F61" si="8">E61*D61*1.1</f>
        <v>5368.2860000000019</v>
      </c>
      <c r="G61" s="198">
        <f t="shared" si="6"/>
        <v>2.0797010643594308E-3</v>
      </c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</row>
    <row r="62" spans="1:27" ht="15.75" customHeight="1" x14ac:dyDescent="0.25">
      <c r="A62" s="177" t="s">
        <v>193</v>
      </c>
      <c r="B62" s="178" t="s">
        <v>214</v>
      </c>
      <c r="C62" s="178" t="s">
        <v>146</v>
      </c>
      <c r="D62" s="179">
        <v>13</v>
      </c>
      <c r="E62" s="179">
        <v>7000</v>
      </c>
      <c r="F62" s="183">
        <f t="shared" ref="F62:F67" si="9">E62*D62*1.1</f>
        <v>100100.00000000001</v>
      </c>
      <c r="G62" s="198">
        <f t="shared" si="6"/>
        <v>3.8779244723991788E-2</v>
      </c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  <c r="AA62" s="145"/>
    </row>
    <row r="63" spans="1:27" ht="15.75" customHeight="1" x14ac:dyDescent="0.25">
      <c r="A63" s="177" t="s">
        <v>216</v>
      </c>
      <c r="B63" s="178" t="s">
        <v>197</v>
      </c>
      <c r="C63" s="178" t="s">
        <v>116</v>
      </c>
      <c r="D63" s="179">
        <v>1</v>
      </c>
      <c r="E63" s="180">
        <v>17600</v>
      </c>
      <c r="F63" s="183">
        <f t="shared" si="9"/>
        <v>19360</v>
      </c>
      <c r="G63" s="198">
        <f t="shared" si="6"/>
        <v>7.5001616169478617E-3</v>
      </c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  <c r="AA63" s="145"/>
    </row>
    <row r="64" spans="1:27" ht="15.75" customHeight="1" x14ac:dyDescent="0.25">
      <c r="A64" s="177" t="s">
        <v>194</v>
      </c>
      <c r="B64" s="178" t="s">
        <v>215</v>
      </c>
      <c r="C64" s="178" t="s">
        <v>116</v>
      </c>
      <c r="D64" s="179">
        <v>1</v>
      </c>
      <c r="E64" s="180">
        <v>13000</v>
      </c>
      <c r="F64" s="183">
        <f t="shared" si="9"/>
        <v>14300.000000000002</v>
      </c>
      <c r="G64" s="198">
        <f t="shared" si="6"/>
        <v>5.5398921034273988E-3</v>
      </c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</row>
    <row r="65" spans="1:27" ht="15.75" customHeight="1" x14ac:dyDescent="0.25">
      <c r="A65" s="177" t="s">
        <v>195</v>
      </c>
      <c r="B65" s="178" t="s">
        <v>217</v>
      </c>
      <c r="C65" s="178" t="s">
        <v>146</v>
      </c>
      <c r="D65" s="179">
        <v>10</v>
      </c>
      <c r="E65" s="179">
        <v>6650</v>
      </c>
      <c r="F65" s="183">
        <f t="shared" si="9"/>
        <v>73150</v>
      </c>
      <c r="G65" s="198">
        <f t="shared" si="6"/>
        <v>2.8338678836763227E-2</v>
      </c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</row>
    <row r="66" spans="1:27" ht="15.75" customHeight="1" x14ac:dyDescent="0.25">
      <c r="A66" s="177" t="s">
        <v>196</v>
      </c>
      <c r="B66" s="178" t="s">
        <v>198</v>
      </c>
      <c r="C66" s="178" t="s">
        <v>116</v>
      </c>
      <c r="D66" s="179">
        <v>1</v>
      </c>
      <c r="E66" s="179">
        <v>7000</v>
      </c>
      <c r="F66" s="183">
        <f t="shared" si="9"/>
        <v>7700.0000000000009</v>
      </c>
      <c r="G66" s="198">
        <f t="shared" ref="G66:G67" si="10">F66/$F$72</f>
        <v>2.9830188249224455E-3</v>
      </c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  <c r="AA66" s="145"/>
    </row>
    <row r="67" spans="1:27" ht="15.75" customHeight="1" x14ac:dyDescent="0.25">
      <c r="A67" s="177" t="s">
        <v>224</v>
      </c>
      <c r="B67" s="178" t="s">
        <v>199</v>
      </c>
      <c r="C67" s="178" t="s">
        <v>146</v>
      </c>
      <c r="D67" s="179">
        <v>1</v>
      </c>
      <c r="E67" s="179">
        <v>9756</v>
      </c>
      <c r="F67" s="183">
        <f t="shared" si="9"/>
        <v>10731.6</v>
      </c>
      <c r="G67" s="198">
        <f t="shared" si="10"/>
        <v>4.157475950849053E-3</v>
      </c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</row>
    <row r="68" spans="1:27" ht="15.75" customHeight="1" x14ac:dyDescent="0.25">
      <c r="A68" s="171" t="s">
        <v>200</v>
      </c>
      <c r="B68" s="168" t="s">
        <v>201</v>
      </c>
      <c r="C68" s="168"/>
      <c r="D68" s="184"/>
      <c r="E68" s="184"/>
      <c r="F68" s="170">
        <f>SUM(F69:F71)</f>
        <v>77220</v>
      </c>
      <c r="G68" s="198">
        <f>F68/$F$72</f>
        <v>2.9915417358507949E-2</v>
      </c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  <c r="AA68" s="145"/>
    </row>
    <row r="69" spans="1:27" ht="15.75" customHeight="1" x14ac:dyDescent="0.25">
      <c r="A69" s="177" t="s">
        <v>202</v>
      </c>
      <c r="B69" s="178" t="s">
        <v>203</v>
      </c>
      <c r="C69" s="178" t="s">
        <v>146</v>
      </c>
      <c r="D69" s="179">
        <v>11</v>
      </c>
      <c r="E69" s="179">
        <f>1800*2</f>
        <v>3600</v>
      </c>
      <c r="F69" s="183">
        <f>E69*D69*1.1</f>
        <v>43560</v>
      </c>
      <c r="G69" s="198">
        <f>F69/$F$72</f>
        <v>1.687536363813269E-2</v>
      </c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</row>
    <row r="70" spans="1:27" ht="15.75" customHeight="1" x14ac:dyDescent="0.25">
      <c r="A70" s="177" t="s">
        <v>204</v>
      </c>
      <c r="B70" s="178" t="s">
        <v>205</v>
      </c>
      <c r="C70" s="178" t="s">
        <v>116</v>
      </c>
      <c r="D70" s="179">
        <f>ROUNDUP(EPCs!$D$12/5,0)*2</f>
        <v>48</v>
      </c>
      <c r="E70" s="179">
        <v>450</v>
      </c>
      <c r="F70" s="183">
        <f t="shared" ref="F70:F71" si="11">E70*D70*1.1</f>
        <v>23760.000000000004</v>
      </c>
      <c r="G70" s="198">
        <f>F70/$F$72</f>
        <v>9.2047438026178312E-3</v>
      </c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</row>
    <row r="71" spans="1:27" ht="15.75" customHeight="1" x14ac:dyDescent="0.25">
      <c r="A71" s="177" t="s">
        <v>206</v>
      </c>
      <c r="B71" s="185" t="s">
        <v>207</v>
      </c>
      <c r="C71" s="178" t="s">
        <v>146</v>
      </c>
      <c r="D71" s="186">
        <v>6</v>
      </c>
      <c r="E71" s="186">
        <v>1500</v>
      </c>
      <c r="F71" s="183">
        <f t="shared" si="11"/>
        <v>9900</v>
      </c>
      <c r="G71" s="198">
        <f>F71/$F$72</f>
        <v>3.8353099177574294E-3</v>
      </c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</row>
    <row r="72" spans="1:27" ht="19.5" customHeight="1" x14ac:dyDescent="0.25">
      <c r="A72" s="219" t="s">
        <v>208</v>
      </c>
      <c r="B72" s="220"/>
      <c r="C72" s="220"/>
      <c r="D72" s="220"/>
      <c r="E72" s="221"/>
      <c r="F72" s="187">
        <f>F24+F14</f>
        <v>2581277.7095699995</v>
      </c>
      <c r="G72" s="198">
        <f>F72/$F$72</f>
        <v>1</v>
      </c>
      <c r="H72" s="195">
        <f>F72/OBRA!$D$10</f>
        <v>710.55161875202998</v>
      </c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</row>
    <row r="73" spans="1:27" ht="19.5" customHeight="1" x14ac:dyDescent="0.25">
      <c r="A73" s="153"/>
      <c r="B73" s="153"/>
      <c r="C73" s="153"/>
      <c r="D73" s="154"/>
      <c r="E73" s="154"/>
      <c r="F73" s="154">
        <f>F72/OBRA!D10</f>
        <v>710.55161875202998</v>
      </c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</row>
    <row r="74" spans="1:27" ht="19.5" customHeight="1" x14ac:dyDescent="0.25">
      <c r="A74" s="153"/>
      <c r="B74" s="153"/>
      <c r="C74" s="153"/>
      <c r="D74" s="154"/>
      <c r="E74" s="154"/>
      <c r="F74" s="154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</row>
    <row r="75" spans="1:27" ht="19.5" customHeight="1" x14ac:dyDescent="0.25">
      <c r="A75" s="153"/>
      <c r="B75" s="153"/>
      <c r="C75" s="153"/>
      <c r="D75" s="154"/>
      <c r="E75" s="154"/>
      <c r="F75" s="154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</row>
    <row r="76" spans="1:27" ht="19.5" customHeight="1" x14ac:dyDescent="0.25">
      <c r="A76" s="153"/>
      <c r="B76" s="153"/>
      <c r="C76" s="153"/>
      <c r="D76" s="154"/>
      <c r="E76" s="154"/>
      <c r="F76" s="154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</row>
    <row r="77" spans="1:27" ht="19.5" customHeight="1" x14ac:dyDescent="0.25">
      <c r="A77" s="153"/>
      <c r="B77" s="153"/>
      <c r="C77" s="153"/>
      <c r="D77" s="154"/>
      <c r="E77" s="154"/>
      <c r="F77" s="154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</row>
    <row r="78" spans="1:27" ht="19.5" customHeight="1" x14ac:dyDescent="0.25">
      <c r="A78" s="153"/>
      <c r="B78" s="153"/>
      <c r="C78" s="153"/>
      <c r="D78" s="154"/>
      <c r="E78" s="154"/>
      <c r="F78" s="154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</row>
    <row r="79" spans="1:27" ht="19.5" customHeight="1" x14ac:dyDescent="0.25">
      <c r="A79" s="153"/>
      <c r="B79" s="153"/>
      <c r="C79" s="153"/>
      <c r="D79" s="154"/>
      <c r="E79" s="154"/>
      <c r="F79" s="154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</row>
    <row r="80" spans="1:27" ht="19.5" customHeight="1" x14ac:dyDescent="0.25">
      <c r="A80" s="153"/>
      <c r="B80" s="153"/>
      <c r="C80" s="153"/>
      <c r="D80" s="154"/>
      <c r="E80" s="154"/>
      <c r="F80" s="154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</row>
    <row r="81" spans="1:27" ht="19.5" customHeight="1" x14ac:dyDescent="0.25">
      <c r="A81" s="153"/>
      <c r="B81" s="153"/>
      <c r="C81" s="153"/>
      <c r="D81" s="154"/>
      <c r="E81" s="154"/>
      <c r="F81" s="154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</row>
    <row r="82" spans="1:27" ht="19.5" customHeight="1" x14ac:dyDescent="0.25">
      <c r="A82" s="153"/>
      <c r="B82" s="153"/>
      <c r="C82" s="153"/>
      <c r="D82" s="154"/>
      <c r="E82" s="154"/>
      <c r="F82" s="154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</row>
    <row r="83" spans="1:27" ht="19.5" customHeight="1" x14ac:dyDescent="0.25">
      <c r="A83" s="153"/>
      <c r="B83" s="153"/>
      <c r="C83" s="153"/>
      <c r="D83" s="154"/>
      <c r="E83" s="154"/>
      <c r="F83" s="154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</row>
    <row r="84" spans="1:27" ht="19.5" customHeight="1" x14ac:dyDescent="0.25">
      <c r="A84" s="153"/>
      <c r="B84" s="153"/>
      <c r="C84" s="153"/>
      <c r="D84" s="154"/>
      <c r="E84" s="154"/>
      <c r="F84" s="154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</row>
    <row r="85" spans="1:27" ht="19.5" customHeight="1" x14ac:dyDescent="0.25">
      <c r="A85" s="153"/>
      <c r="B85" s="153"/>
      <c r="C85" s="153"/>
      <c r="D85" s="154"/>
      <c r="E85" s="154"/>
      <c r="F85" s="154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</row>
    <row r="86" spans="1:27" ht="19.5" customHeight="1" x14ac:dyDescent="0.25">
      <c r="A86" s="153"/>
      <c r="B86" s="153"/>
      <c r="C86" s="153"/>
      <c r="D86" s="154"/>
      <c r="E86" s="154"/>
      <c r="F86" s="154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</row>
    <row r="87" spans="1:27" ht="19.5" customHeight="1" x14ac:dyDescent="0.25">
      <c r="A87" s="153"/>
      <c r="B87" s="153"/>
      <c r="C87" s="153"/>
      <c r="D87" s="154"/>
      <c r="E87" s="154"/>
      <c r="F87" s="154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</row>
    <row r="88" spans="1:27" ht="19.5" customHeight="1" x14ac:dyDescent="0.25">
      <c r="A88" s="153"/>
      <c r="B88" s="153"/>
      <c r="C88" s="153"/>
      <c r="D88" s="154"/>
      <c r="E88" s="154"/>
      <c r="F88" s="154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</row>
    <row r="89" spans="1:27" ht="19.5" customHeight="1" x14ac:dyDescent="0.25">
      <c r="A89" s="153"/>
      <c r="B89" s="153"/>
      <c r="C89" s="153"/>
      <c r="D89" s="154"/>
      <c r="E89" s="154"/>
      <c r="F89" s="154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</row>
    <row r="90" spans="1:27" ht="19.5" customHeight="1" x14ac:dyDescent="0.25">
      <c r="A90" s="153"/>
      <c r="B90" s="153"/>
      <c r="C90" s="153"/>
      <c r="D90" s="154"/>
      <c r="E90" s="154"/>
      <c r="F90" s="154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</row>
    <row r="91" spans="1:27" ht="19.5" customHeight="1" x14ac:dyDescent="0.25">
      <c r="A91" s="153"/>
      <c r="B91" s="153"/>
      <c r="C91" s="153"/>
      <c r="D91" s="154"/>
      <c r="E91" s="154"/>
      <c r="F91" s="154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</row>
    <row r="92" spans="1:27" ht="19.5" customHeight="1" x14ac:dyDescent="0.25">
      <c r="A92" s="153"/>
      <c r="B92" s="153"/>
      <c r="C92" s="153"/>
      <c r="D92" s="154"/>
      <c r="E92" s="154"/>
      <c r="F92" s="154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</row>
    <row r="93" spans="1:27" ht="19.5" customHeight="1" x14ac:dyDescent="0.25">
      <c r="A93" s="153"/>
      <c r="B93" s="153"/>
      <c r="C93" s="153"/>
      <c r="D93" s="154"/>
      <c r="E93" s="154"/>
      <c r="F93" s="154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</row>
    <row r="94" spans="1:27" ht="19.5" customHeight="1" x14ac:dyDescent="0.25">
      <c r="A94" s="153"/>
      <c r="B94" s="153"/>
      <c r="C94" s="153"/>
      <c r="D94" s="154"/>
      <c r="E94" s="154"/>
      <c r="F94" s="154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</row>
    <row r="95" spans="1:27" ht="19.5" customHeight="1" x14ac:dyDescent="0.25">
      <c r="A95" s="153"/>
      <c r="B95" s="153"/>
      <c r="C95" s="153"/>
      <c r="D95" s="154"/>
      <c r="E95" s="154"/>
      <c r="F95" s="154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</row>
    <row r="96" spans="1:27" ht="19.5" customHeight="1" x14ac:dyDescent="0.25">
      <c r="A96" s="153"/>
      <c r="B96" s="153"/>
      <c r="C96" s="153"/>
      <c r="D96" s="154"/>
      <c r="E96" s="154"/>
      <c r="F96" s="154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</row>
    <row r="97" spans="1:27" ht="19.5" customHeight="1" x14ac:dyDescent="0.25">
      <c r="A97" s="153"/>
      <c r="B97" s="153"/>
      <c r="C97" s="153"/>
      <c r="D97" s="154"/>
      <c r="E97" s="154"/>
      <c r="F97" s="154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</row>
    <row r="98" spans="1:27" ht="19.5" customHeight="1" x14ac:dyDescent="0.25">
      <c r="A98" s="153"/>
      <c r="B98" s="153"/>
      <c r="C98" s="153"/>
      <c r="D98" s="154"/>
      <c r="E98" s="154"/>
      <c r="F98" s="154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</row>
    <row r="99" spans="1:27" ht="19.5" customHeight="1" x14ac:dyDescent="0.25">
      <c r="A99" s="153"/>
      <c r="B99" s="153"/>
      <c r="C99" s="153"/>
      <c r="D99" s="154"/>
      <c r="E99" s="154"/>
      <c r="F99" s="154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</row>
    <row r="100" spans="1:27" ht="19.5" customHeight="1" x14ac:dyDescent="0.25">
      <c r="A100" s="153"/>
      <c r="B100" s="153"/>
      <c r="C100" s="153"/>
      <c r="D100" s="154"/>
      <c r="E100" s="154"/>
      <c r="F100" s="154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</row>
    <row r="101" spans="1:27" ht="19.5" customHeight="1" x14ac:dyDescent="0.25">
      <c r="A101" s="153"/>
      <c r="B101" s="153"/>
      <c r="C101" s="153"/>
      <c r="D101" s="154"/>
      <c r="E101" s="154"/>
      <c r="F101" s="154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</row>
    <row r="102" spans="1:27" ht="19.5" customHeight="1" x14ac:dyDescent="0.25">
      <c r="A102" s="153"/>
      <c r="B102" s="153"/>
      <c r="C102" s="153"/>
      <c r="D102" s="154"/>
      <c r="E102" s="154"/>
      <c r="F102" s="154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</row>
    <row r="103" spans="1:27" ht="19.5" customHeight="1" x14ac:dyDescent="0.25">
      <c r="A103" s="153"/>
      <c r="B103" s="153"/>
      <c r="C103" s="153"/>
      <c r="D103" s="154"/>
      <c r="E103" s="154"/>
      <c r="F103" s="154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</row>
    <row r="104" spans="1:27" ht="19.5" customHeight="1" x14ac:dyDescent="0.25">
      <c r="A104" s="153"/>
      <c r="B104" s="153"/>
      <c r="C104" s="153"/>
      <c r="D104" s="154"/>
      <c r="E104" s="154"/>
      <c r="F104" s="154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</row>
    <row r="105" spans="1:27" ht="19.5" customHeight="1" x14ac:dyDescent="0.25">
      <c r="A105" s="153"/>
      <c r="B105" s="153"/>
      <c r="C105" s="153"/>
      <c r="D105" s="154"/>
      <c r="E105" s="154"/>
      <c r="F105" s="154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</row>
    <row r="106" spans="1:27" ht="19.5" customHeight="1" x14ac:dyDescent="0.25">
      <c r="A106" s="153"/>
      <c r="B106" s="153"/>
      <c r="C106" s="153"/>
      <c r="D106" s="154"/>
      <c r="E106" s="154"/>
      <c r="F106" s="154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</row>
    <row r="107" spans="1:27" ht="19.5" customHeight="1" x14ac:dyDescent="0.25">
      <c r="A107" s="153"/>
      <c r="B107" s="153"/>
      <c r="C107" s="153"/>
      <c r="D107" s="154"/>
      <c r="E107" s="154"/>
      <c r="F107" s="154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</row>
    <row r="108" spans="1:27" ht="19.5" customHeight="1" x14ac:dyDescent="0.25">
      <c r="A108" s="153"/>
      <c r="B108" s="153"/>
      <c r="C108" s="153"/>
      <c r="D108" s="154"/>
      <c r="E108" s="154"/>
      <c r="F108" s="154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</row>
    <row r="109" spans="1:27" ht="19.5" customHeight="1" x14ac:dyDescent="0.25">
      <c r="A109" s="153"/>
      <c r="B109" s="153"/>
      <c r="C109" s="153"/>
      <c r="D109" s="154"/>
      <c r="E109" s="154"/>
      <c r="F109" s="154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</row>
    <row r="110" spans="1:27" ht="19.5" customHeight="1" x14ac:dyDescent="0.25">
      <c r="A110" s="153"/>
      <c r="B110" s="153"/>
      <c r="C110" s="153"/>
      <c r="D110" s="154"/>
      <c r="E110" s="154"/>
      <c r="F110" s="154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</row>
    <row r="111" spans="1:27" ht="19.5" customHeight="1" x14ac:dyDescent="0.25">
      <c r="A111" s="153"/>
      <c r="B111" s="153"/>
      <c r="C111" s="153"/>
      <c r="D111" s="154"/>
      <c r="E111" s="154"/>
      <c r="F111" s="154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</row>
    <row r="112" spans="1:27" ht="19.5" customHeight="1" x14ac:dyDescent="0.25">
      <c r="A112" s="153"/>
      <c r="B112" s="153"/>
      <c r="C112" s="153"/>
      <c r="D112" s="154"/>
      <c r="E112" s="154"/>
      <c r="F112" s="154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</row>
    <row r="113" spans="1:27" ht="19.5" customHeight="1" x14ac:dyDescent="0.25">
      <c r="A113" s="153"/>
      <c r="B113" s="153"/>
      <c r="C113" s="153"/>
      <c r="D113" s="154"/>
      <c r="E113" s="154"/>
      <c r="F113" s="154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</row>
    <row r="114" spans="1:27" ht="19.5" customHeight="1" x14ac:dyDescent="0.25">
      <c r="A114" s="153"/>
      <c r="B114" s="153"/>
      <c r="C114" s="153"/>
      <c r="D114" s="154"/>
      <c r="E114" s="154"/>
      <c r="F114" s="154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  <c r="AA114" s="145"/>
    </row>
    <row r="115" spans="1:27" ht="19.5" customHeight="1" x14ac:dyDescent="0.25">
      <c r="A115" s="153"/>
      <c r="B115" s="153"/>
      <c r="C115" s="153"/>
      <c r="D115" s="154"/>
      <c r="E115" s="154"/>
      <c r="F115" s="154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</row>
    <row r="116" spans="1:27" ht="19.5" customHeight="1" x14ac:dyDescent="0.25">
      <c r="A116" s="153"/>
      <c r="B116" s="153"/>
      <c r="C116" s="153"/>
      <c r="D116" s="154"/>
      <c r="E116" s="154"/>
      <c r="F116" s="154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  <c r="AA116" s="145"/>
    </row>
    <row r="117" spans="1:27" ht="19.5" customHeight="1" x14ac:dyDescent="0.25">
      <c r="A117" s="153"/>
      <c r="B117" s="153"/>
      <c r="C117" s="153"/>
      <c r="D117" s="154"/>
      <c r="E117" s="154"/>
      <c r="F117" s="154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</row>
    <row r="118" spans="1:27" ht="19.5" customHeight="1" x14ac:dyDescent="0.25">
      <c r="A118" s="153"/>
      <c r="B118" s="153"/>
      <c r="C118" s="153"/>
      <c r="D118" s="154"/>
      <c r="E118" s="154"/>
      <c r="F118" s="154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  <c r="AA118" s="145"/>
    </row>
    <row r="119" spans="1:27" ht="19.5" customHeight="1" x14ac:dyDescent="0.25">
      <c r="A119" s="153"/>
      <c r="B119" s="153"/>
      <c r="C119" s="153"/>
      <c r="D119" s="154"/>
      <c r="E119" s="154"/>
      <c r="F119" s="154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  <c r="AA119" s="145"/>
    </row>
    <row r="120" spans="1:27" ht="19.5" customHeight="1" x14ac:dyDescent="0.25">
      <c r="A120" s="153"/>
      <c r="B120" s="153"/>
      <c r="C120" s="153"/>
      <c r="D120" s="154"/>
      <c r="E120" s="154"/>
      <c r="F120" s="154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  <c r="AA120" s="145"/>
    </row>
    <row r="121" spans="1:27" ht="19.5" customHeight="1" x14ac:dyDescent="0.25">
      <c r="A121" s="153"/>
      <c r="B121" s="153"/>
      <c r="C121" s="153"/>
      <c r="D121" s="154"/>
      <c r="E121" s="154"/>
      <c r="F121" s="154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  <c r="AA121" s="145"/>
    </row>
    <row r="122" spans="1:27" ht="19.5" customHeight="1" x14ac:dyDescent="0.25">
      <c r="A122" s="153"/>
      <c r="B122" s="153"/>
      <c r="C122" s="153"/>
      <c r="D122" s="154"/>
      <c r="E122" s="154"/>
      <c r="F122" s="154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  <c r="AA122" s="145"/>
    </row>
    <row r="123" spans="1:27" ht="19.5" customHeight="1" x14ac:dyDescent="0.25">
      <c r="A123" s="153"/>
      <c r="B123" s="153"/>
      <c r="C123" s="153"/>
      <c r="D123" s="154"/>
      <c r="E123" s="154"/>
      <c r="F123" s="154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  <c r="AA123" s="145"/>
    </row>
    <row r="124" spans="1:27" ht="19.5" customHeight="1" x14ac:dyDescent="0.25">
      <c r="A124" s="153"/>
      <c r="B124" s="153"/>
      <c r="C124" s="153"/>
      <c r="D124" s="154"/>
      <c r="E124" s="154"/>
      <c r="F124" s="154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</row>
    <row r="125" spans="1:27" ht="19.5" customHeight="1" x14ac:dyDescent="0.25">
      <c r="A125" s="153"/>
      <c r="B125" s="153"/>
      <c r="C125" s="153"/>
      <c r="D125" s="154"/>
      <c r="E125" s="154"/>
      <c r="F125" s="154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  <c r="AA125" s="145"/>
    </row>
    <row r="126" spans="1:27" ht="19.5" customHeight="1" x14ac:dyDescent="0.25">
      <c r="A126" s="153"/>
      <c r="B126" s="153"/>
      <c r="C126" s="153"/>
      <c r="D126" s="154"/>
      <c r="E126" s="154"/>
      <c r="F126" s="154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  <c r="AA126" s="145"/>
    </row>
    <row r="127" spans="1:27" ht="19.5" customHeight="1" x14ac:dyDescent="0.25">
      <c r="A127" s="153"/>
      <c r="B127" s="153"/>
      <c r="C127" s="153"/>
      <c r="D127" s="154"/>
      <c r="E127" s="154"/>
      <c r="F127" s="154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</row>
    <row r="128" spans="1:27" ht="19.5" customHeight="1" x14ac:dyDescent="0.25">
      <c r="A128" s="153"/>
      <c r="B128" s="153"/>
      <c r="C128" s="153"/>
      <c r="D128" s="154"/>
      <c r="E128" s="154"/>
      <c r="F128" s="154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</row>
    <row r="129" spans="1:27" ht="19.5" customHeight="1" x14ac:dyDescent="0.25">
      <c r="A129" s="153"/>
      <c r="B129" s="153"/>
      <c r="C129" s="153"/>
      <c r="D129" s="154"/>
      <c r="E129" s="154"/>
      <c r="F129" s="154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  <c r="AA129" s="145"/>
    </row>
    <row r="130" spans="1:27" ht="19.5" customHeight="1" x14ac:dyDescent="0.25">
      <c r="A130" s="153"/>
      <c r="B130" s="153"/>
      <c r="C130" s="153"/>
      <c r="D130" s="154"/>
      <c r="E130" s="154"/>
      <c r="F130" s="154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  <c r="AA130" s="145"/>
    </row>
    <row r="131" spans="1:27" ht="19.5" customHeight="1" x14ac:dyDescent="0.25">
      <c r="A131" s="153"/>
      <c r="B131" s="153"/>
      <c r="C131" s="153"/>
      <c r="D131" s="154"/>
      <c r="E131" s="154"/>
      <c r="F131" s="154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  <c r="AA131" s="145"/>
    </row>
    <row r="132" spans="1:27" ht="19.5" customHeight="1" x14ac:dyDescent="0.25">
      <c r="A132" s="153"/>
      <c r="B132" s="153"/>
      <c r="C132" s="153"/>
      <c r="D132" s="154"/>
      <c r="E132" s="154"/>
      <c r="F132" s="154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</row>
    <row r="133" spans="1:27" ht="19.5" customHeight="1" x14ac:dyDescent="0.25">
      <c r="A133" s="153"/>
      <c r="B133" s="153"/>
      <c r="C133" s="153"/>
      <c r="D133" s="154"/>
      <c r="E133" s="154"/>
      <c r="F133" s="154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  <c r="AA133" s="145"/>
    </row>
    <row r="134" spans="1:27" ht="19.5" customHeight="1" x14ac:dyDescent="0.25">
      <c r="A134" s="153"/>
      <c r="B134" s="153"/>
      <c r="C134" s="153"/>
      <c r="D134" s="154"/>
      <c r="E134" s="154"/>
      <c r="F134" s="154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</row>
    <row r="135" spans="1:27" ht="19.5" customHeight="1" x14ac:dyDescent="0.25">
      <c r="A135" s="153"/>
      <c r="B135" s="153"/>
      <c r="C135" s="153"/>
      <c r="D135" s="154"/>
      <c r="E135" s="154"/>
      <c r="F135" s="154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</row>
    <row r="136" spans="1:27" ht="19.5" customHeight="1" x14ac:dyDescent="0.25">
      <c r="A136" s="153"/>
      <c r="B136" s="153"/>
      <c r="C136" s="153"/>
      <c r="D136" s="154"/>
      <c r="E136" s="154"/>
      <c r="F136" s="154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  <c r="AA136" s="145"/>
    </row>
    <row r="137" spans="1:27" ht="19.5" customHeight="1" x14ac:dyDescent="0.25">
      <c r="A137" s="153"/>
      <c r="B137" s="153"/>
      <c r="C137" s="153"/>
      <c r="D137" s="154"/>
      <c r="E137" s="154"/>
      <c r="F137" s="154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  <c r="AA137" s="145"/>
    </row>
    <row r="138" spans="1:27" ht="19.5" customHeight="1" x14ac:dyDescent="0.25">
      <c r="A138" s="153"/>
      <c r="B138" s="153"/>
      <c r="C138" s="153"/>
      <c r="D138" s="154"/>
      <c r="E138" s="154"/>
      <c r="F138" s="154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  <c r="AA138" s="145"/>
    </row>
    <row r="139" spans="1:27" ht="19.5" customHeight="1" x14ac:dyDescent="0.25">
      <c r="A139" s="153"/>
      <c r="B139" s="153"/>
      <c r="C139" s="153"/>
      <c r="D139" s="154"/>
      <c r="E139" s="154"/>
      <c r="F139" s="154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</row>
    <row r="140" spans="1:27" ht="19.5" customHeight="1" x14ac:dyDescent="0.25">
      <c r="A140" s="153"/>
      <c r="B140" s="153"/>
      <c r="C140" s="153"/>
      <c r="D140" s="154"/>
      <c r="E140" s="154"/>
      <c r="F140" s="154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</row>
    <row r="141" spans="1:27" ht="19.5" customHeight="1" x14ac:dyDescent="0.25">
      <c r="A141" s="153"/>
      <c r="B141" s="153"/>
      <c r="C141" s="153"/>
      <c r="D141" s="154"/>
      <c r="E141" s="154"/>
      <c r="F141" s="154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  <c r="AA141" s="145"/>
    </row>
    <row r="142" spans="1:27" ht="19.5" customHeight="1" x14ac:dyDescent="0.25">
      <c r="A142" s="153"/>
      <c r="B142" s="153"/>
      <c r="C142" s="153"/>
      <c r="D142" s="154"/>
      <c r="E142" s="154"/>
      <c r="F142" s="154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  <c r="AA142" s="145"/>
    </row>
    <row r="143" spans="1:27" ht="19.5" customHeight="1" x14ac:dyDescent="0.25">
      <c r="A143" s="153"/>
      <c r="B143" s="153"/>
      <c r="C143" s="153"/>
      <c r="D143" s="154"/>
      <c r="E143" s="154"/>
      <c r="F143" s="154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</row>
    <row r="144" spans="1:27" ht="19.5" customHeight="1" x14ac:dyDescent="0.25">
      <c r="A144" s="153"/>
      <c r="B144" s="153"/>
      <c r="C144" s="153"/>
      <c r="D144" s="154"/>
      <c r="E144" s="154"/>
      <c r="F144" s="154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  <c r="AA144" s="145"/>
    </row>
    <row r="145" spans="1:27" ht="19.5" customHeight="1" x14ac:dyDescent="0.25">
      <c r="A145" s="153"/>
      <c r="B145" s="153"/>
      <c r="C145" s="153"/>
      <c r="D145" s="154"/>
      <c r="E145" s="154"/>
      <c r="F145" s="154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  <c r="AA145" s="145"/>
    </row>
    <row r="146" spans="1:27" ht="19.5" customHeight="1" x14ac:dyDescent="0.25">
      <c r="A146" s="153"/>
      <c r="B146" s="153"/>
      <c r="C146" s="153"/>
      <c r="D146" s="154"/>
      <c r="E146" s="154"/>
      <c r="F146" s="154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</row>
    <row r="147" spans="1:27" ht="19.5" customHeight="1" x14ac:dyDescent="0.25">
      <c r="A147" s="153"/>
      <c r="B147" s="153"/>
      <c r="C147" s="153"/>
      <c r="D147" s="154"/>
      <c r="E147" s="154"/>
      <c r="F147" s="154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  <c r="AA147" s="145"/>
    </row>
    <row r="148" spans="1:27" ht="19.5" customHeight="1" x14ac:dyDescent="0.25">
      <c r="A148" s="153"/>
      <c r="B148" s="153"/>
      <c r="C148" s="153"/>
      <c r="D148" s="154"/>
      <c r="E148" s="154"/>
      <c r="F148" s="154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  <c r="AA148" s="145"/>
    </row>
    <row r="149" spans="1:27" ht="19.5" customHeight="1" x14ac:dyDescent="0.25">
      <c r="A149" s="153"/>
      <c r="B149" s="153"/>
      <c r="C149" s="153"/>
      <c r="D149" s="154"/>
      <c r="E149" s="154"/>
      <c r="F149" s="154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  <c r="AA149" s="145"/>
    </row>
    <row r="150" spans="1:27" ht="19.5" customHeight="1" x14ac:dyDescent="0.25">
      <c r="A150" s="153"/>
      <c r="B150" s="153"/>
      <c r="C150" s="153"/>
      <c r="D150" s="154"/>
      <c r="E150" s="154"/>
      <c r="F150" s="154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  <c r="AA150" s="145"/>
    </row>
    <row r="151" spans="1:27" ht="19.5" customHeight="1" x14ac:dyDescent="0.25">
      <c r="A151" s="153"/>
      <c r="B151" s="153"/>
      <c r="C151" s="153"/>
      <c r="D151" s="154"/>
      <c r="E151" s="154"/>
      <c r="F151" s="154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  <c r="AA151" s="145"/>
    </row>
    <row r="152" spans="1:27" ht="19.5" customHeight="1" x14ac:dyDescent="0.25">
      <c r="A152" s="153"/>
      <c r="B152" s="153"/>
      <c r="C152" s="153"/>
      <c r="D152" s="154"/>
      <c r="E152" s="154"/>
      <c r="F152" s="154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  <c r="AA152" s="145"/>
    </row>
    <row r="153" spans="1:27" ht="19.5" customHeight="1" x14ac:dyDescent="0.25">
      <c r="A153" s="153"/>
      <c r="B153" s="153"/>
      <c r="C153" s="153"/>
      <c r="D153" s="154"/>
      <c r="E153" s="154"/>
      <c r="F153" s="154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  <c r="AA153" s="145"/>
    </row>
    <row r="154" spans="1:27" ht="19.5" customHeight="1" x14ac:dyDescent="0.25">
      <c r="A154" s="153"/>
      <c r="B154" s="153"/>
      <c r="C154" s="153"/>
      <c r="D154" s="154"/>
      <c r="E154" s="154"/>
      <c r="F154" s="154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  <c r="AA154" s="145"/>
    </row>
    <row r="155" spans="1:27" ht="19.5" customHeight="1" x14ac:dyDescent="0.25">
      <c r="A155" s="153"/>
      <c r="B155" s="153"/>
      <c r="C155" s="153"/>
      <c r="D155" s="154"/>
      <c r="E155" s="154"/>
      <c r="F155" s="154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  <c r="AA155" s="145"/>
    </row>
    <row r="156" spans="1:27" ht="19.5" customHeight="1" x14ac:dyDescent="0.25">
      <c r="A156" s="153"/>
      <c r="B156" s="153"/>
      <c r="C156" s="153"/>
      <c r="D156" s="154"/>
      <c r="E156" s="154"/>
      <c r="F156" s="154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  <c r="AA156" s="145"/>
    </row>
    <row r="157" spans="1:27" ht="19.5" customHeight="1" x14ac:dyDescent="0.25">
      <c r="A157" s="153"/>
      <c r="B157" s="153"/>
      <c r="C157" s="153"/>
      <c r="D157" s="154"/>
      <c r="E157" s="154"/>
      <c r="F157" s="154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  <c r="AA157" s="145"/>
    </row>
    <row r="158" spans="1:27" ht="19.5" customHeight="1" x14ac:dyDescent="0.25">
      <c r="A158" s="153"/>
      <c r="B158" s="153"/>
      <c r="C158" s="153"/>
      <c r="D158" s="154"/>
      <c r="E158" s="154"/>
      <c r="F158" s="154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  <c r="AA158" s="145"/>
    </row>
    <row r="159" spans="1:27" ht="19.5" customHeight="1" x14ac:dyDescent="0.25">
      <c r="A159" s="153"/>
      <c r="B159" s="153"/>
      <c r="C159" s="153"/>
      <c r="D159" s="154"/>
      <c r="E159" s="154"/>
      <c r="F159" s="154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  <c r="AA159" s="145"/>
    </row>
    <row r="160" spans="1:27" ht="19.5" customHeight="1" x14ac:dyDescent="0.25">
      <c r="A160" s="153"/>
      <c r="B160" s="153"/>
      <c r="C160" s="153"/>
      <c r="D160" s="154"/>
      <c r="E160" s="154"/>
      <c r="F160" s="154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  <c r="AA160" s="145"/>
    </row>
    <row r="161" spans="1:27" ht="19.5" customHeight="1" x14ac:dyDescent="0.25">
      <c r="A161" s="153"/>
      <c r="B161" s="153"/>
      <c r="C161" s="153"/>
      <c r="D161" s="154"/>
      <c r="E161" s="154"/>
      <c r="F161" s="154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  <c r="AA161" s="145"/>
    </row>
    <row r="162" spans="1:27" ht="19.5" customHeight="1" x14ac:dyDescent="0.25">
      <c r="A162" s="153"/>
      <c r="B162" s="153"/>
      <c r="C162" s="153"/>
      <c r="D162" s="154"/>
      <c r="E162" s="154"/>
      <c r="F162" s="154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  <c r="AA162" s="145"/>
    </row>
    <row r="163" spans="1:27" ht="19.5" customHeight="1" x14ac:dyDescent="0.25">
      <c r="A163" s="153"/>
      <c r="B163" s="153"/>
      <c r="C163" s="153"/>
      <c r="D163" s="154"/>
      <c r="E163" s="154"/>
      <c r="F163" s="154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  <c r="AA163" s="145"/>
    </row>
    <row r="164" spans="1:27" ht="19.5" customHeight="1" x14ac:dyDescent="0.25">
      <c r="A164" s="153"/>
      <c r="B164" s="153"/>
      <c r="C164" s="153"/>
      <c r="D164" s="154"/>
      <c r="E164" s="154"/>
      <c r="F164" s="154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  <c r="AA164" s="145"/>
    </row>
    <row r="165" spans="1:27" ht="19.5" customHeight="1" x14ac:dyDescent="0.25">
      <c r="A165" s="153"/>
      <c r="B165" s="153"/>
      <c r="C165" s="153"/>
      <c r="D165" s="154"/>
      <c r="E165" s="154"/>
      <c r="F165" s="154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  <c r="AA165" s="145"/>
    </row>
    <row r="166" spans="1:27" ht="19.5" customHeight="1" x14ac:dyDescent="0.25">
      <c r="A166" s="153"/>
      <c r="B166" s="153"/>
      <c r="C166" s="153"/>
      <c r="D166" s="154"/>
      <c r="E166" s="154"/>
      <c r="F166" s="154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  <c r="AA166" s="145"/>
    </row>
    <row r="167" spans="1:27" ht="19.5" customHeight="1" x14ac:dyDescent="0.25">
      <c r="A167" s="153"/>
      <c r="B167" s="153"/>
      <c r="C167" s="153"/>
      <c r="D167" s="154"/>
      <c r="E167" s="154"/>
      <c r="F167" s="154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  <c r="AA167" s="145"/>
    </row>
    <row r="168" spans="1:27" ht="19.5" customHeight="1" x14ac:dyDescent="0.25">
      <c r="A168" s="153"/>
      <c r="B168" s="153"/>
      <c r="C168" s="153"/>
      <c r="D168" s="154"/>
      <c r="E168" s="154"/>
      <c r="F168" s="154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  <c r="AA168" s="145"/>
    </row>
    <row r="169" spans="1:27" ht="19.5" customHeight="1" x14ac:dyDescent="0.25">
      <c r="A169" s="153"/>
      <c r="B169" s="153"/>
      <c r="C169" s="153"/>
      <c r="D169" s="154"/>
      <c r="E169" s="154"/>
      <c r="F169" s="154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  <c r="AA169" s="145"/>
    </row>
    <row r="170" spans="1:27" ht="19.5" customHeight="1" x14ac:dyDescent="0.25">
      <c r="A170" s="153"/>
      <c r="B170" s="153"/>
      <c r="C170" s="153"/>
      <c r="D170" s="154"/>
      <c r="E170" s="154"/>
      <c r="F170" s="154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  <c r="AA170" s="145"/>
    </row>
    <row r="171" spans="1:27" ht="19.5" customHeight="1" x14ac:dyDescent="0.25">
      <c r="A171" s="153"/>
      <c r="B171" s="153"/>
      <c r="C171" s="153"/>
      <c r="D171" s="154"/>
      <c r="E171" s="154"/>
      <c r="F171" s="154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</row>
    <row r="172" spans="1:27" ht="19.5" customHeight="1" x14ac:dyDescent="0.25">
      <c r="A172" s="153"/>
      <c r="B172" s="153"/>
      <c r="C172" s="153"/>
      <c r="D172" s="154"/>
      <c r="E172" s="154"/>
      <c r="F172" s="154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  <c r="AA172" s="145"/>
    </row>
    <row r="173" spans="1:27" ht="19.5" customHeight="1" x14ac:dyDescent="0.25">
      <c r="A173" s="153"/>
      <c r="B173" s="153"/>
      <c r="C173" s="153"/>
      <c r="D173" s="154"/>
      <c r="E173" s="154"/>
      <c r="F173" s="154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  <c r="AA173" s="145"/>
    </row>
    <row r="174" spans="1:27" ht="19.5" customHeight="1" x14ac:dyDescent="0.25">
      <c r="A174" s="153"/>
      <c r="B174" s="153"/>
      <c r="C174" s="153"/>
      <c r="D174" s="154"/>
      <c r="E174" s="154"/>
      <c r="F174" s="154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  <c r="AA174" s="145"/>
    </row>
    <row r="175" spans="1:27" ht="19.5" customHeight="1" x14ac:dyDescent="0.25">
      <c r="A175" s="153"/>
      <c r="B175" s="153"/>
      <c r="C175" s="153"/>
      <c r="D175" s="154"/>
      <c r="E175" s="154"/>
      <c r="F175" s="154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  <c r="AA175" s="145"/>
    </row>
    <row r="176" spans="1:27" ht="19.5" customHeight="1" x14ac:dyDescent="0.25">
      <c r="A176" s="153"/>
      <c r="B176" s="153"/>
      <c r="C176" s="153"/>
      <c r="D176" s="154"/>
      <c r="E176" s="154"/>
      <c r="F176" s="154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</row>
    <row r="177" spans="1:27" ht="19.5" customHeight="1" x14ac:dyDescent="0.25">
      <c r="A177" s="153"/>
      <c r="B177" s="153"/>
      <c r="C177" s="153"/>
      <c r="D177" s="154"/>
      <c r="E177" s="154"/>
      <c r="F177" s="154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</row>
    <row r="178" spans="1:27" ht="19.5" customHeight="1" x14ac:dyDescent="0.25">
      <c r="A178" s="153"/>
      <c r="B178" s="153"/>
      <c r="C178" s="153"/>
      <c r="D178" s="154"/>
      <c r="E178" s="154"/>
      <c r="F178" s="154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  <c r="AA178" s="145"/>
    </row>
    <row r="179" spans="1:27" ht="19.5" customHeight="1" x14ac:dyDescent="0.25">
      <c r="A179" s="153"/>
      <c r="B179" s="153"/>
      <c r="C179" s="153"/>
      <c r="D179" s="154"/>
      <c r="E179" s="154"/>
      <c r="F179" s="154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</row>
    <row r="180" spans="1:27" ht="19.5" customHeight="1" x14ac:dyDescent="0.25">
      <c r="A180" s="153"/>
      <c r="B180" s="153"/>
      <c r="C180" s="153"/>
      <c r="D180" s="154"/>
      <c r="E180" s="154"/>
      <c r="F180" s="154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</row>
    <row r="181" spans="1:27" ht="19.5" customHeight="1" x14ac:dyDescent="0.25">
      <c r="A181" s="153"/>
      <c r="B181" s="153"/>
      <c r="C181" s="153"/>
      <c r="D181" s="154"/>
      <c r="E181" s="154"/>
      <c r="F181" s="154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  <c r="AA181" s="145"/>
    </row>
    <row r="182" spans="1:27" ht="19.5" customHeight="1" x14ac:dyDescent="0.25">
      <c r="A182" s="153"/>
      <c r="B182" s="153"/>
      <c r="C182" s="153"/>
      <c r="D182" s="154"/>
      <c r="E182" s="154"/>
      <c r="F182" s="154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</row>
    <row r="183" spans="1:27" ht="19.5" customHeight="1" x14ac:dyDescent="0.25">
      <c r="A183" s="153"/>
      <c r="B183" s="153"/>
      <c r="C183" s="153"/>
      <c r="D183" s="154"/>
      <c r="E183" s="154"/>
      <c r="F183" s="154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</row>
    <row r="184" spans="1:27" ht="19.5" customHeight="1" x14ac:dyDescent="0.25">
      <c r="A184" s="153"/>
      <c r="B184" s="153"/>
      <c r="C184" s="153"/>
      <c r="D184" s="154"/>
      <c r="E184" s="154"/>
      <c r="F184" s="154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  <c r="AA184" s="145"/>
    </row>
    <row r="185" spans="1:27" ht="19.5" customHeight="1" x14ac:dyDescent="0.25">
      <c r="A185" s="153"/>
      <c r="B185" s="153"/>
      <c r="C185" s="153"/>
      <c r="D185" s="154"/>
      <c r="E185" s="154"/>
      <c r="F185" s="154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  <c r="AA185" s="145"/>
    </row>
    <row r="186" spans="1:27" ht="19.5" customHeight="1" x14ac:dyDescent="0.25">
      <c r="A186" s="153"/>
      <c r="B186" s="153"/>
      <c r="C186" s="153"/>
      <c r="D186" s="154"/>
      <c r="E186" s="154"/>
      <c r="F186" s="154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  <c r="AA186" s="145"/>
    </row>
    <row r="187" spans="1:27" ht="19.5" customHeight="1" x14ac:dyDescent="0.25">
      <c r="A187" s="153"/>
      <c r="B187" s="153"/>
      <c r="C187" s="153"/>
      <c r="D187" s="154"/>
      <c r="E187" s="154"/>
      <c r="F187" s="154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  <c r="AA187" s="145"/>
    </row>
    <row r="188" spans="1:27" ht="19.5" customHeight="1" x14ac:dyDescent="0.25">
      <c r="A188" s="153"/>
      <c r="B188" s="153"/>
      <c r="C188" s="153"/>
      <c r="D188" s="154"/>
      <c r="E188" s="154"/>
      <c r="F188" s="154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  <c r="AA188" s="145"/>
    </row>
    <row r="189" spans="1:27" ht="19.5" customHeight="1" x14ac:dyDescent="0.25">
      <c r="A189" s="153"/>
      <c r="B189" s="153"/>
      <c r="C189" s="153"/>
      <c r="D189" s="154"/>
      <c r="E189" s="154"/>
      <c r="F189" s="154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</row>
    <row r="190" spans="1:27" ht="19.5" customHeight="1" x14ac:dyDescent="0.25">
      <c r="A190" s="153"/>
      <c r="B190" s="153"/>
      <c r="C190" s="153"/>
      <c r="D190" s="154"/>
      <c r="E190" s="154"/>
      <c r="F190" s="154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</row>
    <row r="191" spans="1:27" ht="19.5" customHeight="1" x14ac:dyDescent="0.25">
      <c r="A191" s="153"/>
      <c r="B191" s="153"/>
      <c r="C191" s="153"/>
      <c r="D191" s="154"/>
      <c r="E191" s="154"/>
      <c r="F191" s="154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  <c r="AA191" s="145"/>
    </row>
    <row r="192" spans="1:27" ht="19.5" customHeight="1" x14ac:dyDescent="0.25">
      <c r="A192" s="153"/>
      <c r="B192" s="153"/>
      <c r="C192" s="153"/>
      <c r="D192" s="154"/>
      <c r="E192" s="154"/>
      <c r="F192" s="154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</row>
    <row r="193" spans="1:27" ht="19.5" customHeight="1" x14ac:dyDescent="0.25">
      <c r="A193" s="153"/>
      <c r="B193" s="153"/>
      <c r="C193" s="153"/>
      <c r="D193" s="154"/>
      <c r="E193" s="154"/>
      <c r="F193" s="154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  <c r="AA193" s="145"/>
    </row>
    <row r="194" spans="1:27" ht="19.5" customHeight="1" x14ac:dyDescent="0.25">
      <c r="A194" s="153"/>
      <c r="B194" s="153"/>
      <c r="C194" s="153"/>
      <c r="D194" s="154"/>
      <c r="E194" s="154"/>
      <c r="F194" s="154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  <c r="AA194" s="145"/>
    </row>
    <row r="195" spans="1:27" ht="19.5" customHeight="1" x14ac:dyDescent="0.25">
      <c r="A195" s="153"/>
      <c r="B195" s="153"/>
      <c r="C195" s="153"/>
      <c r="D195" s="154"/>
      <c r="E195" s="154"/>
      <c r="F195" s="154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  <c r="AA195" s="145"/>
    </row>
    <row r="196" spans="1:27" ht="19.5" customHeight="1" x14ac:dyDescent="0.25">
      <c r="A196" s="153"/>
      <c r="B196" s="153"/>
      <c r="C196" s="153"/>
      <c r="D196" s="154"/>
      <c r="E196" s="154"/>
      <c r="F196" s="154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</row>
    <row r="197" spans="1:27" ht="19.5" customHeight="1" x14ac:dyDescent="0.25">
      <c r="A197" s="153"/>
      <c r="B197" s="153"/>
      <c r="C197" s="153"/>
      <c r="D197" s="154"/>
      <c r="E197" s="154"/>
      <c r="F197" s="154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  <c r="AA197" s="145"/>
    </row>
    <row r="198" spans="1:27" ht="19.5" customHeight="1" x14ac:dyDescent="0.25">
      <c r="A198" s="153"/>
      <c r="B198" s="153"/>
      <c r="C198" s="153"/>
      <c r="D198" s="154"/>
      <c r="E198" s="154"/>
      <c r="F198" s="154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  <c r="AA198" s="145"/>
    </row>
    <row r="199" spans="1:27" ht="19.5" customHeight="1" x14ac:dyDescent="0.25">
      <c r="A199" s="153"/>
      <c r="B199" s="153"/>
      <c r="C199" s="153"/>
      <c r="D199" s="154"/>
      <c r="E199" s="154"/>
      <c r="F199" s="154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</row>
    <row r="200" spans="1:27" ht="19.5" customHeight="1" x14ac:dyDescent="0.25">
      <c r="A200" s="153"/>
      <c r="B200" s="153"/>
      <c r="C200" s="153"/>
      <c r="D200" s="154"/>
      <c r="E200" s="154"/>
      <c r="F200" s="154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</row>
    <row r="201" spans="1:27" ht="19.5" customHeight="1" x14ac:dyDescent="0.25">
      <c r="A201" s="153"/>
      <c r="B201" s="153"/>
      <c r="C201" s="153"/>
      <c r="D201" s="154"/>
      <c r="E201" s="154"/>
      <c r="F201" s="154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</row>
    <row r="202" spans="1:27" ht="19.5" customHeight="1" x14ac:dyDescent="0.25">
      <c r="A202" s="153"/>
      <c r="B202" s="153"/>
      <c r="C202" s="153"/>
      <c r="D202" s="154"/>
      <c r="E202" s="154"/>
      <c r="F202" s="154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  <c r="AA202" s="145"/>
    </row>
    <row r="203" spans="1:27" ht="19.5" customHeight="1" x14ac:dyDescent="0.25">
      <c r="A203" s="153"/>
      <c r="B203" s="153"/>
      <c r="C203" s="153"/>
      <c r="D203" s="154"/>
      <c r="E203" s="154"/>
      <c r="F203" s="154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  <c r="AA203" s="145"/>
    </row>
    <row r="204" spans="1:27" ht="19.5" customHeight="1" x14ac:dyDescent="0.25">
      <c r="A204" s="153"/>
      <c r="B204" s="153"/>
      <c r="C204" s="153"/>
      <c r="D204" s="154"/>
      <c r="E204" s="154"/>
      <c r="F204" s="154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</row>
    <row r="205" spans="1:27" ht="19.5" customHeight="1" x14ac:dyDescent="0.25">
      <c r="A205" s="153"/>
      <c r="B205" s="153"/>
      <c r="C205" s="153"/>
      <c r="D205" s="154"/>
      <c r="E205" s="154"/>
      <c r="F205" s="154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</row>
    <row r="206" spans="1:27" ht="19.5" customHeight="1" x14ac:dyDescent="0.25">
      <c r="A206" s="153"/>
      <c r="B206" s="153"/>
      <c r="C206" s="153"/>
      <c r="D206" s="154"/>
      <c r="E206" s="154"/>
      <c r="F206" s="154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  <c r="AA206" s="145"/>
    </row>
    <row r="207" spans="1:27" ht="19.5" customHeight="1" x14ac:dyDescent="0.25">
      <c r="A207" s="153"/>
      <c r="B207" s="153"/>
      <c r="C207" s="153"/>
      <c r="D207" s="154"/>
      <c r="E207" s="154"/>
      <c r="F207" s="154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</row>
    <row r="208" spans="1:27" ht="19.5" customHeight="1" x14ac:dyDescent="0.25">
      <c r="A208" s="153"/>
      <c r="B208" s="153"/>
      <c r="C208" s="153"/>
      <c r="D208" s="154"/>
      <c r="E208" s="154"/>
      <c r="F208" s="154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</row>
    <row r="209" spans="1:27" ht="19.5" customHeight="1" x14ac:dyDescent="0.25">
      <c r="A209" s="153"/>
      <c r="B209" s="153"/>
      <c r="C209" s="153"/>
      <c r="D209" s="154"/>
      <c r="E209" s="154"/>
      <c r="F209" s="154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  <c r="AA209" s="145"/>
    </row>
    <row r="210" spans="1:27" ht="19.5" customHeight="1" x14ac:dyDescent="0.25">
      <c r="A210" s="153"/>
      <c r="B210" s="153"/>
      <c r="C210" s="153"/>
      <c r="D210" s="154"/>
      <c r="E210" s="154"/>
      <c r="F210" s="154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  <c r="AA210" s="145"/>
    </row>
    <row r="211" spans="1:27" ht="19.5" customHeight="1" x14ac:dyDescent="0.25">
      <c r="A211" s="153"/>
      <c r="B211" s="153"/>
      <c r="C211" s="153"/>
      <c r="D211" s="154"/>
      <c r="E211" s="154"/>
      <c r="F211" s="154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</row>
    <row r="212" spans="1:27" ht="19.5" customHeight="1" x14ac:dyDescent="0.25">
      <c r="A212" s="153"/>
      <c r="B212" s="153"/>
      <c r="C212" s="153"/>
      <c r="D212" s="154"/>
      <c r="E212" s="154"/>
      <c r="F212" s="154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  <c r="AA212" s="145"/>
    </row>
    <row r="213" spans="1:27" ht="19.5" customHeight="1" x14ac:dyDescent="0.25">
      <c r="A213" s="153"/>
      <c r="B213" s="153"/>
      <c r="C213" s="153"/>
      <c r="D213" s="154"/>
      <c r="E213" s="154"/>
      <c r="F213" s="154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</row>
    <row r="214" spans="1:27" ht="19.5" customHeight="1" x14ac:dyDescent="0.25">
      <c r="A214" s="153"/>
      <c r="B214" s="153"/>
      <c r="C214" s="153"/>
      <c r="D214" s="154"/>
      <c r="E214" s="154"/>
      <c r="F214" s="154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</row>
    <row r="215" spans="1:27" ht="19.5" customHeight="1" x14ac:dyDescent="0.25">
      <c r="A215" s="153"/>
      <c r="B215" s="153"/>
      <c r="C215" s="153"/>
      <c r="D215" s="154"/>
      <c r="E215" s="154"/>
      <c r="F215" s="154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</row>
    <row r="216" spans="1:27" ht="19.5" customHeight="1" x14ac:dyDescent="0.25">
      <c r="A216" s="153"/>
      <c r="B216" s="153"/>
      <c r="C216" s="153"/>
      <c r="D216" s="154"/>
      <c r="E216" s="154"/>
      <c r="F216" s="154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  <c r="AA216" s="145"/>
    </row>
    <row r="217" spans="1:27" ht="19.5" customHeight="1" x14ac:dyDescent="0.25">
      <c r="A217" s="153"/>
      <c r="B217" s="153"/>
      <c r="C217" s="153"/>
      <c r="D217" s="154"/>
      <c r="E217" s="154"/>
      <c r="F217" s="154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  <c r="AA217" s="145"/>
    </row>
    <row r="218" spans="1:27" ht="19.5" customHeight="1" x14ac:dyDescent="0.25">
      <c r="A218" s="153"/>
      <c r="B218" s="153"/>
      <c r="C218" s="153"/>
      <c r="D218" s="154"/>
      <c r="E218" s="154"/>
      <c r="F218" s="154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  <c r="AA218" s="145"/>
    </row>
    <row r="219" spans="1:27" ht="19.5" customHeight="1" x14ac:dyDescent="0.25">
      <c r="A219" s="153"/>
      <c r="B219" s="153"/>
      <c r="C219" s="153"/>
      <c r="D219" s="154"/>
      <c r="E219" s="154"/>
      <c r="F219" s="154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</row>
    <row r="220" spans="1:27" ht="19.5" customHeight="1" x14ac:dyDescent="0.25">
      <c r="A220" s="153"/>
      <c r="B220" s="153"/>
      <c r="C220" s="153"/>
      <c r="D220" s="154"/>
      <c r="E220" s="154"/>
      <c r="F220" s="154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  <c r="AA220" s="145"/>
    </row>
    <row r="221" spans="1:27" ht="19.5" customHeight="1" x14ac:dyDescent="0.25">
      <c r="A221" s="153"/>
      <c r="B221" s="153"/>
      <c r="C221" s="153"/>
      <c r="D221" s="154"/>
      <c r="E221" s="154"/>
      <c r="F221" s="154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</row>
    <row r="222" spans="1:27" ht="19.5" customHeight="1" x14ac:dyDescent="0.25">
      <c r="A222" s="153"/>
      <c r="B222" s="153"/>
      <c r="C222" s="153"/>
      <c r="D222" s="154"/>
      <c r="E222" s="154"/>
      <c r="F222" s="154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  <c r="AA222" s="145"/>
    </row>
    <row r="223" spans="1:27" ht="19.5" customHeight="1" x14ac:dyDescent="0.25">
      <c r="A223" s="153"/>
      <c r="B223" s="153"/>
      <c r="C223" s="153"/>
      <c r="D223" s="154"/>
      <c r="E223" s="154"/>
      <c r="F223" s="154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</row>
    <row r="224" spans="1:27" ht="19.5" customHeight="1" x14ac:dyDescent="0.25">
      <c r="A224" s="153"/>
      <c r="B224" s="153"/>
      <c r="C224" s="153"/>
      <c r="D224" s="154"/>
      <c r="E224" s="154"/>
      <c r="F224" s="154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</row>
    <row r="225" spans="1:27" ht="19.5" customHeight="1" x14ac:dyDescent="0.25">
      <c r="A225" s="153"/>
      <c r="B225" s="153"/>
      <c r="C225" s="153"/>
      <c r="D225" s="154"/>
      <c r="E225" s="154"/>
      <c r="F225" s="154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  <c r="AA225" s="145"/>
    </row>
    <row r="226" spans="1:27" ht="19.5" customHeight="1" x14ac:dyDescent="0.25">
      <c r="A226" s="153"/>
      <c r="B226" s="153"/>
      <c r="C226" s="153"/>
      <c r="D226" s="154"/>
      <c r="E226" s="154"/>
      <c r="F226" s="154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</row>
    <row r="227" spans="1:27" ht="19.5" customHeight="1" x14ac:dyDescent="0.25">
      <c r="A227" s="153"/>
      <c r="B227" s="153"/>
      <c r="C227" s="153"/>
      <c r="D227" s="154"/>
      <c r="E227" s="154"/>
      <c r="F227" s="154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</row>
    <row r="228" spans="1:27" ht="19.5" customHeight="1" x14ac:dyDescent="0.25">
      <c r="A228" s="153"/>
      <c r="B228" s="153"/>
      <c r="C228" s="153"/>
      <c r="D228" s="154"/>
      <c r="E228" s="154"/>
      <c r="F228" s="154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  <c r="AA228" s="145"/>
    </row>
    <row r="229" spans="1:27" ht="19.5" customHeight="1" x14ac:dyDescent="0.25">
      <c r="A229" s="153"/>
      <c r="B229" s="153"/>
      <c r="C229" s="153"/>
      <c r="D229" s="154"/>
      <c r="E229" s="154"/>
      <c r="F229" s="154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</row>
    <row r="230" spans="1:27" ht="19.5" customHeight="1" x14ac:dyDescent="0.25">
      <c r="A230" s="153"/>
      <c r="B230" s="153"/>
      <c r="C230" s="153"/>
      <c r="D230" s="154"/>
      <c r="E230" s="154"/>
      <c r="F230" s="154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  <c r="AA230" s="145"/>
    </row>
    <row r="231" spans="1:27" ht="19.5" customHeight="1" x14ac:dyDescent="0.25">
      <c r="A231" s="153"/>
      <c r="B231" s="153"/>
      <c r="C231" s="153"/>
      <c r="D231" s="154"/>
      <c r="E231" s="154"/>
      <c r="F231" s="154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</row>
    <row r="232" spans="1:27" ht="19.5" customHeight="1" x14ac:dyDescent="0.25">
      <c r="A232" s="153"/>
      <c r="B232" s="153"/>
      <c r="C232" s="153"/>
      <c r="D232" s="154"/>
      <c r="E232" s="154"/>
      <c r="F232" s="154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  <c r="AA232" s="145"/>
    </row>
    <row r="233" spans="1:27" ht="19.5" customHeight="1" x14ac:dyDescent="0.25">
      <c r="A233" s="153"/>
      <c r="B233" s="153"/>
      <c r="C233" s="153"/>
      <c r="D233" s="154"/>
      <c r="E233" s="154"/>
      <c r="F233" s="154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</row>
    <row r="234" spans="1:27" ht="19.5" customHeight="1" x14ac:dyDescent="0.25">
      <c r="A234" s="153"/>
      <c r="B234" s="153"/>
      <c r="C234" s="153"/>
      <c r="D234" s="154"/>
      <c r="E234" s="154"/>
      <c r="F234" s="154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</row>
    <row r="235" spans="1:27" ht="19.5" customHeight="1" x14ac:dyDescent="0.25">
      <c r="A235" s="153"/>
      <c r="B235" s="153"/>
      <c r="C235" s="153"/>
      <c r="D235" s="154"/>
      <c r="E235" s="154"/>
      <c r="F235" s="154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  <c r="AA235" s="145"/>
    </row>
    <row r="236" spans="1:27" ht="19.5" customHeight="1" x14ac:dyDescent="0.25">
      <c r="A236" s="153"/>
      <c r="B236" s="153"/>
      <c r="C236" s="153"/>
      <c r="D236" s="154"/>
      <c r="E236" s="154"/>
      <c r="F236" s="154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  <c r="AA236" s="145"/>
    </row>
    <row r="237" spans="1:27" ht="19.5" customHeight="1" x14ac:dyDescent="0.25">
      <c r="A237" s="153"/>
      <c r="B237" s="153"/>
      <c r="C237" s="153"/>
      <c r="D237" s="154"/>
      <c r="E237" s="154"/>
      <c r="F237" s="154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  <c r="AA237" s="145"/>
    </row>
    <row r="238" spans="1:27" ht="19.5" customHeight="1" x14ac:dyDescent="0.25">
      <c r="A238" s="153"/>
      <c r="B238" s="153"/>
      <c r="C238" s="153"/>
      <c r="D238" s="154"/>
      <c r="E238" s="154"/>
      <c r="F238" s="154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  <c r="AA238" s="145"/>
    </row>
    <row r="239" spans="1:27" ht="19.5" customHeight="1" x14ac:dyDescent="0.25">
      <c r="A239" s="153"/>
      <c r="B239" s="153"/>
      <c r="C239" s="153"/>
      <c r="D239" s="154"/>
      <c r="E239" s="154"/>
      <c r="F239" s="154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  <c r="AA239" s="145"/>
    </row>
    <row r="240" spans="1:27" ht="19.5" customHeight="1" x14ac:dyDescent="0.25">
      <c r="A240" s="153"/>
      <c r="B240" s="153"/>
      <c r="C240" s="153"/>
      <c r="D240" s="154"/>
      <c r="E240" s="154"/>
      <c r="F240" s="154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  <c r="AA240" s="145"/>
    </row>
    <row r="241" spans="1:27" ht="19.5" customHeight="1" x14ac:dyDescent="0.25">
      <c r="A241" s="153"/>
      <c r="B241" s="153"/>
      <c r="C241" s="153"/>
      <c r="D241" s="154"/>
      <c r="E241" s="154"/>
      <c r="F241" s="154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  <c r="AA241" s="145"/>
    </row>
    <row r="242" spans="1:27" ht="19.5" customHeight="1" x14ac:dyDescent="0.25">
      <c r="A242" s="153"/>
      <c r="B242" s="153"/>
      <c r="C242" s="153"/>
      <c r="D242" s="154"/>
      <c r="E242" s="154"/>
      <c r="F242" s="154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  <c r="AA242" s="145"/>
    </row>
    <row r="243" spans="1:27" ht="19.5" customHeight="1" x14ac:dyDescent="0.25">
      <c r="A243" s="153"/>
      <c r="B243" s="153"/>
      <c r="C243" s="153"/>
      <c r="D243" s="154"/>
      <c r="E243" s="154"/>
      <c r="F243" s="154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  <c r="AA243" s="145"/>
    </row>
    <row r="244" spans="1:27" ht="19.5" customHeight="1" x14ac:dyDescent="0.25">
      <c r="A244" s="153"/>
      <c r="B244" s="153"/>
      <c r="C244" s="153"/>
      <c r="D244" s="154"/>
      <c r="E244" s="154"/>
      <c r="F244" s="154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  <c r="AA244" s="145"/>
    </row>
    <row r="245" spans="1:27" ht="19.5" customHeight="1" x14ac:dyDescent="0.25">
      <c r="A245" s="153"/>
      <c r="B245" s="153"/>
      <c r="C245" s="153"/>
      <c r="D245" s="154"/>
      <c r="E245" s="154"/>
      <c r="F245" s="154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  <c r="AA245" s="145"/>
    </row>
    <row r="246" spans="1:27" ht="19.5" customHeight="1" x14ac:dyDescent="0.25">
      <c r="A246" s="153"/>
      <c r="B246" s="153"/>
      <c r="C246" s="153"/>
      <c r="D246" s="154"/>
      <c r="E246" s="154"/>
      <c r="F246" s="154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  <c r="AA246" s="145"/>
    </row>
    <row r="247" spans="1:27" ht="19.5" customHeight="1" x14ac:dyDescent="0.25">
      <c r="A247" s="153"/>
      <c r="B247" s="153"/>
      <c r="C247" s="153"/>
      <c r="D247" s="154"/>
      <c r="E247" s="154"/>
      <c r="F247" s="154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  <c r="AA247" s="145"/>
    </row>
    <row r="248" spans="1:27" ht="19.5" customHeight="1" x14ac:dyDescent="0.25">
      <c r="A248" s="153"/>
      <c r="B248" s="153"/>
      <c r="C248" s="153"/>
      <c r="D248" s="154"/>
      <c r="E248" s="154"/>
      <c r="F248" s="154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  <c r="AA248" s="145"/>
    </row>
    <row r="249" spans="1:27" ht="19.5" customHeight="1" x14ac:dyDescent="0.25">
      <c r="A249" s="153"/>
      <c r="B249" s="153"/>
      <c r="C249" s="153"/>
      <c r="D249" s="154"/>
      <c r="E249" s="154"/>
      <c r="F249" s="154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  <c r="AA249" s="145"/>
    </row>
    <row r="250" spans="1:27" ht="19.5" customHeight="1" x14ac:dyDescent="0.25">
      <c r="A250" s="153"/>
      <c r="B250" s="153"/>
      <c r="C250" s="153"/>
      <c r="D250" s="154"/>
      <c r="E250" s="154"/>
      <c r="F250" s="154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  <c r="AA250" s="145"/>
    </row>
    <row r="251" spans="1:27" ht="19.5" customHeight="1" x14ac:dyDescent="0.25">
      <c r="A251" s="153"/>
      <c r="B251" s="153"/>
      <c r="C251" s="153"/>
      <c r="D251" s="154"/>
      <c r="E251" s="154"/>
      <c r="F251" s="154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  <c r="AA251" s="145"/>
    </row>
    <row r="252" spans="1:27" ht="19.5" customHeight="1" x14ac:dyDescent="0.25">
      <c r="A252" s="153"/>
      <c r="B252" s="153"/>
      <c r="C252" s="153"/>
      <c r="D252" s="154"/>
      <c r="E252" s="154"/>
      <c r="F252" s="154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  <c r="AA252" s="145"/>
    </row>
    <row r="253" spans="1:27" ht="19.5" customHeight="1" x14ac:dyDescent="0.25">
      <c r="A253" s="153"/>
      <c r="B253" s="153"/>
      <c r="C253" s="153"/>
      <c r="D253" s="154"/>
      <c r="E253" s="154"/>
      <c r="F253" s="154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  <c r="AA253" s="145"/>
    </row>
    <row r="254" spans="1:27" ht="19.5" customHeight="1" x14ac:dyDescent="0.25">
      <c r="A254" s="153"/>
      <c r="B254" s="153"/>
      <c r="C254" s="153"/>
      <c r="D254" s="154"/>
      <c r="E254" s="154"/>
      <c r="F254" s="154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  <c r="AA254" s="145"/>
    </row>
    <row r="255" spans="1:27" ht="19.5" customHeight="1" x14ac:dyDescent="0.25">
      <c r="A255" s="153"/>
      <c r="B255" s="153"/>
      <c r="C255" s="153"/>
      <c r="D255" s="154"/>
      <c r="E255" s="154"/>
      <c r="F255" s="154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  <c r="AA255" s="145"/>
    </row>
    <row r="256" spans="1:27" ht="19.5" customHeight="1" x14ac:dyDescent="0.25">
      <c r="A256" s="153"/>
      <c r="B256" s="153"/>
      <c r="C256" s="153"/>
      <c r="D256" s="154"/>
      <c r="E256" s="154"/>
      <c r="F256" s="154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  <c r="AA256" s="145"/>
    </row>
    <row r="257" spans="1:27" ht="19.5" customHeight="1" x14ac:dyDescent="0.25">
      <c r="A257" s="153"/>
      <c r="B257" s="153"/>
      <c r="C257" s="153"/>
      <c r="D257" s="154"/>
      <c r="E257" s="154"/>
      <c r="F257" s="154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  <c r="AA257" s="145"/>
    </row>
    <row r="258" spans="1:27" ht="19.5" customHeight="1" x14ac:dyDescent="0.25">
      <c r="A258" s="153"/>
      <c r="B258" s="153"/>
      <c r="C258" s="153"/>
      <c r="D258" s="154"/>
      <c r="E258" s="154"/>
      <c r="F258" s="154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  <c r="AA258" s="145"/>
    </row>
    <row r="259" spans="1:27" ht="19.5" customHeight="1" x14ac:dyDescent="0.25">
      <c r="A259" s="153"/>
      <c r="B259" s="153"/>
      <c r="C259" s="153"/>
      <c r="D259" s="154"/>
      <c r="E259" s="154"/>
      <c r="F259" s="154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  <c r="AA259" s="145"/>
    </row>
    <row r="260" spans="1:27" ht="19.5" customHeight="1" x14ac:dyDescent="0.25">
      <c r="A260" s="153"/>
      <c r="B260" s="153"/>
      <c r="C260" s="153"/>
      <c r="D260" s="154"/>
      <c r="E260" s="154"/>
      <c r="F260" s="154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  <c r="AA260" s="145"/>
    </row>
    <row r="261" spans="1:27" ht="19.5" customHeight="1" x14ac:dyDescent="0.25">
      <c r="A261" s="153"/>
      <c r="B261" s="153"/>
      <c r="C261" s="153"/>
      <c r="D261" s="154"/>
      <c r="E261" s="154"/>
      <c r="F261" s="154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  <c r="AA261" s="145"/>
    </row>
    <row r="262" spans="1:27" ht="19.5" customHeight="1" x14ac:dyDescent="0.25">
      <c r="A262" s="153"/>
      <c r="B262" s="153"/>
      <c r="C262" s="153"/>
      <c r="D262" s="154"/>
      <c r="E262" s="154"/>
      <c r="F262" s="154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  <c r="AA262" s="145"/>
    </row>
    <row r="263" spans="1:27" ht="19.5" customHeight="1" x14ac:dyDescent="0.25">
      <c r="A263" s="153"/>
      <c r="B263" s="153"/>
      <c r="C263" s="153"/>
      <c r="D263" s="154"/>
      <c r="E263" s="154"/>
      <c r="F263" s="154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  <c r="AA263" s="145"/>
    </row>
    <row r="264" spans="1:27" ht="19.5" customHeight="1" x14ac:dyDescent="0.25">
      <c r="A264" s="153"/>
      <c r="B264" s="153"/>
      <c r="C264" s="153"/>
      <c r="D264" s="154"/>
      <c r="E264" s="154"/>
      <c r="F264" s="154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  <c r="AA264" s="145"/>
    </row>
    <row r="265" spans="1:27" ht="19.5" customHeight="1" x14ac:dyDescent="0.25">
      <c r="A265" s="153"/>
      <c r="B265" s="153"/>
      <c r="C265" s="153"/>
      <c r="D265" s="154"/>
      <c r="E265" s="154"/>
      <c r="F265" s="154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  <c r="AA265" s="145"/>
    </row>
    <row r="266" spans="1:27" ht="19.5" customHeight="1" x14ac:dyDescent="0.25">
      <c r="A266" s="153"/>
      <c r="B266" s="153"/>
      <c r="C266" s="153"/>
      <c r="D266" s="154"/>
      <c r="E266" s="154"/>
      <c r="F266" s="154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  <c r="AA266" s="145"/>
    </row>
    <row r="267" spans="1:27" ht="19.5" customHeight="1" x14ac:dyDescent="0.25">
      <c r="A267" s="153"/>
      <c r="B267" s="153"/>
      <c r="C267" s="153"/>
      <c r="D267" s="154"/>
      <c r="E267" s="154"/>
      <c r="F267" s="154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  <c r="AA267" s="145"/>
    </row>
    <row r="268" spans="1:27" ht="19.5" customHeight="1" x14ac:dyDescent="0.25">
      <c r="A268" s="153"/>
      <c r="B268" s="153"/>
      <c r="C268" s="153"/>
      <c r="D268" s="154"/>
      <c r="E268" s="154"/>
      <c r="F268" s="154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  <c r="AA268" s="145"/>
    </row>
    <row r="269" spans="1:27" ht="19.5" customHeight="1" x14ac:dyDescent="0.25">
      <c r="A269" s="153"/>
      <c r="B269" s="153"/>
      <c r="C269" s="153"/>
      <c r="D269" s="154"/>
      <c r="E269" s="154"/>
      <c r="F269" s="154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  <c r="AA269" s="145"/>
    </row>
    <row r="270" spans="1:27" ht="19.5" customHeight="1" x14ac:dyDescent="0.25">
      <c r="A270" s="153"/>
      <c r="B270" s="153"/>
      <c r="C270" s="153"/>
      <c r="D270" s="154"/>
      <c r="E270" s="154"/>
      <c r="F270" s="154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</row>
    <row r="271" spans="1:27" ht="19.5" customHeight="1" x14ac:dyDescent="0.25">
      <c r="A271" s="153"/>
      <c r="B271" s="153"/>
      <c r="C271" s="153"/>
      <c r="D271" s="154"/>
      <c r="E271" s="154"/>
      <c r="F271" s="154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</row>
    <row r="272" spans="1:27" ht="19.5" customHeight="1" x14ac:dyDescent="0.25">
      <c r="A272" s="153"/>
      <c r="B272" s="153"/>
      <c r="C272" s="153"/>
      <c r="D272" s="154"/>
      <c r="E272" s="154"/>
      <c r="F272" s="154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</row>
    <row r="273" spans="1:27" ht="19.5" customHeight="1" x14ac:dyDescent="0.25">
      <c r="A273" s="153"/>
      <c r="B273" s="153"/>
      <c r="C273" s="153"/>
      <c r="D273" s="154"/>
      <c r="E273" s="154"/>
      <c r="F273" s="154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</row>
    <row r="274" spans="1:27" ht="19.5" customHeight="1" x14ac:dyDescent="0.25">
      <c r="A274" s="153"/>
      <c r="B274" s="153"/>
      <c r="C274" s="153"/>
      <c r="D274" s="154"/>
      <c r="E274" s="154"/>
      <c r="F274" s="154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</row>
    <row r="275" spans="1:27" ht="19.5" customHeight="1" x14ac:dyDescent="0.25">
      <c r="A275" s="153"/>
      <c r="B275" s="153"/>
      <c r="C275" s="153"/>
      <c r="D275" s="154"/>
      <c r="E275" s="154"/>
      <c r="F275" s="154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</row>
    <row r="276" spans="1:27" ht="19.5" customHeight="1" x14ac:dyDescent="0.25">
      <c r="A276" s="153"/>
      <c r="B276" s="153"/>
      <c r="C276" s="153"/>
      <c r="D276" s="154"/>
      <c r="E276" s="154"/>
      <c r="F276" s="154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</row>
    <row r="277" spans="1:27" ht="19.5" customHeight="1" x14ac:dyDescent="0.25">
      <c r="A277" s="153"/>
      <c r="B277" s="153"/>
      <c r="C277" s="153"/>
      <c r="D277" s="154"/>
      <c r="E277" s="154"/>
      <c r="F277" s="154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</row>
    <row r="278" spans="1:27" ht="19.5" customHeight="1" x14ac:dyDescent="0.25">
      <c r="A278" s="153"/>
      <c r="B278" s="153"/>
      <c r="C278" s="153"/>
      <c r="D278" s="154"/>
      <c r="E278" s="154"/>
      <c r="F278" s="154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</row>
    <row r="279" spans="1:27" ht="19.5" customHeight="1" x14ac:dyDescent="0.25">
      <c r="A279" s="153"/>
      <c r="B279" s="153"/>
      <c r="C279" s="153"/>
      <c r="D279" s="154"/>
      <c r="E279" s="154"/>
      <c r="F279" s="154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</row>
    <row r="280" spans="1:27" ht="19.5" customHeight="1" x14ac:dyDescent="0.25">
      <c r="A280" s="153"/>
      <c r="B280" s="153"/>
      <c r="C280" s="153"/>
      <c r="D280" s="154"/>
      <c r="E280" s="154"/>
      <c r="F280" s="154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</row>
    <row r="281" spans="1:27" ht="19.5" customHeight="1" x14ac:dyDescent="0.25">
      <c r="A281" s="153"/>
      <c r="B281" s="153"/>
      <c r="C281" s="153"/>
      <c r="D281" s="154"/>
      <c r="E281" s="154"/>
      <c r="F281" s="154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</row>
    <row r="282" spans="1:27" ht="19.5" customHeight="1" x14ac:dyDescent="0.25">
      <c r="A282" s="153"/>
      <c r="B282" s="153"/>
      <c r="C282" s="153"/>
      <c r="D282" s="154"/>
      <c r="E282" s="154"/>
      <c r="F282" s="154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</row>
    <row r="283" spans="1:27" ht="19.5" customHeight="1" x14ac:dyDescent="0.25">
      <c r="A283" s="153"/>
      <c r="B283" s="153"/>
      <c r="C283" s="153"/>
      <c r="D283" s="154"/>
      <c r="E283" s="154"/>
      <c r="F283" s="154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</row>
    <row r="284" spans="1:27" ht="19.5" customHeight="1" x14ac:dyDescent="0.25">
      <c r="A284" s="153"/>
      <c r="B284" s="153"/>
      <c r="C284" s="153"/>
      <c r="D284" s="154"/>
      <c r="E284" s="154"/>
      <c r="F284" s="154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  <c r="AA284" s="145"/>
    </row>
    <row r="285" spans="1:27" ht="19.5" customHeight="1" x14ac:dyDescent="0.25">
      <c r="A285" s="153"/>
      <c r="B285" s="153"/>
      <c r="C285" s="153"/>
      <c r="D285" s="154"/>
      <c r="E285" s="154"/>
      <c r="F285" s="154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</row>
    <row r="286" spans="1:27" ht="19.5" customHeight="1" x14ac:dyDescent="0.25">
      <c r="A286" s="153"/>
      <c r="B286" s="153"/>
      <c r="C286" s="153"/>
      <c r="D286" s="154"/>
      <c r="E286" s="154"/>
      <c r="F286" s="154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  <c r="AA286" s="145"/>
    </row>
    <row r="287" spans="1:27" ht="19.5" customHeight="1" x14ac:dyDescent="0.25">
      <c r="A287" s="153"/>
      <c r="B287" s="153"/>
      <c r="C287" s="153"/>
      <c r="D287" s="154"/>
      <c r="E287" s="154"/>
      <c r="F287" s="154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  <c r="AA287" s="145"/>
    </row>
    <row r="288" spans="1:27" ht="19.5" customHeight="1" x14ac:dyDescent="0.25">
      <c r="A288" s="153"/>
      <c r="B288" s="153"/>
      <c r="C288" s="153"/>
      <c r="D288" s="154"/>
      <c r="E288" s="154"/>
      <c r="F288" s="154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  <c r="AA288" s="145"/>
    </row>
    <row r="289" spans="1:27" ht="19.5" customHeight="1" x14ac:dyDescent="0.25">
      <c r="A289" s="153"/>
      <c r="B289" s="153"/>
      <c r="C289" s="153"/>
      <c r="D289" s="154"/>
      <c r="E289" s="154"/>
      <c r="F289" s="154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  <c r="AA289" s="145"/>
    </row>
    <row r="290" spans="1:27" ht="19.5" customHeight="1" x14ac:dyDescent="0.25">
      <c r="A290" s="153"/>
      <c r="B290" s="153"/>
      <c r="C290" s="153"/>
      <c r="D290" s="154"/>
      <c r="E290" s="154"/>
      <c r="F290" s="154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  <c r="AA290" s="145"/>
    </row>
    <row r="291" spans="1:27" ht="19.5" customHeight="1" x14ac:dyDescent="0.25">
      <c r="A291" s="153"/>
      <c r="B291" s="153"/>
      <c r="C291" s="153"/>
      <c r="D291" s="154"/>
      <c r="E291" s="154"/>
      <c r="F291" s="154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  <c r="AA291" s="145"/>
    </row>
    <row r="292" spans="1:27" ht="19.5" customHeight="1" x14ac:dyDescent="0.25">
      <c r="A292" s="153"/>
      <c r="B292" s="153"/>
      <c r="C292" s="153"/>
      <c r="D292" s="154"/>
      <c r="E292" s="154"/>
      <c r="F292" s="154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  <c r="AA292" s="145"/>
    </row>
    <row r="293" spans="1:27" ht="19.5" customHeight="1" x14ac:dyDescent="0.25">
      <c r="A293" s="153"/>
      <c r="B293" s="153"/>
      <c r="C293" s="153"/>
      <c r="D293" s="154"/>
      <c r="E293" s="154"/>
      <c r="F293" s="154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  <c r="AA293" s="145"/>
    </row>
    <row r="294" spans="1:27" ht="19.5" customHeight="1" x14ac:dyDescent="0.25">
      <c r="A294" s="153"/>
      <c r="B294" s="153"/>
      <c r="C294" s="153"/>
      <c r="D294" s="154"/>
      <c r="E294" s="154"/>
      <c r="F294" s="154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  <c r="AA294" s="145"/>
    </row>
    <row r="295" spans="1:27" ht="19.5" customHeight="1" x14ac:dyDescent="0.25">
      <c r="A295" s="153"/>
      <c r="B295" s="153"/>
      <c r="C295" s="153"/>
      <c r="D295" s="154"/>
      <c r="E295" s="154"/>
      <c r="F295" s="154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  <c r="AA295" s="145"/>
    </row>
    <row r="296" spans="1:27" ht="19.5" customHeight="1" x14ac:dyDescent="0.25">
      <c r="A296" s="153"/>
      <c r="B296" s="153"/>
      <c r="C296" s="153"/>
      <c r="D296" s="154"/>
      <c r="E296" s="154"/>
      <c r="F296" s="154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</row>
    <row r="297" spans="1:27" ht="19.5" customHeight="1" x14ac:dyDescent="0.25">
      <c r="A297" s="153"/>
      <c r="B297" s="153"/>
      <c r="C297" s="153"/>
      <c r="D297" s="154"/>
      <c r="E297" s="154"/>
      <c r="F297" s="154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  <c r="AA297" s="145"/>
    </row>
    <row r="298" spans="1:27" ht="19.5" customHeight="1" x14ac:dyDescent="0.25">
      <c r="A298" s="153"/>
      <c r="B298" s="153"/>
      <c r="C298" s="153"/>
      <c r="D298" s="154"/>
      <c r="E298" s="154"/>
      <c r="F298" s="154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  <c r="AA298" s="145"/>
    </row>
    <row r="299" spans="1:27" ht="19.5" customHeight="1" x14ac:dyDescent="0.25">
      <c r="A299" s="153"/>
      <c r="B299" s="153"/>
      <c r="C299" s="153"/>
      <c r="D299" s="154"/>
      <c r="E299" s="154"/>
      <c r="F299" s="154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  <c r="AA299" s="145"/>
    </row>
    <row r="300" spans="1:27" ht="19.5" customHeight="1" x14ac:dyDescent="0.25">
      <c r="A300" s="153"/>
      <c r="B300" s="153"/>
      <c r="C300" s="153"/>
      <c r="D300" s="154"/>
      <c r="E300" s="154"/>
      <c r="F300" s="154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  <c r="AA300" s="145"/>
    </row>
    <row r="301" spans="1:27" ht="19.5" customHeight="1" x14ac:dyDescent="0.25">
      <c r="A301" s="153"/>
      <c r="B301" s="153"/>
      <c r="C301" s="153"/>
      <c r="D301" s="154"/>
      <c r="E301" s="154"/>
      <c r="F301" s="154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</row>
    <row r="302" spans="1:27" ht="19.5" customHeight="1" x14ac:dyDescent="0.25">
      <c r="A302" s="153"/>
      <c r="B302" s="153"/>
      <c r="C302" s="153"/>
      <c r="D302" s="154"/>
      <c r="E302" s="154"/>
      <c r="F302" s="154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  <c r="AA302" s="145"/>
    </row>
    <row r="303" spans="1:27" ht="19.5" customHeight="1" x14ac:dyDescent="0.25">
      <c r="A303" s="153"/>
      <c r="B303" s="153"/>
      <c r="C303" s="153"/>
      <c r="D303" s="154"/>
      <c r="E303" s="154"/>
      <c r="F303" s="154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  <c r="AA303" s="145"/>
    </row>
    <row r="304" spans="1:27" ht="19.5" customHeight="1" x14ac:dyDescent="0.25">
      <c r="A304" s="153"/>
      <c r="B304" s="153"/>
      <c r="C304" s="153"/>
      <c r="D304" s="154"/>
      <c r="E304" s="154"/>
      <c r="F304" s="154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  <c r="AA304" s="145"/>
    </row>
    <row r="305" spans="1:27" ht="19.5" customHeight="1" x14ac:dyDescent="0.25">
      <c r="A305" s="153"/>
      <c r="B305" s="153"/>
      <c r="C305" s="153"/>
      <c r="D305" s="154"/>
      <c r="E305" s="154"/>
      <c r="F305" s="154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  <c r="AA305" s="145"/>
    </row>
    <row r="306" spans="1:27" ht="19.5" customHeight="1" x14ac:dyDescent="0.25">
      <c r="A306" s="153"/>
      <c r="B306" s="153"/>
      <c r="C306" s="153"/>
      <c r="D306" s="154"/>
      <c r="E306" s="154"/>
      <c r="F306" s="154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  <c r="AA306" s="145"/>
    </row>
    <row r="307" spans="1:27" ht="19.5" customHeight="1" x14ac:dyDescent="0.25">
      <c r="A307" s="153"/>
      <c r="B307" s="153"/>
      <c r="C307" s="153"/>
      <c r="D307" s="154"/>
      <c r="E307" s="154"/>
      <c r="F307" s="154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  <c r="AA307" s="145"/>
    </row>
    <row r="308" spans="1:27" ht="19.5" customHeight="1" x14ac:dyDescent="0.25">
      <c r="A308" s="153"/>
      <c r="B308" s="153"/>
      <c r="C308" s="153"/>
      <c r="D308" s="154"/>
      <c r="E308" s="154"/>
      <c r="F308" s="154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  <c r="AA308" s="145"/>
    </row>
    <row r="309" spans="1:27" ht="19.5" customHeight="1" x14ac:dyDescent="0.25">
      <c r="A309" s="153"/>
      <c r="B309" s="153"/>
      <c r="C309" s="153"/>
      <c r="D309" s="154"/>
      <c r="E309" s="154"/>
      <c r="F309" s="154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  <c r="AA309" s="145"/>
    </row>
    <row r="310" spans="1:27" ht="19.5" customHeight="1" x14ac:dyDescent="0.25">
      <c r="A310" s="153"/>
      <c r="B310" s="153"/>
      <c r="C310" s="153"/>
      <c r="D310" s="154"/>
      <c r="E310" s="154"/>
      <c r="F310" s="154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  <c r="AA310" s="145"/>
    </row>
    <row r="311" spans="1:27" ht="19.5" customHeight="1" x14ac:dyDescent="0.25">
      <c r="A311" s="153"/>
      <c r="B311" s="153"/>
      <c r="C311" s="153"/>
      <c r="D311" s="154"/>
      <c r="E311" s="154"/>
      <c r="F311" s="154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  <c r="AA311" s="145"/>
    </row>
    <row r="312" spans="1:27" ht="19.5" customHeight="1" x14ac:dyDescent="0.25">
      <c r="A312" s="153"/>
      <c r="B312" s="153"/>
      <c r="C312" s="153"/>
      <c r="D312" s="154"/>
      <c r="E312" s="154"/>
      <c r="F312" s="154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  <c r="AA312" s="145"/>
    </row>
    <row r="313" spans="1:27" ht="19.5" customHeight="1" x14ac:dyDescent="0.25">
      <c r="A313" s="153"/>
      <c r="B313" s="153"/>
      <c r="C313" s="153"/>
      <c r="D313" s="154"/>
      <c r="E313" s="154"/>
      <c r="F313" s="154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  <c r="AA313" s="145"/>
    </row>
    <row r="314" spans="1:27" ht="19.5" customHeight="1" x14ac:dyDescent="0.25">
      <c r="A314" s="153"/>
      <c r="B314" s="153"/>
      <c r="C314" s="153"/>
      <c r="D314" s="154"/>
      <c r="E314" s="154"/>
      <c r="F314" s="154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  <c r="AA314" s="145"/>
    </row>
    <row r="315" spans="1:27" ht="19.5" customHeight="1" x14ac:dyDescent="0.25">
      <c r="A315" s="153"/>
      <c r="B315" s="153"/>
      <c r="C315" s="153"/>
      <c r="D315" s="154"/>
      <c r="E315" s="154"/>
      <c r="F315" s="154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  <c r="AA315" s="145"/>
    </row>
    <row r="316" spans="1:27" ht="19.5" customHeight="1" x14ac:dyDescent="0.25">
      <c r="A316" s="153"/>
      <c r="B316" s="153"/>
      <c r="C316" s="153"/>
      <c r="D316" s="154"/>
      <c r="E316" s="154"/>
      <c r="F316" s="154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  <c r="AA316" s="145"/>
    </row>
    <row r="317" spans="1:27" ht="19.5" customHeight="1" x14ac:dyDescent="0.25">
      <c r="A317" s="153"/>
      <c r="B317" s="153"/>
      <c r="C317" s="153"/>
      <c r="D317" s="154"/>
      <c r="E317" s="154"/>
      <c r="F317" s="154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  <c r="AA317" s="145"/>
    </row>
    <row r="318" spans="1:27" ht="19.5" customHeight="1" x14ac:dyDescent="0.25">
      <c r="A318" s="153"/>
      <c r="B318" s="153"/>
      <c r="C318" s="153"/>
      <c r="D318" s="154"/>
      <c r="E318" s="154"/>
      <c r="F318" s="154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  <c r="AA318" s="145"/>
    </row>
    <row r="319" spans="1:27" ht="19.5" customHeight="1" x14ac:dyDescent="0.25">
      <c r="A319" s="153"/>
      <c r="B319" s="153"/>
      <c r="C319" s="153"/>
      <c r="D319" s="154"/>
      <c r="E319" s="154"/>
      <c r="F319" s="154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  <c r="AA319" s="145"/>
    </row>
    <row r="320" spans="1:27" ht="19.5" customHeight="1" x14ac:dyDescent="0.25">
      <c r="A320" s="153"/>
      <c r="B320" s="153"/>
      <c r="C320" s="153"/>
      <c r="D320" s="154"/>
      <c r="E320" s="154"/>
      <c r="F320" s="154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  <c r="AA320" s="145"/>
    </row>
    <row r="321" spans="1:27" ht="19.5" customHeight="1" x14ac:dyDescent="0.25">
      <c r="A321" s="153"/>
      <c r="B321" s="153"/>
      <c r="C321" s="153"/>
      <c r="D321" s="154"/>
      <c r="E321" s="154"/>
      <c r="F321" s="154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  <c r="AA321" s="145"/>
    </row>
    <row r="322" spans="1:27" ht="19.5" customHeight="1" x14ac:dyDescent="0.25">
      <c r="A322" s="153"/>
      <c r="B322" s="153"/>
      <c r="C322" s="153"/>
      <c r="D322" s="154"/>
      <c r="E322" s="154"/>
      <c r="F322" s="154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  <c r="AA322" s="145"/>
    </row>
    <row r="323" spans="1:27" ht="19.5" customHeight="1" x14ac:dyDescent="0.25">
      <c r="A323" s="153"/>
      <c r="B323" s="153"/>
      <c r="C323" s="153"/>
      <c r="D323" s="154"/>
      <c r="E323" s="154"/>
      <c r="F323" s="154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  <c r="AA323" s="145"/>
    </row>
    <row r="324" spans="1:27" ht="19.5" customHeight="1" x14ac:dyDescent="0.25">
      <c r="A324" s="153"/>
      <c r="B324" s="153"/>
      <c r="C324" s="153"/>
      <c r="D324" s="154"/>
      <c r="E324" s="154"/>
      <c r="F324" s="154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  <c r="AA324" s="145"/>
    </row>
    <row r="325" spans="1:27" ht="19.5" customHeight="1" x14ac:dyDescent="0.25">
      <c r="A325" s="153"/>
      <c r="B325" s="153"/>
      <c r="C325" s="153"/>
      <c r="D325" s="154"/>
      <c r="E325" s="154"/>
      <c r="F325" s="154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  <c r="AA325" s="145"/>
    </row>
    <row r="326" spans="1:27" ht="19.5" customHeight="1" x14ac:dyDescent="0.25">
      <c r="A326" s="153"/>
      <c r="B326" s="153"/>
      <c r="C326" s="153"/>
      <c r="D326" s="154"/>
      <c r="E326" s="154"/>
      <c r="F326" s="154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  <c r="AA326" s="145"/>
    </row>
    <row r="327" spans="1:27" ht="19.5" customHeight="1" x14ac:dyDescent="0.25">
      <c r="A327" s="153"/>
      <c r="B327" s="153"/>
      <c r="C327" s="153"/>
      <c r="D327" s="154"/>
      <c r="E327" s="154"/>
      <c r="F327" s="154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  <c r="AA327" s="145"/>
    </row>
    <row r="328" spans="1:27" ht="19.5" customHeight="1" x14ac:dyDescent="0.25">
      <c r="A328" s="153"/>
      <c r="B328" s="153"/>
      <c r="C328" s="153"/>
      <c r="D328" s="154"/>
      <c r="E328" s="154"/>
      <c r="F328" s="154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  <c r="AA328" s="145"/>
    </row>
    <row r="329" spans="1:27" ht="19.5" customHeight="1" x14ac:dyDescent="0.25">
      <c r="A329" s="153"/>
      <c r="B329" s="153"/>
      <c r="C329" s="153"/>
      <c r="D329" s="154"/>
      <c r="E329" s="154"/>
      <c r="F329" s="154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  <c r="AA329" s="145"/>
    </row>
    <row r="330" spans="1:27" ht="19.5" customHeight="1" x14ac:dyDescent="0.25">
      <c r="A330" s="153"/>
      <c r="B330" s="153"/>
      <c r="C330" s="153"/>
      <c r="D330" s="154"/>
      <c r="E330" s="154"/>
      <c r="F330" s="154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  <c r="AA330" s="145"/>
    </row>
    <row r="331" spans="1:27" ht="19.5" customHeight="1" x14ac:dyDescent="0.25">
      <c r="A331" s="153"/>
      <c r="B331" s="153"/>
      <c r="C331" s="153"/>
      <c r="D331" s="154"/>
      <c r="E331" s="154"/>
      <c r="F331" s="154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  <c r="AA331" s="145"/>
    </row>
    <row r="332" spans="1:27" ht="19.5" customHeight="1" x14ac:dyDescent="0.25">
      <c r="A332" s="153"/>
      <c r="B332" s="153"/>
      <c r="C332" s="153"/>
      <c r="D332" s="154"/>
      <c r="E332" s="154"/>
      <c r="F332" s="154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  <c r="AA332" s="145"/>
    </row>
    <row r="333" spans="1:27" ht="19.5" customHeight="1" x14ac:dyDescent="0.25">
      <c r="A333" s="153"/>
      <c r="B333" s="153"/>
      <c r="C333" s="153"/>
      <c r="D333" s="154"/>
      <c r="E333" s="154"/>
      <c r="F333" s="154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  <c r="AA333" s="145"/>
    </row>
    <row r="334" spans="1:27" ht="19.5" customHeight="1" x14ac:dyDescent="0.25">
      <c r="A334" s="153"/>
      <c r="B334" s="153"/>
      <c r="C334" s="153"/>
      <c r="D334" s="154"/>
      <c r="E334" s="154"/>
      <c r="F334" s="154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  <c r="AA334" s="145"/>
    </row>
    <row r="335" spans="1:27" ht="19.5" customHeight="1" x14ac:dyDescent="0.25">
      <c r="A335" s="153"/>
      <c r="B335" s="153"/>
      <c r="C335" s="153"/>
      <c r="D335" s="154"/>
      <c r="E335" s="154"/>
      <c r="F335" s="154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  <c r="AA335" s="145"/>
    </row>
    <row r="336" spans="1:27" ht="19.5" customHeight="1" x14ac:dyDescent="0.25">
      <c r="A336" s="153"/>
      <c r="B336" s="153"/>
      <c r="C336" s="153"/>
      <c r="D336" s="154"/>
      <c r="E336" s="154"/>
      <c r="F336" s="154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  <c r="AA336" s="145"/>
    </row>
    <row r="337" spans="1:27" ht="19.5" customHeight="1" x14ac:dyDescent="0.25">
      <c r="A337" s="153"/>
      <c r="B337" s="153"/>
      <c r="C337" s="153"/>
      <c r="D337" s="154"/>
      <c r="E337" s="154"/>
      <c r="F337" s="154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  <c r="AA337" s="145"/>
    </row>
    <row r="338" spans="1:27" ht="19.5" customHeight="1" x14ac:dyDescent="0.25">
      <c r="A338" s="153"/>
      <c r="B338" s="153"/>
      <c r="C338" s="153"/>
      <c r="D338" s="154"/>
      <c r="E338" s="154"/>
      <c r="F338" s="154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  <c r="AA338" s="145"/>
    </row>
    <row r="339" spans="1:27" ht="19.5" customHeight="1" x14ac:dyDescent="0.25">
      <c r="A339" s="153"/>
      <c r="B339" s="153"/>
      <c r="C339" s="153"/>
      <c r="D339" s="154"/>
      <c r="E339" s="154"/>
      <c r="F339" s="154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  <c r="AA339" s="145"/>
    </row>
    <row r="340" spans="1:27" ht="19.5" customHeight="1" x14ac:dyDescent="0.25">
      <c r="A340" s="153"/>
      <c r="B340" s="153"/>
      <c r="C340" s="153"/>
      <c r="D340" s="154"/>
      <c r="E340" s="154"/>
      <c r="F340" s="154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  <c r="AA340" s="145"/>
    </row>
    <row r="341" spans="1:27" ht="19.5" customHeight="1" x14ac:dyDescent="0.25">
      <c r="A341" s="153"/>
      <c r="B341" s="153"/>
      <c r="C341" s="153"/>
      <c r="D341" s="154"/>
      <c r="E341" s="154"/>
      <c r="F341" s="154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  <c r="AA341" s="145"/>
    </row>
    <row r="342" spans="1:27" ht="19.5" customHeight="1" x14ac:dyDescent="0.25">
      <c r="A342" s="153"/>
      <c r="B342" s="153"/>
      <c r="C342" s="153"/>
      <c r="D342" s="154"/>
      <c r="E342" s="154"/>
      <c r="F342" s="154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  <c r="AA342" s="145"/>
    </row>
    <row r="343" spans="1:27" ht="19.5" customHeight="1" x14ac:dyDescent="0.25">
      <c r="A343" s="153"/>
      <c r="B343" s="153"/>
      <c r="C343" s="153"/>
      <c r="D343" s="154"/>
      <c r="E343" s="154"/>
      <c r="F343" s="154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  <c r="AA343" s="145"/>
    </row>
    <row r="344" spans="1:27" ht="19.5" customHeight="1" x14ac:dyDescent="0.25">
      <c r="A344" s="153"/>
      <c r="B344" s="153"/>
      <c r="C344" s="153"/>
      <c r="D344" s="154"/>
      <c r="E344" s="154"/>
      <c r="F344" s="154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  <c r="AA344" s="145"/>
    </row>
    <row r="345" spans="1:27" ht="19.5" customHeight="1" x14ac:dyDescent="0.25">
      <c r="A345" s="153"/>
      <c r="B345" s="153"/>
      <c r="C345" s="153"/>
      <c r="D345" s="154"/>
      <c r="E345" s="154"/>
      <c r="F345" s="154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  <c r="AA345" s="145"/>
    </row>
    <row r="346" spans="1:27" ht="19.5" customHeight="1" x14ac:dyDescent="0.25">
      <c r="A346" s="153"/>
      <c r="B346" s="153"/>
      <c r="C346" s="153"/>
      <c r="D346" s="154"/>
      <c r="E346" s="154"/>
      <c r="F346" s="154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  <c r="AA346" s="145"/>
    </row>
    <row r="347" spans="1:27" ht="19.5" customHeight="1" x14ac:dyDescent="0.25">
      <c r="A347" s="153"/>
      <c r="B347" s="153"/>
      <c r="C347" s="153"/>
      <c r="D347" s="154"/>
      <c r="E347" s="154"/>
      <c r="F347" s="154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  <c r="AA347" s="145"/>
    </row>
    <row r="348" spans="1:27" ht="19.5" customHeight="1" x14ac:dyDescent="0.25">
      <c r="A348" s="153"/>
      <c r="B348" s="153"/>
      <c r="C348" s="153"/>
      <c r="D348" s="154"/>
      <c r="E348" s="154"/>
      <c r="F348" s="154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  <c r="AA348" s="145"/>
    </row>
    <row r="349" spans="1:27" ht="19.5" customHeight="1" x14ac:dyDescent="0.25">
      <c r="A349" s="153"/>
      <c r="B349" s="153"/>
      <c r="C349" s="153"/>
      <c r="D349" s="154"/>
      <c r="E349" s="154"/>
      <c r="F349" s="154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  <c r="AA349" s="145"/>
    </row>
    <row r="350" spans="1:27" ht="19.5" customHeight="1" x14ac:dyDescent="0.25">
      <c r="A350" s="153"/>
      <c r="B350" s="153"/>
      <c r="C350" s="153"/>
      <c r="D350" s="154"/>
      <c r="E350" s="154"/>
      <c r="F350" s="154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  <c r="AA350" s="145"/>
    </row>
    <row r="351" spans="1:27" ht="19.5" customHeight="1" x14ac:dyDescent="0.25">
      <c r="A351" s="153"/>
      <c r="B351" s="153"/>
      <c r="C351" s="153"/>
      <c r="D351" s="154"/>
      <c r="E351" s="154"/>
      <c r="F351" s="154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  <c r="AA351" s="145"/>
    </row>
    <row r="352" spans="1:27" ht="19.5" customHeight="1" x14ac:dyDescent="0.25">
      <c r="A352" s="153"/>
      <c r="B352" s="153"/>
      <c r="C352" s="153"/>
      <c r="D352" s="154"/>
      <c r="E352" s="154"/>
      <c r="F352" s="154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  <c r="AA352" s="145"/>
    </row>
    <row r="353" spans="1:27" ht="19.5" customHeight="1" x14ac:dyDescent="0.25">
      <c r="A353" s="153"/>
      <c r="B353" s="153"/>
      <c r="C353" s="153"/>
      <c r="D353" s="154"/>
      <c r="E353" s="154"/>
      <c r="F353" s="154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  <c r="AA353" s="145"/>
    </row>
    <row r="354" spans="1:27" ht="19.5" customHeight="1" x14ac:dyDescent="0.25">
      <c r="A354" s="153"/>
      <c r="B354" s="153"/>
      <c r="C354" s="153"/>
      <c r="D354" s="154"/>
      <c r="E354" s="154"/>
      <c r="F354" s="154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  <c r="AA354" s="145"/>
    </row>
    <row r="355" spans="1:27" ht="19.5" customHeight="1" x14ac:dyDescent="0.25">
      <c r="A355" s="153"/>
      <c r="B355" s="153"/>
      <c r="C355" s="153"/>
      <c r="D355" s="154"/>
      <c r="E355" s="154"/>
      <c r="F355" s="154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  <c r="AA355" s="145"/>
    </row>
    <row r="356" spans="1:27" ht="19.5" customHeight="1" x14ac:dyDescent="0.25">
      <c r="A356" s="153"/>
      <c r="B356" s="153"/>
      <c r="C356" s="153"/>
      <c r="D356" s="154"/>
      <c r="E356" s="154"/>
      <c r="F356" s="154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  <c r="AA356" s="145"/>
    </row>
    <row r="357" spans="1:27" ht="19.5" customHeight="1" x14ac:dyDescent="0.25">
      <c r="A357" s="153"/>
      <c r="B357" s="153"/>
      <c r="C357" s="153"/>
      <c r="D357" s="154"/>
      <c r="E357" s="154"/>
      <c r="F357" s="154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  <c r="AA357" s="145"/>
    </row>
    <row r="358" spans="1:27" ht="19.5" customHeight="1" x14ac:dyDescent="0.25">
      <c r="A358" s="153"/>
      <c r="B358" s="153"/>
      <c r="C358" s="153"/>
      <c r="D358" s="154"/>
      <c r="E358" s="154"/>
      <c r="F358" s="154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  <c r="AA358" s="145"/>
    </row>
    <row r="359" spans="1:27" ht="19.5" customHeight="1" x14ac:dyDescent="0.25">
      <c r="A359" s="153"/>
      <c r="B359" s="153"/>
      <c r="C359" s="153"/>
      <c r="D359" s="154"/>
      <c r="E359" s="154"/>
      <c r="F359" s="154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  <c r="AA359" s="145"/>
    </row>
    <row r="360" spans="1:27" ht="19.5" customHeight="1" x14ac:dyDescent="0.25">
      <c r="A360" s="153"/>
      <c r="B360" s="153"/>
      <c r="C360" s="153"/>
      <c r="D360" s="154"/>
      <c r="E360" s="154"/>
      <c r="F360" s="154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  <c r="AA360" s="145"/>
    </row>
    <row r="361" spans="1:27" ht="19.5" customHeight="1" x14ac:dyDescent="0.25">
      <c r="A361" s="153"/>
      <c r="B361" s="153"/>
      <c r="C361" s="153"/>
      <c r="D361" s="154"/>
      <c r="E361" s="154"/>
      <c r="F361" s="154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  <c r="AA361" s="145"/>
    </row>
    <row r="362" spans="1:27" ht="19.5" customHeight="1" x14ac:dyDescent="0.25">
      <c r="A362" s="153"/>
      <c r="B362" s="153"/>
      <c r="C362" s="153"/>
      <c r="D362" s="154"/>
      <c r="E362" s="154"/>
      <c r="F362" s="154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  <c r="AA362" s="145"/>
    </row>
    <row r="363" spans="1:27" ht="19.5" customHeight="1" x14ac:dyDescent="0.25">
      <c r="A363" s="153"/>
      <c r="B363" s="153"/>
      <c r="C363" s="153"/>
      <c r="D363" s="154"/>
      <c r="E363" s="154"/>
      <c r="F363" s="154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  <c r="AA363" s="145"/>
    </row>
    <row r="364" spans="1:27" ht="19.5" customHeight="1" x14ac:dyDescent="0.25">
      <c r="A364" s="153"/>
      <c r="B364" s="153"/>
      <c r="C364" s="153"/>
      <c r="D364" s="154"/>
      <c r="E364" s="154"/>
      <c r="F364" s="154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  <c r="AA364" s="145"/>
    </row>
    <row r="365" spans="1:27" ht="19.5" customHeight="1" x14ac:dyDescent="0.25">
      <c r="A365" s="153"/>
      <c r="B365" s="153"/>
      <c r="C365" s="153"/>
      <c r="D365" s="154"/>
      <c r="E365" s="154"/>
      <c r="F365" s="154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  <c r="AA365" s="145"/>
    </row>
    <row r="366" spans="1:27" ht="19.5" customHeight="1" x14ac:dyDescent="0.25">
      <c r="A366" s="153"/>
      <c r="B366" s="153"/>
      <c r="C366" s="153"/>
      <c r="D366" s="154"/>
      <c r="E366" s="154"/>
      <c r="F366" s="154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  <c r="AA366" s="145"/>
    </row>
    <row r="367" spans="1:27" ht="19.5" customHeight="1" x14ac:dyDescent="0.25">
      <c r="A367" s="153"/>
      <c r="B367" s="153"/>
      <c r="C367" s="153"/>
      <c r="D367" s="154"/>
      <c r="E367" s="154"/>
      <c r="F367" s="154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  <c r="AA367" s="145"/>
    </row>
    <row r="368" spans="1:27" ht="19.5" customHeight="1" x14ac:dyDescent="0.25">
      <c r="A368" s="153"/>
      <c r="B368" s="153"/>
      <c r="C368" s="153"/>
      <c r="D368" s="154"/>
      <c r="E368" s="154"/>
      <c r="F368" s="154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  <c r="AA368" s="145"/>
    </row>
    <row r="369" spans="1:27" ht="19.5" customHeight="1" x14ac:dyDescent="0.25">
      <c r="A369" s="153"/>
      <c r="B369" s="153"/>
      <c r="C369" s="153"/>
      <c r="D369" s="154"/>
      <c r="E369" s="154"/>
      <c r="F369" s="154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  <c r="AA369" s="145"/>
    </row>
    <row r="370" spans="1:27" ht="19.5" customHeight="1" x14ac:dyDescent="0.25">
      <c r="A370" s="153"/>
      <c r="B370" s="153"/>
      <c r="C370" s="153"/>
      <c r="D370" s="154"/>
      <c r="E370" s="154"/>
      <c r="F370" s="154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  <c r="AA370" s="145"/>
    </row>
    <row r="371" spans="1:27" ht="19.5" customHeight="1" x14ac:dyDescent="0.25">
      <c r="A371" s="153"/>
      <c r="B371" s="153"/>
      <c r="C371" s="153"/>
      <c r="D371" s="154"/>
      <c r="E371" s="154"/>
      <c r="F371" s="154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  <c r="AA371" s="145"/>
    </row>
    <row r="372" spans="1:27" ht="19.5" customHeight="1" x14ac:dyDescent="0.25">
      <c r="A372" s="153"/>
      <c r="B372" s="153"/>
      <c r="C372" s="153"/>
      <c r="D372" s="154"/>
      <c r="E372" s="154"/>
      <c r="F372" s="154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  <c r="AA372" s="145"/>
    </row>
    <row r="373" spans="1:27" ht="19.5" customHeight="1" x14ac:dyDescent="0.25">
      <c r="A373" s="153"/>
      <c r="B373" s="153"/>
      <c r="C373" s="153"/>
      <c r="D373" s="154"/>
      <c r="E373" s="154"/>
      <c r="F373" s="154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  <c r="AA373" s="145"/>
    </row>
    <row r="374" spans="1:27" ht="19.5" customHeight="1" x14ac:dyDescent="0.25">
      <c r="A374" s="153"/>
      <c r="B374" s="153"/>
      <c r="C374" s="153"/>
      <c r="D374" s="154"/>
      <c r="E374" s="154"/>
      <c r="F374" s="154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  <c r="AA374" s="145"/>
    </row>
    <row r="375" spans="1:27" ht="19.5" customHeight="1" x14ac:dyDescent="0.25">
      <c r="A375" s="153"/>
      <c r="B375" s="153"/>
      <c r="C375" s="153"/>
      <c r="D375" s="154"/>
      <c r="E375" s="154"/>
      <c r="F375" s="154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  <c r="AA375" s="145"/>
    </row>
    <row r="376" spans="1:27" ht="19.5" customHeight="1" x14ac:dyDescent="0.25">
      <c r="A376" s="153"/>
      <c r="B376" s="153"/>
      <c r="C376" s="153"/>
      <c r="D376" s="154"/>
      <c r="E376" s="154"/>
      <c r="F376" s="154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  <c r="AA376" s="145"/>
    </row>
    <row r="377" spans="1:27" ht="19.5" customHeight="1" x14ac:dyDescent="0.25">
      <c r="A377" s="153"/>
      <c r="B377" s="153"/>
      <c r="C377" s="153"/>
      <c r="D377" s="154"/>
      <c r="E377" s="154"/>
      <c r="F377" s="154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  <c r="AA377" s="145"/>
    </row>
    <row r="378" spans="1:27" ht="19.5" customHeight="1" x14ac:dyDescent="0.25">
      <c r="A378" s="153"/>
      <c r="B378" s="153"/>
      <c r="C378" s="153"/>
      <c r="D378" s="154"/>
      <c r="E378" s="154"/>
      <c r="F378" s="154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  <c r="AA378" s="145"/>
    </row>
    <row r="379" spans="1:27" ht="19.5" customHeight="1" x14ac:dyDescent="0.25">
      <c r="A379" s="153"/>
      <c r="B379" s="153"/>
      <c r="C379" s="153"/>
      <c r="D379" s="154"/>
      <c r="E379" s="154"/>
      <c r="F379" s="154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  <c r="AA379" s="145"/>
    </row>
    <row r="380" spans="1:27" ht="19.5" customHeight="1" x14ac:dyDescent="0.25">
      <c r="A380" s="153"/>
      <c r="B380" s="153"/>
      <c r="C380" s="153"/>
      <c r="D380" s="154"/>
      <c r="E380" s="154"/>
      <c r="F380" s="154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  <c r="AA380" s="145"/>
    </row>
    <row r="381" spans="1:27" ht="19.5" customHeight="1" x14ac:dyDescent="0.25">
      <c r="A381" s="153"/>
      <c r="B381" s="153"/>
      <c r="C381" s="153"/>
      <c r="D381" s="154"/>
      <c r="E381" s="154"/>
      <c r="F381" s="154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  <c r="AA381" s="145"/>
    </row>
    <row r="382" spans="1:27" ht="19.5" customHeight="1" x14ac:dyDescent="0.25">
      <c r="A382" s="153"/>
      <c r="B382" s="153"/>
      <c r="C382" s="153"/>
      <c r="D382" s="154"/>
      <c r="E382" s="154"/>
      <c r="F382" s="154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  <c r="AA382" s="145"/>
    </row>
    <row r="383" spans="1:27" ht="19.5" customHeight="1" x14ac:dyDescent="0.25">
      <c r="A383" s="153"/>
      <c r="B383" s="153"/>
      <c r="C383" s="153"/>
      <c r="D383" s="154"/>
      <c r="E383" s="154"/>
      <c r="F383" s="154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  <c r="AA383" s="145"/>
    </row>
    <row r="384" spans="1:27" ht="19.5" customHeight="1" x14ac:dyDescent="0.25">
      <c r="A384" s="153"/>
      <c r="B384" s="153"/>
      <c r="C384" s="153"/>
      <c r="D384" s="154"/>
      <c r="E384" s="154"/>
      <c r="F384" s="154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  <c r="AA384" s="145"/>
    </row>
    <row r="385" spans="1:27" ht="19.5" customHeight="1" x14ac:dyDescent="0.25">
      <c r="A385" s="153"/>
      <c r="B385" s="153"/>
      <c r="C385" s="153"/>
      <c r="D385" s="154"/>
      <c r="E385" s="154"/>
      <c r="F385" s="154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  <c r="AA385" s="145"/>
    </row>
    <row r="386" spans="1:27" ht="19.5" customHeight="1" x14ac:dyDescent="0.25">
      <c r="A386" s="153"/>
      <c r="B386" s="153"/>
      <c r="C386" s="153"/>
      <c r="D386" s="154"/>
      <c r="E386" s="154"/>
      <c r="F386" s="154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  <c r="AA386" s="145"/>
    </row>
    <row r="387" spans="1:27" ht="19.5" customHeight="1" x14ac:dyDescent="0.25">
      <c r="A387" s="153"/>
      <c r="B387" s="153"/>
      <c r="C387" s="153"/>
      <c r="D387" s="154"/>
      <c r="E387" s="154"/>
      <c r="F387" s="154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  <c r="AA387" s="145"/>
    </row>
    <row r="388" spans="1:27" ht="19.5" customHeight="1" x14ac:dyDescent="0.25">
      <c r="A388" s="153"/>
      <c r="B388" s="153"/>
      <c r="C388" s="153"/>
      <c r="D388" s="154"/>
      <c r="E388" s="154"/>
      <c r="F388" s="154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  <c r="AA388" s="145"/>
    </row>
    <row r="389" spans="1:27" ht="19.5" customHeight="1" x14ac:dyDescent="0.25">
      <c r="A389" s="153"/>
      <c r="B389" s="153"/>
      <c r="C389" s="153"/>
      <c r="D389" s="154"/>
      <c r="E389" s="154"/>
      <c r="F389" s="154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  <c r="AA389" s="145"/>
    </row>
    <row r="390" spans="1:27" ht="19.5" customHeight="1" x14ac:dyDescent="0.25">
      <c r="A390" s="153"/>
      <c r="B390" s="153"/>
      <c r="C390" s="153"/>
      <c r="D390" s="154"/>
      <c r="E390" s="154"/>
      <c r="F390" s="154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  <c r="AA390" s="145"/>
    </row>
    <row r="391" spans="1:27" ht="19.5" customHeight="1" x14ac:dyDescent="0.25">
      <c r="A391" s="153"/>
      <c r="B391" s="153"/>
      <c r="C391" s="153"/>
      <c r="D391" s="154"/>
      <c r="E391" s="154"/>
      <c r="F391" s="154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  <c r="AA391" s="145"/>
    </row>
    <row r="392" spans="1:27" ht="19.5" customHeight="1" x14ac:dyDescent="0.25">
      <c r="A392" s="153"/>
      <c r="B392" s="153"/>
      <c r="C392" s="153"/>
      <c r="D392" s="154"/>
      <c r="E392" s="154"/>
      <c r="F392" s="154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  <c r="AA392" s="145"/>
    </row>
    <row r="393" spans="1:27" ht="19.5" customHeight="1" x14ac:dyDescent="0.25">
      <c r="A393" s="153"/>
      <c r="B393" s="153"/>
      <c r="C393" s="153"/>
      <c r="D393" s="154"/>
      <c r="E393" s="154"/>
      <c r="F393" s="154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  <c r="AA393" s="145"/>
    </row>
    <row r="394" spans="1:27" ht="19.5" customHeight="1" x14ac:dyDescent="0.25">
      <c r="A394" s="153"/>
      <c r="B394" s="153"/>
      <c r="C394" s="153"/>
      <c r="D394" s="154"/>
      <c r="E394" s="154"/>
      <c r="F394" s="154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  <c r="AA394" s="145"/>
    </row>
    <row r="395" spans="1:27" ht="19.5" customHeight="1" x14ac:dyDescent="0.25">
      <c r="A395" s="153"/>
      <c r="B395" s="153"/>
      <c r="C395" s="153"/>
      <c r="D395" s="154"/>
      <c r="E395" s="154"/>
      <c r="F395" s="154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  <c r="AA395" s="145"/>
    </row>
    <row r="396" spans="1:27" ht="19.5" customHeight="1" x14ac:dyDescent="0.25">
      <c r="A396" s="153"/>
      <c r="B396" s="153"/>
      <c r="C396" s="153"/>
      <c r="D396" s="154"/>
      <c r="E396" s="154"/>
      <c r="F396" s="154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  <c r="AA396" s="145"/>
    </row>
    <row r="397" spans="1:27" ht="19.5" customHeight="1" x14ac:dyDescent="0.25">
      <c r="A397" s="153"/>
      <c r="B397" s="153"/>
      <c r="C397" s="153"/>
      <c r="D397" s="154"/>
      <c r="E397" s="154"/>
      <c r="F397" s="154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  <c r="AA397" s="145"/>
    </row>
    <row r="398" spans="1:27" ht="19.5" customHeight="1" x14ac:dyDescent="0.25">
      <c r="A398" s="153"/>
      <c r="B398" s="153"/>
      <c r="C398" s="153"/>
      <c r="D398" s="154"/>
      <c r="E398" s="154"/>
      <c r="F398" s="154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  <c r="AA398" s="145"/>
    </row>
    <row r="399" spans="1:27" ht="19.5" customHeight="1" x14ac:dyDescent="0.25">
      <c r="A399" s="153"/>
      <c r="B399" s="153"/>
      <c r="C399" s="153"/>
      <c r="D399" s="154"/>
      <c r="E399" s="154"/>
      <c r="F399" s="154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  <c r="AA399" s="145"/>
    </row>
    <row r="400" spans="1:27" ht="19.5" customHeight="1" x14ac:dyDescent="0.25">
      <c r="A400" s="153"/>
      <c r="B400" s="153"/>
      <c r="C400" s="153"/>
      <c r="D400" s="154"/>
      <c r="E400" s="154"/>
      <c r="F400" s="154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  <c r="AA400" s="145"/>
    </row>
    <row r="401" spans="1:27" ht="19.5" customHeight="1" x14ac:dyDescent="0.25">
      <c r="A401" s="153"/>
      <c r="B401" s="153"/>
      <c r="C401" s="153"/>
      <c r="D401" s="154"/>
      <c r="E401" s="154"/>
      <c r="F401" s="154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  <c r="AA401" s="145"/>
    </row>
    <row r="402" spans="1:27" ht="19.5" customHeight="1" x14ac:dyDescent="0.25">
      <c r="A402" s="153"/>
      <c r="B402" s="153"/>
      <c r="C402" s="153"/>
      <c r="D402" s="154"/>
      <c r="E402" s="154"/>
      <c r="F402" s="154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  <c r="AA402" s="145"/>
    </row>
    <row r="403" spans="1:27" ht="19.5" customHeight="1" x14ac:dyDescent="0.25">
      <c r="A403" s="153"/>
      <c r="B403" s="153"/>
      <c r="C403" s="153"/>
      <c r="D403" s="154"/>
      <c r="E403" s="154"/>
      <c r="F403" s="154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  <c r="AA403" s="145"/>
    </row>
    <row r="404" spans="1:27" ht="19.5" customHeight="1" x14ac:dyDescent="0.25">
      <c r="A404" s="153"/>
      <c r="B404" s="153"/>
      <c r="C404" s="153"/>
      <c r="D404" s="154"/>
      <c r="E404" s="154"/>
      <c r="F404" s="154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  <c r="AA404" s="145"/>
    </row>
    <row r="405" spans="1:27" ht="19.5" customHeight="1" x14ac:dyDescent="0.25">
      <c r="A405" s="153"/>
      <c r="B405" s="153"/>
      <c r="C405" s="153"/>
      <c r="D405" s="154"/>
      <c r="E405" s="154"/>
      <c r="F405" s="154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  <c r="AA405" s="145"/>
    </row>
    <row r="406" spans="1:27" ht="19.5" customHeight="1" x14ac:dyDescent="0.25">
      <c r="A406" s="153"/>
      <c r="B406" s="153"/>
      <c r="C406" s="153"/>
      <c r="D406" s="154"/>
      <c r="E406" s="154"/>
      <c r="F406" s="154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  <c r="AA406" s="145"/>
    </row>
    <row r="407" spans="1:27" ht="19.5" customHeight="1" x14ac:dyDescent="0.25">
      <c r="A407" s="153"/>
      <c r="B407" s="153"/>
      <c r="C407" s="153"/>
      <c r="D407" s="154"/>
      <c r="E407" s="154"/>
      <c r="F407" s="154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  <c r="AA407" s="145"/>
    </row>
    <row r="408" spans="1:27" ht="19.5" customHeight="1" x14ac:dyDescent="0.25">
      <c r="A408" s="153"/>
      <c r="B408" s="153"/>
      <c r="C408" s="153"/>
      <c r="D408" s="154"/>
      <c r="E408" s="154"/>
      <c r="F408" s="154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  <c r="AA408" s="145"/>
    </row>
    <row r="409" spans="1:27" ht="19.5" customHeight="1" x14ac:dyDescent="0.25">
      <c r="A409" s="153"/>
      <c r="B409" s="153"/>
      <c r="C409" s="153"/>
      <c r="D409" s="154"/>
      <c r="E409" s="154"/>
      <c r="F409" s="154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  <c r="AA409" s="145"/>
    </row>
    <row r="410" spans="1:27" ht="19.5" customHeight="1" x14ac:dyDescent="0.25">
      <c r="A410" s="153"/>
      <c r="B410" s="153"/>
      <c r="C410" s="153"/>
      <c r="D410" s="154"/>
      <c r="E410" s="154"/>
      <c r="F410" s="154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  <c r="AA410" s="145"/>
    </row>
    <row r="411" spans="1:27" ht="19.5" customHeight="1" x14ac:dyDescent="0.25">
      <c r="A411" s="153"/>
      <c r="B411" s="153"/>
      <c r="C411" s="153"/>
      <c r="D411" s="154"/>
      <c r="E411" s="154"/>
      <c r="F411" s="154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  <c r="AA411" s="145"/>
    </row>
    <row r="412" spans="1:27" ht="19.5" customHeight="1" x14ac:dyDescent="0.25">
      <c r="A412" s="153"/>
      <c r="B412" s="153"/>
      <c r="C412" s="153"/>
      <c r="D412" s="154"/>
      <c r="E412" s="154"/>
      <c r="F412" s="154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  <c r="AA412" s="145"/>
    </row>
    <row r="413" spans="1:27" ht="19.5" customHeight="1" x14ac:dyDescent="0.25">
      <c r="A413" s="153"/>
      <c r="B413" s="153"/>
      <c r="C413" s="153"/>
      <c r="D413" s="154"/>
      <c r="E413" s="154"/>
      <c r="F413" s="154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  <c r="AA413" s="145"/>
    </row>
    <row r="414" spans="1:27" ht="19.5" customHeight="1" x14ac:dyDescent="0.25">
      <c r="A414" s="153"/>
      <c r="B414" s="153"/>
      <c r="C414" s="153"/>
      <c r="D414" s="154"/>
      <c r="E414" s="154"/>
      <c r="F414" s="154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  <c r="AA414" s="145"/>
    </row>
    <row r="415" spans="1:27" ht="19.5" customHeight="1" x14ac:dyDescent="0.25">
      <c r="A415" s="153"/>
      <c r="B415" s="153"/>
      <c r="C415" s="153"/>
      <c r="D415" s="154"/>
      <c r="E415" s="154"/>
      <c r="F415" s="154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  <c r="AA415" s="145"/>
    </row>
    <row r="416" spans="1:27" ht="19.5" customHeight="1" x14ac:dyDescent="0.25">
      <c r="A416" s="153"/>
      <c r="B416" s="153"/>
      <c r="C416" s="153"/>
      <c r="D416" s="154"/>
      <c r="E416" s="154"/>
      <c r="F416" s="154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  <c r="AA416" s="145"/>
    </row>
    <row r="417" spans="1:27" ht="19.5" customHeight="1" x14ac:dyDescent="0.25">
      <c r="A417" s="153"/>
      <c r="B417" s="153"/>
      <c r="C417" s="153"/>
      <c r="D417" s="154"/>
      <c r="E417" s="154"/>
      <c r="F417" s="154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  <c r="AA417" s="145"/>
    </row>
    <row r="418" spans="1:27" ht="19.5" customHeight="1" x14ac:dyDescent="0.25">
      <c r="A418" s="153"/>
      <c r="B418" s="153"/>
      <c r="C418" s="153"/>
      <c r="D418" s="154"/>
      <c r="E418" s="154"/>
      <c r="F418" s="154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  <c r="AA418" s="145"/>
    </row>
    <row r="419" spans="1:27" ht="19.5" customHeight="1" x14ac:dyDescent="0.25">
      <c r="A419" s="153"/>
      <c r="B419" s="153"/>
      <c r="C419" s="153"/>
      <c r="D419" s="154"/>
      <c r="E419" s="154"/>
      <c r="F419" s="154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  <c r="AA419" s="145"/>
    </row>
    <row r="420" spans="1:27" ht="19.5" customHeight="1" x14ac:dyDescent="0.25">
      <c r="A420" s="153"/>
      <c r="B420" s="153"/>
      <c r="C420" s="153"/>
      <c r="D420" s="154"/>
      <c r="E420" s="154"/>
      <c r="F420" s="154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  <c r="AA420" s="145"/>
    </row>
    <row r="421" spans="1:27" ht="19.5" customHeight="1" x14ac:dyDescent="0.25">
      <c r="A421" s="153"/>
      <c r="B421" s="153"/>
      <c r="C421" s="153"/>
      <c r="D421" s="154"/>
      <c r="E421" s="154"/>
      <c r="F421" s="154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  <c r="AA421" s="145"/>
    </row>
    <row r="422" spans="1:27" ht="19.5" customHeight="1" x14ac:dyDescent="0.25">
      <c r="A422" s="153"/>
      <c r="B422" s="153"/>
      <c r="C422" s="153"/>
      <c r="D422" s="154"/>
      <c r="E422" s="154"/>
      <c r="F422" s="154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  <c r="AA422" s="145"/>
    </row>
    <row r="423" spans="1:27" ht="19.5" customHeight="1" x14ac:dyDescent="0.25">
      <c r="A423" s="153"/>
      <c r="B423" s="153"/>
      <c r="C423" s="153"/>
      <c r="D423" s="154"/>
      <c r="E423" s="154"/>
      <c r="F423" s="154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  <c r="AA423" s="145"/>
    </row>
    <row r="424" spans="1:27" ht="19.5" customHeight="1" x14ac:dyDescent="0.25">
      <c r="A424" s="153"/>
      <c r="B424" s="153"/>
      <c r="C424" s="153"/>
      <c r="D424" s="154"/>
      <c r="E424" s="154"/>
      <c r="F424" s="154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  <c r="AA424" s="145"/>
    </row>
    <row r="425" spans="1:27" ht="19.5" customHeight="1" x14ac:dyDescent="0.25">
      <c r="A425" s="153"/>
      <c r="B425" s="153"/>
      <c r="C425" s="153"/>
      <c r="D425" s="154"/>
      <c r="E425" s="154"/>
      <c r="F425" s="154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  <c r="AA425" s="145"/>
    </row>
    <row r="426" spans="1:27" ht="19.5" customHeight="1" x14ac:dyDescent="0.25">
      <c r="A426" s="153"/>
      <c r="B426" s="153"/>
      <c r="C426" s="153"/>
      <c r="D426" s="154"/>
      <c r="E426" s="154"/>
      <c r="F426" s="154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  <c r="AA426" s="145"/>
    </row>
    <row r="427" spans="1:27" ht="19.5" customHeight="1" x14ac:dyDescent="0.25">
      <c r="A427" s="153"/>
      <c r="B427" s="153"/>
      <c r="C427" s="153"/>
      <c r="D427" s="154"/>
      <c r="E427" s="154"/>
      <c r="F427" s="154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  <c r="AA427" s="145"/>
    </row>
    <row r="428" spans="1:27" ht="19.5" customHeight="1" x14ac:dyDescent="0.25">
      <c r="A428" s="153"/>
      <c r="B428" s="153"/>
      <c r="C428" s="153"/>
      <c r="D428" s="154"/>
      <c r="E428" s="154"/>
      <c r="F428" s="154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  <c r="AA428" s="145"/>
    </row>
    <row r="429" spans="1:27" ht="19.5" customHeight="1" x14ac:dyDescent="0.25">
      <c r="A429" s="153"/>
      <c r="B429" s="153"/>
      <c r="C429" s="153"/>
      <c r="D429" s="154"/>
      <c r="E429" s="154"/>
      <c r="F429" s="154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  <c r="AA429" s="145"/>
    </row>
    <row r="430" spans="1:27" ht="19.5" customHeight="1" x14ac:dyDescent="0.25">
      <c r="A430" s="153"/>
      <c r="B430" s="153"/>
      <c r="C430" s="153"/>
      <c r="D430" s="154"/>
      <c r="E430" s="154"/>
      <c r="F430" s="154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  <c r="AA430" s="145"/>
    </row>
    <row r="431" spans="1:27" ht="19.5" customHeight="1" x14ac:dyDescent="0.25">
      <c r="A431" s="153"/>
      <c r="B431" s="153"/>
      <c r="C431" s="153"/>
      <c r="D431" s="154"/>
      <c r="E431" s="154"/>
      <c r="F431" s="154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  <c r="AA431" s="145"/>
    </row>
    <row r="432" spans="1:27" ht="19.5" customHeight="1" x14ac:dyDescent="0.25">
      <c r="A432" s="153"/>
      <c r="B432" s="153"/>
      <c r="C432" s="153"/>
      <c r="D432" s="154"/>
      <c r="E432" s="154"/>
      <c r="F432" s="154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  <c r="AA432" s="145"/>
    </row>
    <row r="433" spans="1:27" ht="19.5" customHeight="1" x14ac:dyDescent="0.25">
      <c r="A433" s="153"/>
      <c r="B433" s="153"/>
      <c r="C433" s="153"/>
      <c r="D433" s="154"/>
      <c r="E433" s="154"/>
      <c r="F433" s="154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  <c r="AA433" s="145"/>
    </row>
    <row r="434" spans="1:27" ht="19.5" customHeight="1" x14ac:dyDescent="0.25">
      <c r="A434" s="153"/>
      <c r="B434" s="153"/>
      <c r="C434" s="153"/>
      <c r="D434" s="154"/>
      <c r="E434" s="154"/>
      <c r="F434" s="154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  <c r="AA434" s="145"/>
    </row>
    <row r="435" spans="1:27" ht="19.5" customHeight="1" x14ac:dyDescent="0.25">
      <c r="A435" s="153"/>
      <c r="B435" s="153"/>
      <c r="C435" s="153"/>
      <c r="D435" s="154"/>
      <c r="E435" s="154"/>
      <c r="F435" s="154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  <c r="AA435" s="145"/>
    </row>
    <row r="436" spans="1:27" ht="19.5" customHeight="1" x14ac:dyDescent="0.25">
      <c r="A436" s="153"/>
      <c r="B436" s="153"/>
      <c r="C436" s="153"/>
      <c r="D436" s="154"/>
      <c r="E436" s="154"/>
      <c r="F436" s="154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  <c r="AA436" s="145"/>
    </row>
    <row r="437" spans="1:27" ht="19.5" customHeight="1" x14ac:dyDescent="0.25">
      <c r="A437" s="153"/>
      <c r="B437" s="153"/>
      <c r="C437" s="153"/>
      <c r="D437" s="154"/>
      <c r="E437" s="154"/>
      <c r="F437" s="154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  <c r="AA437" s="145"/>
    </row>
    <row r="438" spans="1:27" ht="19.5" customHeight="1" x14ac:dyDescent="0.25">
      <c r="A438" s="153"/>
      <c r="B438" s="153"/>
      <c r="C438" s="153"/>
      <c r="D438" s="154"/>
      <c r="E438" s="154"/>
      <c r="F438" s="154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  <c r="AA438" s="145"/>
    </row>
    <row r="439" spans="1:27" ht="19.5" customHeight="1" x14ac:dyDescent="0.25">
      <c r="A439" s="153"/>
      <c r="B439" s="153"/>
      <c r="C439" s="153"/>
      <c r="D439" s="154"/>
      <c r="E439" s="154"/>
      <c r="F439" s="154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  <c r="AA439" s="145"/>
    </row>
    <row r="440" spans="1:27" ht="19.5" customHeight="1" x14ac:dyDescent="0.25">
      <c r="A440" s="153"/>
      <c r="B440" s="153"/>
      <c r="C440" s="153"/>
      <c r="D440" s="154"/>
      <c r="E440" s="154"/>
      <c r="F440" s="154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  <c r="AA440" s="145"/>
    </row>
    <row r="441" spans="1:27" ht="19.5" customHeight="1" x14ac:dyDescent="0.25">
      <c r="A441" s="153"/>
      <c r="B441" s="153"/>
      <c r="C441" s="153"/>
      <c r="D441" s="154"/>
      <c r="E441" s="154"/>
      <c r="F441" s="154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  <c r="AA441" s="145"/>
    </row>
    <row r="442" spans="1:27" ht="19.5" customHeight="1" x14ac:dyDescent="0.25">
      <c r="A442" s="153"/>
      <c r="B442" s="153"/>
      <c r="C442" s="153"/>
      <c r="D442" s="154"/>
      <c r="E442" s="154"/>
      <c r="F442" s="154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  <c r="AA442" s="145"/>
    </row>
    <row r="443" spans="1:27" ht="19.5" customHeight="1" x14ac:dyDescent="0.25">
      <c r="A443" s="153"/>
      <c r="B443" s="153"/>
      <c r="C443" s="153"/>
      <c r="D443" s="154"/>
      <c r="E443" s="154"/>
      <c r="F443" s="154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  <c r="AA443" s="145"/>
    </row>
    <row r="444" spans="1:27" ht="19.5" customHeight="1" x14ac:dyDescent="0.25">
      <c r="A444" s="153"/>
      <c r="B444" s="153"/>
      <c r="C444" s="153"/>
      <c r="D444" s="154"/>
      <c r="E444" s="154"/>
      <c r="F444" s="154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  <c r="AA444" s="145"/>
    </row>
    <row r="445" spans="1:27" ht="19.5" customHeight="1" x14ac:dyDescent="0.25">
      <c r="A445" s="153"/>
      <c r="B445" s="153"/>
      <c r="C445" s="153"/>
      <c r="D445" s="154"/>
      <c r="E445" s="154"/>
      <c r="F445" s="154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  <c r="AA445" s="145"/>
    </row>
    <row r="446" spans="1:27" ht="19.5" customHeight="1" x14ac:dyDescent="0.25">
      <c r="A446" s="153"/>
      <c r="B446" s="153"/>
      <c r="C446" s="153"/>
      <c r="D446" s="154"/>
      <c r="E446" s="154"/>
      <c r="F446" s="154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  <c r="AA446" s="145"/>
    </row>
    <row r="447" spans="1:27" ht="19.5" customHeight="1" x14ac:dyDescent="0.25">
      <c r="A447" s="153"/>
      <c r="B447" s="153"/>
      <c r="C447" s="153"/>
      <c r="D447" s="154"/>
      <c r="E447" s="154"/>
      <c r="F447" s="154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  <c r="AA447" s="145"/>
    </row>
    <row r="448" spans="1:27" ht="19.5" customHeight="1" x14ac:dyDescent="0.25">
      <c r="A448" s="153"/>
      <c r="B448" s="153"/>
      <c r="C448" s="153"/>
      <c r="D448" s="154"/>
      <c r="E448" s="154"/>
      <c r="F448" s="154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  <c r="AA448" s="145"/>
    </row>
    <row r="449" spans="1:27" ht="19.5" customHeight="1" x14ac:dyDescent="0.25">
      <c r="A449" s="153"/>
      <c r="B449" s="153"/>
      <c r="C449" s="153"/>
      <c r="D449" s="154"/>
      <c r="E449" s="154"/>
      <c r="F449" s="154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  <c r="AA449" s="145"/>
    </row>
    <row r="450" spans="1:27" ht="19.5" customHeight="1" x14ac:dyDescent="0.25">
      <c r="A450" s="153"/>
      <c r="B450" s="153"/>
      <c r="C450" s="153"/>
      <c r="D450" s="154"/>
      <c r="E450" s="154"/>
      <c r="F450" s="154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  <c r="AA450" s="145"/>
    </row>
    <row r="451" spans="1:27" ht="19.5" customHeight="1" x14ac:dyDescent="0.25">
      <c r="A451" s="153"/>
      <c r="B451" s="153"/>
      <c r="C451" s="153"/>
      <c r="D451" s="154"/>
      <c r="E451" s="154"/>
      <c r="F451" s="154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  <c r="AA451" s="145"/>
    </row>
    <row r="452" spans="1:27" ht="19.5" customHeight="1" x14ac:dyDescent="0.25">
      <c r="A452" s="153"/>
      <c r="B452" s="153"/>
      <c r="C452" s="153"/>
      <c r="D452" s="154"/>
      <c r="E452" s="154"/>
      <c r="F452" s="154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  <c r="AA452" s="145"/>
    </row>
    <row r="453" spans="1:27" ht="19.5" customHeight="1" x14ac:dyDescent="0.25">
      <c r="A453" s="153"/>
      <c r="B453" s="153"/>
      <c r="C453" s="153"/>
      <c r="D453" s="154"/>
      <c r="E453" s="154"/>
      <c r="F453" s="154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  <c r="AA453" s="145"/>
    </row>
    <row r="454" spans="1:27" ht="19.5" customHeight="1" x14ac:dyDescent="0.25">
      <c r="A454" s="153"/>
      <c r="B454" s="153"/>
      <c r="C454" s="153"/>
      <c r="D454" s="154"/>
      <c r="E454" s="154"/>
      <c r="F454" s="154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  <c r="AA454" s="145"/>
    </row>
    <row r="455" spans="1:27" ht="19.5" customHeight="1" x14ac:dyDescent="0.25">
      <c r="A455" s="153"/>
      <c r="B455" s="153"/>
      <c r="C455" s="153"/>
      <c r="D455" s="154"/>
      <c r="E455" s="154"/>
      <c r="F455" s="154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  <c r="AA455" s="145"/>
    </row>
    <row r="456" spans="1:27" ht="19.5" customHeight="1" x14ac:dyDescent="0.25">
      <c r="A456" s="153"/>
      <c r="B456" s="153"/>
      <c r="C456" s="153"/>
      <c r="D456" s="154"/>
      <c r="E456" s="154"/>
      <c r="F456" s="154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  <c r="AA456" s="145"/>
    </row>
    <row r="457" spans="1:27" ht="19.5" customHeight="1" x14ac:dyDescent="0.25">
      <c r="A457" s="153"/>
      <c r="B457" s="153"/>
      <c r="C457" s="153"/>
      <c r="D457" s="154"/>
      <c r="E457" s="154"/>
      <c r="F457" s="154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  <c r="AA457" s="145"/>
    </row>
    <row r="458" spans="1:27" ht="19.5" customHeight="1" x14ac:dyDescent="0.25">
      <c r="A458" s="153"/>
      <c r="B458" s="153"/>
      <c r="C458" s="153"/>
      <c r="D458" s="154"/>
      <c r="E458" s="154"/>
      <c r="F458" s="154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  <c r="AA458" s="145"/>
    </row>
    <row r="459" spans="1:27" ht="19.5" customHeight="1" x14ac:dyDescent="0.25">
      <c r="A459" s="153"/>
      <c r="B459" s="153"/>
      <c r="C459" s="153"/>
      <c r="D459" s="154"/>
      <c r="E459" s="154"/>
      <c r="F459" s="154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  <c r="AA459" s="145"/>
    </row>
    <row r="460" spans="1:27" ht="19.5" customHeight="1" x14ac:dyDescent="0.25">
      <c r="A460" s="153"/>
      <c r="B460" s="153"/>
      <c r="C460" s="153"/>
      <c r="D460" s="154"/>
      <c r="E460" s="154"/>
      <c r="F460" s="154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  <c r="AA460" s="145"/>
    </row>
    <row r="461" spans="1:27" ht="19.5" customHeight="1" x14ac:dyDescent="0.25">
      <c r="A461" s="153"/>
      <c r="B461" s="153"/>
      <c r="C461" s="153"/>
      <c r="D461" s="154"/>
      <c r="E461" s="154"/>
      <c r="F461" s="154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  <c r="AA461" s="145"/>
    </row>
    <row r="462" spans="1:27" ht="19.5" customHeight="1" x14ac:dyDescent="0.25">
      <c r="A462" s="153"/>
      <c r="B462" s="153"/>
      <c r="C462" s="153"/>
      <c r="D462" s="154"/>
      <c r="E462" s="154"/>
      <c r="F462" s="154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  <c r="AA462" s="145"/>
    </row>
    <row r="463" spans="1:27" ht="19.5" customHeight="1" x14ac:dyDescent="0.25">
      <c r="A463" s="153"/>
      <c r="B463" s="153"/>
      <c r="C463" s="153"/>
      <c r="D463" s="154"/>
      <c r="E463" s="154"/>
      <c r="F463" s="154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  <c r="AA463" s="145"/>
    </row>
    <row r="464" spans="1:27" ht="19.5" customHeight="1" x14ac:dyDescent="0.25">
      <c r="A464" s="153"/>
      <c r="B464" s="153"/>
      <c r="C464" s="153"/>
      <c r="D464" s="154"/>
      <c r="E464" s="154"/>
      <c r="F464" s="154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  <c r="AA464" s="145"/>
    </row>
    <row r="465" spans="1:27" ht="19.5" customHeight="1" x14ac:dyDescent="0.25">
      <c r="A465" s="153"/>
      <c r="B465" s="153"/>
      <c r="C465" s="153"/>
      <c r="D465" s="154"/>
      <c r="E465" s="154"/>
      <c r="F465" s="154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  <c r="AA465" s="145"/>
    </row>
    <row r="466" spans="1:27" ht="19.5" customHeight="1" x14ac:dyDescent="0.25">
      <c r="A466" s="153"/>
      <c r="B466" s="153"/>
      <c r="C466" s="153"/>
      <c r="D466" s="154"/>
      <c r="E466" s="154"/>
      <c r="F466" s="154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  <c r="AA466" s="145"/>
    </row>
    <row r="467" spans="1:27" ht="19.5" customHeight="1" x14ac:dyDescent="0.25">
      <c r="A467" s="153"/>
      <c r="B467" s="153"/>
      <c r="C467" s="153"/>
      <c r="D467" s="154"/>
      <c r="E467" s="154"/>
      <c r="F467" s="154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  <c r="AA467" s="145"/>
    </row>
    <row r="468" spans="1:27" ht="19.5" customHeight="1" x14ac:dyDescent="0.25">
      <c r="A468" s="153"/>
      <c r="B468" s="153"/>
      <c r="C468" s="153"/>
      <c r="D468" s="154"/>
      <c r="E468" s="154"/>
      <c r="F468" s="154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  <c r="AA468" s="145"/>
    </row>
    <row r="469" spans="1:27" ht="19.5" customHeight="1" x14ac:dyDescent="0.25">
      <c r="A469" s="153"/>
      <c r="B469" s="153"/>
      <c r="C469" s="153"/>
      <c r="D469" s="154"/>
      <c r="E469" s="154"/>
      <c r="F469" s="154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  <c r="AA469" s="145"/>
    </row>
    <row r="470" spans="1:27" ht="19.5" customHeight="1" x14ac:dyDescent="0.25">
      <c r="A470" s="153"/>
      <c r="B470" s="153"/>
      <c r="C470" s="153"/>
      <c r="D470" s="154"/>
      <c r="E470" s="154"/>
      <c r="F470" s="154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  <c r="AA470" s="145"/>
    </row>
    <row r="471" spans="1:27" ht="19.5" customHeight="1" x14ac:dyDescent="0.25">
      <c r="A471" s="153"/>
      <c r="B471" s="153"/>
      <c r="C471" s="153"/>
      <c r="D471" s="154"/>
      <c r="E471" s="154"/>
      <c r="F471" s="154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  <c r="AA471" s="145"/>
    </row>
    <row r="472" spans="1:27" ht="19.5" customHeight="1" x14ac:dyDescent="0.25">
      <c r="A472" s="153"/>
      <c r="B472" s="153"/>
      <c r="C472" s="153"/>
      <c r="D472" s="154"/>
      <c r="E472" s="154"/>
      <c r="F472" s="154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  <c r="AA472" s="145"/>
    </row>
    <row r="473" spans="1:27" ht="19.5" customHeight="1" x14ac:dyDescent="0.25">
      <c r="A473" s="153"/>
      <c r="B473" s="153"/>
      <c r="C473" s="153"/>
      <c r="D473" s="154"/>
      <c r="E473" s="154"/>
      <c r="F473" s="154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  <c r="AA473" s="145"/>
    </row>
    <row r="474" spans="1:27" ht="19.5" customHeight="1" x14ac:dyDescent="0.25">
      <c r="A474" s="153"/>
      <c r="B474" s="153"/>
      <c r="C474" s="153"/>
      <c r="D474" s="154"/>
      <c r="E474" s="154"/>
      <c r="F474" s="154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  <c r="AA474" s="145"/>
    </row>
    <row r="475" spans="1:27" ht="19.5" customHeight="1" x14ac:dyDescent="0.25">
      <c r="A475" s="153"/>
      <c r="B475" s="153"/>
      <c r="C475" s="153"/>
      <c r="D475" s="154"/>
      <c r="E475" s="154"/>
      <c r="F475" s="154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  <c r="AA475" s="145"/>
    </row>
    <row r="476" spans="1:27" ht="19.5" customHeight="1" x14ac:dyDescent="0.25">
      <c r="A476" s="153"/>
      <c r="B476" s="153"/>
      <c r="C476" s="153"/>
      <c r="D476" s="154"/>
      <c r="E476" s="154"/>
      <c r="F476" s="154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  <c r="AA476" s="145"/>
    </row>
    <row r="477" spans="1:27" ht="19.5" customHeight="1" x14ac:dyDescent="0.25">
      <c r="A477" s="153"/>
      <c r="B477" s="153"/>
      <c r="C477" s="153"/>
      <c r="D477" s="154"/>
      <c r="E477" s="154"/>
      <c r="F477" s="154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  <c r="AA477" s="145"/>
    </row>
    <row r="478" spans="1:27" ht="19.5" customHeight="1" x14ac:dyDescent="0.25">
      <c r="A478" s="153"/>
      <c r="B478" s="153"/>
      <c r="C478" s="153"/>
      <c r="D478" s="154"/>
      <c r="E478" s="154"/>
      <c r="F478" s="154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  <c r="AA478" s="145"/>
    </row>
    <row r="479" spans="1:27" ht="19.5" customHeight="1" x14ac:dyDescent="0.25">
      <c r="A479" s="153"/>
      <c r="B479" s="153"/>
      <c r="C479" s="153"/>
      <c r="D479" s="154"/>
      <c r="E479" s="154"/>
      <c r="F479" s="154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  <c r="AA479" s="145"/>
    </row>
    <row r="480" spans="1:27" ht="19.5" customHeight="1" x14ac:dyDescent="0.25">
      <c r="A480" s="153"/>
      <c r="B480" s="153"/>
      <c r="C480" s="153"/>
      <c r="D480" s="154"/>
      <c r="E480" s="154"/>
      <c r="F480" s="154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  <c r="AA480" s="145"/>
    </row>
    <row r="481" spans="1:27" ht="19.5" customHeight="1" x14ac:dyDescent="0.25">
      <c r="A481" s="153"/>
      <c r="B481" s="153"/>
      <c r="C481" s="153"/>
      <c r="D481" s="154"/>
      <c r="E481" s="154"/>
      <c r="F481" s="154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  <c r="AA481" s="145"/>
    </row>
    <row r="482" spans="1:27" ht="19.5" customHeight="1" x14ac:dyDescent="0.25">
      <c r="A482" s="153"/>
      <c r="B482" s="153"/>
      <c r="C482" s="153"/>
      <c r="D482" s="154"/>
      <c r="E482" s="154"/>
      <c r="F482" s="154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  <c r="AA482" s="145"/>
    </row>
    <row r="483" spans="1:27" ht="19.5" customHeight="1" x14ac:dyDescent="0.25">
      <c r="A483" s="153"/>
      <c r="B483" s="153"/>
      <c r="C483" s="153"/>
      <c r="D483" s="154"/>
      <c r="E483" s="154"/>
      <c r="F483" s="154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  <c r="AA483" s="145"/>
    </row>
    <row r="484" spans="1:27" ht="19.5" customHeight="1" x14ac:dyDescent="0.25">
      <c r="A484" s="153"/>
      <c r="B484" s="153"/>
      <c r="C484" s="153"/>
      <c r="D484" s="154"/>
      <c r="E484" s="154"/>
      <c r="F484" s="154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  <c r="AA484" s="145"/>
    </row>
    <row r="485" spans="1:27" ht="19.5" customHeight="1" x14ac:dyDescent="0.25">
      <c r="A485" s="153"/>
      <c r="B485" s="153"/>
      <c r="C485" s="153"/>
      <c r="D485" s="154"/>
      <c r="E485" s="154"/>
      <c r="F485" s="154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  <c r="AA485" s="145"/>
    </row>
    <row r="486" spans="1:27" ht="19.5" customHeight="1" x14ac:dyDescent="0.25">
      <c r="A486" s="153"/>
      <c r="B486" s="153"/>
      <c r="C486" s="153"/>
      <c r="D486" s="154"/>
      <c r="E486" s="154"/>
      <c r="F486" s="154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  <c r="AA486" s="145"/>
    </row>
    <row r="487" spans="1:27" ht="19.5" customHeight="1" x14ac:dyDescent="0.25">
      <c r="A487" s="153"/>
      <c r="B487" s="153"/>
      <c r="C487" s="153"/>
      <c r="D487" s="154"/>
      <c r="E487" s="154"/>
      <c r="F487" s="154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  <c r="AA487" s="145"/>
    </row>
    <row r="488" spans="1:27" ht="19.5" customHeight="1" x14ac:dyDescent="0.25">
      <c r="A488" s="153"/>
      <c r="B488" s="153"/>
      <c r="C488" s="153"/>
      <c r="D488" s="154"/>
      <c r="E488" s="154"/>
      <c r="F488" s="154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  <c r="AA488" s="145"/>
    </row>
    <row r="489" spans="1:27" ht="19.5" customHeight="1" x14ac:dyDescent="0.25">
      <c r="A489" s="153"/>
      <c r="B489" s="153"/>
      <c r="C489" s="153"/>
      <c r="D489" s="154"/>
      <c r="E489" s="154"/>
      <c r="F489" s="154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  <c r="AA489" s="145"/>
    </row>
    <row r="490" spans="1:27" ht="19.5" customHeight="1" x14ac:dyDescent="0.25">
      <c r="A490" s="153"/>
      <c r="B490" s="153"/>
      <c r="C490" s="153"/>
      <c r="D490" s="154"/>
      <c r="E490" s="154"/>
      <c r="F490" s="154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  <c r="AA490" s="145"/>
    </row>
    <row r="491" spans="1:27" ht="19.5" customHeight="1" x14ac:dyDescent="0.25">
      <c r="A491" s="153"/>
      <c r="B491" s="153"/>
      <c r="C491" s="153"/>
      <c r="D491" s="154"/>
      <c r="E491" s="154"/>
      <c r="F491" s="154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  <c r="AA491" s="145"/>
    </row>
    <row r="492" spans="1:27" ht="19.5" customHeight="1" x14ac:dyDescent="0.25">
      <c r="A492" s="153"/>
      <c r="B492" s="153"/>
      <c r="C492" s="153"/>
      <c r="D492" s="154"/>
      <c r="E492" s="154"/>
      <c r="F492" s="154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  <c r="AA492" s="145"/>
    </row>
    <row r="493" spans="1:27" ht="19.5" customHeight="1" x14ac:dyDescent="0.25">
      <c r="A493" s="153"/>
      <c r="B493" s="153"/>
      <c r="C493" s="153"/>
      <c r="D493" s="154"/>
      <c r="E493" s="154"/>
      <c r="F493" s="154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  <c r="AA493" s="145"/>
    </row>
    <row r="494" spans="1:27" ht="19.5" customHeight="1" x14ac:dyDescent="0.25">
      <c r="A494" s="153"/>
      <c r="B494" s="153"/>
      <c r="C494" s="153"/>
      <c r="D494" s="154"/>
      <c r="E494" s="154"/>
      <c r="F494" s="154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  <c r="AA494" s="145"/>
    </row>
    <row r="495" spans="1:27" ht="19.5" customHeight="1" x14ac:dyDescent="0.25">
      <c r="A495" s="153"/>
      <c r="B495" s="153"/>
      <c r="C495" s="153"/>
      <c r="D495" s="154"/>
      <c r="E495" s="154"/>
      <c r="F495" s="154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  <c r="AA495" s="145"/>
    </row>
    <row r="496" spans="1:27" ht="19.5" customHeight="1" x14ac:dyDescent="0.25">
      <c r="A496" s="153"/>
      <c r="B496" s="153"/>
      <c r="C496" s="153"/>
      <c r="D496" s="154"/>
      <c r="E496" s="154"/>
      <c r="F496" s="154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  <c r="AA496" s="145"/>
    </row>
    <row r="497" spans="1:27" ht="19.5" customHeight="1" x14ac:dyDescent="0.25">
      <c r="A497" s="153"/>
      <c r="B497" s="153"/>
      <c r="C497" s="153"/>
      <c r="D497" s="154"/>
      <c r="E497" s="154"/>
      <c r="F497" s="154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  <c r="AA497" s="145"/>
    </row>
    <row r="498" spans="1:27" ht="19.5" customHeight="1" x14ac:dyDescent="0.25">
      <c r="A498" s="153"/>
      <c r="B498" s="153"/>
      <c r="C498" s="153"/>
      <c r="D498" s="154"/>
      <c r="E498" s="154"/>
      <c r="F498" s="154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  <c r="AA498" s="145"/>
    </row>
    <row r="499" spans="1:27" ht="19.5" customHeight="1" x14ac:dyDescent="0.25">
      <c r="A499" s="153"/>
      <c r="B499" s="153"/>
      <c r="C499" s="153"/>
      <c r="D499" s="154"/>
      <c r="E499" s="154"/>
      <c r="F499" s="154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  <c r="AA499" s="145"/>
    </row>
    <row r="500" spans="1:27" ht="19.5" customHeight="1" x14ac:dyDescent="0.25">
      <c r="A500" s="153"/>
      <c r="B500" s="153"/>
      <c r="C500" s="153"/>
      <c r="D500" s="154"/>
      <c r="E500" s="154"/>
      <c r="F500" s="154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  <c r="AA500" s="145"/>
    </row>
    <row r="501" spans="1:27" ht="19.5" customHeight="1" x14ac:dyDescent="0.25">
      <c r="A501" s="153"/>
      <c r="B501" s="153"/>
      <c r="C501" s="153"/>
      <c r="D501" s="154"/>
      <c r="E501" s="154"/>
      <c r="F501" s="154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  <c r="AA501" s="145"/>
    </row>
    <row r="502" spans="1:27" ht="19.5" customHeight="1" x14ac:dyDescent="0.25">
      <c r="A502" s="153"/>
      <c r="B502" s="153"/>
      <c r="C502" s="153"/>
      <c r="D502" s="154"/>
      <c r="E502" s="154"/>
      <c r="F502" s="154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  <c r="AA502" s="145"/>
    </row>
    <row r="503" spans="1:27" ht="19.5" customHeight="1" x14ac:dyDescent="0.25">
      <c r="A503" s="153"/>
      <c r="B503" s="153"/>
      <c r="C503" s="153"/>
      <c r="D503" s="154"/>
      <c r="E503" s="154"/>
      <c r="F503" s="154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  <c r="AA503" s="145"/>
    </row>
    <row r="504" spans="1:27" ht="19.5" customHeight="1" x14ac:dyDescent="0.25">
      <c r="A504" s="153"/>
      <c r="B504" s="153"/>
      <c r="C504" s="153"/>
      <c r="D504" s="154"/>
      <c r="E504" s="154"/>
      <c r="F504" s="154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  <c r="AA504" s="145"/>
    </row>
    <row r="505" spans="1:27" ht="19.5" customHeight="1" x14ac:dyDescent="0.25">
      <c r="A505" s="153"/>
      <c r="B505" s="153"/>
      <c r="C505" s="153"/>
      <c r="D505" s="154"/>
      <c r="E505" s="154"/>
      <c r="F505" s="154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  <c r="AA505" s="145"/>
    </row>
    <row r="506" spans="1:27" ht="19.5" customHeight="1" x14ac:dyDescent="0.25">
      <c r="A506" s="153"/>
      <c r="B506" s="153"/>
      <c r="C506" s="153"/>
      <c r="D506" s="154"/>
      <c r="E506" s="154"/>
      <c r="F506" s="154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  <c r="AA506" s="145"/>
    </row>
    <row r="507" spans="1:27" ht="19.5" customHeight="1" x14ac:dyDescent="0.25">
      <c r="A507" s="153"/>
      <c r="B507" s="153"/>
      <c r="C507" s="153"/>
      <c r="D507" s="154"/>
      <c r="E507" s="154"/>
      <c r="F507" s="154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  <c r="AA507" s="145"/>
    </row>
    <row r="508" spans="1:27" ht="19.5" customHeight="1" x14ac:dyDescent="0.25">
      <c r="A508" s="153"/>
      <c r="B508" s="153"/>
      <c r="C508" s="153"/>
      <c r="D508" s="154"/>
      <c r="E508" s="154"/>
      <c r="F508" s="154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  <c r="AA508" s="145"/>
    </row>
    <row r="509" spans="1:27" ht="19.5" customHeight="1" x14ac:dyDescent="0.25">
      <c r="A509" s="153"/>
      <c r="B509" s="153"/>
      <c r="C509" s="153"/>
      <c r="D509" s="154"/>
      <c r="E509" s="154"/>
      <c r="F509" s="154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  <c r="AA509" s="145"/>
    </row>
    <row r="510" spans="1:27" ht="19.5" customHeight="1" x14ac:dyDescent="0.25">
      <c r="A510" s="153"/>
      <c r="B510" s="153"/>
      <c r="C510" s="153"/>
      <c r="D510" s="154"/>
      <c r="E510" s="154"/>
      <c r="F510" s="154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  <c r="AA510" s="145"/>
    </row>
    <row r="511" spans="1:27" ht="19.5" customHeight="1" x14ac:dyDescent="0.25">
      <c r="A511" s="153"/>
      <c r="B511" s="153"/>
      <c r="C511" s="153"/>
      <c r="D511" s="154"/>
      <c r="E511" s="154"/>
      <c r="F511" s="154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</row>
    <row r="512" spans="1:27" ht="19.5" customHeight="1" x14ac:dyDescent="0.25">
      <c r="A512" s="153"/>
      <c r="B512" s="153"/>
      <c r="C512" s="153"/>
      <c r="D512" s="154"/>
      <c r="E512" s="154"/>
      <c r="F512" s="154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</row>
    <row r="513" spans="1:27" ht="19.5" customHeight="1" x14ac:dyDescent="0.25">
      <c r="A513" s="153"/>
      <c r="B513" s="153"/>
      <c r="C513" s="153"/>
      <c r="D513" s="154"/>
      <c r="E513" s="154"/>
      <c r="F513" s="154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</row>
    <row r="514" spans="1:27" ht="19.5" customHeight="1" x14ac:dyDescent="0.25">
      <c r="A514" s="153"/>
      <c r="B514" s="153"/>
      <c r="C514" s="153"/>
      <c r="D514" s="154"/>
      <c r="E514" s="154"/>
      <c r="F514" s="154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</row>
    <row r="515" spans="1:27" ht="19.5" customHeight="1" x14ac:dyDescent="0.25">
      <c r="A515" s="153"/>
      <c r="B515" s="153"/>
      <c r="C515" s="153"/>
      <c r="D515" s="154"/>
      <c r="E515" s="154"/>
      <c r="F515" s="154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</row>
    <row r="516" spans="1:27" ht="19.5" customHeight="1" x14ac:dyDescent="0.25">
      <c r="A516" s="153"/>
      <c r="B516" s="153"/>
      <c r="C516" s="153"/>
      <c r="D516" s="154"/>
      <c r="E516" s="154"/>
      <c r="F516" s="154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</row>
    <row r="517" spans="1:27" ht="19.5" customHeight="1" x14ac:dyDescent="0.25">
      <c r="A517" s="153"/>
      <c r="B517" s="153"/>
      <c r="C517" s="153"/>
      <c r="D517" s="154"/>
      <c r="E517" s="154"/>
      <c r="F517" s="154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</row>
    <row r="518" spans="1:27" ht="19.5" customHeight="1" x14ac:dyDescent="0.25">
      <c r="A518" s="153"/>
      <c r="B518" s="153"/>
      <c r="C518" s="153"/>
      <c r="D518" s="154"/>
      <c r="E518" s="154"/>
      <c r="F518" s="154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</row>
    <row r="519" spans="1:27" ht="19.5" customHeight="1" x14ac:dyDescent="0.25">
      <c r="A519" s="153"/>
      <c r="B519" s="153"/>
      <c r="C519" s="153"/>
      <c r="D519" s="154"/>
      <c r="E519" s="154"/>
      <c r="F519" s="154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</row>
    <row r="520" spans="1:27" ht="19.5" customHeight="1" x14ac:dyDescent="0.25">
      <c r="A520" s="153"/>
      <c r="B520" s="153"/>
      <c r="C520" s="153"/>
      <c r="D520" s="154"/>
      <c r="E520" s="154"/>
      <c r="F520" s="154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</row>
    <row r="521" spans="1:27" ht="19.5" customHeight="1" x14ac:dyDescent="0.25">
      <c r="A521" s="153"/>
      <c r="B521" s="153"/>
      <c r="C521" s="153"/>
      <c r="D521" s="154"/>
      <c r="E521" s="154"/>
      <c r="F521" s="154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</row>
    <row r="522" spans="1:27" ht="19.5" customHeight="1" x14ac:dyDescent="0.25">
      <c r="A522" s="153"/>
      <c r="B522" s="153"/>
      <c r="C522" s="153"/>
      <c r="D522" s="154"/>
      <c r="E522" s="154"/>
      <c r="F522" s="154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</row>
    <row r="523" spans="1:27" ht="19.5" customHeight="1" x14ac:dyDescent="0.25">
      <c r="A523" s="153"/>
      <c r="B523" s="153"/>
      <c r="C523" s="153"/>
      <c r="D523" s="154"/>
      <c r="E523" s="154"/>
      <c r="F523" s="154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</row>
    <row r="524" spans="1:27" ht="19.5" customHeight="1" x14ac:dyDescent="0.25">
      <c r="A524" s="153"/>
      <c r="B524" s="153"/>
      <c r="C524" s="153"/>
      <c r="D524" s="154"/>
      <c r="E524" s="154"/>
      <c r="F524" s="154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</row>
    <row r="525" spans="1:27" ht="19.5" customHeight="1" x14ac:dyDescent="0.25">
      <c r="A525" s="153"/>
      <c r="B525" s="153"/>
      <c r="C525" s="153"/>
      <c r="D525" s="154"/>
      <c r="E525" s="154"/>
      <c r="F525" s="154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</row>
    <row r="526" spans="1:27" ht="19.5" customHeight="1" x14ac:dyDescent="0.25">
      <c r="A526" s="153"/>
      <c r="B526" s="153"/>
      <c r="C526" s="153"/>
      <c r="D526" s="154"/>
      <c r="E526" s="154"/>
      <c r="F526" s="154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</row>
    <row r="527" spans="1:27" ht="19.5" customHeight="1" x14ac:dyDescent="0.25">
      <c r="A527" s="153"/>
      <c r="B527" s="153"/>
      <c r="C527" s="153"/>
      <c r="D527" s="154"/>
      <c r="E527" s="154"/>
      <c r="F527" s="154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</row>
    <row r="528" spans="1:27" ht="19.5" customHeight="1" x14ac:dyDescent="0.25">
      <c r="A528" s="153"/>
      <c r="B528" s="153"/>
      <c r="C528" s="153"/>
      <c r="D528" s="154"/>
      <c r="E528" s="154"/>
      <c r="F528" s="154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</row>
    <row r="529" spans="1:27" ht="19.5" customHeight="1" x14ac:dyDescent="0.25">
      <c r="A529" s="153"/>
      <c r="B529" s="153"/>
      <c r="C529" s="153"/>
      <c r="D529" s="154"/>
      <c r="E529" s="154"/>
      <c r="F529" s="154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</row>
    <row r="530" spans="1:27" ht="19.5" customHeight="1" x14ac:dyDescent="0.25">
      <c r="A530" s="153"/>
      <c r="B530" s="153"/>
      <c r="C530" s="153"/>
      <c r="D530" s="154"/>
      <c r="E530" s="154"/>
      <c r="F530" s="154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</row>
    <row r="531" spans="1:27" ht="19.5" customHeight="1" x14ac:dyDescent="0.25">
      <c r="A531" s="153"/>
      <c r="B531" s="153"/>
      <c r="C531" s="153"/>
      <c r="D531" s="154"/>
      <c r="E531" s="154"/>
      <c r="F531" s="154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</row>
    <row r="532" spans="1:27" ht="19.5" customHeight="1" x14ac:dyDescent="0.25">
      <c r="A532" s="153"/>
      <c r="B532" s="153"/>
      <c r="C532" s="153"/>
      <c r="D532" s="154"/>
      <c r="E532" s="154"/>
      <c r="F532" s="154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</row>
    <row r="533" spans="1:27" ht="19.5" customHeight="1" x14ac:dyDescent="0.25">
      <c r="A533" s="153"/>
      <c r="B533" s="153"/>
      <c r="C533" s="153"/>
      <c r="D533" s="154"/>
      <c r="E533" s="154"/>
      <c r="F533" s="154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</row>
    <row r="534" spans="1:27" ht="19.5" customHeight="1" x14ac:dyDescent="0.25">
      <c r="A534" s="153"/>
      <c r="B534" s="153"/>
      <c r="C534" s="153"/>
      <c r="D534" s="154"/>
      <c r="E534" s="154"/>
      <c r="F534" s="154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</row>
    <row r="535" spans="1:27" ht="19.5" customHeight="1" x14ac:dyDescent="0.25">
      <c r="A535" s="153"/>
      <c r="B535" s="153"/>
      <c r="C535" s="153"/>
      <c r="D535" s="154"/>
      <c r="E535" s="154"/>
      <c r="F535" s="154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</row>
    <row r="536" spans="1:27" ht="19.5" customHeight="1" x14ac:dyDescent="0.25">
      <c r="A536" s="153"/>
      <c r="B536" s="153"/>
      <c r="C536" s="153"/>
      <c r="D536" s="154"/>
      <c r="E536" s="154"/>
      <c r="F536" s="154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</row>
    <row r="537" spans="1:27" ht="19.5" customHeight="1" x14ac:dyDescent="0.25">
      <c r="A537" s="153"/>
      <c r="B537" s="153"/>
      <c r="C537" s="153"/>
      <c r="D537" s="154"/>
      <c r="E537" s="154"/>
      <c r="F537" s="154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</row>
    <row r="538" spans="1:27" ht="19.5" customHeight="1" x14ac:dyDescent="0.25">
      <c r="A538" s="153"/>
      <c r="B538" s="153"/>
      <c r="C538" s="153"/>
      <c r="D538" s="154"/>
      <c r="E538" s="154"/>
      <c r="F538" s="154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</row>
    <row r="539" spans="1:27" ht="19.5" customHeight="1" x14ac:dyDescent="0.25">
      <c r="A539" s="153"/>
      <c r="B539" s="153"/>
      <c r="C539" s="153"/>
      <c r="D539" s="154"/>
      <c r="E539" s="154"/>
      <c r="F539" s="154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</row>
    <row r="540" spans="1:27" ht="19.5" customHeight="1" x14ac:dyDescent="0.25">
      <c r="A540" s="153"/>
      <c r="B540" s="153"/>
      <c r="C540" s="153"/>
      <c r="D540" s="154"/>
      <c r="E540" s="154"/>
      <c r="F540" s="154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</row>
    <row r="541" spans="1:27" ht="19.5" customHeight="1" x14ac:dyDescent="0.25">
      <c r="A541" s="153"/>
      <c r="B541" s="153"/>
      <c r="C541" s="153"/>
      <c r="D541" s="154"/>
      <c r="E541" s="154"/>
      <c r="F541" s="154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</row>
    <row r="542" spans="1:27" ht="19.5" customHeight="1" x14ac:dyDescent="0.25">
      <c r="A542" s="153"/>
      <c r="B542" s="153"/>
      <c r="C542" s="153"/>
      <c r="D542" s="154"/>
      <c r="E542" s="154"/>
      <c r="F542" s="154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</row>
    <row r="543" spans="1:27" ht="19.5" customHeight="1" x14ac:dyDescent="0.25">
      <c r="A543" s="153"/>
      <c r="B543" s="153"/>
      <c r="C543" s="153"/>
      <c r="D543" s="154"/>
      <c r="E543" s="154"/>
      <c r="F543" s="154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</row>
    <row r="544" spans="1:27" ht="19.5" customHeight="1" x14ac:dyDescent="0.25">
      <c r="A544" s="153"/>
      <c r="B544" s="153"/>
      <c r="C544" s="153"/>
      <c r="D544" s="154"/>
      <c r="E544" s="154"/>
      <c r="F544" s="154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  <c r="AA544" s="145"/>
    </row>
    <row r="545" spans="1:27" ht="19.5" customHeight="1" x14ac:dyDescent="0.25">
      <c r="A545" s="153"/>
      <c r="B545" s="153"/>
      <c r="C545" s="153"/>
      <c r="D545" s="154"/>
      <c r="E545" s="154"/>
      <c r="F545" s="154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  <c r="AA545" s="145"/>
    </row>
    <row r="546" spans="1:27" ht="19.5" customHeight="1" x14ac:dyDescent="0.25">
      <c r="A546" s="153"/>
      <c r="B546" s="153"/>
      <c r="C546" s="153"/>
      <c r="D546" s="154"/>
      <c r="E546" s="154"/>
      <c r="F546" s="154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  <c r="AA546" s="145"/>
    </row>
    <row r="547" spans="1:27" ht="19.5" customHeight="1" x14ac:dyDescent="0.25">
      <c r="A547" s="153"/>
      <c r="B547" s="153"/>
      <c r="C547" s="153"/>
      <c r="D547" s="154"/>
      <c r="E547" s="154"/>
      <c r="F547" s="154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  <c r="AA547" s="145"/>
    </row>
    <row r="548" spans="1:27" ht="19.5" customHeight="1" x14ac:dyDescent="0.25">
      <c r="A548" s="153"/>
      <c r="B548" s="153"/>
      <c r="C548" s="153"/>
      <c r="D548" s="154"/>
      <c r="E548" s="154"/>
      <c r="F548" s="154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  <c r="AA548" s="145"/>
    </row>
    <row r="549" spans="1:27" ht="19.5" customHeight="1" x14ac:dyDescent="0.25">
      <c r="A549" s="153"/>
      <c r="B549" s="153"/>
      <c r="C549" s="153"/>
      <c r="D549" s="154"/>
      <c r="E549" s="154"/>
      <c r="F549" s="154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  <c r="AA549" s="145"/>
    </row>
    <row r="550" spans="1:27" ht="19.5" customHeight="1" x14ac:dyDescent="0.25">
      <c r="A550" s="153"/>
      <c r="B550" s="153"/>
      <c r="C550" s="153"/>
      <c r="D550" s="154"/>
      <c r="E550" s="154"/>
      <c r="F550" s="154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  <c r="AA550" s="145"/>
    </row>
    <row r="551" spans="1:27" ht="19.5" customHeight="1" x14ac:dyDescent="0.25">
      <c r="A551" s="153"/>
      <c r="B551" s="153"/>
      <c r="C551" s="153"/>
      <c r="D551" s="154"/>
      <c r="E551" s="154"/>
      <c r="F551" s="154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  <c r="AA551" s="145"/>
    </row>
    <row r="552" spans="1:27" ht="19.5" customHeight="1" x14ac:dyDescent="0.25">
      <c r="A552" s="153"/>
      <c r="B552" s="153"/>
      <c r="C552" s="153"/>
      <c r="D552" s="154"/>
      <c r="E552" s="154"/>
      <c r="F552" s="154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  <c r="AA552" s="145"/>
    </row>
    <row r="553" spans="1:27" ht="19.5" customHeight="1" x14ac:dyDescent="0.25">
      <c r="A553" s="153"/>
      <c r="B553" s="153"/>
      <c r="C553" s="153"/>
      <c r="D553" s="154"/>
      <c r="E553" s="154"/>
      <c r="F553" s="154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  <c r="AA553" s="145"/>
    </row>
    <row r="554" spans="1:27" ht="19.5" customHeight="1" x14ac:dyDescent="0.25">
      <c r="A554" s="153"/>
      <c r="B554" s="153"/>
      <c r="C554" s="153"/>
      <c r="D554" s="154"/>
      <c r="E554" s="154"/>
      <c r="F554" s="154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  <c r="AA554" s="145"/>
    </row>
    <row r="555" spans="1:27" ht="19.5" customHeight="1" x14ac:dyDescent="0.25">
      <c r="A555" s="153"/>
      <c r="B555" s="153"/>
      <c r="C555" s="153"/>
      <c r="D555" s="154"/>
      <c r="E555" s="154"/>
      <c r="F555" s="154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  <c r="AA555" s="145"/>
    </row>
    <row r="556" spans="1:27" ht="19.5" customHeight="1" x14ac:dyDescent="0.25">
      <c r="A556" s="153"/>
      <c r="B556" s="153"/>
      <c r="C556" s="153"/>
      <c r="D556" s="154"/>
      <c r="E556" s="154"/>
      <c r="F556" s="154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  <c r="AA556" s="145"/>
    </row>
    <row r="557" spans="1:27" ht="19.5" customHeight="1" x14ac:dyDescent="0.25">
      <c r="A557" s="153"/>
      <c r="B557" s="153"/>
      <c r="C557" s="153"/>
      <c r="D557" s="154"/>
      <c r="E557" s="154"/>
      <c r="F557" s="154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  <c r="AA557" s="145"/>
    </row>
    <row r="558" spans="1:27" ht="19.5" customHeight="1" x14ac:dyDescent="0.25">
      <c r="A558" s="153"/>
      <c r="B558" s="153"/>
      <c r="C558" s="153"/>
      <c r="D558" s="154"/>
      <c r="E558" s="154"/>
      <c r="F558" s="154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  <c r="AA558" s="145"/>
    </row>
    <row r="559" spans="1:27" ht="19.5" customHeight="1" x14ac:dyDescent="0.25">
      <c r="A559" s="153"/>
      <c r="B559" s="153"/>
      <c r="C559" s="153"/>
      <c r="D559" s="154"/>
      <c r="E559" s="154"/>
      <c r="F559" s="154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  <c r="AA559" s="145"/>
    </row>
    <row r="560" spans="1:27" ht="19.5" customHeight="1" x14ac:dyDescent="0.25">
      <c r="A560" s="153"/>
      <c r="B560" s="153"/>
      <c r="C560" s="153"/>
      <c r="D560" s="154"/>
      <c r="E560" s="154"/>
      <c r="F560" s="154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  <c r="AA560" s="145"/>
    </row>
    <row r="561" spans="1:27" ht="19.5" customHeight="1" x14ac:dyDescent="0.25">
      <c r="A561" s="153"/>
      <c r="B561" s="153"/>
      <c r="C561" s="153"/>
      <c r="D561" s="154"/>
      <c r="E561" s="154"/>
      <c r="F561" s="154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  <c r="AA561" s="145"/>
    </row>
    <row r="562" spans="1:27" ht="19.5" customHeight="1" x14ac:dyDescent="0.25">
      <c r="A562" s="153"/>
      <c r="B562" s="153"/>
      <c r="C562" s="153"/>
      <c r="D562" s="154"/>
      <c r="E562" s="154"/>
      <c r="F562" s="154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  <c r="AA562" s="145"/>
    </row>
    <row r="563" spans="1:27" ht="19.5" customHeight="1" x14ac:dyDescent="0.25">
      <c r="A563" s="153"/>
      <c r="B563" s="153"/>
      <c r="C563" s="153"/>
      <c r="D563" s="154"/>
      <c r="E563" s="154"/>
      <c r="F563" s="154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  <c r="AA563" s="145"/>
    </row>
    <row r="564" spans="1:27" ht="19.5" customHeight="1" x14ac:dyDescent="0.25">
      <c r="A564" s="153"/>
      <c r="B564" s="153"/>
      <c r="C564" s="153"/>
      <c r="D564" s="154"/>
      <c r="E564" s="154"/>
      <c r="F564" s="154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  <c r="AA564" s="145"/>
    </row>
    <row r="565" spans="1:27" ht="19.5" customHeight="1" x14ac:dyDescent="0.25">
      <c r="A565" s="153"/>
      <c r="B565" s="153"/>
      <c r="C565" s="153"/>
      <c r="D565" s="154"/>
      <c r="E565" s="154"/>
      <c r="F565" s="154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  <c r="AA565" s="145"/>
    </row>
    <row r="566" spans="1:27" ht="19.5" customHeight="1" x14ac:dyDescent="0.25">
      <c r="A566" s="153"/>
      <c r="B566" s="153"/>
      <c r="C566" s="153"/>
      <c r="D566" s="154"/>
      <c r="E566" s="154"/>
      <c r="F566" s="154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  <c r="AA566" s="145"/>
    </row>
    <row r="567" spans="1:27" ht="19.5" customHeight="1" x14ac:dyDescent="0.25">
      <c r="A567" s="153"/>
      <c r="B567" s="153"/>
      <c r="C567" s="153"/>
      <c r="D567" s="154"/>
      <c r="E567" s="154"/>
      <c r="F567" s="154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  <c r="AA567" s="145"/>
    </row>
    <row r="568" spans="1:27" ht="19.5" customHeight="1" x14ac:dyDescent="0.25">
      <c r="A568" s="153"/>
      <c r="B568" s="153"/>
      <c r="C568" s="153"/>
      <c r="D568" s="154"/>
      <c r="E568" s="154"/>
      <c r="F568" s="154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  <c r="AA568" s="145"/>
    </row>
    <row r="569" spans="1:27" ht="19.5" customHeight="1" x14ac:dyDescent="0.25">
      <c r="A569" s="153"/>
      <c r="B569" s="153"/>
      <c r="C569" s="153"/>
      <c r="D569" s="154"/>
      <c r="E569" s="154"/>
      <c r="F569" s="154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  <c r="AA569" s="145"/>
    </row>
    <row r="570" spans="1:27" ht="19.5" customHeight="1" x14ac:dyDescent="0.25">
      <c r="A570" s="153"/>
      <c r="B570" s="153"/>
      <c r="C570" s="153"/>
      <c r="D570" s="154"/>
      <c r="E570" s="154"/>
      <c r="F570" s="154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  <c r="AA570" s="145"/>
    </row>
    <row r="571" spans="1:27" ht="19.5" customHeight="1" x14ac:dyDescent="0.25">
      <c r="A571" s="153"/>
      <c r="B571" s="153"/>
      <c r="C571" s="153"/>
      <c r="D571" s="154"/>
      <c r="E571" s="154"/>
      <c r="F571" s="154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  <c r="AA571" s="145"/>
    </row>
    <row r="572" spans="1:27" ht="19.5" customHeight="1" x14ac:dyDescent="0.25">
      <c r="A572" s="153"/>
      <c r="B572" s="153"/>
      <c r="C572" s="153"/>
      <c r="D572" s="154"/>
      <c r="E572" s="154"/>
      <c r="F572" s="154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  <c r="AA572" s="145"/>
    </row>
    <row r="573" spans="1:27" ht="19.5" customHeight="1" x14ac:dyDescent="0.25">
      <c r="A573" s="153"/>
      <c r="B573" s="153"/>
      <c r="C573" s="153"/>
      <c r="D573" s="154"/>
      <c r="E573" s="154"/>
      <c r="F573" s="154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  <c r="AA573" s="145"/>
    </row>
    <row r="574" spans="1:27" ht="19.5" customHeight="1" x14ac:dyDescent="0.25">
      <c r="A574" s="153"/>
      <c r="B574" s="153"/>
      <c r="C574" s="153"/>
      <c r="D574" s="154"/>
      <c r="E574" s="154"/>
      <c r="F574" s="154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  <c r="AA574" s="145"/>
    </row>
    <row r="575" spans="1:27" ht="19.5" customHeight="1" x14ac:dyDescent="0.25">
      <c r="A575" s="153"/>
      <c r="B575" s="153"/>
      <c r="C575" s="153"/>
      <c r="D575" s="154"/>
      <c r="E575" s="154"/>
      <c r="F575" s="154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  <c r="AA575" s="145"/>
    </row>
    <row r="576" spans="1:27" ht="19.5" customHeight="1" x14ac:dyDescent="0.25">
      <c r="A576" s="153"/>
      <c r="B576" s="153"/>
      <c r="C576" s="153"/>
      <c r="D576" s="154"/>
      <c r="E576" s="154"/>
      <c r="F576" s="154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  <c r="AA576" s="145"/>
    </row>
    <row r="577" spans="1:27" ht="19.5" customHeight="1" x14ac:dyDescent="0.25">
      <c r="A577" s="153"/>
      <c r="B577" s="153"/>
      <c r="C577" s="153"/>
      <c r="D577" s="154"/>
      <c r="E577" s="154"/>
      <c r="F577" s="154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  <c r="AA577" s="145"/>
    </row>
    <row r="578" spans="1:27" ht="19.5" customHeight="1" x14ac:dyDescent="0.25">
      <c r="A578" s="153"/>
      <c r="B578" s="153"/>
      <c r="C578" s="153"/>
      <c r="D578" s="154"/>
      <c r="E578" s="154"/>
      <c r="F578" s="154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  <c r="AA578" s="145"/>
    </row>
    <row r="579" spans="1:27" ht="19.5" customHeight="1" x14ac:dyDescent="0.25">
      <c r="A579" s="153"/>
      <c r="B579" s="153"/>
      <c r="C579" s="153"/>
      <c r="D579" s="154"/>
      <c r="E579" s="154"/>
      <c r="F579" s="154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  <c r="AA579" s="145"/>
    </row>
    <row r="580" spans="1:27" ht="19.5" customHeight="1" x14ac:dyDescent="0.25">
      <c r="A580" s="153"/>
      <c r="B580" s="153"/>
      <c r="C580" s="153"/>
      <c r="D580" s="154"/>
      <c r="E580" s="154"/>
      <c r="F580" s="154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  <c r="AA580" s="145"/>
    </row>
    <row r="581" spans="1:27" ht="19.5" customHeight="1" x14ac:dyDescent="0.25">
      <c r="A581" s="153"/>
      <c r="B581" s="153"/>
      <c r="C581" s="153"/>
      <c r="D581" s="154"/>
      <c r="E581" s="154"/>
      <c r="F581" s="154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  <c r="AA581" s="145"/>
    </row>
    <row r="582" spans="1:27" ht="19.5" customHeight="1" x14ac:dyDescent="0.25">
      <c r="A582" s="153"/>
      <c r="B582" s="153"/>
      <c r="C582" s="153"/>
      <c r="D582" s="154"/>
      <c r="E582" s="154"/>
      <c r="F582" s="154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  <c r="AA582" s="145"/>
    </row>
    <row r="583" spans="1:27" ht="19.5" customHeight="1" x14ac:dyDescent="0.25">
      <c r="A583" s="153"/>
      <c r="B583" s="153"/>
      <c r="C583" s="153"/>
      <c r="D583" s="154"/>
      <c r="E583" s="154"/>
      <c r="F583" s="154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  <c r="AA583" s="145"/>
    </row>
    <row r="584" spans="1:27" ht="19.5" customHeight="1" x14ac:dyDescent="0.25">
      <c r="A584" s="153"/>
      <c r="B584" s="153"/>
      <c r="C584" s="153"/>
      <c r="D584" s="154"/>
      <c r="E584" s="154"/>
      <c r="F584" s="154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  <c r="AA584" s="145"/>
    </row>
    <row r="585" spans="1:27" ht="19.5" customHeight="1" x14ac:dyDescent="0.25">
      <c r="A585" s="153"/>
      <c r="B585" s="153"/>
      <c r="C585" s="153"/>
      <c r="D585" s="154"/>
      <c r="E585" s="154"/>
      <c r="F585" s="154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  <c r="AA585" s="145"/>
    </row>
    <row r="586" spans="1:27" ht="19.5" customHeight="1" x14ac:dyDescent="0.25">
      <c r="A586" s="153"/>
      <c r="B586" s="153"/>
      <c r="C586" s="153"/>
      <c r="D586" s="154"/>
      <c r="E586" s="154"/>
      <c r="F586" s="154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  <c r="AA586" s="145"/>
    </row>
    <row r="587" spans="1:27" ht="19.5" customHeight="1" x14ac:dyDescent="0.25">
      <c r="A587" s="153"/>
      <c r="B587" s="153"/>
      <c r="C587" s="153"/>
      <c r="D587" s="154"/>
      <c r="E587" s="154"/>
      <c r="F587" s="154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  <c r="AA587" s="145"/>
    </row>
    <row r="588" spans="1:27" ht="19.5" customHeight="1" x14ac:dyDescent="0.25">
      <c r="A588" s="153"/>
      <c r="B588" s="153"/>
      <c r="C588" s="153"/>
      <c r="D588" s="154"/>
      <c r="E588" s="154"/>
      <c r="F588" s="154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  <c r="AA588" s="145"/>
    </row>
    <row r="589" spans="1:27" ht="19.5" customHeight="1" x14ac:dyDescent="0.25">
      <c r="A589" s="153"/>
      <c r="B589" s="153"/>
      <c r="C589" s="153"/>
      <c r="D589" s="154"/>
      <c r="E589" s="154"/>
      <c r="F589" s="154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  <c r="AA589" s="145"/>
    </row>
    <row r="590" spans="1:27" ht="19.5" customHeight="1" x14ac:dyDescent="0.25">
      <c r="A590" s="153"/>
      <c r="B590" s="153"/>
      <c r="C590" s="153"/>
      <c r="D590" s="154"/>
      <c r="E590" s="154"/>
      <c r="F590" s="154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  <c r="AA590" s="145"/>
    </row>
    <row r="591" spans="1:27" ht="19.5" customHeight="1" x14ac:dyDescent="0.25">
      <c r="A591" s="153"/>
      <c r="B591" s="153"/>
      <c r="C591" s="153"/>
      <c r="D591" s="154"/>
      <c r="E591" s="154"/>
      <c r="F591" s="154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  <c r="AA591" s="145"/>
    </row>
    <row r="592" spans="1:27" ht="19.5" customHeight="1" x14ac:dyDescent="0.25">
      <c r="A592" s="153"/>
      <c r="B592" s="153"/>
      <c r="C592" s="153"/>
      <c r="D592" s="154"/>
      <c r="E592" s="154"/>
      <c r="F592" s="154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  <c r="AA592" s="145"/>
    </row>
    <row r="593" spans="1:27" ht="19.5" customHeight="1" x14ac:dyDescent="0.25">
      <c r="A593" s="153"/>
      <c r="B593" s="153"/>
      <c r="C593" s="153"/>
      <c r="D593" s="154"/>
      <c r="E593" s="154"/>
      <c r="F593" s="154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  <c r="AA593" s="145"/>
    </row>
    <row r="594" spans="1:27" ht="19.5" customHeight="1" x14ac:dyDescent="0.25">
      <c r="A594" s="153"/>
      <c r="B594" s="153"/>
      <c r="C594" s="153"/>
      <c r="D594" s="154"/>
      <c r="E594" s="154"/>
      <c r="F594" s="154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  <c r="AA594" s="145"/>
    </row>
    <row r="595" spans="1:27" ht="19.5" customHeight="1" x14ac:dyDescent="0.25">
      <c r="A595" s="153"/>
      <c r="B595" s="153"/>
      <c r="C595" s="153"/>
      <c r="D595" s="154"/>
      <c r="E595" s="154"/>
      <c r="F595" s="154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  <c r="AA595" s="145"/>
    </row>
    <row r="596" spans="1:27" ht="19.5" customHeight="1" x14ac:dyDescent="0.25">
      <c r="A596" s="153"/>
      <c r="B596" s="153"/>
      <c r="C596" s="153"/>
      <c r="D596" s="154"/>
      <c r="E596" s="154"/>
      <c r="F596" s="154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  <c r="AA596" s="145"/>
    </row>
    <row r="597" spans="1:27" ht="19.5" customHeight="1" x14ac:dyDescent="0.25">
      <c r="A597" s="153"/>
      <c r="B597" s="153"/>
      <c r="C597" s="153"/>
      <c r="D597" s="154"/>
      <c r="E597" s="154"/>
      <c r="F597" s="154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  <c r="AA597" s="145"/>
    </row>
    <row r="598" spans="1:27" ht="19.5" customHeight="1" x14ac:dyDescent="0.25">
      <c r="A598" s="153"/>
      <c r="B598" s="153"/>
      <c r="C598" s="153"/>
      <c r="D598" s="154"/>
      <c r="E598" s="154"/>
      <c r="F598" s="154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  <c r="AA598" s="145"/>
    </row>
    <row r="599" spans="1:27" ht="19.5" customHeight="1" x14ac:dyDescent="0.25">
      <c r="A599" s="153"/>
      <c r="B599" s="153"/>
      <c r="C599" s="153"/>
      <c r="D599" s="154"/>
      <c r="E599" s="154"/>
      <c r="F599" s="154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  <c r="AA599" s="145"/>
    </row>
    <row r="600" spans="1:27" ht="19.5" customHeight="1" x14ac:dyDescent="0.25">
      <c r="A600" s="153"/>
      <c r="B600" s="153"/>
      <c r="C600" s="153"/>
      <c r="D600" s="154"/>
      <c r="E600" s="154"/>
      <c r="F600" s="154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  <c r="AA600" s="145"/>
    </row>
    <row r="601" spans="1:27" ht="19.5" customHeight="1" x14ac:dyDescent="0.25">
      <c r="A601" s="153"/>
      <c r="B601" s="153"/>
      <c r="C601" s="153"/>
      <c r="D601" s="154"/>
      <c r="E601" s="154"/>
      <c r="F601" s="154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  <c r="AA601" s="145"/>
    </row>
    <row r="602" spans="1:27" ht="19.5" customHeight="1" x14ac:dyDescent="0.25">
      <c r="A602" s="153"/>
      <c r="B602" s="153"/>
      <c r="C602" s="153"/>
      <c r="D602" s="154"/>
      <c r="E602" s="154"/>
      <c r="F602" s="154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  <c r="AA602" s="145"/>
    </row>
    <row r="603" spans="1:27" ht="19.5" customHeight="1" x14ac:dyDescent="0.25">
      <c r="A603" s="153"/>
      <c r="B603" s="153"/>
      <c r="C603" s="153"/>
      <c r="D603" s="154"/>
      <c r="E603" s="154"/>
      <c r="F603" s="154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  <c r="AA603" s="145"/>
    </row>
    <row r="604" spans="1:27" ht="19.5" customHeight="1" x14ac:dyDescent="0.25">
      <c r="A604" s="153"/>
      <c r="B604" s="153"/>
      <c r="C604" s="153"/>
      <c r="D604" s="154"/>
      <c r="E604" s="154"/>
      <c r="F604" s="154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  <c r="AA604" s="145"/>
    </row>
    <row r="605" spans="1:27" ht="19.5" customHeight="1" x14ac:dyDescent="0.25">
      <c r="A605" s="153"/>
      <c r="B605" s="153"/>
      <c r="C605" s="153"/>
      <c r="D605" s="154"/>
      <c r="E605" s="154"/>
      <c r="F605" s="154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  <c r="AA605" s="145"/>
    </row>
    <row r="606" spans="1:27" ht="19.5" customHeight="1" x14ac:dyDescent="0.25">
      <c r="A606" s="153"/>
      <c r="B606" s="153"/>
      <c r="C606" s="153"/>
      <c r="D606" s="154"/>
      <c r="E606" s="154"/>
      <c r="F606" s="154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  <c r="AA606" s="145"/>
    </row>
    <row r="607" spans="1:27" ht="19.5" customHeight="1" x14ac:dyDescent="0.25">
      <c r="A607" s="153"/>
      <c r="B607" s="153"/>
      <c r="C607" s="153"/>
      <c r="D607" s="154"/>
      <c r="E607" s="154"/>
      <c r="F607" s="154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  <c r="AA607" s="145"/>
    </row>
    <row r="608" spans="1:27" ht="19.5" customHeight="1" x14ac:dyDescent="0.25">
      <c r="A608" s="153"/>
      <c r="B608" s="153"/>
      <c r="C608" s="153"/>
      <c r="D608" s="154"/>
      <c r="E608" s="154"/>
      <c r="F608" s="154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  <c r="AA608" s="145"/>
    </row>
    <row r="609" spans="1:27" ht="19.5" customHeight="1" x14ac:dyDescent="0.25">
      <c r="A609" s="153"/>
      <c r="B609" s="153"/>
      <c r="C609" s="153"/>
      <c r="D609" s="154"/>
      <c r="E609" s="154"/>
      <c r="F609" s="154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  <c r="AA609" s="145"/>
    </row>
    <row r="610" spans="1:27" ht="19.5" customHeight="1" x14ac:dyDescent="0.25">
      <c r="A610" s="153"/>
      <c r="B610" s="153"/>
      <c r="C610" s="153"/>
      <c r="D610" s="154"/>
      <c r="E610" s="154"/>
      <c r="F610" s="154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  <c r="AA610" s="145"/>
    </row>
    <row r="611" spans="1:27" ht="19.5" customHeight="1" x14ac:dyDescent="0.25">
      <c r="A611" s="153"/>
      <c r="B611" s="153"/>
      <c r="C611" s="153"/>
      <c r="D611" s="154"/>
      <c r="E611" s="154"/>
      <c r="F611" s="154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  <c r="AA611" s="145"/>
    </row>
    <row r="612" spans="1:27" ht="19.5" customHeight="1" x14ac:dyDescent="0.25">
      <c r="A612" s="153"/>
      <c r="B612" s="153"/>
      <c r="C612" s="153"/>
      <c r="D612" s="154"/>
      <c r="E612" s="154"/>
      <c r="F612" s="154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  <c r="AA612" s="145"/>
    </row>
    <row r="613" spans="1:27" ht="19.5" customHeight="1" x14ac:dyDescent="0.25">
      <c r="A613" s="153"/>
      <c r="B613" s="153"/>
      <c r="C613" s="153"/>
      <c r="D613" s="154"/>
      <c r="E613" s="154"/>
      <c r="F613" s="154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  <c r="AA613" s="145"/>
    </row>
    <row r="614" spans="1:27" ht="19.5" customHeight="1" x14ac:dyDescent="0.25">
      <c r="A614" s="153"/>
      <c r="B614" s="153"/>
      <c r="C614" s="153"/>
      <c r="D614" s="154"/>
      <c r="E614" s="154"/>
      <c r="F614" s="154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  <c r="AA614" s="145"/>
    </row>
    <row r="615" spans="1:27" ht="19.5" customHeight="1" x14ac:dyDescent="0.25">
      <c r="A615" s="153"/>
      <c r="B615" s="153"/>
      <c r="C615" s="153"/>
      <c r="D615" s="154"/>
      <c r="E615" s="154"/>
      <c r="F615" s="154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  <c r="AA615" s="145"/>
    </row>
    <row r="616" spans="1:27" ht="19.5" customHeight="1" x14ac:dyDescent="0.25">
      <c r="A616" s="153"/>
      <c r="B616" s="153"/>
      <c r="C616" s="153"/>
      <c r="D616" s="154"/>
      <c r="E616" s="154"/>
      <c r="F616" s="154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  <c r="AA616" s="145"/>
    </row>
    <row r="617" spans="1:27" ht="19.5" customHeight="1" x14ac:dyDescent="0.25">
      <c r="A617" s="153"/>
      <c r="B617" s="153"/>
      <c r="C617" s="153"/>
      <c r="D617" s="154"/>
      <c r="E617" s="154"/>
      <c r="F617" s="154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  <c r="AA617" s="145"/>
    </row>
    <row r="618" spans="1:27" ht="19.5" customHeight="1" x14ac:dyDescent="0.25">
      <c r="A618" s="153"/>
      <c r="B618" s="153"/>
      <c r="C618" s="153"/>
      <c r="D618" s="154"/>
      <c r="E618" s="154"/>
      <c r="F618" s="154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  <c r="AA618" s="145"/>
    </row>
    <row r="619" spans="1:27" ht="19.5" customHeight="1" x14ac:dyDescent="0.25">
      <c r="A619" s="153"/>
      <c r="B619" s="153"/>
      <c r="C619" s="153"/>
      <c r="D619" s="154"/>
      <c r="E619" s="154"/>
      <c r="F619" s="154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  <c r="AA619" s="145"/>
    </row>
    <row r="620" spans="1:27" ht="19.5" customHeight="1" x14ac:dyDescent="0.25">
      <c r="A620" s="153"/>
      <c r="B620" s="153"/>
      <c r="C620" s="153"/>
      <c r="D620" s="154"/>
      <c r="E620" s="154"/>
      <c r="F620" s="154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  <c r="AA620" s="145"/>
    </row>
    <row r="621" spans="1:27" ht="19.5" customHeight="1" x14ac:dyDescent="0.25">
      <c r="A621" s="153"/>
      <c r="B621" s="153"/>
      <c r="C621" s="153"/>
      <c r="D621" s="154"/>
      <c r="E621" s="154"/>
      <c r="F621" s="154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  <c r="AA621" s="145"/>
    </row>
    <row r="622" spans="1:27" ht="19.5" customHeight="1" x14ac:dyDescent="0.25">
      <c r="A622" s="153"/>
      <c r="B622" s="153"/>
      <c r="C622" s="153"/>
      <c r="D622" s="154"/>
      <c r="E622" s="154"/>
      <c r="F622" s="154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  <c r="AA622" s="145"/>
    </row>
    <row r="623" spans="1:27" ht="19.5" customHeight="1" x14ac:dyDescent="0.25">
      <c r="A623" s="153"/>
      <c r="B623" s="153"/>
      <c r="C623" s="153"/>
      <c r="D623" s="154"/>
      <c r="E623" s="154"/>
      <c r="F623" s="154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  <c r="AA623" s="145"/>
    </row>
    <row r="624" spans="1:27" ht="19.5" customHeight="1" x14ac:dyDescent="0.25">
      <c r="A624" s="153"/>
      <c r="B624" s="153"/>
      <c r="C624" s="153"/>
      <c r="D624" s="154"/>
      <c r="E624" s="154"/>
      <c r="F624" s="154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  <c r="AA624" s="145"/>
    </row>
    <row r="625" spans="1:27" ht="19.5" customHeight="1" x14ac:dyDescent="0.25">
      <c r="A625" s="153"/>
      <c r="B625" s="153"/>
      <c r="C625" s="153"/>
      <c r="D625" s="154"/>
      <c r="E625" s="154"/>
      <c r="F625" s="154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  <c r="AA625" s="145"/>
    </row>
    <row r="626" spans="1:27" ht="19.5" customHeight="1" x14ac:dyDescent="0.25">
      <c r="A626" s="153"/>
      <c r="B626" s="153"/>
      <c r="C626" s="153"/>
      <c r="D626" s="154"/>
      <c r="E626" s="154"/>
      <c r="F626" s="154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  <c r="AA626" s="145"/>
    </row>
    <row r="627" spans="1:27" ht="19.5" customHeight="1" x14ac:dyDescent="0.25">
      <c r="A627" s="153"/>
      <c r="B627" s="153"/>
      <c r="C627" s="153"/>
      <c r="D627" s="154"/>
      <c r="E627" s="154"/>
      <c r="F627" s="154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  <c r="AA627" s="145"/>
    </row>
    <row r="628" spans="1:27" ht="19.5" customHeight="1" x14ac:dyDescent="0.25">
      <c r="A628" s="153"/>
      <c r="B628" s="153"/>
      <c r="C628" s="153"/>
      <c r="D628" s="154"/>
      <c r="E628" s="154"/>
      <c r="F628" s="154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  <c r="AA628" s="145"/>
    </row>
    <row r="629" spans="1:27" ht="19.5" customHeight="1" x14ac:dyDescent="0.25">
      <c r="A629" s="153"/>
      <c r="B629" s="153"/>
      <c r="C629" s="153"/>
      <c r="D629" s="154"/>
      <c r="E629" s="154"/>
      <c r="F629" s="154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  <c r="AA629" s="145"/>
    </row>
    <row r="630" spans="1:27" ht="19.5" customHeight="1" x14ac:dyDescent="0.25">
      <c r="A630" s="153"/>
      <c r="B630" s="153"/>
      <c r="C630" s="153"/>
      <c r="D630" s="154"/>
      <c r="E630" s="154"/>
      <c r="F630" s="154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  <c r="AA630" s="145"/>
    </row>
    <row r="631" spans="1:27" ht="19.5" customHeight="1" x14ac:dyDescent="0.25">
      <c r="A631" s="153"/>
      <c r="B631" s="153"/>
      <c r="C631" s="153"/>
      <c r="D631" s="154"/>
      <c r="E631" s="154"/>
      <c r="F631" s="154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  <c r="AA631" s="145"/>
    </row>
    <row r="632" spans="1:27" ht="19.5" customHeight="1" x14ac:dyDescent="0.25">
      <c r="A632" s="153"/>
      <c r="B632" s="153"/>
      <c r="C632" s="153"/>
      <c r="D632" s="154"/>
      <c r="E632" s="154"/>
      <c r="F632" s="154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  <c r="AA632" s="145"/>
    </row>
    <row r="633" spans="1:27" ht="19.5" customHeight="1" x14ac:dyDescent="0.25">
      <c r="A633" s="153"/>
      <c r="B633" s="153"/>
      <c r="C633" s="153"/>
      <c r="D633" s="154"/>
      <c r="E633" s="154"/>
      <c r="F633" s="154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  <c r="AA633" s="145"/>
    </row>
    <row r="634" spans="1:27" ht="19.5" customHeight="1" x14ac:dyDescent="0.25">
      <c r="A634" s="153"/>
      <c r="B634" s="153"/>
      <c r="C634" s="153"/>
      <c r="D634" s="154"/>
      <c r="E634" s="154"/>
      <c r="F634" s="154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  <c r="AA634" s="145"/>
    </row>
    <row r="635" spans="1:27" ht="19.5" customHeight="1" x14ac:dyDescent="0.25">
      <c r="A635" s="153"/>
      <c r="B635" s="153"/>
      <c r="C635" s="153"/>
      <c r="D635" s="154"/>
      <c r="E635" s="154"/>
      <c r="F635" s="154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  <c r="AA635" s="145"/>
    </row>
    <row r="636" spans="1:27" ht="19.5" customHeight="1" x14ac:dyDescent="0.25">
      <c r="A636" s="153"/>
      <c r="B636" s="153"/>
      <c r="C636" s="153"/>
      <c r="D636" s="154"/>
      <c r="E636" s="154"/>
      <c r="F636" s="154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  <c r="AA636" s="145"/>
    </row>
    <row r="637" spans="1:27" ht="19.5" customHeight="1" x14ac:dyDescent="0.25">
      <c r="A637" s="153"/>
      <c r="B637" s="153"/>
      <c r="C637" s="153"/>
      <c r="D637" s="154"/>
      <c r="E637" s="154"/>
      <c r="F637" s="154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  <c r="AA637" s="145"/>
    </row>
    <row r="638" spans="1:27" ht="19.5" customHeight="1" x14ac:dyDescent="0.25">
      <c r="A638" s="153"/>
      <c r="B638" s="153"/>
      <c r="C638" s="153"/>
      <c r="D638" s="154"/>
      <c r="E638" s="154"/>
      <c r="F638" s="154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  <c r="AA638" s="145"/>
    </row>
    <row r="639" spans="1:27" ht="19.5" customHeight="1" x14ac:dyDescent="0.25">
      <c r="A639" s="153"/>
      <c r="B639" s="153"/>
      <c r="C639" s="153"/>
      <c r="D639" s="154"/>
      <c r="E639" s="154"/>
      <c r="F639" s="154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  <c r="AA639" s="145"/>
    </row>
    <row r="640" spans="1:27" ht="19.5" customHeight="1" x14ac:dyDescent="0.25">
      <c r="A640" s="153"/>
      <c r="B640" s="153"/>
      <c r="C640" s="153"/>
      <c r="D640" s="154"/>
      <c r="E640" s="154"/>
      <c r="F640" s="154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  <c r="AA640" s="145"/>
    </row>
    <row r="641" spans="1:27" ht="19.5" customHeight="1" x14ac:dyDescent="0.25">
      <c r="A641" s="153"/>
      <c r="B641" s="153"/>
      <c r="C641" s="153"/>
      <c r="D641" s="154"/>
      <c r="E641" s="154"/>
      <c r="F641" s="154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  <c r="AA641" s="145"/>
    </row>
    <row r="642" spans="1:27" ht="19.5" customHeight="1" x14ac:dyDescent="0.25">
      <c r="A642" s="153"/>
      <c r="B642" s="153"/>
      <c r="C642" s="153"/>
      <c r="D642" s="154"/>
      <c r="E642" s="154"/>
      <c r="F642" s="154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  <c r="AA642" s="145"/>
    </row>
    <row r="643" spans="1:27" ht="19.5" customHeight="1" x14ac:dyDescent="0.25">
      <c r="A643" s="153"/>
      <c r="B643" s="153"/>
      <c r="C643" s="153"/>
      <c r="D643" s="154"/>
      <c r="E643" s="154"/>
      <c r="F643" s="154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  <c r="AA643" s="145"/>
    </row>
    <row r="644" spans="1:27" ht="19.5" customHeight="1" x14ac:dyDescent="0.25">
      <c r="A644" s="153"/>
      <c r="B644" s="153"/>
      <c r="C644" s="153"/>
      <c r="D644" s="154"/>
      <c r="E644" s="154"/>
      <c r="F644" s="154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  <c r="AA644" s="145"/>
    </row>
    <row r="645" spans="1:27" ht="19.5" customHeight="1" x14ac:dyDescent="0.25">
      <c r="A645" s="153"/>
      <c r="B645" s="153"/>
      <c r="C645" s="153"/>
      <c r="D645" s="154"/>
      <c r="E645" s="154"/>
      <c r="F645" s="154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  <c r="AA645" s="145"/>
    </row>
    <row r="646" spans="1:27" ht="19.5" customHeight="1" x14ac:dyDescent="0.25">
      <c r="A646" s="153"/>
      <c r="B646" s="153"/>
      <c r="C646" s="153"/>
      <c r="D646" s="154"/>
      <c r="E646" s="154"/>
      <c r="F646" s="154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  <c r="AA646" s="145"/>
    </row>
    <row r="647" spans="1:27" ht="19.5" customHeight="1" x14ac:dyDescent="0.25">
      <c r="A647" s="153"/>
      <c r="B647" s="153"/>
      <c r="C647" s="153"/>
      <c r="D647" s="154"/>
      <c r="E647" s="154"/>
      <c r="F647" s="154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  <c r="AA647" s="145"/>
    </row>
    <row r="648" spans="1:27" ht="19.5" customHeight="1" x14ac:dyDescent="0.25">
      <c r="A648" s="153"/>
      <c r="B648" s="153"/>
      <c r="C648" s="153"/>
      <c r="D648" s="154"/>
      <c r="E648" s="154"/>
      <c r="F648" s="154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  <c r="AA648" s="145"/>
    </row>
    <row r="649" spans="1:27" ht="19.5" customHeight="1" x14ac:dyDescent="0.25">
      <c r="A649" s="153"/>
      <c r="B649" s="153"/>
      <c r="C649" s="153"/>
      <c r="D649" s="154"/>
      <c r="E649" s="154"/>
      <c r="F649" s="154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  <c r="AA649" s="145"/>
    </row>
    <row r="650" spans="1:27" ht="19.5" customHeight="1" x14ac:dyDescent="0.25">
      <c r="A650" s="153"/>
      <c r="B650" s="153"/>
      <c r="C650" s="153"/>
      <c r="D650" s="154"/>
      <c r="E650" s="154"/>
      <c r="F650" s="154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  <c r="AA650" s="145"/>
    </row>
    <row r="651" spans="1:27" ht="19.5" customHeight="1" x14ac:dyDescent="0.25">
      <c r="A651" s="153"/>
      <c r="B651" s="153"/>
      <c r="C651" s="153"/>
      <c r="D651" s="154"/>
      <c r="E651" s="154"/>
      <c r="F651" s="154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  <c r="AA651" s="145"/>
    </row>
    <row r="652" spans="1:27" ht="19.5" customHeight="1" x14ac:dyDescent="0.25">
      <c r="A652" s="153"/>
      <c r="B652" s="153"/>
      <c r="C652" s="153"/>
      <c r="D652" s="154"/>
      <c r="E652" s="154"/>
      <c r="F652" s="154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  <c r="AA652" s="145"/>
    </row>
    <row r="653" spans="1:27" ht="19.5" customHeight="1" x14ac:dyDescent="0.25">
      <c r="A653" s="153"/>
      <c r="B653" s="153"/>
      <c r="C653" s="153"/>
      <c r="D653" s="154"/>
      <c r="E653" s="154"/>
      <c r="F653" s="154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  <c r="AA653" s="145"/>
    </row>
    <row r="654" spans="1:27" ht="19.5" customHeight="1" x14ac:dyDescent="0.25">
      <c r="A654" s="153"/>
      <c r="B654" s="153"/>
      <c r="C654" s="153"/>
      <c r="D654" s="154"/>
      <c r="E654" s="154"/>
      <c r="F654" s="154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  <c r="AA654" s="145"/>
    </row>
    <row r="655" spans="1:27" ht="19.5" customHeight="1" x14ac:dyDescent="0.25">
      <c r="A655" s="153"/>
      <c r="B655" s="153"/>
      <c r="C655" s="153"/>
      <c r="D655" s="154"/>
      <c r="E655" s="154"/>
      <c r="F655" s="154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  <c r="AA655" s="145"/>
    </row>
    <row r="656" spans="1:27" ht="19.5" customHeight="1" x14ac:dyDescent="0.25">
      <c r="A656" s="153"/>
      <c r="B656" s="153"/>
      <c r="C656" s="153"/>
      <c r="D656" s="154"/>
      <c r="E656" s="154"/>
      <c r="F656" s="154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  <c r="AA656" s="145"/>
    </row>
    <row r="657" spans="1:27" ht="19.5" customHeight="1" x14ac:dyDescent="0.25">
      <c r="A657" s="153"/>
      <c r="B657" s="153"/>
      <c r="C657" s="153"/>
      <c r="D657" s="154"/>
      <c r="E657" s="154"/>
      <c r="F657" s="154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  <c r="AA657" s="145"/>
    </row>
    <row r="658" spans="1:27" ht="19.5" customHeight="1" x14ac:dyDescent="0.25">
      <c r="A658" s="153"/>
      <c r="B658" s="153"/>
      <c r="C658" s="153"/>
      <c r="D658" s="154"/>
      <c r="E658" s="154"/>
      <c r="F658" s="154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  <c r="AA658" s="145"/>
    </row>
    <row r="659" spans="1:27" ht="19.5" customHeight="1" x14ac:dyDescent="0.25">
      <c r="A659" s="153"/>
      <c r="B659" s="153"/>
      <c r="C659" s="153"/>
      <c r="D659" s="154"/>
      <c r="E659" s="154"/>
      <c r="F659" s="154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  <c r="AA659" s="145"/>
    </row>
    <row r="660" spans="1:27" ht="19.5" customHeight="1" x14ac:dyDescent="0.25">
      <c r="A660" s="153"/>
      <c r="B660" s="153"/>
      <c r="C660" s="153"/>
      <c r="D660" s="154"/>
      <c r="E660" s="154"/>
      <c r="F660" s="154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  <c r="AA660" s="145"/>
    </row>
    <row r="661" spans="1:27" ht="19.5" customHeight="1" x14ac:dyDescent="0.25">
      <c r="A661" s="153"/>
      <c r="B661" s="153"/>
      <c r="C661" s="153"/>
      <c r="D661" s="154"/>
      <c r="E661" s="154"/>
      <c r="F661" s="154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  <c r="AA661" s="145"/>
    </row>
    <row r="662" spans="1:27" ht="19.5" customHeight="1" x14ac:dyDescent="0.25">
      <c r="A662" s="153"/>
      <c r="B662" s="153"/>
      <c r="C662" s="153"/>
      <c r="D662" s="154"/>
      <c r="E662" s="154"/>
      <c r="F662" s="154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  <c r="AA662" s="145"/>
    </row>
    <row r="663" spans="1:27" ht="19.5" customHeight="1" x14ac:dyDescent="0.25">
      <c r="A663" s="153"/>
      <c r="B663" s="153"/>
      <c r="C663" s="153"/>
      <c r="D663" s="154"/>
      <c r="E663" s="154"/>
      <c r="F663" s="154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  <c r="AA663" s="145"/>
    </row>
    <row r="664" spans="1:27" ht="19.5" customHeight="1" x14ac:dyDescent="0.25">
      <c r="A664" s="153"/>
      <c r="B664" s="153"/>
      <c r="C664" s="153"/>
      <c r="D664" s="154"/>
      <c r="E664" s="154"/>
      <c r="F664" s="154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  <c r="AA664" s="145"/>
    </row>
    <row r="665" spans="1:27" ht="19.5" customHeight="1" x14ac:dyDescent="0.25">
      <c r="A665" s="153"/>
      <c r="B665" s="153"/>
      <c r="C665" s="153"/>
      <c r="D665" s="154"/>
      <c r="E665" s="154"/>
      <c r="F665" s="154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  <c r="AA665" s="145"/>
    </row>
    <row r="666" spans="1:27" ht="19.5" customHeight="1" x14ac:dyDescent="0.25">
      <c r="A666" s="153"/>
      <c r="B666" s="153"/>
      <c r="C666" s="153"/>
      <c r="D666" s="154"/>
      <c r="E666" s="154"/>
      <c r="F666" s="154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  <c r="AA666" s="145"/>
    </row>
    <row r="667" spans="1:27" ht="19.5" customHeight="1" x14ac:dyDescent="0.25">
      <c r="A667" s="153"/>
      <c r="B667" s="153"/>
      <c r="C667" s="153"/>
      <c r="D667" s="154"/>
      <c r="E667" s="154"/>
      <c r="F667" s="154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  <c r="AA667" s="145"/>
    </row>
    <row r="668" spans="1:27" ht="19.5" customHeight="1" x14ac:dyDescent="0.25">
      <c r="A668" s="153"/>
      <c r="B668" s="153"/>
      <c r="C668" s="153"/>
      <c r="D668" s="154"/>
      <c r="E668" s="154"/>
      <c r="F668" s="154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  <c r="AA668" s="145"/>
    </row>
    <row r="669" spans="1:27" ht="19.5" customHeight="1" x14ac:dyDescent="0.25">
      <c r="A669" s="153"/>
      <c r="B669" s="153"/>
      <c r="C669" s="153"/>
      <c r="D669" s="154"/>
      <c r="E669" s="154"/>
      <c r="F669" s="154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  <c r="AA669" s="145"/>
    </row>
    <row r="670" spans="1:27" ht="19.5" customHeight="1" x14ac:dyDescent="0.25">
      <c r="A670" s="153"/>
      <c r="B670" s="153"/>
      <c r="C670" s="153"/>
      <c r="D670" s="154"/>
      <c r="E670" s="154"/>
      <c r="F670" s="154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  <c r="AA670" s="145"/>
    </row>
    <row r="671" spans="1:27" ht="19.5" customHeight="1" x14ac:dyDescent="0.25">
      <c r="A671" s="153"/>
      <c r="B671" s="153"/>
      <c r="C671" s="153"/>
      <c r="D671" s="154"/>
      <c r="E671" s="154"/>
      <c r="F671" s="154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  <c r="AA671" s="145"/>
    </row>
    <row r="672" spans="1:27" ht="19.5" customHeight="1" x14ac:dyDescent="0.25">
      <c r="A672" s="153"/>
      <c r="B672" s="153"/>
      <c r="C672" s="153"/>
      <c r="D672" s="154"/>
      <c r="E672" s="154"/>
      <c r="F672" s="154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  <c r="AA672" s="145"/>
    </row>
    <row r="673" spans="1:27" ht="19.5" customHeight="1" x14ac:dyDescent="0.25">
      <c r="A673" s="153"/>
      <c r="B673" s="153"/>
      <c r="C673" s="153"/>
      <c r="D673" s="154"/>
      <c r="E673" s="154"/>
      <c r="F673" s="154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</row>
    <row r="674" spans="1:27" ht="19.5" customHeight="1" x14ac:dyDescent="0.25">
      <c r="A674" s="153"/>
      <c r="B674" s="153"/>
      <c r="C674" s="153"/>
      <c r="D674" s="154"/>
      <c r="E674" s="154"/>
      <c r="F674" s="154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  <c r="AA674" s="145"/>
    </row>
    <row r="675" spans="1:27" ht="19.5" customHeight="1" x14ac:dyDescent="0.25">
      <c r="A675" s="153"/>
      <c r="B675" s="153"/>
      <c r="C675" s="153"/>
      <c r="D675" s="154"/>
      <c r="E675" s="154"/>
      <c r="F675" s="154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  <c r="AA675" s="145"/>
    </row>
    <row r="676" spans="1:27" ht="19.5" customHeight="1" x14ac:dyDescent="0.25">
      <c r="A676" s="153"/>
      <c r="B676" s="153"/>
      <c r="C676" s="153"/>
      <c r="D676" s="154"/>
      <c r="E676" s="154"/>
      <c r="F676" s="154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  <c r="AA676" s="145"/>
    </row>
    <row r="677" spans="1:27" ht="19.5" customHeight="1" x14ac:dyDescent="0.25">
      <c r="A677" s="153"/>
      <c r="B677" s="153"/>
      <c r="C677" s="153"/>
      <c r="D677" s="154"/>
      <c r="E677" s="154"/>
      <c r="F677" s="154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  <c r="AA677" s="145"/>
    </row>
    <row r="678" spans="1:27" ht="19.5" customHeight="1" x14ac:dyDescent="0.25">
      <c r="A678" s="153"/>
      <c r="B678" s="153"/>
      <c r="C678" s="153"/>
      <c r="D678" s="154"/>
      <c r="E678" s="154"/>
      <c r="F678" s="154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  <c r="AA678" s="145"/>
    </row>
    <row r="679" spans="1:27" ht="19.5" customHeight="1" x14ac:dyDescent="0.25">
      <c r="A679" s="153"/>
      <c r="B679" s="153"/>
      <c r="C679" s="153"/>
      <c r="D679" s="154"/>
      <c r="E679" s="154"/>
      <c r="F679" s="154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  <c r="AA679" s="145"/>
    </row>
    <row r="680" spans="1:27" ht="19.5" customHeight="1" x14ac:dyDescent="0.25">
      <c r="A680" s="153"/>
      <c r="B680" s="153"/>
      <c r="C680" s="153"/>
      <c r="D680" s="154"/>
      <c r="E680" s="154"/>
      <c r="F680" s="154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  <c r="AA680" s="145"/>
    </row>
    <row r="681" spans="1:27" ht="19.5" customHeight="1" x14ac:dyDescent="0.25">
      <c r="A681" s="153"/>
      <c r="B681" s="153"/>
      <c r="C681" s="153"/>
      <c r="D681" s="154"/>
      <c r="E681" s="154"/>
      <c r="F681" s="154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  <c r="AA681" s="145"/>
    </row>
    <row r="682" spans="1:27" ht="19.5" customHeight="1" x14ac:dyDescent="0.25">
      <c r="A682" s="153"/>
      <c r="B682" s="153"/>
      <c r="C682" s="153"/>
      <c r="D682" s="154"/>
      <c r="E682" s="154"/>
      <c r="F682" s="154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  <c r="AA682" s="145"/>
    </row>
    <row r="683" spans="1:27" ht="19.5" customHeight="1" x14ac:dyDescent="0.25">
      <c r="A683" s="153"/>
      <c r="B683" s="153"/>
      <c r="C683" s="153"/>
      <c r="D683" s="154"/>
      <c r="E683" s="154"/>
      <c r="F683" s="154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  <c r="AA683" s="145"/>
    </row>
    <row r="684" spans="1:27" ht="19.5" customHeight="1" x14ac:dyDescent="0.25">
      <c r="A684" s="153"/>
      <c r="B684" s="153"/>
      <c r="C684" s="153"/>
      <c r="D684" s="154"/>
      <c r="E684" s="154"/>
      <c r="F684" s="154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  <c r="AA684" s="145"/>
    </row>
    <row r="685" spans="1:27" ht="19.5" customHeight="1" x14ac:dyDescent="0.25">
      <c r="A685" s="153"/>
      <c r="B685" s="153"/>
      <c r="C685" s="153"/>
      <c r="D685" s="154"/>
      <c r="E685" s="154"/>
      <c r="F685" s="154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  <c r="AA685" s="145"/>
    </row>
    <row r="686" spans="1:27" ht="19.5" customHeight="1" x14ac:dyDescent="0.25">
      <c r="A686" s="153"/>
      <c r="B686" s="153"/>
      <c r="C686" s="153"/>
      <c r="D686" s="154"/>
      <c r="E686" s="154"/>
      <c r="F686" s="154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  <c r="AA686" s="145"/>
    </row>
    <row r="687" spans="1:27" ht="19.5" customHeight="1" x14ac:dyDescent="0.25">
      <c r="A687" s="153"/>
      <c r="B687" s="153"/>
      <c r="C687" s="153"/>
      <c r="D687" s="154"/>
      <c r="E687" s="154"/>
      <c r="F687" s="154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  <c r="AA687" s="145"/>
    </row>
    <row r="688" spans="1:27" ht="19.5" customHeight="1" x14ac:dyDescent="0.25">
      <c r="A688" s="153"/>
      <c r="B688" s="153"/>
      <c r="C688" s="153"/>
      <c r="D688" s="154"/>
      <c r="E688" s="154"/>
      <c r="F688" s="154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  <c r="AA688" s="145"/>
    </row>
    <row r="689" spans="1:27" ht="19.5" customHeight="1" x14ac:dyDescent="0.25">
      <c r="A689" s="153"/>
      <c r="B689" s="153"/>
      <c r="C689" s="153"/>
      <c r="D689" s="154"/>
      <c r="E689" s="154"/>
      <c r="F689" s="154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  <c r="AA689" s="145"/>
    </row>
    <row r="690" spans="1:27" ht="19.5" customHeight="1" x14ac:dyDescent="0.25">
      <c r="A690" s="153"/>
      <c r="B690" s="153"/>
      <c r="C690" s="153"/>
      <c r="D690" s="154"/>
      <c r="E690" s="154"/>
      <c r="F690" s="154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  <c r="AA690" s="145"/>
    </row>
    <row r="691" spans="1:27" ht="19.5" customHeight="1" x14ac:dyDescent="0.25">
      <c r="A691" s="153"/>
      <c r="B691" s="153"/>
      <c r="C691" s="153"/>
      <c r="D691" s="154"/>
      <c r="E691" s="154"/>
      <c r="F691" s="154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  <c r="AA691" s="145"/>
    </row>
    <row r="692" spans="1:27" ht="19.5" customHeight="1" x14ac:dyDescent="0.25">
      <c r="A692" s="153"/>
      <c r="B692" s="153"/>
      <c r="C692" s="153"/>
      <c r="D692" s="154"/>
      <c r="E692" s="154"/>
      <c r="F692" s="154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  <c r="AA692" s="145"/>
    </row>
    <row r="693" spans="1:27" ht="19.5" customHeight="1" x14ac:dyDescent="0.25">
      <c r="A693" s="153"/>
      <c r="B693" s="153"/>
      <c r="C693" s="153"/>
      <c r="D693" s="154"/>
      <c r="E693" s="154"/>
      <c r="F693" s="154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  <c r="AA693" s="145"/>
    </row>
    <row r="694" spans="1:27" ht="19.5" customHeight="1" x14ac:dyDescent="0.25">
      <c r="A694" s="153"/>
      <c r="B694" s="153"/>
      <c r="C694" s="153"/>
      <c r="D694" s="154"/>
      <c r="E694" s="154"/>
      <c r="F694" s="154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  <c r="AA694" s="145"/>
    </row>
    <row r="695" spans="1:27" ht="19.5" customHeight="1" x14ac:dyDescent="0.25">
      <c r="A695" s="153"/>
      <c r="B695" s="153"/>
      <c r="C695" s="153"/>
      <c r="D695" s="154"/>
      <c r="E695" s="154"/>
      <c r="F695" s="154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  <c r="AA695" s="145"/>
    </row>
    <row r="696" spans="1:27" ht="19.5" customHeight="1" x14ac:dyDescent="0.25">
      <c r="A696" s="153"/>
      <c r="B696" s="153"/>
      <c r="C696" s="153"/>
      <c r="D696" s="154"/>
      <c r="E696" s="154"/>
      <c r="F696" s="154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  <c r="AA696" s="145"/>
    </row>
    <row r="697" spans="1:27" ht="19.5" customHeight="1" x14ac:dyDescent="0.25">
      <c r="A697" s="153"/>
      <c r="B697" s="153"/>
      <c r="C697" s="153"/>
      <c r="D697" s="154"/>
      <c r="E697" s="154"/>
      <c r="F697" s="154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  <c r="AA697" s="145"/>
    </row>
    <row r="698" spans="1:27" ht="19.5" customHeight="1" x14ac:dyDescent="0.25">
      <c r="A698" s="153"/>
      <c r="B698" s="153"/>
      <c r="C698" s="153"/>
      <c r="D698" s="154"/>
      <c r="E698" s="154"/>
      <c r="F698" s="154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  <c r="AA698" s="145"/>
    </row>
    <row r="699" spans="1:27" ht="19.5" customHeight="1" x14ac:dyDescent="0.25">
      <c r="A699" s="153"/>
      <c r="B699" s="153"/>
      <c r="C699" s="153"/>
      <c r="D699" s="154"/>
      <c r="E699" s="154"/>
      <c r="F699" s="154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  <c r="AA699" s="145"/>
    </row>
    <row r="700" spans="1:27" ht="19.5" customHeight="1" x14ac:dyDescent="0.25">
      <c r="A700" s="153"/>
      <c r="B700" s="153"/>
      <c r="C700" s="153"/>
      <c r="D700" s="154"/>
      <c r="E700" s="154"/>
      <c r="F700" s="154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  <c r="AA700" s="145"/>
    </row>
    <row r="701" spans="1:27" ht="19.5" customHeight="1" x14ac:dyDescent="0.25">
      <c r="A701" s="153"/>
      <c r="B701" s="153"/>
      <c r="C701" s="153"/>
      <c r="D701" s="154"/>
      <c r="E701" s="154"/>
      <c r="F701" s="154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  <c r="AA701" s="145"/>
    </row>
    <row r="702" spans="1:27" ht="19.5" customHeight="1" x14ac:dyDescent="0.25">
      <c r="A702" s="153"/>
      <c r="B702" s="153"/>
      <c r="C702" s="153"/>
      <c r="D702" s="154"/>
      <c r="E702" s="154"/>
      <c r="F702" s="154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  <c r="AA702" s="145"/>
    </row>
    <row r="703" spans="1:27" ht="19.5" customHeight="1" x14ac:dyDescent="0.25">
      <c r="A703" s="153"/>
      <c r="B703" s="153"/>
      <c r="C703" s="153"/>
      <c r="D703" s="154"/>
      <c r="E703" s="154"/>
      <c r="F703" s="154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  <c r="AA703" s="145"/>
    </row>
    <row r="704" spans="1:27" ht="19.5" customHeight="1" x14ac:dyDescent="0.25">
      <c r="A704" s="153"/>
      <c r="B704" s="153"/>
      <c r="C704" s="153"/>
      <c r="D704" s="154"/>
      <c r="E704" s="154"/>
      <c r="F704" s="154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  <c r="AA704" s="145"/>
    </row>
    <row r="705" spans="1:27" ht="19.5" customHeight="1" x14ac:dyDescent="0.25">
      <c r="A705" s="153"/>
      <c r="B705" s="153"/>
      <c r="C705" s="153"/>
      <c r="D705" s="154"/>
      <c r="E705" s="154"/>
      <c r="F705" s="154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  <c r="AA705" s="145"/>
    </row>
    <row r="706" spans="1:27" ht="19.5" customHeight="1" x14ac:dyDescent="0.25">
      <c r="A706" s="153"/>
      <c r="B706" s="153"/>
      <c r="C706" s="153"/>
      <c r="D706" s="154"/>
      <c r="E706" s="154"/>
      <c r="F706" s="154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  <c r="AA706" s="145"/>
    </row>
    <row r="707" spans="1:27" ht="19.5" customHeight="1" x14ac:dyDescent="0.25">
      <c r="A707" s="153"/>
      <c r="B707" s="153"/>
      <c r="C707" s="153"/>
      <c r="D707" s="154"/>
      <c r="E707" s="154"/>
      <c r="F707" s="154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  <c r="AA707" s="145"/>
    </row>
    <row r="708" spans="1:27" ht="19.5" customHeight="1" x14ac:dyDescent="0.25">
      <c r="A708" s="153"/>
      <c r="B708" s="153"/>
      <c r="C708" s="153"/>
      <c r="D708" s="154"/>
      <c r="E708" s="154"/>
      <c r="F708" s="154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  <c r="AA708" s="145"/>
    </row>
    <row r="709" spans="1:27" ht="19.5" customHeight="1" x14ac:dyDescent="0.25">
      <c r="A709" s="153"/>
      <c r="B709" s="153"/>
      <c r="C709" s="153"/>
      <c r="D709" s="154"/>
      <c r="E709" s="154"/>
      <c r="F709" s="154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  <c r="AA709" s="145"/>
    </row>
    <row r="710" spans="1:27" ht="19.5" customHeight="1" x14ac:dyDescent="0.25">
      <c r="A710" s="153"/>
      <c r="B710" s="153"/>
      <c r="C710" s="153"/>
      <c r="D710" s="154"/>
      <c r="E710" s="154"/>
      <c r="F710" s="154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  <c r="AA710" s="145"/>
    </row>
    <row r="711" spans="1:27" ht="19.5" customHeight="1" x14ac:dyDescent="0.25">
      <c r="A711" s="153"/>
      <c r="B711" s="153"/>
      <c r="C711" s="153"/>
      <c r="D711" s="154"/>
      <c r="E711" s="154"/>
      <c r="F711" s="154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  <c r="AA711" s="145"/>
    </row>
    <row r="712" spans="1:27" ht="19.5" customHeight="1" x14ac:dyDescent="0.25">
      <c r="A712" s="153"/>
      <c r="B712" s="153"/>
      <c r="C712" s="153"/>
      <c r="D712" s="154"/>
      <c r="E712" s="154"/>
      <c r="F712" s="154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  <c r="AA712" s="145"/>
    </row>
    <row r="713" spans="1:27" ht="19.5" customHeight="1" x14ac:dyDescent="0.25">
      <c r="A713" s="153"/>
      <c r="B713" s="153"/>
      <c r="C713" s="153"/>
      <c r="D713" s="154"/>
      <c r="E713" s="154"/>
      <c r="F713" s="154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  <c r="AA713" s="145"/>
    </row>
    <row r="714" spans="1:27" ht="19.5" customHeight="1" x14ac:dyDescent="0.25">
      <c r="A714" s="153"/>
      <c r="B714" s="153"/>
      <c r="C714" s="153"/>
      <c r="D714" s="154"/>
      <c r="E714" s="154"/>
      <c r="F714" s="154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  <c r="AA714" s="145"/>
    </row>
    <row r="715" spans="1:27" ht="19.5" customHeight="1" x14ac:dyDescent="0.25">
      <c r="A715" s="153"/>
      <c r="B715" s="153"/>
      <c r="C715" s="153"/>
      <c r="D715" s="154"/>
      <c r="E715" s="154"/>
      <c r="F715" s="154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  <c r="AA715" s="145"/>
    </row>
    <row r="716" spans="1:27" ht="19.5" customHeight="1" x14ac:dyDescent="0.25">
      <c r="A716" s="153"/>
      <c r="B716" s="153"/>
      <c r="C716" s="153"/>
      <c r="D716" s="154"/>
      <c r="E716" s="154"/>
      <c r="F716" s="154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  <c r="AA716" s="145"/>
    </row>
    <row r="717" spans="1:27" ht="19.5" customHeight="1" x14ac:dyDescent="0.25">
      <c r="A717" s="153"/>
      <c r="B717" s="153"/>
      <c r="C717" s="153"/>
      <c r="D717" s="154"/>
      <c r="E717" s="154"/>
      <c r="F717" s="154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  <c r="AA717" s="145"/>
    </row>
    <row r="718" spans="1:27" ht="19.5" customHeight="1" x14ac:dyDescent="0.25">
      <c r="A718" s="153"/>
      <c r="B718" s="153"/>
      <c r="C718" s="153"/>
      <c r="D718" s="154"/>
      <c r="E718" s="154"/>
      <c r="F718" s="154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  <c r="AA718" s="145"/>
    </row>
    <row r="719" spans="1:27" ht="19.5" customHeight="1" x14ac:dyDescent="0.25">
      <c r="A719" s="153"/>
      <c r="B719" s="153"/>
      <c r="C719" s="153"/>
      <c r="D719" s="154"/>
      <c r="E719" s="154"/>
      <c r="F719" s="154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  <c r="AA719" s="145"/>
    </row>
    <row r="720" spans="1:27" ht="19.5" customHeight="1" x14ac:dyDescent="0.25">
      <c r="A720" s="153"/>
      <c r="B720" s="153"/>
      <c r="C720" s="153"/>
      <c r="D720" s="154"/>
      <c r="E720" s="154"/>
      <c r="F720" s="154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  <c r="AA720" s="145"/>
    </row>
    <row r="721" spans="1:27" ht="19.5" customHeight="1" x14ac:dyDescent="0.25">
      <c r="A721" s="153"/>
      <c r="B721" s="153"/>
      <c r="C721" s="153"/>
      <c r="D721" s="154"/>
      <c r="E721" s="154"/>
      <c r="F721" s="154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  <c r="AA721" s="145"/>
    </row>
    <row r="722" spans="1:27" ht="19.5" customHeight="1" x14ac:dyDescent="0.25">
      <c r="A722" s="153"/>
      <c r="B722" s="153"/>
      <c r="C722" s="153"/>
      <c r="D722" s="154"/>
      <c r="E722" s="154"/>
      <c r="F722" s="154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  <c r="AA722" s="145"/>
    </row>
    <row r="723" spans="1:27" ht="19.5" customHeight="1" x14ac:dyDescent="0.25">
      <c r="A723" s="153"/>
      <c r="B723" s="153"/>
      <c r="C723" s="153"/>
      <c r="D723" s="154"/>
      <c r="E723" s="154"/>
      <c r="F723" s="154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  <c r="AA723" s="145"/>
    </row>
    <row r="724" spans="1:27" ht="19.5" customHeight="1" x14ac:dyDescent="0.25">
      <c r="A724" s="153"/>
      <c r="B724" s="153"/>
      <c r="C724" s="153"/>
      <c r="D724" s="154"/>
      <c r="E724" s="154"/>
      <c r="F724" s="154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  <c r="AA724" s="145"/>
    </row>
    <row r="725" spans="1:27" ht="19.5" customHeight="1" x14ac:dyDescent="0.25">
      <c r="A725" s="153"/>
      <c r="B725" s="153"/>
      <c r="C725" s="153"/>
      <c r="D725" s="154"/>
      <c r="E725" s="154"/>
      <c r="F725" s="154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  <c r="AA725" s="145"/>
    </row>
    <row r="726" spans="1:27" ht="19.5" customHeight="1" x14ac:dyDescent="0.25">
      <c r="A726" s="153"/>
      <c r="B726" s="153"/>
      <c r="C726" s="153"/>
      <c r="D726" s="154"/>
      <c r="E726" s="154"/>
      <c r="F726" s="154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  <c r="AA726" s="145"/>
    </row>
    <row r="727" spans="1:27" ht="19.5" customHeight="1" x14ac:dyDescent="0.25">
      <c r="A727" s="153"/>
      <c r="B727" s="153"/>
      <c r="C727" s="153"/>
      <c r="D727" s="154"/>
      <c r="E727" s="154"/>
      <c r="F727" s="154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  <c r="AA727" s="145"/>
    </row>
    <row r="728" spans="1:27" ht="19.5" customHeight="1" x14ac:dyDescent="0.25">
      <c r="A728" s="153"/>
      <c r="B728" s="153"/>
      <c r="C728" s="153"/>
      <c r="D728" s="154"/>
      <c r="E728" s="154"/>
      <c r="F728" s="154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  <c r="AA728" s="145"/>
    </row>
    <row r="729" spans="1:27" ht="19.5" customHeight="1" x14ac:dyDescent="0.25">
      <c r="A729" s="153"/>
      <c r="B729" s="153"/>
      <c r="C729" s="153"/>
      <c r="D729" s="154"/>
      <c r="E729" s="154"/>
      <c r="F729" s="154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  <c r="AA729" s="145"/>
    </row>
    <row r="730" spans="1:27" ht="19.5" customHeight="1" x14ac:dyDescent="0.25">
      <c r="A730" s="153"/>
      <c r="B730" s="153"/>
      <c r="C730" s="153"/>
      <c r="D730" s="154"/>
      <c r="E730" s="154"/>
      <c r="F730" s="154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  <c r="AA730" s="145"/>
    </row>
    <row r="731" spans="1:27" ht="19.5" customHeight="1" x14ac:dyDescent="0.25">
      <c r="A731" s="153"/>
      <c r="B731" s="153"/>
      <c r="C731" s="153"/>
      <c r="D731" s="154"/>
      <c r="E731" s="154"/>
      <c r="F731" s="154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  <c r="AA731" s="145"/>
    </row>
    <row r="732" spans="1:27" ht="19.5" customHeight="1" x14ac:dyDescent="0.25">
      <c r="A732" s="153"/>
      <c r="B732" s="153"/>
      <c r="C732" s="153"/>
      <c r="D732" s="154"/>
      <c r="E732" s="154"/>
      <c r="F732" s="154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  <c r="AA732" s="145"/>
    </row>
    <row r="733" spans="1:27" ht="19.5" customHeight="1" x14ac:dyDescent="0.25">
      <c r="A733" s="153"/>
      <c r="B733" s="153"/>
      <c r="C733" s="153"/>
      <c r="D733" s="154"/>
      <c r="E733" s="154"/>
      <c r="F733" s="154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  <c r="AA733" s="145"/>
    </row>
    <row r="734" spans="1:27" ht="19.5" customHeight="1" x14ac:dyDescent="0.25">
      <c r="A734" s="153"/>
      <c r="B734" s="153"/>
      <c r="C734" s="153"/>
      <c r="D734" s="154"/>
      <c r="E734" s="154"/>
      <c r="F734" s="154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  <c r="AA734" s="145"/>
    </row>
    <row r="735" spans="1:27" ht="19.5" customHeight="1" x14ac:dyDescent="0.25">
      <c r="A735" s="153"/>
      <c r="B735" s="153"/>
      <c r="C735" s="153"/>
      <c r="D735" s="154"/>
      <c r="E735" s="154"/>
      <c r="F735" s="154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  <c r="AA735" s="145"/>
    </row>
    <row r="736" spans="1:27" ht="19.5" customHeight="1" x14ac:dyDescent="0.25">
      <c r="A736" s="153"/>
      <c r="B736" s="153"/>
      <c r="C736" s="153"/>
      <c r="D736" s="154"/>
      <c r="E736" s="154"/>
      <c r="F736" s="154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  <c r="AA736" s="145"/>
    </row>
    <row r="737" spans="1:27" ht="19.5" customHeight="1" x14ac:dyDescent="0.25">
      <c r="A737" s="153"/>
      <c r="B737" s="153"/>
      <c r="C737" s="153"/>
      <c r="D737" s="154"/>
      <c r="E737" s="154"/>
      <c r="F737" s="154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  <c r="AA737" s="145"/>
    </row>
    <row r="738" spans="1:27" ht="19.5" customHeight="1" x14ac:dyDescent="0.25">
      <c r="A738" s="153"/>
      <c r="B738" s="153"/>
      <c r="C738" s="153"/>
      <c r="D738" s="154"/>
      <c r="E738" s="154"/>
      <c r="F738" s="154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  <c r="AA738" s="145"/>
    </row>
    <row r="739" spans="1:27" ht="19.5" customHeight="1" x14ac:dyDescent="0.25">
      <c r="A739" s="153"/>
      <c r="B739" s="153"/>
      <c r="C739" s="153"/>
      <c r="D739" s="154"/>
      <c r="E739" s="154"/>
      <c r="F739" s="154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  <c r="AA739" s="145"/>
    </row>
    <row r="740" spans="1:27" ht="19.5" customHeight="1" x14ac:dyDescent="0.25">
      <c r="A740" s="153"/>
      <c r="B740" s="153"/>
      <c r="C740" s="153"/>
      <c r="D740" s="154"/>
      <c r="E740" s="154"/>
      <c r="F740" s="154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  <c r="AA740" s="145"/>
    </row>
    <row r="741" spans="1:27" ht="19.5" customHeight="1" x14ac:dyDescent="0.25">
      <c r="A741" s="153"/>
      <c r="B741" s="153"/>
      <c r="C741" s="153"/>
      <c r="D741" s="154"/>
      <c r="E741" s="154"/>
      <c r="F741" s="154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  <c r="AA741" s="145"/>
    </row>
    <row r="742" spans="1:27" ht="19.5" customHeight="1" x14ac:dyDescent="0.25">
      <c r="A742" s="153"/>
      <c r="B742" s="153"/>
      <c r="C742" s="153"/>
      <c r="D742" s="154"/>
      <c r="E742" s="154"/>
      <c r="F742" s="154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  <c r="AA742" s="145"/>
    </row>
    <row r="743" spans="1:27" ht="19.5" customHeight="1" x14ac:dyDescent="0.25">
      <c r="A743" s="153"/>
      <c r="B743" s="153"/>
      <c r="C743" s="153"/>
      <c r="D743" s="154"/>
      <c r="E743" s="154"/>
      <c r="F743" s="154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  <c r="AA743" s="145"/>
    </row>
    <row r="744" spans="1:27" ht="19.5" customHeight="1" x14ac:dyDescent="0.25">
      <c r="A744" s="153"/>
      <c r="B744" s="153"/>
      <c r="C744" s="153"/>
      <c r="D744" s="154"/>
      <c r="E744" s="154"/>
      <c r="F744" s="154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  <c r="AA744" s="145"/>
    </row>
    <row r="745" spans="1:27" ht="19.5" customHeight="1" x14ac:dyDescent="0.25">
      <c r="A745" s="153"/>
      <c r="B745" s="153"/>
      <c r="C745" s="153"/>
      <c r="D745" s="154"/>
      <c r="E745" s="154"/>
      <c r="F745" s="154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  <c r="AA745" s="145"/>
    </row>
    <row r="746" spans="1:27" ht="19.5" customHeight="1" x14ac:dyDescent="0.25">
      <c r="A746" s="153"/>
      <c r="B746" s="153"/>
      <c r="C746" s="153"/>
      <c r="D746" s="154"/>
      <c r="E746" s="154"/>
      <c r="F746" s="154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  <c r="AA746" s="145"/>
    </row>
    <row r="747" spans="1:27" ht="19.5" customHeight="1" x14ac:dyDescent="0.25">
      <c r="A747" s="153"/>
      <c r="B747" s="153"/>
      <c r="C747" s="153"/>
      <c r="D747" s="154"/>
      <c r="E747" s="154"/>
      <c r="F747" s="154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  <c r="AA747" s="145"/>
    </row>
    <row r="748" spans="1:27" ht="19.5" customHeight="1" x14ac:dyDescent="0.25">
      <c r="A748" s="153"/>
      <c r="B748" s="153"/>
      <c r="C748" s="153"/>
      <c r="D748" s="154"/>
      <c r="E748" s="154"/>
      <c r="F748" s="154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  <c r="AA748" s="145"/>
    </row>
    <row r="749" spans="1:27" ht="19.5" customHeight="1" x14ac:dyDescent="0.25">
      <c r="A749" s="153"/>
      <c r="B749" s="153"/>
      <c r="C749" s="153"/>
      <c r="D749" s="154"/>
      <c r="E749" s="154"/>
      <c r="F749" s="154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  <c r="AA749" s="145"/>
    </row>
    <row r="750" spans="1:27" ht="19.5" customHeight="1" x14ac:dyDescent="0.25">
      <c r="A750" s="153"/>
      <c r="B750" s="153"/>
      <c r="C750" s="153"/>
      <c r="D750" s="154"/>
      <c r="E750" s="154"/>
      <c r="F750" s="154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  <c r="AA750" s="145"/>
    </row>
    <row r="751" spans="1:27" ht="19.5" customHeight="1" x14ac:dyDescent="0.25">
      <c r="A751" s="153"/>
      <c r="B751" s="153"/>
      <c r="C751" s="153"/>
      <c r="D751" s="154"/>
      <c r="E751" s="154"/>
      <c r="F751" s="154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  <c r="AA751" s="145"/>
    </row>
    <row r="752" spans="1:27" ht="19.5" customHeight="1" x14ac:dyDescent="0.25">
      <c r="A752" s="153"/>
      <c r="B752" s="153"/>
      <c r="C752" s="153"/>
      <c r="D752" s="154"/>
      <c r="E752" s="154"/>
      <c r="F752" s="154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  <c r="AA752" s="145"/>
    </row>
    <row r="753" spans="1:27" ht="19.5" customHeight="1" x14ac:dyDescent="0.25">
      <c r="A753" s="153"/>
      <c r="B753" s="153"/>
      <c r="C753" s="153"/>
      <c r="D753" s="154"/>
      <c r="E753" s="154"/>
      <c r="F753" s="154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  <c r="AA753" s="145"/>
    </row>
    <row r="754" spans="1:27" ht="19.5" customHeight="1" x14ac:dyDescent="0.25">
      <c r="A754" s="153"/>
      <c r="B754" s="153"/>
      <c r="C754" s="153"/>
      <c r="D754" s="154"/>
      <c r="E754" s="154"/>
      <c r="F754" s="154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  <c r="AA754" s="145"/>
    </row>
    <row r="755" spans="1:27" ht="19.5" customHeight="1" x14ac:dyDescent="0.25">
      <c r="A755" s="153"/>
      <c r="B755" s="153"/>
      <c r="C755" s="153"/>
      <c r="D755" s="154"/>
      <c r="E755" s="154"/>
      <c r="F755" s="154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  <c r="AA755" s="145"/>
    </row>
    <row r="756" spans="1:27" ht="19.5" customHeight="1" x14ac:dyDescent="0.25">
      <c r="A756" s="153"/>
      <c r="B756" s="153"/>
      <c r="C756" s="153"/>
      <c r="D756" s="154"/>
      <c r="E756" s="154"/>
      <c r="F756" s="154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  <c r="AA756" s="145"/>
    </row>
    <row r="757" spans="1:27" ht="19.5" customHeight="1" x14ac:dyDescent="0.25">
      <c r="A757" s="153"/>
      <c r="B757" s="153"/>
      <c r="C757" s="153"/>
      <c r="D757" s="154"/>
      <c r="E757" s="154"/>
      <c r="F757" s="154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  <c r="AA757" s="145"/>
    </row>
    <row r="758" spans="1:27" ht="19.5" customHeight="1" x14ac:dyDescent="0.25">
      <c r="A758" s="153"/>
      <c r="B758" s="153"/>
      <c r="C758" s="153"/>
      <c r="D758" s="154"/>
      <c r="E758" s="154"/>
      <c r="F758" s="154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  <c r="AA758" s="145"/>
    </row>
    <row r="759" spans="1:27" ht="19.5" customHeight="1" x14ac:dyDescent="0.25">
      <c r="A759" s="153"/>
      <c r="B759" s="153"/>
      <c r="C759" s="153"/>
      <c r="D759" s="154"/>
      <c r="E759" s="154"/>
      <c r="F759" s="154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  <c r="AA759" s="145"/>
    </row>
    <row r="760" spans="1:27" ht="19.5" customHeight="1" x14ac:dyDescent="0.25">
      <c r="A760" s="153"/>
      <c r="B760" s="153"/>
      <c r="C760" s="153"/>
      <c r="D760" s="154"/>
      <c r="E760" s="154"/>
      <c r="F760" s="154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  <c r="AA760" s="145"/>
    </row>
    <row r="761" spans="1:27" ht="19.5" customHeight="1" x14ac:dyDescent="0.25">
      <c r="A761" s="153"/>
      <c r="B761" s="153"/>
      <c r="C761" s="153"/>
      <c r="D761" s="154"/>
      <c r="E761" s="154"/>
      <c r="F761" s="154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  <c r="AA761" s="145"/>
    </row>
    <row r="762" spans="1:27" ht="19.5" customHeight="1" x14ac:dyDescent="0.25">
      <c r="A762" s="153"/>
      <c r="B762" s="153"/>
      <c r="C762" s="153"/>
      <c r="D762" s="154"/>
      <c r="E762" s="154"/>
      <c r="F762" s="154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  <c r="AA762" s="145"/>
    </row>
    <row r="763" spans="1:27" ht="19.5" customHeight="1" x14ac:dyDescent="0.25">
      <c r="A763" s="153"/>
      <c r="B763" s="153"/>
      <c r="C763" s="153"/>
      <c r="D763" s="154"/>
      <c r="E763" s="154"/>
      <c r="F763" s="154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  <c r="AA763" s="145"/>
    </row>
    <row r="764" spans="1:27" ht="19.5" customHeight="1" x14ac:dyDescent="0.25">
      <c r="A764" s="153"/>
      <c r="B764" s="153"/>
      <c r="C764" s="153"/>
      <c r="D764" s="154"/>
      <c r="E764" s="154"/>
      <c r="F764" s="154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  <c r="AA764" s="145"/>
    </row>
    <row r="765" spans="1:27" ht="19.5" customHeight="1" x14ac:dyDescent="0.25">
      <c r="A765" s="153"/>
      <c r="B765" s="153"/>
      <c r="C765" s="153"/>
      <c r="D765" s="154"/>
      <c r="E765" s="154"/>
      <c r="F765" s="154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  <c r="AA765" s="145"/>
    </row>
    <row r="766" spans="1:27" ht="19.5" customHeight="1" x14ac:dyDescent="0.25">
      <c r="A766" s="153"/>
      <c r="B766" s="153"/>
      <c r="C766" s="153"/>
      <c r="D766" s="154"/>
      <c r="E766" s="154"/>
      <c r="F766" s="154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  <c r="AA766" s="145"/>
    </row>
    <row r="767" spans="1:27" ht="19.5" customHeight="1" x14ac:dyDescent="0.25">
      <c r="A767" s="153"/>
      <c r="B767" s="153"/>
      <c r="C767" s="153"/>
      <c r="D767" s="154"/>
      <c r="E767" s="154"/>
      <c r="F767" s="154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  <c r="AA767" s="145"/>
    </row>
    <row r="768" spans="1:27" ht="19.5" customHeight="1" x14ac:dyDescent="0.25">
      <c r="A768" s="153"/>
      <c r="B768" s="153"/>
      <c r="C768" s="153"/>
      <c r="D768" s="154"/>
      <c r="E768" s="154"/>
      <c r="F768" s="154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  <c r="AA768" s="145"/>
    </row>
    <row r="769" spans="1:27" ht="19.5" customHeight="1" x14ac:dyDescent="0.25">
      <c r="A769" s="153"/>
      <c r="B769" s="153"/>
      <c r="C769" s="153"/>
      <c r="D769" s="154"/>
      <c r="E769" s="154"/>
      <c r="F769" s="154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  <c r="AA769" s="145"/>
    </row>
    <row r="770" spans="1:27" ht="19.5" customHeight="1" x14ac:dyDescent="0.25">
      <c r="A770" s="153"/>
      <c r="B770" s="153"/>
      <c r="C770" s="153"/>
      <c r="D770" s="154"/>
      <c r="E770" s="154"/>
      <c r="F770" s="154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  <c r="AA770" s="145"/>
    </row>
    <row r="771" spans="1:27" ht="19.5" customHeight="1" x14ac:dyDescent="0.25">
      <c r="A771" s="153"/>
      <c r="B771" s="153"/>
      <c r="C771" s="153"/>
      <c r="D771" s="154"/>
      <c r="E771" s="154"/>
      <c r="F771" s="154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  <c r="AA771" s="145"/>
    </row>
    <row r="772" spans="1:27" ht="19.5" customHeight="1" x14ac:dyDescent="0.25">
      <c r="A772" s="153"/>
      <c r="B772" s="153"/>
      <c r="C772" s="153"/>
      <c r="D772" s="154"/>
      <c r="E772" s="154"/>
      <c r="F772" s="154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  <c r="AA772" s="145"/>
    </row>
    <row r="773" spans="1:27" ht="19.5" customHeight="1" x14ac:dyDescent="0.25">
      <c r="A773" s="153"/>
      <c r="B773" s="153"/>
      <c r="C773" s="153"/>
      <c r="D773" s="154"/>
      <c r="E773" s="154"/>
      <c r="F773" s="154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  <c r="AA773" s="145"/>
    </row>
    <row r="774" spans="1:27" ht="19.5" customHeight="1" x14ac:dyDescent="0.25">
      <c r="A774" s="153"/>
      <c r="B774" s="153"/>
      <c r="C774" s="153"/>
      <c r="D774" s="154"/>
      <c r="E774" s="154"/>
      <c r="F774" s="154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  <c r="AA774" s="145"/>
    </row>
    <row r="775" spans="1:27" ht="19.5" customHeight="1" x14ac:dyDescent="0.25">
      <c r="A775" s="153"/>
      <c r="B775" s="153"/>
      <c r="C775" s="153"/>
      <c r="D775" s="154"/>
      <c r="E775" s="154"/>
      <c r="F775" s="154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  <c r="AA775" s="145"/>
    </row>
    <row r="776" spans="1:27" ht="19.5" customHeight="1" x14ac:dyDescent="0.25">
      <c r="A776" s="153"/>
      <c r="B776" s="153"/>
      <c r="C776" s="153"/>
      <c r="D776" s="154"/>
      <c r="E776" s="154"/>
      <c r="F776" s="154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  <c r="AA776" s="145"/>
    </row>
    <row r="777" spans="1:27" ht="19.5" customHeight="1" x14ac:dyDescent="0.25">
      <c r="A777" s="153"/>
      <c r="B777" s="153"/>
      <c r="C777" s="153"/>
      <c r="D777" s="154"/>
      <c r="E777" s="154"/>
      <c r="F777" s="154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  <c r="AA777" s="145"/>
    </row>
    <row r="778" spans="1:27" ht="19.5" customHeight="1" x14ac:dyDescent="0.25">
      <c r="A778" s="153"/>
      <c r="B778" s="153"/>
      <c r="C778" s="153"/>
      <c r="D778" s="154"/>
      <c r="E778" s="154"/>
      <c r="F778" s="154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  <c r="AA778" s="145"/>
    </row>
    <row r="779" spans="1:27" ht="19.5" customHeight="1" x14ac:dyDescent="0.25">
      <c r="A779" s="153"/>
      <c r="B779" s="153"/>
      <c r="C779" s="153"/>
      <c r="D779" s="154"/>
      <c r="E779" s="154"/>
      <c r="F779" s="154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  <c r="AA779" s="145"/>
    </row>
    <row r="780" spans="1:27" ht="19.5" customHeight="1" x14ac:dyDescent="0.25">
      <c r="A780" s="153"/>
      <c r="B780" s="153"/>
      <c r="C780" s="153"/>
      <c r="D780" s="154"/>
      <c r="E780" s="154"/>
      <c r="F780" s="154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  <c r="AA780" s="145"/>
    </row>
    <row r="781" spans="1:27" ht="19.5" customHeight="1" x14ac:dyDescent="0.25">
      <c r="A781" s="153"/>
      <c r="B781" s="153"/>
      <c r="C781" s="153"/>
      <c r="D781" s="154"/>
      <c r="E781" s="154"/>
      <c r="F781" s="154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  <c r="AA781" s="145"/>
    </row>
    <row r="782" spans="1:27" ht="19.5" customHeight="1" x14ac:dyDescent="0.25">
      <c r="A782" s="153"/>
      <c r="B782" s="153"/>
      <c r="C782" s="153"/>
      <c r="D782" s="154"/>
      <c r="E782" s="154"/>
      <c r="F782" s="154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  <c r="AA782" s="145"/>
    </row>
    <row r="783" spans="1:27" ht="19.5" customHeight="1" x14ac:dyDescent="0.25">
      <c r="A783" s="153"/>
      <c r="B783" s="153"/>
      <c r="C783" s="153"/>
      <c r="D783" s="154"/>
      <c r="E783" s="154"/>
      <c r="F783" s="154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  <c r="AA783" s="145"/>
    </row>
    <row r="784" spans="1:27" ht="19.5" customHeight="1" x14ac:dyDescent="0.25">
      <c r="A784" s="153"/>
      <c r="B784" s="153"/>
      <c r="C784" s="153"/>
      <c r="D784" s="154"/>
      <c r="E784" s="154"/>
      <c r="F784" s="154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  <c r="AA784" s="145"/>
    </row>
    <row r="785" spans="1:27" ht="19.5" customHeight="1" x14ac:dyDescent="0.25">
      <c r="A785" s="153"/>
      <c r="B785" s="153"/>
      <c r="C785" s="153"/>
      <c r="D785" s="154"/>
      <c r="E785" s="154"/>
      <c r="F785" s="154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  <c r="AA785" s="145"/>
    </row>
    <row r="786" spans="1:27" ht="19.5" customHeight="1" x14ac:dyDescent="0.25">
      <c r="A786" s="153"/>
      <c r="B786" s="153"/>
      <c r="C786" s="153"/>
      <c r="D786" s="154"/>
      <c r="E786" s="154"/>
      <c r="F786" s="154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  <c r="AA786" s="145"/>
    </row>
    <row r="787" spans="1:27" ht="19.5" customHeight="1" x14ac:dyDescent="0.25">
      <c r="A787" s="153"/>
      <c r="B787" s="153"/>
      <c r="C787" s="153"/>
      <c r="D787" s="154"/>
      <c r="E787" s="154"/>
      <c r="F787" s="154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  <c r="AA787" s="145"/>
    </row>
    <row r="788" spans="1:27" ht="19.5" customHeight="1" x14ac:dyDescent="0.25">
      <c r="A788" s="153"/>
      <c r="B788" s="153"/>
      <c r="C788" s="153"/>
      <c r="D788" s="154"/>
      <c r="E788" s="154"/>
      <c r="F788" s="154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  <c r="AA788" s="145"/>
    </row>
    <row r="789" spans="1:27" ht="19.5" customHeight="1" x14ac:dyDescent="0.25">
      <c r="A789" s="153"/>
      <c r="B789" s="153"/>
      <c r="C789" s="153"/>
      <c r="D789" s="154"/>
      <c r="E789" s="154"/>
      <c r="F789" s="154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  <c r="AA789" s="145"/>
    </row>
    <row r="790" spans="1:27" ht="19.5" customHeight="1" x14ac:dyDescent="0.25">
      <c r="A790" s="153"/>
      <c r="B790" s="153"/>
      <c r="C790" s="153"/>
      <c r="D790" s="154"/>
      <c r="E790" s="154"/>
      <c r="F790" s="154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  <c r="AA790" s="145"/>
    </row>
    <row r="791" spans="1:27" ht="19.5" customHeight="1" x14ac:dyDescent="0.25">
      <c r="A791" s="153"/>
      <c r="B791" s="153"/>
      <c r="C791" s="153"/>
      <c r="D791" s="154"/>
      <c r="E791" s="154"/>
      <c r="F791" s="154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  <c r="AA791" s="145"/>
    </row>
    <row r="792" spans="1:27" ht="19.5" customHeight="1" x14ac:dyDescent="0.25">
      <c r="A792" s="153"/>
      <c r="B792" s="153"/>
      <c r="C792" s="153"/>
      <c r="D792" s="154"/>
      <c r="E792" s="154"/>
      <c r="F792" s="154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  <c r="AA792" s="145"/>
    </row>
    <row r="793" spans="1:27" ht="19.5" customHeight="1" x14ac:dyDescent="0.25">
      <c r="A793" s="153"/>
      <c r="B793" s="153"/>
      <c r="C793" s="153"/>
      <c r="D793" s="154"/>
      <c r="E793" s="154"/>
      <c r="F793" s="154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  <c r="AA793" s="145"/>
    </row>
    <row r="794" spans="1:27" ht="19.5" customHeight="1" x14ac:dyDescent="0.25">
      <c r="A794" s="153"/>
      <c r="B794" s="153"/>
      <c r="C794" s="153"/>
      <c r="D794" s="154"/>
      <c r="E794" s="154"/>
      <c r="F794" s="154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  <c r="AA794" s="145"/>
    </row>
    <row r="795" spans="1:27" ht="19.5" customHeight="1" x14ac:dyDescent="0.25">
      <c r="A795" s="153"/>
      <c r="B795" s="153"/>
      <c r="C795" s="153"/>
      <c r="D795" s="154"/>
      <c r="E795" s="154"/>
      <c r="F795" s="154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  <c r="AA795" s="145"/>
    </row>
    <row r="796" spans="1:27" ht="19.5" customHeight="1" x14ac:dyDescent="0.25">
      <c r="A796" s="153"/>
      <c r="B796" s="153"/>
      <c r="C796" s="153"/>
      <c r="D796" s="154"/>
      <c r="E796" s="154"/>
      <c r="F796" s="154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  <c r="AA796" s="145"/>
    </row>
    <row r="797" spans="1:27" ht="19.5" customHeight="1" x14ac:dyDescent="0.25">
      <c r="A797" s="153"/>
      <c r="B797" s="153"/>
      <c r="C797" s="153"/>
      <c r="D797" s="154"/>
      <c r="E797" s="154"/>
      <c r="F797" s="154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  <c r="AA797" s="145"/>
    </row>
    <row r="798" spans="1:27" ht="19.5" customHeight="1" x14ac:dyDescent="0.25">
      <c r="A798" s="153"/>
      <c r="B798" s="153"/>
      <c r="C798" s="153"/>
      <c r="D798" s="154"/>
      <c r="E798" s="154"/>
      <c r="F798" s="154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  <c r="AA798" s="145"/>
    </row>
    <row r="799" spans="1:27" ht="19.5" customHeight="1" x14ac:dyDescent="0.25">
      <c r="A799" s="153"/>
      <c r="B799" s="153"/>
      <c r="C799" s="153"/>
      <c r="D799" s="154"/>
      <c r="E799" s="154"/>
      <c r="F799" s="154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  <c r="AA799" s="145"/>
    </row>
    <row r="800" spans="1:27" ht="19.5" customHeight="1" x14ac:dyDescent="0.25">
      <c r="A800" s="153"/>
      <c r="B800" s="153"/>
      <c r="C800" s="153"/>
      <c r="D800" s="154"/>
      <c r="E800" s="154"/>
      <c r="F800" s="154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  <c r="AA800" s="145"/>
    </row>
    <row r="801" spans="1:27" ht="19.5" customHeight="1" x14ac:dyDescent="0.25">
      <c r="A801" s="153"/>
      <c r="B801" s="153"/>
      <c r="C801" s="153"/>
      <c r="D801" s="154"/>
      <c r="E801" s="154"/>
      <c r="F801" s="154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  <c r="AA801" s="145"/>
    </row>
    <row r="802" spans="1:27" ht="19.5" customHeight="1" x14ac:dyDescent="0.25">
      <c r="A802" s="153"/>
      <c r="B802" s="153"/>
      <c r="C802" s="153"/>
      <c r="D802" s="154"/>
      <c r="E802" s="154"/>
      <c r="F802" s="154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  <c r="AA802" s="145"/>
    </row>
    <row r="803" spans="1:27" ht="19.5" customHeight="1" x14ac:dyDescent="0.25">
      <c r="A803" s="153"/>
      <c r="B803" s="153"/>
      <c r="C803" s="153"/>
      <c r="D803" s="154"/>
      <c r="E803" s="154"/>
      <c r="F803" s="154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  <c r="AA803" s="145"/>
    </row>
    <row r="804" spans="1:27" ht="19.5" customHeight="1" x14ac:dyDescent="0.25">
      <c r="A804" s="153"/>
      <c r="B804" s="153"/>
      <c r="C804" s="153"/>
      <c r="D804" s="154"/>
      <c r="E804" s="154"/>
      <c r="F804" s="154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  <c r="AA804" s="145"/>
    </row>
    <row r="805" spans="1:27" ht="19.5" customHeight="1" x14ac:dyDescent="0.25">
      <c r="A805" s="153"/>
      <c r="B805" s="153"/>
      <c r="C805" s="153"/>
      <c r="D805" s="154"/>
      <c r="E805" s="154"/>
      <c r="F805" s="154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  <c r="AA805" s="145"/>
    </row>
    <row r="806" spans="1:27" ht="19.5" customHeight="1" x14ac:dyDescent="0.25">
      <c r="A806" s="153"/>
      <c r="B806" s="153"/>
      <c r="C806" s="153"/>
      <c r="D806" s="154"/>
      <c r="E806" s="154"/>
      <c r="F806" s="154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  <c r="AA806" s="145"/>
    </row>
    <row r="807" spans="1:27" ht="19.5" customHeight="1" x14ac:dyDescent="0.25">
      <c r="A807" s="153"/>
      <c r="B807" s="153"/>
      <c r="C807" s="153"/>
      <c r="D807" s="154"/>
      <c r="E807" s="154"/>
      <c r="F807" s="154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  <c r="AA807" s="145"/>
    </row>
    <row r="808" spans="1:27" ht="19.5" customHeight="1" x14ac:dyDescent="0.25">
      <c r="A808" s="153"/>
      <c r="B808" s="153"/>
      <c r="C808" s="153"/>
      <c r="D808" s="154"/>
      <c r="E808" s="154"/>
      <c r="F808" s="154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  <c r="AA808" s="145"/>
    </row>
    <row r="809" spans="1:27" ht="19.5" customHeight="1" x14ac:dyDescent="0.25">
      <c r="A809" s="153"/>
      <c r="B809" s="153"/>
      <c r="C809" s="153"/>
      <c r="D809" s="154"/>
      <c r="E809" s="154"/>
      <c r="F809" s="154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  <c r="AA809" s="145"/>
    </row>
    <row r="810" spans="1:27" ht="19.5" customHeight="1" x14ac:dyDescent="0.25">
      <c r="A810" s="153"/>
      <c r="B810" s="153"/>
      <c r="C810" s="153"/>
      <c r="D810" s="154"/>
      <c r="E810" s="154"/>
      <c r="F810" s="154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  <c r="AA810" s="145"/>
    </row>
    <row r="811" spans="1:27" ht="19.5" customHeight="1" x14ac:dyDescent="0.25">
      <c r="A811" s="153"/>
      <c r="B811" s="153"/>
      <c r="C811" s="153"/>
      <c r="D811" s="154"/>
      <c r="E811" s="154"/>
      <c r="F811" s="154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  <c r="AA811" s="145"/>
    </row>
    <row r="812" spans="1:27" ht="19.5" customHeight="1" x14ac:dyDescent="0.25">
      <c r="A812" s="153"/>
      <c r="B812" s="153"/>
      <c r="C812" s="153"/>
      <c r="D812" s="154"/>
      <c r="E812" s="154"/>
      <c r="F812" s="154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  <c r="AA812" s="145"/>
    </row>
    <row r="813" spans="1:27" ht="19.5" customHeight="1" x14ac:dyDescent="0.25">
      <c r="A813" s="153"/>
      <c r="B813" s="153"/>
      <c r="C813" s="153"/>
      <c r="D813" s="154"/>
      <c r="E813" s="154"/>
      <c r="F813" s="154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  <c r="AA813" s="145"/>
    </row>
    <row r="814" spans="1:27" ht="19.5" customHeight="1" x14ac:dyDescent="0.25">
      <c r="A814" s="153"/>
      <c r="B814" s="153"/>
      <c r="C814" s="153"/>
      <c r="D814" s="154"/>
      <c r="E814" s="154"/>
      <c r="F814" s="154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  <c r="AA814" s="145"/>
    </row>
    <row r="815" spans="1:27" ht="19.5" customHeight="1" x14ac:dyDescent="0.25">
      <c r="A815" s="153"/>
      <c r="B815" s="153"/>
      <c r="C815" s="153"/>
      <c r="D815" s="154"/>
      <c r="E815" s="154"/>
      <c r="F815" s="154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  <c r="AA815" s="145"/>
    </row>
    <row r="816" spans="1:27" ht="19.5" customHeight="1" x14ac:dyDescent="0.25">
      <c r="A816" s="153"/>
      <c r="B816" s="153"/>
      <c r="C816" s="153"/>
      <c r="D816" s="154"/>
      <c r="E816" s="154"/>
      <c r="F816" s="154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  <c r="AA816" s="145"/>
    </row>
    <row r="817" spans="1:27" ht="19.5" customHeight="1" x14ac:dyDescent="0.25">
      <c r="A817" s="153"/>
      <c r="B817" s="153"/>
      <c r="C817" s="153"/>
      <c r="D817" s="154"/>
      <c r="E817" s="154"/>
      <c r="F817" s="154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  <c r="AA817" s="145"/>
    </row>
    <row r="818" spans="1:27" ht="19.5" customHeight="1" x14ac:dyDescent="0.25">
      <c r="A818" s="153"/>
      <c r="B818" s="153"/>
      <c r="C818" s="153"/>
      <c r="D818" s="154"/>
      <c r="E818" s="154"/>
      <c r="F818" s="154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  <c r="AA818" s="145"/>
    </row>
    <row r="819" spans="1:27" ht="19.5" customHeight="1" x14ac:dyDescent="0.25">
      <c r="A819" s="153"/>
      <c r="B819" s="153"/>
      <c r="C819" s="153"/>
      <c r="D819" s="154"/>
      <c r="E819" s="154"/>
      <c r="F819" s="154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  <c r="AA819" s="145"/>
    </row>
    <row r="820" spans="1:27" ht="19.5" customHeight="1" x14ac:dyDescent="0.25">
      <c r="A820" s="153"/>
      <c r="B820" s="153"/>
      <c r="C820" s="153"/>
      <c r="D820" s="154"/>
      <c r="E820" s="154"/>
      <c r="F820" s="154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  <c r="AA820" s="145"/>
    </row>
    <row r="821" spans="1:27" ht="19.5" customHeight="1" x14ac:dyDescent="0.25">
      <c r="A821" s="153"/>
      <c r="B821" s="153"/>
      <c r="C821" s="153"/>
      <c r="D821" s="154"/>
      <c r="E821" s="154"/>
      <c r="F821" s="154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  <c r="AA821" s="145"/>
    </row>
    <row r="822" spans="1:27" ht="19.5" customHeight="1" x14ac:dyDescent="0.25">
      <c r="A822" s="153"/>
      <c r="B822" s="153"/>
      <c r="C822" s="153"/>
      <c r="D822" s="154"/>
      <c r="E822" s="154"/>
      <c r="F822" s="154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  <c r="AA822" s="145"/>
    </row>
    <row r="823" spans="1:27" ht="19.5" customHeight="1" x14ac:dyDescent="0.25">
      <c r="A823" s="153"/>
      <c r="B823" s="153"/>
      <c r="C823" s="153"/>
      <c r="D823" s="154"/>
      <c r="E823" s="154"/>
      <c r="F823" s="154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  <c r="AA823" s="145"/>
    </row>
    <row r="824" spans="1:27" ht="19.5" customHeight="1" x14ac:dyDescent="0.25">
      <c r="A824" s="153"/>
      <c r="B824" s="153"/>
      <c r="C824" s="153"/>
      <c r="D824" s="154"/>
      <c r="E824" s="154"/>
      <c r="F824" s="154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  <c r="AA824" s="145"/>
    </row>
    <row r="825" spans="1:27" ht="19.5" customHeight="1" x14ac:dyDescent="0.25">
      <c r="A825" s="153"/>
      <c r="B825" s="153"/>
      <c r="C825" s="153"/>
      <c r="D825" s="154"/>
      <c r="E825" s="154"/>
      <c r="F825" s="154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  <c r="AA825" s="145"/>
    </row>
    <row r="826" spans="1:27" ht="19.5" customHeight="1" x14ac:dyDescent="0.25">
      <c r="A826" s="153"/>
      <c r="B826" s="153"/>
      <c r="C826" s="153"/>
      <c r="D826" s="154"/>
      <c r="E826" s="154"/>
      <c r="F826" s="154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  <c r="AA826" s="145"/>
    </row>
    <row r="827" spans="1:27" ht="19.5" customHeight="1" x14ac:dyDescent="0.25">
      <c r="A827" s="153"/>
      <c r="B827" s="153"/>
      <c r="C827" s="153"/>
      <c r="D827" s="154"/>
      <c r="E827" s="154"/>
      <c r="F827" s="154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  <c r="AA827" s="145"/>
    </row>
    <row r="828" spans="1:27" ht="19.5" customHeight="1" x14ac:dyDescent="0.25">
      <c r="A828" s="153"/>
      <c r="B828" s="153"/>
      <c r="C828" s="153"/>
      <c r="D828" s="154"/>
      <c r="E828" s="154"/>
      <c r="F828" s="154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  <c r="AA828" s="145"/>
    </row>
    <row r="829" spans="1:27" ht="19.5" customHeight="1" x14ac:dyDescent="0.25">
      <c r="A829" s="153"/>
      <c r="B829" s="153"/>
      <c r="C829" s="153"/>
      <c r="D829" s="154"/>
      <c r="E829" s="154"/>
      <c r="F829" s="154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  <c r="AA829" s="145"/>
    </row>
    <row r="830" spans="1:27" ht="19.5" customHeight="1" x14ac:dyDescent="0.25">
      <c r="A830" s="153"/>
      <c r="B830" s="153"/>
      <c r="C830" s="153"/>
      <c r="D830" s="154"/>
      <c r="E830" s="154"/>
      <c r="F830" s="154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  <c r="AA830" s="145"/>
    </row>
    <row r="831" spans="1:27" ht="19.5" customHeight="1" x14ac:dyDescent="0.25">
      <c r="A831" s="153"/>
      <c r="B831" s="153"/>
      <c r="C831" s="153"/>
      <c r="D831" s="154"/>
      <c r="E831" s="154"/>
      <c r="F831" s="154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  <c r="AA831" s="145"/>
    </row>
    <row r="832" spans="1:27" ht="19.5" customHeight="1" x14ac:dyDescent="0.25">
      <c r="A832" s="153"/>
      <c r="B832" s="153"/>
      <c r="C832" s="153"/>
      <c r="D832" s="154"/>
      <c r="E832" s="154"/>
      <c r="F832" s="154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  <c r="AA832" s="145"/>
    </row>
    <row r="833" spans="1:27" ht="19.5" customHeight="1" x14ac:dyDescent="0.25">
      <c r="A833" s="153"/>
      <c r="B833" s="153"/>
      <c r="C833" s="153"/>
      <c r="D833" s="154"/>
      <c r="E833" s="154"/>
      <c r="F833" s="154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  <c r="AA833" s="145"/>
    </row>
    <row r="834" spans="1:27" ht="19.5" customHeight="1" x14ac:dyDescent="0.25">
      <c r="A834" s="153"/>
      <c r="B834" s="153"/>
      <c r="C834" s="153"/>
      <c r="D834" s="154"/>
      <c r="E834" s="154"/>
      <c r="F834" s="154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  <c r="AA834" s="145"/>
    </row>
    <row r="835" spans="1:27" ht="19.5" customHeight="1" x14ac:dyDescent="0.25">
      <c r="A835" s="153"/>
      <c r="B835" s="153"/>
      <c r="C835" s="153"/>
      <c r="D835" s="154"/>
      <c r="E835" s="154"/>
      <c r="F835" s="154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  <c r="AA835" s="145"/>
    </row>
    <row r="836" spans="1:27" ht="19.5" customHeight="1" x14ac:dyDescent="0.25">
      <c r="A836" s="153"/>
      <c r="B836" s="153"/>
      <c r="C836" s="153"/>
      <c r="D836" s="154"/>
      <c r="E836" s="154"/>
      <c r="F836" s="154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  <c r="AA836" s="145"/>
    </row>
    <row r="837" spans="1:27" ht="19.5" customHeight="1" x14ac:dyDescent="0.25">
      <c r="A837" s="153"/>
      <c r="B837" s="153"/>
      <c r="C837" s="153"/>
      <c r="D837" s="154"/>
      <c r="E837" s="154"/>
      <c r="F837" s="154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  <c r="AA837" s="145"/>
    </row>
    <row r="838" spans="1:27" ht="19.5" customHeight="1" x14ac:dyDescent="0.25">
      <c r="A838" s="153"/>
      <c r="B838" s="153"/>
      <c r="C838" s="153"/>
      <c r="D838" s="154"/>
      <c r="E838" s="154"/>
      <c r="F838" s="154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  <c r="AA838" s="145"/>
    </row>
    <row r="839" spans="1:27" ht="19.5" customHeight="1" x14ac:dyDescent="0.25">
      <c r="A839" s="153"/>
      <c r="B839" s="153"/>
      <c r="C839" s="153"/>
      <c r="D839" s="154"/>
      <c r="E839" s="154"/>
      <c r="F839" s="154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  <c r="AA839" s="145"/>
    </row>
    <row r="840" spans="1:27" ht="19.5" customHeight="1" x14ac:dyDescent="0.25">
      <c r="A840" s="153"/>
      <c r="B840" s="153"/>
      <c r="C840" s="153"/>
      <c r="D840" s="154"/>
      <c r="E840" s="154"/>
      <c r="F840" s="154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  <c r="AA840" s="145"/>
    </row>
    <row r="841" spans="1:27" ht="19.5" customHeight="1" x14ac:dyDescent="0.25">
      <c r="A841" s="153"/>
      <c r="B841" s="153"/>
      <c r="C841" s="153"/>
      <c r="D841" s="154"/>
      <c r="E841" s="154"/>
      <c r="F841" s="154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  <c r="AA841" s="145"/>
    </row>
    <row r="842" spans="1:27" ht="19.5" customHeight="1" x14ac:dyDescent="0.25">
      <c r="A842" s="153"/>
      <c r="B842" s="153"/>
      <c r="C842" s="153"/>
      <c r="D842" s="154"/>
      <c r="E842" s="154"/>
      <c r="F842" s="154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  <c r="AA842" s="145"/>
    </row>
    <row r="843" spans="1:27" ht="19.5" customHeight="1" x14ac:dyDescent="0.25">
      <c r="A843" s="153"/>
      <c r="B843" s="153"/>
      <c r="C843" s="153"/>
      <c r="D843" s="154"/>
      <c r="E843" s="154"/>
      <c r="F843" s="154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  <c r="AA843" s="145"/>
    </row>
    <row r="844" spans="1:27" ht="19.5" customHeight="1" x14ac:dyDescent="0.25">
      <c r="A844" s="153"/>
      <c r="B844" s="153"/>
      <c r="C844" s="153"/>
      <c r="D844" s="154"/>
      <c r="E844" s="154"/>
      <c r="F844" s="154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  <c r="AA844" s="145"/>
    </row>
    <row r="845" spans="1:27" ht="19.5" customHeight="1" x14ac:dyDescent="0.25">
      <c r="A845" s="153"/>
      <c r="B845" s="153"/>
      <c r="C845" s="153"/>
      <c r="D845" s="154"/>
      <c r="E845" s="154"/>
      <c r="F845" s="154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  <c r="AA845" s="145"/>
    </row>
    <row r="846" spans="1:27" ht="19.5" customHeight="1" x14ac:dyDescent="0.25">
      <c r="A846" s="153"/>
      <c r="B846" s="153"/>
      <c r="C846" s="153"/>
      <c r="D846" s="154"/>
      <c r="E846" s="154"/>
      <c r="F846" s="154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  <c r="AA846" s="145"/>
    </row>
    <row r="847" spans="1:27" ht="19.5" customHeight="1" x14ac:dyDescent="0.25">
      <c r="A847" s="153"/>
      <c r="B847" s="153"/>
      <c r="C847" s="153"/>
      <c r="D847" s="154"/>
      <c r="E847" s="154"/>
      <c r="F847" s="154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  <c r="AA847" s="145"/>
    </row>
    <row r="848" spans="1:27" ht="19.5" customHeight="1" x14ac:dyDescent="0.25">
      <c r="A848" s="153"/>
      <c r="B848" s="153"/>
      <c r="C848" s="153"/>
      <c r="D848" s="154"/>
      <c r="E848" s="154"/>
      <c r="F848" s="154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  <c r="AA848" s="145"/>
    </row>
    <row r="849" spans="1:27" ht="19.5" customHeight="1" x14ac:dyDescent="0.25">
      <c r="A849" s="153"/>
      <c r="B849" s="153"/>
      <c r="C849" s="153"/>
      <c r="D849" s="154"/>
      <c r="E849" s="154"/>
      <c r="F849" s="154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  <c r="AA849" s="145"/>
    </row>
    <row r="850" spans="1:27" ht="19.5" customHeight="1" x14ac:dyDescent="0.25">
      <c r="A850" s="153"/>
      <c r="B850" s="153"/>
      <c r="C850" s="153"/>
      <c r="D850" s="154"/>
      <c r="E850" s="154"/>
      <c r="F850" s="154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  <c r="AA850" s="145"/>
    </row>
    <row r="851" spans="1:27" ht="19.5" customHeight="1" x14ac:dyDescent="0.25">
      <c r="A851" s="153"/>
      <c r="B851" s="153"/>
      <c r="C851" s="153"/>
      <c r="D851" s="154"/>
      <c r="E851" s="154"/>
      <c r="F851" s="154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  <c r="AA851" s="145"/>
    </row>
    <row r="852" spans="1:27" ht="19.5" customHeight="1" x14ac:dyDescent="0.25">
      <c r="A852" s="153"/>
      <c r="B852" s="153"/>
      <c r="C852" s="153"/>
      <c r="D852" s="154"/>
      <c r="E852" s="154"/>
      <c r="F852" s="154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  <c r="AA852" s="145"/>
    </row>
    <row r="853" spans="1:27" ht="19.5" customHeight="1" x14ac:dyDescent="0.25">
      <c r="A853" s="153"/>
      <c r="B853" s="153"/>
      <c r="C853" s="153"/>
      <c r="D853" s="154"/>
      <c r="E853" s="154"/>
      <c r="F853" s="154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  <c r="AA853" s="145"/>
    </row>
    <row r="854" spans="1:27" ht="19.5" customHeight="1" x14ac:dyDescent="0.25">
      <c r="A854" s="153"/>
      <c r="B854" s="153"/>
      <c r="C854" s="153"/>
      <c r="D854" s="154"/>
      <c r="E854" s="154"/>
      <c r="F854" s="154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  <c r="AA854" s="145"/>
    </row>
    <row r="855" spans="1:27" ht="19.5" customHeight="1" x14ac:dyDescent="0.25">
      <c r="A855" s="153"/>
      <c r="B855" s="153"/>
      <c r="C855" s="153"/>
      <c r="D855" s="154"/>
      <c r="E855" s="154"/>
      <c r="F855" s="154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  <c r="AA855" s="145"/>
    </row>
    <row r="856" spans="1:27" ht="19.5" customHeight="1" x14ac:dyDescent="0.25">
      <c r="A856" s="153"/>
      <c r="B856" s="153"/>
      <c r="C856" s="153"/>
      <c r="D856" s="154"/>
      <c r="E856" s="154"/>
      <c r="F856" s="154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  <c r="AA856" s="145"/>
    </row>
    <row r="857" spans="1:27" ht="19.5" customHeight="1" x14ac:dyDescent="0.25">
      <c r="A857" s="153"/>
      <c r="B857" s="153"/>
      <c r="C857" s="153"/>
      <c r="D857" s="154"/>
      <c r="E857" s="154"/>
      <c r="F857" s="154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  <c r="AA857" s="145"/>
    </row>
    <row r="858" spans="1:27" ht="19.5" customHeight="1" x14ac:dyDescent="0.25">
      <c r="A858" s="153"/>
      <c r="B858" s="153"/>
      <c r="C858" s="153"/>
      <c r="D858" s="154"/>
      <c r="E858" s="154"/>
      <c r="F858" s="154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  <c r="AA858" s="145"/>
    </row>
    <row r="859" spans="1:27" ht="19.5" customHeight="1" x14ac:dyDescent="0.25">
      <c r="A859" s="153"/>
      <c r="B859" s="153"/>
      <c r="C859" s="153"/>
      <c r="D859" s="154"/>
      <c r="E859" s="154"/>
      <c r="F859" s="154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  <c r="AA859" s="145"/>
    </row>
    <row r="860" spans="1:27" ht="19.5" customHeight="1" x14ac:dyDescent="0.25">
      <c r="A860" s="153"/>
      <c r="B860" s="153"/>
      <c r="C860" s="153"/>
      <c r="D860" s="154"/>
      <c r="E860" s="154"/>
      <c r="F860" s="154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  <c r="AA860" s="145"/>
    </row>
    <row r="861" spans="1:27" ht="19.5" customHeight="1" x14ac:dyDescent="0.25">
      <c r="A861" s="153"/>
      <c r="B861" s="153"/>
      <c r="C861" s="153"/>
      <c r="D861" s="154"/>
      <c r="E861" s="154"/>
      <c r="F861" s="154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  <c r="AA861" s="145"/>
    </row>
    <row r="862" spans="1:27" ht="19.5" customHeight="1" x14ac:dyDescent="0.25">
      <c r="A862" s="153"/>
      <c r="B862" s="153"/>
      <c r="C862" s="153"/>
      <c r="D862" s="154"/>
      <c r="E862" s="154"/>
      <c r="F862" s="154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  <c r="AA862" s="145"/>
    </row>
    <row r="863" spans="1:27" ht="19.5" customHeight="1" x14ac:dyDescent="0.25">
      <c r="A863" s="153"/>
      <c r="B863" s="153"/>
      <c r="C863" s="153"/>
      <c r="D863" s="154"/>
      <c r="E863" s="154"/>
      <c r="F863" s="154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  <c r="AA863" s="145"/>
    </row>
    <row r="864" spans="1:27" ht="19.5" customHeight="1" x14ac:dyDescent="0.25">
      <c r="A864" s="153"/>
      <c r="B864" s="153"/>
      <c r="C864" s="153"/>
      <c r="D864" s="154"/>
      <c r="E864" s="154"/>
      <c r="F864" s="154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  <c r="AA864" s="145"/>
    </row>
    <row r="865" spans="1:27" ht="19.5" customHeight="1" x14ac:dyDescent="0.25">
      <c r="A865" s="153"/>
      <c r="B865" s="153"/>
      <c r="C865" s="153"/>
      <c r="D865" s="154"/>
      <c r="E865" s="154"/>
      <c r="F865" s="154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  <c r="AA865" s="145"/>
    </row>
    <row r="866" spans="1:27" ht="19.5" customHeight="1" x14ac:dyDescent="0.25">
      <c r="A866" s="153"/>
      <c r="B866" s="153"/>
      <c r="C866" s="153"/>
      <c r="D866" s="154"/>
      <c r="E866" s="154"/>
      <c r="F866" s="154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  <c r="AA866" s="145"/>
    </row>
    <row r="867" spans="1:27" ht="19.5" customHeight="1" x14ac:dyDescent="0.25">
      <c r="A867" s="153"/>
      <c r="B867" s="153"/>
      <c r="C867" s="153"/>
      <c r="D867" s="154"/>
      <c r="E867" s="154"/>
      <c r="F867" s="154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  <c r="AA867" s="145"/>
    </row>
    <row r="868" spans="1:27" ht="19.5" customHeight="1" x14ac:dyDescent="0.25">
      <c r="A868" s="153"/>
      <c r="B868" s="153"/>
      <c r="C868" s="153"/>
      <c r="D868" s="154"/>
      <c r="E868" s="154"/>
      <c r="F868" s="154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  <c r="AA868" s="145"/>
    </row>
    <row r="869" spans="1:27" ht="19.5" customHeight="1" x14ac:dyDescent="0.25">
      <c r="A869" s="153"/>
      <c r="B869" s="153"/>
      <c r="C869" s="153"/>
      <c r="D869" s="154"/>
      <c r="E869" s="154"/>
      <c r="F869" s="154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  <c r="AA869" s="145"/>
    </row>
    <row r="870" spans="1:27" ht="19.5" customHeight="1" x14ac:dyDescent="0.25">
      <c r="A870" s="153"/>
      <c r="B870" s="153"/>
      <c r="C870" s="153"/>
      <c r="D870" s="154"/>
      <c r="E870" s="154"/>
      <c r="F870" s="154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  <c r="AA870" s="145"/>
    </row>
    <row r="871" spans="1:27" ht="19.5" customHeight="1" x14ac:dyDescent="0.25">
      <c r="A871" s="153"/>
      <c r="B871" s="153"/>
      <c r="C871" s="153"/>
      <c r="D871" s="154"/>
      <c r="E871" s="154"/>
      <c r="F871" s="154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  <c r="AA871" s="145"/>
    </row>
    <row r="872" spans="1:27" ht="19.5" customHeight="1" x14ac:dyDescent="0.25">
      <c r="A872" s="153"/>
      <c r="B872" s="153"/>
      <c r="C872" s="153"/>
      <c r="D872" s="154"/>
      <c r="E872" s="154"/>
      <c r="F872" s="154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  <c r="AA872" s="145"/>
    </row>
    <row r="873" spans="1:27" ht="19.5" customHeight="1" x14ac:dyDescent="0.25">
      <c r="A873" s="153"/>
      <c r="B873" s="153"/>
      <c r="C873" s="153"/>
      <c r="D873" s="154"/>
      <c r="E873" s="154"/>
      <c r="F873" s="154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  <c r="AA873" s="145"/>
    </row>
    <row r="874" spans="1:27" ht="19.5" customHeight="1" x14ac:dyDescent="0.25">
      <c r="A874" s="153"/>
      <c r="B874" s="153"/>
      <c r="C874" s="153"/>
      <c r="D874" s="154"/>
      <c r="E874" s="154"/>
      <c r="F874" s="154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  <c r="AA874" s="145"/>
    </row>
    <row r="875" spans="1:27" ht="19.5" customHeight="1" x14ac:dyDescent="0.25">
      <c r="A875" s="153"/>
      <c r="B875" s="153"/>
      <c r="C875" s="153"/>
      <c r="D875" s="154"/>
      <c r="E875" s="154"/>
      <c r="F875" s="154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  <c r="AA875" s="145"/>
    </row>
    <row r="876" spans="1:27" ht="19.5" customHeight="1" x14ac:dyDescent="0.25">
      <c r="A876" s="153"/>
      <c r="B876" s="153"/>
      <c r="C876" s="153"/>
      <c r="D876" s="154"/>
      <c r="E876" s="154"/>
      <c r="F876" s="154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  <c r="AA876" s="145"/>
    </row>
    <row r="877" spans="1:27" ht="19.5" customHeight="1" x14ac:dyDescent="0.25">
      <c r="A877" s="153"/>
      <c r="B877" s="153"/>
      <c r="C877" s="153"/>
      <c r="D877" s="154"/>
      <c r="E877" s="154"/>
      <c r="F877" s="154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  <c r="AA877" s="145"/>
    </row>
    <row r="878" spans="1:27" ht="19.5" customHeight="1" x14ac:dyDescent="0.25">
      <c r="A878" s="153"/>
      <c r="B878" s="153"/>
      <c r="C878" s="153"/>
      <c r="D878" s="154"/>
      <c r="E878" s="154"/>
      <c r="F878" s="154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  <c r="AA878" s="145"/>
    </row>
    <row r="879" spans="1:27" ht="19.5" customHeight="1" x14ac:dyDescent="0.25">
      <c r="A879" s="153"/>
      <c r="B879" s="153"/>
      <c r="C879" s="153"/>
      <c r="D879" s="154"/>
      <c r="E879" s="154"/>
      <c r="F879" s="154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  <c r="AA879" s="145"/>
    </row>
    <row r="880" spans="1:27" ht="19.5" customHeight="1" x14ac:dyDescent="0.25">
      <c r="A880" s="153"/>
      <c r="B880" s="153"/>
      <c r="C880" s="153"/>
      <c r="D880" s="154"/>
      <c r="E880" s="154"/>
      <c r="F880" s="154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  <c r="AA880" s="145"/>
    </row>
    <row r="881" spans="1:27" ht="19.5" customHeight="1" x14ac:dyDescent="0.25">
      <c r="A881" s="153"/>
      <c r="B881" s="153"/>
      <c r="C881" s="153"/>
      <c r="D881" s="154"/>
      <c r="E881" s="154"/>
      <c r="F881" s="154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  <c r="AA881" s="145"/>
    </row>
    <row r="882" spans="1:27" ht="19.5" customHeight="1" x14ac:dyDescent="0.25">
      <c r="A882" s="153"/>
      <c r="B882" s="153"/>
      <c r="C882" s="153"/>
      <c r="D882" s="154"/>
      <c r="E882" s="154"/>
      <c r="F882" s="154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  <c r="AA882" s="145"/>
    </row>
    <row r="883" spans="1:27" ht="19.5" customHeight="1" x14ac:dyDescent="0.25">
      <c r="A883" s="153"/>
      <c r="B883" s="153"/>
      <c r="C883" s="153"/>
      <c r="D883" s="154"/>
      <c r="E883" s="154"/>
      <c r="F883" s="154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  <c r="AA883" s="145"/>
    </row>
    <row r="884" spans="1:27" ht="19.5" customHeight="1" x14ac:dyDescent="0.25">
      <c r="A884" s="153"/>
      <c r="B884" s="153"/>
      <c r="C884" s="153"/>
      <c r="D884" s="154"/>
      <c r="E884" s="154"/>
      <c r="F884" s="154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  <c r="AA884" s="145"/>
    </row>
    <row r="885" spans="1:27" ht="19.5" customHeight="1" x14ac:dyDescent="0.25">
      <c r="A885" s="153"/>
      <c r="B885" s="153"/>
      <c r="C885" s="153"/>
      <c r="D885" s="154"/>
      <c r="E885" s="154"/>
      <c r="F885" s="154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  <c r="AA885" s="145"/>
    </row>
    <row r="886" spans="1:27" ht="19.5" customHeight="1" x14ac:dyDescent="0.25">
      <c r="A886" s="153"/>
      <c r="B886" s="153"/>
      <c r="C886" s="153"/>
      <c r="D886" s="154"/>
      <c r="E886" s="154"/>
      <c r="F886" s="154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  <c r="AA886" s="145"/>
    </row>
    <row r="887" spans="1:27" ht="19.5" customHeight="1" x14ac:dyDescent="0.25">
      <c r="A887" s="153"/>
      <c r="B887" s="153"/>
      <c r="C887" s="153"/>
      <c r="D887" s="154"/>
      <c r="E887" s="154"/>
      <c r="F887" s="154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  <c r="AA887" s="145"/>
    </row>
    <row r="888" spans="1:27" ht="19.5" customHeight="1" x14ac:dyDescent="0.25">
      <c r="A888" s="153"/>
      <c r="B888" s="153"/>
      <c r="C888" s="153"/>
      <c r="D888" s="154"/>
      <c r="E888" s="154"/>
      <c r="F888" s="154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  <c r="AA888" s="145"/>
    </row>
    <row r="889" spans="1:27" ht="19.5" customHeight="1" x14ac:dyDescent="0.25">
      <c r="A889" s="153"/>
      <c r="B889" s="153"/>
      <c r="C889" s="153"/>
      <c r="D889" s="154"/>
      <c r="E889" s="154"/>
      <c r="F889" s="154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  <c r="AA889" s="145"/>
    </row>
    <row r="890" spans="1:27" ht="19.5" customHeight="1" x14ac:dyDescent="0.25">
      <c r="A890" s="153"/>
      <c r="B890" s="153"/>
      <c r="C890" s="153"/>
      <c r="D890" s="154"/>
      <c r="E890" s="154"/>
      <c r="F890" s="154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  <c r="AA890" s="145"/>
    </row>
    <row r="891" spans="1:27" ht="19.5" customHeight="1" x14ac:dyDescent="0.25">
      <c r="A891" s="153"/>
      <c r="B891" s="153"/>
      <c r="C891" s="153"/>
      <c r="D891" s="154"/>
      <c r="E891" s="154"/>
      <c r="F891" s="154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  <c r="AA891" s="145"/>
    </row>
    <row r="892" spans="1:27" ht="19.5" customHeight="1" x14ac:dyDescent="0.25">
      <c r="A892" s="153"/>
      <c r="B892" s="153"/>
      <c r="C892" s="153"/>
      <c r="D892" s="154"/>
      <c r="E892" s="154"/>
      <c r="F892" s="154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  <c r="AA892" s="145"/>
    </row>
    <row r="893" spans="1:27" ht="19.5" customHeight="1" x14ac:dyDescent="0.25">
      <c r="A893" s="153"/>
      <c r="B893" s="153"/>
      <c r="C893" s="153"/>
      <c r="D893" s="154"/>
      <c r="E893" s="154"/>
      <c r="F893" s="154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  <c r="AA893" s="145"/>
    </row>
    <row r="894" spans="1:27" ht="19.5" customHeight="1" x14ac:dyDescent="0.25">
      <c r="A894" s="153"/>
      <c r="B894" s="153"/>
      <c r="C894" s="153"/>
      <c r="D894" s="154"/>
      <c r="E894" s="154"/>
      <c r="F894" s="154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  <c r="AA894" s="145"/>
    </row>
    <row r="895" spans="1:27" ht="19.5" customHeight="1" x14ac:dyDescent="0.25">
      <c r="A895" s="153"/>
      <c r="B895" s="153"/>
      <c r="C895" s="153"/>
      <c r="D895" s="154"/>
      <c r="E895" s="154"/>
      <c r="F895" s="154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  <c r="AA895" s="145"/>
    </row>
    <row r="896" spans="1:27" ht="19.5" customHeight="1" x14ac:dyDescent="0.25">
      <c r="A896" s="153"/>
      <c r="B896" s="153"/>
      <c r="C896" s="153"/>
      <c r="D896" s="154"/>
      <c r="E896" s="154"/>
      <c r="F896" s="154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  <c r="AA896" s="145"/>
    </row>
    <row r="897" spans="1:27" ht="19.5" customHeight="1" x14ac:dyDescent="0.25">
      <c r="A897" s="153"/>
      <c r="B897" s="153"/>
      <c r="C897" s="153"/>
      <c r="D897" s="154"/>
      <c r="E897" s="154"/>
      <c r="F897" s="154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  <c r="AA897" s="145"/>
    </row>
    <row r="898" spans="1:27" ht="19.5" customHeight="1" x14ac:dyDescent="0.25">
      <c r="A898" s="153"/>
      <c r="B898" s="153"/>
      <c r="C898" s="153"/>
      <c r="D898" s="154"/>
      <c r="E898" s="154"/>
      <c r="F898" s="154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  <c r="AA898" s="145"/>
    </row>
    <row r="899" spans="1:27" ht="19.5" customHeight="1" x14ac:dyDescent="0.25">
      <c r="A899" s="153"/>
      <c r="B899" s="153"/>
      <c r="C899" s="153"/>
      <c r="D899" s="154"/>
      <c r="E899" s="154"/>
      <c r="F899" s="154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  <c r="AA899" s="145"/>
    </row>
    <row r="900" spans="1:27" ht="19.5" customHeight="1" x14ac:dyDescent="0.25">
      <c r="A900" s="153"/>
      <c r="B900" s="153"/>
      <c r="C900" s="153"/>
      <c r="D900" s="154"/>
      <c r="E900" s="154"/>
      <c r="F900" s="154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  <c r="AA900" s="145"/>
    </row>
    <row r="901" spans="1:27" ht="19.5" customHeight="1" x14ac:dyDescent="0.25">
      <c r="A901" s="153"/>
      <c r="B901" s="153"/>
      <c r="C901" s="153"/>
      <c r="D901" s="154"/>
      <c r="E901" s="154"/>
      <c r="F901" s="154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  <c r="AA901" s="145"/>
    </row>
    <row r="902" spans="1:27" ht="19.5" customHeight="1" x14ac:dyDescent="0.25">
      <c r="A902" s="153"/>
      <c r="B902" s="153"/>
      <c r="C902" s="153"/>
      <c r="D902" s="154"/>
      <c r="E902" s="154"/>
      <c r="F902" s="154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  <c r="AA902" s="145"/>
    </row>
    <row r="903" spans="1:27" ht="19.5" customHeight="1" x14ac:dyDescent="0.25">
      <c r="A903" s="153"/>
      <c r="B903" s="153"/>
      <c r="C903" s="153"/>
      <c r="D903" s="154"/>
      <c r="E903" s="154"/>
      <c r="F903" s="154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  <c r="AA903" s="145"/>
    </row>
    <row r="904" spans="1:27" ht="19.5" customHeight="1" x14ac:dyDescent="0.25">
      <c r="A904" s="153"/>
      <c r="B904" s="153"/>
      <c r="C904" s="153"/>
      <c r="D904" s="154"/>
      <c r="E904" s="154"/>
      <c r="F904" s="154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  <c r="AA904" s="145"/>
    </row>
    <row r="905" spans="1:27" ht="19.5" customHeight="1" x14ac:dyDescent="0.25">
      <c r="A905" s="153"/>
      <c r="B905" s="153"/>
      <c r="C905" s="153"/>
      <c r="D905" s="154"/>
      <c r="E905" s="154"/>
      <c r="F905" s="154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  <c r="AA905" s="145"/>
    </row>
    <row r="906" spans="1:27" ht="19.5" customHeight="1" x14ac:dyDescent="0.25">
      <c r="A906" s="153"/>
      <c r="B906" s="153"/>
      <c r="C906" s="153"/>
      <c r="D906" s="154"/>
      <c r="E906" s="154"/>
      <c r="F906" s="154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  <c r="AA906" s="145"/>
    </row>
    <row r="907" spans="1:27" ht="19.5" customHeight="1" x14ac:dyDescent="0.25">
      <c r="A907" s="153"/>
      <c r="B907" s="153"/>
      <c r="C907" s="153"/>
      <c r="D907" s="154"/>
      <c r="E907" s="154"/>
      <c r="F907" s="154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  <c r="AA907" s="145"/>
    </row>
    <row r="908" spans="1:27" ht="19.5" customHeight="1" x14ac:dyDescent="0.25">
      <c r="A908" s="153"/>
      <c r="B908" s="153"/>
      <c r="C908" s="153"/>
      <c r="D908" s="154"/>
      <c r="E908" s="154"/>
      <c r="F908" s="154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  <c r="AA908" s="145"/>
    </row>
    <row r="909" spans="1:27" ht="19.5" customHeight="1" x14ac:dyDescent="0.25">
      <c r="A909" s="153"/>
      <c r="B909" s="153"/>
      <c r="C909" s="153"/>
      <c r="D909" s="154"/>
      <c r="E909" s="154"/>
      <c r="F909" s="154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  <c r="AA909" s="145"/>
    </row>
    <row r="910" spans="1:27" ht="19.5" customHeight="1" x14ac:dyDescent="0.25">
      <c r="A910" s="153"/>
      <c r="B910" s="153"/>
      <c r="C910" s="153"/>
      <c r="D910" s="154"/>
      <c r="E910" s="154"/>
      <c r="F910" s="154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  <c r="AA910" s="145"/>
    </row>
    <row r="911" spans="1:27" ht="19.5" customHeight="1" x14ac:dyDescent="0.25">
      <c r="A911" s="153"/>
      <c r="B911" s="153"/>
      <c r="C911" s="153"/>
      <c r="D911" s="154"/>
      <c r="E911" s="154"/>
      <c r="F911" s="154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  <c r="AA911" s="145"/>
    </row>
    <row r="912" spans="1:27" ht="19.5" customHeight="1" x14ac:dyDescent="0.25">
      <c r="A912" s="153"/>
      <c r="B912" s="153"/>
      <c r="C912" s="153"/>
      <c r="D912" s="154"/>
      <c r="E912" s="154"/>
      <c r="F912" s="154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  <c r="AA912" s="145"/>
    </row>
    <row r="913" spans="1:27" ht="19.5" customHeight="1" x14ac:dyDescent="0.25">
      <c r="A913" s="153"/>
      <c r="B913" s="153"/>
      <c r="C913" s="153"/>
      <c r="D913" s="154"/>
      <c r="E913" s="154"/>
      <c r="F913" s="154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  <c r="AA913" s="145"/>
    </row>
    <row r="914" spans="1:27" ht="19.5" customHeight="1" x14ac:dyDescent="0.25">
      <c r="A914" s="153"/>
      <c r="B914" s="153"/>
      <c r="C914" s="153"/>
      <c r="D914" s="154"/>
      <c r="E914" s="154"/>
      <c r="F914" s="154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  <c r="AA914" s="145"/>
    </row>
    <row r="915" spans="1:27" ht="19.5" customHeight="1" x14ac:dyDescent="0.25">
      <c r="A915" s="153"/>
      <c r="B915" s="153"/>
      <c r="C915" s="153"/>
      <c r="D915" s="154"/>
      <c r="E915" s="154"/>
      <c r="F915" s="154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  <c r="AA915" s="145"/>
    </row>
    <row r="916" spans="1:27" ht="19.5" customHeight="1" x14ac:dyDescent="0.25">
      <c r="A916" s="153"/>
      <c r="B916" s="153"/>
      <c r="C916" s="153"/>
      <c r="D916" s="154"/>
      <c r="E916" s="154"/>
      <c r="F916" s="154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  <c r="AA916" s="145"/>
    </row>
    <row r="917" spans="1:27" ht="19.5" customHeight="1" x14ac:dyDescent="0.25">
      <c r="A917" s="153"/>
      <c r="B917" s="153"/>
      <c r="C917" s="153"/>
      <c r="D917" s="154"/>
      <c r="E917" s="154"/>
      <c r="F917" s="154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  <c r="AA917" s="145"/>
    </row>
    <row r="918" spans="1:27" ht="19.5" customHeight="1" x14ac:dyDescent="0.25">
      <c r="A918" s="153"/>
      <c r="B918" s="153"/>
      <c r="C918" s="153"/>
      <c r="D918" s="154"/>
      <c r="E918" s="154"/>
      <c r="F918" s="154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  <c r="AA918" s="145"/>
    </row>
    <row r="919" spans="1:27" ht="19.5" customHeight="1" x14ac:dyDescent="0.25">
      <c r="A919" s="153"/>
      <c r="B919" s="153"/>
      <c r="C919" s="153"/>
      <c r="D919" s="154"/>
      <c r="E919" s="154"/>
      <c r="F919" s="154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  <c r="AA919" s="145"/>
    </row>
    <row r="920" spans="1:27" ht="19.5" customHeight="1" x14ac:dyDescent="0.25">
      <c r="A920" s="153"/>
      <c r="B920" s="153"/>
      <c r="C920" s="153"/>
      <c r="D920" s="154"/>
      <c r="E920" s="154"/>
      <c r="F920" s="154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  <c r="AA920" s="145"/>
    </row>
    <row r="921" spans="1:27" ht="19.5" customHeight="1" x14ac:dyDescent="0.25">
      <c r="A921" s="153"/>
      <c r="B921" s="153"/>
      <c r="C921" s="153"/>
      <c r="D921" s="154"/>
      <c r="E921" s="154"/>
      <c r="F921" s="154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  <c r="AA921" s="145"/>
    </row>
    <row r="922" spans="1:27" ht="19.5" customHeight="1" x14ac:dyDescent="0.25">
      <c r="A922" s="153"/>
      <c r="B922" s="153"/>
      <c r="C922" s="153"/>
      <c r="D922" s="154"/>
      <c r="E922" s="154"/>
      <c r="F922" s="154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  <c r="AA922" s="145"/>
    </row>
    <row r="923" spans="1:27" ht="19.5" customHeight="1" x14ac:dyDescent="0.25">
      <c r="A923" s="153"/>
      <c r="B923" s="153"/>
      <c r="C923" s="153"/>
      <c r="D923" s="154"/>
      <c r="E923" s="154"/>
      <c r="F923" s="154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  <c r="AA923" s="145"/>
    </row>
    <row r="924" spans="1:27" ht="19.5" customHeight="1" x14ac:dyDescent="0.25">
      <c r="A924" s="153"/>
      <c r="B924" s="153"/>
      <c r="C924" s="153"/>
      <c r="D924" s="154"/>
      <c r="E924" s="154"/>
      <c r="F924" s="154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  <c r="AA924" s="145"/>
    </row>
    <row r="925" spans="1:27" ht="19.5" customHeight="1" x14ac:dyDescent="0.25">
      <c r="A925" s="153"/>
      <c r="B925" s="153"/>
      <c r="C925" s="153"/>
      <c r="D925" s="154"/>
      <c r="E925" s="154"/>
      <c r="F925" s="154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  <c r="AA925" s="145"/>
    </row>
    <row r="926" spans="1:27" ht="19.5" customHeight="1" x14ac:dyDescent="0.25">
      <c r="A926" s="153"/>
      <c r="B926" s="153"/>
      <c r="C926" s="153"/>
      <c r="D926" s="154"/>
      <c r="E926" s="154"/>
      <c r="F926" s="154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  <c r="AA926" s="145"/>
    </row>
    <row r="927" spans="1:27" ht="19.5" customHeight="1" x14ac:dyDescent="0.25">
      <c r="A927" s="153"/>
      <c r="B927" s="153"/>
      <c r="C927" s="153"/>
      <c r="D927" s="154"/>
      <c r="E927" s="154"/>
      <c r="F927" s="154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  <c r="AA927" s="145"/>
    </row>
    <row r="928" spans="1:27" ht="19.5" customHeight="1" x14ac:dyDescent="0.25">
      <c r="A928" s="153"/>
      <c r="B928" s="153"/>
      <c r="C928" s="153"/>
      <c r="D928" s="154"/>
      <c r="E928" s="154"/>
      <c r="F928" s="154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  <c r="AA928" s="145"/>
    </row>
    <row r="929" spans="1:27" ht="19.5" customHeight="1" x14ac:dyDescent="0.25">
      <c r="A929" s="153"/>
      <c r="B929" s="153"/>
      <c r="C929" s="153"/>
      <c r="D929" s="154"/>
      <c r="E929" s="154"/>
      <c r="F929" s="154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  <c r="AA929" s="145"/>
    </row>
    <row r="930" spans="1:27" ht="19.5" customHeight="1" x14ac:dyDescent="0.25">
      <c r="A930" s="153"/>
      <c r="B930" s="153"/>
      <c r="C930" s="153"/>
      <c r="D930" s="154"/>
      <c r="E930" s="154"/>
      <c r="F930" s="154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  <c r="AA930" s="145"/>
    </row>
    <row r="931" spans="1:27" ht="19.5" customHeight="1" x14ac:dyDescent="0.25">
      <c r="A931" s="153"/>
      <c r="B931" s="153"/>
      <c r="C931" s="153"/>
      <c r="D931" s="154"/>
      <c r="E931" s="154"/>
      <c r="F931" s="154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  <c r="AA931" s="145"/>
    </row>
    <row r="932" spans="1:27" ht="19.5" customHeight="1" x14ac:dyDescent="0.25">
      <c r="A932" s="153"/>
      <c r="B932" s="153"/>
      <c r="C932" s="153"/>
      <c r="D932" s="154"/>
      <c r="E932" s="154"/>
      <c r="F932" s="154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  <c r="AA932" s="145"/>
    </row>
    <row r="933" spans="1:27" ht="19.5" customHeight="1" x14ac:dyDescent="0.25">
      <c r="A933" s="153"/>
      <c r="B933" s="153"/>
      <c r="C933" s="153"/>
      <c r="D933" s="154"/>
      <c r="E933" s="154"/>
      <c r="F933" s="154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  <c r="AA933" s="145"/>
    </row>
    <row r="934" spans="1:27" ht="19.5" customHeight="1" x14ac:dyDescent="0.25">
      <c r="A934" s="153"/>
      <c r="B934" s="153"/>
      <c r="C934" s="153"/>
      <c r="D934" s="154"/>
      <c r="E934" s="154"/>
      <c r="F934" s="154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  <c r="AA934" s="145"/>
    </row>
    <row r="935" spans="1:27" ht="19.5" customHeight="1" x14ac:dyDescent="0.25">
      <c r="A935" s="153"/>
      <c r="B935" s="153"/>
      <c r="C935" s="153"/>
      <c r="D935" s="154"/>
      <c r="E935" s="154"/>
      <c r="F935" s="154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  <c r="AA935" s="145"/>
    </row>
    <row r="936" spans="1:27" ht="19.5" customHeight="1" x14ac:dyDescent="0.25">
      <c r="A936" s="153"/>
      <c r="B936" s="153"/>
      <c r="C936" s="153"/>
      <c r="D936" s="154"/>
      <c r="E936" s="154"/>
      <c r="F936" s="154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  <c r="AA936" s="145"/>
    </row>
    <row r="937" spans="1:27" ht="19.5" customHeight="1" x14ac:dyDescent="0.25">
      <c r="A937" s="153"/>
      <c r="B937" s="153"/>
      <c r="C937" s="153"/>
      <c r="D937" s="154"/>
      <c r="E937" s="154"/>
      <c r="F937" s="154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  <c r="AA937" s="145"/>
    </row>
    <row r="938" spans="1:27" ht="19.5" customHeight="1" x14ac:dyDescent="0.25">
      <c r="A938" s="153"/>
      <c r="B938" s="153"/>
      <c r="C938" s="153"/>
      <c r="D938" s="154"/>
      <c r="E938" s="154"/>
      <c r="F938" s="154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  <c r="AA938" s="145"/>
    </row>
    <row r="939" spans="1:27" ht="19.5" customHeight="1" x14ac:dyDescent="0.25">
      <c r="A939" s="153"/>
      <c r="B939" s="153"/>
      <c r="C939" s="153"/>
      <c r="D939" s="154"/>
      <c r="E939" s="154"/>
      <c r="F939" s="154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  <c r="AA939" s="145"/>
    </row>
    <row r="940" spans="1:27" ht="19.5" customHeight="1" x14ac:dyDescent="0.25">
      <c r="A940" s="153"/>
      <c r="B940" s="153"/>
      <c r="C940" s="153"/>
      <c r="D940" s="154"/>
      <c r="E940" s="154"/>
      <c r="F940" s="154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  <c r="AA940" s="145"/>
    </row>
    <row r="941" spans="1:27" ht="19.5" customHeight="1" x14ac:dyDescent="0.25">
      <c r="A941" s="153"/>
      <c r="B941" s="153"/>
      <c r="C941" s="153"/>
      <c r="D941" s="154"/>
      <c r="E941" s="154"/>
      <c r="F941" s="154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  <c r="AA941" s="145"/>
    </row>
    <row r="942" spans="1:27" ht="19.5" customHeight="1" x14ac:dyDescent="0.25">
      <c r="A942" s="153"/>
      <c r="B942" s="153"/>
      <c r="C942" s="153"/>
      <c r="D942" s="154"/>
      <c r="E942" s="154"/>
      <c r="F942" s="154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  <c r="AA942" s="145"/>
    </row>
    <row r="943" spans="1:27" ht="19.5" customHeight="1" x14ac:dyDescent="0.25">
      <c r="A943" s="153"/>
      <c r="B943" s="153"/>
      <c r="C943" s="153"/>
      <c r="D943" s="154"/>
      <c r="E943" s="154"/>
      <c r="F943" s="154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  <c r="AA943" s="145"/>
    </row>
    <row r="944" spans="1:27" ht="19.5" customHeight="1" x14ac:dyDescent="0.25">
      <c r="A944" s="153"/>
      <c r="B944" s="153"/>
      <c r="C944" s="153"/>
      <c r="D944" s="154"/>
      <c r="E944" s="154"/>
      <c r="F944" s="154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  <c r="AA944" s="145"/>
    </row>
    <row r="945" spans="1:27" ht="19.5" customHeight="1" x14ac:dyDescent="0.25">
      <c r="A945" s="153"/>
      <c r="B945" s="153"/>
      <c r="C945" s="153"/>
      <c r="D945" s="154"/>
      <c r="E945" s="154"/>
      <c r="F945" s="154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  <c r="AA945" s="145"/>
    </row>
    <row r="946" spans="1:27" ht="19.5" customHeight="1" x14ac:dyDescent="0.25">
      <c r="A946" s="153"/>
      <c r="B946" s="153"/>
      <c r="C946" s="153"/>
      <c r="D946" s="154"/>
      <c r="E946" s="154"/>
      <c r="F946" s="154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  <c r="AA946" s="145"/>
    </row>
    <row r="947" spans="1:27" ht="19.5" customHeight="1" x14ac:dyDescent="0.25">
      <c r="A947" s="153"/>
      <c r="B947" s="153"/>
      <c r="C947" s="153"/>
      <c r="D947" s="154"/>
      <c r="E947" s="154"/>
      <c r="F947" s="154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  <c r="AA947" s="145"/>
    </row>
    <row r="948" spans="1:27" ht="19.5" customHeight="1" x14ac:dyDescent="0.25">
      <c r="A948" s="153"/>
      <c r="B948" s="153"/>
      <c r="C948" s="153"/>
      <c r="D948" s="154"/>
      <c r="E948" s="154"/>
      <c r="F948" s="154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  <c r="AA948" s="145"/>
    </row>
    <row r="949" spans="1:27" ht="19.5" customHeight="1" x14ac:dyDescent="0.25">
      <c r="A949" s="153"/>
      <c r="B949" s="153"/>
      <c r="C949" s="153"/>
      <c r="D949" s="154"/>
      <c r="E949" s="154"/>
      <c r="F949" s="154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  <c r="AA949" s="145"/>
    </row>
    <row r="950" spans="1:27" ht="19.5" customHeight="1" x14ac:dyDescent="0.25">
      <c r="A950" s="153"/>
      <c r="B950" s="153"/>
      <c r="C950" s="153"/>
      <c r="D950" s="154"/>
      <c r="E950" s="154"/>
      <c r="F950" s="154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  <c r="AA950" s="145"/>
    </row>
    <row r="951" spans="1:27" ht="19.5" customHeight="1" x14ac:dyDescent="0.25">
      <c r="A951" s="153"/>
      <c r="B951" s="153"/>
      <c r="C951" s="153"/>
      <c r="D951" s="154"/>
      <c r="E951" s="154"/>
      <c r="F951" s="154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  <c r="AA951" s="145"/>
    </row>
    <row r="952" spans="1:27" ht="19.5" customHeight="1" x14ac:dyDescent="0.25">
      <c r="A952" s="153"/>
      <c r="B952" s="153"/>
      <c r="C952" s="153"/>
      <c r="D952" s="154"/>
      <c r="E952" s="154"/>
      <c r="F952" s="154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  <c r="AA952" s="145"/>
    </row>
    <row r="953" spans="1:27" ht="19.5" customHeight="1" x14ac:dyDescent="0.25">
      <c r="A953" s="153"/>
      <c r="B953" s="153"/>
      <c r="C953" s="153"/>
      <c r="D953" s="154"/>
      <c r="E953" s="154"/>
      <c r="F953" s="154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  <c r="AA953" s="145"/>
    </row>
    <row r="954" spans="1:27" ht="19.5" customHeight="1" x14ac:dyDescent="0.25">
      <c r="A954" s="153"/>
      <c r="B954" s="153"/>
      <c r="C954" s="153"/>
      <c r="D954" s="154"/>
      <c r="E954" s="154"/>
      <c r="F954" s="154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  <c r="AA954" s="145"/>
    </row>
    <row r="955" spans="1:27" ht="19.5" customHeight="1" x14ac:dyDescent="0.25">
      <c r="A955" s="153"/>
      <c r="B955" s="153"/>
      <c r="C955" s="153"/>
      <c r="D955" s="154"/>
      <c r="E955" s="154"/>
      <c r="F955" s="154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  <c r="AA955" s="145"/>
    </row>
    <row r="956" spans="1:27" ht="19.5" customHeight="1" x14ac:dyDescent="0.25">
      <c r="A956" s="153"/>
      <c r="B956" s="153"/>
      <c r="C956" s="153"/>
      <c r="D956" s="154"/>
      <c r="E956" s="154"/>
      <c r="F956" s="154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  <c r="AA956" s="145"/>
    </row>
    <row r="957" spans="1:27" ht="19.5" customHeight="1" x14ac:dyDescent="0.25">
      <c r="A957" s="153"/>
      <c r="B957" s="153"/>
      <c r="C957" s="153"/>
      <c r="D957" s="154"/>
      <c r="E957" s="154"/>
      <c r="F957" s="154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  <c r="AA957" s="145"/>
    </row>
    <row r="958" spans="1:27" ht="19.5" customHeight="1" x14ac:dyDescent="0.25">
      <c r="A958" s="153"/>
      <c r="B958" s="153"/>
      <c r="C958" s="153"/>
      <c r="D958" s="154"/>
      <c r="E958" s="154"/>
      <c r="F958" s="154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  <c r="AA958" s="145"/>
    </row>
    <row r="959" spans="1:27" ht="19.5" customHeight="1" x14ac:dyDescent="0.25">
      <c r="A959" s="153"/>
      <c r="B959" s="153"/>
      <c r="C959" s="153"/>
      <c r="D959" s="154"/>
      <c r="E959" s="154"/>
      <c r="F959" s="154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  <c r="AA959" s="145"/>
    </row>
    <row r="960" spans="1:27" ht="19.5" customHeight="1" x14ac:dyDescent="0.25">
      <c r="A960" s="153"/>
      <c r="B960" s="153"/>
      <c r="C960" s="153"/>
      <c r="D960" s="154"/>
      <c r="E960" s="154"/>
      <c r="F960" s="154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  <c r="AA960" s="145"/>
    </row>
    <row r="961" spans="1:27" ht="19.5" customHeight="1" x14ac:dyDescent="0.25">
      <c r="A961" s="153"/>
      <c r="B961" s="153"/>
      <c r="C961" s="153"/>
      <c r="D961" s="154"/>
      <c r="E961" s="154"/>
      <c r="F961" s="154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  <c r="AA961" s="145"/>
    </row>
    <row r="962" spans="1:27" ht="19.5" customHeight="1" x14ac:dyDescent="0.25">
      <c r="A962" s="153"/>
      <c r="B962" s="153"/>
      <c r="C962" s="153"/>
      <c r="D962" s="154"/>
      <c r="E962" s="154"/>
      <c r="F962" s="154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  <c r="AA962" s="145"/>
    </row>
    <row r="963" spans="1:27" ht="19.5" customHeight="1" x14ac:dyDescent="0.25">
      <c r="A963" s="153"/>
      <c r="B963" s="153"/>
      <c r="C963" s="153"/>
      <c r="D963" s="154"/>
      <c r="E963" s="154"/>
      <c r="F963" s="154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  <c r="AA963" s="145"/>
    </row>
    <row r="964" spans="1:27" ht="19.5" customHeight="1" x14ac:dyDescent="0.25">
      <c r="A964" s="153"/>
      <c r="B964" s="153"/>
      <c r="C964" s="153"/>
      <c r="D964" s="154"/>
      <c r="E964" s="154"/>
      <c r="F964" s="154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  <c r="AA964" s="145"/>
    </row>
    <row r="965" spans="1:27" ht="19.5" customHeight="1" x14ac:dyDescent="0.25">
      <c r="A965" s="153"/>
      <c r="B965" s="153"/>
      <c r="C965" s="153"/>
      <c r="D965" s="154"/>
      <c r="E965" s="154"/>
      <c r="F965" s="154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  <c r="AA965" s="145"/>
    </row>
    <row r="966" spans="1:27" ht="19.5" customHeight="1" x14ac:dyDescent="0.25">
      <c r="A966" s="153"/>
      <c r="B966" s="153"/>
      <c r="C966" s="153"/>
      <c r="D966" s="154"/>
      <c r="E966" s="154"/>
      <c r="F966" s="154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  <c r="AA966" s="145"/>
    </row>
    <row r="967" spans="1:27" ht="19.5" customHeight="1" x14ac:dyDescent="0.25">
      <c r="A967" s="153"/>
      <c r="B967" s="153"/>
      <c r="C967" s="153"/>
      <c r="D967" s="154"/>
      <c r="E967" s="154"/>
      <c r="F967" s="154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  <c r="AA967" s="145"/>
    </row>
    <row r="968" spans="1:27" ht="19.5" customHeight="1" x14ac:dyDescent="0.25">
      <c r="A968" s="153"/>
      <c r="B968" s="153"/>
      <c r="C968" s="153"/>
      <c r="D968" s="154"/>
      <c r="E968" s="154"/>
      <c r="F968" s="154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  <c r="AA968" s="145"/>
    </row>
    <row r="969" spans="1:27" ht="19.5" customHeight="1" x14ac:dyDescent="0.25">
      <c r="A969" s="153"/>
      <c r="B969" s="153"/>
      <c r="C969" s="153"/>
      <c r="D969" s="154"/>
      <c r="E969" s="154"/>
      <c r="F969" s="154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  <c r="AA969" s="145"/>
    </row>
    <row r="970" spans="1:27" ht="19.5" customHeight="1" x14ac:dyDescent="0.25">
      <c r="A970" s="153"/>
      <c r="B970" s="153"/>
      <c r="C970" s="153"/>
      <c r="D970" s="154"/>
      <c r="E970" s="154"/>
      <c r="F970" s="154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  <c r="AA970" s="145"/>
    </row>
    <row r="971" spans="1:27" ht="19.5" customHeight="1" x14ac:dyDescent="0.25">
      <c r="A971" s="153"/>
      <c r="B971" s="153"/>
      <c r="C971" s="153"/>
      <c r="D971" s="154"/>
      <c r="E971" s="154"/>
      <c r="F971" s="154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  <c r="AA971" s="145"/>
    </row>
    <row r="972" spans="1:27" ht="19.5" customHeight="1" x14ac:dyDescent="0.25">
      <c r="A972" s="153"/>
      <c r="B972" s="153"/>
      <c r="C972" s="153"/>
      <c r="D972" s="154"/>
      <c r="E972" s="154"/>
      <c r="F972" s="154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  <c r="AA972" s="145"/>
    </row>
    <row r="973" spans="1:27" ht="19.5" customHeight="1" x14ac:dyDescent="0.25">
      <c r="A973" s="153"/>
      <c r="B973" s="153"/>
      <c r="C973" s="153"/>
      <c r="D973" s="154"/>
      <c r="E973" s="154"/>
      <c r="F973" s="154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  <c r="AA973" s="145"/>
    </row>
    <row r="974" spans="1:27" ht="19.5" customHeight="1" x14ac:dyDescent="0.25">
      <c r="A974" s="153"/>
      <c r="B974" s="153"/>
      <c r="C974" s="153"/>
      <c r="D974" s="154"/>
      <c r="E974" s="154"/>
      <c r="F974" s="154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  <c r="AA974" s="145"/>
    </row>
    <row r="975" spans="1:27" ht="19.5" customHeight="1" x14ac:dyDescent="0.25">
      <c r="A975" s="153"/>
      <c r="B975" s="153"/>
      <c r="C975" s="153"/>
      <c r="D975" s="154"/>
      <c r="E975" s="154"/>
      <c r="F975" s="154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  <c r="AA975" s="145"/>
    </row>
    <row r="976" spans="1:27" ht="19.5" customHeight="1" x14ac:dyDescent="0.25">
      <c r="A976" s="153"/>
      <c r="B976" s="153"/>
      <c r="C976" s="153"/>
      <c r="D976" s="154"/>
      <c r="E976" s="154"/>
      <c r="F976" s="154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  <c r="AA976" s="145"/>
    </row>
    <row r="977" spans="1:27" ht="19.5" customHeight="1" x14ac:dyDescent="0.25">
      <c r="A977" s="153"/>
      <c r="B977" s="153"/>
      <c r="C977" s="153"/>
      <c r="D977" s="154"/>
      <c r="E977" s="154"/>
      <c r="F977" s="154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  <c r="AA977" s="145"/>
    </row>
    <row r="978" spans="1:27" ht="19.5" customHeight="1" x14ac:dyDescent="0.25">
      <c r="A978" s="153"/>
      <c r="B978" s="153"/>
      <c r="C978" s="153"/>
      <c r="D978" s="154"/>
      <c r="E978" s="154"/>
      <c r="F978" s="154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  <c r="AA978" s="145"/>
    </row>
    <row r="979" spans="1:27" ht="19.5" customHeight="1" x14ac:dyDescent="0.25">
      <c r="A979" s="153"/>
      <c r="B979" s="153"/>
      <c r="C979" s="153"/>
      <c r="D979" s="154"/>
      <c r="E979" s="154"/>
      <c r="F979" s="154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  <c r="AA979" s="145"/>
    </row>
    <row r="980" spans="1:27" ht="19.5" customHeight="1" x14ac:dyDescent="0.25">
      <c r="A980" s="153"/>
      <c r="B980" s="153"/>
      <c r="C980" s="153"/>
      <c r="D980" s="154"/>
      <c r="E980" s="154"/>
      <c r="F980" s="154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  <c r="AA980" s="145"/>
    </row>
    <row r="981" spans="1:27" ht="19.5" customHeight="1" x14ac:dyDescent="0.25">
      <c r="A981" s="153"/>
      <c r="B981" s="153"/>
      <c r="C981" s="153"/>
      <c r="D981" s="154"/>
      <c r="E981" s="154"/>
      <c r="F981" s="154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  <c r="AA981" s="145"/>
    </row>
    <row r="982" spans="1:27" ht="19.5" customHeight="1" x14ac:dyDescent="0.25">
      <c r="A982" s="153"/>
      <c r="B982" s="153"/>
      <c r="C982" s="153"/>
      <c r="D982" s="154"/>
      <c r="E982" s="154"/>
      <c r="F982" s="154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  <c r="AA982" s="145"/>
    </row>
    <row r="983" spans="1:27" ht="19.5" customHeight="1" x14ac:dyDescent="0.25">
      <c r="A983" s="153"/>
      <c r="B983" s="153"/>
      <c r="C983" s="153"/>
      <c r="D983" s="154"/>
      <c r="E983" s="154"/>
      <c r="F983" s="154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  <c r="AA983" s="145"/>
    </row>
    <row r="984" spans="1:27" ht="19.5" customHeight="1" x14ac:dyDescent="0.25">
      <c r="A984" s="153"/>
      <c r="B984" s="153"/>
      <c r="C984" s="153"/>
      <c r="D984" s="154"/>
      <c r="E984" s="154"/>
      <c r="F984" s="154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  <c r="AA984" s="145"/>
    </row>
    <row r="985" spans="1:27" ht="19.5" customHeight="1" x14ac:dyDescent="0.25">
      <c r="A985" s="153"/>
      <c r="B985" s="153"/>
      <c r="C985" s="153"/>
      <c r="D985" s="154"/>
      <c r="E985" s="154"/>
      <c r="F985" s="154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  <c r="AA985" s="145"/>
    </row>
    <row r="986" spans="1:27" ht="19.5" customHeight="1" x14ac:dyDescent="0.25">
      <c r="A986" s="153"/>
      <c r="B986" s="153"/>
      <c r="C986" s="153"/>
      <c r="D986" s="154"/>
      <c r="E986" s="154"/>
      <c r="F986" s="154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  <c r="AA986" s="145"/>
    </row>
    <row r="987" spans="1:27" ht="19.5" customHeight="1" x14ac:dyDescent="0.25">
      <c r="A987" s="153"/>
      <c r="B987" s="153"/>
      <c r="C987" s="153"/>
      <c r="D987" s="154"/>
      <c r="E987" s="154"/>
      <c r="F987" s="154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  <c r="AA987" s="145"/>
    </row>
    <row r="988" spans="1:27" ht="19.5" customHeight="1" x14ac:dyDescent="0.25">
      <c r="A988" s="153"/>
      <c r="B988" s="153"/>
      <c r="C988" s="153"/>
      <c r="D988" s="154"/>
      <c r="E988" s="154"/>
      <c r="F988" s="154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  <c r="AA988" s="145"/>
    </row>
    <row r="989" spans="1:27" ht="19.5" customHeight="1" x14ac:dyDescent="0.25">
      <c r="A989" s="153"/>
      <c r="B989" s="153"/>
      <c r="C989" s="153"/>
      <c r="D989" s="154"/>
      <c r="E989" s="154"/>
      <c r="F989" s="154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  <c r="AA989" s="145"/>
    </row>
    <row r="990" spans="1:27" ht="19.5" customHeight="1" x14ac:dyDescent="0.25">
      <c r="A990" s="153"/>
      <c r="B990" s="153"/>
      <c r="C990" s="153"/>
      <c r="D990" s="154"/>
      <c r="E990" s="154"/>
      <c r="F990" s="154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  <c r="AA990" s="145"/>
    </row>
    <row r="991" spans="1:27" ht="19.5" customHeight="1" x14ac:dyDescent="0.25">
      <c r="A991" s="153"/>
      <c r="B991" s="153"/>
      <c r="C991" s="153"/>
      <c r="D991" s="154"/>
      <c r="E991" s="154"/>
      <c r="F991" s="154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  <c r="AA991" s="145"/>
    </row>
    <row r="992" spans="1:27" ht="19.5" customHeight="1" x14ac:dyDescent="0.25">
      <c r="A992" s="153"/>
      <c r="B992" s="153"/>
      <c r="C992" s="153"/>
      <c r="D992" s="154"/>
      <c r="E992" s="154"/>
      <c r="F992" s="154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  <c r="AA992" s="145"/>
    </row>
    <row r="993" spans="1:27" ht="19.5" customHeight="1" x14ac:dyDescent="0.25">
      <c r="A993" s="153"/>
      <c r="B993" s="153"/>
      <c r="C993" s="153"/>
      <c r="D993" s="154"/>
      <c r="E993" s="154"/>
      <c r="F993" s="154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  <c r="AA993" s="145"/>
    </row>
    <row r="994" spans="1:27" ht="19.5" customHeight="1" x14ac:dyDescent="0.25">
      <c r="A994" s="153"/>
      <c r="B994" s="153"/>
      <c r="C994" s="153"/>
      <c r="D994" s="154"/>
      <c r="E994" s="154"/>
      <c r="F994" s="154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  <c r="AA994" s="145"/>
    </row>
    <row r="995" spans="1:27" ht="19.5" customHeight="1" x14ac:dyDescent="0.25">
      <c r="A995" s="153"/>
      <c r="B995" s="153"/>
      <c r="C995" s="153"/>
      <c r="D995" s="154"/>
      <c r="E995" s="154"/>
      <c r="F995" s="154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  <c r="AA995" s="145"/>
    </row>
    <row r="996" spans="1:27" ht="19.5" customHeight="1" x14ac:dyDescent="0.25">
      <c r="A996" s="153"/>
      <c r="B996" s="153"/>
      <c r="C996" s="153"/>
      <c r="D996" s="154"/>
      <c r="E996" s="154"/>
      <c r="F996" s="154"/>
      <c r="G996" s="145"/>
      <c r="H996" s="145"/>
      <c r="I996" s="145"/>
      <c r="J996" s="145"/>
      <c r="K996" s="145"/>
      <c r="L996" s="145"/>
      <c r="M996" s="145"/>
      <c r="N996" s="145"/>
      <c r="O996" s="145"/>
      <c r="P996" s="145"/>
      <c r="Q996" s="145"/>
      <c r="R996" s="145"/>
      <c r="S996" s="145"/>
      <c r="T996" s="145"/>
      <c r="U996" s="145"/>
      <c r="V996" s="145"/>
      <c r="W996" s="145"/>
      <c r="X996" s="145"/>
      <c r="Y996" s="145"/>
      <c r="Z996" s="145"/>
      <c r="AA996" s="145"/>
    </row>
  </sheetData>
  <mergeCells count="7">
    <mergeCell ref="A12:F12"/>
    <mergeCell ref="A72:E72"/>
    <mergeCell ref="A1:F5"/>
    <mergeCell ref="B7:F7"/>
    <mergeCell ref="B8:F8"/>
    <mergeCell ref="B9:F9"/>
    <mergeCell ref="B10:F10"/>
  </mergeCells>
  <phoneticPr fontId="30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CANTEIRO</vt:lpstr>
      <vt:lpstr>BASES</vt:lpstr>
      <vt:lpstr>EPCs</vt:lpstr>
      <vt:lpstr>CUSTOS_INDIRETOS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Patricia Bragatto</cp:lastModifiedBy>
  <dcterms:created xsi:type="dcterms:W3CDTF">2011-05-06T12:13:22Z</dcterms:created>
  <dcterms:modified xsi:type="dcterms:W3CDTF">2026-02-02T17:51:30Z</dcterms:modified>
</cp:coreProperties>
</file>