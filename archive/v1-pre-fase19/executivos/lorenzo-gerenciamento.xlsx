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G:\.shortcut-targets-by-id\16oaQUYgx8kiowDwLhg-oO1zGZ777DJUb\2. Projetos em Andamento\Meia Praia Empreendimentos Imobiliários\2024\Lorenzo Gabriel\04. Custo\03.0 Custo - Orçamento Paramétrico\"/>
    </mc:Choice>
  </mc:AlternateContent>
  <xr:revisionPtr revIDLastSave="0" documentId="13_ncr:1_{BA04AEB6-3DB7-41C3-B39D-A08EA003E9C2}" xr6:coauthVersionLast="47" xr6:coauthVersionMax="47" xr10:uidLastSave="{00000000-0000-0000-0000-000000000000}"/>
  <bookViews>
    <workbookView xWindow="11625" yWindow="1995" windowWidth="22455" windowHeight="12330" tabRatio="849" firstSheet="11" activeTab="16" xr2:uid="{00000000-000D-0000-FFFF-FFFF00000000}"/>
  </bookViews>
  <sheets>
    <sheet name="DADOS_INICIAIS" sheetId="46" r:id="rId1"/>
    <sheet name="MOVIMENTAÇÃO_DE_TERRA" sheetId="47" r:id="rId2"/>
    <sheet name="CONTENÇÕES" sheetId="49" state="hidden" r:id="rId3"/>
    <sheet name="INFRAESTRUTURA" sheetId="21" r:id="rId4"/>
    <sheet name="SUPRAESTRUTURA" sheetId="48" r:id="rId5"/>
    <sheet name="ALVENARIA" sheetId="61" r:id="rId6"/>
    <sheet name="INSTALAÇÕES" sheetId="58" r:id="rId7"/>
    <sheet name="SISTEMAS ESPECIAIS" sheetId="59" r:id="rId8"/>
    <sheet name="IMPERMEABILIZAÇÃO" sheetId="62" r:id="rId9"/>
    <sheet name="PISO" sheetId="67" r:id="rId10"/>
    <sheet name="Rev. Internos Piso e Parede" sheetId="51" r:id="rId11"/>
    <sheet name="TETO" sheetId="63" r:id="rId12"/>
    <sheet name="Acabamentos de Piso e Parede" sheetId="53" r:id="rId13"/>
    <sheet name="PINTURA INTERNA" sheetId="64" r:id="rId14"/>
    <sheet name="ESQUADRIAS" sheetId="65" r:id="rId15"/>
    <sheet name="COBERTURA" sheetId="66" r:id="rId16"/>
    <sheet name="Rev. Fachada" sheetId="55" r:id="rId17"/>
    <sheet name="COMPLEMENTARES" sheetId="60" r:id="rId18"/>
    <sheet name="Auxiliar" sheetId="36" state="hidden" r:id="rId19"/>
  </sheets>
  <externalReferences>
    <externalReference r:id="rId20"/>
    <externalReference r:id="rId21"/>
    <externalReference r:id="rId22"/>
  </externalReferences>
  <definedNames>
    <definedName name="\0" localSheetId="15">#REF!</definedName>
    <definedName name="\0" localSheetId="17">#REF!</definedName>
    <definedName name="\0" localSheetId="0">#REF!</definedName>
    <definedName name="\0" localSheetId="6">#REF!</definedName>
    <definedName name="\0" localSheetId="1">#REF!</definedName>
    <definedName name="\0" localSheetId="7">#REF!</definedName>
    <definedName name="\0">#REF!</definedName>
    <definedName name="\a" localSheetId="0">#REF!</definedName>
    <definedName name="\a">#REF!</definedName>
    <definedName name="\m" localSheetId="0">#REF!</definedName>
    <definedName name="\m">#REF!</definedName>
    <definedName name="_xlnm._FilterDatabase" localSheetId="18" hidden="1">Auxiliar!$A$1:$D$68</definedName>
    <definedName name="_xlnm._FilterDatabase" localSheetId="0" hidden="1">DADOS_INICIAIS!#REF!</definedName>
    <definedName name="aa" localSheetId="0">#REF!</definedName>
    <definedName name="aa">#REF!</definedName>
    <definedName name="aaaa" localSheetId="15">'[1]M.O.'!#REF!</definedName>
    <definedName name="aaaa" localSheetId="17">'[1]M.O.'!#REF!</definedName>
    <definedName name="aaaa" localSheetId="0">'[1]M.O.'!#REF!</definedName>
    <definedName name="aaaa" localSheetId="6">'[1]M.O.'!#REF!</definedName>
    <definedName name="aaaa" localSheetId="1">'[1]M.O.'!#REF!</definedName>
    <definedName name="aaaa" localSheetId="7">'[1]M.O.'!#REF!</definedName>
    <definedName name="aaaa">'[1]M.O.'!#REF!</definedName>
    <definedName name="angelo" localSheetId="15">[2]Geral!#REF!</definedName>
    <definedName name="angelo" localSheetId="17">[2]Geral!#REF!</definedName>
    <definedName name="angelo" localSheetId="0">[2]Geral!#REF!</definedName>
    <definedName name="angelo" localSheetId="6">[2]Geral!#REF!</definedName>
    <definedName name="angelo" localSheetId="1">[2]Geral!#REF!</definedName>
    <definedName name="angelo" localSheetId="7">[2]Geral!#REF!</definedName>
    <definedName name="angelo">[2]Geral!#REF!</definedName>
    <definedName name="area">#REF!</definedName>
    <definedName name="_xlnm.Print_Area" localSheetId="12">'Acabamentos de Piso e Parede'!$A$1:$H$26</definedName>
    <definedName name="_xlnm.Print_Area" localSheetId="5">ALVENARIA!$A$1:$I$19</definedName>
    <definedName name="_xlnm.Print_Area" localSheetId="15">COBERTURA!$A$1:$H$14</definedName>
    <definedName name="_xlnm.Print_Area" localSheetId="17">COMPLEMENTARES!$A$1:$G$16</definedName>
    <definedName name="_xlnm.Print_Area" localSheetId="2">CONTENÇÕES!$A$1:$I$45</definedName>
    <definedName name="_xlnm.Print_Area" localSheetId="0">DADOS_INICIAIS!$A$1:$G$28</definedName>
    <definedName name="_xlnm.Print_Area" localSheetId="14">ESQUADRIAS!$A$1:$I$23</definedName>
    <definedName name="_xlnm.Print_Area" localSheetId="8">IMPERMEABILIZAÇÃO!$A$1:$I$24</definedName>
    <definedName name="_xlnm.Print_Area" localSheetId="3">INFRAESTRUTURA!$A$1:$I$35</definedName>
    <definedName name="_xlnm.Print_Area" localSheetId="6">INSTALAÇÕES!$A$1:$E$33</definedName>
    <definedName name="_xlnm.Print_Area" localSheetId="1">MOVIMENTAÇÃO_DE_TERRA!$A$1:$G$25</definedName>
    <definedName name="_xlnm.Print_Area" localSheetId="13">'PINTURA INTERNA'!$A$1:$I$17</definedName>
    <definedName name="_xlnm.Print_Area" localSheetId="16">'Rev. Fachada'!$A$1:$H$23</definedName>
    <definedName name="_xlnm.Print_Area" localSheetId="10">'Rev. Internos Piso e Parede'!$A$1:$H$27</definedName>
    <definedName name="_xlnm.Print_Area" localSheetId="7">'SISTEMAS ESPECIAIS'!$A$1:$E$30</definedName>
    <definedName name="_xlnm.Print_Area" localSheetId="4">SUPRAESTRUTURA!$A$1:$I$18</definedName>
    <definedName name="_xlnm.Print_Area" localSheetId="11">TETO!$A$1:$I$15</definedName>
    <definedName name="_xlnm.Print_Area">#REF!</definedName>
    <definedName name="aux" localSheetId="15">#REF!</definedName>
    <definedName name="aux" localSheetId="17">#REF!</definedName>
    <definedName name="aux" localSheetId="0">#REF!</definedName>
    <definedName name="aux" localSheetId="6">#REF!</definedName>
    <definedName name="aux" localSheetId="1">#REF!</definedName>
    <definedName name="aux" localSheetId="7">#REF!</definedName>
    <definedName name="aux">#REF!</definedName>
    <definedName name="BDA" localSheetId="0">#REF!</definedName>
    <definedName name="BDA">#REF!</definedName>
    <definedName name="BDI">#REF!</definedName>
    <definedName name="ca">#REF!</definedName>
    <definedName name="Capa">#REF!</definedName>
    <definedName name="cronograma">#REF!</definedName>
    <definedName name="D">#REF!</definedName>
    <definedName name="direto">#REF!</definedName>
    <definedName name="DRE">#REF!</definedName>
    <definedName name="ea">#REF!</definedName>
    <definedName name="eee" localSheetId="15" hidden="1">{#N/A,#N/A,FALSE,"ET-CAPA";#N/A,#N/A,FALSE,"ET-PAG1";#N/A,#N/A,FALSE,"ET-PAG2";#N/A,#N/A,FALSE,"ET-PAG3";#N/A,#N/A,FALSE,"ET-PAG4";#N/A,#N/A,FALSE,"ET-PAG5"}</definedName>
    <definedName name="eee" localSheetId="17" hidden="1">{#N/A,#N/A,FALSE,"ET-CAPA";#N/A,#N/A,FALSE,"ET-PAG1";#N/A,#N/A,FALSE,"ET-PAG2";#N/A,#N/A,FALSE,"ET-PAG3";#N/A,#N/A,FALSE,"ET-PAG4";#N/A,#N/A,FALSE,"ET-PAG5"}</definedName>
    <definedName name="eee" localSheetId="0" hidden="1">{#N/A,#N/A,FALSE,"ET-CAPA";#N/A,#N/A,FALSE,"ET-PAG1";#N/A,#N/A,FALSE,"ET-PAG2";#N/A,#N/A,FALSE,"ET-PAG3";#N/A,#N/A,FALSE,"ET-PAG4";#N/A,#N/A,FALSE,"ET-PAG5"}</definedName>
    <definedName name="eee" localSheetId="6" hidden="1">{#N/A,#N/A,FALSE,"ET-CAPA";#N/A,#N/A,FALSE,"ET-PAG1";#N/A,#N/A,FALSE,"ET-PAG2";#N/A,#N/A,FALSE,"ET-PAG3";#N/A,#N/A,FALSE,"ET-PAG4";#N/A,#N/A,FALSE,"ET-PAG5"}</definedName>
    <definedName name="eee" localSheetId="1" hidden="1">{#N/A,#N/A,FALSE,"ET-CAPA";#N/A,#N/A,FALSE,"ET-PAG1";#N/A,#N/A,FALSE,"ET-PAG2";#N/A,#N/A,FALSE,"ET-PAG3";#N/A,#N/A,FALSE,"ET-PAG4";#N/A,#N/A,FALSE,"ET-PAG5"}</definedName>
    <definedName name="eee" localSheetId="7" hidden="1">{#N/A,#N/A,FALSE,"ET-CAPA";#N/A,#N/A,FALSE,"ET-PAG1";#N/A,#N/A,FALSE,"ET-PAG2";#N/A,#N/A,FALSE,"ET-PAG3";#N/A,#N/A,FALSE,"ET-PAG4";#N/A,#N/A,FALSE,"ET-PAG5"}</definedName>
    <definedName name="eee" hidden="1">{#N/A,#N/A,FALSE,"ET-CAPA";#N/A,#N/A,FALSE,"ET-PAG1";#N/A,#N/A,FALSE,"ET-PAG2";#N/A,#N/A,FALSE,"ET-PAG3";#N/A,#N/A,FALSE,"ET-PAG4";#N/A,#N/A,FALSE,"ET-PAG5"}</definedName>
    <definedName name="FFFFFFF" localSheetId="15">#REF!</definedName>
    <definedName name="FFFFFFF" localSheetId="17">#REF!</definedName>
    <definedName name="FFFFFFF" localSheetId="0">#REF!</definedName>
    <definedName name="FFFFFFF" localSheetId="6">#REF!</definedName>
    <definedName name="FFFFFFF" localSheetId="1">#REF!</definedName>
    <definedName name="FFFFFFF" localSheetId="7">#REF!</definedName>
    <definedName name="FFFFFFF">#REF!</definedName>
    <definedName name="item_1" localSheetId="15">#REF!</definedName>
    <definedName name="item_1" localSheetId="17">#REF!</definedName>
    <definedName name="item_1" localSheetId="0">#REF!</definedName>
    <definedName name="item_1" localSheetId="6">#REF!</definedName>
    <definedName name="item_1" localSheetId="1">#REF!</definedName>
    <definedName name="item_1" localSheetId="7">#REF!</definedName>
    <definedName name="item_1">#REF!</definedName>
    <definedName name="LS" localSheetId="15">'[1]M.O.'!#REF!</definedName>
    <definedName name="LS" localSheetId="17">'[1]M.O.'!#REF!</definedName>
    <definedName name="LS" localSheetId="0">'[1]M.O.'!#REF!</definedName>
    <definedName name="LS" localSheetId="6">'[1]M.O.'!#REF!</definedName>
    <definedName name="LS" localSheetId="1">'[1]M.O.'!#REF!</definedName>
    <definedName name="LS" localSheetId="7">'[1]M.O.'!#REF!</definedName>
    <definedName name="LS">'[1]M.O.'!#REF!</definedName>
    <definedName name="MENU" localSheetId="15">#REF!</definedName>
    <definedName name="MENU" localSheetId="17">#REF!</definedName>
    <definedName name="MENU" localSheetId="0">#REF!</definedName>
    <definedName name="MENU" localSheetId="6">#REF!</definedName>
    <definedName name="MENU" localSheetId="1">#REF!</definedName>
    <definedName name="MENU" localSheetId="7">#REF!</definedName>
    <definedName name="MENU">#REF!</definedName>
    <definedName name="MENU1" localSheetId="0">#REF!</definedName>
    <definedName name="MENU1">#REF!</definedName>
    <definedName name="MENU2" localSheetId="0">#REF!</definedName>
    <definedName name="MENU2">#REF!</definedName>
    <definedName name="MENU3">#REF!</definedName>
    <definedName name="MENU4">#REF!</definedName>
    <definedName name="MENU5">#REF!</definedName>
    <definedName name="MENU6">#REF!</definedName>
    <definedName name="mo">#REF!</definedName>
    <definedName name="OAE">#REF!</definedName>
    <definedName name="ParamValues1">[3]ParamValues!$A$1:$A$39</definedName>
    <definedName name="PAV" localSheetId="15">#REF!</definedName>
    <definedName name="PAV" localSheetId="17">#REF!</definedName>
    <definedName name="PAV" localSheetId="0">#REF!</definedName>
    <definedName name="PAV" localSheetId="6">#REF!</definedName>
    <definedName name="PAV" localSheetId="1">#REF!</definedName>
    <definedName name="PAV" localSheetId="7">#REF!</definedName>
    <definedName name="PAV">#REF!</definedName>
    <definedName name="pr">#REF!</definedName>
    <definedName name="PRE">#REF!</definedName>
    <definedName name="Print_Area_MI">#REF!</definedName>
    <definedName name="qe">#REF!</definedName>
    <definedName name="qee">#REF!</definedName>
    <definedName name="reforsu">#REF!</definedName>
    <definedName name="ren">#REF!</definedName>
    <definedName name="REV">#REF!</definedName>
    <definedName name="sa">#REF!</definedName>
    <definedName name="SEG">#REF!</definedName>
    <definedName name="SIH">#REF!</definedName>
    <definedName name="SIV">#REF!</definedName>
    <definedName name="ss">#REF!</definedName>
    <definedName name="susref">#REF!</definedName>
    <definedName name="tania">#REF!</definedName>
    <definedName name="tc">#REF!</definedName>
    <definedName name="titulos">#REF!</definedName>
    <definedName name="_xlnm.Print_Titles" localSheetId="12">'Acabamentos de Piso e Parede'!$7:$11</definedName>
    <definedName name="_xlnm.Print_Titles" localSheetId="5">ALVENARIA!$2:$2</definedName>
    <definedName name="_xlnm.Print_Titles" localSheetId="15">COBERTURA!#REF!</definedName>
    <definedName name="_xlnm.Print_Titles" localSheetId="17">COMPLEMENTARES!#REF!</definedName>
    <definedName name="_xlnm.Print_Titles" localSheetId="2">CONTENÇÕES!$2:$2</definedName>
    <definedName name="_xlnm.Print_Titles" localSheetId="0">DADOS_INICIAIS!$1:$6</definedName>
    <definedName name="_xlnm.Print_Titles" localSheetId="14">ESQUADRIAS!$2:$2</definedName>
    <definedName name="_xlnm.Print_Titles" localSheetId="8">IMPERMEABILIZAÇÃO!$2:$2</definedName>
    <definedName name="_xlnm.Print_Titles" localSheetId="3">INFRAESTRUTURA!$2:$2</definedName>
    <definedName name="_xlnm.Print_Titles" localSheetId="6">INSTALAÇÕES!#REF!</definedName>
    <definedName name="_xlnm.Print_Titles" localSheetId="1">MOVIMENTAÇÃO_DE_TERRA!#REF!</definedName>
    <definedName name="_xlnm.Print_Titles" localSheetId="13">'PINTURA INTERNA'!$2:$2</definedName>
    <definedName name="_xlnm.Print_Titles" localSheetId="16">'Rev. Fachada'!$7:$11</definedName>
    <definedName name="_xlnm.Print_Titles" localSheetId="10">'Rev. Internos Piso e Parede'!$7:$11</definedName>
    <definedName name="_xlnm.Print_Titles" localSheetId="7">'SISTEMAS ESPECIAIS'!#REF!</definedName>
    <definedName name="_xlnm.Print_Titles" localSheetId="4">SUPRAESTRUTURA!$2:$2</definedName>
    <definedName name="_xlnm.Print_Titles" localSheetId="11">TETO!$2:$2</definedName>
    <definedName name="_xlnm.Print_Titles">#REF!</definedName>
    <definedName name="TOT" localSheetId="15">#REF!</definedName>
    <definedName name="TOT" localSheetId="17">#REF!</definedName>
    <definedName name="TOT" localSheetId="0">#REF!</definedName>
    <definedName name="TOT" localSheetId="6">#REF!</definedName>
    <definedName name="TOT" localSheetId="1">#REF!</definedName>
    <definedName name="TOT" localSheetId="7">#REF!</definedName>
    <definedName name="TOT">#REF!</definedName>
    <definedName name="Total" localSheetId="0">#REF!</definedName>
    <definedName name="Total">#REF!</definedName>
    <definedName name="TRP">#REF!</definedName>
    <definedName name="u" localSheetId="15" hidden="1">{#N/A,#N/A,FALSE,"ET-CAPA";#N/A,#N/A,FALSE,"ET-PAG1";#N/A,#N/A,FALSE,"ET-PAG2";#N/A,#N/A,FALSE,"ET-PAG3";#N/A,#N/A,FALSE,"ET-PAG4";#N/A,#N/A,FALSE,"ET-PAG5"}</definedName>
    <definedName name="u" localSheetId="17" hidden="1">{#N/A,#N/A,FALSE,"ET-CAPA";#N/A,#N/A,FALSE,"ET-PAG1";#N/A,#N/A,FALSE,"ET-PAG2";#N/A,#N/A,FALSE,"ET-PAG3";#N/A,#N/A,FALSE,"ET-PAG4";#N/A,#N/A,FALSE,"ET-PAG5"}</definedName>
    <definedName name="u" localSheetId="0" hidden="1">{#N/A,#N/A,FALSE,"ET-CAPA";#N/A,#N/A,FALSE,"ET-PAG1";#N/A,#N/A,FALSE,"ET-PAG2";#N/A,#N/A,FALSE,"ET-PAG3";#N/A,#N/A,FALSE,"ET-PAG4";#N/A,#N/A,FALSE,"ET-PAG5"}</definedName>
    <definedName name="u" localSheetId="6" hidden="1">{#N/A,#N/A,FALSE,"ET-CAPA";#N/A,#N/A,FALSE,"ET-PAG1";#N/A,#N/A,FALSE,"ET-PAG2";#N/A,#N/A,FALSE,"ET-PAG3";#N/A,#N/A,FALSE,"ET-PAG4";#N/A,#N/A,FALSE,"ET-PAG5"}</definedName>
    <definedName name="u" localSheetId="1" hidden="1">{#N/A,#N/A,FALSE,"ET-CAPA";#N/A,#N/A,FALSE,"ET-PAG1";#N/A,#N/A,FALSE,"ET-PAG2";#N/A,#N/A,FALSE,"ET-PAG3";#N/A,#N/A,FALSE,"ET-PAG4";#N/A,#N/A,FALSE,"ET-PAG5"}</definedName>
    <definedName name="u" localSheetId="7" hidden="1">{#N/A,#N/A,FALSE,"ET-CAPA";#N/A,#N/A,FALSE,"ET-PAG1";#N/A,#N/A,FALSE,"ET-PAG2";#N/A,#N/A,FALSE,"ET-PAG3";#N/A,#N/A,FALSE,"ET-PAG4";#N/A,#N/A,FALSE,"ET-PAG5"}</definedName>
    <definedName name="u" hidden="1">{#N/A,#N/A,FALSE,"ET-CAPA";#N/A,#N/A,FALSE,"ET-PAG1";#N/A,#N/A,FALSE,"ET-PAG2";#N/A,#N/A,FALSE,"ET-PAG3";#N/A,#N/A,FALSE,"ET-PAG4";#N/A,#N/A,FALSE,"ET-PAG5"}</definedName>
    <definedName name="wrn.GERAL." localSheetId="15" hidden="1">{#N/A,#N/A,FALSE,"ET-CAPA";#N/A,#N/A,FALSE,"ET-PAG1";#N/A,#N/A,FALSE,"ET-PAG2";#N/A,#N/A,FALSE,"ET-PAG3";#N/A,#N/A,FALSE,"ET-PAG4";#N/A,#N/A,FALSE,"ET-PAG5"}</definedName>
    <definedName name="wrn.GERAL." localSheetId="17" hidden="1">{#N/A,#N/A,FALSE,"ET-CAPA";#N/A,#N/A,FALSE,"ET-PAG1";#N/A,#N/A,FALSE,"ET-PAG2";#N/A,#N/A,FALSE,"ET-PAG3";#N/A,#N/A,FALSE,"ET-PAG4";#N/A,#N/A,FALSE,"ET-PAG5"}</definedName>
    <definedName name="wrn.GERAL." localSheetId="0" hidden="1">{#N/A,#N/A,FALSE,"ET-CAPA";#N/A,#N/A,FALSE,"ET-PAG1";#N/A,#N/A,FALSE,"ET-PAG2";#N/A,#N/A,FALSE,"ET-PAG3";#N/A,#N/A,FALSE,"ET-PAG4";#N/A,#N/A,FALSE,"ET-PAG5"}</definedName>
    <definedName name="wrn.GERAL." localSheetId="6" hidden="1">{#N/A,#N/A,FALSE,"ET-CAPA";#N/A,#N/A,FALSE,"ET-PAG1";#N/A,#N/A,FALSE,"ET-PAG2";#N/A,#N/A,FALSE,"ET-PAG3";#N/A,#N/A,FALSE,"ET-PAG4";#N/A,#N/A,FALSE,"ET-PAG5"}</definedName>
    <definedName name="wrn.GERAL." localSheetId="1" hidden="1">{#N/A,#N/A,FALSE,"ET-CAPA";#N/A,#N/A,FALSE,"ET-PAG1";#N/A,#N/A,FALSE,"ET-PAG2";#N/A,#N/A,FALSE,"ET-PAG3";#N/A,#N/A,FALSE,"ET-PAG4";#N/A,#N/A,FALSE,"ET-PAG5"}</definedName>
    <definedName name="wrn.GERAL." localSheetId="7" hidden="1">{#N/A,#N/A,FALSE,"ET-CAPA";#N/A,#N/A,FALSE,"ET-PAG1";#N/A,#N/A,FALSE,"ET-PAG2";#N/A,#N/A,FALSE,"ET-PAG3";#N/A,#N/A,FALSE,"ET-PAG4";#N/A,#N/A,FALSE,"ET-PAG5"}</definedName>
    <definedName name="wrn.GERAL." hidden="1">{#N/A,#N/A,FALSE,"ET-CAPA";#N/A,#N/A,FALSE,"ET-PAG1";#N/A,#N/A,FALSE,"ET-PAG2";#N/A,#N/A,FALSE,"ET-PAG3";#N/A,#N/A,FALSE,"ET-PAG4";#N/A,#N/A,FALSE,"ET-PAG5"}</definedName>
    <definedName name="xxxx" localSheetId="15">#REF!</definedName>
    <definedName name="xxxx" localSheetId="17">#REF!</definedName>
    <definedName name="xxxx" localSheetId="0">#REF!</definedName>
    <definedName name="xxxx" localSheetId="6">#REF!</definedName>
    <definedName name="xxxx" localSheetId="1">#REF!</definedName>
    <definedName name="xxxx" localSheetId="7">#REF!</definedName>
    <definedName name="xxxx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5" i="55" l="1"/>
  <c r="K16" i="64"/>
  <c r="J12" i="64"/>
  <c r="H11" i="64"/>
  <c r="H14" i="53"/>
  <c r="J16" i="53"/>
  <c r="D24" i="48"/>
  <c r="D25" i="48" s="1"/>
  <c r="H26" i="48"/>
  <c r="G13" i="66" l="1"/>
  <c r="D10" i="65"/>
  <c r="B13" i="64"/>
  <c r="B12" i="64"/>
  <c r="B23" i="51"/>
  <c r="D11" i="65"/>
  <c r="C25" i="59" l="1"/>
  <c r="D10" i="64" l="1"/>
  <c r="B24" i="53"/>
  <c r="B23" i="53"/>
  <c r="B22" i="53"/>
  <c r="B17" i="53"/>
  <c r="B16" i="51"/>
  <c r="B20" i="51" s="1"/>
  <c r="B16" i="53"/>
  <c r="B15" i="53"/>
  <c r="B24" i="51"/>
  <c r="B25" i="51" s="1"/>
  <c r="B22" i="51"/>
  <c r="B21" i="51"/>
  <c r="B19" i="51"/>
  <c r="B18" i="51"/>
  <c r="B17" i="51"/>
  <c r="B15" i="51"/>
  <c r="H11" i="67"/>
  <c r="D12" i="67"/>
  <c r="H12" i="67"/>
  <c r="D13" i="67"/>
  <c r="H13" i="67" s="1"/>
  <c r="D14" i="67"/>
  <c r="H14" i="67"/>
  <c r="H15" i="67"/>
  <c r="H16" i="67"/>
  <c r="H17" i="67"/>
  <c r="L17" i="67"/>
  <c r="D18" i="67"/>
  <c r="H18" i="67"/>
  <c r="L18" i="67"/>
  <c r="H19" i="67"/>
  <c r="L19" i="67"/>
  <c r="D20" i="67"/>
  <c r="H20" i="67"/>
  <c r="L20" i="67"/>
  <c r="H21" i="67"/>
  <c r="L21" i="67"/>
  <c r="D22" i="67"/>
  <c r="H22" i="67"/>
  <c r="L22" i="67"/>
  <c r="D23" i="67"/>
  <c r="H23" i="67"/>
  <c r="H24" i="67"/>
  <c r="H25" i="67"/>
  <c r="H26" i="67"/>
  <c r="D27" i="67"/>
  <c r="H27" i="67"/>
  <c r="H28" i="67"/>
  <c r="H29" i="67"/>
  <c r="H30" i="67"/>
  <c r="H31" i="67"/>
  <c r="H32" i="67"/>
  <c r="H33" i="67"/>
  <c r="H34" i="67"/>
  <c r="H35" i="67"/>
  <c r="D36" i="67"/>
  <c r="H36" i="67"/>
  <c r="D37" i="67"/>
  <c r="H37" i="67"/>
  <c r="D38" i="67"/>
  <c r="H38" i="67" s="1"/>
  <c r="D39" i="67"/>
  <c r="G39" i="67"/>
  <c r="H39" i="67"/>
  <c r="D40" i="67"/>
  <c r="H40" i="67"/>
  <c r="D12" i="63" l="1"/>
  <c r="L11" i="67"/>
  <c r="L16" i="67"/>
  <c r="B15" i="55"/>
  <c r="B31" i="51" s="1"/>
  <c r="D20" i="65" l="1"/>
  <c r="D15" i="65"/>
  <c r="D14" i="65"/>
  <c r="D18" i="65"/>
  <c r="D19" i="65"/>
  <c r="G12" i="65"/>
  <c r="G13" i="65"/>
  <c r="D9" i="66"/>
  <c r="B27" i="55"/>
  <c r="L18" i="55"/>
  <c r="D10" i="63"/>
  <c r="D11" i="63" s="1"/>
  <c r="D11" i="62"/>
  <c r="B10" i="59"/>
  <c r="B9" i="59"/>
  <c r="I7" i="59"/>
  <c r="B7" i="59" s="1"/>
  <c r="E22" i="46"/>
  <c r="E12" i="46"/>
  <c r="E11" i="46"/>
  <c r="G18" i="51"/>
  <c r="F18" i="62"/>
  <c r="F30" i="48"/>
  <c r="I15" i="64"/>
  <c r="I16" i="64"/>
  <c r="I14" i="64"/>
  <c r="I12" i="64"/>
  <c r="I13" i="64"/>
  <c r="I11" i="64"/>
  <c r="I16" i="53"/>
  <c r="I15" i="53"/>
  <c r="I14" i="53"/>
  <c r="I21" i="53"/>
  <c r="I20" i="53"/>
  <c r="I19" i="53"/>
  <c r="I24" i="53"/>
  <c r="I23" i="53"/>
  <c r="I22" i="53"/>
  <c r="I15" i="62"/>
  <c r="I14" i="62"/>
  <c r="I13" i="62"/>
  <c r="I16" i="62"/>
  <c r="I17" i="62" s="1"/>
  <c r="F20" i="65"/>
  <c r="E21" i="65"/>
  <c r="F10" i="64"/>
  <c r="F11" i="64"/>
  <c r="F15" i="64"/>
  <c r="B10" i="63" l="1"/>
  <c r="I18" i="62"/>
  <c r="F12" i="63"/>
  <c r="F13" i="63"/>
  <c r="D18" i="53"/>
  <c r="D16" i="53"/>
  <c r="D15" i="53"/>
  <c r="G24" i="53"/>
  <c r="G23" i="53"/>
  <c r="G22" i="53"/>
  <c r="D17" i="51"/>
  <c r="D16" i="51"/>
  <c r="G22" i="51"/>
  <c r="H22" i="51" s="1"/>
  <c r="F11" i="62"/>
  <c r="F12" i="62"/>
  <c r="F15" i="62"/>
  <c r="F17" i="62"/>
  <c r="F14" i="62"/>
  <c r="E25" i="48"/>
  <c r="D9" i="60" l="1"/>
  <c r="G28" i="55"/>
  <c r="G10" i="65"/>
  <c r="D21" i="65"/>
  <c r="G21" i="65" s="1"/>
  <c r="D17" i="65"/>
  <c r="G18" i="53"/>
  <c r="G19" i="53"/>
  <c r="G20" i="51"/>
  <c r="H20" i="51" s="1"/>
  <c r="J15" i="53" l="1"/>
  <c r="G25" i="51"/>
  <c r="H25" i="51" s="1"/>
  <c r="G10" i="64"/>
  <c r="D14" i="64"/>
  <c r="G14" i="64" s="1"/>
  <c r="G17" i="51"/>
  <c r="G21" i="51"/>
  <c r="H21" i="51" s="1"/>
  <c r="B28" i="59"/>
  <c r="E14" i="46"/>
  <c r="D15" i="61" s="1"/>
  <c r="H8" i="59"/>
  <c r="B8" i="59" s="1"/>
  <c r="D29" i="21"/>
  <c r="D30" i="21" s="1"/>
  <c r="G24" i="51" l="1"/>
  <c r="G23" i="51"/>
  <c r="B12" i="63"/>
  <c r="D13" i="63"/>
  <c r="G13" i="63" s="1"/>
  <c r="D10" i="66" l="1"/>
  <c r="G19" i="65"/>
  <c r="G15" i="65"/>
  <c r="G12" i="63"/>
  <c r="G11" i="63"/>
  <c r="D29" i="59"/>
  <c r="D29" i="61" l="1"/>
  <c r="D28" i="61"/>
  <c r="D27" i="61"/>
  <c r="D26" i="61"/>
  <c r="D25" i="61"/>
  <c r="D24" i="61"/>
  <c r="D23" i="61"/>
  <c r="D56" i="48"/>
  <c r="D31" i="21"/>
  <c r="G31" i="21" s="1"/>
  <c r="D10" i="21"/>
  <c r="D17" i="21" s="1"/>
  <c r="D11" i="21" l="1"/>
  <c r="D30" i="61"/>
  <c r="D13" i="21"/>
  <c r="D15" i="21"/>
  <c r="F59" i="48"/>
  <c r="G59" i="48" s="1"/>
  <c r="F58" i="48"/>
  <c r="F56" i="48"/>
  <c r="D58" i="48"/>
  <c r="D57" i="48"/>
  <c r="G57" i="48" s="1"/>
  <c r="F53" i="48"/>
  <c r="D53" i="48"/>
  <c r="D54" i="48" s="1"/>
  <c r="G54" i="48" s="1"/>
  <c r="D55" i="48"/>
  <c r="D52" i="48"/>
  <c r="G52" i="48" s="1"/>
  <c r="D51" i="48"/>
  <c r="D50" i="48" s="1"/>
  <c r="F55" i="48"/>
  <c r="G55" i="48" l="1"/>
  <c r="G53" i="48"/>
  <c r="G56" i="48"/>
  <c r="G51" i="48"/>
  <c r="G50" i="48"/>
  <c r="G58" i="48"/>
  <c r="G60" i="48" l="1"/>
  <c r="D18" i="21" l="1"/>
  <c r="G18" i="21" s="1"/>
  <c r="D20" i="58" l="1"/>
  <c r="D21" i="58"/>
  <c r="G28" i="61" l="1"/>
  <c r="G27" i="61"/>
  <c r="F30" i="61"/>
  <c r="D14" i="61"/>
  <c r="D13" i="61"/>
  <c r="D12" i="61"/>
  <c r="D11" i="61"/>
  <c r="D10" i="61"/>
  <c r="D17" i="61" l="1"/>
  <c r="D16" i="61"/>
  <c r="D31" i="61"/>
  <c r="G30" i="61"/>
  <c r="G26" i="61"/>
  <c r="F16" i="48"/>
  <c r="F29" i="48"/>
  <c r="F27" i="48"/>
  <c r="F24" i="48"/>
  <c r="D29" i="48"/>
  <c r="D27" i="48"/>
  <c r="D28" i="48" s="1"/>
  <c r="D15" i="48"/>
  <c r="D13" i="48"/>
  <c r="D14" i="48" s="1"/>
  <c r="F26" i="48"/>
  <c r="G25" i="48"/>
  <c r="D23" i="48"/>
  <c r="D22" i="48" s="1"/>
  <c r="D12" i="48"/>
  <c r="D11" i="48"/>
  <c r="J26" i="61" l="1"/>
  <c r="J27" i="61" s="1"/>
  <c r="F9" i="60"/>
  <c r="G11" i="65"/>
  <c r="F13" i="64" l="1"/>
  <c r="G13" i="64" s="1"/>
  <c r="F12" i="64"/>
  <c r="G12" i="64" s="1"/>
  <c r="G16" i="51"/>
  <c r="G19" i="51"/>
  <c r="D19" i="51"/>
  <c r="D18" i="51"/>
  <c r="G20" i="53"/>
  <c r="G21" i="53"/>
  <c r="J24" i="53" l="1"/>
  <c r="J23" i="53"/>
  <c r="H22" i="53"/>
  <c r="J20" i="53"/>
  <c r="J21" i="53"/>
  <c r="H19" i="53"/>
  <c r="J16" i="64"/>
  <c r="J15" i="64"/>
  <c r="J13" i="64"/>
  <c r="G15" i="51"/>
  <c r="G26" i="51" s="1"/>
  <c r="D11" i="64"/>
  <c r="G17" i="53"/>
  <c r="G16" i="53"/>
  <c r="G15" i="53"/>
  <c r="G11" i="62"/>
  <c r="D27" i="59"/>
  <c r="D26" i="59"/>
  <c r="D25" i="59"/>
  <c r="D30" i="59" s="1"/>
  <c r="G25" i="53" l="1"/>
  <c r="G11" i="64"/>
  <c r="D15" i="64"/>
  <c r="G15" i="64" s="1"/>
  <c r="G18" i="65"/>
  <c r="K19" i="55"/>
  <c r="K18" i="55"/>
  <c r="G10" i="66"/>
  <c r="G11" i="66"/>
  <c r="G12" i="66"/>
  <c r="G9" i="66"/>
  <c r="D11" i="60"/>
  <c r="F11" i="60" s="1"/>
  <c r="D12" i="60"/>
  <c r="F12" i="60" s="1"/>
  <c r="D13" i="60"/>
  <c r="F13" i="60" s="1"/>
  <c r="D14" i="60"/>
  <c r="F14" i="60" s="1"/>
  <c r="D10" i="60"/>
  <c r="F10" i="60" s="1"/>
  <c r="F16" i="65"/>
  <c r="G16" i="65" s="1"/>
  <c r="F14" i="65"/>
  <c r="G20" i="65"/>
  <c r="G17" i="65"/>
  <c r="K22" i="65"/>
  <c r="L22" i="65" s="1"/>
  <c r="L16" i="64"/>
  <c r="G10" i="63"/>
  <c r="G14" i="63" s="1"/>
  <c r="K14" i="63"/>
  <c r="L14" i="63" s="1"/>
  <c r="G16" i="64" l="1"/>
  <c r="G18" i="64" s="1"/>
  <c r="L21" i="55"/>
  <c r="H10" i="65"/>
  <c r="F15" i="60"/>
  <c r="G27" i="55"/>
  <c r="G29" i="55" s="1"/>
  <c r="G14" i="65"/>
  <c r="G22" i="65" s="1"/>
  <c r="G15" i="66"/>
  <c r="G15" i="55" l="1"/>
  <c r="H10" i="64"/>
  <c r="G24" i="65"/>
  <c r="B21" i="55"/>
  <c r="G21" i="55" s="1"/>
  <c r="H15" i="66"/>
  <c r="G16" i="63"/>
  <c r="H18" i="64"/>
  <c r="H20" i="64" s="1"/>
  <c r="G16" i="55" l="1"/>
  <c r="G22" i="55"/>
  <c r="H12" i="64"/>
  <c r="H24" i="65"/>
  <c r="H16" i="63"/>
  <c r="H19" i="63" s="1"/>
  <c r="D35" i="59"/>
  <c r="D28" i="59"/>
  <c r="D31" i="58"/>
  <c r="D32" i="58"/>
  <c r="D30" i="58"/>
  <c r="D24" i="58"/>
  <c r="E24" i="58" s="1"/>
  <c r="D22" i="58"/>
  <c r="D23" i="58"/>
  <c r="D19" i="58"/>
  <c r="D8" i="58"/>
  <c r="D9" i="58"/>
  <c r="D10" i="58"/>
  <c r="D11" i="58"/>
  <c r="D12" i="58"/>
  <c r="D13" i="58"/>
  <c r="E13" i="58" s="1"/>
  <c r="D7" i="58"/>
  <c r="D19" i="59"/>
  <c r="D18" i="59"/>
  <c r="D17" i="59"/>
  <c r="D16" i="59"/>
  <c r="D9" i="59"/>
  <c r="D8" i="59"/>
  <c r="F12" i="48"/>
  <c r="G12" i="48"/>
  <c r="D10" i="59" l="1"/>
  <c r="G29" i="61"/>
  <c r="D7" i="59"/>
  <c r="D25" i="58"/>
  <c r="D11" i="59" l="1"/>
  <c r="D21" i="47"/>
  <c r="D22" i="47" s="1"/>
  <c r="F16" i="62" l="1"/>
  <c r="G16" i="62" s="1"/>
  <c r="H16" i="62" s="1"/>
  <c r="F13" i="62"/>
  <c r="G13" i="62" s="1"/>
  <c r="D15" i="62"/>
  <c r="D21" i="62" s="1"/>
  <c r="G21" i="62" s="1"/>
  <c r="D14" i="62"/>
  <c r="K23" i="62"/>
  <c r="L23" i="62" s="1"/>
  <c r="F16" i="61"/>
  <c r="G15" i="61"/>
  <c r="G14" i="61"/>
  <c r="G13" i="61"/>
  <c r="G12" i="61"/>
  <c r="G11" i="61"/>
  <c r="G25" i="61"/>
  <c r="G24" i="61"/>
  <c r="K18" i="61"/>
  <c r="L18" i="61" s="1"/>
  <c r="F13" i="48"/>
  <c r="G11" i="48"/>
  <c r="F44" i="48"/>
  <c r="G44" i="48" s="1"/>
  <c r="F43" i="48"/>
  <c r="D43" i="48"/>
  <c r="F41" i="48"/>
  <c r="D41" i="48"/>
  <c r="D42" i="48" s="1"/>
  <c r="G42" i="48" s="1"/>
  <c r="F40" i="48"/>
  <c r="D40" i="48"/>
  <c r="D39" i="48"/>
  <c r="G39" i="48" s="1"/>
  <c r="D38" i="48"/>
  <c r="G38" i="48" s="1"/>
  <c r="D37" i="48"/>
  <c r="G37" i="48" s="1"/>
  <c r="G30" i="48"/>
  <c r="G28" i="48"/>
  <c r="G23" i="48"/>
  <c r="K17" i="48"/>
  <c r="L17" i="48" s="1"/>
  <c r="G16" i="48"/>
  <c r="F29" i="21"/>
  <c r="G29" i="21" s="1"/>
  <c r="F19" i="21"/>
  <c r="G21" i="21"/>
  <c r="F15" i="47"/>
  <c r="E30" i="47"/>
  <c r="D30" i="47"/>
  <c r="F30" i="47" s="1"/>
  <c r="D39" i="49"/>
  <c r="B39" i="49"/>
  <c r="F39" i="49" s="1"/>
  <c r="D37" i="49"/>
  <c r="D38" i="49" s="1"/>
  <c r="G38" i="49" s="1"/>
  <c r="D36" i="49"/>
  <c r="G36" i="49" s="1"/>
  <c r="G10" i="61"/>
  <c r="D20" i="59"/>
  <c r="D36" i="59"/>
  <c r="D14" i="58"/>
  <c r="D33" i="58"/>
  <c r="D38" i="59" l="1"/>
  <c r="J15" i="62"/>
  <c r="H13" i="62"/>
  <c r="J14" i="62"/>
  <c r="G14" i="62"/>
  <c r="D20" i="62"/>
  <c r="G20" i="62" s="1"/>
  <c r="J17" i="62"/>
  <c r="J18" i="62"/>
  <c r="G16" i="61"/>
  <c r="G17" i="61"/>
  <c r="G20" i="61" s="1"/>
  <c r="D10" i="62"/>
  <c r="D18" i="62" s="1"/>
  <c r="G18" i="62" s="1"/>
  <c r="G15" i="62"/>
  <c r="D17" i="62"/>
  <c r="F17" i="60"/>
  <c r="F31" i="47"/>
  <c r="H30" i="47"/>
  <c r="G23" i="61"/>
  <c r="G31" i="61"/>
  <c r="G43" i="48"/>
  <c r="G40" i="48"/>
  <c r="D36" i="48"/>
  <c r="G36" i="48" s="1"/>
  <c r="G22" i="48"/>
  <c r="G41" i="48"/>
  <c r="G26" i="48"/>
  <c r="I26" i="48" s="1"/>
  <c r="I27" i="48" s="1"/>
  <c r="G29" i="48"/>
  <c r="G27" i="48"/>
  <c r="D10" i="48"/>
  <c r="G10" i="48" s="1"/>
  <c r="G39" i="49"/>
  <c r="G37" i="49"/>
  <c r="D35" i="58"/>
  <c r="G10" i="62" l="1"/>
  <c r="G31" i="48"/>
  <c r="G63" i="48" s="1"/>
  <c r="G17" i="62"/>
  <c r="D22" i="62"/>
  <c r="G22" i="62" s="1"/>
  <c r="G18" i="61"/>
  <c r="G35" i="61" s="1"/>
  <c r="G32" i="61"/>
  <c r="G17" i="60"/>
  <c r="E38" i="59"/>
  <c r="E35" i="58"/>
  <c r="E37" i="58" s="1"/>
  <c r="G45" i="48"/>
  <c r="G40" i="49"/>
  <c r="J30" i="55"/>
  <c r="A25" i="53"/>
  <c r="G32" i="55" l="1"/>
  <c r="G28" i="53"/>
  <c r="H35" i="61" l="1"/>
  <c r="G38" i="61"/>
  <c r="H38" i="61" s="1"/>
  <c r="H28" i="53"/>
  <c r="H30" i="53" s="1"/>
  <c r="H32" i="55" l="1"/>
  <c r="H33" i="55" s="1"/>
  <c r="D29" i="49"/>
  <c r="B29" i="49"/>
  <c r="F29" i="49" s="1"/>
  <c r="D27" i="49"/>
  <c r="G27" i="49" s="1"/>
  <c r="D26" i="49"/>
  <c r="G26" i="49" s="1"/>
  <c r="G20" i="49"/>
  <c r="D10" i="49"/>
  <c r="D11" i="49" s="1"/>
  <c r="D12" i="49" s="1"/>
  <c r="G12" i="49" s="1"/>
  <c r="G29" i="49" l="1"/>
  <c r="D28" i="49"/>
  <c r="G28" i="49" s="1"/>
  <c r="D15" i="49"/>
  <c r="D16" i="49" s="1"/>
  <c r="G16" i="49" s="1"/>
  <c r="D13" i="49"/>
  <c r="D14" i="49" s="1"/>
  <c r="B32" i="21"/>
  <c r="F32" i="21" s="1"/>
  <c r="D32" i="21"/>
  <c r="F15" i="48"/>
  <c r="D28" i="21"/>
  <c r="G28" i="21" s="1"/>
  <c r="D14" i="21"/>
  <c r="F16" i="47"/>
  <c r="B9" i="47"/>
  <c r="D12" i="62" l="1"/>
  <c r="D19" i="62" s="1"/>
  <c r="G19" i="62" s="1"/>
  <c r="G15" i="48"/>
  <c r="G13" i="48"/>
  <c r="G32" i="21"/>
  <c r="G14" i="21"/>
  <c r="G30" i="21"/>
  <c r="G33" i="21" s="1"/>
  <c r="G30" i="49"/>
  <c r="D17" i="49"/>
  <c r="B17" i="49"/>
  <c r="G14" i="49"/>
  <c r="D16" i="21"/>
  <c r="G16" i="21" s="1"/>
  <c r="D9" i="47"/>
  <c r="G12" i="62" l="1"/>
  <c r="F22" i="47"/>
  <c r="F21" i="47"/>
  <c r="F9" i="47"/>
  <c r="F10" i="47" s="1"/>
  <c r="D18" i="49"/>
  <c r="G18" i="49" s="1"/>
  <c r="D19" i="49"/>
  <c r="G19" i="49" s="1"/>
  <c r="G17" i="49"/>
  <c r="G23" i="62" l="1"/>
  <c r="G25" i="62" s="1"/>
  <c r="D23" i="47"/>
  <c r="F23" i="47" s="1"/>
  <c r="G21" i="49"/>
  <c r="G46" i="49" s="1"/>
  <c r="H46" i="49" s="1"/>
  <c r="H25" i="62" l="1"/>
  <c r="H28" i="62" s="1"/>
  <c r="G14" i="48"/>
  <c r="G17" i="48" s="1"/>
  <c r="H11" i="36"/>
  <c r="H10" i="36"/>
  <c r="H9" i="36"/>
  <c r="H8" i="36"/>
  <c r="H7" i="36"/>
  <c r="H6" i="36"/>
  <c r="H12" i="36"/>
  <c r="H5" i="36"/>
  <c r="H63" i="48" l="1"/>
  <c r="H65" i="48" s="1"/>
  <c r="D12" i="21"/>
  <c r="D22" i="21"/>
  <c r="G22" i="21" s="1"/>
  <c r="G12" i="21" l="1"/>
  <c r="D19" i="21"/>
  <c r="D24" i="47" s="1"/>
  <c r="F24" i="47" s="1"/>
  <c r="F25" i="47" s="1"/>
  <c r="F33" i="47" s="1"/>
  <c r="G33" i="47" l="1"/>
  <c r="D20" i="21"/>
  <c r="G20" i="21" s="1"/>
  <c r="G19" i="21"/>
  <c r="G23" i="21" l="1"/>
  <c r="G36" i="21" l="1"/>
  <c r="H36" i="21" l="1"/>
  <c r="H38" i="21" s="1"/>
  <c r="G29" i="51" l="1"/>
  <c r="H29" i="51" l="1"/>
  <c r="H31" i="5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Patricia Bragatto</author>
  </authors>
  <commentList>
    <comment ref="B15" authorId="0" shapeId="0" xr:uid="{255BEB06-A237-439E-9203-EB5CCD91F641}">
      <text>
        <r>
          <rPr>
            <b/>
            <sz val="9"/>
            <color indexed="81"/>
            <rFont val="Segoe UI"/>
            <family val="2"/>
          </rPr>
          <t>TEMPO DE EXECUÇÃO DO SUBOLO</t>
        </r>
      </text>
    </comment>
    <comment ref="B23" authorId="0" shapeId="0" xr:uid="{24E26533-CC5C-4581-B306-D492C246179F}">
      <text>
        <r>
          <rPr>
            <b/>
            <sz val="9"/>
            <color indexed="81"/>
            <rFont val="Segoe UI"/>
            <family val="2"/>
          </rPr>
          <t>EMPOLAMENTO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Patricia Bragatto</author>
  </authors>
  <commentList>
    <comment ref="G19" authorId="0" shapeId="0" xr:uid="{D8DF5BAD-98F5-43BE-892A-4FA5FBCF8F29}">
      <text>
        <r>
          <rPr>
            <sz val="9"/>
            <color indexed="81"/>
            <rFont val="Segoe UI"/>
            <family val="2"/>
          </rPr>
          <t>30% de perda</t>
        </r>
      </text>
    </comment>
    <comment ref="G29" authorId="0" shapeId="0" xr:uid="{D8202987-3B4C-45BF-B1C8-25FB05DD6B6D}">
      <text>
        <r>
          <rPr>
            <b/>
            <sz val="9"/>
            <color indexed="81"/>
            <rFont val="Segoe UI"/>
            <family val="2"/>
          </rPr>
          <t>5% de perda</t>
        </r>
      </text>
    </comment>
    <comment ref="F30" authorId="0" shapeId="0" xr:uid="{3898590B-17B9-40D2-A0C6-EB5B71EBE615}">
      <text>
        <r>
          <rPr>
            <b/>
            <sz val="9"/>
            <color indexed="81"/>
            <rFont val="Segoe UI"/>
            <family val="2"/>
          </rPr>
          <t>CONSIDERAR CUSTO MÉDIO PARA A CA-50 DE 10MM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Patricia Bragatto</author>
  </authors>
  <commentList>
    <comment ref="B10" authorId="0" shapeId="0" xr:uid="{7A7D1CAA-C999-4F28-8CCA-47A34CF3D7FD}">
      <text>
        <r>
          <rPr>
            <b/>
            <sz val="9"/>
            <color indexed="81"/>
            <rFont val="Segoe UI"/>
            <family val="2"/>
          </rPr>
          <t>CICLO DE LAJE ATÉ 10 DIAS -  3 JOGOS
CICLO DE LAJE MAIORES - 2 JOGOS
Verificar tempo de ciclo junto à estimativa de prazo</t>
        </r>
      </text>
    </comment>
    <comment ref="D10" authorId="0" shapeId="0" xr:uid="{D074337E-44C5-47F9-A8F8-6780F729DF55}">
      <text>
        <r>
          <rPr>
            <b/>
            <sz val="9"/>
            <color indexed="81"/>
            <rFont val="Segoe UI"/>
            <family val="2"/>
          </rPr>
          <t>(TOTAL DE FORMAS / NÚMERO DE PAV.) X JOGOS</t>
        </r>
      </text>
    </comment>
    <comment ref="D12" authorId="0" shapeId="0" xr:uid="{3A59A200-8D3A-4012-A665-0423F25263A7}">
      <text>
        <r>
          <rPr>
            <b/>
            <sz val="9"/>
            <color indexed="81"/>
            <rFont val="Segoe UI"/>
            <family val="2"/>
          </rPr>
          <t>QUNATIDADE DE ESCORAS POR PAVIMENTO X JOGOS</t>
        </r>
      </text>
    </comment>
    <comment ref="F12" authorId="0" shapeId="0" xr:uid="{9AE509B4-3181-43D0-BD36-6FD2A5B68901}">
      <text>
        <r>
          <rPr>
            <b/>
            <sz val="9"/>
            <color indexed="81"/>
            <rFont val="Segoe UI"/>
            <family val="2"/>
          </rPr>
          <t>CUSTO DA ESCORA</t>
        </r>
      </text>
    </comment>
    <comment ref="G13" authorId="0" shapeId="0" xr:uid="{42D385EB-E97A-4FF8-9E25-D21E9843584D}">
      <text>
        <r>
          <rPr>
            <b/>
            <sz val="9"/>
            <color indexed="81"/>
            <rFont val="Segoe UI"/>
            <family val="2"/>
          </rPr>
          <t>5% DE PERDA</t>
        </r>
      </text>
    </comment>
    <comment ref="F14" authorId="0" shapeId="0" xr:uid="{393D86CF-22CF-427B-9EAE-26D0BC5FE81B}">
      <text>
        <r>
          <rPr>
            <b/>
            <sz val="9"/>
            <color indexed="81"/>
            <rFont val="Segoe UI"/>
            <family val="2"/>
          </rPr>
          <t>CONSIDERAR CUSTO MÉDIO PARA A CA-50 DE 10MM</t>
        </r>
      </text>
    </comment>
    <comment ref="B22" authorId="0" shapeId="0" xr:uid="{D3A1D1C5-76BD-4435-935F-C7E4F70B0C4A}">
      <text>
        <r>
          <rPr>
            <b/>
            <sz val="9"/>
            <color indexed="81"/>
            <rFont val="Segoe UI"/>
            <family val="2"/>
          </rPr>
          <t>CICLO DE LAJE ATÉ 10 DIAS -  3 JOGOS
CICLO DE LAJE MAIORES - 2 JOGOS
Verificar tempo de ciclo junto à estimativa de prazo</t>
        </r>
      </text>
    </comment>
    <comment ref="D22" authorId="0" shapeId="0" xr:uid="{907FE9F7-0D4F-46D9-A2C0-C5B647773F5E}">
      <text>
        <r>
          <rPr>
            <b/>
            <sz val="9"/>
            <color indexed="81"/>
            <rFont val="Segoe UI"/>
            <family val="2"/>
          </rPr>
          <t>(TOTAL DE FORMAS / NÚMERO DE PAV.) X JOGOS</t>
        </r>
      </text>
    </comment>
    <comment ref="D24" authorId="0" shapeId="0" xr:uid="{5D1C62E2-BA6D-4CB7-883E-07C5706393A9}">
      <text>
        <r>
          <rPr>
            <b/>
            <sz val="9"/>
            <color indexed="81"/>
            <rFont val="Segoe UI"/>
            <family val="2"/>
          </rPr>
          <t>QUNATIDADE DE ESCORAS POR PAVIMENTO X JOGOS</t>
        </r>
      </text>
    </comment>
    <comment ref="F24" authorId="0" shapeId="0" xr:uid="{75A226B3-F4D8-4436-B76B-327301C9F037}">
      <text>
        <r>
          <rPr>
            <b/>
            <sz val="9"/>
            <color indexed="81"/>
            <rFont val="Segoe UI"/>
            <family val="2"/>
          </rPr>
          <t>CUSTO DA ESCORA</t>
        </r>
      </text>
    </comment>
    <comment ref="G27" authorId="0" shapeId="0" xr:uid="{F18420EE-B641-4973-84F8-1AFE5AFC91A5}">
      <text>
        <r>
          <rPr>
            <b/>
            <sz val="9"/>
            <color indexed="81"/>
            <rFont val="Segoe UI"/>
            <family val="2"/>
          </rPr>
          <t>5% DE PERDA</t>
        </r>
      </text>
    </comment>
    <comment ref="F28" authorId="0" shapeId="0" xr:uid="{CFAE0208-C94E-4720-A99A-392F739C2D0D}">
      <text>
        <r>
          <rPr>
            <b/>
            <sz val="9"/>
            <color indexed="81"/>
            <rFont val="Segoe UI"/>
            <family val="2"/>
          </rPr>
          <t>CONSIDERAR CUSTO MÉDIO PARA A CA-50 DE 10MM</t>
        </r>
      </text>
    </comment>
    <comment ref="B36" authorId="0" shapeId="0" xr:uid="{4ECB0ED9-6BCD-4505-A135-121E331946FF}">
      <text>
        <r>
          <rPr>
            <b/>
            <sz val="9"/>
            <color indexed="81"/>
            <rFont val="Segoe UI"/>
            <family val="2"/>
          </rPr>
          <t>CICLO DE LAJE ATÉ 10 DIAS -  3 JOGOS
CICLO DE LAJE MAIORES - 2 JOGOS
Verificar tempo de ciclo junto à estimativa de prazo</t>
        </r>
      </text>
    </comment>
    <comment ref="D36" authorId="0" shapeId="0" xr:uid="{81951B11-7B56-420D-ADD3-188465EF4D7F}">
      <text>
        <r>
          <rPr>
            <b/>
            <sz val="9"/>
            <color indexed="81"/>
            <rFont val="Segoe UI"/>
            <family val="2"/>
          </rPr>
          <t>(TOTAL DE FORMAS / NÚMERO DE PAV.) X JOGOS</t>
        </r>
      </text>
    </comment>
    <comment ref="G41" authorId="0" shapeId="0" xr:uid="{E32EABE4-D24C-453B-9857-2D95D3F5FDBF}">
      <text>
        <r>
          <rPr>
            <b/>
            <sz val="9"/>
            <color indexed="81"/>
            <rFont val="Segoe UI"/>
            <family val="2"/>
          </rPr>
          <t>5% DE PERDA</t>
        </r>
      </text>
    </comment>
    <comment ref="B50" authorId="0" shapeId="0" xr:uid="{A5B116E8-B653-4F25-BF25-2F85AD2A5008}">
      <text>
        <r>
          <rPr>
            <b/>
            <sz val="9"/>
            <color indexed="81"/>
            <rFont val="Segoe UI"/>
            <family val="2"/>
          </rPr>
          <t>CICLO DE LAJE ATÉ 10 DIAS -  3 JOGOS
CICLO DE LAJE MAIORES - 2 JOGOS
Verificar tempo de ciclo junto à estimativa de prazo</t>
        </r>
      </text>
    </comment>
    <comment ref="D50" authorId="0" shapeId="0" xr:uid="{AEB90F6D-E8CD-4DCC-9D59-AC6FB9ADEFFE}">
      <text>
        <r>
          <rPr>
            <b/>
            <sz val="9"/>
            <color indexed="81"/>
            <rFont val="Segoe UI"/>
            <family val="2"/>
          </rPr>
          <t>(TOTAL DE FORMAS / NÚMERO DE PAV.) X JOGOS</t>
        </r>
      </text>
    </comment>
    <comment ref="D52" authorId="0" shapeId="0" xr:uid="{7C934DBF-7F45-4419-B9D3-A49B4A1EC07E}">
      <text>
        <r>
          <rPr>
            <b/>
            <sz val="9"/>
            <color indexed="81"/>
            <rFont val="Segoe UI"/>
            <family val="2"/>
          </rPr>
          <t>QUNATIDADE DE ESCORAS POR PAVIMENTO X JOGOS</t>
        </r>
      </text>
    </comment>
    <comment ref="G56" authorId="0" shapeId="0" xr:uid="{B5E182E8-9D95-4E0F-AA19-F669731AA80B}">
      <text>
        <r>
          <rPr>
            <b/>
            <sz val="9"/>
            <color indexed="81"/>
            <rFont val="Segoe UI"/>
            <family val="2"/>
          </rPr>
          <t>5% DE PERDA</t>
        </r>
      </text>
    </comment>
    <comment ref="F57" authorId="0" shapeId="0" xr:uid="{09657194-E7DE-4003-90B7-F70AC1A0E4D4}">
      <text>
        <r>
          <rPr>
            <b/>
            <sz val="9"/>
            <color indexed="81"/>
            <rFont val="Segoe UI"/>
            <family val="2"/>
          </rPr>
          <t>CONSIDERAR CUSTO MÉDIO PARA A CA-50 DE 10MM</t>
        </r>
      </text>
    </comment>
    <comment ref="G63" authorId="0" shapeId="0" xr:uid="{9AA28148-10EA-4C94-BDBE-5135BF849D19}">
      <text>
        <r>
          <rPr>
            <b/>
            <sz val="9"/>
            <color indexed="81"/>
            <rFont val="Segoe UI"/>
            <family val="2"/>
          </rPr>
          <t>SELECIONAR TOTAL CONFORME MÉTODO CONSTRUTIVO APLICADO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Patricia Bragatto</author>
  </authors>
  <commentList>
    <comment ref="G35" authorId="0" shapeId="0" xr:uid="{F99D21DE-C680-41FC-80BD-D01F80D77713}">
      <text>
        <r>
          <rPr>
            <b/>
            <sz val="9"/>
            <color indexed="81"/>
            <rFont val="Segoe UI"/>
            <family val="2"/>
          </rPr>
          <t>SELECIONAR TOTAL CONFORME MÉTODO CONSTRUTIVO APLICADO</t>
        </r>
      </text>
    </comment>
  </commentList>
</comments>
</file>

<file path=xl/sharedStrings.xml><?xml version="1.0" encoding="utf-8"?>
<sst xmlns="http://schemas.openxmlformats.org/spreadsheetml/2006/main" count="1214" uniqueCount="439">
  <si>
    <t>Obra</t>
  </si>
  <si>
    <t>Revisão</t>
  </si>
  <si>
    <t>m²</t>
  </si>
  <si>
    <t>un</t>
  </si>
  <si>
    <t>m</t>
  </si>
  <si>
    <t>Parâmetro</t>
  </si>
  <si>
    <t>R$ / AC</t>
  </si>
  <si>
    <t>AT</t>
  </si>
  <si>
    <t>AC</t>
  </si>
  <si>
    <t>NP</t>
  </si>
  <si>
    <t>NPT</t>
  </si>
  <si>
    <t>APT</t>
  </si>
  <si>
    <t>PPT</t>
  </si>
  <si>
    <t>NS</t>
  </si>
  <si>
    <t>Descrição</t>
  </si>
  <si>
    <t>Identificador</t>
  </si>
  <si>
    <t>Valor total</t>
  </si>
  <si>
    <t>TOTAL</t>
  </si>
  <si>
    <t>Quantidade</t>
  </si>
  <si>
    <t>ESCAVAÇÃO E REATERRO DE VALAS</t>
  </si>
  <si>
    <t>Escavação mecanizada para blocos e baldrames</t>
  </si>
  <si>
    <t>Reaterro para blocos e baldrames</t>
  </si>
  <si>
    <t>m³</t>
  </si>
  <si>
    <t>Armação</t>
  </si>
  <si>
    <t>Concreto</t>
  </si>
  <si>
    <t>Mão de obra</t>
  </si>
  <si>
    <t>kg</t>
  </si>
  <si>
    <t>vb</t>
  </si>
  <si>
    <t>SUPRAESTRUTURA</t>
  </si>
  <si>
    <t>Fabricação forma</t>
  </si>
  <si>
    <t>Montagem de forma</t>
  </si>
  <si>
    <t>Armadura Convencional para Estrutura</t>
  </si>
  <si>
    <t>Escoramento - Torre</t>
  </si>
  <si>
    <t>Escoramento - Embasamento</t>
  </si>
  <si>
    <t>kg / m³</t>
  </si>
  <si>
    <t>AE</t>
  </si>
  <si>
    <t>AL</t>
  </si>
  <si>
    <t>m² / AC</t>
  </si>
  <si>
    <t>m³ / AC</t>
  </si>
  <si>
    <t>APE</t>
  </si>
  <si>
    <t>NPD</t>
  </si>
  <si>
    <t>ND</t>
  </si>
  <si>
    <t xml:space="preserve"> 2 Portões acesso garagem - Área: 9,2m² x 2 = 18,4m²</t>
  </si>
  <si>
    <t>2 portas corta-fogo 1 folha</t>
  </si>
  <si>
    <t>1 porta de correr alumínio 2 folhas – Área: 3,465m²</t>
  </si>
  <si>
    <t>1 porta de correr alumínio 2 folhas – Área: 1,7325m²</t>
  </si>
  <si>
    <t>2 portas de abrir alumínio 2 folhas – Área: 2,6376m² x 2 = 5,2752m²</t>
  </si>
  <si>
    <t>1 porta de abrir alumínio 2 folhas – Área: 4,1916m²</t>
  </si>
  <si>
    <t>1 porta pivotante</t>
  </si>
  <si>
    <t>19 portas de abrir madeira 1 folha</t>
  </si>
  <si>
    <t>3 portas de abrir vidro 1 folha – Área: 2,1m² x 3 = 6,3m²</t>
  </si>
  <si>
    <t>2 portas de abrir vidro 1 folha – Área: 1,89m² x 2 = 3,78m²</t>
  </si>
  <si>
    <t>1 porta de abrir alumínio 1 folha – Área: 2,0076m²</t>
  </si>
  <si>
    <t>Janelas – Área: 3,75 + 4,875 + 2,5 + 1,1 + 1,2 + 5,5402 + 4,4874 = 23,4526m²</t>
  </si>
  <si>
    <t>Muro de vidro – Área: 7,0774 + 5,485 + 3,43 + 4,8138 = 20,8062m²</t>
  </si>
  <si>
    <t>8 portas corta-fogo 1 folha</t>
  </si>
  <si>
    <t xml:space="preserve"> Janelas – Area: (1,1 + 1,2 + 28,7391) x 4 = 124,1564m²</t>
  </si>
  <si>
    <t xml:space="preserve"> 2 portas corta-fogo 1 folha</t>
  </si>
  <si>
    <t xml:space="preserve"> 2 portas de abrir alumínio 1 folha – Área: 1,47m² x 2 = 2,94m²</t>
  </si>
  <si>
    <t xml:space="preserve"> 2 portas de abrir vidro 1 folha – Área: 1,89m² x 2 = 3,78m²</t>
  </si>
  <si>
    <t xml:space="preserve"> 5 portas de abrir madeira 1 folha  </t>
  </si>
  <si>
    <t xml:space="preserve"> 1 janela-porta de correr vidro – Área: 14,7348m²</t>
  </si>
  <si>
    <t xml:space="preserve"> Janelas – Área: 1,2894 + 1,2894 + 23,46 + 1,854 + 5,562 + 5,562 + 1,854 + 1,854 + 1,1 + 1,2 = 45,0248m²</t>
  </si>
  <si>
    <t xml:space="preserve"> Guarda corpo vidro – Área: 7,5299 + 5,7955 + 6,5555 = 19,8809m²</t>
  </si>
  <si>
    <t xml:space="preserve"> 38 portas corta-fogo 1 folha</t>
  </si>
  <si>
    <t xml:space="preserve"> 171 portas de abrir madeira 1 folha</t>
  </si>
  <si>
    <t xml:space="preserve"> 19 porta de abrir alumínio 1 folha – Área: 1,26m² x 19 = 23,94m²</t>
  </si>
  <si>
    <t xml:space="preserve"> 19 janela-porta de correr vidro 5 folhas - Área: 25,4205m² x 19 = 482,9895m²</t>
  </si>
  <si>
    <t xml:space="preserve"> 19 janela-porta de correr vidro 5 folhas - Área: 17,8284m² x 19 = 338,7396m²</t>
  </si>
  <si>
    <t xml:space="preserve"> Janelas – Área: 1,1 + 1,1 + 1,2 + 1,92 + 0,36 + 2,781 + 2,781 + 1,854 + 1,854 + 5,562 + 5,562 + 1,854 = 27,928m² x 19 = 530,632m²</t>
  </si>
  <si>
    <t xml:space="preserve"> Guarda corpo metálico – Área: 4,745m² x 19 = 90,155m² - Perímetro: 3,65m x 19 = 69,35m</t>
  </si>
  <si>
    <t xml:space="preserve"> Guarda corpo vidro – Área: 15,645m² x 19 = 297,255m² - Perímetro: 14,9m x 19 = 283,1m</t>
  </si>
  <si>
    <t xml:space="preserve"> 2 portas de abrir madeira 1 folha</t>
  </si>
  <si>
    <t xml:space="preserve"> 1 porta de abrir alumínio 1 folha – Área: 1,26m²</t>
  </si>
  <si>
    <t xml:space="preserve"> 1 janela-porta de correr vidro 3 folhas - Área: 15,21m²</t>
  </si>
  <si>
    <t xml:space="preserve"> 1 janela-porta de correr vidro 5 folhas - Área: 25,4205m²</t>
  </si>
  <si>
    <t xml:space="preserve"> 1 janela-porta de correr vidro 5 folhas - Área: 17,8284m²</t>
  </si>
  <si>
    <t xml:space="preserve"> Janelas – Área: 1,1 + 1,2 + 1,1 + 1,92 + 0,36 + 2,781 + 2,781 + 1,854 + 1,854 + 5,562 + 5,562 + 1,854 = 27,928m²</t>
  </si>
  <si>
    <t xml:space="preserve"> Guarda corpo metálico – Área: 4,745m² - Perímetro: 3,65m</t>
  </si>
  <si>
    <t xml:space="preserve"> Guarda corpo vidro – Área: 15,645m² - Perímetro: 14,9m</t>
  </si>
  <si>
    <t xml:space="preserve"> 7 portas de abrir madeira 1 folha</t>
  </si>
  <si>
    <t xml:space="preserve"> 2 portas de correr madeira 1 folha</t>
  </si>
  <si>
    <t xml:space="preserve"> Janelas – Área: 1,1 + 1,2 + 1,92 + 0,36 + 2,781 + 2,781 + 1,854 + 1,854 + 5,562 + 5,562 + 1,854 = 26,828m²</t>
  </si>
  <si>
    <t xml:space="preserve"> 4 portas de abrir madeira 1 folha</t>
  </si>
  <si>
    <t xml:space="preserve"> 1 porta de correr madeira 1 folha</t>
  </si>
  <si>
    <t xml:space="preserve"> 1 porta de correr vidro 3 folhas – Área: 10,5m²</t>
  </si>
  <si>
    <t xml:space="preserve"> 1 janela-porta de correr vidro – Área: 5,61m²</t>
  </si>
  <si>
    <t xml:space="preserve"> Janela – Área: 1,1 + 1,2 + 1,92 + 0,36 + 2,781 + 2,781 + 1,854 + 1,854 + 5,562 + 5,562 + 1,854 + 25,0512 + 17,8284 = 69,7076m²</t>
  </si>
  <si>
    <t xml:space="preserve"> Janelas – Area: 1,1 + 1,2 + 0,84 + 0,84 + 3,549 + 3,549 + 10,647 + 10,647 = 32,372m²</t>
  </si>
  <si>
    <t>portão</t>
  </si>
  <si>
    <t>pcf</t>
  </si>
  <si>
    <t xml:space="preserve">porta alumínio </t>
  </si>
  <si>
    <t>porta alumínio</t>
  </si>
  <si>
    <t>madeira</t>
  </si>
  <si>
    <t>pivotante</t>
  </si>
  <si>
    <t>Guarda  alumínio</t>
  </si>
  <si>
    <t>janela</t>
  </si>
  <si>
    <t xml:space="preserve">gradil </t>
  </si>
  <si>
    <t>Brise</t>
  </si>
  <si>
    <t xml:space="preserve">Concreto </t>
  </si>
  <si>
    <t>REGULARIZAÇÃO E APILOAMENTO DE FUNDO DE VALAS</t>
  </si>
  <si>
    <t>Mão de obra - estrutura em concreto armado</t>
  </si>
  <si>
    <t>R$ / APE</t>
  </si>
  <si>
    <t>TOTAL MOVIMENTAÇÃO DE TERRA</t>
  </si>
  <si>
    <t>TOTAL INFRAESTRUTURA</t>
  </si>
  <si>
    <t>TOTAL SUPRAESTRUTURA</t>
  </si>
  <si>
    <t>FUNDAÇÃO PROFUNDA</t>
  </si>
  <si>
    <t>Número de Estacas</t>
  </si>
  <si>
    <t>un / APE</t>
  </si>
  <si>
    <t>Mobilização</t>
  </si>
  <si>
    <t>FUNDAÇÃO RASA</t>
  </si>
  <si>
    <t>Fabricação, montagem e desmontagem de forma para blocos e baldrames resinado</t>
  </si>
  <si>
    <t>m³ / APE</t>
  </si>
  <si>
    <t>m² / APE</t>
  </si>
  <si>
    <t>Estaca Hélice Continua Diâmetro 60</t>
  </si>
  <si>
    <t>Armação 6,3mm</t>
  </si>
  <si>
    <t>Cubetas</t>
  </si>
  <si>
    <t>Empresa</t>
  </si>
  <si>
    <t>Preço unitário</t>
  </si>
  <si>
    <t>M</t>
  </si>
  <si>
    <t>M2</t>
  </si>
  <si>
    <t>MOVIMENTAÇÃO DE TERRA</t>
  </si>
  <si>
    <t>INFRAESTRUTURA</t>
  </si>
  <si>
    <t>UN</t>
  </si>
  <si>
    <t>Rebaixamento de lençol</t>
  </si>
  <si>
    <t>Armação 16mm</t>
  </si>
  <si>
    <t>DADOS OBRA</t>
  </si>
  <si>
    <t>Unidade</t>
  </si>
  <si>
    <t>ÁREA DO TERRENO</t>
  </si>
  <si>
    <t>ÁREA TOTAL CONSTRUÍDA</t>
  </si>
  <si>
    <t>NÚMERO TOTAL DE PAVIMENTOS</t>
  </si>
  <si>
    <t>NÚMERO DE PAVIMENTOS TIPO</t>
  </si>
  <si>
    <t>NÚMERO DE PAVIMENTOS TIPO DIFERENCIADOS</t>
  </si>
  <si>
    <t>NÚMERO DE PAVIMENTOS DUPLEX</t>
  </si>
  <si>
    <t>ÁREA DE PROJEÇÃO DA TORRE</t>
  </si>
  <si>
    <t>PERÍMETRO DE PROJEÇÃO DA TORRE</t>
  </si>
  <si>
    <t>ÁREA DE LAZER</t>
  </si>
  <si>
    <t xml:space="preserve">ÁREA DO EMBASAMENTO </t>
  </si>
  <si>
    <t>ÁREA DE SUBSOLOS</t>
  </si>
  <si>
    <t>S</t>
  </si>
  <si>
    <t>NÚMERO DE SUBSOLOS</t>
  </si>
  <si>
    <t>ÁREA DE PROJEÇÃO DO EMBASAMENTO</t>
  </si>
  <si>
    <t>PERÍMETRO DE PROJEÇÃO DE EMBAMENTO</t>
  </si>
  <si>
    <t>NÚMERO DE PAVIMENTOS DE EMBASAMENTO</t>
  </si>
  <si>
    <t>Movimentação de terra das estacas</t>
  </si>
  <si>
    <t>Escavação</t>
  </si>
  <si>
    <t>Preço unitário de escavação (R$ / m3)</t>
  </si>
  <si>
    <t>Volume total de escavação (m3)</t>
  </si>
  <si>
    <t>Altura do subsolo (m)</t>
  </si>
  <si>
    <t>Área de subsolo (m)</t>
  </si>
  <si>
    <t>ESCAVAÇÃO VERTICAL DE SUBSOLO</t>
  </si>
  <si>
    <t>Preço unitário de rebaixamento (R$ / dias)</t>
  </si>
  <si>
    <t>Quantidade (dias)</t>
  </si>
  <si>
    <t>REBAIXAMENTO DE LENÇOL FREÁTICO</t>
  </si>
  <si>
    <t>PE</t>
  </si>
  <si>
    <t>NE</t>
  </si>
  <si>
    <t>Movimentação de bota-fora</t>
  </si>
  <si>
    <t>m³ / Vol Escavação</t>
  </si>
  <si>
    <t>Área de lastro (m²)</t>
  </si>
  <si>
    <t>Preço unitário (R$ / m2)</t>
  </si>
  <si>
    <t>Preço unitário (R$ / m3)</t>
  </si>
  <si>
    <t>Estaca Hélice Continua Diâmetro 50</t>
  </si>
  <si>
    <t>Estaca Hélice Continua Diâmetro 40</t>
  </si>
  <si>
    <t xml:space="preserve">m/un </t>
  </si>
  <si>
    <t>un / APT*NPT</t>
  </si>
  <si>
    <t>un / AE</t>
  </si>
  <si>
    <t>CONTENÇÃO</t>
  </si>
  <si>
    <t>CORTINA DE ESTACAS</t>
  </si>
  <si>
    <t>PAREDE DIAFRAGMA</t>
  </si>
  <si>
    <t>TOTAL ALVENARIA</t>
  </si>
  <si>
    <t>Média</t>
  </si>
  <si>
    <t>R$ / m²</t>
  </si>
  <si>
    <t>Serviços complementares</t>
  </si>
  <si>
    <t>Alvenaria refratárias</t>
  </si>
  <si>
    <t>m² / APT</t>
  </si>
  <si>
    <t>Alvenaria cobertura / reservatório</t>
  </si>
  <si>
    <t xml:space="preserve">Alvenaria escadas </t>
  </si>
  <si>
    <t>m² / APT*(NPT+2ND)</t>
  </si>
  <si>
    <t>Alvenaria tipo</t>
  </si>
  <si>
    <t>m² / AL</t>
  </si>
  <si>
    <t>Alvenaria lazer</t>
  </si>
  <si>
    <t>m² / AE</t>
  </si>
  <si>
    <t>Alvenaria embasamento</t>
  </si>
  <si>
    <t>Referência</t>
  </si>
  <si>
    <t>ALVENARIA</t>
  </si>
  <si>
    <t>R00</t>
  </si>
  <si>
    <t>Data</t>
  </si>
  <si>
    <t>Cliente</t>
  </si>
  <si>
    <r>
      <rPr>
        <b/>
        <sz val="14"/>
        <color rgb="FF255AE5"/>
        <rFont val="Roboto"/>
      </rPr>
      <t>ORÇAMENTO PARAMÉTRICO</t>
    </r>
    <r>
      <rPr>
        <b/>
        <sz val="14"/>
        <color rgb="FF293549"/>
        <rFont val="Roboto"/>
      </rPr>
      <t xml:space="preserve">
</t>
    </r>
    <r>
      <rPr>
        <b/>
        <sz val="11"/>
        <color rgb="FFFF0000"/>
        <rFont val="Roboto"/>
      </rPr>
      <t>GERENCIAMENTO EXECUTIVO</t>
    </r>
  </si>
  <si>
    <t>TOTAL REVESTIMENTOS</t>
  </si>
  <si>
    <r>
      <t>m</t>
    </r>
    <r>
      <rPr>
        <b/>
        <sz val="10"/>
        <color theme="1"/>
        <rFont val="Roboto"/>
      </rPr>
      <t>²</t>
    </r>
    <r>
      <rPr>
        <sz val="10"/>
        <color theme="1"/>
        <rFont val="Roboto"/>
      </rPr>
      <t xml:space="preserve"> / AC</t>
    </r>
  </si>
  <si>
    <t>Reboco</t>
  </si>
  <si>
    <t>Chapisco</t>
  </si>
  <si>
    <t>Manta acústica</t>
  </si>
  <si>
    <t>Contrapiso</t>
  </si>
  <si>
    <t>REVESTIMENTOS INTERNOS EM PISO E PAREDE</t>
  </si>
  <si>
    <t>Chapisco e reboco</t>
  </si>
  <si>
    <t>Estucamento</t>
  </si>
  <si>
    <t>Negativo</t>
  </si>
  <si>
    <t>COBERTURA</t>
  </si>
  <si>
    <t>TERREO</t>
  </si>
  <si>
    <t>PORCELANATO</t>
  </si>
  <si>
    <t>TOTAL ACABAMENTOS</t>
  </si>
  <si>
    <t>Revestimentos de Parede</t>
  </si>
  <si>
    <t>Soleiras e peitoris</t>
  </si>
  <si>
    <t>Rodapés</t>
  </si>
  <si>
    <t xml:space="preserve">m² </t>
  </si>
  <si>
    <t>Paver</t>
  </si>
  <si>
    <t>Piscina</t>
  </si>
  <si>
    <t xml:space="preserve">Porcelanato </t>
  </si>
  <si>
    <t>ACABAMENTOS EM PISO E PAREDE</t>
  </si>
  <si>
    <t>Pintura Interna</t>
  </si>
  <si>
    <t xml:space="preserve">Textura escadas </t>
  </si>
  <si>
    <t>Pintura acrílica antiderrapante</t>
  </si>
  <si>
    <t>Pintura piso epoxi</t>
  </si>
  <si>
    <t>TOTAL FACHADA</t>
  </si>
  <si>
    <t>-</t>
  </si>
  <si>
    <t>ACABAMENTOS ESPECIAIS</t>
  </si>
  <si>
    <t>RESERV</t>
  </si>
  <si>
    <t>EMBASAMENTO</t>
  </si>
  <si>
    <t>PINTURA</t>
  </si>
  <si>
    <t>REVESTIMENTOS ARGAMASSADOS</t>
  </si>
  <si>
    <t>TOTAL IMPERMEABILIZAÇÃO</t>
  </si>
  <si>
    <t>Proteção Mecânica</t>
  </si>
  <si>
    <t>Impermeabilização de peitoril</t>
  </si>
  <si>
    <t>Impermeabilizações com manta asfaltica</t>
  </si>
  <si>
    <t>Impermeabilizações cimenticias</t>
  </si>
  <si>
    <t>Ralos</t>
  </si>
  <si>
    <t>Baldrames</t>
  </si>
  <si>
    <t>Poço do elevador</t>
  </si>
  <si>
    <t>Regularização de Superfície</t>
  </si>
  <si>
    <t>IMPERMEABILIZAÇÃO</t>
  </si>
  <si>
    <t>Esquadrias de Madeira</t>
  </si>
  <si>
    <t>Portão de alumínio</t>
  </si>
  <si>
    <t>Corrimão madeira</t>
  </si>
  <si>
    <t>Guarda-corpo - vidro</t>
  </si>
  <si>
    <t>Serralherias</t>
  </si>
  <si>
    <t>PCF</t>
  </si>
  <si>
    <t>Esquadrias de Alumínio</t>
  </si>
  <si>
    <t>ESQUADRIAS</t>
  </si>
  <si>
    <t>TOTAL INSTALAÇÕES</t>
  </si>
  <si>
    <t>Instalações de Proteção e Aterramento - SPDA</t>
  </si>
  <si>
    <t>Instalações de GLP</t>
  </si>
  <si>
    <t>Instalações Preventivas</t>
  </si>
  <si>
    <t>INSTALAÇÕES PREVENTIVAS E GLP</t>
  </si>
  <si>
    <t>Mão de Obra para Instalações Hidráulicas</t>
  </si>
  <si>
    <t>Louças e Metais</t>
  </si>
  <si>
    <t>Instalações Sanitárias</t>
  </si>
  <si>
    <t>Instalações de Águas Pluviais</t>
  </si>
  <si>
    <t>Instalações de Água Quente</t>
  </si>
  <si>
    <t>Instalações de Água Fria</t>
  </si>
  <si>
    <t>INSTALAÇÕES HIDROSSANITÁRIAS</t>
  </si>
  <si>
    <t>Mão de Obra para Instalações Elétricas</t>
  </si>
  <si>
    <t>Equipamentos e Iluminação</t>
  </si>
  <si>
    <t>Acabamentos Elétricos</t>
  </si>
  <si>
    <t>Quadros e Disjuntores</t>
  </si>
  <si>
    <t>Cabos e Fiações</t>
  </si>
  <si>
    <t>Eletrodutos e Eletrocalhas</t>
  </si>
  <si>
    <t>Entrada de Energia</t>
  </si>
  <si>
    <t>INSTALAÇÕES ELÉTRICAS</t>
  </si>
  <si>
    <t>INSTALAÇÕES</t>
  </si>
  <si>
    <t>TOTAL SISTEMAS ESPECIAIS</t>
  </si>
  <si>
    <t>Outros sistemas</t>
  </si>
  <si>
    <t>OUTROS SISTEMAS ESPECIAIS</t>
  </si>
  <si>
    <t>Infra de carro elétrico</t>
  </si>
  <si>
    <t>Grupo de geradores</t>
  </si>
  <si>
    <t>Elevadores</t>
  </si>
  <si>
    <t>Preço Unitário</t>
  </si>
  <si>
    <t>EQUIPAMENTOS</t>
  </si>
  <si>
    <t>Automação, telecomunicação e sistemas de segurança</t>
  </si>
  <si>
    <t>TV e internet</t>
  </si>
  <si>
    <t>Interfone</t>
  </si>
  <si>
    <t>CFTV</t>
  </si>
  <si>
    <t>COMUNICAÇÃO</t>
  </si>
  <si>
    <t>Churrasqueiras</t>
  </si>
  <si>
    <t>Ventokit</t>
  </si>
  <si>
    <t>Instalação de Ar Condicionado</t>
  </si>
  <si>
    <t>Infraestrutura para Instalação de Ar Condicionado</t>
  </si>
  <si>
    <t>CLIMATIZAÇÃO, EXAUSTÃO MECÂNICA E PRESSURIZAÇÃO</t>
  </si>
  <si>
    <t>SISTEMAS ESPECIAIS</t>
  </si>
  <si>
    <t>TOTAL COMPLEMENTARES</t>
  </si>
  <si>
    <t>Limpeza</t>
  </si>
  <si>
    <t>Desmobilização</t>
  </si>
  <si>
    <t>Ligações definitivas</t>
  </si>
  <si>
    <t>Paisagismo</t>
  </si>
  <si>
    <t>Comunicação visual</t>
  </si>
  <si>
    <t>R$ / AL</t>
  </si>
  <si>
    <t>Móveis e decoração</t>
  </si>
  <si>
    <t>SERVIÇOS COMPLEMENTARES</t>
  </si>
  <si>
    <t>COMPLEMENTARES</t>
  </si>
  <si>
    <t>Arquitetura base</t>
  </si>
  <si>
    <t>UNIDADES RESIDENCIAIS</t>
  </si>
  <si>
    <t>UR</t>
  </si>
  <si>
    <t>Dormitórios</t>
  </si>
  <si>
    <t>Banheiros</t>
  </si>
  <si>
    <t>UNIDADES COMERCIAIS</t>
  </si>
  <si>
    <t>UC</t>
  </si>
  <si>
    <t>dorm</t>
  </si>
  <si>
    <t>ban</t>
  </si>
  <si>
    <t>Arquivo base</t>
  </si>
  <si>
    <t>PAREDE DE CONCRETO</t>
  </si>
  <si>
    <t>Lastro de concreto magto e=5cm</t>
  </si>
  <si>
    <t>Observação</t>
  </si>
  <si>
    <t>Definição trazida do Celebration da Passe</t>
  </si>
  <si>
    <t>Concreto (40 Mpa)</t>
  </si>
  <si>
    <t>Apoio e arrasamento de estacas</t>
  </si>
  <si>
    <t>Perfuração de vigas</t>
  </si>
  <si>
    <t>R$ / NP</t>
  </si>
  <si>
    <t>Coeficiente originário do Gran Torino (R$ 160,00/un)</t>
  </si>
  <si>
    <t>Jogos</t>
  </si>
  <si>
    <t>SUPRAESTRUTURA - LAJE MACIÇA</t>
  </si>
  <si>
    <t>SUPRAESTRUTURA - LAJE CUBETAS</t>
  </si>
  <si>
    <t>SUPRAESTRUTURA - LAJE TRELIÇADA</t>
  </si>
  <si>
    <t>Nova utiliza a verba de 1.500,00 por pav</t>
  </si>
  <si>
    <t>PAREDES E PAINÉIS</t>
  </si>
  <si>
    <t>Drywall tipo</t>
  </si>
  <si>
    <t>CHU</t>
  </si>
  <si>
    <t>m² * CHU</t>
  </si>
  <si>
    <t>perda</t>
  </si>
  <si>
    <t>m³ / Vol infra</t>
  </si>
  <si>
    <t>Escoramento</t>
  </si>
  <si>
    <t>Bombas</t>
  </si>
  <si>
    <t>m / FORRO</t>
  </si>
  <si>
    <t>PINTURA INTERNA</t>
  </si>
  <si>
    <t>REVESTIMENTOS E ACABAMENTOS DE TETO</t>
  </si>
  <si>
    <t xml:space="preserve"> m² / AC</t>
  </si>
  <si>
    <t>Estrutura e telhamento</t>
  </si>
  <si>
    <t>Pergolados</t>
  </si>
  <si>
    <t>Passarelas</t>
  </si>
  <si>
    <t>TELHADO</t>
  </si>
  <si>
    <t>TORRE 1</t>
  </si>
  <si>
    <t>Textura</t>
  </si>
  <si>
    <t>PASTILHA</t>
  </si>
  <si>
    <t>Polimento de concreto</t>
  </si>
  <si>
    <t>Piso alisado</t>
  </si>
  <si>
    <t>TOTAL ESQUADRIAS</t>
  </si>
  <si>
    <t>M²</t>
  </si>
  <si>
    <t xml:space="preserve">un </t>
  </si>
  <si>
    <t>Estaca Hélice Continua Diâmetro 80</t>
  </si>
  <si>
    <t xml:space="preserve">Armação </t>
  </si>
  <si>
    <t>SUPRAESTRUTURA - LAJE PROTENDIDA</t>
  </si>
  <si>
    <t>RS / m²</t>
  </si>
  <si>
    <t>kg / m²</t>
  </si>
  <si>
    <t>Protensão - lajes - materiais</t>
  </si>
  <si>
    <t>Protensão - lajes - cabos</t>
  </si>
  <si>
    <t>Protensão - lajes - serviços</t>
  </si>
  <si>
    <t>und / pav</t>
  </si>
  <si>
    <t>pav</t>
  </si>
  <si>
    <t>Piso de concreto armado</t>
  </si>
  <si>
    <t>Base obra Trindade Parkside</t>
  </si>
  <si>
    <t>ALVENARIA - DRYWALL</t>
  </si>
  <si>
    <t>LAZER</t>
  </si>
  <si>
    <t>CIMENTADO</t>
  </si>
  <si>
    <t>Equipamento de piscina</t>
  </si>
  <si>
    <t>CIMENTADO ESCADA</t>
  </si>
  <si>
    <t>TOTAL FORRO</t>
  </si>
  <si>
    <t>Fechadura Biometrica</t>
  </si>
  <si>
    <t>Meia Praia Empreendiementos</t>
  </si>
  <si>
    <t xml:space="preserve">TIPO </t>
  </si>
  <si>
    <t>CIMENTADO RANHURADO</t>
  </si>
  <si>
    <t>GRAMA SINTETICA</t>
  </si>
  <si>
    <t>POLIDO</t>
  </si>
  <si>
    <t>Piso ranhurado</t>
  </si>
  <si>
    <t>Grama sintetica</t>
  </si>
  <si>
    <t>Forro gesso mineral</t>
  </si>
  <si>
    <t>Pele de vidro</t>
  </si>
  <si>
    <t xml:space="preserve">Gradil </t>
  </si>
  <si>
    <t>ACM embasamento</t>
  </si>
  <si>
    <t>Manutenção de escoramento proprio</t>
  </si>
  <si>
    <t>Mão de obra para regularização</t>
  </si>
  <si>
    <t>Mão de obra para impermeabilização de poço e baldrames</t>
  </si>
  <si>
    <t>Mão de obra impermeabilizações cimenticias</t>
  </si>
  <si>
    <t>Mão de obra impermeabilizações com manta asfáltica</t>
  </si>
  <si>
    <t>Mão de obra para proteção mecânica</t>
  </si>
  <si>
    <t>MO piso alisado</t>
  </si>
  <si>
    <t>Mo piso ranhurado</t>
  </si>
  <si>
    <t>MO contrapiso</t>
  </si>
  <si>
    <t>Mo chapisco e reboco</t>
  </si>
  <si>
    <t>MO PORCELANATO</t>
  </si>
  <si>
    <t>MO PASTILHA</t>
  </si>
  <si>
    <t>MO PAVER</t>
  </si>
  <si>
    <t>mo estucamento</t>
  </si>
  <si>
    <t>MO pintura de piso epoxi</t>
  </si>
  <si>
    <t>MO pintura de piso acrilica</t>
  </si>
  <si>
    <t>MO PORTAS DE MADEIRA</t>
  </si>
  <si>
    <t>Lorenzo Gabriel</t>
  </si>
  <si>
    <t>AR-AE-MPE-01-430-04</t>
  </si>
  <si>
    <t>Brise de fachada</t>
  </si>
  <si>
    <t xml:space="preserve">Chapa metálica </t>
  </si>
  <si>
    <t>Meia Praia</t>
  </si>
  <si>
    <t>Não</t>
  </si>
  <si>
    <t>AREA TECNICA</t>
  </si>
  <si>
    <t>BARRILETE</t>
  </si>
  <si>
    <t>ANTECAMARA E ESCADA</t>
  </si>
  <si>
    <t>Sim</t>
  </si>
  <si>
    <t>APARTAMENTOS</t>
  </si>
  <si>
    <t>TIPO</t>
  </si>
  <si>
    <t>CIRCULAÇÃO</t>
  </si>
  <si>
    <t>PISCINA</t>
  </si>
  <si>
    <t>TERRAÇO PISCINAS</t>
  </si>
  <si>
    <t>DECK PISCINAS</t>
  </si>
  <si>
    <t>GOURMET</t>
  </si>
  <si>
    <t>SALA DE JOGOS</t>
  </si>
  <si>
    <t>PLAYGROUND</t>
  </si>
  <si>
    <t>COWORKING</t>
  </si>
  <si>
    <t>ESPAÇO KIDS</t>
  </si>
  <si>
    <t>SALA GAME</t>
  </si>
  <si>
    <t>LAVABOS/BANHEIROS</t>
  </si>
  <si>
    <t>HALL</t>
  </si>
  <si>
    <t>ESPAÇO ZEN</t>
  </si>
  <si>
    <t>ACADEMIA</t>
  </si>
  <si>
    <t>SALÃO DE FESTAS</t>
  </si>
  <si>
    <t>RAMPA</t>
  </si>
  <si>
    <t>G2/G3/G4</t>
  </si>
  <si>
    <t>GARAGEM</t>
  </si>
  <si>
    <t>RESERVATORIO</t>
  </si>
  <si>
    <t>GLP/LIXO</t>
  </si>
  <si>
    <t>GARAGEN</t>
  </si>
  <si>
    <t>BOX</t>
  </si>
  <si>
    <t>Área total</t>
  </si>
  <si>
    <t>Material</t>
  </si>
  <si>
    <t>CASA DE BOMBAS</t>
  </si>
  <si>
    <t>ACABAMENTOS</t>
  </si>
  <si>
    <t>SALA 2</t>
  </si>
  <si>
    <t>SALA 1</t>
  </si>
  <si>
    <t>HALL ENTRADA</t>
  </si>
  <si>
    <t>Revestimento</t>
  </si>
  <si>
    <t>Total</t>
  </si>
  <si>
    <t>Repetição</t>
  </si>
  <si>
    <t>Contrapiso (Sim/Não)</t>
  </si>
  <si>
    <t>Área (m²)</t>
  </si>
  <si>
    <t>Ambiente</t>
  </si>
  <si>
    <t>Pavimento</t>
  </si>
  <si>
    <t>CONTRAPISO</t>
  </si>
  <si>
    <t>LEVANTAMENTO DE PROJETO</t>
  </si>
  <si>
    <t>REVESTIMENTOS E ACABAMENTOS DE PISO</t>
  </si>
  <si>
    <t>LEVANTAMENTO QUANTITATIVO</t>
  </si>
  <si>
    <t>Meia praia</t>
  </si>
  <si>
    <t>Eternity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</si>
</sst>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.00\ _D_M_-;\-* #,##0.00\ _D_M_-;_-* &quot;-&quot;??\ _D_M_-;_-@_-"/>
    <numFmt numFmtId="165" formatCode="_-* #.##0.00_-;\-* #.##0.00_-;_-* &quot;-&quot;??_-;_-@_-"/>
    <numFmt numFmtId="166" formatCode="_-* #,##0.0000_-;\-* #,##0.0000_-;_-* &quot;-&quot;??_-;_-@_-"/>
  </numFmts>
  <fonts count="4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Roboto"/>
    </font>
    <font>
      <sz val="10"/>
      <color rgb="FFFF0000"/>
      <name val="Roboto"/>
    </font>
    <font>
      <b/>
      <sz val="8"/>
      <color theme="0"/>
      <name val="Poppins"/>
    </font>
    <font>
      <sz val="10"/>
      <color rgb="FF121212"/>
      <name val="Poppins"/>
    </font>
    <font>
      <sz val="8"/>
      <color rgb="FF121212"/>
      <name val="Poppins"/>
    </font>
    <font>
      <b/>
      <sz val="10"/>
      <color theme="0"/>
      <name val="Poppins"/>
    </font>
    <font>
      <b/>
      <sz val="10"/>
      <color rgb="FF121212"/>
      <name val="Poppins"/>
    </font>
    <font>
      <sz val="11"/>
      <color theme="1"/>
      <name val="Poppins"/>
    </font>
    <font>
      <b/>
      <sz val="14"/>
      <color theme="0"/>
      <name val="Poppins"/>
    </font>
    <font>
      <b/>
      <sz val="14"/>
      <color rgb="FF002060"/>
      <name val="Poppins"/>
    </font>
    <font>
      <b/>
      <sz val="8"/>
      <color rgb="FF002060"/>
      <name val="Poppins"/>
    </font>
    <font>
      <sz val="11"/>
      <color rgb="FF121212"/>
      <name val="Poppins"/>
    </font>
    <font>
      <sz val="8"/>
      <color theme="1"/>
      <name val="Poppins"/>
    </font>
    <font>
      <sz val="10"/>
      <color theme="1"/>
      <name val="Poppins"/>
    </font>
    <font>
      <sz val="10"/>
      <name val="Poppins"/>
    </font>
    <font>
      <b/>
      <sz val="11"/>
      <color theme="1"/>
      <name val="Poppins"/>
    </font>
    <font>
      <sz val="11"/>
      <color theme="1"/>
      <name val="Roboto"/>
    </font>
    <font>
      <b/>
      <u/>
      <sz val="11"/>
      <color theme="1"/>
      <name val="Poppins"/>
    </font>
    <font>
      <b/>
      <sz val="11"/>
      <color theme="0"/>
      <name val="Poppins"/>
    </font>
    <font>
      <b/>
      <sz val="9"/>
      <color indexed="81"/>
      <name val="Segoe UI"/>
      <family val="2"/>
    </font>
    <font>
      <b/>
      <sz val="10"/>
      <color theme="0"/>
      <name val="Roboto"/>
    </font>
    <font>
      <sz val="11"/>
      <color rgb="FFFF0000"/>
      <name val="Roboto"/>
    </font>
    <font>
      <sz val="11"/>
      <name val="Roboto"/>
    </font>
    <font>
      <sz val="11"/>
      <name val="Poppins"/>
    </font>
    <font>
      <b/>
      <sz val="11"/>
      <color theme="0"/>
      <name val="Roboto"/>
    </font>
    <font>
      <b/>
      <sz val="10"/>
      <color theme="1"/>
      <name val="Roboto"/>
    </font>
    <font>
      <sz val="10"/>
      <name val="Roboto"/>
    </font>
    <font>
      <b/>
      <u/>
      <sz val="10"/>
      <color theme="1"/>
      <name val="Roboto"/>
    </font>
    <font>
      <sz val="10"/>
      <color rgb="FF000000"/>
      <name val="Roboto"/>
    </font>
    <font>
      <b/>
      <sz val="14"/>
      <color rgb="FF293549"/>
      <name val="Roboto"/>
    </font>
    <font>
      <b/>
      <sz val="14"/>
      <color rgb="FF255AE5"/>
      <name val="Roboto"/>
    </font>
    <font>
      <b/>
      <sz val="11"/>
      <color rgb="FFFF0000"/>
      <name val="Roboto"/>
    </font>
    <font>
      <b/>
      <sz val="10"/>
      <color rgb="FFFF0000"/>
      <name val="Roboto"/>
    </font>
    <font>
      <sz val="9"/>
      <color indexed="81"/>
      <name val="Segoe UI"/>
      <family val="2"/>
    </font>
    <font>
      <sz val="11"/>
      <color rgb="FFFF0000"/>
      <name val="Poppins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C34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55AE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ECECE"/>
        <bgColor rgb="FFCECECE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255AE5"/>
        <bgColor rgb="FF255AE5"/>
      </patternFill>
    </fill>
    <fill>
      <patternFill patternType="solid">
        <fgColor rgb="FFA5A5A5"/>
        <bgColor rgb="FFA5A5A5"/>
      </patternFill>
    </fill>
    <fill>
      <patternFill patternType="solid">
        <fgColor rgb="FF121212"/>
        <bgColor rgb="FF121212"/>
      </patternFill>
    </fill>
    <fill>
      <patternFill patternType="solid">
        <fgColor rgb="FFFC3400"/>
        <bgColor rgb="FFFC3400"/>
      </patternFill>
    </fill>
  </fills>
  <borders count="10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0" tint="-0.499984740745262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hair">
        <color theme="0" tint="-0.499984740745262"/>
      </top>
      <bottom style="hair">
        <color theme="0" tint="-0.499984740745262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499984740745262"/>
      </right>
      <top/>
      <bottom style="hair">
        <color theme="0" tint="-0.499984740745262"/>
      </bottom>
      <diagonal/>
    </border>
    <border>
      <left style="thin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indexed="64"/>
      </top>
      <bottom style="thin">
        <color theme="0" tint="-0.499984740745262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/>
      <bottom style="medium">
        <color rgb="FFCECECE"/>
      </bottom>
      <diagonal/>
    </border>
    <border>
      <left/>
      <right/>
      <top/>
      <bottom style="hair">
        <color theme="0" tint="-0.499984740745262"/>
      </bottom>
      <diagonal/>
    </border>
    <border>
      <left style="thin">
        <color theme="0" tint="-0.499984740745262"/>
      </left>
      <right/>
      <top/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hair">
        <color theme="0" tint="-0.499984740745262"/>
      </bottom>
      <diagonal/>
    </border>
    <border>
      <left style="thin">
        <color indexed="64"/>
      </left>
      <right/>
      <top style="hair">
        <color theme="0" tint="-0.499984740745262"/>
      </top>
      <bottom style="hair">
        <color theme="0" tint="-0.499984740745262"/>
      </bottom>
      <diagonal/>
    </border>
    <border>
      <left style="thin">
        <color indexed="64"/>
      </left>
      <right/>
      <top/>
      <bottom style="hair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indexed="64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2">
    <xf numFmtId="0" fontId="0" fillId="0" borderId="0"/>
    <xf numFmtId="43" fontId="1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8" fillId="0" borderId="0"/>
  </cellStyleXfs>
  <cellXfs count="296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43" fontId="0" fillId="0" borderId="0" xfId="1" applyFont="1"/>
    <xf numFmtId="0" fontId="9" fillId="5" borderId="15" xfId="0" applyFont="1" applyFill="1" applyBorder="1" applyAlignment="1">
      <alignment vertical="center" wrapText="1"/>
    </xf>
    <xf numFmtId="0" fontId="6" fillId="2" borderId="8" xfId="0" applyFont="1" applyFill="1" applyBorder="1" applyAlignment="1">
      <alignment horizontal="left" vertical="center" wrapText="1"/>
    </xf>
    <xf numFmtId="0" fontId="6" fillId="2" borderId="9" xfId="0" applyFont="1" applyFill="1" applyBorder="1" applyAlignment="1">
      <alignment horizontal="center" vertical="center" wrapText="1"/>
    </xf>
    <xf numFmtId="43" fontId="6" fillId="2" borderId="9" xfId="1" applyFont="1" applyFill="1" applyBorder="1" applyAlignment="1">
      <alignment horizontal="left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10" fillId="2" borderId="12" xfId="0" applyFont="1" applyFill="1" applyBorder="1"/>
    <xf numFmtId="0" fontId="9" fillId="5" borderId="16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6" fillId="2" borderId="10" xfId="0" applyFont="1" applyFill="1" applyBorder="1" applyAlignment="1">
      <alignment horizontal="center" vertical="center" wrapText="1"/>
    </xf>
    <xf numFmtId="43" fontId="6" fillId="2" borderId="10" xfId="1" applyFont="1" applyFill="1" applyBorder="1" applyAlignment="1">
      <alignment horizontal="left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10" fillId="2" borderId="17" xfId="0" applyFont="1" applyFill="1" applyBorder="1"/>
    <xf numFmtId="0" fontId="12" fillId="2" borderId="19" xfId="0" applyFont="1" applyFill="1" applyBorder="1" applyAlignment="1">
      <alignment vertical="center" wrapText="1"/>
    </xf>
    <xf numFmtId="0" fontId="12" fillId="2" borderId="0" xfId="0" applyFont="1" applyFill="1" applyAlignment="1">
      <alignment horizontal="center" vertical="center" wrapText="1"/>
    </xf>
    <xf numFmtId="43" fontId="12" fillId="2" borderId="0" xfId="1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10" fillId="2" borderId="20" xfId="0" applyFont="1" applyFill="1" applyBorder="1"/>
    <xf numFmtId="0" fontId="14" fillId="2" borderId="20" xfId="0" applyFont="1" applyFill="1" applyBorder="1"/>
    <xf numFmtId="0" fontId="7" fillId="2" borderId="19" xfId="0" applyFont="1" applyFill="1" applyBorder="1"/>
    <xf numFmtId="0" fontId="5" fillId="6" borderId="15" xfId="0" applyFont="1" applyFill="1" applyBorder="1" applyAlignment="1">
      <alignment horizontal="center" vertical="center"/>
    </xf>
    <xf numFmtId="0" fontId="5" fillId="6" borderId="21" xfId="0" applyFont="1" applyFill="1" applyBorder="1" applyAlignment="1">
      <alignment horizontal="center" vertical="center" wrapText="1"/>
    </xf>
    <xf numFmtId="43" fontId="5" fillId="6" borderId="22" xfId="1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/>
    </xf>
    <xf numFmtId="0" fontId="7" fillId="2" borderId="23" xfId="0" applyFont="1" applyFill="1" applyBorder="1" applyAlignment="1">
      <alignment vertical="center" wrapText="1"/>
    </xf>
    <xf numFmtId="43" fontId="7" fillId="2" borderId="4" xfId="1" applyFont="1" applyFill="1" applyBorder="1" applyAlignment="1">
      <alignment horizontal="center" vertical="center" wrapText="1"/>
    </xf>
    <xf numFmtId="43" fontId="7" fillId="2" borderId="24" xfId="1" applyFont="1" applyFill="1" applyBorder="1" applyAlignment="1">
      <alignment vertical="center" wrapText="1"/>
    </xf>
    <xf numFmtId="0" fontId="7" fillId="2" borderId="25" xfId="0" applyFont="1" applyFill="1" applyBorder="1" applyAlignment="1">
      <alignment vertical="center" wrapText="1"/>
    </xf>
    <xf numFmtId="43" fontId="7" fillId="2" borderId="5" xfId="1" applyFont="1" applyFill="1" applyBorder="1" applyAlignment="1">
      <alignment horizontal="center" vertical="center" wrapText="1"/>
    </xf>
    <xf numFmtId="43" fontId="7" fillId="2" borderId="13" xfId="1" applyFont="1" applyFill="1" applyBorder="1" applyAlignment="1">
      <alignment vertical="center" wrapText="1"/>
    </xf>
    <xf numFmtId="0" fontId="7" fillId="2" borderId="26" xfId="0" applyFont="1" applyFill="1" applyBorder="1" applyAlignment="1">
      <alignment vertical="center" wrapText="1"/>
    </xf>
    <xf numFmtId="43" fontId="7" fillId="2" borderId="27" xfId="1" applyFont="1" applyFill="1" applyBorder="1" applyAlignment="1">
      <alignment horizontal="center" vertical="center" wrapText="1"/>
    </xf>
    <xf numFmtId="43" fontId="7" fillId="2" borderId="14" xfId="1" applyFont="1" applyFill="1" applyBorder="1" applyAlignment="1">
      <alignment vertical="center" wrapText="1"/>
    </xf>
    <xf numFmtId="0" fontId="14" fillId="2" borderId="28" xfId="0" applyFont="1" applyFill="1" applyBorder="1"/>
    <xf numFmtId="0" fontId="14" fillId="2" borderId="29" xfId="0" applyFont="1" applyFill="1" applyBorder="1" applyAlignment="1">
      <alignment horizontal="center"/>
    </xf>
    <xf numFmtId="43" fontId="14" fillId="2" borderId="29" xfId="1" applyFont="1" applyFill="1" applyBorder="1" applyAlignment="1">
      <alignment horizontal="center"/>
    </xf>
    <xf numFmtId="0" fontId="7" fillId="2" borderId="29" xfId="0" applyFont="1" applyFill="1" applyBorder="1" applyAlignment="1">
      <alignment horizontal="center"/>
    </xf>
    <xf numFmtId="0" fontId="14" fillId="2" borderId="30" xfId="0" applyFont="1" applyFill="1" applyBorder="1"/>
    <xf numFmtId="0" fontId="10" fillId="0" borderId="0" xfId="0" applyFont="1"/>
    <xf numFmtId="0" fontId="10" fillId="0" borderId="0" xfId="0" applyFont="1" applyAlignment="1">
      <alignment horizontal="center"/>
    </xf>
    <xf numFmtId="43" fontId="10" fillId="0" borderId="0" xfId="1" applyFont="1" applyAlignment="1">
      <alignment horizontal="center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vertical="center"/>
    </xf>
    <xf numFmtId="43" fontId="16" fillId="0" borderId="0" xfId="1" applyFont="1" applyAlignment="1">
      <alignment vertical="center"/>
    </xf>
    <xf numFmtId="9" fontId="3" fillId="0" borderId="0" xfId="6" applyFont="1" applyAlignment="1">
      <alignment vertical="center"/>
    </xf>
    <xf numFmtId="0" fontId="17" fillId="0" borderId="0" xfId="0" applyFont="1" applyAlignment="1">
      <alignment vertical="center"/>
    </xf>
    <xf numFmtId="43" fontId="17" fillId="5" borderId="0" xfId="1" applyFont="1" applyFill="1" applyBorder="1" applyAlignment="1">
      <alignment vertical="center"/>
    </xf>
    <xf numFmtId="0" fontId="17" fillId="5" borderId="0" xfId="0" applyFont="1" applyFill="1" applyAlignment="1">
      <alignment vertical="center"/>
    </xf>
    <xf numFmtId="43" fontId="17" fillId="0" borderId="0" xfId="1" applyFont="1" applyAlignment="1">
      <alignment vertical="center"/>
    </xf>
    <xf numFmtId="0" fontId="18" fillId="0" borderId="33" xfId="0" applyFont="1" applyBorder="1" applyAlignment="1">
      <alignment vertical="center"/>
    </xf>
    <xf numFmtId="0" fontId="10" fillId="0" borderId="33" xfId="0" applyFont="1" applyBorder="1" applyAlignment="1">
      <alignment vertical="center"/>
    </xf>
    <xf numFmtId="43" fontId="10" fillId="0" borderId="33" xfId="1" applyFont="1" applyBorder="1" applyAlignment="1">
      <alignment vertical="center"/>
    </xf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43" fontId="18" fillId="0" borderId="0" xfId="1" applyFont="1" applyBorder="1" applyAlignment="1">
      <alignment vertical="center"/>
    </xf>
    <xf numFmtId="0" fontId="10" fillId="0" borderId="0" xfId="0" applyFont="1" applyAlignment="1">
      <alignment vertical="center"/>
    </xf>
    <xf numFmtId="43" fontId="10" fillId="0" borderId="0" xfId="1" applyFont="1" applyBorder="1" applyAlignment="1">
      <alignment horizontal="center" vertical="center" wrapText="1"/>
    </xf>
    <xf numFmtId="43" fontId="10" fillId="4" borderId="0" xfId="1" applyFont="1" applyFill="1" applyBorder="1" applyAlignment="1">
      <alignment vertical="center" wrapText="1"/>
    </xf>
    <xf numFmtId="43" fontId="10" fillId="4" borderId="10" xfId="1" applyFont="1" applyFill="1" applyBorder="1" applyAlignment="1">
      <alignment vertical="center" wrapText="1"/>
    </xf>
    <xf numFmtId="0" fontId="21" fillId="7" borderId="1" xfId="0" applyFont="1" applyFill="1" applyBorder="1" applyAlignment="1">
      <alignment vertical="center"/>
    </xf>
    <xf numFmtId="0" fontId="21" fillId="7" borderId="1" xfId="0" applyFont="1" applyFill="1" applyBorder="1" applyAlignment="1">
      <alignment horizontal="center" vertical="center" wrapText="1"/>
    </xf>
    <xf numFmtId="43" fontId="21" fillId="7" borderId="1" xfId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43" fontId="10" fillId="0" borderId="1" xfId="1" applyFont="1" applyBorder="1" applyAlignment="1">
      <alignment vertical="center" wrapText="1"/>
    </xf>
    <xf numFmtId="43" fontId="10" fillId="0" borderId="1" xfId="1" applyFont="1" applyBorder="1" applyAlignment="1">
      <alignment horizontal="left" vertical="center" wrapText="1"/>
    </xf>
    <xf numFmtId="0" fontId="10" fillId="0" borderId="0" xfId="0" applyFont="1" applyAlignment="1">
      <alignment vertical="center" wrapText="1"/>
    </xf>
    <xf numFmtId="0" fontId="10" fillId="0" borderId="2" xfId="0" applyFont="1" applyBorder="1" applyAlignment="1">
      <alignment vertical="center" wrapText="1"/>
    </xf>
    <xf numFmtId="0" fontId="21" fillId="7" borderId="1" xfId="0" applyFont="1" applyFill="1" applyBorder="1" applyAlignment="1">
      <alignment horizontal="center" vertical="center"/>
    </xf>
    <xf numFmtId="43" fontId="10" fillId="0" borderId="10" xfId="1" applyFont="1" applyBorder="1" applyAlignment="1">
      <alignment horizontal="left" vertical="center" wrapText="1"/>
    </xf>
    <xf numFmtId="43" fontId="10" fillId="0" borderId="0" xfId="1" applyFont="1" applyBorder="1" applyAlignment="1">
      <alignment horizontal="left" vertical="center" wrapText="1"/>
    </xf>
    <xf numFmtId="43" fontId="10" fillId="4" borderId="1" xfId="1" applyFont="1" applyFill="1" applyBorder="1" applyAlignment="1">
      <alignment vertical="center" wrapText="1"/>
    </xf>
    <xf numFmtId="43" fontId="10" fillId="4" borderId="1" xfId="1" applyFont="1" applyFill="1" applyBorder="1" applyAlignment="1">
      <alignment horizontal="left" vertical="center" wrapText="1"/>
    </xf>
    <xf numFmtId="9" fontId="10" fillId="4" borderId="10" xfId="1" applyNumberFormat="1" applyFont="1" applyFill="1" applyBorder="1" applyAlignment="1">
      <alignment vertical="center" wrapText="1"/>
    </xf>
    <xf numFmtId="2" fontId="10" fillId="4" borderId="10" xfId="1" applyNumberFormat="1" applyFont="1" applyFill="1" applyBorder="1" applyAlignment="1">
      <alignment vertical="center" wrapText="1"/>
    </xf>
    <xf numFmtId="0" fontId="10" fillId="0" borderId="35" xfId="0" applyFont="1" applyBorder="1" applyAlignment="1">
      <alignment horizontal="left" vertical="center" wrapText="1"/>
    </xf>
    <xf numFmtId="0" fontId="24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43" fontId="19" fillId="0" borderId="0" xfId="1" applyFont="1" applyAlignment="1">
      <alignment vertical="center"/>
    </xf>
    <xf numFmtId="43" fontId="19" fillId="0" borderId="0" xfId="1" applyFont="1" applyAlignment="1">
      <alignment horizontal="center" vertical="center"/>
    </xf>
    <xf numFmtId="0" fontId="26" fillId="5" borderId="0" xfId="0" applyFont="1" applyFill="1" applyAlignment="1">
      <alignment vertical="center"/>
    </xf>
    <xf numFmtId="43" fontId="26" fillId="5" borderId="0" xfId="1" applyFont="1" applyFill="1" applyBorder="1" applyAlignment="1">
      <alignment vertical="center"/>
    </xf>
    <xf numFmtId="0" fontId="26" fillId="0" borderId="0" xfId="0" applyFont="1" applyAlignment="1">
      <alignment vertical="center"/>
    </xf>
    <xf numFmtId="43" fontId="19" fillId="0" borderId="0" xfId="1" applyFont="1" applyBorder="1" applyAlignment="1">
      <alignment vertical="center"/>
    </xf>
    <xf numFmtId="43" fontId="19" fillId="0" borderId="0" xfId="1" applyFont="1" applyBorder="1" applyAlignment="1">
      <alignment horizontal="center" vertical="center"/>
    </xf>
    <xf numFmtId="44" fontId="10" fillId="0" borderId="1" xfId="10" applyFont="1" applyBorder="1" applyAlignment="1">
      <alignment horizontal="left" vertical="center" wrapText="1"/>
    </xf>
    <xf numFmtId="44" fontId="10" fillId="0" borderId="1" xfId="10" applyFont="1" applyBorder="1" applyAlignment="1">
      <alignment horizontal="center" vertical="center"/>
    </xf>
    <xf numFmtId="44" fontId="21" fillId="7" borderId="1" xfId="10" applyFont="1" applyFill="1" applyBorder="1" applyAlignment="1">
      <alignment horizontal="center" vertical="center"/>
    </xf>
    <xf numFmtId="44" fontId="27" fillId="8" borderId="6" xfId="10" applyFont="1" applyFill="1" applyBorder="1" applyAlignment="1">
      <alignment horizontal="center" vertical="center"/>
    </xf>
    <xf numFmtId="44" fontId="10" fillId="8" borderId="1" xfId="10" applyFont="1" applyFill="1" applyBorder="1" applyAlignment="1">
      <alignment horizontal="left" vertical="center" wrapText="1"/>
    </xf>
    <xf numFmtId="44" fontId="10" fillId="8" borderId="1" xfId="10" applyFont="1" applyFill="1" applyBorder="1" applyAlignment="1">
      <alignment horizontal="center" vertical="center"/>
    </xf>
    <xf numFmtId="44" fontId="19" fillId="0" borderId="0" xfId="10" applyFont="1" applyAlignment="1">
      <alignment vertical="center"/>
    </xf>
    <xf numFmtId="44" fontId="25" fillId="0" borderId="0" xfId="10" applyFont="1" applyAlignment="1">
      <alignment vertical="center"/>
    </xf>
    <xf numFmtId="44" fontId="26" fillId="5" borderId="0" xfId="10" applyFont="1" applyFill="1" applyBorder="1" applyAlignment="1">
      <alignment vertical="center"/>
    </xf>
    <xf numFmtId="44" fontId="26" fillId="0" borderId="0" xfId="10" applyFont="1" applyAlignment="1">
      <alignment vertical="center"/>
    </xf>
    <xf numFmtId="44" fontId="10" fillId="0" borderId="33" xfId="10" applyFont="1" applyBorder="1" applyAlignment="1">
      <alignment vertical="center"/>
    </xf>
    <xf numFmtId="44" fontId="18" fillId="0" borderId="0" xfId="10" applyFont="1" applyBorder="1" applyAlignment="1">
      <alignment vertical="center"/>
    </xf>
    <xf numFmtId="44" fontId="10" fillId="0" borderId="0" xfId="10" applyFont="1" applyAlignment="1">
      <alignment vertical="center"/>
    </xf>
    <xf numFmtId="44" fontId="21" fillId="7" borderId="1" xfId="10" applyFont="1" applyFill="1" applyBorder="1" applyAlignment="1">
      <alignment horizontal="center" vertical="center" wrapText="1"/>
    </xf>
    <xf numFmtId="44" fontId="18" fillId="0" borderId="0" xfId="10" applyFont="1" applyAlignment="1">
      <alignment vertical="center"/>
    </xf>
    <xf numFmtId="44" fontId="10" fillId="0" borderId="0" xfId="10" applyFont="1" applyBorder="1" applyAlignment="1">
      <alignment horizontal="center" vertical="center" wrapText="1"/>
    </xf>
    <xf numFmtId="44" fontId="17" fillId="0" borderId="0" xfId="10" applyFont="1" applyAlignment="1">
      <alignment vertical="center"/>
    </xf>
    <xf numFmtId="44" fontId="17" fillId="5" borderId="0" xfId="10" applyFont="1" applyFill="1" applyBorder="1" applyAlignment="1">
      <alignment vertical="center"/>
    </xf>
    <xf numFmtId="44" fontId="10" fillId="0" borderId="34" xfId="10" applyFont="1" applyBorder="1" applyAlignment="1">
      <alignment horizontal="center" vertical="center"/>
    </xf>
    <xf numFmtId="44" fontId="16" fillId="0" borderId="0" xfId="10" applyFont="1" applyAlignment="1">
      <alignment vertical="center"/>
    </xf>
    <xf numFmtId="44" fontId="23" fillId="8" borderId="6" xfId="10" applyFont="1" applyFill="1" applyBorder="1" applyAlignment="1">
      <alignment horizontal="center" vertical="center"/>
    </xf>
    <xf numFmtId="0" fontId="8" fillId="8" borderId="31" xfId="0" applyFont="1" applyFill="1" applyBorder="1" applyAlignment="1">
      <alignment horizontal="center" vertical="center" wrapText="1"/>
    </xf>
    <xf numFmtId="0" fontId="21" fillId="7" borderId="1" xfId="0" applyFont="1" applyFill="1" applyBorder="1" applyAlignment="1">
      <alignment horizontal="right" vertical="center" wrapText="1"/>
    </xf>
    <xf numFmtId="0" fontId="10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3" fontId="3" fillId="0" borderId="0" xfId="1" applyFont="1" applyAlignment="1">
      <alignment horizontal="center" vertical="center"/>
    </xf>
    <xf numFmtId="43" fontId="3" fillId="0" borderId="0" xfId="1" applyFont="1" applyAlignment="1">
      <alignment vertical="center"/>
    </xf>
    <xf numFmtId="43" fontId="3" fillId="0" borderId="0" xfId="0" applyNumberFormat="1" applyFont="1" applyAlignment="1">
      <alignment vertical="center"/>
    </xf>
    <xf numFmtId="43" fontId="28" fillId="9" borderId="6" xfId="1" applyFont="1" applyFill="1" applyBorder="1" applyAlignment="1">
      <alignment horizontal="center" vertical="center"/>
    </xf>
    <xf numFmtId="43" fontId="28" fillId="10" borderId="6" xfId="1" applyFont="1" applyFill="1" applyBorder="1" applyAlignment="1">
      <alignment horizontal="center" vertical="center"/>
    </xf>
    <xf numFmtId="0" fontId="3" fillId="0" borderId="36" xfId="0" applyFont="1" applyBorder="1" applyAlignment="1">
      <alignment vertical="center"/>
    </xf>
    <xf numFmtId="0" fontId="3" fillId="0" borderId="37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43" fontId="3" fillId="0" borderId="39" xfId="1" applyFont="1" applyBorder="1" applyAlignment="1">
      <alignment horizontal="center" vertical="center" wrapText="1"/>
    </xf>
    <xf numFmtId="43" fontId="28" fillId="10" borderId="40" xfId="1" applyFont="1" applyFill="1" applyBorder="1" applyAlignment="1">
      <alignment horizontal="center" vertical="center"/>
    </xf>
    <xf numFmtId="0" fontId="28" fillId="0" borderId="39" xfId="0" applyFont="1" applyBorder="1" applyAlignment="1">
      <alignment vertical="center"/>
    </xf>
    <xf numFmtId="43" fontId="3" fillId="0" borderId="43" xfId="1" applyFont="1" applyBorder="1" applyAlignment="1">
      <alignment horizontal="center" vertical="center" wrapText="1"/>
    </xf>
    <xf numFmtId="43" fontId="3" fillId="0" borderId="44" xfId="1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 wrapText="1"/>
    </xf>
    <xf numFmtId="0" fontId="3" fillId="0" borderId="46" xfId="0" applyFont="1" applyBorder="1" applyAlignment="1">
      <alignment horizontal="center" vertical="center"/>
    </xf>
    <xf numFmtId="166" fontId="3" fillId="0" borderId="47" xfId="1" applyNumberFormat="1" applyFont="1" applyBorder="1" applyAlignment="1">
      <alignment horizontal="center" vertical="center"/>
    </xf>
    <xf numFmtId="43" fontId="3" fillId="0" borderId="47" xfId="1" applyFont="1" applyBorder="1" applyAlignment="1">
      <alignment horizontal="center" vertical="center" wrapText="1"/>
    </xf>
    <xf numFmtId="0" fontId="3" fillId="0" borderId="48" xfId="0" applyFont="1" applyBorder="1" applyAlignment="1">
      <alignment horizontal="center" vertical="center"/>
    </xf>
    <xf numFmtId="0" fontId="3" fillId="0" borderId="39" xfId="0" applyFont="1" applyBorder="1" applyAlignment="1">
      <alignment vertical="center"/>
    </xf>
    <xf numFmtId="0" fontId="28" fillId="9" borderId="50" xfId="0" applyFont="1" applyFill="1" applyBorder="1" applyAlignment="1">
      <alignment horizontal="center" vertical="center"/>
    </xf>
    <xf numFmtId="0" fontId="28" fillId="9" borderId="51" xfId="0" applyFont="1" applyFill="1" applyBorder="1" applyAlignment="1">
      <alignment horizontal="center" vertical="center"/>
    </xf>
    <xf numFmtId="0" fontId="28" fillId="9" borderId="54" xfId="0" applyFont="1" applyFill="1" applyBorder="1" applyAlignment="1">
      <alignment horizontal="left" vertical="center"/>
    </xf>
    <xf numFmtId="0" fontId="28" fillId="0" borderId="0" xfId="0" applyFont="1" applyAlignment="1">
      <alignment vertical="center"/>
    </xf>
    <xf numFmtId="43" fontId="28" fillId="0" borderId="0" xfId="1" applyFont="1" applyBorder="1" applyAlignment="1">
      <alignment horizontal="center" vertical="center"/>
    </xf>
    <xf numFmtId="43" fontId="28" fillId="0" borderId="0" xfId="1" applyFont="1" applyBorder="1" applyAlignment="1">
      <alignment vertical="center"/>
    </xf>
    <xf numFmtId="0" fontId="30" fillId="0" borderId="55" xfId="0" applyFont="1" applyBorder="1" applyAlignment="1">
      <alignment vertical="center"/>
    </xf>
    <xf numFmtId="0" fontId="3" fillId="0" borderId="56" xfId="0" applyFont="1" applyBorder="1" applyAlignment="1">
      <alignment vertical="center"/>
    </xf>
    <xf numFmtId="0" fontId="3" fillId="0" borderId="57" xfId="0" applyFont="1" applyBorder="1" applyAlignment="1">
      <alignment vertical="center"/>
    </xf>
    <xf numFmtId="0" fontId="3" fillId="0" borderId="57" xfId="0" applyFont="1" applyBorder="1" applyAlignment="1">
      <alignment horizontal="center" vertical="center"/>
    </xf>
    <xf numFmtId="43" fontId="3" fillId="0" borderId="57" xfId="1" applyFont="1" applyBorder="1" applyAlignment="1">
      <alignment horizontal="center" vertical="center"/>
    </xf>
    <xf numFmtId="43" fontId="3" fillId="0" borderId="57" xfId="1" applyFont="1" applyBorder="1" applyAlignment="1">
      <alignment vertical="center"/>
    </xf>
    <xf numFmtId="0" fontId="30" fillId="0" borderId="58" xfId="0" applyFont="1" applyBorder="1" applyAlignment="1">
      <alignment vertical="center"/>
    </xf>
    <xf numFmtId="14" fontId="3" fillId="11" borderId="59" xfId="0" applyNumberFormat="1" applyFont="1" applyFill="1" applyBorder="1" applyAlignment="1">
      <alignment vertical="center"/>
    </xf>
    <xf numFmtId="14" fontId="3" fillId="11" borderId="60" xfId="0" applyNumberFormat="1" applyFont="1" applyFill="1" applyBorder="1" applyAlignment="1">
      <alignment vertical="center"/>
    </xf>
    <xf numFmtId="14" fontId="3" fillId="11" borderId="61" xfId="0" applyNumberFormat="1" applyFont="1" applyFill="1" applyBorder="1" applyAlignment="1">
      <alignment vertical="center"/>
    </xf>
    <xf numFmtId="0" fontId="3" fillId="12" borderId="62" xfId="0" applyFont="1" applyFill="1" applyBorder="1" applyAlignment="1">
      <alignment horizontal="left" vertical="center"/>
    </xf>
    <xf numFmtId="14" fontId="3" fillId="11" borderId="63" xfId="0" applyNumberFormat="1" applyFont="1" applyFill="1" applyBorder="1" applyAlignment="1">
      <alignment horizontal="left" vertical="center"/>
    </xf>
    <xf numFmtId="14" fontId="3" fillId="11" borderId="64" xfId="0" applyNumberFormat="1" applyFont="1" applyFill="1" applyBorder="1" applyAlignment="1">
      <alignment horizontal="left" vertical="center"/>
    </xf>
    <xf numFmtId="14" fontId="3" fillId="11" borderId="61" xfId="0" applyNumberFormat="1" applyFont="1" applyFill="1" applyBorder="1" applyAlignment="1">
      <alignment horizontal="left" vertical="center"/>
    </xf>
    <xf numFmtId="0" fontId="3" fillId="12" borderId="65" xfId="0" applyFont="1" applyFill="1" applyBorder="1" applyAlignment="1">
      <alignment vertical="center"/>
    </xf>
    <xf numFmtId="14" fontId="3" fillId="11" borderId="63" xfId="0" applyNumberFormat="1" applyFont="1" applyFill="1" applyBorder="1" applyAlignment="1">
      <alignment vertical="center"/>
    </xf>
    <xf numFmtId="14" fontId="3" fillId="11" borderId="64" xfId="0" applyNumberFormat="1" applyFont="1" applyFill="1" applyBorder="1" applyAlignment="1">
      <alignment vertical="center"/>
    </xf>
    <xf numFmtId="49" fontId="3" fillId="11" borderId="61" xfId="0" applyNumberFormat="1" applyFont="1" applyFill="1" applyBorder="1" applyAlignment="1">
      <alignment vertical="center"/>
    </xf>
    <xf numFmtId="0" fontId="31" fillId="12" borderId="65" xfId="0" applyFont="1" applyFill="1" applyBorder="1" applyAlignment="1">
      <alignment vertical="center"/>
    </xf>
    <xf numFmtId="0" fontId="3" fillId="11" borderId="66" xfId="0" applyFont="1" applyFill="1" applyBorder="1" applyAlignment="1">
      <alignment vertical="center"/>
    </xf>
    <xf numFmtId="0" fontId="3" fillId="11" borderId="67" xfId="0" applyFont="1" applyFill="1" applyBorder="1" applyAlignment="1">
      <alignment vertical="center"/>
    </xf>
    <xf numFmtId="0" fontId="3" fillId="11" borderId="61" xfId="0" applyFont="1" applyFill="1" applyBorder="1" applyAlignment="1">
      <alignment vertical="center"/>
    </xf>
    <xf numFmtId="0" fontId="31" fillId="12" borderId="68" xfId="0" applyFont="1" applyFill="1" applyBorder="1" applyAlignment="1">
      <alignment vertical="center"/>
    </xf>
    <xf numFmtId="0" fontId="29" fillId="0" borderId="0" xfId="0" applyFont="1" applyAlignment="1">
      <alignment vertical="center"/>
    </xf>
    <xf numFmtId="0" fontId="3" fillId="12" borderId="0" xfId="0" applyFont="1" applyFill="1" applyAlignment="1">
      <alignment vertical="center"/>
    </xf>
    <xf numFmtId="0" fontId="29" fillId="0" borderId="69" xfId="0" applyFont="1" applyBorder="1" applyAlignment="1">
      <alignment vertical="center"/>
    </xf>
    <xf numFmtId="0" fontId="3" fillId="0" borderId="69" xfId="0" applyFont="1" applyBorder="1" applyAlignment="1">
      <alignment vertical="center"/>
    </xf>
    <xf numFmtId="0" fontId="3" fillId="12" borderId="69" xfId="0" applyFont="1" applyFill="1" applyBorder="1" applyAlignment="1">
      <alignment vertical="center"/>
    </xf>
    <xf numFmtId="0" fontId="32" fillId="0" borderId="0" xfId="0" applyFont="1" applyAlignment="1">
      <alignment vertical="center"/>
    </xf>
    <xf numFmtId="43" fontId="3" fillId="0" borderId="37" xfId="0" applyNumberFormat="1" applyFont="1" applyBorder="1" applyAlignment="1">
      <alignment vertical="center"/>
    </xf>
    <xf numFmtId="0" fontId="3" fillId="0" borderId="70" xfId="0" applyFont="1" applyBorder="1" applyAlignment="1">
      <alignment horizontal="center" vertical="center" wrapText="1"/>
    </xf>
    <xf numFmtId="166" fontId="3" fillId="0" borderId="71" xfId="1" applyNumberFormat="1" applyFont="1" applyBorder="1" applyAlignment="1">
      <alignment horizontal="center" vertical="center"/>
    </xf>
    <xf numFmtId="43" fontId="3" fillId="0" borderId="71" xfId="1" applyFont="1" applyBorder="1" applyAlignment="1">
      <alignment horizontal="center" vertical="center" wrapText="1"/>
    </xf>
    <xf numFmtId="43" fontId="3" fillId="0" borderId="72" xfId="1" applyFont="1" applyBorder="1" applyAlignment="1">
      <alignment horizontal="center" vertical="center" wrapText="1"/>
    </xf>
    <xf numFmtId="0" fontId="3" fillId="0" borderId="73" xfId="0" applyFont="1" applyBorder="1" applyAlignment="1">
      <alignment horizontal="left" vertical="center" wrapText="1"/>
    </xf>
    <xf numFmtId="0" fontId="3" fillId="0" borderId="74" xfId="0" applyFont="1" applyBorder="1" applyAlignment="1">
      <alignment horizontal="left" vertical="center" wrapText="1"/>
    </xf>
    <xf numFmtId="0" fontId="3" fillId="0" borderId="73" xfId="0" applyFont="1" applyBorder="1" applyAlignment="1">
      <alignment vertical="center" wrapText="1"/>
    </xf>
    <xf numFmtId="2" fontId="3" fillId="0" borderId="43" xfId="1" applyNumberFormat="1" applyFont="1" applyBorder="1" applyAlignment="1">
      <alignment horizontal="center" vertical="center" wrapText="1"/>
    </xf>
    <xf numFmtId="43" fontId="0" fillId="0" borderId="0" xfId="0" applyNumberFormat="1"/>
    <xf numFmtId="43" fontId="28" fillId="10" borderId="77" xfId="1" applyFont="1" applyFill="1" applyBorder="1" applyAlignment="1">
      <alignment horizontal="center" vertical="center"/>
    </xf>
    <xf numFmtId="166" fontId="29" fillId="0" borderId="71" xfId="1" applyNumberFormat="1" applyFont="1" applyBorder="1" applyAlignment="1">
      <alignment horizontal="center" vertical="center"/>
    </xf>
    <xf numFmtId="0" fontId="29" fillId="0" borderId="74" xfId="0" applyFont="1" applyBorder="1" applyAlignment="1">
      <alignment horizontal="left" vertical="center" wrapText="1"/>
    </xf>
    <xf numFmtId="43" fontId="29" fillId="0" borderId="72" xfId="1" applyFont="1" applyBorder="1" applyAlignment="1">
      <alignment horizontal="center" vertical="center" wrapText="1"/>
    </xf>
    <xf numFmtId="0" fontId="29" fillId="0" borderId="73" xfId="0" applyFont="1" applyBorder="1" applyAlignment="1">
      <alignment vertical="center" wrapText="1"/>
    </xf>
    <xf numFmtId="0" fontId="29" fillId="0" borderId="73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43" fontId="0" fillId="0" borderId="0" xfId="0" applyNumberFormat="1" applyAlignment="1">
      <alignment vertical="center"/>
    </xf>
    <xf numFmtId="43" fontId="35" fillId="0" borderId="0" xfId="1" applyFont="1" applyBorder="1" applyAlignment="1">
      <alignment vertical="center"/>
    </xf>
    <xf numFmtId="43" fontId="29" fillId="0" borderId="0" xfId="1" applyFont="1" applyFill="1" applyBorder="1" applyAlignment="1">
      <alignment horizontal="center" vertical="center" wrapText="1"/>
    </xf>
    <xf numFmtId="43" fontId="29" fillId="0" borderId="49" xfId="1" applyFont="1" applyFill="1" applyBorder="1" applyAlignment="1">
      <alignment horizontal="center" vertical="center" wrapText="1"/>
    </xf>
    <xf numFmtId="44" fontId="10" fillId="0" borderId="1" xfId="10" applyFont="1" applyBorder="1" applyAlignment="1">
      <alignment vertical="center" wrapText="1"/>
    </xf>
    <xf numFmtId="0" fontId="9" fillId="5" borderId="1" xfId="0" applyFont="1" applyFill="1" applyBorder="1" applyAlignment="1">
      <alignment vertical="center" wrapText="1"/>
    </xf>
    <xf numFmtId="0" fontId="6" fillId="2" borderId="79" xfId="0" applyFont="1" applyFill="1" applyBorder="1" applyAlignment="1">
      <alignment vertical="center" wrapText="1"/>
    </xf>
    <xf numFmtId="0" fontId="6" fillId="2" borderId="33" xfId="0" applyFont="1" applyFill="1" applyBorder="1" applyAlignment="1">
      <alignment vertical="center" wrapText="1"/>
    </xf>
    <xf numFmtId="0" fontId="6" fillId="2" borderId="80" xfId="0" applyFont="1" applyFill="1" applyBorder="1" applyAlignment="1">
      <alignment vertical="center" wrapText="1"/>
    </xf>
    <xf numFmtId="0" fontId="6" fillId="2" borderId="10" xfId="0" applyFont="1" applyFill="1" applyBorder="1" applyAlignment="1">
      <alignment vertical="center" wrapText="1"/>
    </xf>
    <xf numFmtId="0" fontId="6" fillId="2" borderId="3" xfId="0" applyFont="1" applyFill="1" applyBorder="1" applyAlignment="1">
      <alignment vertical="center" wrapText="1"/>
    </xf>
    <xf numFmtId="14" fontId="6" fillId="2" borderId="2" xfId="0" applyNumberFormat="1" applyFont="1" applyFill="1" applyBorder="1" applyAlignment="1">
      <alignment vertical="center" wrapText="1"/>
    </xf>
    <xf numFmtId="0" fontId="6" fillId="2" borderId="79" xfId="0" applyFont="1" applyFill="1" applyBorder="1" applyAlignment="1">
      <alignment horizontal="center" vertical="center" wrapText="1"/>
    </xf>
    <xf numFmtId="43" fontId="37" fillId="4" borderId="10" xfId="1" applyFont="1" applyFill="1" applyBorder="1" applyAlignment="1">
      <alignment vertical="center" wrapText="1"/>
    </xf>
    <xf numFmtId="44" fontId="19" fillId="0" borderId="0" xfId="0" applyNumberFormat="1" applyFont="1" applyAlignment="1">
      <alignment vertical="center"/>
    </xf>
    <xf numFmtId="44" fontId="16" fillId="0" borderId="0" xfId="0" applyNumberFormat="1" applyFont="1" applyAlignment="1">
      <alignment vertical="center"/>
    </xf>
    <xf numFmtId="43" fontId="29" fillId="0" borderId="0" xfId="0" applyNumberFormat="1" applyFont="1" applyAlignment="1">
      <alignment vertical="center"/>
    </xf>
    <xf numFmtId="43" fontId="26" fillId="0" borderId="1" xfId="1" applyFont="1" applyBorder="1" applyAlignment="1">
      <alignment vertical="center" wrapText="1"/>
    </xf>
    <xf numFmtId="0" fontId="10" fillId="0" borderId="35" xfId="0" applyFont="1" applyBorder="1" applyAlignment="1">
      <alignment vertical="center" wrapText="1"/>
    </xf>
    <xf numFmtId="43" fontId="7" fillId="2" borderId="0" xfId="0" applyNumberFormat="1" applyFont="1" applyFill="1" applyAlignment="1">
      <alignment horizontal="center"/>
    </xf>
    <xf numFmtId="43" fontId="26" fillId="4" borderId="10" xfId="1" applyFont="1" applyFill="1" applyBorder="1" applyAlignment="1">
      <alignment vertical="center" wrapText="1"/>
    </xf>
    <xf numFmtId="0" fontId="18" fillId="13" borderId="33" xfId="0" applyFont="1" applyFill="1" applyBorder="1" applyAlignment="1">
      <alignment vertical="center"/>
    </xf>
    <xf numFmtId="43" fontId="26" fillId="0" borderId="1" xfId="1" applyFont="1" applyFill="1" applyBorder="1" applyAlignment="1">
      <alignment vertical="center" wrapText="1"/>
    </xf>
    <xf numFmtId="44" fontId="10" fillId="0" borderId="1" xfId="10" applyFont="1" applyFill="1" applyBorder="1" applyAlignment="1">
      <alignment horizontal="left" vertical="center" wrapText="1"/>
    </xf>
    <xf numFmtId="0" fontId="3" fillId="0" borderId="81" xfId="0" applyFont="1" applyBorder="1" applyAlignment="1">
      <alignment horizontal="left" vertical="center" wrapText="1"/>
    </xf>
    <xf numFmtId="2" fontId="3" fillId="0" borderId="82" xfId="1" applyNumberFormat="1" applyFont="1" applyBorder="1" applyAlignment="1">
      <alignment horizontal="center" vertical="center" wrapText="1"/>
    </xf>
    <xf numFmtId="43" fontId="3" fillId="0" borderId="82" xfId="1" applyFont="1" applyBorder="1" applyAlignment="1">
      <alignment horizontal="center" vertical="center" wrapText="1"/>
    </xf>
    <xf numFmtId="166" fontId="3" fillId="0" borderId="55" xfId="1" applyNumberFormat="1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43" fontId="3" fillId="0" borderId="83" xfId="1" applyFont="1" applyBorder="1" applyAlignment="1">
      <alignment horizontal="center" vertical="center"/>
    </xf>
    <xf numFmtId="43" fontId="28" fillId="0" borderId="39" xfId="0" applyNumberFormat="1" applyFont="1" applyBorder="1" applyAlignment="1">
      <alignment vertical="center"/>
    </xf>
    <xf numFmtId="43" fontId="3" fillId="0" borderId="39" xfId="0" applyNumberFormat="1" applyFont="1" applyBorder="1" applyAlignment="1">
      <alignment vertical="center"/>
    </xf>
    <xf numFmtId="0" fontId="38" fillId="0" borderId="0" xfId="11"/>
    <xf numFmtId="0" fontId="39" fillId="14" borderId="0" xfId="11" applyFont="1" applyFill="1"/>
    <xf numFmtId="0" fontId="39" fillId="14" borderId="84" xfId="11" applyFont="1" applyFill="1" applyBorder="1"/>
    <xf numFmtId="0" fontId="39" fillId="0" borderId="85" xfId="11" applyFont="1" applyBorder="1"/>
    <xf numFmtId="0" fontId="39" fillId="0" borderId="86" xfId="11" applyFont="1" applyBorder="1"/>
    <xf numFmtId="0" fontId="39" fillId="0" borderId="87" xfId="11" applyFont="1" applyBorder="1"/>
    <xf numFmtId="0" fontId="39" fillId="12" borderId="87" xfId="11" applyFont="1" applyFill="1" applyBorder="1"/>
    <xf numFmtId="0" fontId="39" fillId="12" borderId="86" xfId="11" applyFont="1" applyFill="1" applyBorder="1"/>
    <xf numFmtId="0" fontId="39" fillId="14" borderId="88" xfId="11" applyFont="1" applyFill="1" applyBorder="1"/>
    <xf numFmtId="2" fontId="39" fillId="0" borderId="85" xfId="11" applyNumberFormat="1" applyFont="1" applyBorder="1"/>
    <xf numFmtId="0" fontId="40" fillId="12" borderId="87" xfId="11" applyFont="1" applyFill="1" applyBorder="1"/>
    <xf numFmtId="0" fontId="40" fillId="12" borderId="86" xfId="11" applyFont="1" applyFill="1" applyBorder="1"/>
    <xf numFmtId="0" fontId="39" fillId="0" borderId="89" xfId="11" applyFont="1" applyBorder="1"/>
    <xf numFmtId="0" fontId="39" fillId="0" borderId="90" xfId="11" applyFont="1" applyBorder="1"/>
    <xf numFmtId="0" fontId="5" fillId="15" borderId="91" xfId="11" applyFont="1" applyFill="1" applyBorder="1" applyAlignment="1">
      <alignment horizontal="center" vertical="center"/>
    </xf>
    <xf numFmtId="0" fontId="5" fillId="15" borderId="92" xfId="11" applyFont="1" applyFill="1" applyBorder="1" applyAlignment="1">
      <alignment horizontal="center" vertical="center"/>
    </xf>
    <xf numFmtId="2" fontId="39" fillId="0" borderId="95" xfId="11" applyNumberFormat="1" applyFont="1" applyBorder="1"/>
    <xf numFmtId="0" fontId="39" fillId="0" borderId="96" xfId="11" applyFont="1" applyBorder="1"/>
    <xf numFmtId="0" fontId="39" fillId="12" borderId="96" xfId="11" applyFont="1" applyFill="1" applyBorder="1"/>
    <xf numFmtId="0" fontId="39" fillId="12" borderId="97" xfId="11" applyFont="1" applyFill="1" applyBorder="1"/>
    <xf numFmtId="0" fontId="5" fillId="15" borderId="98" xfId="11" applyFont="1" applyFill="1" applyBorder="1" applyAlignment="1">
      <alignment horizontal="center" vertical="center"/>
    </xf>
    <xf numFmtId="0" fontId="5" fillId="15" borderId="99" xfId="11" applyFont="1" applyFill="1" applyBorder="1" applyAlignment="1">
      <alignment horizontal="center"/>
    </xf>
    <xf numFmtId="0" fontId="39" fillId="14" borderId="101" xfId="11" applyFont="1" applyFill="1" applyBorder="1"/>
    <xf numFmtId="0" fontId="16" fillId="14" borderId="64" xfId="11" applyFont="1" applyFill="1" applyBorder="1" applyAlignment="1">
      <alignment horizontal="left" vertical="center" wrapText="1"/>
    </xf>
    <xf numFmtId="14" fontId="39" fillId="0" borderId="102" xfId="11" applyNumberFormat="1" applyFont="1" applyBorder="1"/>
    <xf numFmtId="0" fontId="9" fillId="12" borderId="103" xfId="11" applyFont="1" applyFill="1" applyBorder="1" applyAlignment="1">
      <alignment vertical="center" wrapText="1"/>
    </xf>
    <xf numFmtId="0" fontId="39" fillId="14" borderId="64" xfId="11" applyFont="1" applyFill="1" applyBorder="1"/>
    <xf numFmtId="0" fontId="40" fillId="0" borderId="61" xfId="11" applyFont="1" applyBorder="1"/>
    <xf numFmtId="0" fontId="9" fillId="12" borderId="104" xfId="11" applyFont="1" applyFill="1" applyBorder="1" applyAlignment="1">
      <alignment vertical="center" wrapText="1"/>
    </xf>
    <xf numFmtId="0" fontId="39" fillId="14" borderId="105" xfId="11" applyFont="1" applyFill="1" applyBorder="1"/>
    <xf numFmtId="0" fontId="39" fillId="14" borderId="106" xfId="11" applyFont="1" applyFill="1" applyBorder="1"/>
    <xf numFmtId="0" fontId="16" fillId="14" borderId="106" xfId="11" applyFont="1" applyFill="1" applyBorder="1" applyAlignment="1">
      <alignment horizontal="left" vertical="center" wrapText="1"/>
    </xf>
    <xf numFmtId="0" fontId="40" fillId="0" borderId="107" xfId="11" applyFont="1" applyBorder="1"/>
    <xf numFmtId="0" fontId="9" fillId="12" borderId="92" xfId="11" applyFont="1" applyFill="1" applyBorder="1" applyAlignment="1">
      <alignment vertical="center" wrapText="1"/>
    </xf>
    <xf numFmtId="43" fontId="10" fillId="0" borderId="1" xfId="1" applyFont="1" applyFill="1" applyBorder="1" applyAlignment="1">
      <alignment vertical="center" wrapText="1"/>
    </xf>
    <xf numFmtId="44" fontId="26" fillId="0" borderId="1" xfId="10" applyFont="1" applyBorder="1" applyAlignment="1">
      <alignment horizontal="center" vertical="center" wrapText="1"/>
    </xf>
    <xf numFmtId="44" fontId="26" fillId="0" borderId="1" xfId="10" applyFont="1" applyBorder="1" applyAlignment="1">
      <alignment vertical="center" wrapText="1"/>
    </xf>
    <xf numFmtId="0" fontId="11" fillId="3" borderId="16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3" borderId="18" xfId="0" applyFont="1" applyFill="1" applyBorder="1" applyAlignment="1">
      <alignment horizontal="center" vertical="center" wrapText="1"/>
    </xf>
    <xf numFmtId="0" fontId="8" fillId="8" borderId="7" xfId="0" applyFont="1" applyFill="1" applyBorder="1" applyAlignment="1">
      <alignment horizontal="center" vertical="center" wrapText="1"/>
    </xf>
    <xf numFmtId="0" fontId="8" fillId="8" borderId="32" xfId="0" applyFont="1" applyFill="1" applyBorder="1" applyAlignment="1">
      <alignment horizontal="center" vertical="center" wrapText="1"/>
    </xf>
    <xf numFmtId="0" fontId="8" fillId="8" borderId="31" xfId="0" applyFont="1" applyFill="1" applyBorder="1" applyAlignment="1">
      <alignment horizontal="center" vertical="center" wrapText="1"/>
    </xf>
    <xf numFmtId="0" fontId="21" fillId="7" borderId="1" xfId="0" applyFont="1" applyFill="1" applyBorder="1" applyAlignment="1">
      <alignment horizontal="right" vertical="center" wrapText="1"/>
    </xf>
    <xf numFmtId="0" fontId="11" fillId="3" borderId="2" xfId="0" applyFont="1" applyFill="1" applyBorder="1" applyAlignment="1">
      <alignment horizontal="left" vertical="center" wrapText="1"/>
    </xf>
    <xf numFmtId="0" fontId="11" fillId="3" borderId="10" xfId="0" applyFont="1" applyFill="1" applyBorder="1" applyAlignment="1">
      <alignment horizontal="left" vertical="center"/>
    </xf>
    <xf numFmtId="0" fontId="11" fillId="3" borderId="3" xfId="0" applyFont="1" applyFill="1" applyBorder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21" fillId="7" borderId="2" xfId="0" applyFont="1" applyFill="1" applyBorder="1" applyAlignment="1">
      <alignment horizontal="center" vertical="center" wrapText="1"/>
    </xf>
    <xf numFmtId="0" fontId="21" fillId="7" borderId="3" xfId="0" applyFont="1" applyFill="1" applyBorder="1" applyAlignment="1">
      <alignment horizontal="center" vertical="center" wrapText="1"/>
    </xf>
    <xf numFmtId="0" fontId="21" fillId="8" borderId="7" xfId="0" applyFont="1" applyFill="1" applyBorder="1" applyAlignment="1">
      <alignment horizontal="center" vertical="center" wrapText="1"/>
    </xf>
    <xf numFmtId="0" fontId="21" fillId="8" borderId="32" xfId="0" applyFont="1" applyFill="1" applyBorder="1" applyAlignment="1">
      <alignment horizontal="center" vertical="center" wrapText="1"/>
    </xf>
    <xf numFmtId="0" fontId="21" fillId="8" borderId="31" xfId="0" applyFont="1" applyFill="1" applyBorder="1" applyAlignment="1">
      <alignment horizontal="center" vertical="center" wrapText="1"/>
    </xf>
    <xf numFmtId="0" fontId="10" fillId="0" borderId="35" xfId="0" applyFont="1" applyBorder="1" applyAlignment="1">
      <alignment horizontal="left" vertical="center" wrapText="1"/>
    </xf>
    <xf numFmtId="0" fontId="10" fillId="0" borderId="11" xfId="0" applyFont="1" applyBorder="1" applyAlignment="1">
      <alignment horizontal="left" vertical="center" wrapText="1"/>
    </xf>
    <xf numFmtId="0" fontId="11" fillId="3" borderId="10" xfId="0" applyFont="1" applyFill="1" applyBorder="1" applyAlignment="1">
      <alignment horizontal="left" vertical="center" wrapText="1"/>
    </xf>
    <xf numFmtId="0" fontId="11" fillId="18" borderId="88" xfId="11" applyFont="1" applyFill="1" applyBorder="1" applyAlignment="1">
      <alignment horizontal="center" vertical="center" wrapText="1"/>
    </xf>
    <xf numFmtId="0" fontId="41" fillId="0" borderId="0" xfId="11" applyFont="1"/>
    <xf numFmtId="0" fontId="41" fillId="0" borderId="84" xfId="11" applyFont="1" applyBorder="1"/>
    <xf numFmtId="0" fontId="11" fillId="17" borderId="88" xfId="11" applyFont="1" applyFill="1" applyBorder="1" applyAlignment="1">
      <alignment horizontal="center" vertical="center" wrapText="1"/>
    </xf>
    <xf numFmtId="0" fontId="42" fillId="16" borderId="94" xfId="11" applyFont="1" applyFill="1" applyBorder="1" applyAlignment="1">
      <alignment horizontal="center"/>
    </xf>
    <xf numFmtId="0" fontId="41" fillId="0" borderId="100" xfId="11" applyFont="1" applyBorder="1"/>
    <xf numFmtId="0" fontId="41" fillId="0" borderId="93" xfId="11" applyFont="1" applyBorder="1"/>
    <xf numFmtId="0" fontId="32" fillId="0" borderId="0" xfId="0" applyFont="1" applyAlignment="1">
      <alignment horizontal="left" vertical="center" wrapText="1"/>
    </xf>
    <xf numFmtId="0" fontId="0" fillId="0" borderId="0" xfId="0"/>
    <xf numFmtId="0" fontId="28" fillId="10" borderId="6" xfId="0" applyFont="1" applyFill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28" fillId="10" borderId="42" xfId="0" applyFont="1" applyFill="1" applyBorder="1" applyAlignment="1">
      <alignment horizontal="center" vertical="center" wrapText="1"/>
    </xf>
    <xf numFmtId="0" fontId="28" fillId="10" borderId="41" xfId="0" applyFont="1" applyFill="1" applyBorder="1" applyAlignment="1">
      <alignment horizontal="center" vertical="center" wrapText="1"/>
    </xf>
    <xf numFmtId="43" fontId="28" fillId="9" borderId="53" xfId="1" applyFont="1" applyFill="1" applyBorder="1" applyAlignment="1">
      <alignment horizontal="center" vertical="center"/>
    </xf>
    <xf numFmtId="43" fontId="28" fillId="9" borderId="52" xfId="1" applyFont="1" applyFill="1" applyBorder="1" applyAlignment="1">
      <alignment horizontal="center" vertical="center"/>
    </xf>
    <xf numFmtId="0" fontId="28" fillId="9" borderId="53" xfId="0" applyFont="1" applyFill="1" applyBorder="1" applyAlignment="1">
      <alignment horizontal="center" vertical="center"/>
    </xf>
    <xf numFmtId="0" fontId="28" fillId="9" borderId="52" xfId="0" applyFont="1" applyFill="1" applyBorder="1" applyAlignment="1">
      <alignment horizontal="center" vertical="center"/>
    </xf>
    <xf numFmtId="0" fontId="3" fillId="0" borderId="76" xfId="0" applyFont="1" applyBorder="1" applyAlignment="1">
      <alignment horizontal="center" vertical="center"/>
    </xf>
    <xf numFmtId="0" fontId="3" fillId="0" borderId="75" xfId="0" applyFont="1" applyBorder="1" applyAlignment="1">
      <alignment horizontal="center" vertical="center"/>
    </xf>
    <xf numFmtId="0" fontId="28" fillId="10" borderId="78" xfId="0" applyFont="1" applyFill="1" applyBorder="1" applyAlignment="1">
      <alignment horizontal="center" vertical="center" wrapText="1"/>
    </xf>
    <xf numFmtId="0" fontId="3" fillId="0" borderId="53" xfId="0" applyFont="1" applyBorder="1" applyAlignment="1">
      <alignment horizontal="center" vertical="center"/>
    </xf>
    <xf numFmtId="0" fontId="3" fillId="0" borderId="51" xfId="0" applyFont="1" applyBorder="1" applyAlignment="1">
      <alignment horizontal="center" vertical="center"/>
    </xf>
  </cellXfs>
  <cellStyles count="12">
    <cellStyle name="Moeda" xfId="10" builtinId="4"/>
    <cellStyle name="Normal" xfId="0" builtinId="0"/>
    <cellStyle name="Normal 2" xfId="2" xr:uid="{00000000-0005-0000-0000-000001000000}"/>
    <cellStyle name="Normal 3" xfId="7" xr:uid="{E04F1BAC-8E74-4A37-9445-C7335308FD48}"/>
    <cellStyle name="Normal 4" xfId="11" xr:uid="{D74BDD3A-FAE7-462F-A1F7-AD8D3775B668}"/>
    <cellStyle name="Normal 7" xfId="5" xr:uid="{B5D56057-44D1-4A2B-9814-263CBEA5E92D}"/>
    <cellStyle name="Porcentagem" xfId="6" builtinId="5"/>
    <cellStyle name="Vírgula" xfId="1" builtinId="3"/>
    <cellStyle name="Vírgula 2" xfId="3" xr:uid="{00000000-0005-0000-0000-000003000000}"/>
    <cellStyle name="Vírgula 3" xfId="4" xr:uid="{CB7286E0-BC89-40FF-A0E8-A589AC34F77F}"/>
    <cellStyle name="Vírgula 3 2" xfId="8" xr:uid="{D82165B7-4EED-487C-97CF-88B56AB4ACE7}"/>
    <cellStyle name="Vírgula 4" xfId="9" xr:uid="{36500701-2F34-46A0-BEC0-E5982B15FF0A}"/>
  </cellStyles>
  <dxfs count="3">
    <dxf>
      <fill>
        <patternFill patternType="solid">
          <fgColor rgb="FFD9E2F3"/>
          <bgColor rgb="FFD9E2F3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theme="6"/>
          <bgColor theme="6"/>
        </patternFill>
      </fill>
    </dxf>
  </dxfs>
  <tableStyles count="1" defaultTableStyle="TableStyleMedium2" defaultPivotStyle="PivotStyleLight16">
    <tableStyle name="PISO-style" pivot="0" count="3" xr9:uid="{5931D982-F9E3-4AFC-89BB-E173BD6A8484}">
      <tableStyleElement type="headerRow" dxfId="2"/>
      <tableStyleElement type="firstRowStripe" dxfId="1"/>
      <tableStyleElement type="secondRowStripe" dxfId="0"/>
    </tableStyle>
  </tableStyles>
  <colors>
    <mruColors>
      <color rgb="FF003C66"/>
      <color rgb="FF00164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97595</xdr:colOff>
      <xdr:row>0</xdr:row>
      <xdr:rowOff>225491</xdr:rowOff>
    </xdr:from>
    <xdr:to>
      <xdr:col>6</xdr:col>
      <xdr:colOff>1521657</xdr:colOff>
      <xdr:row>2</xdr:row>
      <xdr:rowOff>4341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D0A8EF1-5172-424E-904A-801C19BD0A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3045" y="225491"/>
          <a:ext cx="1424062" cy="239860"/>
        </a:xfrm>
        <a:prstGeom prst="rect">
          <a:avLst/>
        </a:prstGeom>
      </xdr:spPr>
    </xdr:pic>
    <xdr:clientData/>
  </xdr:twoCellAnchor>
  <xdr:twoCellAnchor editAs="oneCell">
    <xdr:from>
      <xdr:col>1</xdr:col>
      <xdr:colOff>92767</xdr:colOff>
      <xdr:row>29</xdr:row>
      <xdr:rowOff>172279</xdr:rowOff>
    </xdr:from>
    <xdr:to>
      <xdr:col>2</xdr:col>
      <xdr:colOff>275565</xdr:colOff>
      <xdr:row>40</xdr:row>
      <xdr:rowOff>28371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FFECFBB-EB30-4011-8A86-3D235BE31B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04732" y="7560366"/>
          <a:ext cx="5920990" cy="269868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209550</xdr:colOff>
      <xdr:row>0</xdr:row>
      <xdr:rowOff>180975</xdr:rowOff>
    </xdr:from>
    <xdr:ext cx="1381125" cy="228600"/>
    <xdr:pic>
      <xdr:nvPicPr>
        <xdr:cNvPr id="2" name="image1.png">
          <a:extLst>
            <a:ext uri="{FF2B5EF4-FFF2-40B4-BE49-F238E27FC236}">
              <a16:creationId xmlns:a16="http://schemas.microsoft.com/office/drawing/2014/main" id="{645001A5-0D05-4276-BB8D-67EDE72372F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734800" y="182880"/>
          <a:ext cx="1381125" cy="228600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697051</xdr:colOff>
      <xdr:row>1</xdr:row>
      <xdr:rowOff>67508</xdr:rowOff>
    </xdr:from>
    <xdr:ext cx="1428750" cy="276225"/>
    <xdr:pic>
      <xdr:nvPicPr>
        <xdr:cNvPr id="2" name="image1.png">
          <a:extLst>
            <a:ext uri="{FF2B5EF4-FFF2-40B4-BE49-F238E27FC236}">
              <a16:creationId xmlns:a16="http://schemas.microsoft.com/office/drawing/2014/main" id="{8887FC87-A112-41C2-8D6C-E71A2E39EE4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59326" y="258008"/>
          <a:ext cx="1428750" cy="276225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697051</xdr:colOff>
      <xdr:row>1</xdr:row>
      <xdr:rowOff>67508</xdr:rowOff>
    </xdr:from>
    <xdr:ext cx="1428750" cy="276225"/>
    <xdr:pic>
      <xdr:nvPicPr>
        <xdr:cNvPr id="2" name="image1.png">
          <a:extLst>
            <a:ext uri="{FF2B5EF4-FFF2-40B4-BE49-F238E27FC236}">
              <a16:creationId xmlns:a16="http://schemas.microsoft.com/office/drawing/2014/main" id="{0CD5673A-8A7E-4D4B-95CE-ED066E23081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59326" y="258008"/>
          <a:ext cx="1428750" cy="276225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697051</xdr:colOff>
      <xdr:row>1</xdr:row>
      <xdr:rowOff>67508</xdr:rowOff>
    </xdr:from>
    <xdr:ext cx="1428750" cy="276225"/>
    <xdr:pic>
      <xdr:nvPicPr>
        <xdr:cNvPr id="2" name="image1.png">
          <a:extLst>
            <a:ext uri="{FF2B5EF4-FFF2-40B4-BE49-F238E27FC236}">
              <a16:creationId xmlns:a16="http://schemas.microsoft.com/office/drawing/2014/main" id="{11B8AAF6-A5B4-4006-9C3C-189C0CC6AAC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59326" y="258008"/>
          <a:ext cx="1428750" cy="27622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2120512</xdr:colOff>
      <xdr:row>33</xdr:row>
      <xdr:rowOff>17584</xdr:rowOff>
    </xdr:from>
    <xdr:to>
      <xdr:col>4</xdr:col>
      <xdr:colOff>7070</xdr:colOff>
      <xdr:row>63</xdr:row>
      <xdr:rowOff>109611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CE434315-28E5-412D-955A-199A8CE12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0512" y="6119446"/>
          <a:ext cx="3619143" cy="53967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lessandra\trabalho\TRABALHO\EXCEL\M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nia\meus%20documen\2004\24001_Pedagio%20km%2026\Planilhas\24001-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.shortcut-targets-by-id/16oaQUYgx8kiowDwLhg-oO1zGZ777DJUb/2.%20Projetos%20em%20Andamento/AS%20Ramos%20-%2001.2022/02.%20Paessaggio/02.%20Escopo/02.4%20Escopo%20-%20Extra&#231;&#227;o%20de%20quantitativos/CTN_ORC_ED%20PAESAGGIO_MOD_ARQ_R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.O."/>
      <sheetName val="Encargos Sociais"/>
      <sheetName val="BDI"/>
      <sheetName val="M_O_"/>
      <sheetName val="Esquadrias"/>
      <sheetName val="Plan"/>
      <sheetName val="EstConFund"/>
      <sheetName val="EstConElev"/>
      <sheetName val="Par"/>
      <sheetName val="Pisocon"/>
      <sheetName val="AcabPar"/>
      <sheetName val="AcabPiso"/>
      <sheetName val="AcabForro"/>
      <sheetName val="Resumo Estrutura"/>
      <sheetName val="Estrutura - Vigas mold in-loco"/>
      <sheetName val="Estrutura - Lajes"/>
      <sheetName val="Estrutura - Cimbramento"/>
      <sheetName val="Estrutura - Escadas"/>
      <sheetName val="Estrutura - Pilar"/>
      <sheetName val="M_O_1"/>
      <sheetName val="Encargos_Sociais"/>
      <sheetName val="Resumo_Estrutura"/>
      <sheetName val="Estrutura_-_Vigas_mold_in-loco"/>
      <sheetName val="Estrutura_-_Lajes"/>
      <sheetName val="Estrutura_-_Cimbramento"/>
      <sheetName val="Estrutura_-_Escadas"/>
      <sheetName val="Estrutura_-_Pilar"/>
      <sheetName val="P   CARGOS SAL CARAJAS "/>
      <sheetName val=""/>
      <sheetName val="Orc_Pad_Edif_Analítico"/>
      <sheetName val="Orc_Compl_Analítico"/>
      <sheetName val="Orc_Compl_Aberto"/>
      <sheetName val="M_O_2"/>
      <sheetName val="Encargos_Sociais1"/>
      <sheetName val="Resumo_Estrutura1"/>
      <sheetName val="Estrutura_-_Vigas_mold_in-loco1"/>
      <sheetName val="Estrutura_-_Lajes1"/>
      <sheetName val="Estrutura_-_Cimbramento1"/>
      <sheetName val="Estrutura_-_Escadas1"/>
      <sheetName val="Estrutura_-_Pilar1"/>
      <sheetName val="P___CARGOS_SAL_CARAJAS_"/>
      <sheetName val="M_O_3"/>
      <sheetName val="Encargos_Sociais2"/>
      <sheetName val="Resumo_Estrutura2"/>
      <sheetName val="Estrutura_-_Vigas_mold_in-loco2"/>
      <sheetName val="Estrutura_-_Lajes2"/>
      <sheetName val="Estrutura_-_Cimbramento2"/>
      <sheetName val="Estrutura_-_Escadas2"/>
      <sheetName val="Estrutura_-_Pilar2"/>
      <sheetName val="P___CARGOS_SAL_CARAJAS_1"/>
      <sheetName val="PQP"/>
      <sheetName val="Preco"/>
      <sheetName val="Resumo"/>
      <sheetName val="Sapatas TORRE 1"/>
      <sheetName val="Sapatas TORRE 2"/>
      <sheetName val="Sapatas TORRE 3"/>
      <sheetName val="Blocos"/>
      <sheetName val="Armação Sapata-Torre 1 "/>
      <sheetName val="Armação Sapata-Torre 2"/>
      <sheetName val="Armação Sapata-Torre 3"/>
      <sheetName val="Baldrames Torre 1"/>
      <sheetName val="Baldrames Torre 2"/>
      <sheetName val="Baldrames Torre 3"/>
      <sheetName val="Armação Baldrame  Torre 1"/>
      <sheetName val="Armação Baldrame  Torre 2"/>
      <sheetName val="Armação Baldrame  Torre 3"/>
      <sheetName val="Lajes Fundo Ele Torre 1 e 2"/>
      <sheetName val="Lajes Fundo Ele Torre 3"/>
      <sheetName val="Piso Armado Térreo Torre 1 e 2"/>
      <sheetName val="Piso Armado Térreo Torre3"/>
      <sheetName val="Armação Piso Armado Torre 1"/>
      <sheetName val="Armação Piso Armado Torre 2"/>
      <sheetName val="Armação Piso Armado Torre 3"/>
      <sheetName val="Pilar retangular"/>
      <sheetName val="Vigas TORRE 1 e 2"/>
      <sheetName val="Vigas TORRE 3"/>
      <sheetName val="Armação Vigas Torre 1 e 2"/>
      <sheetName val="Armação Vigas Torre 3"/>
      <sheetName val="Lajes Torres  1 e 2"/>
      <sheetName val="Lajes Torre 3"/>
      <sheetName val="Armação Lajes Torre 1 e 2"/>
      <sheetName val="Armação Lajes Torre 3"/>
      <sheetName val="Escada - Torre 1 e 2"/>
      <sheetName val="Escada - Torre 3"/>
      <sheetName val="Armação Escada Torres 1 e 2"/>
      <sheetName val="Armação Escada Torre 3 "/>
      <sheetName val="Telhado Torres 1 e 2"/>
      <sheetName val="Telhado Torres 3"/>
      <sheetName val="Fachada Torres 1 e 2"/>
      <sheetName val="Fachada Torre 3"/>
      <sheetName val="Alvenaria Estrutural ok"/>
      <sheetName val="Alvenaria Vedação"/>
      <sheetName val="Louças e Metais ok"/>
      <sheetName val="Impermeabilização Torres 1 e 2"/>
      <sheetName val="Impermeabilização Torre 3"/>
      <sheetName val="Bases Rev Interno1"/>
      <sheetName val="Revest. Interno 1"/>
      <sheetName val="Armação Vigas Cobertura"/>
      <sheetName val="Armação Alv vert ok"/>
      <sheetName val="Armação Cintas Horizontais"/>
      <sheetName val="Resumo Esquadria e Peitoril ok"/>
      <sheetName val="Armação Estrutura"/>
      <sheetName val="Armação Pilares"/>
      <sheetName val="Alvenaria Estrutural Embasament"/>
      <sheetName val="Esquadria"/>
      <sheetName val="Diversos"/>
      <sheetName val="Esquadrias ok"/>
      <sheetName val="Armação Lajes Fundo Ele ok"/>
      <sheetName val="Graute vert ok"/>
      <sheetName val="Armação Alv Embasamento hor ok"/>
      <sheetName val="Orc_Pad_Edif_Anal�tico"/>
      <sheetName val="Orc_Compl_Anal�tico"/>
      <sheetName val="2"/>
      <sheetName val="EVCO-set-04"/>
      <sheetName val="M_O_4"/>
      <sheetName val="Encargos_Sociais3"/>
      <sheetName val="Resumo_Estrutura3"/>
      <sheetName val="Estrutura_-_Vigas_mold_in-loco3"/>
      <sheetName val="Estrutura_-_Lajes3"/>
      <sheetName val="Estrutura_-_Cimbramento3"/>
      <sheetName val="Estrutura_-_Escadas3"/>
      <sheetName val="Estrutura_-_Pilar3"/>
      <sheetName val="P___CARGOS_SAL_CARAJAS_2"/>
      <sheetName val="Bomb"/>
      <sheetName val="9-Cron Financeiro"/>
      <sheetName val="8-Cron Fisico"/>
      <sheetName val="MP+Insumos"/>
      <sheetName val="CONSIDERAÇÕES"/>
      <sheetName val="MDO"/>
      <sheetName val="curva"/>
      <sheetName val="Planilha1"/>
      <sheetName val="CPU"/>
      <sheetName val="Insumos"/>
      <sheetName val="Planilha Orçamentária Modelo"/>
      <sheetName val="Fechamento"/>
      <sheetName val="Planilha2"/>
      <sheetName val="Fec. reengenharia"/>
      <sheetName val="Cpu's"/>
      <sheetName val="Curva de serviços"/>
      <sheetName val="0.Resumo"/>
      <sheetName val="Serviços indiretos"/>
      <sheetName val="PQU - Fundação e estrutura"/>
      <sheetName val="Pavilhao de Apoio"/>
      <sheetName val="SUBESTAÇÃO"/>
      <sheetName val="RESERVATORIO CASA DE BOMBA"/>
      <sheetName val="Baldrame"/>
      <sheetName val="Paredes"/>
      <sheetName val="Sapata isolada"/>
      <sheetName val="Acabamentos"/>
      <sheetName val="Resumo concreto"/>
      <sheetName val="Estrutura"/>
      <sheetName val="PLANILHA PADRÃO"/>
      <sheetName val="Alv e fec"/>
      <sheetName val="MDO-MOI"/>
      <sheetName val="EQUIPAMENTOS"/>
      <sheetName val="CANTEIRO"/>
      <sheetName val="EPI"/>
      <sheetName val="Controle Contrato"/>
      <sheetName val="RESUMO DO CONTRATO"/>
      <sheetName val="AVANÇO FISICO"/>
      <sheetName val="NF-em aberto"/>
      <sheetName val="RETENÇÃO"/>
      <sheetName val="REENGENHARIAS"/>
      <sheetName val="NF-BN x DAGNSE"/>
      <sheetName val="NF GLOBO"/>
      <sheetName val="EXTRACONTRATUAIS"/>
      <sheetName val="DIFAL"/>
      <sheetName val="NF-BN x  MS"/>
      <sheetName val="RESUMO DAGNESE"/>
      <sheetName val="NF-DAGNESE"/>
      <sheetName val="RESUMO REAL"/>
      <sheetName val="RESUMO - DIAGRAMA"/>
      <sheetName val="Sinaleiro"/>
      <sheetName val="Hora Extra Sinaleiro"/>
      <sheetName val="Ajudante ADM"/>
      <sheetName val="Bases de Concreto"/>
      <sheetName val="Carpinteiro"/>
      <sheetName val="MO Gabarito"/>
      <sheetName val="MO Fundação"/>
      <sheetName val="Materiais"/>
      <sheetName val="Cronograma"/>
      <sheetName val="Memória de Cálculo - Fundação"/>
      <sheetName val="Memória de Cálculo - Estrutura"/>
      <sheetName val="DATAS"/>
      <sheetName val="VALIDAÇÃO"/>
      <sheetName val="MO"/>
      <sheetName val="Planilha1 (2)"/>
      <sheetName val="RESUMO GERAL"/>
      <sheetName val="Jefferson Reunião"/>
      <sheetName val="17.01"/>
      <sheetName val="Planilha6"/>
      <sheetName val="Resultado"/>
      <sheetName val="Adicionais "/>
      <sheetName val="0 - (BDados total)"/>
      <sheetName val="1 - REORÇAMENTO A+B+C"/>
      <sheetName val="Planilha8"/>
      <sheetName val="Planilha7"/>
      <sheetName val="YMM05 -17.01 - BDados (A)"/>
      <sheetName val="ADIANTAMENTOS (BDados A)"/>
      <sheetName val="2 - PLEITOS (BDados B)"/>
      <sheetName val="3- Adicionais (BDados B)"/>
      <sheetName val="4 - A Contratar (BDados C)"/>
      <sheetName val="5- Conti+Expect (BDados BC)"/>
      <sheetName val="6- Reajuste Fornec (BD A)."/>
      <sheetName val="7- Adicional Cliente"/>
      <sheetName val="FERRO"/>
      <sheetName val="Orc_Pad_Edif_Anal tico"/>
      <sheetName val="Orc_Compl_Anal tic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  <sheetData sheetId="124" refreshError="1"/>
      <sheetData sheetId="125" refreshError="1"/>
      <sheetData sheetId="126" refreshError="1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 refreshError="1"/>
      <sheetData sheetId="185" refreshError="1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 refreshError="1"/>
      <sheetData sheetId="206"/>
      <sheetData sheetId="20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o Diferença"/>
      <sheetName val="Resumo"/>
      <sheetName val="Geral"/>
      <sheetName val="BDI"/>
    </sheetNames>
    <sheetDataSet>
      <sheetData sheetId="0" refreshError="1"/>
      <sheetData sheetId="1" refreshError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1-CTN_ORC_Tabela de parede ger"/>
      <sheetName val="02-CTN_ORC_Levantamento do mate"/>
      <sheetName val="09-CTN_ORC_Tabela de piso e tet"/>
      <sheetName val="03-CTN_ORC_FACHADA_Tabela de pa"/>
      <sheetName val="08-CTN_ORC_Tabela de telhado"/>
      <sheetName val="10-CTN_ORC_RODAPÉ_Tabela de mol"/>
      <sheetName val="11-CTN_ORC_FAIXA GARAGEM_Tabela"/>
      <sheetName val="12-CTN_ORC_Tabela de forro"/>
      <sheetName val="07-CTN_ORC_Tabela de guarda-cor"/>
      <sheetName val="04-CTN_ORC_Tabela de janela"/>
      <sheetName val="05-CTN_ORC_Tabela de porta"/>
      <sheetName val="06-CTN_ORC_Tabela de escada"/>
      <sheetName val="Instructions"/>
      <sheetName val="ParamValu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">
          <cell r="A1" t="str">
            <v>10º Tipo (x24) 3</v>
          </cell>
        </row>
        <row r="2">
          <cell r="A2" t="str">
            <v>11º Tipo (24x) 4</v>
          </cell>
        </row>
        <row r="3">
          <cell r="A3" t="str">
            <v>12º Tipo (24x) 5</v>
          </cell>
        </row>
        <row r="4">
          <cell r="A4" t="str">
            <v>13º Tipo (24x) 6</v>
          </cell>
        </row>
        <row r="5">
          <cell r="A5" t="str">
            <v>14º Tipo (24x) 7</v>
          </cell>
        </row>
        <row r="6">
          <cell r="A6" t="str">
            <v>15º Tipo (24x) 8</v>
          </cell>
        </row>
        <row r="7">
          <cell r="A7" t="str">
            <v>16º Tipo (24x) 9</v>
          </cell>
        </row>
        <row r="8">
          <cell r="A8" t="str">
            <v>17º Tipo (24x) 10</v>
          </cell>
        </row>
        <row r="9">
          <cell r="A9" t="str">
            <v>18º Tipo (24x) 11</v>
          </cell>
        </row>
        <row r="10">
          <cell r="A10" t="str">
            <v>19º Tipo (24x) 12</v>
          </cell>
        </row>
        <row r="11">
          <cell r="A11" t="str">
            <v>20º Tipo (24x) 13</v>
          </cell>
        </row>
        <row r="12">
          <cell r="A12" t="str">
            <v>21º Tipo (24x) 14</v>
          </cell>
        </row>
        <row r="13">
          <cell r="A13" t="str">
            <v>22º Tipo (24x) 15</v>
          </cell>
        </row>
        <row r="14">
          <cell r="A14" t="str">
            <v>23º Tipo (24x) 16</v>
          </cell>
        </row>
        <row r="15">
          <cell r="A15" t="str">
            <v>24º Tipo (24x) 17</v>
          </cell>
        </row>
        <row r="16">
          <cell r="A16" t="str">
            <v>25º Tipo (24x) 18</v>
          </cell>
        </row>
        <row r="17">
          <cell r="A17" t="str">
            <v>26º Tipo (24x) 19</v>
          </cell>
        </row>
        <row r="18">
          <cell r="A18" t="str">
            <v>27º Tipo (24x) 20</v>
          </cell>
        </row>
        <row r="19">
          <cell r="A19" t="str">
            <v>28º Tipo (24x) 21</v>
          </cell>
        </row>
        <row r="20">
          <cell r="A20" t="str">
            <v>29º Tipo (24x) 22</v>
          </cell>
        </row>
        <row r="21">
          <cell r="A21" t="str">
            <v>2º Mezanino - G1</v>
          </cell>
        </row>
        <row r="22">
          <cell r="A22" t="str">
            <v>30º Tipo (24x) 23</v>
          </cell>
        </row>
        <row r="23">
          <cell r="A23" t="str">
            <v>31º Tipo (24x) 24</v>
          </cell>
        </row>
        <row r="24">
          <cell r="A24" t="str">
            <v>32º Duplex Inf.</v>
          </cell>
        </row>
        <row r="25">
          <cell r="A25" t="str">
            <v>33º Duplex Sup.</v>
          </cell>
        </row>
        <row r="26">
          <cell r="A26" t="str">
            <v>3º G2</v>
          </cell>
        </row>
        <row r="27">
          <cell r="A27" t="str">
            <v>4º G3</v>
          </cell>
        </row>
        <row r="28">
          <cell r="A28" t="str">
            <v>5º Tipo Dif 01/Lazer</v>
          </cell>
        </row>
        <row r="29">
          <cell r="A29" t="str">
            <v>6º Tipo Dif. 02</v>
          </cell>
        </row>
        <row r="30">
          <cell r="A30" t="str">
            <v>7º Tipo Dif. 03</v>
          </cell>
        </row>
        <row r="31">
          <cell r="A31" t="str">
            <v>8º Tipo (x24) 1</v>
          </cell>
        </row>
        <row r="32">
          <cell r="A32" t="str">
            <v>9º Tipo (x24) 2</v>
          </cell>
        </row>
        <row r="33">
          <cell r="A33" t="str">
            <v>Barrilete</v>
          </cell>
        </row>
        <row r="34">
          <cell r="A34" t="str">
            <v>Cobertura Casa Máq.</v>
          </cell>
        </row>
        <row r="35">
          <cell r="A35" t="str">
            <v>PAVIMENTO TÉRREO</v>
          </cell>
        </row>
        <row r="36">
          <cell r="A36" t="str">
            <v>PC Maq</v>
          </cell>
        </row>
        <row r="37">
          <cell r="A37" t="str">
            <v>Reservatório</v>
          </cell>
        </row>
        <row r="38">
          <cell r="A38" t="str">
            <v>Tampa Reserv.</v>
          </cell>
        </row>
        <row r="39">
          <cell r="A39" t="str">
            <v>Terreno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277342-A2B4-482C-B18B-06EF374B6F61}" name="Table_2" displayName="Table_2" ref="B10:F205">
  <tableColumns count="5">
    <tableColumn id="1" xr3:uid="{00000000-0010-0000-0100-000001000000}" name="Pavimento"/>
    <tableColumn id="2" xr3:uid="{00000000-0010-0000-0100-000002000000}" name="Ambiente"/>
    <tableColumn id="3" xr3:uid="{00000000-0010-0000-0100-000003000000}" name="Área (m²)"/>
    <tableColumn id="4" xr3:uid="{00000000-0010-0000-0100-000004000000}" name="Material"/>
    <tableColumn id="5" xr3:uid="{00000000-0010-0000-0100-000005000000}" name="Contrapiso (Sim/Não)"/>
  </tableColumns>
  <tableStyleInfo name="PISO-style" showFirstColumn="1" showLastColumn="1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E1AAD-C2EE-4E14-BE9E-4A287CFE07C4}">
  <sheetPr>
    <pageSetUpPr fitToPage="1"/>
  </sheetPr>
  <dimension ref="A1:G28"/>
  <sheetViews>
    <sheetView view="pageBreakPreview" topLeftCell="B10" zoomScale="115" zoomScaleNormal="115" zoomScaleSheetLayoutView="115" workbookViewId="0">
      <selection activeCell="B19" sqref="A19:XFD19"/>
    </sheetView>
  </sheetViews>
  <sheetFormatPr defaultRowHeight="21.75" x14ac:dyDescent="0.6"/>
  <cols>
    <col min="1" max="1" width="19.140625" style="41" customWidth="1"/>
    <col min="2" max="2" width="83.7109375" style="42" customWidth="1"/>
    <col min="3" max="4" width="11.28515625" style="42" customWidth="1"/>
    <col min="5" max="5" width="11.28515625" style="43" customWidth="1"/>
    <col min="6" max="6" width="11.140625" style="44" customWidth="1"/>
    <col min="7" max="7" width="24" style="41" customWidth="1"/>
    <col min="8" max="9" width="9.28515625" bestFit="1" customWidth="1"/>
  </cols>
  <sheetData>
    <row r="1" spans="1:7" ht="18" customHeight="1" x14ac:dyDescent="0.6">
      <c r="A1" s="4" t="s">
        <v>0</v>
      </c>
      <c r="B1" s="5" t="s">
        <v>385</v>
      </c>
      <c r="C1" s="6"/>
      <c r="D1" s="6"/>
      <c r="E1" s="7"/>
      <c r="F1" s="8"/>
      <c r="G1" s="9"/>
    </row>
    <row r="2" spans="1:7" ht="18" customHeight="1" x14ac:dyDescent="0.6">
      <c r="A2" s="10" t="s">
        <v>117</v>
      </c>
      <c r="B2" s="11" t="s">
        <v>357</v>
      </c>
      <c r="C2" s="12"/>
      <c r="D2" s="12"/>
      <c r="E2" s="13"/>
      <c r="F2" s="14"/>
      <c r="G2" s="15"/>
    </row>
    <row r="3" spans="1:7" ht="18" customHeight="1" x14ac:dyDescent="0.6">
      <c r="A3" s="10" t="s">
        <v>1</v>
      </c>
      <c r="B3" s="11" t="s">
        <v>185</v>
      </c>
      <c r="C3" s="12"/>
      <c r="D3" s="12"/>
      <c r="E3" s="13"/>
      <c r="F3" s="14"/>
      <c r="G3" s="15"/>
    </row>
    <row r="4" spans="1:7" ht="18" customHeight="1" x14ac:dyDescent="0.6">
      <c r="A4" s="10" t="s">
        <v>290</v>
      </c>
      <c r="B4" s="11" t="s">
        <v>386</v>
      </c>
      <c r="C4" s="12"/>
      <c r="D4" s="12"/>
      <c r="E4" s="13"/>
      <c r="F4" s="14"/>
      <c r="G4" s="20"/>
    </row>
    <row r="5" spans="1:7" ht="25.15" customHeight="1" x14ac:dyDescent="0.25">
      <c r="A5" s="254" t="s">
        <v>126</v>
      </c>
      <c r="B5" s="255"/>
      <c r="C5" s="255"/>
      <c r="D5" s="255"/>
      <c r="E5" s="255"/>
      <c r="F5" s="255"/>
      <c r="G5" s="256"/>
    </row>
    <row r="6" spans="1:7" ht="14.45" customHeight="1" thickBot="1" x14ac:dyDescent="0.65">
      <c r="A6" s="16"/>
      <c r="B6" s="17"/>
      <c r="C6" s="17"/>
      <c r="D6" s="17"/>
      <c r="E6" s="18"/>
      <c r="F6" s="19"/>
      <c r="G6" s="20"/>
    </row>
    <row r="7" spans="1:7" x14ac:dyDescent="0.6">
      <c r="A7" s="22"/>
      <c r="B7" s="23" t="s">
        <v>14</v>
      </c>
      <c r="C7" s="24" t="s">
        <v>15</v>
      </c>
      <c r="D7" s="24" t="s">
        <v>127</v>
      </c>
      <c r="E7" s="25" t="s">
        <v>18</v>
      </c>
      <c r="F7" s="26"/>
      <c r="G7" s="21"/>
    </row>
    <row r="8" spans="1:7" x14ac:dyDescent="0.6">
      <c r="A8" s="22"/>
      <c r="B8" s="27" t="s">
        <v>128</v>
      </c>
      <c r="C8" s="28" t="s">
        <v>7</v>
      </c>
      <c r="D8" s="28" t="s">
        <v>120</v>
      </c>
      <c r="E8" s="29">
        <v>783</v>
      </c>
      <c r="F8" s="26"/>
      <c r="G8" s="21"/>
    </row>
    <row r="9" spans="1:7" x14ac:dyDescent="0.6">
      <c r="A9" s="22"/>
      <c r="B9" s="30" t="s">
        <v>129</v>
      </c>
      <c r="C9" s="31" t="s">
        <v>8</v>
      </c>
      <c r="D9" s="31" t="s">
        <v>120</v>
      </c>
      <c r="E9" s="32">
        <v>8525.35</v>
      </c>
      <c r="F9" s="26"/>
      <c r="G9" s="21"/>
    </row>
    <row r="10" spans="1:7" x14ac:dyDescent="0.6">
      <c r="A10" s="22"/>
      <c r="B10" s="30" t="s">
        <v>291</v>
      </c>
      <c r="C10" s="31" t="s">
        <v>292</v>
      </c>
      <c r="D10" s="31" t="s">
        <v>123</v>
      </c>
      <c r="E10" s="32">
        <v>70</v>
      </c>
      <c r="F10" s="203"/>
      <c r="G10" s="21"/>
    </row>
    <row r="11" spans="1:7" x14ac:dyDescent="0.6">
      <c r="A11" s="22"/>
      <c r="B11" s="30" t="s">
        <v>293</v>
      </c>
      <c r="C11" s="31" t="s">
        <v>297</v>
      </c>
      <c r="D11" s="31" t="s">
        <v>123</v>
      </c>
      <c r="E11" s="32">
        <f>2*E10</f>
        <v>140</v>
      </c>
      <c r="F11" s="26"/>
      <c r="G11" s="21"/>
    </row>
    <row r="12" spans="1:7" x14ac:dyDescent="0.6">
      <c r="A12" s="22"/>
      <c r="B12" s="30" t="s">
        <v>294</v>
      </c>
      <c r="C12" s="31" t="s">
        <v>298</v>
      </c>
      <c r="D12" s="31" t="s">
        <v>123</v>
      </c>
      <c r="E12" s="32">
        <f>2*E10</f>
        <v>140</v>
      </c>
      <c r="F12" s="26"/>
      <c r="G12" s="21"/>
    </row>
    <row r="13" spans="1:7" x14ac:dyDescent="0.6">
      <c r="A13" s="22"/>
      <c r="B13" s="30" t="s">
        <v>295</v>
      </c>
      <c r="C13" s="31" t="s">
        <v>296</v>
      </c>
      <c r="D13" s="31" t="s">
        <v>123</v>
      </c>
      <c r="E13" s="32">
        <v>3</v>
      </c>
      <c r="F13" s="26"/>
      <c r="G13" s="21"/>
    </row>
    <row r="14" spans="1:7" x14ac:dyDescent="0.6">
      <c r="A14" s="22"/>
      <c r="B14" s="30" t="s">
        <v>274</v>
      </c>
      <c r="C14" s="31" t="s">
        <v>316</v>
      </c>
      <c r="D14" s="31" t="s">
        <v>123</v>
      </c>
      <c r="E14" s="32">
        <f>'SISTEMAS ESPECIAIS'!B10</f>
        <v>73</v>
      </c>
      <c r="F14" s="26"/>
      <c r="G14" s="21"/>
    </row>
    <row r="15" spans="1:7" x14ac:dyDescent="0.6">
      <c r="A15" s="22"/>
      <c r="B15" s="30" t="s">
        <v>130</v>
      </c>
      <c r="C15" s="31" t="s">
        <v>9</v>
      </c>
      <c r="D15" s="31" t="s">
        <v>123</v>
      </c>
      <c r="E15" s="32">
        <v>19</v>
      </c>
      <c r="F15" s="26"/>
      <c r="G15" s="21"/>
    </row>
    <row r="16" spans="1:7" x14ac:dyDescent="0.6">
      <c r="A16" s="22"/>
      <c r="B16" s="30" t="s">
        <v>131</v>
      </c>
      <c r="C16" s="31" t="s">
        <v>10</v>
      </c>
      <c r="D16" s="31" t="s">
        <v>123</v>
      </c>
      <c r="E16" s="32">
        <v>14</v>
      </c>
      <c r="F16" s="26"/>
      <c r="G16" s="21"/>
    </row>
    <row r="17" spans="1:7" x14ac:dyDescent="0.6">
      <c r="A17" s="22"/>
      <c r="B17" s="30" t="s">
        <v>132</v>
      </c>
      <c r="C17" s="31" t="s">
        <v>40</v>
      </c>
      <c r="D17" s="31" t="s">
        <v>123</v>
      </c>
      <c r="E17" s="32">
        <v>0</v>
      </c>
      <c r="F17" s="26"/>
      <c r="G17" s="21"/>
    </row>
    <row r="18" spans="1:7" x14ac:dyDescent="0.6">
      <c r="A18" s="22"/>
      <c r="B18" s="30" t="s">
        <v>133</v>
      </c>
      <c r="C18" s="31" t="s">
        <v>41</v>
      </c>
      <c r="D18" s="31" t="s">
        <v>123</v>
      </c>
      <c r="E18" s="32">
        <v>0</v>
      </c>
      <c r="F18" s="26"/>
      <c r="G18" s="21"/>
    </row>
    <row r="19" spans="1:7" x14ac:dyDescent="0.6">
      <c r="A19" s="22"/>
      <c r="B19" s="30" t="s">
        <v>134</v>
      </c>
      <c r="C19" s="31" t="s">
        <v>11</v>
      </c>
      <c r="D19" s="31" t="s">
        <v>120</v>
      </c>
      <c r="E19" s="32">
        <v>376.36</v>
      </c>
      <c r="F19" s="26"/>
      <c r="G19" s="21"/>
    </row>
    <row r="20" spans="1:7" x14ac:dyDescent="0.6">
      <c r="A20" s="22"/>
      <c r="B20" s="30" t="s">
        <v>135</v>
      </c>
      <c r="C20" s="31" t="s">
        <v>12</v>
      </c>
      <c r="D20" s="31" t="s">
        <v>119</v>
      </c>
      <c r="E20" s="32">
        <v>83.83</v>
      </c>
      <c r="F20" s="26"/>
      <c r="G20" s="21"/>
    </row>
    <row r="21" spans="1:7" x14ac:dyDescent="0.6">
      <c r="A21" s="22"/>
      <c r="B21" s="30" t="s">
        <v>136</v>
      </c>
      <c r="C21" s="31" t="s">
        <v>36</v>
      </c>
      <c r="D21" s="31" t="s">
        <v>120</v>
      </c>
      <c r="E21" s="32">
        <v>688.55</v>
      </c>
      <c r="F21" s="26"/>
      <c r="G21" s="21"/>
    </row>
    <row r="22" spans="1:7" x14ac:dyDescent="0.6">
      <c r="A22" s="22"/>
      <c r="B22" s="30" t="s">
        <v>137</v>
      </c>
      <c r="C22" s="31" t="s">
        <v>35</v>
      </c>
      <c r="D22" s="31" t="s">
        <v>120</v>
      </c>
      <c r="E22" s="32">
        <f>646.6+688.9*3</f>
        <v>2713.2999999999997</v>
      </c>
      <c r="F22" s="26"/>
      <c r="G22" s="21"/>
    </row>
    <row r="23" spans="1:7" x14ac:dyDescent="0.6">
      <c r="A23" s="22"/>
      <c r="B23" s="30" t="s">
        <v>138</v>
      </c>
      <c r="C23" s="31" t="s">
        <v>139</v>
      </c>
      <c r="D23" s="31" t="s">
        <v>120</v>
      </c>
      <c r="E23" s="32">
        <v>0</v>
      </c>
      <c r="F23" s="26"/>
      <c r="G23" s="21"/>
    </row>
    <row r="24" spans="1:7" x14ac:dyDescent="0.6">
      <c r="A24" s="22"/>
      <c r="B24" s="30" t="s">
        <v>140</v>
      </c>
      <c r="C24" s="31" t="s">
        <v>13</v>
      </c>
      <c r="D24" s="31" t="s">
        <v>123</v>
      </c>
      <c r="E24" s="32">
        <v>0</v>
      </c>
      <c r="F24" s="26"/>
      <c r="G24" s="21"/>
    </row>
    <row r="25" spans="1:7" x14ac:dyDescent="0.6">
      <c r="A25" s="22"/>
      <c r="B25" s="30" t="s">
        <v>141</v>
      </c>
      <c r="C25" s="31" t="s">
        <v>39</v>
      </c>
      <c r="D25" s="31" t="s">
        <v>120</v>
      </c>
      <c r="E25" s="32">
        <v>692.55</v>
      </c>
      <c r="F25" s="26"/>
      <c r="G25" s="21"/>
    </row>
    <row r="26" spans="1:7" x14ac:dyDescent="0.6">
      <c r="A26" s="22"/>
      <c r="B26" s="30" t="s">
        <v>142</v>
      </c>
      <c r="C26" s="31" t="s">
        <v>154</v>
      </c>
      <c r="D26" s="31" t="s">
        <v>119</v>
      </c>
      <c r="E26" s="32">
        <v>110.48</v>
      </c>
      <c r="F26" s="26"/>
      <c r="G26" s="21"/>
    </row>
    <row r="27" spans="1:7" ht="22.5" thickBot="1" x14ac:dyDescent="0.65">
      <c r="A27" s="22"/>
      <c r="B27" s="33" t="s">
        <v>143</v>
      </c>
      <c r="C27" s="34" t="s">
        <v>155</v>
      </c>
      <c r="D27" s="34" t="s">
        <v>123</v>
      </c>
      <c r="E27" s="35">
        <v>4</v>
      </c>
      <c r="F27" s="26"/>
      <c r="G27" s="21"/>
    </row>
    <row r="28" spans="1:7" ht="22.5" thickBot="1" x14ac:dyDescent="0.65">
      <c r="A28" s="36"/>
      <c r="B28" s="37"/>
      <c r="C28" s="37"/>
      <c r="D28" s="37"/>
      <c r="E28" s="38"/>
      <c r="F28" s="39"/>
      <c r="G28" s="40"/>
    </row>
  </sheetData>
  <mergeCells count="1">
    <mergeCell ref="A5:G5"/>
  </mergeCells>
  <pageMargins left="0.51181102362204722" right="0.51181102362204722" top="0.78740157480314965" bottom="0.78740157480314965" header="0.31496062992125984" footer="0.31496062992125984"/>
  <pageSetup paperSize="9" scale="53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FB7BB-C74E-481B-9724-B93989582F70}">
  <dimension ref="A1:K33"/>
  <sheetViews>
    <sheetView showGridLines="0" topLeftCell="A13" zoomScale="85" zoomScaleNormal="85" zoomScaleSheetLayoutView="95" workbookViewId="0">
      <selection activeCell="F30" sqref="F30"/>
    </sheetView>
  </sheetViews>
  <sheetFormatPr defaultColWidth="9.140625" defaultRowHeight="19.5" x14ac:dyDescent="0.25"/>
  <cols>
    <col min="1" max="1" width="53" style="45" bestFit="1" customWidth="1"/>
    <col min="2" max="3" width="27" style="45" customWidth="1"/>
    <col min="4" max="4" width="27" style="46" customWidth="1"/>
    <col min="5" max="6" width="27" style="107" customWidth="1"/>
    <col min="7" max="7" width="31.7109375" style="107" customWidth="1"/>
    <col min="8" max="16384" width="9.140625" style="1"/>
  </cols>
  <sheetData>
    <row r="1" spans="1:9" x14ac:dyDescent="0.25">
      <c r="A1" s="48"/>
      <c r="B1" s="48"/>
      <c r="C1" s="48"/>
      <c r="D1" s="51"/>
      <c r="E1" s="104"/>
      <c r="F1" s="104"/>
      <c r="G1" s="104"/>
      <c r="I1" s="2"/>
    </row>
    <row r="2" spans="1:9" ht="28.5" x14ac:dyDescent="0.25">
      <c r="A2" s="261" t="s">
        <v>121</v>
      </c>
      <c r="B2" s="262"/>
      <c r="C2" s="262"/>
      <c r="D2" s="262"/>
      <c r="E2" s="262"/>
      <c r="F2" s="262"/>
      <c r="G2" s="263"/>
      <c r="I2" s="2"/>
    </row>
    <row r="3" spans="1:9" ht="28.5" customHeight="1" x14ac:dyDescent="0.25">
      <c r="A3" s="189" t="s">
        <v>186</v>
      </c>
      <c r="B3" s="195">
        <v>45543</v>
      </c>
      <c r="C3" s="193"/>
      <c r="D3" s="193"/>
      <c r="E3" s="193"/>
      <c r="F3" s="193"/>
      <c r="G3" s="194"/>
      <c r="I3" s="2"/>
    </row>
    <row r="4" spans="1:9" ht="28.5" customHeight="1" x14ac:dyDescent="0.25">
      <c r="A4" s="189" t="s">
        <v>299</v>
      </c>
      <c r="B4" s="196" t="s">
        <v>216</v>
      </c>
      <c r="C4" s="191"/>
      <c r="D4" s="191"/>
      <c r="E4" s="191"/>
      <c r="F4" s="191"/>
      <c r="G4" s="192"/>
      <c r="I4" s="2"/>
    </row>
    <row r="5" spans="1:9" x14ac:dyDescent="0.25">
      <c r="A5" s="50"/>
      <c r="B5" s="50"/>
      <c r="C5" s="50"/>
      <c r="D5" s="49"/>
      <c r="E5" s="105"/>
      <c r="F5" s="104"/>
      <c r="G5" s="104"/>
      <c r="I5" s="2"/>
    </row>
    <row r="6" spans="1:9" s="55" customFormat="1" ht="21.75" x14ac:dyDescent="0.25">
      <c r="A6" s="52" t="s">
        <v>150</v>
      </c>
      <c r="B6" s="53"/>
      <c r="C6" s="53"/>
      <c r="D6" s="54"/>
      <c r="E6" s="98"/>
      <c r="F6" s="98"/>
      <c r="G6" s="98"/>
    </row>
    <row r="7" spans="1:9" s="55" customFormat="1" ht="21.75" x14ac:dyDescent="0.25">
      <c r="A7" s="56"/>
      <c r="B7" s="57"/>
      <c r="C7" s="57"/>
      <c r="D7" s="58"/>
      <c r="E7" s="99"/>
      <c r="F7" s="100"/>
      <c r="G7" s="100"/>
    </row>
    <row r="8" spans="1:9" s="55" customFormat="1" ht="42" customHeight="1" x14ac:dyDescent="0.25">
      <c r="A8" s="63" t="s">
        <v>14</v>
      </c>
      <c r="B8" s="64" t="s">
        <v>149</v>
      </c>
      <c r="C8" s="64" t="s">
        <v>148</v>
      </c>
      <c r="D8" s="65" t="s">
        <v>147</v>
      </c>
      <c r="E8" s="101" t="s">
        <v>146</v>
      </c>
      <c r="F8" s="90" t="s">
        <v>16</v>
      </c>
      <c r="G8" s="90" t="s">
        <v>302</v>
      </c>
    </row>
    <row r="9" spans="1:9" s="55" customFormat="1" ht="21.75" x14ac:dyDescent="0.25">
      <c r="A9" s="66" t="s">
        <v>145</v>
      </c>
      <c r="B9" s="67">
        <f>DADOS_INICIAIS!E23</f>
        <v>0</v>
      </c>
      <c r="C9" s="67"/>
      <c r="D9" s="68">
        <f>C9*B9</f>
        <v>0</v>
      </c>
      <c r="E9" s="88">
        <v>0</v>
      </c>
      <c r="F9" s="89">
        <f>E9*D9*1.1</f>
        <v>0</v>
      </c>
      <c r="G9" s="67"/>
    </row>
    <row r="10" spans="1:9" s="55" customFormat="1" ht="21.75" x14ac:dyDescent="0.25">
      <c r="A10" s="260" t="s">
        <v>17</v>
      </c>
      <c r="B10" s="260"/>
      <c r="C10" s="260"/>
      <c r="D10" s="260"/>
      <c r="E10" s="260"/>
      <c r="F10" s="90">
        <f>SUM(F9:F9)</f>
        <v>0</v>
      </c>
      <c r="G10" s="90"/>
    </row>
    <row r="11" spans="1:9" s="55" customFormat="1" ht="21.75" x14ac:dyDescent="0.25">
      <c r="A11" s="264"/>
      <c r="B11" s="264"/>
      <c r="C11" s="264"/>
      <c r="D11" s="264"/>
      <c r="E11" s="264"/>
      <c r="F11" s="100"/>
      <c r="G11" s="100"/>
    </row>
    <row r="12" spans="1:9" s="55" customFormat="1" ht="21.75" x14ac:dyDescent="0.25">
      <c r="A12" s="52" t="s">
        <v>153</v>
      </c>
      <c r="B12" s="53"/>
      <c r="C12" s="53"/>
      <c r="D12" s="54"/>
      <c r="E12" s="98"/>
      <c r="F12" s="98"/>
      <c r="G12" s="98"/>
    </row>
    <row r="13" spans="1:9" s="55" customFormat="1" ht="21.75" x14ac:dyDescent="0.25">
      <c r="A13" s="56"/>
      <c r="B13" s="57"/>
      <c r="C13" s="57"/>
      <c r="D13" s="58"/>
      <c r="E13" s="99"/>
      <c r="F13" s="100"/>
      <c r="G13" s="100"/>
    </row>
    <row r="14" spans="1:9" s="55" customFormat="1" ht="42" customHeight="1" x14ac:dyDescent="0.25">
      <c r="A14" s="63" t="s">
        <v>14</v>
      </c>
      <c r="B14" s="64" t="s">
        <v>152</v>
      </c>
      <c r="C14" s="64"/>
      <c r="D14" s="65"/>
      <c r="E14" s="101" t="s">
        <v>151</v>
      </c>
      <c r="F14" s="90" t="s">
        <v>16</v>
      </c>
      <c r="G14" s="90" t="s">
        <v>302</v>
      </c>
    </row>
    <row r="15" spans="1:9" s="55" customFormat="1" ht="21.75" x14ac:dyDescent="0.25">
      <c r="A15" s="66" t="s">
        <v>124</v>
      </c>
      <c r="B15" s="67">
        <v>0</v>
      </c>
      <c r="C15" s="74"/>
      <c r="D15" s="75"/>
      <c r="E15" s="88">
        <v>200</v>
      </c>
      <c r="F15" s="89">
        <f>B15*E15*1.1</f>
        <v>0</v>
      </c>
      <c r="G15" s="67"/>
    </row>
    <row r="16" spans="1:9" s="55" customFormat="1" ht="21.75" x14ac:dyDescent="0.25">
      <c r="A16" s="260" t="s">
        <v>17</v>
      </c>
      <c r="B16" s="260"/>
      <c r="C16" s="260"/>
      <c r="D16" s="260"/>
      <c r="E16" s="260"/>
      <c r="F16" s="90">
        <f>SUM(F15:F15)</f>
        <v>0</v>
      </c>
      <c r="G16" s="90"/>
    </row>
    <row r="17" spans="1:11" s="55" customFormat="1" ht="21.75" x14ac:dyDescent="0.25">
      <c r="A17" s="264"/>
      <c r="B17" s="264"/>
      <c r="C17" s="264"/>
      <c r="D17" s="264"/>
      <c r="E17" s="264"/>
      <c r="F17" s="100"/>
      <c r="G17" s="100"/>
    </row>
    <row r="18" spans="1:11" s="55" customFormat="1" ht="21.75" x14ac:dyDescent="0.25">
      <c r="A18" s="52" t="s">
        <v>19</v>
      </c>
      <c r="B18" s="53"/>
      <c r="C18" s="53"/>
      <c r="D18" s="54"/>
      <c r="E18" s="98"/>
      <c r="F18" s="98"/>
      <c r="G18" s="98"/>
    </row>
    <row r="19" spans="1:11" s="55" customFormat="1" ht="21.75" x14ac:dyDescent="0.25">
      <c r="A19" s="56"/>
      <c r="B19" s="57"/>
      <c r="C19" s="57"/>
      <c r="D19" s="58"/>
      <c r="E19" s="99"/>
      <c r="F19" s="100"/>
      <c r="G19" s="100"/>
    </row>
    <row r="20" spans="1:11" s="55" customFormat="1" ht="42" customHeight="1" x14ac:dyDescent="0.25">
      <c r="A20" s="63" t="s">
        <v>14</v>
      </c>
      <c r="B20" s="265" t="s">
        <v>5</v>
      </c>
      <c r="C20" s="266"/>
      <c r="D20" s="65" t="s">
        <v>147</v>
      </c>
      <c r="E20" s="101" t="s">
        <v>160</v>
      </c>
      <c r="F20" s="90" t="s">
        <v>16</v>
      </c>
      <c r="G20" s="90" t="s">
        <v>302</v>
      </c>
    </row>
    <row r="21" spans="1:11" s="55" customFormat="1" ht="43.5" x14ac:dyDescent="0.25">
      <c r="A21" s="70" t="s">
        <v>20</v>
      </c>
      <c r="B21" s="62">
        <v>1.3</v>
      </c>
      <c r="C21" s="62" t="s">
        <v>319</v>
      </c>
      <c r="D21" s="72">
        <f>B21*INFRAESTRUTURA!D29</f>
        <v>585.20474999999999</v>
      </c>
      <c r="E21" s="88">
        <v>60</v>
      </c>
      <c r="F21" s="106">
        <f>E21*D21*1.1</f>
        <v>38623.513500000001</v>
      </c>
      <c r="G21" s="67"/>
    </row>
    <row r="22" spans="1:11" s="55" customFormat="1" ht="26.25" customHeight="1" x14ac:dyDescent="0.25">
      <c r="A22" s="70" t="s">
        <v>21</v>
      </c>
      <c r="B22" s="62">
        <v>0.6</v>
      </c>
      <c r="C22" s="62" t="s">
        <v>157</v>
      </c>
      <c r="D22" s="72">
        <f>D21-INFRAESTRUTURA!D29</f>
        <v>135.04725000000002</v>
      </c>
      <c r="E22" s="88">
        <v>20</v>
      </c>
      <c r="F22" s="106">
        <f>E22*D22*1.1</f>
        <v>2971.0395000000008</v>
      </c>
      <c r="G22" s="67"/>
    </row>
    <row r="23" spans="1:11" s="55" customFormat="1" ht="21.75" x14ac:dyDescent="0.25">
      <c r="A23" s="70" t="s">
        <v>156</v>
      </c>
      <c r="B23" s="62">
        <v>1.3</v>
      </c>
      <c r="C23" s="62"/>
      <c r="D23" s="72">
        <f>(D21-D22)*B23</f>
        <v>585.20474999999999</v>
      </c>
      <c r="E23" s="88">
        <v>40</v>
      </c>
      <c r="F23" s="106">
        <f>E23*D23*1.1</f>
        <v>25749.009000000002</v>
      </c>
      <c r="G23" s="67"/>
    </row>
    <row r="24" spans="1:11" s="55" customFormat="1" ht="21.75" x14ac:dyDescent="0.25">
      <c r="A24" s="69" t="s">
        <v>144</v>
      </c>
      <c r="B24" s="61">
        <v>1</v>
      </c>
      <c r="C24" s="61" t="s">
        <v>22</v>
      </c>
      <c r="D24" s="73">
        <f>INFRAESTRUTURA!D19</f>
        <v>678.86675651421842</v>
      </c>
      <c r="E24" s="88">
        <v>40</v>
      </c>
      <c r="F24" s="106">
        <f>E24*D24*1.1</f>
        <v>29870.137286625613</v>
      </c>
      <c r="G24" s="67"/>
    </row>
    <row r="25" spans="1:11" s="55" customFormat="1" ht="21.75" x14ac:dyDescent="0.25">
      <c r="A25" s="260" t="s">
        <v>17</v>
      </c>
      <c r="B25" s="260"/>
      <c r="C25" s="260"/>
      <c r="D25" s="260"/>
      <c r="E25" s="260"/>
      <c r="F25" s="90">
        <f>SUM(F21:F24)</f>
        <v>97213.699286625619</v>
      </c>
      <c r="G25" s="90"/>
    </row>
    <row r="26" spans="1:11" x14ac:dyDescent="0.25">
      <c r="K26" s="47"/>
    </row>
    <row r="27" spans="1:11" ht="21.75" x14ac:dyDescent="0.25">
      <c r="A27" s="52" t="s">
        <v>100</v>
      </c>
      <c r="B27" s="53"/>
      <c r="C27" s="53"/>
      <c r="D27" s="54"/>
      <c r="E27" s="98"/>
      <c r="F27" s="98"/>
      <c r="G27" s="98"/>
    </row>
    <row r="28" spans="1:11" ht="21.75" x14ac:dyDescent="0.25">
      <c r="A28" s="56"/>
      <c r="B28" s="57"/>
      <c r="C28" s="57"/>
      <c r="D28" s="58"/>
      <c r="E28" s="99"/>
      <c r="F28" s="100"/>
      <c r="G28" s="100"/>
    </row>
    <row r="29" spans="1:11" ht="43.5" x14ac:dyDescent="0.25">
      <c r="A29" s="63" t="s">
        <v>14</v>
      </c>
      <c r="B29" s="265" t="s">
        <v>5</v>
      </c>
      <c r="C29" s="266"/>
      <c r="D29" s="65" t="s">
        <v>158</v>
      </c>
      <c r="E29" s="101" t="s">
        <v>159</v>
      </c>
      <c r="F29" s="90" t="s">
        <v>16</v>
      </c>
      <c r="G29" s="90" t="s">
        <v>302</v>
      </c>
    </row>
    <row r="30" spans="1:11" ht="43.5" x14ac:dyDescent="0.25">
      <c r="A30" s="70" t="s">
        <v>301</v>
      </c>
      <c r="B30" s="62">
        <v>0.8</v>
      </c>
      <c r="C30" s="62" t="s">
        <v>113</v>
      </c>
      <c r="D30" s="72">
        <f>B30*DADOS_INICIAIS!E25</f>
        <v>554.04</v>
      </c>
      <c r="E30" s="88">
        <f>370*0.05</f>
        <v>18.5</v>
      </c>
      <c r="F30" s="106">
        <f>E30*D30*1.1</f>
        <v>11274.714</v>
      </c>
      <c r="G30" s="67" t="s">
        <v>303</v>
      </c>
      <c r="H30" s="1">
        <f>F30/DADOS_INICIAIS!E25</f>
        <v>16.28</v>
      </c>
      <c r="I30" s="100"/>
    </row>
    <row r="31" spans="1:11" ht="21.75" x14ac:dyDescent="0.25">
      <c r="A31" s="260" t="s">
        <v>17</v>
      </c>
      <c r="B31" s="260"/>
      <c r="C31" s="260"/>
      <c r="D31" s="260"/>
      <c r="E31" s="260"/>
      <c r="F31" s="90">
        <f>SUM(F30:F30)</f>
        <v>11274.714</v>
      </c>
      <c r="G31" s="90"/>
    </row>
    <row r="33" spans="1:7" ht="23.25" customHeight="1" x14ac:dyDescent="0.25">
      <c r="A33" s="257" t="s">
        <v>103</v>
      </c>
      <c r="B33" s="258"/>
      <c r="C33" s="258"/>
      <c r="D33" s="258"/>
      <c r="E33" s="259"/>
      <c r="F33" s="108">
        <f>F10+F16+F25+F31</f>
        <v>108488.41328662561</v>
      </c>
      <c r="G33" s="108">
        <f>F33/DADOS_INICIAIS!E9</f>
        <v>12.725391131933071</v>
      </c>
    </row>
  </sheetData>
  <mergeCells count="10">
    <mergeCell ref="A33:E33"/>
    <mergeCell ref="A25:E25"/>
    <mergeCell ref="A2:G2"/>
    <mergeCell ref="A10:E10"/>
    <mergeCell ref="A11:E11"/>
    <mergeCell ref="B20:C20"/>
    <mergeCell ref="B29:C29"/>
    <mergeCell ref="A31:E31"/>
    <mergeCell ref="A16:E16"/>
    <mergeCell ref="A17:E17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49B24-4A14-470C-9528-250F4A4412CB}">
  <sheetPr>
    <tabColor rgb="FFFF0000"/>
  </sheetPr>
  <dimension ref="A1:J46"/>
  <sheetViews>
    <sheetView showGridLines="0" zoomScale="80" zoomScaleNormal="80" zoomScaleSheetLayoutView="95" workbookViewId="0">
      <selection activeCell="I11" sqref="I11"/>
    </sheetView>
  </sheetViews>
  <sheetFormatPr defaultColWidth="9.140625" defaultRowHeight="15" x14ac:dyDescent="0.25"/>
  <cols>
    <col min="1" max="1" width="50.140625" style="55" customWidth="1"/>
    <col min="2" max="3" width="21.7109375" style="55" customWidth="1"/>
    <col min="4" max="4" width="16.5703125" style="81" customWidth="1"/>
    <col min="5" max="5" width="19.5703125" style="82" customWidth="1"/>
    <col min="6" max="6" width="20.85546875" style="94" customWidth="1"/>
    <col min="7" max="7" width="20.7109375" style="94" customWidth="1"/>
    <col min="8" max="8" width="15.140625" style="94" customWidth="1"/>
    <col min="9" max="9" width="11.28515625" style="55" customWidth="1"/>
    <col min="10" max="10" width="9.140625" style="55"/>
    <col min="11" max="11" width="11" style="55" bestFit="1" customWidth="1"/>
    <col min="12" max="13" width="9.140625" style="55"/>
    <col min="14" max="15" width="11" style="55" bestFit="1" customWidth="1"/>
    <col min="16" max="16384" width="9.140625" style="55"/>
  </cols>
  <sheetData>
    <row r="1" spans="1:10" x14ac:dyDescent="0.25">
      <c r="D1" s="79"/>
      <c r="E1" s="55"/>
      <c r="H1" s="95"/>
      <c r="I1" s="80"/>
      <c r="J1" s="79"/>
    </row>
    <row r="3" spans="1:10" ht="28.5" x14ac:dyDescent="0.25">
      <c r="A3" s="261" t="s">
        <v>166</v>
      </c>
      <c r="B3" s="272"/>
      <c r="C3" s="272"/>
      <c r="D3" s="262"/>
      <c r="E3" s="262"/>
      <c r="F3" s="262"/>
      <c r="G3" s="262"/>
      <c r="H3" s="263"/>
      <c r="J3" s="79"/>
    </row>
    <row r="4" spans="1:10" ht="19.5" x14ac:dyDescent="0.25">
      <c r="A4" s="189" t="s">
        <v>186</v>
      </c>
      <c r="B4" s="195"/>
      <c r="C4" s="193"/>
      <c r="D4" s="193"/>
      <c r="E4" s="193"/>
      <c r="F4" s="193"/>
      <c r="G4" s="193"/>
      <c r="H4" s="194"/>
      <c r="J4" s="79"/>
    </row>
    <row r="5" spans="1:10" ht="19.5" x14ac:dyDescent="0.25">
      <c r="A5" s="189" t="s">
        <v>299</v>
      </c>
      <c r="B5" s="190"/>
      <c r="C5" s="191"/>
      <c r="D5" s="191"/>
      <c r="E5" s="191"/>
      <c r="F5" s="191"/>
      <c r="G5" s="191"/>
      <c r="H5" s="192"/>
      <c r="J5" s="79"/>
    </row>
    <row r="6" spans="1:10" ht="21.75" x14ac:dyDescent="0.25">
      <c r="A6" s="83"/>
      <c r="B6" s="83"/>
      <c r="C6" s="83"/>
      <c r="D6" s="83"/>
      <c r="E6" s="83"/>
      <c r="F6" s="96"/>
      <c r="G6" s="97"/>
      <c r="H6" s="97"/>
      <c r="J6" s="79"/>
    </row>
    <row r="7" spans="1:10" ht="21.75" x14ac:dyDescent="0.25">
      <c r="A7" s="52" t="s">
        <v>167</v>
      </c>
      <c r="B7" s="52"/>
      <c r="C7" s="52"/>
      <c r="D7" s="53"/>
      <c r="E7" s="53"/>
      <c r="F7" s="98"/>
      <c r="G7" s="98"/>
      <c r="H7" s="98"/>
    </row>
    <row r="8" spans="1:10" ht="21.75" x14ac:dyDescent="0.25">
      <c r="A8" s="56"/>
      <c r="B8" s="56"/>
      <c r="C8" s="56"/>
      <c r="D8" s="57"/>
      <c r="E8" s="57"/>
      <c r="F8" s="99"/>
      <c r="G8" s="100"/>
      <c r="H8" s="100"/>
    </row>
    <row r="9" spans="1:10" ht="42" customHeight="1" x14ac:dyDescent="0.25">
      <c r="A9" s="63" t="s">
        <v>14</v>
      </c>
      <c r="B9" s="265" t="s">
        <v>5</v>
      </c>
      <c r="C9" s="266"/>
      <c r="D9" s="265" t="s">
        <v>18</v>
      </c>
      <c r="E9" s="266"/>
      <c r="F9" s="101" t="s">
        <v>118</v>
      </c>
      <c r="G9" s="90" t="s">
        <v>16</v>
      </c>
      <c r="H9" s="100"/>
    </row>
    <row r="10" spans="1:10" ht="21.75" x14ac:dyDescent="0.25">
      <c r="A10" s="66" t="s">
        <v>107</v>
      </c>
      <c r="B10" s="62">
        <v>0.15</v>
      </c>
      <c r="C10" s="62" t="s">
        <v>108</v>
      </c>
      <c r="D10" s="67">
        <f>B10*DADOS_INICIAIS!E25</f>
        <v>103.88249999999999</v>
      </c>
      <c r="E10" s="67" t="s">
        <v>3</v>
      </c>
      <c r="F10" s="92"/>
      <c r="G10" s="93"/>
      <c r="H10" s="102"/>
    </row>
    <row r="11" spans="1:10" ht="21.75" x14ac:dyDescent="0.25">
      <c r="A11" s="270" t="s">
        <v>162</v>
      </c>
      <c r="B11" s="76">
        <v>0.1</v>
      </c>
      <c r="C11" s="62"/>
      <c r="D11" s="67">
        <f>B11*$D$10</f>
        <v>10.388249999999999</v>
      </c>
      <c r="E11" s="67" t="s">
        <v>3</v>
      </c>
      <c r="F11" s="92"/>
      <c r="G11" s="93"/>
      <c r="H11" s="102"/>
    </row>
    <row r="12" spans="1:10" ht="21.75" x14ac:dyDescent="0.25">
      <c r="A12" s="271"/>
      <c r="B12" s="77">
        <v>20</v>
      </c>
      <c r="C12" s="62" t="s">
        <v>163</v>
      </c>
      <c r="D12" s="67">
        <f>B12*D11</f>
        <v>207.76499999999999</v>
      </c>
      <c r="E12" s="67" t="s">
        <v>4</v>
      </c>
      <c r="F12" s="88"/>
      <c r="G12" s="89">
        <f>F12*D12</f>
        <v>0</v>
      </c>
      <c r="H12" s="102"/>
    </row>
    <row r="13" spans="1:10" ht="21.75" x14ac:dyDescent="0.25">
      <c r="A13" s="270" t="s">
        <v>161</v>
      </c>
      <c r="B13" s="76">
        <v>0.5</v>
      </c>
      <c r="C13" s="62"/>
      <c r="D13" s="67">
        <f>B13*$D$10</f>
        <v>51.941249999999997</v>
      </c>
      <c r="E13" s="67" t="s">
        <v>3</v>
      </c>
      <c r="F13" s="92"/>
      <c r="G13" s="93"/>
      <c r="H13" s="102"/>
    </row>
    <row r="14" spans="1:10" ht="21.75" x14ac:dyDescent="0.25">
      <c r="A14" s="271"/>
      <c r="B14" s="77">
        <v>20</v>
      </c>
      <c r="C14" s="62" t="s">
        <v>163</v>
      </c>
      <c r="D14" s="67">
        <f>B14*D13</f>
        <v>1038.8249999999998</v>
      </c>
      <c r="E14" s="67" t="s">
        <v>4</v>
      </c>
      <c r="F14" s="88"/>
      <c r="G14" s="89">
        <f>F14*D14</f>
        <v>0</v>
      </c>
      <c r="H14" s="102"/>
    </row>
    <row r="15" spans="1:10" ht="21.75" x14ac:dyDescent="0.25">
      <c r="A15" s="270" t="s">
        <v>114</v>
      </c>
      <c r="B15" s="76">
        <v>0.4</v>
      </c>
      <c r="C15" s="62" t="s">
        <v>108</v>
      </c>
      <c r="D15" s="67">
        <f>B15*$D$10</f>
        <v>41.552999999999997</v>
      </c>
      <c r="E15" s="67" t="s">
        <v>3</v>
      </c>
      <c r="F15" s="92"/>
      <c r="G15" s="93"/>
      <c r="H15" s="102"/>
    </row>
    <row r="16" spans="1:10" ht="21.75" x14ac:dyDescent="0.25">
      <c r="A16" s="271"/>
      <c r="B16" s="77">
        <v>20</v>
      </c>
      <c r="C16" s="62" t="s">
        <v>163</v>
      </c>
      <c r="D16" s="67">
        <f>B16*D15</f>
        <v>831.06</v>
      </c>
      <c r="E16" s="67" t="s">
        <v>4</v>
      </c>
      <c r="F16" s="88"/>
      <c r="G16" s="89">
        <f>F16*D16</f>
        <v>0</v>
      </c>
      <c r="H16" s="102"/>
    </row>
    <row r="17" spans="1:8" ht="21.75" x14ac:dyDescent="0.25">
      <c r="A17" s="66" t="s">
        <v>24</v>
      </c>
      <c r="B17" s="62">
        <f>(PI()*0.4^2)/4*D14+(PI()*0.5^2)/4*D16+(PI()*0.6^2)/4*D12</f>
        <v>352.46501874346507</v>
      </c>
      <c r="C17" s="62" t="s">
        <v>108</v>
      </c>
      <c r="D17" s="67">
        <f>(PI()*0.4^2)/4*D14+(PI()*0.5^2)/4*D16+(PI()*0.6^2)/4*D12</f>
        <v>352.46501874346507</v>
      </c>
      <c r="E17" s="67" t="s">
        <v>22</v>
      </c>
      <c r="F17" s="88"/>
      <c r="G17" s="89">
        <f>F17*D17</f>
        <v>0</v>
      </c>
      <c r="H17" s="102"/>
    </row>
    <row r="18" spans="1:8" ht="21.75" x14ac:dyDescent="0.25">
      <c r="A18" s="66" t="s">
        <v>115</v>
      </c>
      <c r="B18" s="62">
        <v>1.6575131198547477</v>
      </c>
      <c r="C18" s="62" t="s">
        <v>34</v>
      </c>
      <c r="D18" s="67">
        <f>B18*D17</f>
        <v>584.21539285714289</v>
      </c>
      <c r="E18" s="67" t="s">
        <v>26</v>
      </c>
      <c r="F18" s="88"/>
      <c r="G18" s="89">
        <f>F18*D18</f>
        <v>0</v>
      </c>
      <c r="H18" s="102"/>
    </row>
    <row r="19" spans="1:8" ht="21.75" x14ac:dyDescent="0.25">
      <c r="A19" s="66" t="s">
        <v>125</v>
      </c>
      <c r="B19" s="62">
        <v>10.178337551067401</v>
      </c>
      <c r="C19" s="62" t="s">
        <v>34</v>
      </c>
      <c r="D19" s="67">
        <f>B19*D17</f>
        <v>3587.5079357142858</v>
      </c>
      <c r="E19" s="67" t="s">
        <v>26</v>
      </c>
      <c r="F19" s="88"/>
      <c r="G19" s="89">
        <f>F19*D19</f>
        <v>0</v>
      </c>
      <c r="H19" s="102"/>
    </row>
    <row r="20" spans="1:8" ht="21.75" x14ac:dyDescent="0.25">
      <c r="A20" s="66" t="s">
        <v>109</v>
      </c>
      <c r="B20" s="62">
        <v>1</v>
      </c>
      <c r="C20" s="62" t="s">
        <v>27</v>
      </c>
      <c r="D20" s="67">
        <v>1</v>
      </c>
      <c r="E20" s="67" t="s">
        <v>27</v>
      </c>
      <c r="F20" s="88"/>
      <c r="G20" s="89">
        <f>F20*D20</f>
        <v>0</v>
      </c>
      <c r="H20" s="102"/>
    </row>
    <row r="21" spans="1:8" ht="21.75" x14ac:dyDescent="0.25">
      <c r="A21" s="260" t="s">
        <v>17</v>
      </c>
      <c r="B21" s="260"/>
      <c r="C21" s="260"/>
      <c r="D21" s="260"/>
      <c r="E21" s="260"/>
      <c r="F21" s="260"/>
      <c r="G21" s="90">
        <f>SUM(G10:G20)</f>
        <v>0</v>
      </c>
      <c r="H21" s="103"/>
    </row>
    <row r="23" spans="1:8" ht="21.75" x14ac:dyDescent="0.25">
      <c r="A23" s="52" t="s">
        <v>300</v>
      </c>
      <c r="B23" s="52"/>
      <c r="C23" s="52"/>
      <c r="D23" s="53"/>
      <c r="E23" s="53"/>
      <c r="F23" s="98"/>
      <c r="G23" s="98"/>
      <c r="H23" s="98"/>
    </row>
    <row r="24" spans="1:8" ht="21.75" x14ac:dyDescent="0.25">
      <c r="A24" s="56"/>
      <c r="B24" s="56"/>
      <c r="C24" s="56"/>
      <c r="D24" s="57"/>
      <c r="E24" s="57"/>
      <c r="F24" s="99"/>
      <c r="G24" s="100"/>
      <c r="H24" s="100"/>
    </row>
    <row r="25" spans="1:8" ht="21.75" x14ac:dyDescent="0.25">
      <c r="A25" s="63" t="s">
        <v>14</v>
      </c>
      <c r="B25" s="265" t="s">
        <v>5</v>
      </c>
      <c r="C25" s="266"/>
      <c r="D25" s="265" t="s">
        <v>18</v>
      </c>
      <c r="E25" s="266"/>
      <c r="F25" s="101" t="s">
        <v>118</v>
      </c>
      <c r="G25" s="90" t="s">
        <v>16</v>
      </c>
      <c r="H25" s="100"/>
    </row>
    <row r="26" spans="1:8" ht="43.5" x14ac:dyDescent="0.25">
      <c r="A26" s="66" t="s">
        <v>111</v>
      </c>
      <c r="B26" s="62">
        <v>2.1</v>
      </c>
      <c r="C26" s="62" t="s">
        <v>113</v>
      </c>
      <c r="D26" s="67">
        <f>B26*DADOS_INICIAIS!E25</f>
        <v>1454.355</v>
      </c>
      <c r="E26" s="67" t="s">
        <v>2</v>
      </c>
      <c r="F26" s="88"/>
      <c r="G26" s="89">
        <f>F26*D26</f>
        <v>0</v>
      </c>
      <c r="H26" s="102"/>
    </row>
    <row r="27" spans="1:8" ht="21.75" x14ac:dyDescent="0.25">
      <c r="A27" s="66" t="s">
        <v>24</v>
      </c>
      <c r="B27" s="62">
        <v>0.65</v>
      </c>
      <c r="C27" s="62" t="s">
        <v>112</v>
      </c>
      <c r="D27" s="67">
        <f>B27*DADOS_INICIAIS!E25</f>
        <v>450.15749999999997</v>
      </c>
      <c r="E27" s="67" t="s">
        <v>22</v>
      </c>
      <c r="F27" s="88"/>
      <c r="G27" s="89">
        <f>F27*D27</f>
        <v>0</v>
      </c>
      <c r="H27" s="102"/>
    </row>
    <row r="28" spans="1:8" ht="21.75" x14ac:dyDescent="0.25">
      <c r="A28" s="66" t="s">
        <v>23</v>
      </c>
      <c r="B28" s="62">
        <v>110</v>
      </c>
      <c r="C28" s="62" t="s">
        <v>34</v>
      </c>
      <c r="D28" s="67">
        <f>B28*D27</f>
        <v>49517.324999999997</v>
      </c>
      <c r="E28" s="67" t="s">
        <v>26</v>
      </c>
      <c r="F28" s="88"/>
      <c r="G28" s="89">
        <f>F28*D28</f>
        <v>0</v>
      </c>
      <c r="H28" s="102"/>
    </row>
    <row r="29" spans="1:8" ht="21.75" x14ac:dyDescent="0.25">
      <c r="A29" s="66" t="s">
        <v>25</v>
      </c>
      <c r="B29" s="62">
        <f>SUPRAESTRUTURA!B15*1.5</f>
        <v>360</v>
      </c>
      <c r="C29" s="62" t="s">
        <v>102</v>
      </c>
      <c r="D29" s="67">
        <f>DADOS_INICIAIS!E25</f>
        <v>692.55</v>
      </c>
      <c r="E29" s="67" t="s">
        <v>2</v>
      </c>
      <c r="F29" s="88">
        <f>B29</f>
        <v>360</v>
      </c>
      <c r="G29" s="89">
        <f>F29*D29</f>
        <v>249317.99999999997</v>
      </c>
      <c r="H29" s="102"/>
    </row>
    <row r="30" spans="1:8" ht="21.75" x14ac:dyDescent="0.25">
      <c r="A30" s="260" t="s">
        <v>17</v>
      </c>
      <c r="B30" s="260"/>
      <c r="C30" s="260"/>
      <c r="D30" s="260"/>
      <c r="E30" s="260"/>
      <c r="F30" s="260"/>
      <c r="G30" s="90">
        <f>SUM(G26:G29)</f>
        <v>249317.99999999997</v>
      </c>
      <c r="H30" s="103"/>
    </row>
    <row r="33" spans="1:8" ht="21.75" x14ac:dyDescent="0.25">
      <c r="A33" s="52" t="s">
        <v>168</v>
      </c>
      <c r="B33" s="52"/>
      <c r="C33" s="52"/>
      <c r="D33" s="53"/>
      <c r="E33" s="53"/>
      <c r="F33" s="98"/>
      <c r="G33" s="98"/>
      <c r="H33" s="98"/>
    </row>
    <row r="34" spans="1:8" ht="21.75" x14ac:dyDescent="0.25">
      <c r="A34" s="56"/>
      <c r="B34" s="56"/>
      <c r="C34" s="56"/>
      <c r="D34" s="57"/>
      <c r="E34" s="57"/>
      <c r="F34" s="99"/>
      <c r="G34" s="100"/>
      <c r="H34" s="100"/>
    </row>
    <row r="35" spans="1:8" ht="21.75" x14ac:dyDescent="0.25">
      <c r="A35" s="63" t="s">
        <v>14</v>
      </c>
      <c r="B35" s="265" t="s">
        <v>5</v>
      </c>
      <c r="C35" s="266"/>
      <c r="D35" s="265" t="s">
        <v>18</v>
      </c>
      <c r="E35" s="266"/>
      <c r="F35" s="101" t="s">
        <v>118</v>
      </c>
      <c r="G35" s="90" t="s">
        <v>16</v>
      </c>
      <c r="H35" s="100"/>
    </row>
    <row r="36" spans="1:8" ht="43.5" x14ac:dyDescent="0.25">
      <c r="A36" s="66" t="s">
        <v>111</v>
      </c>
      <c r="B36" s="62">
        <v>2.1</v>
      </c>
      <c r="C36" s="62" t="s">
        <v>113</v>
      </c>
      <c r="D36" s="67">
        <f>B36*DADOS_INICIAIS!E35</f>
        <v>0</v>
      </c>
      <c r="E36" s="67" t="s">
        <v>2</v>
      </c>
      <c r="F36" s="88"/>
      <c r="G36" s="89">
        <f>F36*D36</f>
        <v>0</v>
      </c>
      <c r="H36" s="102"/>
    </row>
    <row r="37" spans="1:8" ht="21.75" x14ac:dyDescent="0.25">
      <c r="A37" s="66" t="s">
        <v>24</v>
      </c>
      <c r="B37" s="62">
        <v>0.65</v>
      </c>
      <c r="C37" s="62" t="s">
        <v>112</v>
      </c>
      <c r="D37" s="67">
        <f>B37*DADOS_INICIAIS!E35</f>
        <v>0</v>
      </c>
      <c r="E37" s="67" t="s">
        <v>22</v>
      </c>
      <c r="F37" s="88"/>
      <c r="G37" s="89">
        <f>F37*D37</f>
        <v>0</v>
      </c>
      <c r="H37" s="102"/>
    </row>
    <row r="38" spans="1:8" ht="21.75" x14ac:dyDescent="0.25">
      <c r="A38" s="66" t="s">
        <v>23</v>
      </c>
      <c r="B38" s="62">
        <v>110</v>
      </c>
      <c r="C38" s="62" t="s">
        <v>34</v>
      </c>
      <c r="D38" s="67">
        <f>B38*D37</f>
        <v>0</v>
      </c>
      <c r="E38" s="67" t="s">
        <v>26</v>
      </c>
      <c r="F38" s="88"/>
      <c r="G38" s="89">
        <f>F38*D38</f>
        <v>0</v>
      </c>
      <c r="H38" s="102"/>
    </row>
    <row r="39" spans="1:8" ht="21.75" x14ac:dyDescent="0.25">
      <c r="A39" s="66" t="s">
        <v>25</v>
      </c>
      <c r="B39" s="62">
        <f>SUPRAESTRUTURA!B70*1.5</f>
        <v>0</v>
      </c>
      <c r="C39" s="62" t="s">
        <v>102</v>
      </c>
      <c r="D39" s="67">
        <f>DADOS_INICIAIS!E35</f>
        <v>0</v>
      </c>
      <c r="E39" s="67" t="s">
        <v>2</v>
      </c>
      <c r="F39" s="88">
        <f>B39</f>
        <v>0</v>
      </c>
      <c r="G39" s="89">
        <f>F39*D39</f>
        <v>0</v>
      </c>
      <c r="H39" s="102"/>
    </row>
    <row r="40" spans="1:8" ht="21.75" x14ac:dyDescent="0.25">
      <c r="A40" s="260" t="s">
        <v>17</v>
      </c>
      <c r="B40" s="260"/>
      <c r="C40" s="260"/>
      <c r="D40" s="260"/>
      <c r="E40" s="260"/>
      <c r="F40" s="260"/>
      <c r="G40" s="90">
        <f>SUM(G36:G39)</f>
        <v>0</v>
      </c>
      <c r="H40" s="103"/>
    </row>
    <row r="45" spans="1:8" x14ac:dyDescent="0.25">
      <c r="D45" s="86"/>
      <c r="E45" s="87"/>
    </row>
    <row r="46" spans="1:8" ht="21.75" x14ac:dyDescent="0.25">
      <c r="A46" s="267" t="s">
        <v>104</v>
      </c>
      <c r="B46" s="268"/>
      <c r="C46" s="268"/>
      <c r="D46" s="268"/>
      <c r="E46" s="268"/>
      <c r="F46" s="269"/>
      <c r="G46" s="91">
        <f>G21+G30</f>
        <v>249317.99999999997</v>
      </c>
      <c r="H46" s="91">
        <f>G46/DADOS_INICIAIS!E9</f>
        <v>29.244312550217874</v>
      </c>
    </row>
  </sheetData>
  <mergeCells count="14">
    <mergeCell ref="A15:A16"/>
    <mergeCell ref="A3:H3"/>
    <mergeCell ref="B9:C9"/>
    <mergeCell ref="D9:E9"/>
    <mergeCell ref="A11:A12"/>
    <mergeCell ref="A13:A14"/>
    <mergeCell ref="A21:F21"/>
    <mergeCell ref="B25:C25"/>
    <mergeCell ref="D25:E25"/>
    <mergeCell ref="A30:F30"/>
    <mergeCell ref="A46:F46"/>
    <mergeCell ref="B35:C35"/>
    <mergeCell ref="D35:E35"/>
    <mergeCell ref="A40:F40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8"/>
  <sheetViews>
    <sheetView showGridLines="0" topLeftCell="A16" zoomScale="80" zoomScaleNormal="80" zoomScaleSheetLayoutView="95" workbookViewId="0">
      <selection activeCell="G28" sqref="G28:G32"/>
    </sheetView>
  </sheetViews>
  <sheetFormatPr defaultColWidth="9.140625" defaultRowHeight="15" x14ac:dyDescent="0.25"/>
  <cols>
    <col min="1" max="1" width="50.140625" style="55" customWidth="1"/>
    <col min="2" max="3" width="21.7109375" style="55" customWidth="1"/>
    <col min="4" max="4" width="16.5703125" style="81" customWidth="1"/>
    <col min="5" max="5" width="19.5703125" style="82" customWidth="1"/>
    <col min="6" max="6" width="20.85546875" style="94" customWidth="1"/>
    <col min="7" max="7" width="20.7109375" style="94" customWidth="1"/>
    <col min="8" max="8" width="69.42578125" style="94" customWidth="1"/>
    <col min="9" max="9" width="11.28515625" style="55" customWidth="1"/>
    <col min="10" max="10" width="9.140625" style="55"/>
    <col min="11" max="11" width="11" style="55" bestFit="1" customWidth="1"/>
    <col min="12" max="13" width="9.140625" style="55"/>
    <col min="14" max="15" width="11" style="55" bestFit="1" customWidth="1"/>
    <col min="16" max="16384" width="9.140625" style="55"/>
  </cols>
  <sheetData>
    <row r="1" spans="1:10" x14ac:dyDescent="0.25">
      <c r="D1" s="79"/>
      <c r="E1" s="55"/>
      <c r="H1" s="95"/>
      <c r="I1" s="80"/>
      <c r="J1" s="79"/>
    </row>
    <row r="3" spans="1:10" ht="28.5" x14ac:dyDescent="0.25">
      <c r="A3" s="261" t="s">
        <v>122</v>
      </c>
      <c r="B3" s="272"/>
      <c r="C3" s="272"/>
      <c r="D3" s="262"/>
      <c r="E3" s="262"/>
      <c r="F3" s="262"/>
      <c r="G3" s="262"/>
      <c r="H3" s="263"/>
      <c r="J3" s="79"/>
    </row>
    <row r="4" spans="1:10" ht="19.5" x14ac:dyDescent="0.25">
      <c r="A4" s="189" t="s">
        <v>186</v>
      </c>
      <c r="B4" s="195">
        <v>45543</v>
      </c>
      <c r="C4" s="193"/>
      <c r="D4" s="193"/>
      <c r="E4" s="193"/>
      <c r="F4" s="193"/>
      <c r="G4" s="193"/>
      <c r="H4" s="194"/>
      <c r="J4" s="79"/>
    </row>
    <row r="5" spans="1:10" ht="19.5" x14ac:dyDescent="0.25">
      <c r="A5" s="189" t="s">
        <v>299</v>
      </c>
      <c r="B5" s="196" t="s">
        <v>216</v>
      </c>
      <c r="C5" s="191"/>
      <c r="D5" s="191"/>
      <c r="E5" s="191"/>
      <c r="F5" s="191"/>
      <c r="G5" s="191"/>
      <c r="H5" s="192"/>
      <c r="J5" s="79"/>
    </row>
    <row r="6" spans="1:10" ht="21.75" x14ac:dyDescent="0.25">
      <c r="A6" s="83"/>
      <c r="B6" s="83"/>
      <c r="C6" s="83"/>
      <c r="D6" s="83"/>
      <c r="E6" s="83"/>
      <c r="F6" s="96"/>
      <c r="G6" s="97"/>
      <c r="H6" s="97"/>
      <c r="J6" s="79"/>
    </row>
    <row r="7" spans="1:10" ht="21.75" x14ac:dyDescent="0.25">
      <c r="A7" s="52" t="s">
        <v>106</v>
      </c>
      <c r="B7" s="52"/>
      <c r="C7" s="52"/>
      <c r="D7" s="53"/>
      <c r="E7" s="53"/>
      <c r="F7" s="98"/>
      <c r="G7" s="98"/>
      <c r="H7" s="98"/>
    </row>
    <row r="8" spans="1:10" ht="21.75" x14ac:dyDescent="0.25">
      <c r="A8" s="56"/>
      <c r="B8" s="56"/>
      <c r="C8" s="56"/>
      <c r="D8" s="57"/>
      <c r="E8" s="57"/>
      <c r="F8" s="99"/>
      <c r="G8" s="100"/>
      <c r="H8" s="100"/>
    </row>
    <row r="9" spans="1:10" ht="21.75" x14ac:dyDescent="0.25">
      <c r="A9" s="63" t="s">
        <v>14</v>
      </c>
      <c r="B9" s="265" t="s">
        <v>5</v>
      </c>
      <c r="C9" s="266"/>
      <c r="D9" s="265" t="s">
        <v>18</v>
      </c>
      <c r="E9" s="266"/>
      <c r="F9" s="101" t="s">
        <v>118</v>
      </c>
      <c r="G9" s="90" t="s">
        <v>16</v>
      </c>
      <c r="H9" s="90" t="s">
        <v>302</v>
      </c>
    </row>
    <row r="10" spans="1:10" ht="21.75" x14ac:dyDescent="0.25">
      <c r="A10" s="66" t="s">
        <v>107</v>
      </c>
      <c r="B10" s="62">
        <v>0.15</v>
      </c>
      <c r="C10" s="62" t="s">
        <v>108</v>
      </c>
      <c r="D10" s="67">
        <f>ROUNDUP(B10*DADOS_INICIAIS!$E$25,0)</f>
        <v>104</v>
      </c>
      <c r="E10" s="67" t="s">
        <v>3</v>
      </c>
      <c r="F10" s="92"/>
      <c r="G10" s="93"/>
      <c r="H10" s="67" t="s">
        <v>349</v>
      </c>
    </row>
    <row r="11" spans="1:10" ht="21.75" x14ac:dyDescent="0.25">
      <c r="A11" s="270" t="s">
        <v>162</v>
      </c>
      <c r="B11" s="76">
        <v>0</v>
      </c>
      <c r="C11" s="62"/>
      <c r="D11" s="67">
        <f>ROUNDUP(B11*$D$10,0)</f>
        <v>0</v>
      </c>
      <c r="E11" s="67" t="s">
        <v>3</v>
      </c>
      <c r="F11" s="92"/>
      <c r="G11" s="93"/>
      <c r="H11" s="67"/>
    </row>
    <row r="12" spans="1:10" ht="21.75" x14ac:dyDescent="0.25">
      <c r="A12" s="271"/>
      <c r="B12" s="77">
        <v>28</v>
      </c>
      <c r="C12" s="62" t="s">
        <v>163</v>
      </c>
      <c r="D12" s="67">
        <f>B12*D11</f>
        <v>0</v>
      </c>
      <c r="E12" s="67" t="s">
        <v>4</v>
      </c>
      <c r="F12" s="88">
        <v>70</v>
      </c>
      <c r="G12" s="89">
        <f>F12*D12*1.1</f>
        <v>0</v>
      </c>
      <c r="H12" s="67"/>
    </row>
    <row r="13" spans="1:10" ht="21.75" x14ac:dyDescent="0.25">
      <c r="A13" s="270" t="s">
        <v>161</v>
      </c>
      <c r="B13" s="76">
        <v>0.6</v>
      </c>
      <c r="C13" s="62"/>
      <c r="D13" s="67">
        <f>ROUNDUP(B13*D10,0)</f>
        <v>63</v>
      </c>
      <c r="E13" s="67" t="s">
        <v>3</v>
      </c>
      <c r="F13" s="92"/>
      <c r="G13" s="93"/>
      <c r="H13" s="67"/>
    </row>
    <row r="14" spans="1:10" ht="21.75" x14ac:dyDescent="0.25">
      <c r="A14" s="271"/>
      <c r="B14" s="77">
        <v>28</v>
      </c>
      <c r="C14" s="62" t="s">
        <v>163</v>
      </c>
      <c r="D14" s="67">
        <f>B14*D13</f>
        <v>1764</v>
      </c>
      <c r="E14" s="67" t="s">
        <v>4</v>
      </c>
      <c r="F14" s="88">
        <v>90</v>
      </c>
      <c r="G14" s="89">
        <f>F14*D14*1.1</f>
        <v>174636</v>
      </c>
      <c r="H14" s="67"/>
    </row>
    <row r="15" spans="1:10" ht="21.75" x14ac:dyDescent="0.25">
      <c r="A15" s="270" t="s">
        <v>114</v>
      </c>
      <c r="B15" s="76">
        <v>0.4</v>
      </c>
      <c r="C15" s="62" t="s">
        <v>108</v>
      </c>
      <c r="D15" s="67">
        <f>ROUNDUP(B15*$D$10,0)</f>
        <v>42</v>
      </c>
      <c r="E15" s="67" t="s">
        <v>3</v>
      </c>
      <c r="F15" s="92"/>
      <c r="G15" s="93"/>
      <c r="H15" s="67"/>
    </row>
    <row r="16" spans="1:10" ht="21.75" x14ac:dyDescent="0.25">
      <c r="A16" s="271"/>
      <c r="B16" s="77">
        <v>28</v>
      </c>
      <c r="C16" s="62" t="s">
        <v>163</v>
      </c>
      <c r="D16" s="67">
        <f>B16*D15</f>
        <v>1176</v>
      </c>
      <c r="E16" s="67" t="s">
        <v>4</v>
      </c>
      <c r="F16" s="88">
        <v>105</v>
      </c>
      <c r="G16" s="89">
        <f>F16*D16*1.1</f>
        <v>135828</v>
      </c>
      <c r="H16" s="67"/>
    </row>
    <row r="17" spans="1:8" ht="21.75" x14ac:dyDescent="0.25">
      <c r="A17" s="270" t="s">
        <v>338</v>
      </c>
      <c r="B17" s="76">
        <v>0</v>
      </c>
      <c r="C17" s="62" t="s">
        <v>108</v>
      </c>
      <c r="D17" s="67">
        <f>ROUNDUP(B17*$D$10,0)</f>
        <v>0</v>
      </c>
      <c r="E17" s="67" t="s">
        <v>3</v>
      </c>
      <c r="F17" s="92"/>
      <c r="G17" s="93"/>
      <c r="H17" s="67"/>
    </row>
    <row r="18" spans="1:8" ht="21.75" x14ac:dyDescent="0.25">
      <c r="A18" s="271"/>
      <c r="B18" s="77">
        <v>30</v>
      </c>
      <c r="C18" s="62" t="s">
        <v>163</v>
      </c>
      <c r="D18" s="67">
        <f>B18*D17</f>
        <v>0</v>
      </c>
      <c r="E18" s="67" t="s">
        <v>4</v>
      </c>
      <c r="F18" s="88">
        <v>120</v>
      </c>
      <c r="G18" s="89">
        <f>F18*D18*1.1</f>
        <v>0</v>
      </c>
      <c r="H18" s="67"/>
    </row>
    <row r="19" spans="1:8" ht="21.75" x14ac:dyDescent="0.25">
      <c r="A19" s="66" t="s">
        <v>304</v>
      </c>
      <c r="B19" s="62">
        <v>1.3</v>
      </c>
      <c r="C19" s="62" t="s">
        <v>318</v>
      </c>
      <c r="D19" s="67">
        <f>(PI()*((0.4^2)/4)*D12+PI()*((0.5^2)/4)*D14+PI()*((0.6^2)/4)*D16)</f>
        <v>678.86675651421842</v>
      </c>
      <c r="E19" s="67" t="s">
        <v>22</v>
      </c>
      <c r="F19" s="88">
        <f>535+45</f>
        <v>580</v>
      </c>
      <c r="G19" s="89">
        <f>F19*D19*B19*1.1</f>
        <v>563052.08785289282</v>
      </c>
      <c r="H19" s="67"/>
    </row>
    <row r="20" spans="1:8" ht="21.75" x14ac:dyDescent="0.25">
      <c r="A20" s="66" t="s">
        <v>339</v>
      </c>
      <c r="B20" s="62">
        <v>12</v>
      </c>
      <c r="C20" s="62" t="s">
        <v>34</v>
      </c>
      <c r="D20" s="67">
        <f>B20*D19</f>
        <v>8146.4010781706211</v>
      </c>
      <c r="E20" s="67" t="s">
        <v>26</v>
      </c>
      <c r="F20" s="88">
        <v>7.62</v>
      </c>
      <c r="G20" s="89">
        <f>F20*D20*1.1</f>
        <v>68283.133837226153</v>
      </c>
      <c r="H20" s="67"/>
    </row>
    <row r="21" spans="1:8" ht="21.75" x14ac:dyDescent="0.25">
      <c r="A21" s="66" t="s">
        <v>109</v>
      </c>
      <c r="B21" s="62">
        <v>1</v>
      </c>
      <c r="C21" s="62" t="s">
        <v>27</v>
      </c>
      <c r="D21" s="67">
        <v>1</v>
      </c>
      <c r="E21" s="67" t="s">
        <v>27</v>
      </c>
      <c r="F21" s="88">
        <v>12500</v>
      </c>
      <c r="G21" s="89">
        <f>F21*D21*1.1</f>
        <v>13750.000000000002</v>
      </c>
      <c r="H21" s="67"/>
    </row>
    <row r="22" spans="1:8" ht="21.75" x14ac:dyDescent="0.25">
      <c r="A22" s="66" t="s">
        <v>305</v>
      </c>
      <c r="B22" s="62"/>
      <c r="C22" s="62"/>
      <c r="D22" s="67">
        <f>D10</f>
        <v>104</v>
      </c>
      <c r="E22" s="67" t="s">
        <v>3</v>
      </c>
      <c r="F22" s="88">
        <v>300</v>
      </c>
      <c r="G22" s="89">
        <f>F22*D22*1</f>
        <v>31200</v>
      </c>
      <c r="H22" s="67"/>
    </row>
    <row r="23" spans="1:8" ht="21.75" x14ac:dyDescent="0.25">
      <c r="A23" s="260" t="s">
        <v>17</v>
      </c>
      <c r="B23" s="260"/>
      <c r="C23" s="260"/>
      <c r="D23" s="260"/>
      <c r="E23" s="260"/>
      <c r="F23" s="260"/>
      <c r="G23" s="90">
        <f>SUM(G10:G22)</f>
        <v>986749.22169011901</v>
      </c>
      <c r="H23" s="90"/>
    </row>
    <row r="25" spans="1:8" ht="21.75" x14ac:dyDescent="0.25">
      <c r="A25" s="52" t="s">
        <v>110</v>
      </c>
      <c r="B25" s="52"/>
      <c r="C25" s="52"/>
      <c r="D25" s="53"/>
      <c r="E25" s="53"/>
      <c r="F25" s="98"/>
      <c r="G25" s="98"/>
      <c r="H25" s="98"/>
    </row>
    <row r="26" spans="1:8" ht="21.75" x14ac:dyDescent="0.25">
      <c r="A26" s="56"/>
      <c r="B26" s="56"/>
      <c r="C26" s="56"/>
      <c r="D26" s="57"/>
      <c r="E26" s="57"/>
      <c r="F26" s="99"/>
      <c r="G26" s="100"/>
      <c r="H26" s="100"/>
    </row>
    <row r="27" spans="1:8" ht="21.75" x14ac:dyDescent="0.25">
      <c r="A27" s="63" t="s">
        <v>14</v>
      </c>
      <c r="B27" s="265" t="s">
        <v>5</v>
      </c>
      <c r="C27" s="266"/>
      <c r="D27" s="265" t="s">
        <v>18</v>
      </c>
      <c r="E27" s="266"/>
      <c r="F27" s="101" t="s">
        <v>118</v>
      </c>
      <c r="G27" s="90" t="s">
        <v>16</v>
      </c>
      <c r="H27" s="90" t="s">
        <v>302</v>
      </c>
    </row>
    <row r="28" spans="1:8" ht="43.5" x14ac:dyDescent="0.25">
      <c r="A28" s="66" t="s">
        <v>111</v>
      </c>
      <c r="B28" s="62">
        <v>1.1000000000000001</v>
      </c>
      <c r="C28" s="62" t="s">
        <v>113</v>
      </c>
      <c r="D28" s="67">
        <f>B28*DADOS_INICIAIS!E25</f>
        <v>761.80500000000006</v>
      </c>
      <c r="E28" s="67" t="s">
        <v>2</v>
      </c>
      <c r="F28" s="88">
        <v>68</v>
      </c>
      <c r="G28" s="89">
        <f>F28*D28*1.1</f>
        <v>56983.01400000001</v>
      </c>
      <c r="H28" s="67"/>
    </row>
    <row r="29" spans="1:8" ht="21.75" x14ac:dyDescent="0.25">
      <c r="A29" s="66" t="s">
        <v>304</v>
      </c>
      <c r="B29" s="62">
        <v>0.65</v>
      </c>
      <c r="C29" s="62" t="s">
        <v>112</v>
      </c>
      <c r="D29" s="67">
        <f>B29*DADOS_INICIAIS!E25</f>
        <v>450.15749999999997</v>
      </c>
      <c r="E29" s="67" t="s">
        <v>22</v>
      </c>
      <c r="F29" s="88">
        <f>535+45</f>
        <v>580</v>
      </c>
      <c r="G29" s="89">
        <f>F29*D29*1.05*1.1</f>
        <v>301560.50925</v>
      </c>
      <c r="H29" s="67"/>
    </row>
    <row r="30" spans="1:8" ht="21.75" x14ac:dyDescent="0.25">
      <c r="A30" s="66" t="s">
        <v>23</v>
      </c>
      <c r="B30" s="62">
        <v>80</v>
      </c>
      <c r="C30" s="62" t="s">
        <v>34</v>
      </c>
      <c r="D30" s="67">
        <f>B30*D29</f>
        <v>36012.6</v>
      </c>
      <c r="E30" s="67" t="s">
        <v>26</v>
      </c>
      <c r="F30" s="88">
        <v>7.62</v>
      </c>
      <c r="G30" s="89">
        <f>F30*D30*1.1</f>
        <v>301857.61320000002</v>
      </c>
      <c r="H30" s="67" t="s">
        <v>349</v>
      </c>
    </row>
    <row r="31" spans="1:8" ht="21.75" x14ac:dyDescent="0.25">
      <c r="A31" s="66" t="s">
        <v>348</v>
      </c>
      <c r="B31" s="62">
        <v>1</v>
      </c>
      <c r="C31" s="62" t="s">
        <v>113</v>
      </c>
      <c r="D31" s="67">
        <f>B31*DADOS_INICIAIS!E25</f>
        <v>692.55</v>
      </c>
      <c r="E31" s="67" t="s">
        <v>2</v>
      </c>
      <c r="F31" s="88">
        <v>180</v>
      </c>
      <c r="G31" s="89">
        <f>F31*D31*1.1</f>
        <v>137124.9</v>
      </c>
      <c r="H31" s="67"/>
    </row>
    <row r="32" spans="1:8" ht="21.75" x14ac:dyDescent="0.25">
      <c r="A32" s="66" t="s">
        <v>25</v>
      </c>
      <c r="B32" s="62">
        <f>SUPRAESTRUTURA!B15*1.5</f>
        <v>360</v>
      </c>
      <c r="C32" s="62" t="s">
        <v>102</v>
      </c>
      <c r="D32" s="67">
        <f>DADOS_INICIAIS!E25</f>
        <v>692.55</v>
      </c>
      <c r="E32" s="67" t="s">
        <v>2</v>
      </c>
      <c r="F32" s="88">
        <f>B32</f>
        <v>360</v>
      </c>
      <c r="G32" s="89">
        <f>F32*D32*1.1</f>
        <v>274249.8</v>
      </c>
      <c r="H32" s="67"/>
    </row>
    <row r="33" spans="1:8" ht="21.75" x14ac:dyDescent="0.25">
      <c r="A33" s="260" t="s">
        <v>17</v>
      </c>
      <c r="B33" s="260"/>
      <c r="C33" s="260"/>
      <c r="D33" s="260"/>
      <c r="E33" s="260"/>
      <c r="F33" s="260"/>
      <c r="G33" s="90">
        <f>SUM(G28:G32)</f>
        <v>1071775.8364500001</v>
      </c>
      <c r="H33" s="90"/>
    </row>
    <row r="35" spans="1:8" x14ac:dyDescent="0.25">
      <c r="D35" s="86"/>
      <c r="E35" s="87"/>
    </row>
    <row r="36" spans="1:8" ht="21.75" x14ac:dyDescent="0.25">
      <c r="A36" s="267" t="s">
        <v>104</v>
      </c>
      <c r="B36" s="268"/>
      <c r="C36" s="268"/>
      <c r="D36" s="268"/>
      <c r="E36" s="268"/>
      <c r="F36" s="269"/>
      <c r="G36" s="91">
        <f>G23+G33</f>
        <v>2058525.0581401191</v>
      </c>
      <c r="H36" s="91">
        <f>G36/DADOS_INICIAIS!E9</f>
        <v>241.45930174598334</v>
      </c>
    </row>
    <row r="38" spans="1:8" x14ac:dyDescent="0.25">
      <c r="H38" s="94">
        <f>H36/1.1</f>
        <v>219.5084561327121</v>
      </c>
    </row>
  </sheetData>
  <mergeCells count="12">
    <mergeCell ref="A33:F33"/>
    <mergeCell ref="A36:F36"/>
    <mergeCell ref="A3:H3"/>
    <mergeCell ref="A23:F23"/>
    <mergeCell ref="D9:E9"/>
    <mergeCell ref="B9:C9"/>
    <mergeCell ref="A11:A12"/>
    <mergeCell ref="A13:A14"/>
    <mergeCell ref="A15:A16"/>
    <mergeCell ref="B27:C27"/>
    <mergeCell ref="D27:E27"/>
    <mergeCell ref="A17:A18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C6ECC-E58E-429D-83BE-C07977C5DA4B}">
  <dimension ref="A1:L65"/>
  <sheetViews>
    <sheetView showGridLines="0" topLeftCell="A11" zoomScale="80" zoomScaleNormal="80" zoomScaleSheetLayoutView="95" workbookViewId="0">
      <selection activeCell="D24" sqref="D24"/>
    </sheetView>
  </sheetViews>
  <sheetFormatPr defaultColWidth="9.140625" defaultRowHeight="15" x14ac:dyDescent="0.25"/>
  <cols>
    <col min="1" max="1" width="50.140625" style="55" customWidth="1"/>
    <col min="2" max="3" width="21.7109375" style="55" customWidth="1"/>
    <col min="4" max="4" width="16.5703125" style="81" customWidth="1"/>
    <col min="5" max="5" width="19.5703125" style="82" customWidth="1"/>
    <col min="6" max="6" width="20.85546875" style="55" customWidth="1"/>
    <col min="7" max="7" width="26.85546875" style="55" customWidth="1"/>
    <col min="8" max="8" width="58.28515625" style="55" customWidth="1"/>
    <col min="9" max="9" width="14.5703125" style="55" customWidth="1"/>
    <col min="10" max="10" width="9.140625" style="55"/>
    <col min="11" max="11" width="11" style="55" bestFit="1" customWidth="1"/>
    <col min="12" max="12" width="11.28515625" style="55" bestFit="1" customWidth="1"/>
    <col min="13" max="13" width="9.140625" style="55"/>
    <col min="14" max="15" width="11" style="55" bestFit="1" customWidth="1"/>
    <col min="16" max="16384" width="9.140625" style="55"/>
  </cols>
  <sheetData>
    <row r="1" spans="1:10" x14ac:dyDescent="0.25">
      <c r="D1" s="79"/>
      <c r="E1" s="55"/>
      <c r="H1" s="80"/>
      <c r="I1" s="80"/>
      <c r="J1" s="79"/>
    </row>
    <row r="3" spans="1:10" ht="28.5" x14ac:dyDescent="0.25">
      <c r="A3" s="261" t="s">
        <v>28</v>
      </c>
      <c r="B3" s="272"/>
      <c r="C3" s="272"/>
      <c r="D3" s="262"/>
      <c r="E3" s="262"/>
      <c r="F3" s="262"/>
      <c r="G3" s="262"/>
      <c r="H3" s="263"/>
      <c r="J3" s="79"/>
    </row>
    <row r="4" spans="1:10" ht="19.5" x14ac:dyDescent="0.25">
      <c r="A4" s="189" t="s">
        <v>186</v>
      </c>
      <c r="B4" s="195">
        <v>45472</v>
      </c>
      <c r="C4" s="193"/>
      <c r="D4" s="193"/>
      <c r="E4" s="193"/>
      <c r="F4" s="193"/>
      <c r="G4" s="193"/>
      <c r="H4" s="194"/>
      <c r="J4" s="79"/>
    </row>
    <row r="5" spans="1:10" ht="19.5" x14ac:dyDescent="0.25">
      <c r="A5" s="189" t="s">
        <v>299</v>
      </c>
      <c r="B5" s="196" t="s">
        <v>216</v>
      </c>
      <c r="C5" s="191"/>
      <c r="D5" s="191"/>
      <c r="E5" s="191"/>
      <c r="F5" s="191"/>
      <c r="G5" s="191"/>
      <c r="H5" s="192"/>
      <c r="J5" s="79"/>
    </row>
    <row r="6" spans="1:10" ht="21.75" x14ac:dyDescent="0.25">
      <c r="A6" s="83"/>
      <c r="B6" s="83"/>
      <c r="C6" s="83"/>
      <c r="D6" s="83"/>
      <c r="E6" s="83"/>
      <c r="F6" s="84"/>
      <c r="G6" s="85"/>
      <c r="H6" s="85"/>
      <c r="J6" s="79"/>
    </row>
    <row r="7" spans="1:10" ht="21.75" x14ac:dyDescent="0.25">
      <c r="A7" s="52" t="s">
        <v>310</v>
      </c>
      <c r="B7" s="52"/>
      <c r="C7" s="52"/>
      <c r="D7" s="53"/>
      <c r="E7" s="53"/>
      <c r="F7" s="54"/>
      <c r="G7" s="53"/>
      <c r="H7" s="53"/>
    </row>
    <row r="8" spans="1:10" ht="21.75" x14ac:dyDescent="0.25">
      <c r="A8" s="56"/>
      <c r="B8" s="56"/>
      <c r="C8" s="56"/>
      <c r="D8" s="57"/>
      <c r="E8" s="57"/>
      <c r="F8" s="58"/>
      <c r="G8" s="59"/>
      <c r="H8" s="59"/>
    </row>
    <row r="9" spans="1:10" ht="42" customHeight="1" x14ac:dyDescent="0.25">
      <c r="A9" s="63" t="s">
        <v>14</v>
      </c>
      <c r="B9" s="265" t="s">
        <v>5</v>
      </c>
      <c r="C9" s="266"/>
      <c r="D9" s="265" t="s">
        <v>18</v>
      </c>
      <c r="E9" s="266"/>
      <c r="F9" s="65" t="s">
        <v>118</v>
      </c>
      <c r="G9" s="71" t="s">
        <v>16</v>
      </c>
      <c r="H9" s="90" t="s">
        <v>302</v>
      </c>
    </row>
    <row r="10" spans="1:10" ht="21.75" x14ac:dyDescent="0.25">
      <c r="A10" s="66" t="s">
        <v>29</v>
      </c>
      <c r="B10" s="62">
        <v>3</v>
      </c>
      <c r="C10" s="62" t="s">
        <v>309</v>
      </c>
      <c r="D10" s="67">
        <f>(D11/DADOS_INICIAIS!$E$15)*B10</f>
        <v>3365.269736842105</v>
      </c>
      <c r="E10" s="67" t="s">
        <v>2</v>
      </c>
      <c r="F10" s="88">
        <v>110</v>
      </c>
      <c r="G10" s="89">
        <f>F10*D10*1.1</f>
        <v>407197.63815789478</v>
      </c>
      <c r="H10" s="67"/>
    </row>
    <row r="11" spans="1:10" ht="21.75" x14ac:dyDescent="0.25">
      <c r="A11" s="78" t="s">
        <v>30</v>
      </c>
      <c r="B11" s="62">
        <v>2.5</v>
      </c>
      <c r="C11" s="62" t="s">
        <v>37</v>
      </c>
      <c r="D11" s="67">
        <f>B11*DADOS_INICIAIS!$E$9</f>
        <v>21313.375</v>
      </c>
      <c r="E11" s="67" t="s">
        <v>2</v>
      </c>
      <c r="F11" s="88">
        <v>2.5</v>
      </c>
      <c r="G11" s="89">
        <f>F11*D11*1.1</f>
        <v>58611.781250000007</v>
      </c>
      <c r="H11" s="67"/>
    </row>
    <row r="12" spans="1:10" ht="21.75" x14ac:dyDescent="0.25">
      <c r="A12" s="78" t="s">
        <v>320</v>
      </c>
      <c r="B12" s="62">
        <v>4</v>
      </c>
      <c r="C12" s="62" t="s">
        <v>165</v>
      </c>
      <c r="D12" s="67">
        <f>ROUNDUP(B12*DADOS_INICIAIS!$E$25*B10,0)</f>
        <v>8311</v>
      </c>
      <c r="E12" s="67" t="s">
        <v>3</v>
      </c>
      <c r="F12" s="88">
        <f>17</f>
        <v>17</v>
      </c>
      <c r="G12" s="89">
        <f>F12*D12*1.1</f>
        <v>155415.70000000001</v>
      </c>
      <c r="H12" s="67"/>
      <c r="I12" s="198"/>
    </row>
    <row r="13" spans="1:10" ht="21.75" x14ac:dyDescent="0.25">
      <c r="A13" s="66" t="s">
        <v>99</v>
      </c>
      <c r="B13" s="62">
        <v>0.22</v>
      </c>
      <c r="C13" s="62" t="s">
        <v>38</v>
      </c>
      <c r="D13" s="67">
        <f>B13*DADOS_INICIAIS!$E$9</f>
        <v>1875.577</v>
      </c>
      <c r="E13" s="67" t="s">
        <v>22</v>
      </c>
      <c r="F13" s="88">
        <f>535+45</f>
        <v>580</v>
      </c>
      <c r="G13" s="89">
        <f>F13*D13*1.05*1.1</f>
        <v>1256449.0323000001</v>
      </c>
      <c r="H13" s="67"/>
    </row>
    <row r="14" spans="1:10" ht="21.75" x14ac:dyDescent="0.25">
      <c r="A14" s="66" t="s">
        <v>31</v>
      </c>
      <c r="B14" s="62">
        <v>110</v>
      </c>
      <c r="C14" s="62" t="s">
        <v>34</v>
      </c>
      <c r="D14" s="67">
        <f>D13*B14</f>
        <v>206313.47</v>
      </c>
      <c r="E14" s="67" t="s">
        <v>26</v>
      </c>
      <c r="F14" s="88">
        <v>7.62</v>
      </c>
      <c r="G14" s="89">
        <f>F14*D14*1.1</f>
        <v>1729319.5055400003</v>
      </c>
      <c r="H14" s="67"/>
    </row>
    <row r="15" spans="1:10" ht="43.5" x14ac:dyDescent="0.25">
      <c r="A15" s="66" t="s">
        <v>101</v>
      </c>
      <c r="B15" s="62">
        <v>240</v>
      </c>
      <c r="C15" s="62" t="s">
        <v>6</v>
      </c>
      <c r="D15" s="67">
        <f>DADOS_INICIAIS!$E$9</f>
        <v>8525.35</v>
      </c>
      <c r="E15" s="67" t="s">
        <v>2</v>
      </c>
      <c r="F15" s="88">
        <f>B15</f>
        <v>240</v>
      </c>
      <c r="G15" s="89">
        <f>F15*D15*1.1</f>
        <v>2250692.4000000004</v>
      </c>
      <c r="H15" s="67"/>
    </row>
    <row r="16" spans="1:10" ht="43.5" x14ac:dyDescent="0.25">
      <c r="A16" s="66" t="s">
        <v>306</v>
      </c>
      <c r="B16" s="62">
        <v>5300</v>
      </c>
      <c r="C16" s="62" t="s">
        <v>307</v>
      </c>
      <c r="D16" s="67">
        <v>1</v>
      </c>
      <c r="E16" s="67" t="s">
        <v>27</v>
      </c>
      <c r="F16" s="88">
        <f>B16*DADOS_INICIAIS!$E$15</f>
        <v>100700</v>
      </c>
      <c r="G16" s="89">
        <f>F16*D16*1.1</f>
        <v>110770.00000000001</v>
      </c>
      <c r="H16" s="67" t="s">
        <v>308</v>
      </c>
      <c r="I16" s="55" t="s">
        <v>313</v>
      </c>
    </row>
    <row r="17" spans="1:12" ht="21.75" x14ac:dyDescent="0.25">
      <c r="A17" s="260" t="s">
        <v>17</v>
      </c>
      <c r="B17" s="260"/>
      <c r="C17" s="260"/>
      <c r="D17" s="260"/>
      <c r="E17" s="260"/>
      <c r="F17" s="260"/>
      <c r="G17" s="90">
        <f>SUM(G10:G16)</f>
        <v>5968456.0572478957</v>
      </c>
      <c r="H17" s="90"/>
      <c r="K17" s="55">
        <f>4160+1440+1120+2880+4800+91680+4000</f>
        <v>110080</v>
      </c>
      <c r="L17" s="55">
        <f>K17/21</f>
        <v>5241.9047619047615</v>
      </c>
    </row>
    <row r="19" spans="1:12" ht="21.75" x14ac:dyDescent="0.25">
      <c r="A19" s="205" t="s">
        <v>311</v>
      </c>
      <c r="B19" s="52"/>
      <c r="C19" s="52"/>
      <c r="D19" s="53"/>
      <c r="E19" s="53"/>
      <c r="F19" s="54"/>
      <c r="G19" s="53"/>
      <c r="H19" s="53"/>
    </row>
    <row r="20" spans="1:12" ht="21.75" x14ac:dyDescent="0.25">
      <c r="A20" s="56"/>
      <c r="B20" s="56"/>
      <c r="C20" s="56"/>
      <c r="D20" s="57"/>
      <c r="E20" s="57"/>
      <c r="F20" s="58"/>
      <c r="G20" s="59"/>
      <c r="H20" s="59"/>
    </row>
    <row r="21" spans="1:12" ht="21.75" x14ac:dyDescent="0.25">
      <c r="A21" s="63" t="s">
        <v>14</v>
      </c>
      <c r="B21" s="265" t="s">
        <v>5</v>
      </c>
      <c r="C21" s="266"/>
      <c r="D21" s="265" t="s">
        <v>18</v>
      </c>
      <c r="E21" s="266"/>
      <c r="F21" s="65" t="s">
        <v>118</v>
      </c>
      <c r="G21" s="71" t="s">
        <v>16</v>
      </c>
      <c r="H21" s="90" t="s">
        <v>302</v>
      </c>
    </row>
    <row r="22" spans="1:12" ht="21.75" x14ac:dyDescent="0.25">
      <c r="A22" s="66" t="s">
        <v>29</v>
      </c>
      <c r="B22" s="62">
        <v>3</v>
      </c>
      <c r="C22" s="62" t="s">
        <v>309</v>
      </c>
      <c r="D22" s="67">
        <f>(D23/DADOS_INICIAIS!$E$15)*B22</f>
        <v>3365.269736842105</v>
      </c>
      <c r="E22" s="67" t="s">
        <v>2</v>
      </c>
      <c r="F22" s="88">
        <v>110</v>
      </c>
      <c r="G22" s="89">
        <f>F22*D22*1.1</f>
        <v>407197.63815789478</v>
      </c>
      <c r="H22" s="67"/>
    </row>
    <row r="23" spans="1:12" ht="21.75" x14ac:dyDescent="0.25">
      <c r="A23" s="78" t="s">
        <v>30</v>
      </c>
      <c r="B23" s="62">
        <v>2.5</v>
      </c>
      <c r="C23" s="62" t="s">
        <v>37</v>
      </c>
      <c r="D23" s="67">
        <f>B23*DADOS_INICIAIS!$E$9</f>
        <v>21313.375</v>
      </c>
      <c r="E23" s="67" t="s">
        <v>2</v>
      </c>
      <c r="F23" s="88">
        <v>2.5</v>
      </c>
      <c r="G23" s="89">
        <f>F23*D23*1.1</f>
        <v>58611.781250000007</v>
      </c>
      <c r="H23" s="67"/>
    </row>
    <row r="24" spans="1:12" ht="21.75" x14ac:dyDescent="0.25">
      <c r="A24" s="78" t="s">
        <v>320</v>
      </c>
      <c r="B24" s="62">
        <v>3</v>
      </c>
      <c r="C24" s="62" t="s">
        <v>164</v>
      </c>
      <c r="D24" s="67">
        <f>ROUNDUP(B24*DADOS_INICIAIS!$E$25*B22,0)</f>
        <v>6233</v>
      </c>
      <c r="E24" s="67" t="s">
        <v>3</v>
      </c>
      <c r="F24" s="88">
        <f>17</f>
        <v>17</v>
      </c>
      <c r="G24" s="89"/>
      <c r="H24" s="67"/>
    </row>
    <row r="25" spans="1:12" ht="21.75" x14ac:dyDescent="0.25">
      <c r="A25" s="78" t="s">
        <v>368</v>
      </c>
      <c r="B25" s="62"/>
      <c r="C25" s="62"/>
      <c r="D25" s="67">
        <f>D24</f>
        <v>6233</v>
      </c>
      <c r="E25" s="67" t="str">
        <f>E24</f>
        <v>un</v>
      </c>
      <c r="F25" s="88">
        <v>5</v>
      </c>
      <c r="G25" s="89">
        <f>F25*D25*1.1</f>
        <v>34281.5</v>
      </c>
      <c r="H25" s="67"/>
    </row>
    <row r="26" spans="1:12" ht="21.75" x14ac:dyDescent="0.25">
      <c r="A26" s="66" t="s">
        <v>116</v>
      </c>
      <c r="B26" s="62">
        <v>30</v>
      </c>
      <c r="C26" s="62" t="s">
        <v>6</v>
      </c>
      <c r="D26" s="67">
        <v>1</v>
      </c>
      <c r="E26" s="67" t="s">
        <v>27</v>
      </c>
      <c r="F26" s="88">
        <f>B26*DADOS_INICIAIS!$E$9</f>
        <v>255760.5</v>
      </c>
      <c r="G26" s="89">
        <f>F26*D26*1.1</f>
        <v>281336.55000000005</v>
      </c>
      <c r="H26" s="67">
        <f>DADOS_INICIAIS!E19*3</f>
        <v>1129.08</v>
      </c>
      <c r="I26" s="55">
        <f>G26/H26</f>
        <v>249.17326495908179</v>
      </c>
    </row>
    <row r="27" spans="1:12" ht="21.75" x14ac:dyDescent="0.25">
      <c r="A27" s="66" t="s">
        <v>99</v>
      </c>
      <c r="B27" s="62">
        <v>0.25</v>
      </c>
      <c r="C27" s="62" t="s">
        <v>38</v>
      </c>
      <c r="D27" s="67">
        <f>B27*DADOS_INICIAIS!$E$9</f>
        <v>2131.3375000000001</v>
      </c>
      <c r="E27" s="67" t="s">
        <v>22</v>
      </c>
      <c r="F27" s="88">
        <f>535+45</f>
        <v>580</v>
      </c>
      <c r="G27" s="89">
        <f>F27*D27*1.05*1.1</f>
        <v>1427782.9912500002</v>
      </c>
      <c r="H27" s="67"/>
      <c r="I27" s="55">
        <f>I26/(19*30)</f>
        <v>0.4371460788755821</v>
      </c>
    </row>
    <row r="28" spans="1:12" ht="21.75" x14ac:dyDescent="0.25">
      <c r="A28" s="66" t="s">
        <v>31</v>
      </c>
      <c r="B28" s="62">
        <v>110</v>
      </c>
      <c r="C28" s="62" t="s">
        <v>34</v>
      </c>
      <c r="D28" s="67">
        <f>D27*B28</f>
        <v>234447.125</v>
      </c>
      <c r="E28" s="67" t="s">
        <v>26</v>
      </c>
      <c r="F28" s="88">
        <v>7.62</v>
      </c>
      <c r="G28" s="89">
        <f>F28*D28*1.1</f>
        <v>1965135.8017500001</v>
      </c>
      <c r="H28" s="67"/>
    </row>
    <row r="29" spans="1:12" ht="43.5" x14ac:dyDescent="0.25">
      <c r="A29" s="66" t="s">
        <v>101</v>
      </c>
      <c r="B29" s="62">
        <v>240</v>
      </c>
      <c r="C29" s="62" t="s">
        <v>6</v>
      </c>
      <c r="D29" s="67">
        <f>DADOS_INICIAIS!$E$9</f>
        <v>8525.35</v>
      </c>
      <c r="E29" s="67" t="s">
        <v>2</v>
      </c>
      <c r="F29" s="88">
        <f>B29</f>
        <v>240</v>
      </c>
      <c r="G29" s="89">
        <f>F29*D29*1.1</f>
        <v>2250692.4000000004</v>
      </c>
      <c r="H29" s="67"/>
    </row>
    <row r="30" spans="1:12" ht="43.5" x14ac:dyDescent="0.25">
      <c r="A30" s="66" t="s">
        <v>306</v>
      </c>
      <c r="B30" s="62">
        <v>5300</v>
      </c>
      <c r="C30" s="62" t="s">
        <v>307</v>
      </c>
      <c r="D30" s="67">
        <v>1</v>
      </c>
      <c r="E30" s="67" t="s">
        <v>27</v>
      </c>
      <c r="F30" s="88">
        <f>B30*DADOS_INICIAIS!$E$15</f>
        <v>100700</v>
      </c>
      <c r="G30" s="89">
        <f>F30*D30*1.1</f>
        <v>110770.00000000001</v>
      </c>
      <c r="H30" s="67" t="s">
        <v>308</v>
      </c>
    </row>
    <row r="31" spans="1:12" ht="21.75" x14ac:dyDescent="0.25">
      <c r="A31" s="260" t="s">
        <v>17</v>
      </c>
      <c r="B31" s="260"/>
      <c r="C31" s="260"/>
      <c r="D31" s="260"/>
      <c r="E31" s="260"/>
      <c r="F31" s="260"/>
      <c r="G31" s="90">
        <f>SUM(G22:G30)</f>
        <v>6535808.6624078956</v>
      </c>
      <c r="H31" s="90"/>
    </row>
    <row r="33" spans="1:8" ht="21.75" hidden="1" x14ac:dyDescent="0.25">
      <c r="A33" s="52" t="s">
        <v>312</v>
      </c>
      <c r="B33" s="52"/>
      <c r="C33" s="52"/>
      <c r="D33" s="53"/>
      <c r="E33" s="53"/>
      <c r="F33" s="54"/>
      <c r="G33" s="53"/>
      <c r="H33" s="53"/>
    </row>
    <row r="34" spans="1:8" ht="21.75" hidden="1" x14ac:dyDescent="0.25">
      <c r="A34" s="56"/>
      <c r="B34" s="56"/>
      <c r="C34" s="56"/>
      <c r="D34" s="57"/>
      <c r="E34" s="57"/>
      <c r="F34" s="58"/>
      <c r="G34" s="59"/>
      <c r="H34" s="59"/>
    </row>
    <row r="35" spans="1:8" ht="21.75" hidden="1" x14ac:dyDescent="0.25">
      <c r="A35" s="63" t="s">
        <v>14</v>
      </c>
      <c r="B35" s="265" t="s">
        <v>5</v>
      </c>
      <c r="C35" s="266"/>
      <c r="D35" s="265" t="s">
        <v>18</v>
      </c>
      <c r="E35" s="266"/>
      <c r="F35" s="65" t="s">
        <v>118</v>
      </c>
      <c r="G35" s="71" t="s">
        <v>16</v>
      </c>
      <c r="H35" s="90" t="s">
        <v>302</v>
      </c>
    </row>
    <row r="36" spans="1:8" ht="21.75" hidden="1" x14ac:dyDescent="0.25">
      <c r="A36" s="66" t="s">
        <v>29</v>
      </c>
      <c r="B36" s="197">
        <v>2</v>
      </c>
      <c r="C36" s="197" t="s">
        <v>309</v>
      </c>
      <c r="D36" s="67">
        <f>(D37/DADOS_INICIAIS!$E$15)*B36</f>
        <v>0</v>
      </c>
      <c r="E36" s="67" t="s">
        <v>2</v>
      </c>
      <c r="F36" s="88">
        <v>85</v>
      </c>
      <c r="G36" s="89">
        <f>F36*D36*1.1</f>
        <v>0</v>
      </c>
      <c r="H36" s="67"/>
    </row>
    <row r="37" spans="1:8" ht="21.75" hidden="1" x14ac:dyDescent="0.25">
      <c r="A37" s="78" t="s">
        <v>30</v>
      </c>
      <c r="B37" s="197">
        <v>2.1</v>
      </c>
      <c r="C37" s="197" t="s">
        <v>37</v>
      </c>
      <c r="D37" s="67">
        <f>B37*DADOS_INICIAIS!E38</f>
        <v>0</v>
      </c>
      <c r="E37" s="67" t="s">
        <v>2</v>
      </c>
      <c r="F37" s="88">
        <v>1.5</v>
      </c>
      <c r="G37" s="89">
        <f>F37*D37*1.1</f>
        <v>0</v>
      </c>
      <c r="H37" s="67"/>
    </row>
    <row r="38" spans="1:8" ht="21.75" hidden="1" x14ac:dyDescent="0.25">
      <c r="A38" s="78" t="s">
        <v>32</v>
      </c>
      <c r="B38" s="197">
        <v>2</v>
      </c>
      <c r="C38" s="197" t="s">
        <v>164</v>
      </c>
      <c r="D38" s="67">
        <f>B38*DADOS_INICIAIS!E47*DADOS_INICIAIS!E44</f>
        <v>0</v>
      </c>
      <c r="E38" s="67" t="s">
        <v>3</v>
      </c>
      <c r="F38" s="88">
        <v>17</v>
      </c>
      <c r="G38" s="89">
        <f>F38*D38*1.1</f>
        <v>0</v>
      </c>
      <c r="H38" s="67"/>
    </row>
    <row r="39" spans="1:8" ht="21.75" hidden="1" x14ac:dyDescent="0.25">
      <c r="A39" s="78" t="s">
        <v>33</v>
      </c>
      <c r="B39" s="197">
        <v>2</v>
      </c>
      <c r="C39" s="197" t="s">
        <v>165</v>
      </c>
      <c r="D39" s="67">
        <f>B39*DADOS_INICIAIS!E50</f>
        <v>0</v>
      </c>
      <c r="E39" s="67" t="s">
        <v>3</v>
      </c>
      <c r="F39" s="88">
        <v>17</v>
      </c>
      <c r="G39" s="89">
        <f>F39*D39*1.1</f>
        <v>0</v>
      </c>
      <c r="H39" s="67"/>
    </row>
    <row r="40" spans="1:8" ht="21.75" hidden="1" x14ac:dyDescent="0.25">
      <c r="A40" s="66" t="s">
        <v>116</v>
      </c>
      <c r="B40" s="197">
        <v>25</v>
      </c>
      <c r="C40" s="197" t="s">
        <v>6</v>
      </c>
      <c r="D40" s="67">
        <f>B40*DADOS_INICIAIS!E38</f>
        <v>0</v>
      </c>
      <c r="E40" s="67" t="s">
        <v>22</v>
      </c>
      <c r="F40" s="88">
        <f>B40</f>
        <v>25</v>
      </c>
      <c r="G40" s="89">
        <f>F40*D40*1.1</f>
        <v>0</v>
      </c>
      <c r="H40" s="67"/>
    </row>
    <row r="41" spans="1:8" ht="21.75" hidden="1" x14ac:dyDescent="0.25">
      <c r="A41" s="66" t="s">
        <v>99</v>
      </c>
      <c r="B41" s="197">
        <v>0.25</v>
      </c>
      <c r="C41" s="197" t="s">
        <v>38</v>
      </c>
      <c r="D41" s="67">
        <f>B41*DADOS_INICIAIS!E38</f>
        <v>0</v>
      </c>
      <c r="E41" s="67" t="s">
        <v>22</v>
      </c>
      <c r="F41" s="88">
        <f>575</f>
        <v>575</v>
      </c>
      <c r="G41" s="89">
        <f>F41*D41*1.05*1.1</f>
        <v>0</v>
      </c>
      <c r="H41" s="67"/>
    </row>
    <row r="42" spans="1:8" ht="21.75" hidden="1" x14ac:dyDescent="0.25">
      <c r="A42" s="66" t="s">
        <v>31</v>
      </c>
      <c r="B42" s="197">
        <v>110</v>
      </c>
      <c r="C42" s="197" t="s">
        <v>34</v>
      </c>
      <c r="D42" s="67">
        <f>D41*B42</f>
        <v>0</v>
      </c>
      <c r="E42" s="67" t="s">
        <v>26</v>
      </c>
      <c r="F42" s="88">
        <v>7.25</v>
      </c>
      <c r="G42" s="89">
        <f>F42*D42*1.1</f>
        <v>0</v>
      </c>
      <c r="H42" s="67"/>
    </row>
    <row r="43" spans="1:8" ht="43.5" hidden="1" x14ac:dyDescent="0.25">
      <c r="A43" s="66" t="s">
        <v>101</v>
      </c>
      <c r="B43" s="197">
        <v>240</v>
      </c>
      <c r="C43" s="197" t="s">
        <v>6</v>
      </c>
      <c r="D43" s="67">
        <f>DADOS_INICIAIS!E38</f>
        <v>0</v>
      </c>
      <c r="E43" s="67" t="s">
        <v>2</v>
      </c>
      <c r="F43" s="88">
        <f>B43</f>
        <v>240</v>
      </c>
      <c r="G43" s="89">
        <f>F43*D43*1.1</f>
        <v>0</v>
      </c>
      <c r="H43" s="67"/>
    </row>
    <row r="44" spans="1:8" ht="43.5" hidden="1" x14ac:dyDescent="0.25">
      <c r="A44" s="66" t="s">
        <v>306</v>
      </c>
      <c r="B44" s="197">
        <v>5300</v>
      </c>
      <c r="C44" s="197" t="s">
        <v>307</v>
      </c>
      <c r="D44" s="67">
        <v>1</v>
      </c>
      <c r="E44" s="67" t="s">
        <v>27</v>
      </c>
      <c r="F44" s="88">
        <f>B44*DADOS_INICIAIS!E43</f>
        <v>0</v>
      </c>
      <c r="G44" s="89">
        <f>F44*D44*1.1</f>
        <v>0</v>
      </c>
      <c r="H44" s="67" t="s">
        <v>308</v>
      </c>
    </row>
    <row r="45" spans="1:8" ht="21.75" hidden="1" x14ac:dyDescent="0.25">
      <c r="A45" s="260" t="s">
        <v>17</v>
      </c>
      <c r="B45" s="260"/>
      <c r="C45" s="260"/>
      <c r="D45" s="260"/>
      <c r="E45" s="260"/>
      <c r="F45" s="260"/>
      <c r="G45" s="90">
        <f>SUM(G36:G44)</f>
        <v>0</v>
      </c>
      <c r="H45" s="90"/>
    </row>
    <row r="46" spans="1:8" hidden="1" x14ac:dyDescent="0.25"/>
    <row r="47" spans="1:8" ht="21.75" hidden="1" x14ac:dyDescent="0.25">
      <c r="A47" s="52" t="s">
        <v>340</v>
      </c>
      <c r="B47" s="52"/>
      <c r="C47" s="52"/>
      <c r="D47" s="53"/>
      <c r="E47" s="53"/>
      <c r="F47" s="54"/>
      <c r="G47" s="53"/>
      <c r="H47" s="53"/>
    </row>
    <row r="48" spans="1:8" ht="21.75" hidden="1" x14ac:dyDescent="0.25">
      <c r="A48" s="56"/>
      <c r="B48" s="56"/>
      <c r="C48" s="56"/>
      <c r="D48" s="57"/>
      <c r="E48" s="57"/>
      <c r="F48" s="58"/>
      <c r="G48" s="59"/>
      <c r="H48" s="59"/>
    </row>
    <row r="49" spans="1:8" ht="21.75" hidden="1" x14ac:dyDescent="0.25">
      <c r="A49" s="63" t="s">
        <v>14</v>
      </c>
      <c r="B49" s="265" t="s">
        <v>5</v>
      </c>
      <c r="C49" s="266"/>
      <c r="D49" s="265" t="s">
        <v>18</v>
      </c>
      <c r="E49" s="266"/>
      <c r="F49" s="65" t="s">
        <v>118</v>
      </c>
      <c r="G49" s="71" t="s">
        <v>16</v>
      </c>
      <c r="H49" s="90" t="s">
        <v>302</v>
      </c>
    </row>
    <row r="50" spans="1:8" ht="21.75" hidden="1" x14ac:dyDescent="0.25">
      <c r="A50" s="66" t="s">
        <v>29</v>
      </c>
      <c r="B50" s="62">
        <v>3</v>
      </c>
      <c r="C50" s="62" t="s">
        <v>309</v>
      </c>
      <c r="D50" s="67">
        <f>(D51/DADOS_INICIAIS!$E$15)*B50</f>
        <v>2826.8265789473685</v>
      </c>
      <c r="E50" s="67" t="s">
        <v>2</v>
      </c>
      <c r="F50" s="88">
        <v>110</v>
      </c>
      <c r="G50" s="89">
        <f t="shared" ref="G50:G55" si="0">F50*D50*1.1</f>
        <v>342046.0160526316</v>
      </c>
      <c r="H50" s="67"/>
    </row>
    <row r="51" spans="1:8" ht="21.75" hidden="1" x14ac:dyDescent="0.25">
      <c r="A51" s="78" t="s">
        <v>30</v>
      </c>
      <c r="B51" s="62">
        <v>2.1</v>
      </c>
      <c r="C51" s="62" t="s">
        <v>37</v>
      </c>
      <c r="D51" s="67">
        <f>B51*DADOS_INICIAIS!$E$9</f>
        <v>17903.235000000001</v>
      </c>
      <c r="E51" s="67" t="s">
        <v>2</v>
      </c>
      <c r="F51" s="88">
        <v>2.5</v>
      </c>
      <c r="G51" s="89">
        <f t="shared" si="0"/>
        <v>49233.896250000005</v>
      </c>
      <c r="H51" s="67"/>
    </row>
    <row r="52" spans="1:8" ht="21.75" hidden="1" x14ac:dyDescent="0.25">
      <c r="A52" s="78" t="s">
        <v>320</v>
      </c>
      <c r="B52" s="62">
        <v>3</v>
      </c>
      <c r="C52" s="62" t="s">
        <v>165</v>
      </c>
      <c r="D52" s="67">
        <f>ROUNDUP(B52*DADOS_INICIAIS!$E$25*B50,0)</f>
        <v>6233</v>
      </c>
      <c r="E52" s="67" t="s">
        <v>3</v>
      </c>
      <c r="F52" s="88">
        <v>17</v>
      </c>
      <c r="G52" s="89">
        <f t="shared" si="0"/>
        <v>116557.1</v>
      </c>
      <c r="H52" s="67"/>
    </row>
    <row r="53" spans="1:8" ht="21.75" hidden="1" x14ac:dyDescent="0.25">
      <c r="A53" s="78" t="s">
        <v>343</v>
      </c>
      <c r="B53" s="204">
        <v>12.3</v>
      </c>
      <c r="C53" s="204" t="s">
        <v>341</v>
      </c>
      <c r="D53" s="67">
        <f>(DADOS_INICIAIS!$E$16+DADOS_INICIAIS!$E$17)*DADOS_INICIAIS!$E$19+DADOS_INICIAIS!$E$22</f>
        <v>7982.34</v>
      </c>
      <c r="E53" s="67" t="s">
        <v>2</v>
      </c>
      <c r="F53" s="88">
        <f>B53</f>
        <v>12.3</v>
      </c>
      <c r="G53" s="89">
        <f t="shared" si="0"/>
        <v>108001.06020000002</v>
      </c>
      <c r="H53" s="67"/>
    </row>
    <row r="54" spans="1:8" ht="21.75" hidden="1" x14ac:dyDescent="0.25">
      <c r="A54" s="78" t="s">
        <v>344</v>
      </c>
      <c r="B54" s="204">
        <v>2.83</v>
      </c>
      <c r="C54" s="204" t="s">
        <v>342</v>
      </c>
      <c r="D54" s="67">
        <f>B54*D53</f>
        <v>22590.022199999999</v>
      </c>
      <c r="E54" s="67" t="s">
        <v>26</v>
      </c>
      <c r="F54" s="88">
        <v>12.3</v>
      </c>
      <c r="G54" s="89">
        <f t="shared" si="0"/>
        <v>305643.00036600005</v>
      </c>
      <c r="H54" s="67"/>
    </row>
    <row r="55" spans="1:8" ht="21.75" hidden="1" x14ac:dyDescent="0.25">
      <c r="A55" s="66" t="s">
        <v>345</v>
      </c>
      <c r="B55" s="204">
        <v>9000</v>
      </c>
      <c r="C55" s="204" t="s">
        <v>346</v>
      </c>
      <c r="D55" s="67">
        <f>DADOS_INICIAIS!E15</f>
        <v>19</v>
      </c>
      <c r="E55" s="67" t="s">
        <v>347</v>
      </c>
      <c r="F55" s="88">
        <f>B55</f>
        <v>9000</v>
      </c>
      <c r="G55" s="89">
        <f t="shared" si="0"/>
        <v>188100.00000000003</v>
      </c>
      <c r="H55" s="67"/>
    </row>
    <row r="56" spans="1:8" ht="21.75" hidden="1" x14ac:dyDescent="0.25">
      <c r="A56" s="66" t="s">
        <v>99</v>
      </c>
      <c r="B56" s="204">
        <v>0.25</v>
      </c>
      <c r="C56" s="204" t="s">
        <v>38</v>
      </c>
      <c r="D56" s="67">
        <f>B56*DADOS_INICIAIS!$E$9</f>
        <v>2131.3375000000001</v>
      </c>
      <c r="E56" s="67" t="s">
        <v>22</v>
      </c>
      <c r="F56" s="88">
        <f>535+45</f>
        <v>580</v>
      </c>
      <c r="G56" s="89">
        <f>F56*D56*1.05*1.1</f>
        <v>1427782.9912500002</v>
      </c>
      <c r="H56" s="67"/>
    </row>
    <row r="57" spans="1:8" ht="21.75" hidden="1" x14ac:dyDescent="0.25">
      <c r="A57" s="66" t="s">
        <v>31</v>
      </c>
      <c r="B57" s="204">
        <v>90</v>
      </c>
      <c r="C57" s="204" t="s">
        <v>34</v>
      </c>
      <c r="D57" s="67">
        <f>D56*B57</f>
        <v>191820.375</v>
      </c>
      <c r="E57" s="67" t="s">
        <v>26</v>
      </c>
      <c r="F57" s="88">
        <v>7.62</v>
      </c>
      <c r="G57" s="89">
        <f>F57*D57*1.1</f>
        <v>1607838.3832500002</v>
      </c>
      <c r="H57" s="67"/>
    </row>
    <row r="58" spans="1:8" ht="43.5" hidden="1" x14ac:dyDescent="0.25">
      <c r="A58" s="66" t="s">
        <v>101</v>
      </c>
      <c r="B58" s="62">
        <v>240</v>
      </c>
      <c r="C58" s="62" t="s">
        <v>6</v>
      </c>
      <c r="D58" s="67">
        <f>DADOS_INICIAIS!$E$9</f>
        <v>8525.35</v>
      </c>
      <c r="E58" s="67" t="s">
        <v>2</v>
      </c>
      <c r="F58" s="88">
        <f>B58</f>
        <v>240</v>
      </c>
      <c r="G58" s="89">
        <f>F58*D58*1.1</f>
        <v>2250692.4000000004</v>
      </c>
      <c r="H58" s="67"/>
    </row>
    <row r="59" spans="1:8" ht="43.5" hidden="1" x14ac:dyDescent="0.25">
      <c r="A59" s="66" t="s">
        <v>306</v>
      </c>
      <c r="B59" s="62">
        <v>5300</v>
      </c>
      <c r="C59" s="62" t="s">
        <v>307</v>
      </c>
      <c r="D59" s="67">
        <v>1</v>
      </c>
      <c r="E59" s="67" t="s">
        <v>27</v>
      </c>
      <c r="F59" s="88">
        <f>B59*DADOS_INICIAIS!$E$15</f>
        <v>100700</v>
      </c>
      <c r="G59" s="89">
        <f>F59*D59*1.1</f>
        <v>110770.00000000001</v>
      </c>
      <c r="H59" s="67" t="s">
        <v>308</v>
      </c>
    </row>
    <row r="60" spans="1:8" ht="21.75" hidden="1" x14ac:dyDescent="0.25">
      <c r="A60" s="260" t="s">
        <v>17</v>
      </c>
      <c r="B60" s="260"/>
      <c r="C60" s="260"/>
      <c r="D60" s="260"/>
      <c r="E60" s="260"/>
      <c r="F60" s="260"/>
      <c r="G60" s="90">
        <f>SUM(G50:G59)</f>
        <v>6506664.8473686324</v>
      </c>
      <c r="H60" s="90"/>
    </row>
    <row r="63" spans="1:8" ht="21.75" x14ac:dyDescent="0.25">
      <c r="A63" s="267" t="s">
        <v>105</v>
      </c>
      <c r="B63" s="268"/>
      <c r="C63" s="268"/>
      <c r="D63" s="268"/>
      <c r="E63" s="268"/>
      <c r="F63" s="269"/>
      <c r="G63" s="91">
        <f>G31</f>
        <v>6535808.6624078956</v>
      </c>
      <c r="H63" s="91">
        <f>G63/DADOS_INICIAIS!E9</f>
        <v>766.63229807666494</v>
      </c>
    </row>
    <row r="65" spans="7:8" x14ac:dyDescent="0.25">
      <c r="G65" s="198"/>
      <c r="H65" s="198">
        <f>H63/1.1</f>
        <v>696.93845279696802</v>
      </c>
    </row>
  </sheetData>
  <mergeCells count="14">
    <mergeCell ref="A17:F17"/>
    <mergeCell ref="A63:F63"/>
    <mergeCell ref="A3:H3"/>
    <mergeCell ref="B9:C9"/>
    <mergeCell ref="D9:E9"/>
    <mergeCell ref="B21:C21"/>
    <mergeCell ref="D21:E21"/>
    <mergeCell ref="A31:F31"/>
    <mergeCell ref="B35:C35"/>
    <mergeCell ref="D35:E35"/>
    <mergeCell ref="A45:F45"/>
    <mergeCell ref="B49:C49"/>
    <mergeCell ref="D49:E49"/>
    <mergeCell ref="A60:F60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EB6A5-65C9-4D4C-AA84-F8C8A6AE044E}">
  <dimension ref="A1:L38"/>
  <sheetViews>
    <sheetView showGridLines="0" topLeftCell="A4" zoomScale="80" zoomScaleNormal="80" zoomScaleSheetLayoutView="95" workbookViewId="0">
      <selection activeCell="G10" sqref="G10:G17"/>
    </sheetView>
  </sheetViews>
  <sheetFormatPr defaultColWidth="9.140625" defaultRowHeight="15" x14ac:dyDescent="0.25"/>
  <cols>
    <col min="1" max="1" width="50.140625" style="55" customWidth="1"/>
    <col min="2" max="2" width="21.7109375" style="55" customWidth="1"/>
    <col min="3" max="3" width="26.5703125" style="55" customWidth="1"/>
    <col min="4" max="4" width="16.5703125" style="81" customWidth="1"/>
    <col min="5" max="5" width="19.5703125" style="82" customWidth="1"/>
    <col min="6" max="6" width="20.85546875" style="55" customWidth="1"/>
    <col min="7" max="7" width="23.5703125" style="55" customWidth="1"/>
    <col min="8" max="8" width="58.28515625" style="55" customWidth="1"/>
    <col min="9" max="9" width="11.28515625" style="55" customWidth="1"/>
    <col min="10" max="10" width="9.140625" style="55"/>
    <col min="11" max="11" width="11" style="55" bestFit="1" customWidth="1"/>
    <col min="12" max="12" width="11.28515625" style="55" bestFit="1" customWidth="1"/>
    <col min="13" max="13" width="9.140625" style="55"/>
    <col min="14" max="15" width="11" style="55" bestFit="1" customWidth="1"/>
    <col min="16" max="16384" width="9.140625" style="55"/>
  </cols>
  <sheetData>
    <row r="1" spans="1:10" x14ac:dyDescent="0.25">
      <c r="D1" s="79"/>
      <c r="E1" s="55"/>
      <c r="H1" s="80"/>
      <c r="I1" s="80"/>
      <c r="J1" s="79"/>
    </row>
    <row r="3" spans="1:10" ht="28.5" x14ac:dyDescent="0.25">
      <c r="A3" s="261" t="s">
        <v>314</v>
      </c>
      <c r="B3" s="272"/>
      <c r="C3" s="272"/>
      <c r="D3" s="262"/>
      <c r="E3" s="262"/>
      <c r="F3" s="262"/>
      <c r="G3" s="262"/>
      <c r="H3" s="263"/>
      <c r="J3" s="79"/>
    </row>
    <row r="4" spans="1:10" ht="19.5" x14ac:dyDescent="0.25">
      <c r="A4" s="189" t="s">
        <v>186</v>
      </c>
      <c r="B4" s="195">
        <v>45469</v>
      </c>
      <c r="C4" s="193"/>
      <c r="D4" s="193"/>
      <c r="E4" s="193"/>
      <c r="F4" s="193"/>
      <c r="G4" s="193"/>
      <c r="H4" s="194"/>
      <c r="J4" s="79"/>
    </row>
    <row r="5" spans="1:10" ht="19.5" x14ac:dyDescent="0.25">
      <c r="A5" s="189" t="s">
        <v>299</v>
      </c>
      <c r="B5" s="196" t="s">
        <v>216</v>
      </c>
      <c r="C5" s="191"/>
      <c r="D5" s="191"/>
      <c r="E5" s="191"/>
      <c r="F5" s="191"/>
      <c r="G5" s="191"/>
      <c r="H5" s="192"/>
      <c r="J5" s="79"/>
    </row>
    <row r="6" spans="1:10" ht="21.75" x14ac:dyDescent="0.25">
      <c r="A6" s="83"/>
      <c r="B6" s="83"/>
      <c r="C6" s="83"/>
      <c r="D6" s="83"/>
      <c r="E6" s="83"/>
      <c r="F6" s="84"/>
      <c r="G6" s="85"/>
      <c r="H6" s="85"/>
      <c r="J6" s="79"/>
    </row>
    <row r="7" spans="1:10" ht="21.75" x14ac:dyDescent="0.25">
      <c r="A7" s="205" t="s">
        <v>184</v>
      </c>
      <c r="B7" s="52"/>
      <c r="C7" s="52"/>
      <c r="D7" s="53"/>
      <c r="E7" s="53"/>
      <c r="F7" s="54"/>
      <c r="G7" s="53"/>
      <c r="H7" s="53"/>
    </row>
    <row r="8" spans="1:10" ht="21.75" x14ac:dyDescent="0.25">
      <c r="A8" s="56"/>
      <c r="B8" s="56"/>
      <c r="C8" s="56"/>
      <c r="D8" s="57"/>
      <c r="E8" s="57"/>
      <c r="F8" s="58"/>
      <c r="G8" s="59"/>
      <c r="H8" s="59"/>
    </row>
    <row r="9" spans="1:10" ht="42" customHeight="1" x14ac:dyDescent="0.25">
      <c r="A9" s="63" t="s">
        <v>14</v>
      </c>
      <c r="B9" s="265" t="s">
        <v>5</v>
      </c>
      <c r="C9" s="266"/>
      <c r="D9" s="265" t="s">
        <v>18</v>
      </c>
      <c r="E9" s="266"/>
      <c r="F9" s="65" t="s">
        <v>118</v>
      </c>
      <c r="G9" s="71" t="s">
        <v>16</v>
      </c>
      <c r="H9" s="90" t="s">
        <v>302</v>
      </c>
    </row>
    <row r="10" spans="1:10" ht="21.75" x14ac:dyDescent="0.25">
      <c r="A10" s="66" t="s">
        <v>182</v>
      </c>
      <c r="B10" s="62">
        <v>1</v>
      </c>
      <c r="C10" s="62" t="s">
        <v>181</v>
      </c>
      <c r="D10" s="67">
        <f>B10*DADOS_INICIAIS!$E$22</f>
        <v>2713.2999999999997</v>
      </c>
      <c r="E10" s="67" t="s">
        <v>2</v>
      </c>
      <c r="F10" s="88">
        <v>45</v>
      </c>
      <c r="G10" s="89">
        <f>F10*D10*1.1</f>
        <v>134308.35</v>
      </c>
      <c r="H10" s="67"/>
    </row>
    <row r="11" spans="1:10" ht="21.75" x14ac:dyDescent="0.25">
      <c r="A11" s="78" t="s">
        <v>180</v>
      </c>
      <c r="B11" s="62">
        <v>0.4</v>
      </c>
      <c r="C11" s="62" t="s">
        <v>179</v>
      </c>
      <c r="D11" s="67">
        <f>B11*DADOS_INICIAIS!$E$21</f>
        <v>275.42</v>
      </c>
      <c r="E11" s="67" t="s">
        <v>2</v>
      </c>
      <c r="F11" s="88">
        <v>45</v>
      </c>
      <c r="G11" s="89">
        <f>F11*D11*1.1</f>
        <v>13633.290000000003</v>
      </c>
      <c r="H11" s="67"/>
    </row>
    <row r="12" spans="1:10" ht="21.75" x14ac:dyDescent="0.25">
      <c r="A12" s="78" t="s">
        <v>178</v>
      </c>
      <c r="B12" s="62">
        <v>1.5</v>
      </c>
      <c r="C12" s="62" t="s">
        <v>177</v>
      </c>
      <c r="D12" s="67">
        <f>B12*(DADOS_INICIAIS!$E$19*(DADOS_INICIAIS!$E$16+DADOS_INICIAIS!$E$17))</f>
        <v>7903.5599999999995</v>
      </c>
      <c r="E12" s="67" t="s">
        <v>2</v>
      </c>
      <c r="F12" s="88">
        <v>45</v>
      </c>
      <c r="G12" s="89">
        <f>F12*D12*1.1</f>
        <v>391226.22</v>
      </c>
      <c r="H12" s="67"/>
    </row>
    <row r="13" spans="1:10" ht="21.75" x14ac:dyDescent="0.25">
      <c r="A13" s="66" t="s">
        <v>176</v>
      </c>
      <c r="B13" s="62">
        <v>0.2</v>
      </c>
      <c r="C13" s="62" t="s">
        <v>37</v>
      </c>
      <c r="D13" s="67">
        <f>B13*DADOS_INICIAIS!$E$9</f>
        <v>1705.0700000000002</v>
      </c>
      <c r="E13" s="67" t="s">
        <v>2</v>
      </c>
      <c r="F13" s="88">
        <v>70</v>
      </c>
      <c r="G13" s="89">
        <f>F13*D13*1.05*1.1</f>
        <v>137854.90950000004</v>
      </c>
      <c r="H13" s="67"/>
    </row>
    <row r="14" spans="1:10" ht="21.75" x14ac:dyDescent="0.25">
      <c r="A14" s="66" t="s">
        <v>175</v>
      </c>
      <c r="B14" s="62">
        <v>0.4</v>
      </c>
      <c r="C14" s="62" t="s">
        <v>174</v>
      </c>
      <c r="D14" s="67">
        <f>B14*DADOS_INICIAIS!$E$19</f>
        <v>150.54400000000001</v>
      </c>
      <c r="E14" s="67" t="s">
        <v>2</v>
      </c>
      <c r="F14" s="88">
        <v>45</v>
      </c>
      <c r="G14" s="89">
        <f>F14*D14*1.1</f>
        <v>7451.9280000000008</v>
      </c>
      <c r="H14" s="67"/>
    </row>
    <row r="15" spans="1:10" ht="21.75" x14ac:dyDescent="0.25">
      <c r="A15" s="66" t="s">
        <v>173</v>
      </c>
      <c r="B15" s="62">
        <v>1.75</v>
      </c>
      <c r="C15" s="62" t="s">
        <v>317</v>
      </c>
      <c r="D15" s="67">
        <f>B15*DADOS_INICIAIS!$E$14</f>
        <v>127.75</v>
      </c>
      <c r="E15" s="67" t="s">
        <v>337</v>
      </c>
      <c r="F15" s="88">
        <v>210</v>
      </c>
      <c r="G15" s="89">
        <f>F15*D15*1.1</f>
        <v>29510.250000000004</v>
      </c>
      <c r="H15" s="67"/>
    </row>
    <row r="16" spans="1:10" ht="21.75" x14ac:dyDescent="0.25">
      <c r="A16" s="66" t="s">
        <v>172</v>
      </c>
      <c r="B16" s="62">
        <v>12.5</v>
      </c>
      <c r="C16" s="62" t="s">
        <v>171</v>
      </c>
      <c r="D16" s="67">
        <f>D10+D11+D12+D13+D14</f>
        <v>12747.893999999998</v>
      </c>
      <c r="E16" s="67" t="s">
        <v>2</v>
      </c>
      <c r="F16" s="88">
        <f>B16</f>
        <v>12.5</v>
      </c>
      <c r="G16" s="89">
        <f>F16*D16*1.1</f>
        <v>175283.54250000001</v>
      </c>
      <c r="H16" s="67"/>
    </row>
    <row r="17" spans="1:12" ht="21.75" x14ac:dyDescent="0.25">
      <c r="A17" s="66" t="s">
        <v>25</v>
      </c>
      <c r="B17" s="62">
        <v>35</v>
      </c>
      <c r="C17" s="62" t="s">
        <v>171</v>
      </c>
      <c r="D17" s="67">
        <f>D10+D11+D12+D13+D14</f>
        <v>12747.893999999998</v>
      </c>
      <c r="E17" s="67" t="s">
        <v>2</v>
      </c>
      <c r="F17" s="88">
        <v>35</v>
      </c>
      <c r="G17" s="89">
        <f>F17*D17*1.1</f>
        <v>490793.91899999994</v>
      </c>
      <c r="H17" s="67"/>
    </row>
    <row r="18" spans="1:12" ht="21.75" x14ac:dyDescent="0.25">
      <c r="A18" s="260" t="s">
        <v>17</v>
      </c>
      <c r="B18" s="260"/>
      <c r="C18" s="260"/>
      <c r="D18" s="260"/>
      <c r="E18" s="260"/>
      <c r="F18" s="260"/>
      <c r="G18" s="90">
        <f>SUM(G10:G17)</f>
        <v>1380062.409</v>
      </c>
      <c r="H18" s="90"/>
      <c r="K18" s="55">
        <f>4160+1440+1120+2880+4800+91680+4000</f>
        <v>110080</v>
      </c>
      <c r="L18" s="55">
        <f>K18/21</f>
        <v>5241.9047619047615</v>
      </c>
    </row>
    <row r="20" spans="1:12" ht="21.75" hidden="1" x14ac:dyDescent="0.25">
      <c r="A20" s="52" t="s">
        <v>350</v>
      </c>
      <c r="B20" s="52"/>
      <c r="C20" s="52"/>
      <c r="D20" s="53"/>
      <c r="E20" s="53"/>
      <c r="F20" s="54"/>
      <c r="G20" s="53">
        <f>G17/D17</f>
        <v>38.5</v>
      </c>
      <c r="H20" s="53"/>
    </row>
    <row r="21" spans="1:12" ht="21.75" hidden="1" x14ac:dyDescent="0.25">
      <c r="A21" s="56"/>
      <c r="B21" s="56"/>
      <c r="C21" s="56"/>
      <c r="D21" s="57"/>
      <c r="E21" s="57"/>
      <c r="F21" s="58"/>
      <c r="G21" s="59"/>
      <c r="H21" s="59"/>
    </row>
    <row r="22" spans="1:12" ht="21.75" hidden="1" x14ac:dyDescent="0.25">
      <c r="A22" s="63" t="s">
        <v>14</v>
      </c>
      <c r="B22" s="265" t="s">
        <v>5</v>
      </c>
      <c r="C22" s="266"/>
      <c r="D22" s="265" t="s">
        <v>18</v>
      </c>
      <c r="E22" s="266"/>
      <c r="F22" s="65" t="s">
        <v>118</v>
      </c>
      <c r="G22" s="71" t="s">
        <v>16</v>
      </c>
      <c r="H22" s="90" t="s">
        <v>302</v>
      </c>
    </row>
    <row r="23" spans="1:12" ht="21.75" hidden="1" x14ac:dyDescent="0.25">
      <c r="A23" s="66" t="s">
        <v>182</v>
      </c>
      <c r="B23" s="62">
        <v>1</v>
      </c>
      <c r="C23" s="62" t="s">
        <v>181</v>
      </c>
      <c r="D23" s="67">
        <f>B23*DADOS_INICIAIS!$E$22</f>
        <v>2713.2999999999997</v>
      </c>
      <c r="E23" s="67" t="s">
        <v>2</v>
      </c>
      <c r="F23" s="88">
        <v>45</v>
      </c>
      <c r="G23" s="89">
        <f>F23*D23*1.1</f>
        <v>134308.35</v>
      </c>
      <c r="H23" s="67"/>
    </row>
    <row r="24" spans="1:12" ht="21.75" hidden="1" x14ac:dyDescent="0.25">
      <c r="A24" s="78" t="s">
        <v>180</v>
      </c>
      <c r="B24" s="62">
        <v>0.4</v>
      </c>
      <c r="C24" s="62" t="s">
        <v>179</v>
      </c>
      <c r="D24" s="67">
        <f>B24*DADOS_INICIAIS!$E$21</f>
        <v>275.42</v>
      </c>
      <c r="E24" s="67" t="s">
        <v>2</v>
      </c>
      <c r="F24" s="88">
        <v>45</v>
      </c>
      <c r="G24" s="89">
        <f>F24*D24*1.1</f>
        <v>13633.290000000003</v>
      </c>
      <c r="H24" s="67"/>
    </row>
    <row r="25" spans="1:12" ht="21.75" hidden="1" x14ac:dyDescent="0.25">
      <c r="A25" s="78" t="s">
        <v>178</v>
      </c>
      <c r="B25" s="62">
        <v>1.65</v>
      </c>
      <c r="C25" s="62" t="s">
        <v>177</v>
      </c>
      <c r="D25" s="67">
        <f>B25*(DADOS_INICIAIS!$E$19*(DADOS_INICIAIS!$E$16+DADOS_INICIAIS!$E$17))*0.4</f>
        <v>3477.5663999999997</v>
      </c>
      <c r="E25" s="67" t="s">
        <v>2</v>
      </c>
      <c r="F25" s="88">
        <v>45</v>
      </c>
      <c r="G25" s="89">
        <f>F25*D25*1.1</f>
        <v>172139.5368</v>
      </c>
      <c r="H25" s="67"/>
    </row>
    <row r="26" spans="1:12" ht="21.75" hidden="1" x14ac:dyDescent="0.25">
      <c r="A26" s="78" t="s">
        <v>315</v>
      </c>
      <c r="B26" s="62">
        <v>1.65</v>
      </c>
      <c r="C26" s="62" t="s">
        <v>177</v>
      </c>
      <c r="D26" s="67">
        <f>B26*(DADOS_INICIAIS!$E$19*(DADOS_INICIAIS!$E$16+DADOS_INICIAIS!$E$17))*0.6</f>
        <v>5216.3495999999996</v>
      </c>
      <c r="E26" s="67" t="s">
        <v>2</v>
      </c>
      <c r="F26" s="88">
        <v>220</v>
      </c>
      <c r="G26" s="89">
        <f t="shared" ref="G26:G30" si="0">F26*D26*1.1</f>
        <v>1262356.6032</v>
      </c>
      <c r="H26" s="67"/>
      <c r="J26" s="55">
        <f>D26/(D30+D26)</f>
        <v>0.38106714148813986</v>
      </c>
    </row>
    <row r="27" spans="1:12" ht="21.75" hidden="1" x14ac:dyDescent="0.25">
      <c r="A27" s="78" t="s">
        <v>176</v>
      </c>
      <c r="B27" s="62">
        <v>0.2</v>
      </c>
      <c r="C27" s="62" t="s">
        <v>37</v>
      </c>
      <c r="D27" s="67">
        <f>B27*DADOS_INICIAIS!$E$9</f>
        <v>1705.0700000000002</v>
      </c>
      <c r="E27" s="67" t="s">
        <v>2</v>
      </c>
      <c r="F27" s="88">
        <v>70</v>
      </c>
      <c r="G27" s="89">
        <f t="shared" si="0"/>
        <v>131290.39000000001</v>
      </c>
      <c r="H27" s="67"/>
      <c r="J27" s="55">
        <f>1-J26</f>
        <v>0.61893285851186008</v>
      </c>
    </row>
    <row r="28" spans="1:12" ht="21.75" hidden="1" x14ac:dyDescent="0.25">
      <c r="A28" s="66" t="s">
        <v>175</v>
      </c>
      <c r="B28" s="62">
        <v>0.8</v>
      </c>
      <c r="C28" s="62" t="s">
        <v>174</v>
      </c>
      <c r="D28" s="67">
        <f>B28*DADOS_INICIAIS!$E$19</f>
        <v>301.08800000000002</v>
      </c>
      <c r="E28" s="67" t="s">
        <v>22</v>
      </c>
      <c r="F28" s="88">
        <v>45</v>
      </c>
      <c r="G28" s="89">
        <f t="shared" si="0"/>
        <v>14903.856000000002</v>
      </c>
      <c r="H28" s="67"/>
    </row>
    <row r="29" spans="1:12" ht="21.75" hidden="1" x14ac:dyDescent="0.25">
      <c r="A29" s="66" t="s">
        <v>173</v>
      </c>
      <c r="B29" s="62">
        <v>1.75</v>
      </c>
      <c r="C29" s="62" t="s">
        <v>317</v>
      </c>
      <c r="D29" s="67">
        <f>'SISTEMAS ESPECIAIS'!B10</f>
        <v>73</v>
      </c>
      <c r="E29" s="67" t="s">
        <v>337</v>
      </c>
      <c r="F29" s="88">
        <v>210</v>
      </c>
      <c r="G29" s="89">
        <f t="shared" si="0"/>
        <v>16863</v>
      </c>
      <c r="H29" s="67"/>
    </row>
    <row r="30" spans="1:12" ht="21.75" hidden="1" x14ac:dyDescent="0.25">
      <c r="A30" s="66" t="s">
        <v>172</v>
      </c>
      <c r="B30" s="62">
        <v>12.5</v>
      </c>
      <c r="C30" s="62" t="s">
        <v>171</v>
      </c>
      <c r="D30" s="67">
        <f>D24+D25+D23+D27+D28</f>
        <v>8472.4443999999985</v>
      </c>
      <c r="E30" s="67" t="s">
        <v>2</v>
      </c>
      <c r="F30" s="88">
        <f>B30</f>
        <v>12.5</v>
      </c>
      <c r="G30" s="89">
        <f t="shared" si="0"/>
        <v>116496.11049999998</v>
      </c>
      <c r="H30" s="67"/>
    </row>
    <row r="31" spans="1:12" ht="21.75" hidden="1" x14ac:dyDescent="0.25">
      <c r="A31" s="66" t="s">
        <v>25</v>
      </c>
      <c r="B31" s="62">
        <v>35</v>
      </c>
      <c r="C31" s="62" t="s">
        <v>171</v>
      </c>
      <c r="D31" s="67">
        <f>D24+D25+D23+D27+D28</f>
        <v>8472.4443999999985</v>
      </c>
      <c r="E31" s="67" t="s">
        <v>2</v>
      </c>
      <c r="F31" s="88">
        <v>35</v>
      </c>
      <c r="G31" s="89">
        <f>F31*D31*1.1</f>
        <v>326189.10939999996</v>
      </c>
      <c r="H31" s="67"/>
    </row>
    <row r="32" spans="1:12" ht="21.75" hidden="1" x14ac:dyDescent="0.25">
      <c r="A32" s="260" t="s">
        <v>17</v>
      </c>
      <c r="B32" s="260"/>
      <c r="C32" s="260"/>
      <c r="D32" s="260"/>
      <c r="E32" s="260"/>
      <c r="F32" s="260"/>
      <c r="G32" s="90">
        <f>SUM(G23:G31)</f>
        <v>2188180.2458999995</v>
      </c>
      <c r="H32" s="90"/>
    </row>
    <row r="35" spans="1:8" ht="21.75" x14ac:dyDescent="0.25">
      <c r="A35" s="267" t="s">
        <v>169</v>
      </c>
      <c r="B35" s="268"/>
      <c r="C35" s="268"/>
      <c r="D35" s="268"/>
      <c r="E35" s="268"/>
      <c r="F35" s="269"/>
      <c r="G35" s="91">
        <f>G18</f>
        <v>1380062.409</v>
      </c>
      <c r="H35" s="91">
        <f>G35/DADOS_INICIAIS!E9</f>
        <v>161.87750755100961</v>
      </c>
    </row>
    <row r="38" spans="1:8" x14ac:dyDescent="0.25">
      <c r="G38" s="198">
        <f>G35/1.1</f>
        <v>1254602.19</v>
      </c>
      <c r="H38" s="55">
        <f>G38/DADOS_INICIAIS!E9</f>
        <v>147.16137050091783</v>
      </c>
    </row>
  </sheetData>
  <mergeCells count="8">
    <mergeCell ref="A32:F32"/>
    <mergeCell ref="A35:F35"/>
    <mergeCell ref="A3:H3"/>
    <mergeCell ref="B9:C9"/>
    <mergeCell ref="D9:E9"/>
    <mergeCell ref="A18:F18"/>
    <mergeCell ref="B22:C22"/>
    <mergeCell ref="D22:E22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D1518-D0F4-4632-BC49-7307CA0DA86C}">
  <dimension ref="A1:I37"/>
  <sheetViews>
    <sheetView showGridLines="0" topLeftCell="A10" zoomScale="85" zoomScaleNormal="85" zoomScaleSheetLayoutView="95" workbookViewId="0">
      <selection activeCell="D30" sqref="D30:D32"/>
    </sheetView>
  </sheetViews>
  <sheetFormatPr defaultColWidth="9.140625" defaultRowHeight="19.5" x14ac:dyDescent="0.25"/>
  <cols>
    <col min="1" max="1" width="53" style="45" bestFit="1" customWidth="1"/>
    <col min="2" max="4" width="27" style="45" customWidth="1"/>
    <col min="5" max="5" width="14" style="45" customWidth="1"/>
    <col min="6" max="16384" width="9.140625" style="1"/>
  </cols>
  <sheetData>
    <row r="1" spans="1:7" x14ac:dyDescent="0.25">
      <c r="A1" s="48"/>
      <c r="B1" s="48"/>
      <c r="C1" s="48"/>
      <c r="D1" s="48"/>
      <c r="E1" s="48"/>
      <c r="G1" s="2"/>
    </row>
    <row r="2" spans="1:7" ht="28.5" x14ac:dyDescent="0.25">
      <c r="A2" s="261" t="s">
        <v>260</v>
      </c>
      <c r="B2" s="262"/>
      <c r="C2" s="262"/>
      <c r="D2" s="262"/>
      <c r="E2" s="263"/>
      <c r="G2" s="2"/>
    </row>
    <row r="3" spans="1:7" x14ac:dyDescent="0.25">
      <c r="A3" s="50"/>
      <c r="B3" s="50"/>
      <c r="C3" s="50"/>
      <c r="D3" s="48"/>
      <c r="E3" s="48"/>
      <c r="G3" s="2"/>
    </row>
    <row r="4" spans="1:7" s="55" customFormat="1" ht="21.75" x14ac:dyDescent="0.25">
      <c r="A4" s="52" t="s">
        <v>259</v>
      </c>
      <c r="B4" s="53"/>
      <c r="C4" s="53"/>
      <c r="D4" s="53"/>
      <c r="E4" s="53"/>
    </row>
    <row r="5" spans="1:7" s="55" customFormat="1" ht="21.75" x14ac:dyDescent="0.25">
      <c r="A5" s="56"/>
      <c r="B5" s="57"/>
      <c r="C5" s="57"/>
      <c r="D5" s="59"/>
      <c r="E5" s="59"/>
    </row>
    <row r="6" spans="1:7" s="55" customFormat="1" ht="42" customHeight="1" x14ac:dyDescent="0.25">
      <c r="A6" s="63" t="s">
        <v>14</v>
      </c>
      <c r="B6" s="265" t="s">
        <v>5</v>
      </c>
      <c r="C6" s="266"/>
      <c r="D6" s="71" t="s">
        <v>16</v>
      </c>
      <c r="E6" s="59"/>
    </row>
    <row r="7" spans="1:7" s="55" customFormat="1" ht="21.75" x14ac:dyDescent="0.25">
      <c r="A7" s="66" t="s">
        <v>258</v>
      </c>
      <c r="B7" s="62">
        <v>5.5</v>
      </c>
      <c r="C7" s="62" t="s">
        <v>6</v>
      </c>
      <c r="D7" s="89">
        <f>B7*DADOS_INICIAIS!$E$9*1.1</f>
        <v>51578.367500000008</v>
      </c>
      <c r="E7" s="57"/>
    </row>
    <row r="8" spans="1:7" s="55" customFormat="1" ht="21.75" x14ac:dyDescent="0.25">
      <c r="A8" s="66" t="s">
        <v>257</v>
      </c>
      <c r="B8" s="62">
        <v>10</v>
      </c>
      <c r="C8" s="62" t="s">
        <v>6</v>
      </c>
      <c r="D8" s="89">
        <f>B8*DADOS_INICIAIS!$E$9*1.1</f>
        <v>93778.85</v>
      </c>
      <c r="E8" s="57"/>
    </row>
    <row r="9" spans="1:7" s="55" customFormat="1" ht="21.75" x14ac:dyDescent="0.25">
      <c r="A9" s="66" t="s">
        <v>256</v>
      </c>
      <c r="B9" s="62">
        <v>30</v>
      </c>
      <c r="C9" s="62" t="s">
        <v>6</v>
      </c>
      <c r="D9" s="89">
        <f>B9*DADOS_INICIAIS!$E$9*1.1</f>
        <v>281336.55000000005</v>
      </c>
      <c r="E9" s="57"/>
    </row>
    <row r="10" spans="1:7" s="55" customFormat="1" ht="21.75" x14ac:dyDescent="0.25">
      <c r="A10" s="66" t="s">
        <v>255</v>
      </c>
      <c r="B10" s="62">
        <v>15</v>
      </c>
      <c r="C10" s="62" t="s">
        <v>6</v>
      </c>
      <c r="D10" s="89">
        <f>B10*DADOS_INICIAIS!$E$9*1.1</f>
        <v>140668.27500000002</v>
      </c>
      <c r="E10" s="57"/>
    </row>
    <row r="11" spans="1:7" s="55" customFormat="1" ht="21.75" x14ac:dyDescent="0.25">
      <c r="A11" s="66" t="s">
        <v>254</v>
      </c>
      <c r="B11" s="62">
        <v>15</v>
      </c>
      <c r="C11" s="62" t="s">
        <v>6</v>
      </c>
      <c r="D11" s="89">
        <f>B11*DADOS_INICIAIS!$E$9*1.1</f>
        <v>140668.27500000002</v>
      </c>
      <c r="E11" s="57"/>
    </row>
    <row r="12" spans="1:7" s="55" customFormat="1" ht="21.75" x14ac:dyDescent="0.25">
      <c r="A12" s="66" t="s">
        <v>253</v>
      </c>
      <c r="B12" s="62">
        <v>15</v>
      </c>
      <c r="C12" s="62" t="s">
        <v>6</v>
      </c>
      <c r="D12" s="89">
        <f>B12*DADOS_INICIAIS!$E$9*1.1</f>
        <v>140668.27500000002</v>
      </c>
      <c r="E12" s="57"/>
    </row>
    <row r="13" spans="1:7" s="55" customFormat="1" ht="21.75" x14ac:dyDescent="0.25">
      <c r="A13" s="66" t="s">
        <v>252</v>
      </c>
      <c r="B13" s="62">
        <v>60</v>
      </c>
      <c r="C13" s="62" t="s">
        <v>6</v>
      </c>
      <c r="D13" s="89">
        <f>B13*DADOS_INICIAIS!$E$9*1.1</f>
        <v>562673.10000000009</v>
      </c>
      <c r="E13" s="57">
        <f>D13/DADOS_INICIAIS!$E$9</f>
        <v>66.000000000000014</v>
      </c>
    </row>
    <row r="14" spans="1:7" s="55" customFormat="1" ht="21.75" x14ac:dyDescent="0.25">
      <c r="A14" s="260" t="s">
        <v>17</v>
      </c>
      <c r="B14" s="260"/>
      <c r="C14" s="260"/>
      <c r="D14" s="90">
        <f>SUM(D7:D13)</f>
        <v>1411371.6925000004</v>
      </c>
      <c r="E14" s="60"/>
    </row>
    <row r="15" spans="1:7" s="55" customFormat="1" ht="21.75" x14ac:dyDescent="0.25">
      <c r="A15" s="264"/>
      <c r="B15" s="264"/>
      <c r="C15" s="264"/>
      <c r="D15" s="100"/>
      <c r="E15" s="59"/>
    </row>
    <row r="16" spans="1:7" s="55" customFormat="1" ht="21.75" x14ac:dyDescent="0.25">
      <c r="A16" s="52" t="s">
        <v>251</v>
      </c>
      <c r="B16" s="53"/>
      <c r="C16" s="53"/>
      <c r="D16" s="98"/>
      <c r="E16" s="53"/>
    </row>
    <row r="17" spans="1:5" s="55" customFormat="1" ht="21.75" x14ac:dyDescent="0.25">
      <c r="A17" s="56"/>
      <c r="B17" s="57"/>
      <c r="C17" s="57"/>
      <c r="D17" s="100"/>
      <c r="E17" s="59"/>
    </row>
    <row r="18" spans="1:5" s="55" customFormat="1" ht="42" customHeight="1" x14ac:dyDescent="0.25">
      <c r="A18" s="63" t="s">
        <v>14</v>
      </c>
      <c r="B18" s="265" t="s">
        <v>5</v>
      </c>
      <c r="C18" s="266"/>
      <c r="D18" s="90" t="s">
        <v>16</v>
      </c>
      <c r="E18" s="59"/>
    </row>
    <row r="19" spans="1:5" s="55" customFormat="1" ht="21.75" x14ac:dyDescent="0.25">
      <c r="A19" s="66" t="s">
        <v>250</v>
      </c>
      <c r="B19" s="62">
        <v>23</v>
      </c>
      <c r="C19" s="62" t="s">
        <v>6</v>
      </c>
      <c r="D19" s="89">
        <f>B19*DADOS_INICIAIS!$E$9*1.1</f>
        <v>215691.35500000004</v>
      </c>
      <c r="E19" s="57"/>
    </row>
    <row r="20" spans="1:5" s="55" customFormat="1" ht="21.75" x14ac:dyDescent="0.25">
      <c r="A20" s="66" t="s">
        <v>249</v>
      </c>
      <c r="B20" s="62">
        <v>22</v>
      </c>
      <c r="C20" s="62" t="s">
        <v>6</v>
      </c>
      <c r="D20" s="89">
        <f>B20*DADOS_INICIAIS!$E$9*1.1</f>
        <v>206313.47000000003</v>
      </c>
      <c r="E20" s="57"/>
    </row>
    <row r="21" spans="1:5" s="55" customFormat="1" ht="21.75" x14ac:dyDescent="0.25">
      <c r="A21" s="66" t="s">
        <v>248</v>
      </c>
      <c r="B21" s="62">
        <v>10</v>
      </c>
      <c r="C21" s="62" t="s">
        <v>6</v>
      </c>
      <c r="D21" s="89">
        <f>B21*DADOS_INICIAIS!$E$9*1.1</f>
        <v>93778.85</v>
      </c>
      <c r="E21" s="57"/>
    </row>
    <row r="22" spans="1:5" s="55" customFormat="1" ht="21.75" x14ac:dyDescent="0.25">
      <c r="A22" s="66" t="s">
        <v>247</v>
      </c>
      <c r="B22" s="62">
        <v>15</v>
      </c>
      <c r="C22" s="62" t="s">
        <v>6</v>
      </c>
      <c r="D22" s="89">
        <f>B22*DADOS_INICIAIS!$E$9*1.1</f>
        <v>140668.27500000002</v>
      </c>
      <c r="E22" s="57"/>
    </row>
    <row r="23" spans="1:5" s="55" customFormat="1" ht="21.75" x14ac:dyDescent="0.25">
      <c r="A23" s="66" t="s">
        <v>246</v>
      </c>
      <c r="B23" s="62">
        <v>35</v>
      </c>
      <c r="C23" s="62" t="s">
        <v>6</v>
      </c>
      <c r="D23" s="89">
        <f>B23*DADOS_INICIAIS!$E$9*1.1</f>
        <v>328225.97500000003</v>
      </c>
      <c r="E23" s="57"/>
    </row>
    <row r="24" spans="1:5" s="55" customFormat="1" ht="21.75" x14ac:dyDescent="0.25">
      <c r="A24" s="66" t="s">
        <v>245</v>
      </c>
      <c r="B24" s="62">
        <v>55</v>
      </c>
      <c r="C24" s="62" t="s">
        <v>6</v>
      </c>
      <c r="D24" s="89">
        <f>B24*DADOS_INICIAIS!$E$9*1.1</f>
        <v>515783.67500000005</v>
      </c>
      <c r="E24" s="57">
        <f>D24/DADOS_INICIAIS!$E$9</f>
        <v>60.5</v>
      </c>
    </row>
    <row r="25" spans="1:5" s="55" customFormat="1" ht="21.75" x14ac:dyDescent="0.25">
      <c r="A25" s="260" t="s">
        <v>17</v>
      </c>
      <c r="B25" s="260"/>
      <c r="C25" s="260"/>
      <c r="D25" s="90">
        <f>SUM(D19:D24)</f>
        <v>1500461.6</v>
      </c>
      <c r="E25" s="60"/>
    </row>
    <row r="26" spans="1:5" s="55" customFormat="1" ht="21.75" x14ac:dyDescent="0.25">
      <c r="A26" s="264"/>
      <c r="B26" s="264"/>
      <c r="C26" s="264"/>
      <c r="D26" s="100"/>
      <c r="E26" s="59"/>
    </row>
    <row r="27" spans="1:5" s="55" customFormat="1" ht="21.75" x14ac:dyDescent="0.25">
      <c r="A27" s="52" t="s">
        <v>244</v>
      </c>
      <c r="B27" s="53"/>
      <c r="C27" s="53"/>
      <c r="D27" s="98"/>
      <c r="E27" s="53"/>
    </row>
    <row r="28" spans="1:5" s="55" customFormat="1" ht="21.75" x14ac:dyDescent="0.25">
      <c r="A28" s="56"/>
      <c r="B28" s="57"/>
      <c r="C28" s="57"/>
      <c r="D28" s="100"/>
      <c r="E28" s="59"/>
    </row>
    <row r="29" spans="1:5" s="55" customFormat="1" ht="42" customHeight="1" x14ac:dyDescent="0.25">
      <c r="A29" s="63" t="s">
        <v>14</v>
      </c>
      <c r="B29" s="265" t="s">
        <v>5</v>
      </c>
      <c r="C29" s="266"/>
      <c r="D29" s="90" t="s">
        <v>16</v>
      </c>
      <c r="E29" s="59"/>
    </row>
    <row r="30" spans="1:5" s="55" customFormat="1" ht="26.25" customHeight="1" x14ac:dyDescent="0.25">
      <c r="A30" s="70" t="s">
        <v>243</v>
      </c>
      <c r="B30" s="62">
        <v>20</v>
      </c>
      <c r="C30" s="62" t="s">
        <v>6</v>
      </c>
      <c r="D30" s="89">
        <f>B30*DADOS_INICIAIS!$E$9*1.1</f>
        <v>187557.7</v>
      </c>
      <c r="E30" s="57"/>
    </row>
    <row r="31" spans="1:5" s="55" customFormat="1" ht="26.25" customHeight="1" x14ac:dyDescent="0.25">
      <c r="A31" s="70" t="s">
        <v>242</v>
      </c>
      <c r="B31" s="62">
        <v>13</v>
      </c>
      <c r="C31" s="62" t="s">
        <v>6</v>
      </c>
      <c r="D31" s="89">
        <f>B31*DADOS_INICIAIS!$E$9*1.1</f>
        <v>121912.50500000002</v>
      </c>
      <c r="E31" s="57"/>
    </row>
    <row r="32" spans="1:5" s="55" customFormat="1" ht="21.75" x14ac:dyDescent="0.25">
      <c r="A32" s="70" t="s">
        <v>241</v>
      </c>
      <c r="B32" s="62">
        <v>8</v>
      </c>
      <c r="C32" s="62" t="s">
        <v>6</v>
      </c>
      <c r="D32" s="89">
        <f>B32*DADOS_INICIAIS!$E$9*1.1</f>
        <v>75023.080000000016</v>
      </c>
      <c r="E32" s="57"/>
    </row>
    <row r="33" spans="1:9" s="55" customFormat="1" ht="21.75" x14ac:dyDescent="0.25">
      <c r="A33" s="260" t="s">
        <v>17</v>
      </c>
      <c r="B33" s="260"/>
      <c r="C33" s="260"/>
      <c r="D33" s="90">
        <f>SUM(D30:D32)</f>
        <v>384493.28500000003</v>
      </c>
      <c r="E33" s="60"/>
    </row>
    <row r="34" spans="1:9" x14ac:dyDescent="0.25">
      <c r="D34" s="107"/>
      <c r="I34" s="47"/>
    </row>
    <row r="35" spans="1:9" ht="23.25" customHeight="1" x14ac:dyDescent="0.25">
      <c r="A35" s="257" t="s">
        <v>240</v>
      </c>
      <c r="B35" s="258"/>
      <c r="C35" s="258"/>
      <c r="D35" s="108">
        <f>D14+D25+D33</f>
        <v>3296326.5775000006</v>
      </c>
      <c r="E35" s="108">
        <f>D35/DADOS_INICIAIS!E9</f>
        <v>386.65000000000003</v>
      </c>
    </row>
    <row r="37" spans="1:9" x14ac:dyDescent="0.25">
      <c r="E37" s="199">
        <f>E35/1.1</f>
        <v>351.5</v>
      </c>
    </row>
  </sheetData>
  <mergeCells count="10">
    <mergeCell ref="A35:C35"/>
    <mergeCell ref="A33:C33"/>
    <mergeCell ref="A2:E2"/>
    <mergeCell ref="A14:C14"/>
    <mergeCell ref="A15:C15"/>
    <mergeCell ref="B6:C6"/>
    <mergeCell ref="B18:C18"/>
    <mergeCell ref="B29:C29"/>
    <mergeCell ref="A25:C25"/>
    <mergeCell ref="A26:C26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95187-AAF1-4E2E-B3CF-221688C97F2B}">
  <dimension ref="A1:I38"/>
  <sheetViews>
    <sheetView showGridLines="0" topLeftCell="A16" zoomScale="85" zoomScaleNormal="85" zoomScaleSheetLayoutView="95" workbookViewId="0">
      <selection activeCell="D25" sqref="D25:D29"/>
    </sheetView>
  </sheetViews>
  <sheetFormatPr defaultColWidth="9.140625" defaultRowHeight="19.5" x14ac:dyDescent="0.25"/>
  <cols>
    <col min="1" max="1" width="53" style="45" bestFit="1" customWidth="1"/>
    <col min="2" max="4" width="27" style="45" customWidth="1"/>
    <col min="5" max="5" width="14" style="45" customWidth="1"/>
    <col min="6" max="16384" width="9.140625" style="1"/>
  </cols>
  <sheetData>
    <row r="1" spans="1:9" x14ac:dyDescent="0.25">
      <c r="A1" s="48"/>
      <c r="B1" s="48"/>
      <c r="C1" s="48"/>
      <c r="D1" s="48"/>
      <c r="E1" s="48"/>
      <c r="G1" s="2"/>
    </row>
    <row r="2" spans="1:9" ht="28.5" x14ac:dyDescent="0.25">
      <c r="A2" s="261" t="s">
        <v>279</v>
      </c>
      <c r="B2" s="262"/>
      <c r="C2" s="262"/>
      <c r="D2" s="262"/>
      <c r="E2" s="263"/>
      <c r="G2" s="2"/>
    </row>
    <row r="3" spans="1:9" x14ac:dyDescent="0.25">
      <c r="A3" s="50"/>
      <c r="B3" s="50"/>
      <c r="C3" s="50"/>
      <c r="D3" s="48"/>
      <c r="E3" s="48"/>
      <c r="G3" s="2"/>
    </row>
    <row r="4" spans="1:9" s="55" customFormat="1" ht="21.75" x14ac:dyDescent="0.25">
      <c r="A4" s="52" t="s">
        <v>278</v>
      </c>
      <c r="B4" s="53"/>
      <c r="C4" s="53"/>
      <c r="D4" s="53"/>
      <c r="E4" s="53"/>
    </row>
    <row r="5" spans="1:9" s="55" customFormat="1" ht="21.75" x14ac:dyDescent="0.25">
      <c r="A5" s="56"/>
      <c r="B5" s="57"/>
      <c r="C5" s="57"/>
      <c r="D5" s="59"/>
      <c r="E5" s="59"/>
    </row>
    <row r="6" spans="1:9" s="55" customFormat="1" ht="42" customHeight="1" x14ac:dyDescent="0.25">
      <c r="A6" s="63" t="s">
        <v>14</v>
      </c>
      <c r="B6" s="65" t="s">
        <v>18</v>
      </c>
      <c r="C6" s="71" t="s">
        <v>267</v>
      </c>
      <c r="D6" s="71" t="s">
        <v>16</v>
      </c>
      <c r="E6" s="59"/>
      <c r="G6" s="55" t="s">
        <v>200</v>
      </c>
      <c r="H6" s="55" t="s">
        <v>351</v>
      </c>
      <c r="I6" s="55" t="s">
        <v>358</v>
      </c>
    </row>
    <row r="7" spans="1:9" s="55" customFormat="1" ht="43.5" x14ac:dyDescent="0.25">
      <c r="A7" s="66" t="s">
        <v>277</v>
      </c>
      <c r="B7" s="67">
        <f>G7+H7+I7*DADOS_INICIAIS!E16</f>
        <v>220</v>
      </c>
      <c r="C7" s="188">
        <v>1200</v>
      </c>
      <c r="D7" s="89">
        <f>B7*C7*1.1</f>
        <v>290400</v>
      </c>
      <c r="E7" s="57"/>
      <c r="G7" s="55">
        <v>3</v>
      </c>
      <c r="H7" s="55">
        <v>7</v>
      </c>
      <c r="I7" s="55">
        <f>3*5</f>
        <v>15</v>
      </c>
    </row>
    <row r="8" spans="1:9" s="55" customFormat="1" ht="21.75" x14ac:dyDescent="0.25">
      <c r="A8" s="66" t="s">
        <v>276</v>
      </c>
      <c r="B8" s="67">
        <f>G8+H8+I8*DADOS_INICIAIS!E16</f>
        <v>8</v>
      </c>
      <c r="C8" s="188">
        <v>5000</v>
      </c>
      <c r="D8" s="89">
        <f>B8*C8*1.1</f>
        <v>44000</v>
      </c>
      <c r="E8" s="57"/>
      <c r="G8" s="55">
        <v>1</v>
      </c>
      <c r="H8" s="55">
        <f>H7</f>
        <v>7</v>
      </c>
      <c r="I8" s="55">
        <v>0</v>
      </c>
    </row>
    <row r="9" spans="1:9" s="55" customFormat="1" ht="21.75" x14ac:dyDescent="0.25">
      <c r="A9" s="66" t="s">
        <v>275</v>
      </c>
      <c r="B9" s="67">
        <f>G9+H9+I9*DADOS_INICIAIS!E16</f>
        <v>5</v>
      </c>
      <c r="C9" s="188">
        <v>900</v>
      </c>
      <c r="D9" s="89">
        <f>B9*C9*1.1</f>
        <v>4950</v>
      </c>
      <c r="E9" s="57"/>
      <c r="G9" s="55">
        <v>2</v>
      </c>
      <c r="H9" s="55">
        <v>3</v>
      </c>
      <c r="I9" s="55">
        <v>0</v>
      </c>
    </row>
    <row r="10" spans="1:9" s="55" customFormat="1" ht="21.75" x14ac:dyDescent="0.25">
      <c r="A10" s="66" t="s">
        <v>274</v>
      </c>
      <c r="B10" s="67">
        <f>G10+H10+I10*DADOS_INICIAIS!E16</f>
        <v>73</v>
      </c>
      <c r="C10" s="188">
        <v>2600</v>
      </c>
      <c r="D10" s="89">
        <f>B10*C10*1.1</f>
        <v>208780.00000000003</v>
      </c>
      <c r="E10" s="57"/>
      <c r="G10" s="55">
        <v>0</v>
      </c>
      <c r="H10" s="55">
        <v>3</v>
      </c>
      <c r="I10" s="55">
        <v>5</v>
      </c>
    </row>
    <row r="11" spans="1:9" s="55" customFormat="1" ht="21.75" x14ac:dyDescent="0.25">
      <c r="A11" s="260" t="s">
        <v>17</v>
      </c>
      <c r="B11" s="260"/>
      <c r="C11" s="260"/>
      <c r="D11" s="90">
        <f>SUM(D7:D10)</f>
        <v>548130</v>
      </c>
      <c r="E11" s="60"/>
    </row>
    <row r="12" spans="1:9" s="55" customFormat="1" ht="21.75" x14ac:dyDescent="0.25">
      <c r="A12" s="264"/>
      <c r="B12" s="264"/>
      <c r="C12" s="264"/>
      <c r="D12" s="59"/>
      <c r="E12" s="59"/>
    </row>
    <row r="13" spans="1:9" s="55" customFormat="1" ht="21.75" x14ac:dyDescent="0.25">
      <c r="A13" s="52" t="s">
        <v>273</v>
      </c>
      <c r="B13" s="53"/>
      <c r="C13" s="53"/>
      <c r="D13" s="53"/>
      <c r="E13" s="53"/>
    </row>
    <row r="14" spans="1:9" s="55" customFormat="1" ht="21.75" x14ac:dyDescent="0.25">
      <c r="A14" s="56"/>
      <c r="B14" s="57"/>
      <c r="C14" s="57"/>
      <c r="D14" s="59"/>
      <c r="E14" s="59"/>
    </row>
    <row r="15" spans="1:9" s="55" customFormat="1" ht="42" customHeight="1" x14ac:dyDescent="0.25">
      <c r="A15" s="63" t="s">
        <v>14</v>
      </c>
      <c r="B15" s="265" t="s">
        <v>5</v>
      </c>
      <c r="C15" s="266"/>
      <c r="D15" s="71" t="s">
        <v>16</v>
      </c>
      <c r="E15" s="59"/>
    </row>
    <row r="16" spans="1:9" s="55" customFormat="1" ht="21.75" x14ac:dyDescent="0.25">
      <c r="A16" s="66" t="s">
        <v>272</v>
      </c>
      <c r="B16" s="62">
        <v>2</v>
      </c>
      <c r="C16" s="62" t="s">
        <v>6</v>
      </c>
      <c r="D16" s="89">
        <f>B16*DADOS_INICIAIS!$E$9*1.1</f>
        <v>18755.770000000004</v>
      </c>
      <c r="E16" s="57"/>
    </row>
    <row r="17" spans="1:9" s="55" customFormat="1" ht="21.75" x14ac:dyDescent="0.25">
      <c r="A17" s="66" t="s">
        <v>271</v>
      </c>
      <c r="B17" s="62">
        <v>5</v>
      </c>
      <c r="C17" s="62" t="s">
        <v>6</v>
      </c>
      <c r="D17" s="89">
        <f>B17*DADOS_INICIAIS!$E$9*1.1</f>
        <v>46889.425000000003</v>
      </c>
      <c r="E17" s="57"/>
    </row>
    <row r="18" spans="1:9" s="55" customFormat="1" ht="21.75" x14ac:dyDescent="0.25">
      <c r="A18" s="66" t="s">
        <v>270</v>
      </c>
      <c r="B18" s="62">
        <v>3</v>
      </c>
      <c r="C18" s="62" t="s">
        <v>6</v>
      </c>
      <c r="D18" s="89">
        <f>B18*DADOS_INICIAIS!$E$9*1.1</f>
        <v>28133.655000000006</v>
      </c>
      <c r="E18" s="57"/>
    </row>
    <row r="19" spans="1:9" s="55" customFormat="1" ht="43.5" x14ac:dyDescent="0.25">
      <c r="A19" s="66" t="s">
        <v>269</v>
      </c>
      <c r="B19" s="62">
        <v>5</v>
      </c>
      <c r="C19" s="62" t="s">
        <v>6</v>
      </c>
      <c r="D19" s="89">
        <f>B19*DADOS_INICIAIS!$E$9*1.1</f>
        <v>46889.425000000003</v>
      </c>
      <c r="E19" s="57"/>
    </row>
    <row r="20" spans="1:9" s="55" customFormat="1" ht="21.75" x14ac:dyDescent="0.25">
      <c r="A20" s="260" t="s">
        <v>17</v>
      </c>
      <c r="B20" s="260"/>
      <c r="C20" s="260"/>
      <c r="D20" s="90">
        <f>SUM(D16:D19)</f>
        <v>140668.27500000002</v>
      </c>
      <c r="E20" s="60"/>
    </row>
    <row r="21" spans="1:9" s="55" customFormat="1" ht="21.75" x14ac:dyDescent="0.25">
      <c r="A21" s="264"/>
      <c r="B21" s="264"/>
      <c r="C21" s="264"/>
      <c r="D21" s="59"/>
      <c r="E21" s="59"/>
    </row>
    <row r="22" spans="1:9" s="55" customFormat="1" ht="21.75" x14ac:dyDescent="0.25">
      <c r="A22" s="52" t="s">
        <v>268</v>
      </c>
      <c r="B22" s="53"/>
      <c r="C22" s="53"/>
      <c r="D22" s="53"/>
      <c r="E22" s="53"/>
    </row>
    <row r="23" spans="1:9" s="55" customFormat="1" ht="21.75" x14ac:dyDescent="0.25">
      <c r="A23" s="56"/>
      <c r="B23" s="57"/>
      <c r="C23" s="57"/>
      <c r="D23" s="59"/>
      <c r="E23" s="59"/>
    </row>
    <row r="24" spans="1:9" s="55" customFormat="1" ht="42" customHeight="1" x14ac:dyDescent="0.25">
      <c r="A24" s="63" t="s">
        <v>14</v>
      </c>
      <c r="B24" s="65" t="s">
        <v>18</v>
      </c>
      <c r="C24" s="71" t="s">
        <v>267</v>
      </c>
      <c r="D24" s="71" t="s">
        <v>16</v>
      </c>
      <c r="E24" s="59"/>
    </row>
    <row r="25" spans="1:9" s="55" customFormat="1" ht="26.25" customHeight="1" x14ac:dyDescent="0.25">
      <c r="A25" s="70" t="s">
        <v>266</v>
      </c>
      <c r="B25" s="67">
        <v>2</v>
      </c>
      <c r="C25" s="252">
        <f>768900/2</f>
        <v>384450</v>
      </c>
      <c r="D25" s="89">
        <f t="shared" ref="D25:D29" si="0">B25*C25*1.1</f>
        <v>845790.00000000012</v>
      </c>
      <c r="E25" s="57"/>
    </row>
    <row r="26" spans="1:9" s="55" customFormat="1" ht="26.25" customHeight="1" x14ac:dyDescent="0.25">
      <c r="A26" s="70" t="s">
        <v>265</v>
      </c>
      <c r="B26" s="67">
        <v>1</v>
      </c>
      <c r="C26" s="253">
        <v>20000</v>
      </c>
      <c r="D26" s="89">
        <f t="shared" si="0"/>
        <v>22000</v>
      </c>
      <c r="E26" s="57"/>
    </row>
    <row r="27" spans="1:9" s="55" customFormat="1" ht="26.25" customHeight="1" x14ac:dyDescent="0.25">
      <c r="A27" s="70" t="s">
        <v>321</v>
      </c>
      <c r="B27" s="67">
        <v>1</v>
      </c>
      <c r="C27" s="188">
        <v>10000</v>
      </c>
      <c r="D27" s="89">
        <f t="shared" si="0"/>
        <v>11000</v>
      </c>
      <c r="E27" s="57"/>
    </row>
    <row r="28" spans="1:9" s="55" customFormat="1" ht="26.25" customHeight="1" x14ac:dyDescent="0.25">
      <c r="A28" s="70" t="s">
        <v>264</v>
      </c>
      <c r="B28" s="67">
        <f>DADOS_INICIAIS!E10</f>
        <v>70</v>
      </c>
      <c r="C28" s="188">
        <v>560</v>
      </c>
      <c r="D28" s="89">
        <f t="shared" si="0"/>
        <v>43120</v>
      </c>
      <c r="E28" s="57"/>
    </row>
    <row r="29" spans="1:9" s="55" customFormat="1" ht="26.25" customHeight="1" x14ac:dyDescent="0.25">
      <c r="A29" s="70" t="s">
        <v>353</v>
      </c>
      <c r="B29" s="67">
        <v>1</v>
      </c>
      <c r="C29" s="188">
        <v>25000</v>
      </c>
      <c r="D29" s="89">
        <f t="shared" si="0"/>
        <v>27500.000000000004</v>
      </c>
      <c r="E29" s="57"/>
    </row>
    <row r="30" spans="1:9" s="55" customFormat="1" ht="21.75" x14ac:dyDescent="0.25">
      <c r="A30" s="260" t="s">
        <v>17</v>
      </c>
      <c r="B30" s="260"/>
      <c r="C30" s="260"/>
      <c r="D30" s="90">
        <f>SUM(D25:D29)</f>
        <v>949410.00000000012</v>
      </c>
      <c r="E30" s="60"/>
    </row>
    <row r="31" spans="1:9" x14ac:dyDescent="0.25">
      <c r="I31" s="47"/>
    </row>
    <row r="32" spans="1:9" s="55" customFormat="1" ht="21.75" x14ac:dyDescent="0.25">
      <c r="A32" s="52" t="s">
        <v>263</v>
      </c>
      <c r="B32" s="53"/>
      <c r="C32" s="53"/>
      <c r="D32" s="53"/>
      <c r="E32" s="53"/>
    </row>
    <row r="33" spans="1:9" s="55" customFormat="1" ht="21.75" x14ac:dyDescent="0.25">
      <c r="A33" s="56"/>
      <c r="B33" s="57"/>
      <c r="C33" s="57"/>
      <c r="D33" s="59"/>
      <c r="E33" s="59"/>
    </row>
    <row r="34" spans="1:9" s="55" customFormat="1" ht="40.5" customHeight="1" x14ac:dyDescent="0.25">
      <c r="A34" s="63" t="s">
        <v>14</v>
      </c>
      <c r="B34" s="265" t="s">
        <v>5</v>
      </c>
      <c r="C34" s="266"/>
      <c r="D34" s="71" t="s">
        <v>16</v>
      </c>
      <c r="E34" s="59"/>
    </row>
    <row r="35" spans="1:9" s="55" customFormat="1" ht="26.25" customHeight="1" x14ac:dyDescent="0.25">
      <c r="A35" s="70" t="s">
        <v>262</v>
      </c>
      <c r="B35" s="62">
        <v>20</v>
      </c>
      <c r="C35" s="62" t="s">
        <v>6</v>
      </c>
      <c r="D35" s="89">
        <f>B35*DADOS_INICIAIS!E9*1.1</f>
        <v>187557.7</v>
      </c>
      <c r="E35" s="102"/>
    </row>
    <row r="36" spans="1:9" s="55" customFormat="1" ht="21.75" x14ac:dyDescent="0.25">
      <c r="A36" s="260" t="s">
        <v>17</v>
      </c>
      <c r="B36" s="260"/>
      <c r="C36" s="260"/>
      <c r="D36" s="90">
        <f>SUM(D35:D35)</f>
        <v>187557.7</v>
      </c>
      <c r="E36" s="103"/>
    </row>
    <row r="37" spans="1:9" x14ac:dyDescent="0.25">
      <c r="D37" s="107"/>
      <c r="E37" s="107"/>
      <c r="I37" s="47"/>
    </row>
    <row r="38" spans="1:9" ht="23.25" customHeight="1" x14ac:dyDescent="0.25">
      <c r="A38" s="257" t="s">
        <v>261</v>
      </c>
      <c r="B38" s="258"/>
      <c r="C38" s="259"/>
      <c r="D38" s="108">
        <f>D11+D20+D30+D36</f>
        <v>1825765.9750000001</v>
      </c>
      <c r="E38" s="108">
        <f>D38/DADOS_INICIAIS!E9</f>
        <v>214.15730439219504</v>
      </c>
    </row>
  </sheetData>
  <mergeCells count="10">
    <mergeCell ref="A30:C30"/>
    <mergeCell ref="A38:C38"/>
    <mergeCell ref="B34:C34"/>
    <mergeCell ref="A36:C36"/>
    <mergeCell ref="A2:E2"/>
    <mergeCell ref="A11:C11"/>
    <mergeCell ref="A12:C12"/>
    <mergeCell ref="B15:C15"/>
    <mergeCell ref="A20:C20"/>
    <mergeCell ref="A21:C21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120EE-5AC6-4766-BCD9-F110DF8BD5BE}">
  <dimension ref="A1:L28"/>
  <sheetViews>
    <sheetView showGridLines="0" topLeftCell="A6" zoomScale="80" zoomScaleNormal="80" zoomScaleSheetLayoutView="95" workbookViewId="0">
      <selection activeCell="G18" sqref="G18:G22"/>
    </sheetView>
  </sheetViews>
  <sheetFormatPr defaultColWidth="9.140625" defaultRowHeight="15" x14ac:dyDescent="0.25"/>
  <cols>
    <col min="1" max="1" width="50.140625" style="55" customWidth="1"/>
    <col min="2" max="2" width="21.7109375" style="55" customWidth="1"/>
    <col min="3" max="3" width="26.5703125" style="55" customWidth="1"/>
    <col min="4" max="4" width="16.5703125" style="81" customWidth="1"/>
    <col min="5" max="5" width="19.5703125" style="82" customWidth="1"/>
    <col min="6" max="6" width="20.85546875" style="55" customWidth="1"/>
    <col min="7" max="7" width="23.5703125" style="55" customWidth="1"/>
    <col min="8" max="8" width="58.28515625" style="55" customWidth="1"/>
    <col min="9" max="9" width="11.28515625" style="55" customWidth="1"/>
    <col min="10" max="10" width="14.28515625" style="55" bestFit="1" customWidth="1"/>
    <col min="11" max="11" width="11" style="55" bestFit="1" customWidth="1"/>
    <col min="12" max="12" width="11.28515625" style="55" bestFit="1" customWidth="1"/>
    <col min="13" max="13" width="9.140625" style="55"/>
    <col min="14" max="15" width="11" style="55" bestFit="1" customWidth="1"/>
    <col min="16" max="16384" width="9.140625" style="55"/>
  </cols>
  <sheetData>
    <row r="1" spans="1:10" x14ac:dyDescent="0.25">
      <c r="D1" s="79"/>
      <c r="E1" s="55"/>
      <c r="H1" s="80"/>
      <c r="I1" s="80"/>
      <c r="J1" s="79"/>
    </row>
    <row r="3" spans="1:10" ht="28.5" x14ac:dyDescent="0.25">
      <c r="A3" s="261" t="s">
        <v>231</v>
      </c>
      <c r="B3" s="272"/>
      <c r="C3" s="272"/>
      <c r="D3" s="262"/>
      <c r="E3" s="262"/>
      <c r="F3" s="262"/>
      <c r="G3" s="262"/>
      <c r="H3" s="263"/>
      <c r="J3" s="79"/>
    </row>
    <row r="4" spans="1:10" ht="19.5" x14ac:dyDescent="0.25">
      <c r="A4" s="189" t="s">
        <v>186</v>
      </c>
      <c r="B4" s="195">
        <v>45471</v>
      </c>
      <c r="C4" s="193"/>
      <c r="D4" s="193"/>
      <c r="E4" s="193"/>
      <c r="F4" s="193"/>
      <c r="G4" s="193"/>
      <c r="H4" s="194"/>
      <c r="J4" s="79"/>
    </row>
    <row r="5" spans="1:10" ht="19.5" x14ac:dyDescent="0.25">
      <c r="A5" s="189" t="s">
        <v>299</v>
      </c>
      <c r="B5" s="196" t="s">
        <v>216</v>
      </c>
      <c r="C5" s="191"/>
      <c r="D5" s="191"/>
      <c r="E5" s="191"/>
      <c r="F5" s="191"/>
      <c r="G5" s="191"/>
      <c r="H5" s="192"/>
      <c r="J5" s="79"/>
    </row>
    <row r="6" spans="1:10" ht="21.75" x14ac:dyDescent="0.25">
      <c r="A6" s="83"/>
      <c r="B6" s="83"/>
      <c r="C6" s="83"/>
      <c r="D6" s="83"/>
      <c r="E6" s="83"/>
      <c r="F6" s="84"/>
      <c r="G6" s="85"/>
      <c r="H6" s="85"/>
      <c r="J6" s="79"/>
    </row>
    <row r="7" spans="1:10" ht="21.75" x14ac:dyDescent="0.25">
      <c r="A7" s="52" t="s">
        <v>231</v>
      </c>
      <c r="B7" s="52"/>
      <c r="C7" s="52"/>
      <c r="D7" s="53"/>
      <c r="E7" s="53"/>
      <c r="F7" s="54"/>
      <c r="G7" s="53"/>
      <c r="H7" s="53"/>
    </row>
    <row r="8" spans="1:10" ht="21.75" x14ac:dyDescent="0.25">
      <c r="A8" s="56"/>
      <c r="B8" s="56"/>
      <c r="C8" s="56"/>
      <c r="D8" s="57"/>
      <c r="E8" s="57"/>
      <c r="F8" s="58"/>
      <c r="G8" s="59"/>
      <c r="H8" s="59"/>
    </row>
    <row r="9" spans="1:10" ht="42" customHeight="1" x14ac:dyDescent="0.25">
      <c r="A9" s="63" t="s">
        <v>14</v>
      </c>
      <c r="B9" s="265" t="s">
        <v>5</v>
      </c>
      <c r="C9" s="266"/>
      <c r="D9" s="265" t="s">
        <v>18</v>
      </c>
      <c r="E9" s="266"/>
      <c r="F9" s="65" t="s">
        <v>118</v>
      </c>
      <c r="G9" s="71" t="s">
        <v>16</v>
      </c>
      <c r="H9" s="90" t="s">
        <v>302</v>
      </c>
    </row>
    <row r="10" spans="1:10" ht="21.75" x14ac:dyDescent="0.25">
      <c r="A10" s="66" t="s">
        <v>230</v>
      </c>
      <c r="B10" s="62">
        <v>25</v>
      </c>
      <c r="C10" s="62" t="s">
        <v>171</v>
      </c>
      <c r="D10" s="67">
        <f>D14+D15</f>
        <v>3925.923675</v>
      </c>
      <c r="E10" s="67" t="s">
        <v>2</v>
      </c>
      <c r="F10" s="88">
        <v>8</v>
      </c>
      <c r="G10" s="89">
        <f t="shared" ref="G10:G22" si="0">F10*D10*1.1</f>
        <v>34548.128340000003</v>
      </c>
      <c r="H10" s="67"/>
    </row>
    <row r="11" spans="1:10" ht="21.75" x14ac:dyDescent="0.25">
      <c r="A11" s="78" t="s">
        <v>229</v>
      </c>
      <c r="B11" s="62">
        <v>45</v>
      </c>
      <c r="C11" s="62" t="s">
        <v>171</v>
      </c>
      <c r="D11" s="67">
        <f>(2.9+(1.7*4*1.8))*2</f>
        <v>30.28</v>
      </c>
      <c r="E11" s="67" t="s">
        <v>2</v>
      </c>
      <c r="F11" s="88">
        <f>41-F19</f>
        <v>13</v>
      </c>
      <c r="G11" s="89">
        <f t="shared" si="0"/>
        <v>433.00400000000002</v>
      </c>
      <c r="H11" s="67"/>
    </row>
    <row r="12" spans="1:10" ht="21.75" x14ac:dyDescent="0.25">
      <c r="A12" s="78" t="s">
        <v>228</v>
      </c>
      <c r="B12" s="62">
        <v>30</v>
      </c>
      <c r="C12" s="62" t="s">
        <v>171</v>
      </c>
      <c r="D12" s="67">
        <f>INFRAESTRUTURA!D28</f>
        <v>761.80500000000006</v>
      </c>
      <c r="E12" s="67" t="s">
        <v>2</v>
      </c>
      <c r="F12" s="88">
        <f>35-F19</f>
        <v>7</v>
      </c>
      <c r="G12" s="89">
        <f t="shared" si="0"/>
        <v>5865.8985000000011</v>
      </c>
      <c r="H12" s="67"/>
    </row>
    <row r="13" spans="1:10" ht="21.75" x14ac:dyDescent="0.25">
      <c r="A13" s="66" t="s">
        <v>227</v>
      </c>
      <c r="B13" s="62">
        <v>1</v>
      </c>
      <c r="C13" s="62" t="s">
        <v>6</v>
      </c>
      <c r="D13" s="67">
        <v>1</v>
      </c>
      <c r="E13" s="67" t="s">
        <v>27</v>
      </c>
      <c r="F13" s="88">
        <f>B13*DADOS_INICIAIS!$E$9</f>
        <v>8525.35</v>
      </c>
      <c r="G13" s="89">
        <f t="shared" si="0"/>
        <v>9377.885000000002</v>
      </c>
      <c r="H13" s="67">
        <f>G13/I13</f>
        <v>161.68767241379314</v>
      </c>
      <c r="I13" s="55">
        <f>8+50</f>
        <v>58</v>
      </c>
    </row>
    <row r="14" spans="1:10" ht="21.75" x14ac:dyDescent="0.25">
      <c r="A14" s="66" t="s">
        <v>226</v>
      </c>
      <c r="B14" s="62">
        <v>0.3</v>
      </c>
      <c r="C14" s="62" t="s">
        <v>37</v>
      </c>
      <c r="D14" s="67">
        <f>B14*DADOS_INICIAIS!E9</f>
        <v>2557.605</v>
      </c>
      <c r="E14" s="67" t="s">
        <v>2</v>
      </c>
      <c r="F14" s="88">
        <f>60-F20</f>
        <v>32</v>
      </c>
      <c r="G14" s="89">
        <f t="shared" si="0"/>
        <v>90027.696000000011</v>
      </c>
      <c r="H14" s="67"/>
      <c r="I14" s="55">
        <f>8/I13</f>
        <v>0.13793103448275862</v>
      </c>
      <c r="J14" s="198">
        <f>I14*G13</f>
        <v>1293.5013793103451</v>
      </c>
    </row>
    <row r="15" spans="1:10" ht="21.75" x14ac:dyDescent="0.25">
      <c r="A15" s="66" t="s">
        <v>225</v>
      </c>
      <c r="B15" s="62">
        <v>0.1605</v>
      </c>
      <c r="C15" s="62" t="s">
        <v>37</v>
      </c>
      <c r="D15" s="67">
        <f>B15*DADOS_INICIAIS!E9</f>
        <v>1368.318675</v>
      </c>
      <c r="E15" s="67" t="s">
        <v>2</v>
      </c>
      <c r="F15" s="88">
        <f>110-F21</f>
        <v>62</v>
      </c>
      <c r="G15" s="89">
        <f t="shared" si="0"/>
        <v>93319.333635000003</v>
      </c>
      <c r="H15" s="67"/>
      <c r="I15" s="55">
        <f>50/I13</f>
        <v>0.86206896551724133</v>
      </c>
      <c r="J15" s="198">
        <f>I15*G13</f>
        <v>8084.3836206896567</v>
      </c>
    </row>
    <row r="16" spans="1:10" ht="21.75" x14ac:dyDescent="0.25">
      <c r="A16" s="66" t="s">
        <v>224</v>
      </c>
      <c r="B16" s="62">
        <v>1.2</v>
      </c>
      <c r="C16" s="62" t="s">
        <v>6</v>
      </c>
      <c r="D16" s="67">
        <v>1</v>
      </c>
      <c r="E16" s="67" t="s">
        <v>27</v>
      </c>
      <c r="F16" s="88">
        <f>B16*DADOS_INICIAIS!$E$9</f>
        <v>10230.42</v>
      </c>
      <c r="G16" s="89">
        <f t="shared" si="0"/>
        <v>11253.462000000001</v>
      </c>
      <c r="H16" s="67">
        <f>G16/I16</f>
        <v>154.15701369863015</v>
      </c>
      <c r="I16" s="55">
        <f>41+32</f>
        <v>73</v>
      </c>
    </row>
    <row r="17" spans="1:12" ht="21.75" x14ac:dyDescent="0.25">
      <c r="A17" s="66" t="s">
        <v>223</v>
      </c>
      <c r="B17" s="62">
        <v>28</v>
      </c>
      <c r="C17" s="62" t="s">
        <v>171</v>
      </c>
      <c r="D17" s="67">
        <f>D15</f>
        <v>1368.318675</v>
      </c>
      <c r="E17" s="67" t="s">
        <v>2</v>
      </c>
      <c r="F17" s="88">
        <f>28-F22</f>
        <v>12</v>
      </c>
      <c r="G17" s="89">
        <f t="shared" si="0"/>
        <v>18061.806509999999</v>
      </c>
      <c r="H17" s="67"/>
      <c r="I17" s="55">
        <f>41/I16</f>
        <v>0.56164383561643838</v>
      </c>
      <c r="J17" s="198">
        <f>I17*G16</f>
        <v>6320.4375616438365</v>
      </c>
    </row>
    <row r="18" spans="1:12" ht="21.75" x14ac:dyDescent="0.25">
      <c r="A18" s="66" t="s">
        <v>369</v>
      </c>
      <c r="B18" s="62"/>
      <c r="C18" s="62"/>
      <c r="D18" s="67">
        <f>D10</f>
        <v>3925.923675</v>
      </c>
      <c r="E18" s="67" t="s">
        <v>2</v>
      </c>
      <c r="F18" s="88">
        <f>22-F10</f>
        <v>14</v>
      </c>
      <c r="G18" s="89">
        <f t="shared" si="0"/>
        <v>60459.224595000007</v>
      </c>
      <c r="H18" s="67"/>
      <c r="I18" s="55">
        <f>32/I16</f>
        <v>0.43835616438356162</v>
      </c>
      <c r="J18" s="198">
        <f>I18*G16</f>
        <v>4933.0244383561649</v>
      </c>
    </row>
    <row r="19" spans="1:12" ht="43.5" x14ac:dyDescent="0.25">
      <c r="A19" s="66" t="s">
        <v>370</v>
      </c>
      <c r="B19" s="62"/>
      <c r="C19" s="62"/>
      <c r="D19" s="67">
        <f>D11+D12</f>
        <v>792.08500000000004</v>
      </c>
      <c r="E19" s="67" t="s">
        <v>2</v>
      </c>
      <c r="F19" s="88">
        <v>28</v>
      </c>
      <c r="G19" s="89">
        <f t="shared" si="0"/>
        <v>24396.218000000004</v>
      </c>
      <c r="H19" s="67"/>
    </row>
    <row r="20" spans="1:12" ht="43.5" x14ac:dyDescent="0.25">
      <c r="A20" s="66" t="s">
        <v>371</v>
      </c>
      <c r="B20" s="62"/>
      <c r="C20" s="62"/>
      <c r="D20" s="67">
        <f>D14</f>
        <v>2557.605</v>
      </c>
      <c r="E20" s="67" t="s">
        <v>2</v>
      </c>
      <c r="F20" s="88">
        <v>28</v>
      </c>
      <c r="G20" s="89">
        <f t="shared" si="0"/>
        <v>78774.234000000011</v>
      </c>
      <c r="H20" s="67"/>
    </row>
    <row r="21" spans="1:12" ht="43.5" x14ac:dyDescent="0.25">
      <c r="A21" s="66" t="s">
        <v>372</v>
      </c>
      <c r="B21" s="62"/>
      <c r="C21" s="62"/>
      <c r="D21" s="67">
        <f>D15</f>
        <v>1368.318675</v>
      </c>
      <c r="E21" s="67" t="s">
        <v>2</v>
      </c>
      <c r="F21" s="88">
        <v>48</v>
      </c>
      <c r="G21" s="89">
        <f t="shared" si="0"/>
        <v>72247.226039999994</v>
      </c>
      <c r="H21" s="67"/>
    </row>
    <row r="22" spans="1:12" ht="21.75" x14ac:dyDescent="0.25">
      <c r="A22" s="66" t="s">
        <v>373</v>
      </c>
      <c r="B22" s="62"/>
      <c r="C22" s="62"/>
      <c r="D22" s="67">
        <f>D17</f>
        <v>1368.318675</v>
      </c>
      <c r="E22" s="67" t="s">
        <v>2</v>
      </c>
      <c r="F22" s="88">
        <v>16</v>
      </c>
      <c r="G22" s="89">
        <f t="shared" si="0"/>
        <v>24082.40868</v>
      </c>
      <c r="H22" s="67"/>
    </row>
    <row r="23" spans="1:12" ht="21.75" x14ac:dyDescent="0.25">
      <c r="A23" s="260" t="s">
        <v>17</v>
      </c>
      <c r="B23" s="260"/>
      <c r="C23" s="260"/>
      <c r="D23" s="260"/>
      <c r="E23" s="260"/>
      <c r="F23" s="260"/>
      <c r="G23" s="90">
        <f>SUM(G10:G22)</f>
        <v>522846.52530000004</v>
      </c>
      <c r="H23" s="90"/>
      <c r="K23" s="55">
        <f>4160+1440+1120+2880+4800+91680+4000</f>
        <v>110080</v>
      </c>
      <c r="L23" s="55">
        <f>K23/21</f>
        <v>5241.9047619047615</v>
      </c>
    </row>
    <row r="25" spans="1:12" ht="21.75" x14ac:dyDescent="0.25">
      <c r="A25" s="267" t="s">
        <v>222</v>
      </c>
      <c r="B25" s="268"/>
      <c r="C25" s="268"/>
      <c r="D25" s="268"/>
      <c r="E25" s="268"/>
      <c r="F25" s="269"/>
      <c r="G25" s="91">
        <f>G23</f>
        <v>522846.52530000004</v>
      </c>
      <c r="H25" s="91">
        <f>G25/DADOS_INICIAIS!E9</f>
        <v>61.328452825983689</v>
      </c>
    </row>
    <row r="28" spans="1:12" x14ac:dyDescent="0.25">
      <c r="H28" s="198">
        <f>H25/1.1</f>
        <v>55.753138932712439</v>
      </c>
    </row>
  </sheetData>
  <mergeCells count="5">
    <mergeCell ref="A25:F25"/>
    <mergeCell ref="A3:H3"/>
    <mergeCell ref="B9:C9"/>
    <mergeCell ref="D9:E9"/>
    <mergeCell ref="A23:F23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BF055-F5DB-4C7C-8016-472086DE0C1F}">
  <sheetPr>
    <tabColor rgb="FFFF0000"/>
  </sheetPr>
  <dimension ref="A1:X985"/>
  <sheetViews>
    <sheetView topLeftCell="B12" workbookViewId="0">
      <selection activeCell="J27" sqref="J27"/>
    </sheetView>
  </sheetViews>
  <sheetFormatPr defaultColWidth="14.42578125" defaultRowHeight="15" customHeight="1" x14ac:dyDescent="0.25"/>
  <cols>
    <col min="1" max="1" width="12.28515625" style="217" customWidth="1"/>
    <col min="2" max="2" width="14.5703125" style="217" customWidth="1"/>
    <col min="3" max="3" width="31" style="217" customWidth="1"/>
    <col min="4" max="4" width="13.42578125" style="217" customWidth="1"/>
    <col min="5" max="5" width="31.140625" style="217" customWidth="1"/>
    <col min="6" max="6" width="21.140625" style="217" customWidth="1"/>
    <col min="7" max="8" width="8.7109375" style="217" customWidth="1"/>
    <col min="9" max="9" width="8.85546875" style="217" customWidth="1"/>
    <col min="10" max="10" width="22" style="217" customWidth="1"/>
    <col min="11" max="12" width="20.7109375" style="217" customWidth="1"/>
    <col min="13" max="13" width="16.42578125" style="217" customWidth="1"/>
    <col min="14" max="14" width="8.85546875" style="217" customWidth="1"/>
    <col min="15" max="24" width="8.7109375" style="217" customWidth="1"/>
    <col min="25" max="16384" width="14.42578125" style="217"/>
  </cols>
  <sheetData>
    <row r="1" spans="1:24" ht="15" customHeight="1" x14ac:dyDescent="0.25">
      <c r="A1" s="250" t="s">
        <v>0</v>
      </c>
      <c r="B1" s="249" t="s">
        <v>438</v>
      </c>
      <c r="C1" s="248"/>
      <c r="D1" s="247"/>
      <c r="E1" s="247"/>
      <c r="F1" s="247"/>
      <c r="G1" s="247"/>
      <c r="H1" s="247"/>
      <c r="I1" s="247"/>
      <c r="J1" s="247"/>
      <c r="K1" s="247"/>
      <c r="L1" s="247"/>
      <c r="M1" s="218"/>
      <c r="N1" s="246"/>
    </row>
    <row r="2" spans="1:24" ht="15" customHeight="1" x14ac:dyDescent="0.25">
      <c r="A2" s="245" t="s">
        <v>117</v>
      </c>
      <c r="B2" s="244" t="s">
        <v>437</v>
      </c>
      <c r="C2" s="240"/>
      <c r="D2" s="243"/>
      <c r="E2" s="243"/>
      <c r="F2" s="243"/>
      <c r="G2" s="243"/>
      <c r="H2" s="243"/>
      <c r="I2" s="243"/>
      <c r="J2" s="243"/>
      <c r="K2" s="243"/>
      <c r="L2" s="243"/>
      <c r="M2" s="218"/>
      <c r="N2" s="219"/>
    </row>
    <row r="3" spans="1:24" ht="15" customHeight="1" x14ac:dyDescent="0.25">
      <c r="A3" s="245" t="s">
        <v>1</v>
      </c>
      <c r="B3" s="244" t="s">
        <v>185</v>
      </c>
      <c r="C3" s="240"/>
      <c r="D3" s="243"/>
      <c r="E3" s="243"/>
      <c r="F3" s="243"/>
      <c r="G3" s="243"/>
      <c r="H3" s="243"/>
      <c r="I3" s="243"/>
      <c r="J3" s="243"/>
      <c r="K3" s="243"/>
      <c r="L3" s="243"/>
      <c r="M3" s="218"/>
      <c r="N3" s="219"/>
    </row>
    <row r="4" spans="1:24" ht="15" customHeight="1" x14ac:dyDescent="0.25">
      <c r="A4" s="242" t="s">
        <v>186</v>
      </c>
      <c r="B4" s="241">
        <v>45474</v>
      </c>
      <c r="C4" s="240"/>
      <c r="D4" s="239"/>
      <c r="E4" s="239"/>
      <c r="F4" s="239"/>
      <c r="G4" s="239"/>
      <c r="H4" s="239"/>
      <c r="I4" s="239"/>
      <c r="J4" s="239"/>
      <c r="K4" s="239"/>
      <c r="L4" s="239"/>
      <c r="M4" s="218"/>
      <c r="N4" s="219"/>
    </row>
    <row r="5" spans="1:24" ht="26.25" customHeight="1" x14ac:dyDescent="0.25">
      <c r="A5" s="273" t="s">
        <v>436</v>
      </c>
      <c r="B5" s="274"/>
      <c r="C5" s="274"/>
      <c r="D5" s="274"/>
      <c r="E5" s="274"/>
      <c r="F5" s="274"/>
      <c r="G5" s="274"/>
      <c r="H5" s="274"/>
      <c r="I5" s="274"/>
      <c r="J5" s="274"/>
      <c r="K5" s="274"/>
      <c r="L5" s="274"/>
      <c r="M5" s="274"/>
      <c r="N5" s="275"/>
    </row>
    <row r="6" spans="1:24" ht="14.25" customHeight="1" x14ac:dyDescent="0.25">
      <c r="A6" s="225"/>
      <c r="B6" s="218"/>
      <c r="C6" s="218"/>
      <c r="D6" s="218"/>
      <c r="E6" s="218"/>
      <c r="F6" s="218"/>
      <c r="G6" s="218"/>
      <c r="H6" s="218"/>
      <c r="I6" s="218"/>
      <c r="J6" s="218"/>
      <c r="K6" s="218"/>
      <c r="L6" s="218"/>
      <c r="M6" s="218"/>
      <c r="N6" s="219"/>
    </row>
    <row r="7" spans="1:24" ht="26.25" customHeight="1" x14ac:dyDescent="0.25">
      <c r="A7" s="276" t="s">
        <v>435</v>
      </c>
      <c r="B7" s="274"/>
      <c r="C7" s="274"/>
      <c r="D7" s="274"/>
      <c r="E7" s="274"/>
      <c r="F7" s="274"/>
      <c r="G7" s="274"/>
      <c r="H7" s="274"/>
      <c r="I7" s="274"/>
      <c r="J7" s="274"/>
      <c r="K7" s="274"/>
      <c r="L7" s="274"/>
      <c r="M7" s="274"/>
      <c r="N7" s="275"/>
    </row>
    <row r="8" spans="1:24" ht="14.25" customHeight="1" thickBot="1" x14ac:dyDescent="0.3">
      <c r="A8" s="225"/>
      <c r="B8" s="218"/>
      <c r="C8" s="218"/>
      <c r="D8" s="218"/>
      <c r="E8" s="218"/>
      <c r="F8" s="218"/>
      <c r="G8" s="218"/>
      <c r="H8" s="218"/>
      <c r="I8" s="218"/>
      <c r="J8" s="218"/>
      <c r="K8" s="218"/>
      <c r="L8" s="218"/>
      <c r="M8" s="218"/>
      <c r="N8" s="219"/>
      <c r="O8" s="218"/>
      <c r="P8" s="218"/>
      <c r="Q8" s="218"/>
      <c r="R8" s="218"/>
      <c r="S8" s="218"/>
      <c r="T8" s="218"/>
      <c r="U8" s="218"/>
      <c r="V8" s="218"/>
      <c r="W8" s="218"/>
      <c r="X8" s="218"/>
    </row>
    <row r="9" spans="1:24" ht="14.25" customHeight="1" thickBot="1" x14ac:dyDescent="0.3">
      <c r="A9" s="225"/>
      <c r="B9" s="277" t="s">
        <v>434</v>
      </c>
      <c r="C9" s="278"/>
      <c r="D9" s="278"/>
      <c r="E9" s="278"/>
      <c r="F9" s="278"/>
      <c r="G9" s="278"/>
      <c r="H9" s="279"/>
      <c r="I9" s="218"/>
      <c r="J9" s="218"/>
      <c r="K9" s="277" t="s">
        <v>433</v>
      </c>
      <c r="L9" s="279"/>
      <c r="M9" s="218"/>
      <c r="N9" s="219"/>
    </row>
    <row r="10" spans="1:24" ht="14.25" customHeight="1" x14ac:dyDescent="0.45">
      <c r="A10" s="225"/>
      <c r="B10" s="232" t="s">
        <v>432</v>
      </c>
      <c r="C10" s="237" t="s">
        <v>431</v>
      </c>
      <c r="D10" s="237" t="s">
        <v>430</v>
      </c>
      <c r="E10" s="237" t="s">
        <v>420</v>
      </c>
      <c r="F10" s="238" t="s">
        <v>429</v>
      </c>
      <c r="G10" s="237" t="s">
        <v>428</v>
      </c>
      <c r="H10" s="231" t="s">
        <v>427</v>
      </c>
      <c r="I10" s="218"/>
      <c r="J10" s="218"/>
      <c r="K10" s="232" t="s">
        <v>426</v>
      </c>
      <c r="L10" s="231" t="s">
        <v>419</v>
      </c>
      <c r="M10" s="218"/>
      <c r="N10" s="219"/>
    </row>
    <row r="11" spans="1:24" ht="14.25" customHeight="1" x14ac:dyDescent="0.25">
      <c r="A11" s="225"/>
      <c r="B11" s="236" t="s">
        <v>200</v>
      </c>
      <c r="C11" s="235" t="s">
        <v>425</v>
      </c>
      <c r="D11" s="235">
        <v>43.8</v>
      </c>
      <c r="E11" s="235" t="s">
        <v>201</v>
      </c>
      <c r="F11" s="235" t="s">
        <v>394</v>
      </c>
      <c r="G11" s="234">
        <v>1</v>
      </c>
      <c r="H11" s="233">
        <f>G11*Table_2[[#This Row],[Área (m²)]]</f>
        <v>43.8</v>
      </c>
      <c r="I11" s="218"/>
      <c r="J11" s="218"/>
      <c r="K11" s="230" t="s">
        <v>194</v>
      </c>
      <c r="L11" s="229">
        <f>SUMIF(F:F,"Sim",H:H)</f>
        <v>5455.6</v>
      </c>
      <c r="M11" s="218"/>
      <c r="N11" s="219"/>
    </row>
    <row r="12" spans="1:24" ht="14.25" customHeight="1" x14ac:dyDescent="0.25">
      <c r="A12" s="225"/>
      <c r="B12" s="224" t="s">
        <v>200</v>
      </c>
      <c r="C12" s="223" t="s">
        <v>424</v>
      </c>
      <c r="D12" s="223">
        <f>94+3.25</f>
        <v>97.25</v>
      </c>
      <c r="E12" s="223" t="s">
        <v>201</v>
      </c>
      <c r="F12" s="223" t="s">
        <v>394</v>
      </c>
      <c r="G12" s="222">
        <v>1</v>
      </c>
      <c r="H12" s="226">
        <f>G12*Table_2[[#This Row],[Área (m²)]]</f>
        <v>97.25</v>
      </c>
      <c r="I12" s="218"/>
      <c r="J12" s="218"/>
      <c r="K12" s="221"/>
      <c r="L12" s="220"/>
      <c r="M12" s="218"/>
      <c r="N12" s="219"/>
    </row>
    <row r="13" spans="1:24" ht="14.25" customHeight="1" thickBot="1" x14ac:dyDescent="0.3">
      <c r="A13" s="225"/>
      <c r="B13" s="224" t="s">
        <v>200</v>
      </c>
      <c r="C13" s="223" t="s">
        <v>423</v>
      </c>
      <c r="D13" s="223">
        <f>78.3+3.25</f>
        <v>81.55</v>
      </c>
      <c r="E13" s="223" t="s">
        <v>201</v>
      </c>
      <c r="F13" s="223" t="s">
        <v>394</v>
      </c>
      <c r="G13" s="222">
        <v>1</v>
      </c>
      <c r="H13" s="226">
        <f>G13*Table_2[[#This Row],[Área (m²)]]</f>
        <v>81.55</v>
      </c>
      <c r="I13" s="218"/>
      <c r="J13" s="218"/>
      <c r="K13" s="221"/>
      <c r="L13" s="220"/>
      <c r="M13" s="218"/>
      <c r="N13" s="219"/>
    </row>
    <row r="14" spans="1:24" ht="14.25" customHeight="1" thickBot="1" x14ac:dyDescent="0.3">
      <c r="A14" s="225"/>
      <c r="B14" s="224" t="s">
        <v>200</v>
      </c>
      <c r="C14" s="223" t="s">
        <v>393</v>
      </c>
      <c r="D14" s="223">
        <f>2.5+5.3</f>
        <v>7.8</v>
      </c>
      <c r="E14" s="223" t="s">
        <v>220</v>
      </c>
      <c r="F14" s="223" t="s">
        <v>390</v>
      </c>
      <c r="G14" s="222">
        <v>1</v>
      </c>
      <c r="H14" s="226">
        <f>G14*Table_2[[#This Row],[Área (m²)]]</f>
        <v>7.8</v>
      </c>
      <c r="I14" s="218"/>
      <c r="J14" s="218"/>
      <c r="K14" s="277" t="s">
        <v>422</v>
      </c>
      <c r="L14" s="279"/>
      <c r="M14" s="218"/>
      <c r="N14" s="219"/>
    </row>
    <row r="15" spans="1:24" ht="14.25" customHeight="1" x14ac:dyDescent="0.25">
      <c r="A15" s="225"/>
      <c r="B15" s="224" t="s">
        <v>200</v>
      </c>
      <c r="C15" s="223" t="s">
        <v>421</v>
      </c>
      <c r="D15" s="223">
        <v>9.25</v>
      </c>
      <c r="E15" s="223" t="s">
        <v>201</v>
      </c>
      <c r="F15" s="223" t="s">
        <v>394</v>
      </c>
      <c r="G15" s="222">
        <v>1</v>
      </c>
      <c r="H15" s="226">
        <f>G15*Table_2[[#This Row],[Área (m²)]]</f>
        <v>9.25</v>
      </c>
      <c r="I15" s="218"/>
      <c r="J15" s="218"/>
      <c r="K15" s="232" t="s">
        <v>420</v>
      </c>
      <c r="L15" s="231" t="s">
        <v>419</v>
      </c>
      <c r="M15" s="218"/>
      <c r="N15" s="219"/>
    </row>
    <row r="16" spans="1:24" ht="14.25" customHeight="1" x14ac:dyDescent="0.25">
      <c r="A16" s="225"/>
      <c r="B16" s="224" t="s">
        <v>200</v>
      </c>
      <c r="C16" s="223" t="s">
        <v>418</v>
      </c>
      <c r="D16" s="223">
        <v>44.4</v>
      </c>
      <c r="E16" s="223" t="s">
        <v>361</v>
      </c>
      <c r="F16" s="223" t="s">
        <v>390</v>
      </c>
      <c r="G16" s="222">
        <v>1</v>
      </c>
      <c r="H16" s="226">
        <f>G16*Table_2[[#This Row],[Área (m²)]]</f>
        <v>44.4</v>
      </c>
      <c r="I16" s="218"/>
      <c r="J16" s="218"/>
      <c r="K16" s="230" t="s">
        <v>201</v>
      </c>
      <c r="L16" s="229">
        <f t="shared" ref="L16:L22" si="0">SUMIF(E:E,K16,H:H)</f>
        <v>5425.9000000000005</v>
      </c>
      <c r="M16" s="218"/>
      <c r="N16" s="219"/>
    </row>
    <row r="17" spans="1:14" ht="14.25" customHeight="1" x14ac:dyDescent="0.25">
      <c r="A17" s="225"/>
      <c r="B17" s="224" t="s">
        <v>200</v>
      </c>
      <c r="C17" s="223" t="s">
        <v>417</v>
      </c>
      <c r="D17" s="223">
        <v>75.45</v>
      </c>
      <c r="E17" s="223" t="s">
        <v>361</v>
      </c>
      <c r="F17" s="223" t="s">
        <v>390</v>
      </c>
      <c r="G17" s="222">
        <v>1</v>
      </c>
      <c r="H17" s="226">
        <f>G17*Table_2[[#This Row],[Área (m²)]]</f>
        <v>75.45</v>
      </c>
      <c r="I17" s="218"/>
      <c r="J17" s="218"/>
      <c r="K17" s="221" t="s">
        <v>352</v>
      </c>
      <c r="L17" s="229">
        <f t="shared" si="0"/>
        <v>30.15</v>
      </c>
      <c r="M17" s="218"/>
      <c r="N17" s="219"/>
    </row>
    <row r="18" spans="1:14" ht="14.25" customHeight="1" x14ac:dyDescent="0.25">
      <c r="A18" s="225"/>
      <c r="B18" s="224" t="s">
        <v>200</v>
      </c>
      <c r="C18" s="223" t="s">
        <v>416</v>
      </c>
      <c r="D18" s="223">
        <f>8.6+1.15</f>
        <v>9.75</v>
      </c>
      <c r="E18" s="223" t="s">
        <v>361</v>
      </c>
      <c r="F18" s="223" t="s">
        <v>390</v>
      </c>
      <c r="G18" s="222">
        <v>1</v>
      </c>
      <c r="H18" s="226">
        <f>G18*Table_2[[#This Row],[Área (m²)]]</f>
        <v>9.75</v>
      </c>
      <c r="I18" s="218"/>
      <c r="J18" s="218"/>
      <c r="K18" s="221" t="s">
        <v>359</v>
      </c>
      <c r="L18" s="229">
        <f t="shared" si="0"/>
        <v>367.99560000000002</v>
      </c>
      <c r="M18" s="218"/>
      <c r="N18" s="219"/>
    </row>
    <row r="19" spans="1:14" ht="14.25" customHeight="1" x14ac:dyDescent="0.25">
      <c r="A19" s="225"/>
      <c r="B19" s="224" t="s">
        <v>200</v>
      </c>
      <c r="C19" s="223" t="s">
        <v>415</v>
      </c>
      <c r="D19" s="223">
        <v>14.15</v>
      </c>
      <c r="E19" s="223" t="s">
        <v>352</v>
      </c>
      <c r="F19" s="223" t="s">
        <v>390</v>
      </c>
      <c r="G19" s="222">
        <v>1</v>
      </c>
      <c r="H19" s="226">
        <f>G19*Table_2[[#This Row],[Área (m²)]]</f>
        <v>14.15</v>
      </c>
      <c r="I19" s="218"/>
      <c r="J19" s="218"/>
      <c r="K19" s="223" t="s">
        <v>220</v>
      </c>
      <c r="L19" s="229">
        <f t="shared" si="0"/>
        <v>289</v>
      </c>
      <c r="M19" s="218"/>
      <c r="N19" s="219"/>
    </row>
    <row r="20" spans="1:14" ht="14.25" customHeight="1" x14ac:dyDescent="0.25">
      <c r="A20" s="225"/>
      <c r="B20" s="224" t="s">
        <v>200</v>
      </c>
      <c r="C20" s="223" t="s">
        <v>412</v>
      </c>
      <c r="D20" s="223">
        <f>25.77*3.18</f>
        <v>81.948599999999999</v>
      </c>
      <c r="E20" s="223" t="s">
        <v>359</v>
      </c>
      <c r="F20" s="223" t="s">
        <v>390</v>
      </c>
      <c r="G20" s="222">
        <v>1</v>
      </c>
      <c r="H20" s="226">
        <f>G20*Table_2[[#This Row],[Área (m²)]]</f>
        <v>81.948599999999999</v>
      </c>
      <c r="I20" s="218"/>
      <c r="J20" s="218"/>
      <c r="K20" s="221" t="s">
        <v>360</v>
      </c>
      <c r="L20" s="229">
        <f t="shared" si="0"/>
        <v>29.7</v>
      </c>
      <c r="M20" s="218"/>
      <c r="N20" s="219"/>
    </row>
    <row r="21" spans="1:14" ht="14.25" customHeight="1" x14ac:dyDescent="0.25">
      <c r="A21" s="225"/>
      <c r="B21" s="224" t="s">
        <v>413</v>
      </c>
      <c r="C21" s="223" t="s">
        <v>414</v>
      </c>
      <c r="D21" s="223">
        <v>282.5</v>
      </c>
      <c r="E21" s="223" t="s">
        <v>361</v>
      </c>
      <c r="F21" s="223" t="s">
        <v>390</v>
      </c>
      <c r="G21" s="222">
        <v>3</v>
      </c>
      <c r="H21" s="226">
        <f>G21*Table_2[[#This Row],[Área (m²)]]</f>
        <v>847.5</v>
      </c>
      <c r="I21" s="218"/>
      <c r="J21" s="218"/>
      <c r="K21" s="221" t="s">
        <v>361</v>
      </c>
      <c r="L21" s="229">
        <f t="shared" si="0"/>
        <v>977.1</v>
      </c>
      <c r="M21" s="218"/>
      <c r="N21" s="219"/>
    </row>
    <row r="22" spans="1:14" ht="14.25" customHeight="1" x14ac:dyDescent="0.25">
      <c r="A22" s="225"/>
      <c r="B22" s="224" t="s">
        <v>413</v>
      </c>
      <c r="C22" s="223" t="s">
        <v>412</v>
      </c>
      <c r="D22" s="223">
        <f>25.77*3.7</f>
        <v>95.349000000000004</v>
      </c>
      <c r="E22" s="223" t="s">
        <v>359</v>
      </c>
      <c r="F22" s="223" t="s">
        <v>390</v>
      </c>
      <c r="G22" s="222">
        <v>3</v>
      </c>
      <c r="H22" s="226">
        <f>G22*Table_2[[#This Row],[Área (m²)]]</f>
        <v>286.04700000000003</v>
      </c>
      <c r="I22" s="218"/>
      <c r="J22" s="218"/>
      <c r="K22" s="221" t="s">
        <v>332</v>
      </c>
      <c r="L22" s="229">
        <f t="shared" si="0"/>
        <v>69.73</v>
      </c>
      <c r="M22" s="218"/>
      <c r="N22" s="219"/>
    </row>
    <row r="23" spans="1:14" ht="14.25" customHeight="1" x14ac:dyDescent="0.25">
      <c r="A23" s="225"/>
      <c r="B23" s="224" t="s">
        <v>351</v>
      </c>
      <c r="C23" s="223" t="s">
        <v>411</v>
      </c>
      <c r="D23" s="223">
        <f>58.5+51.5</f>
        <v>110</v>
      </c>
      <c r="E23" s="223" t="s">
        <v>201</v>
      </c>
      <c r="F23" s="223" t="s">
        <v>394</v>
      </c>
      <c r="G23" s="222">
        <v>1</v>
      </c>
      <c r="H23" s="226">
        <f>G23*Table_2[[#This Row],[Área (m²)]]</f>
        <v>110</v>
      </c>
      <c r="I23" s="218"/>
      <c r="J23" s="218"/>
      <c r="K23" s="221"/>
      <c r="L23" s="220"/>
      <c r="M23" s="218"/>
      <c r="N23" s="219"/>
    </row>
    <row r="24" spans="1:14" ht="14.25" customHeight="1" x14ac:dyDescent="0.25">
      <c r="A24" s="225"/>
      <c r="B24" s="224" t="s">
        <v>351</v>
      </c>
      <c r="C24" s="223" t="s">
        <v>410</v>
      </c>
      <c r="D24" s="223">
        <v>36.1</v>
      </c>
      <c r="E24" s="223" t="s">
        <v>201</v>
      </c>
      <c r="F24" s="223" t="s">
        <v>394</v>
      </c>
      <c r="G24" s="222">
        <v>1</v>
      </c>
      <c r="H24" s="226">
        <f>G24*Table_2[[#This Row],[Área (m²)]]</f>
        <v>36.1</v>
      </c>
      <c r="I24" s="218"/>
      <c r="J24" s="218"/>
      <c r="K24" s="221"/>
      <c r="L24" s="220"/>
      <c r="M24" s="218"/>
      <c r="N24" s="219"/>
    </row>
    <row r="25" spans="1:14" ht="14.25" customHeight="1" x14ac:dyDescent="0.25">
      <c r="A25" s="225"/>
      <c r="B25" s="224" t="s">
        <v>351</v>
      </c>
      <c r="C25" s="223" t="s">
        <v>409</v>
      </c>
      <c r="D25" s="223">
        <v>39.200000000000003</v>
      </c>
      <c r="E25" s="223" t="s">
        <v>201</v>
      </c>
      <c r="F25" s="223" t="s">
        <v>394</v>
      </c>
      <c r="G25" s="222">
        <v>1</v>
      </c>
      <c r="H25" s="226">
        <f>G25*Table_2[[#This Row],[Área (m²)]]</f>
        <v>39.200000000000003</v>
      </c>
      <c r="I25" s="218"/>
      <c r="J25" s="218"/>
      <c r="K25" s="221"/>
      <c r="L25" s="220"/>
      <c r="M25" s="218"/>
      <c r="N25" s="219"/>
    </row>
    <row r="26" spans="1:14" ht="14.25" customHeight="1" x14ac:dyDescent="0.25">
      <c r="A26" s="225"/>
      <c r="B26" s="224" t="s">
        <v>351</v>
      </c>
      <c r="C26" s="223" t="s">
        <v>408</v>
      </c>
      <c r="D26" s="223">
        <v>39.1</v>
      </c>
      <c r="E26" s="223" t="s">
        <v>201</v>
      </c>
      <c r="F26" s="223" t="s">
        <v>394</v>
      </c>
      <c r="G26" s="222">
        <v>1</v>
      </c>
      <c r="H26" s="226">
        <f>G26*Table_2[[#This Row],[Área (m²)]]</f>
        <v>39.1</v>
      </c>
      <c r="I26" s="218"/>
      <c r="J26" s="218"/>
      <c r="K26" s="221"/>
      <c r="L26" s="220"/>
      <c r="M26" s="218"/>
      <c r="N26" s="219"/>
    </row>
    <row r="27" spans="1:14" ht="14.25" customHeight="1" x14ac:dyDescent="0.25">
      <c r="A27" s="225"/>
      <c r="B27" s="224" t="s">
        <v>351</v>
      </c>
      <c r="C27" s="223" t="s">
        <v>407</v>
      </c>
      <c r="D27" s="223">
        <f>3.35+3.35+3.6</f>
        <v>10.3</v>
      </c>
      <c r="E27" s="223" t="s">
        <v>201</v>
      </c>
      <c r="F27" s="223" t="s">
        <v>394</v>
      </c>
      <c r="G27" s="222">
        <v>1</v>
      </c>
      <c r="H27" s="226">
        <f>G27*Table_2[[#This Row],[Área (m²)]]</f>
        <v>10.3</v>
      </c>
      <c r="I27" s="218"/>
      <c r="J27" s="218"/>
      <c r="K27" s="221"/>
      <c r="L27" s="220"/>
      <c r="M27" s="218"/>
      <c r="N27" s="219"/>
    </row>
    <row r="28" spans="1:14" ht="14.25" customHeight="1" x14ac:dyDescent="0.25">
      <c r="A28" s="225"/>
      <c r="B28" s="224" t="s">
        <v>351</v>
      </c>
      <c r="C28" s="223" t="s">
        <v>406</v>
      </c>
      <c r="D28" s="223">
        <v>13.6</v>
      </c>
      <c r="E28" s="223" t="s">
        <v>201</v>
      </c>
      <c r="F28" s="223" t="s">
        <v>394</v>
      </c>
      <c r="G28" s="222">
        <v>1</v>
      </c>
      <c r="H28" s="226">
        <f>G28*Table_2[[#This Row],[Área (m²)]]</f>
        <v>13.6</v>
      </c>
      <c r="I28" s="218"/>
      <c r="J28" s="218"/>
      <c r="K28" s="221"/>
      <c r="L28" s="220"/>
      <c r="M28" s="218"/>
      <c r="N28" s="219"/>
    </row>
    <row r="29" spans="1:14" ht="14.25" customHeight="1" x14ac:dyDescent="0.25">
      <c r="A29" s="225"/>
      <c r="B29" s="224" t="s">
        <v>351</v>
      </c>
      <c r="C29" s="223" t="s">
        <v>405</v>
      </c>
      <c r="D29" s="223">
        <v>12.6</v>
      </c>
      <c r="E29" s="223" t="s">
        <v>201</v>
      </c>
      <c r="F29" s="223" t="s">
        <v>394</v>
      </c>
      <c r="G29" s="222">
        <v>1</v>
      </c>
      <c r="H29" s="226">
        <f>G29*Table_2[[#This Row],[Área (m²)]]</f>
        <v>12.6</v>
      </c>
      <c r="I29" s="218"/>
      <c r="J29" s="218"/>
      <c r="K29" s="221"/>
      <c r="L29" s="220"/>
      <c r="M29" s="218"/>
      <c r="N29" s="219"/>
    </row>
    <row r="30" spans="1:14" ht="14.25" customHeight="1" x14ac:dyDescent="0.25">
      <c r="A30" s="225"/>
      <c r="B30" s="224" t="s">
        <v>351</v>
      </c>
      <c r="C30" s="223" t="s">
        <v>404</v>
      </c>
      <c r="D30" s="223">
        <v>16.649999999999999</v>
      </c>
      <c r="E30" s="223" t="s">
        <v>201</v>
      </c>
      <c r="F30" s="223" t="s">
        <v>394</v>
      </c>
      <c r="G30" s="222">
        <v>1</v>
      </c>
      <c r="H30" s="226">
        <f>G30*Table_2[[#This Row],[Área (m²)]]</f>
        <v>16.649999999999999</v>
      </c>
      <c r="I30" s="218"/>
      <c r="J30" s="218"/>
      <c r="K30" s="221"/>
      <c r="L30" s="220"/>
      <c r="M30" s="218"/>
      <c r="N30" s="219"/>
    </row>
    <row r="31" spans="1:14" ht="14.25" customHeight="1" x14ac:dyDescent="0.25">
      <c r="A31" s="225"/>
      <c r="B31" s="224" t="s">
        <v>351</v>
      </c>
      <c r="C31" s="223" t="s">
        <v>403</v>
      </c>
      <c r="D31" s="223">
        <v>29.7</v>
      </c>
      <c r="E31" s="223" t="s">
        <v>360</v>
      </c>
      <c r="F31" s="223" t="s">
        <v>394</v>
      </c>
      <c r="G31" s="222">
        <v>1</v>
      </c>
      <c r="H31" s="226">
        <f>G31*Table_2[[#This Row],[Área (m²)]]</f>
        <v>29.7</v>
      </c>
      <c r="I31" s="218"/>
      <c r="J31" s="218"/>
      <c r="K31" s="221"/>
      <c r="L31" s="220"/>
      <c r="M31" s="218"/>
      <c r="N31" s="219"/>
    </row>
    <row r="32" spans="1:14" ht="14.25" customHeight="1" x14ac:dyDescent="0.25">
      <c r="A32" s="225"/>
      <c r="B32" s="224" t="s">
        <v>351</v>
      </c>
      <c r="C32" s="223" t="s">
        <v>402</v>
      </c>
      <c r="D32" s="223">
        <v>32</v>
      </c>
      <c r="E32" s="223" t="s">
        <v>201</v>
      </c>
      <c r="F32" s="223" t="s">
        <v>394</v>
      </c>
      <c r="G32" s="222">
        <v>1</v>
      </c>
      <c r="H32" s="226">
        <f>G32*Table_2[[#This Row],[Área (m²)]]</f>
        <v>32</v>
      </c>
      <c r="I32" s="218"/>
      <c r="J32" s="218"/>
      <c r="K32" s="221"/>
      <c r="L32" s="220"/>
      <c r="M32" s="218"/>
      <c r="N32" s="219"/>
    </row>
    <row r="33" spans="1:14" ht="14.25" customHeight="1" x14ac:dyDescent="0.25">
      <c r="A33" s="225"/>
      <c r="B33" s="224" t="s">
        <v>351</v>
      </c>
      <c r="C33" s="223" t="s">
        <v>401</v>
      </c>
      <c r="D33" s="223">
        <v>25.65</v>
      </c>
      <c r="E33" s="223" t="s">
        <v>201</v>
      </c>
      <c r="F33" s="223" t="s">
        <v>394</v>
      </c>
      <c r="G33" s="222">
        <v>1</v>
      </c>
      <c r="H33" s="226">
        <f>G33*Table_2[[#This Row],[Área (m²)]]</f>
        <v>25.65</v>
      </c>
      <c r="I33" s="218"/>
      <c r="J33" s="218"/>
      <c r="K33" s="221"/>
      <c r="L33" s="220"/>
      <c r="M33" s="218"/>
      <c r="N33" s="219"/>
    </row>
    <row r="34" spans="1:14" ht="14.25" customHeight="1" x14ac:dyDescent="0.25">
      <c r="A34" s="225"/>
      <c r="B34" s="224" t="s">
        <v>351</v>
      </c>
      <c r="C34" s="223" t="s">
        <v>400</v>
      </c>
      <c r="D34" s="223">
        <v>92.75</v>
      </c>
      <c r="E34" s="223" t="s">
        <v>201</v>
      </c>
      <c r="F34" s="223" t="s">
        <v>394</v>
      </c>
      <c r="G34" s="222">
        <v>1</v>
      </c>
      <c r="H34" s="226">
        <f>G34*Table_2[[#This Row],[Área (m²)]]</f>
        <v>92.75</v>
      </c>
      <c r="I34" s="218"/>
      <c r="J34" s="218"/>
      <c r="K34" s="221"/>
      <c r="L34" s="220"/>
      <c r="M34" s="218"/>
      <c r="N34" s="219"/>
    </row>
    <row r="35" spans="1:14" ht="14.25" customHeight="1" x14ac:dyDescent="0.25">
      <c r="A35" s="225"/>
      <c r="B35" s="224" t="s">
        <v>351</v>
      </c>
      <c r="C35" s="223" t="s">
        <v>399</v>
      </c>
      <c r="D35" s="223">
        <v>102</v>
      </c>
      <c r="E35" s="223" t="s">
        <v>201</v>
      </c>
      <c r="F35" s="223" t="s">
        <v>394</v>
      </c>
      <c r="G35" s="222">
        <v>1</v>
      </c>
      <c r="H35" s="226">
        <f>G35*Table_2[[#This Row],[Área (m²)]]</f>
        <v>102</v>
      </c>
      <c r="I35" s="218"/>
      <c r="J35" s="218"/>
      <c r="K35" s="221"/>
      <c r="L35" s="220"/>
      <c r="M35" s="218"/>
      <c r="N35" s="219"/>
    </row>
    <row r="36" spans="1:14" ht="14.25" customHeight="1" x14ac:dyDescent="0.25">
      <c r="A36" s="225"/>
      <c r="B36" s="224" t="s">
        <v>351</v>
      </c>
      <c r="C36" s="223" t="s">
        <v>398</v>
      </c>
      <c r="D36" s="223">
        <f>16.15+23.65+(2.91*2*1.3+8.14*2*1.3+2*0.6)</f>
        <v>69.73</v>
      </c>
      <c r="E36" s="223" t="s">
        <v>332</v>
      </c>
      <c r="F36" s="223" t="s">
        <v>390</v>
      </c>
      <c r="G36" s="222">
        <v>1</v>
      </c>
      <c r="H36" s="226">
        <f>G36*Table_2[[#This Row],[Área (m²)]]</f>
        <v>69.73</v>
      </c>
      <c r="I36" s="218"/>
      <c r="J36" s="218"/>
      <c r="K36" s="221"/>
      <c r="L36" s="220"/>
      <c r="M36" s="218"/>
      <c r="N36" s="219"/>
    </row>
    <row r="37" spans="1:14" ht="14.25" customHeight="1" x14ac:dyDescent="0.25">
      <c r="A37" s="225"/>
      <c r="B37" s="224" t="s">
        <v>396</v>
      </c>
      <c r="C37" s="223" t="s">
        <v>397</v>
      </c>
      <c r="D37" s="223">
        <f>12.75</f>
        <v>12.75</v>
      </c>
      <c r="E37" s="223" t="s">
        <v>201</v>
      </c>
      <c r="F37" s="223" t="s">
        <v>394</v>
      </c>
      <c r="G37" s="222">
        <v>14</v>
      </c>
      <c r="H37" s="226">
        <f>G37*Table_2[[#This Row],[Área (m²)]]</f>
        <v>178.5</v>
      </c>
      <c r="I37" s="218"/>
      <c r="J37" s="218"/>
      <c r="K37" s="221"/>
      <c r="L37" s="220"/>
      <c r="M37" s="218"/>
      <c r="N37" s="219"/>
    </row>
    <row r="38" spans="1:14" ht="14.25" customHeight="1" x14ac:dyDescent="0.25">
      <c r="A38" s="225"/>
      <c r="B38" s="224" t="s">
        <v>396</v>
      </c>
      <c r="C38" s="223" t="s">
        <v>395</v>
      </c>
      <c r="D38" s="223">
        <f>4485.6/14</f>
        <v>320.40000000000003</v>
      </c>
      <c r="E38" s="223" t="s">
        <v>201</v>
      </c>
      <c r="F38" s="223" t="s">
        <v>394</v>
      </c>
      <c r="G38" s="222">
        <v>14</v>
      </c>
      <c r="H38" s="226">
        <f>G38*Table_2[[#This Row],[Área (m²)]]</f>
        <v>4485.6000000000004</v>
      </c>
      <c r="I38" s="218"/>
      <c r="J38" s="218"/>
      <c r="K38" s="221"/>
      <c r="L38" s="220"/>
      <c r="M38" s="218"/>
      <c r="N38" s="219"/>
    </row>
    <row r="39" spans="1:14" ht="14.25" customHeight="1" x14ac:dyDescent="0.25">
      <c r="A39" s="225"/>
      <c r="B39" s="224" t="s">
        <v>216</v>
      </c>
      <c r="C39" s="223" t="s">
        <v>393</v>
      </c>
      <c r="D39" s="223">
        <f>2.5+12.3</f>
        <v>14.8</v>
      </c>
      <c r="E39" s="223" t="s">
        <v>220</v>
      </c>
      <c r="F39" s="223" t="s">
        <v>390</v>
      </c>
      <c r="G39" s="222">
        <f>14+1+3+1</f>
        <v>19</v>
      </c>
      <c r="H39" s="226">
        <f>G39*Table_2[[#This Row],[Área (m²)]]</f>
        <v>281.2</v>
      </c>
      <c r="I39" s="218"/>
      <c r="J39" s="218"/>
      <c r="K39" s="221"/>
      <c r="L39" s="220"/>
      <c r="M39" s="218"/>
      <c r="N39" s="219"/>
    </row>
    <row r="40" spans="1:14" ht="14.25" customHeight="1" x14ac:dyDescent="0.25">
      <c r="A40" s="225"/>
      <c r="B40" s="228" t="s">
        <v>392</v>
      </c>
      <c r="C40" s="227" t="s">
        <v>391</v>
      </c>
      <c r="D40" s="223">
        <f>16</f>
        <v>16</v>
      </c>
      <c r="E40" s="223" t="s">
        <v>352</v>
      </c>
      <c r="F40" s="223" t="s">
        <v>390</v>
      </c>
      <c r="G40" s="222">
        <v>1</v>
      </c>
      <c r="H40" s="226">
        <f>G40*Table_2[[#This Row],[Área (m²)]]</f>
        <v>16</v>
      </c>
      <c r="I40" s="218"/>
      <c r="J40" s="218"/>
      <c r="K40" s="221"/>
      <c r="L40" s="220"/>
      <c r="M40" s="218"/>
      <c r="N40" s="219"/>
    </row>
    <row r="41" spans="1:14" ht="14.25" customHeight="1" x14ac:dyDescent="0.25">
      <c r="A41" s="225"/>
      <c r="B41" s="224"/>
      <c r="C41" s="223"/>
      <c r="D41" s="223"/>
      <c r="E41" s="223"/>
      <c r="F41" s="223"/>
      <c r="G41" s="222"/>
      <c r="H41" s="220"/>
      <c r="I41" s="218"/>
      <c r="J41" s="218"/>
      <c r="K41" s="221"/>
      <c r="L41" s="220"/>
      <c r="M41" s="218"/>
      <c r="N41" s="219"/>
    </row>
    <row r="42" spans="1:14" ht="14.25" customHeight="1" x14ac:dyDescent="0.25">
      <c r="A42" s="225"/>
      <c r="B42" s="224"/>
      <c r="C42" s="223"/>
      <c r="D42" s="223"/>
      <c r="E42" s="223"/>
      <c r="F42" s="223"/>
      <c r="G42" s="222"/>
      <c r="H42" s="220"/>
      <c r="I42" s="218"/>
      <c r="J42" s="218"/>
      <c r="K42" s="221"/>
      <c r="L42" s="220"/>
      <c r="M42" s="218"/>
      <c r="N42" s="219"/>
    </row>
    <row r="43" spans="1:14" ht="14.25" customHeight="1" x14ac:dyDescent="0.25">
      <c r="A43" s="225"/>
      <c r="B43" s="224"/>
      <c r="C43" s="223"/>
      <c r="D43" s="223"/>
      <c r="E43" s="223"/>
      <c r="F43" s="223"/>
      <c r="G43" s="222"/>
      <c r="H43" s="220"/>
      <c r="I43" s="218"/>
      <c r="J43" s="218"/>
      <c r="K43" s="221"/>
      <c r="L43" s="220"/>
      <c r="M43" s="218"/>
      <c r="N43" s="219"/>
    </row>
    <row r="44" spans="1:14" ht="14.25" customHeight="1" x14ac:dyDescent="0.25">
      <c r="A44" s="225"/>
      <c r="B44" s="224"/>
      <c r="C44" s="223"/>
      <c r="D44" s="223"/>
      <c r="E44" s="223"/>
      <c r="F44" s="223"/>
      <c r="G44" s="222"/>
      <c r="H44" s="220"/>
      <c r="I44" s="218"/>
      <c r="J44" s="218"/>
      <c r="K44" s="221"/>
      <c r="L44" s="220"/>
      <c r="M44" s="218"/>
      <c r="N44" s="219"/>
    </row>
    <row r="45" spans="1:14" ht="14.25" customHeight="1" x14ac:dyDescent="0.25">
      <c r="A45" s="225"/>
      <c r="B45" s="224"/>
      <c r="C45" s="223"/>
      <c r="D45" s="223"/>
      <c r="E45" s="223"/>
      <c r="F45" s="223"/>
      <c r="G45" s="222"/>
      <c r="H45" s="220"/>
      <c r="I45" s="218"/>
      <c r="J45" s="218"/>
      <c r="K45" s="221"/>
      <c r="L45" s="220"/>
      <c r="M45" s="218"/>
      <c r="N45" s="219"/>
    </row>
    <row r="46" spans="1:14" ht="14.25" customHeight="1" x14ac:dyDescent="0.25">
      <c r="A46" s="225"/>
      <c r="B46" s="224"/>
      <c r="C46" s="223"/>
      <c r="D46" s="223"/>
      <c r="E46" s="223"/>
      <c r="F46" s="223"/>
      <c r="G46" s="222"/>
      <c r="H46" s="220"/>
      <c r="I46" s="218"/>
      <c r="J46" s="218"/>
      <c r="K46" s="221"/>
      <c r="L46" s="220"/>
      <c r="M46" s="218"/>
      <c r="N46" s="219"/>
    </row>
    <row r="47" spans="1:14" ht="14.25" customHeight="1" x14ac:dyDescent="0.25">
      <c r="A47" s="225"/>
      <c r="B47" s="224"/>
      <c r="C47" s="223"/>
      <c r="D47" s="223"/>
      <c r="E47" s="223"/>
      <c r="F47" s="223"/>
      <c r="G47" s="222"/>
      <c r="H47" s="220"/>
      <c r="I47" s="218"/>
      <c r="J47" s="218"/>
      <c r="K47" s="221"/>
      <c r="L47" s="220"/>
      <c r="M47" s="218"/>
      <c r="N47" s="219"/>
    </row>
    <row r="48" spans="1:14" ht="14.25" customHeight="1" x14ac:dyDescent="0.25">
      <c r="A48" s="225"/>
      <c r="B48" s="224"/>
      <c r="C48" s="223"/>
      <c r="D48" s="223"/>
      <c r="E48" s="223"/>
      <c r="F48" s="223"/>
      <c r="G48" s="222"/>
      <c r="H48" s="220"/>
      <c r="I48" s="218"/>
      <c r="J48" s="218"/>
      <c r="K48" s="221"/>
      <c r="L48" s="220"/>
      <c r="M48" s="218"/>
      <c r="N48" s="219"/>
    </row>
    <row r="49" spans="1:14" ht="14.25" customHeight="1" x14ac:dyDescent="0.25">
      <c r="A49" s="225"/>
      <c r="B49" s="224"/>
      <c r="C49" s="223"/>
      <c r="D49" s="223"/>
      <c r="E49" s="223"/>
      <c r="F49" s="223"/>
      <c r="G49" s="222"/>
      <c r="H49" s="220"/>
      <c r="I49" s="218"/>
      <c r="J49" s="218"/>
      <c r="K49" s="221"/>
      <c r="L49" s="220"/>
      <c r="M49" s="218"/>
      <c r="N49" s="219"/>
    </row>
    <row r="50" spans="1:14" ht="14.25" customHeight="1" x14ac:dyDescent="0.25">
      <c r="A50" s="225"/>
      <c r="B50" s="224"/>
      <c r="C50" s="223"/>
      <c r="D50" s="223"/>
      <c r="E50" s="223"/>
      <c r="F50" s="223"/>
      <c r="G50" s="222"/>
      <c r="H50" s="220"/>
      <c r="I50" s="218"/>
      <c r="J50" s="218"/>
      <c r="K50" s="221"/>
      <c r="L50" s="220"/>
      <c r="M50" s="218"/>
      <c r="N50" s="219"/>
    </row>
    <row r="51" spans="1:14" ht="14.25" customHeight="1" x14ac:dyDescent="0.25">
      <c r="A51" s="225"/>
      <c r="B51" s="224"/>
      <c r="C51" s="223"/>
      <c r="D51" s="223"/>
      <c r="E51" s="223"/>
      <c r="F51" s="223"/>
      <c r="G51" s="222"/>
      <c r="H51" s="220"/>
      <c r="I51" s="218"/>
      <c r="J51" s="218"/>
      <c r="K51" s="221"/>
      <c r="L51" s="220"/>
      <c r="M51" s="218"/>
      <c r="N51" s="219"/>
    </row>
    <row r="52" spans="1:14" ht="14.25" customHeight="1" x14ac:dyDescent="0.25">
      <c r="A52" s="225"/>
      <c r="B52" s="224"/>
      <c r="C52" s="223"/>
      <c r="D52" s="223"/>
      <c r="E52" s="223"/>
      <c r="F52" s="223"/>
      <c r="G52" s="222"/>
      <c r="H52" s="220"/>
      <c r="I52" s="218"/>
      <c r="J52" s="218"/>
      <c r="K52" s="221"/>
      <c r="L52" s="220"/>
      <c r="M52" s="218"/>
      <c r="N52" s="219"/>
    </row>
    <row r="53" spans="1:14" ht="14.25" customHeight="1" x14ac:dyDescent="0.25">
      <c r="A53" s="225"/>
      <c r="B53" s="224"/>
      <c r="C53" s="223"/>
      <c r="D53" s="223"/>
      <c r="E53" s="223"/>
      <c r="F53" s="223"/>
      <c r="G53" s="222"/>
      <c r="H53" s="220"/>
      <c r="I53" s="218"/>
      <c r="J53" s="218"/>
      <c r="K53" s="221"/>
      <c r="L53" s="220"/>
      <c r="M53" s="218"/>
      <c r="N53" s="219"/>
    </row>
    <row r="54" spans="1:14" ht="14.25" customHeight="1" x14ac:dyDescent="0.25">
      <c r="A54" s="225"/>
      <c r="B54" s="224"/>
      <c r="C54" s="223"/>
      <c r="D54" s="223"/>
      <c r="E54" s="223"/>
      <c r="F54" s="223"/>
      <c r="G54" s="222"/>
      <c r="H54" s="220"/>
      <c r="I54" s="218"/>
      <c r="J54" s="218"/>
      <c r="K54" s="221"/>
      <c r="L54" s="220"/>
      <c r="M54" s="218"/>
      <c r="N54" s="219"/>
    </row>
    <row r="55" spans="1:14" ht="14.25" customHeight="1" x14ac:dyDescent="0.25">
      <c r="A55" s="225"/>
      <c r="B55" s="224"/>
      <c r="C55" s="223"/>
      <c r="D55" s="223"/>
      <c r="E55" s="223"/>
      <c r="F55" s="223"/>
      <c r="G55" s="222"/>
      <c r="H55" s="220"/>
      <c r="I55" s="218"/>
      <c r="J55" s="218"/>
      <c r="K55" s="221"/>
      <c r="L55" s="220"/>
      <c r="M55" s="218"/>
      <c r="N55" s="219"/>
    </row>
    <row r="56" spans="1:14" ht="14.25" customHeight="1" x14ac:dyDescent="0.25">
      <c r="A56" s="225"/>
      <c r="B56" s="224"/>
      <c r="C56" s="223"/>
      <c r="D56" s="223"/>
      <c r="E56" s="223"/>
      <c r="F56" s="223"/>
      <c r="G56" s="222"/>
      <c r="H56" s="220"/>
      <c r="I56" s="218"/>
      <c r="J56" s="218"/>
      <c r="K56" s="221"/>
      <c r="L56" s="220"/>
      <c r="M56" s="218"/>
      <c r="N56" s="219"/>
    </row>
    <row r="57" spans="1:14" ht="14.25" customHeight="1" x14ac:dyDescent="0.25">
      <c r="A57" s="225"/>
      <c r="B57" s="224"/>
      <c r="C57" s="223"/>
      <c r="D57" s="223"/>
      <c r="E57" s="223"/>
      <c r="F57" s="223"/>
      <c r="G57" s="222"/>
      <c r="H57" s="220"/>
      <c r="I57" s="218"/>
      <c r="J57" s="218"/>
      <c r="K57" s="221"/>
      <c r="L57" s="220"/>
      <c r="M57" s="218"/>
      <c r="N57" s="219"/>
    </row>
    <row r="58" spans="1:14" ht="14.25" customHeight="1" x14ac:dyDescent="0.25">
      <c r="A58" s="225"/>
      <c r="B58" s="224"/>
      <c r="C58" s="223"/>
      <c r="D58" s="223"/>
      <c r="E58" s="223"/>
      <c r="F58" s="223"/>
      <c r="G58" s="222"/>
      <c r="H58" s="220"/>
      <c r="I58" s="218"/>
      <c r="J58" s="218"/>
      <c r="K58" s="221"/>
      <c r="L58" s="220"/>
      <c r="M58" s="218"/>
      <c r="N58" s="219"/>
    </row>
    <row r="59" spans="1:14" ht="14.25" customHeight="1" x14ac:dyDescent="0.25">
      <c r="A59" s="225"/>
      <c r="B59" s="224"/>
      <c r="C59" s="223"/>
      <c r="D59" s="223"/>
      <c r="E59" s="223"/>
      <c r="F59" s="223"/>
      <c r="G59" s="222"/>
      <c r="H59" s="220"/>
      <c r="I59" s="218"/>
      <c r="J59" s="218"/>
      <c r="K59" s="221"/>
      <c r="L59" s="220"/>
      <c r="M59" s="218"/>
      <c r="N59" s="219"/>
    </row>
    <row r="60" spans="1:14" ht="14.25" customHeight="1" x14ac:dyDescent="0.25">
      <c r="A60" s="225"/>
      <c r="B60" s="224"/>
      <c r="C60" s="223"/>
      <c r="D60" s="223"/>
      <c r="E60" s="223"/>
      <c r="F60" s="223"/>
      <c r="G60" s="222"/>
      <c r="H60" s="220"/>
      <c r="I60" s="218"/>
      <c r="J60" s="218"/>
      <c r="K60" s="221"/>
      <c r="L60" s="220"/>
      <c r="M60" s="218"/>
      <c r="N60" s="219"/>
    </row>
    <row r="61" spans="1:14" ht="14.25" customHeight="1" x14ac:dyDescent="0.25">
      <c r="A61" s="225"/>
      <c r="B61" s="224"/>
      <c r="C61" s="223"/>
      <c r="D61" s="223"/>
      <c r="E61" s="223"/>
      <c r="F61" s="223"/>
      <c r="G61" s="222"/>
      <c r="H61" s="220"/>
      <c r="I61" s="218"/>
      <c r="J61" s="218"/>
      <c r="K61" s="221"/>
      <c r="L61" s="220"/>
      <c r="M61" s="218"/>
      <c r="N61" s="219"/>
    </row>
    <row r="62" spans="1:14" ht="14.25" customHeight="1" x14ac:dyDescent="0.25">
      <c r="A62" s="225"/>
      <c r="B62" s="224"/>
      <c r="C62" s="223"/>
      <c r="D62" s="223"/>
      <c r="E62" s="223"/>
      <c r="F62" s="223"/>
      <c r="G62" s="222"/>
      <c r="H62" s="220"/>
      <c r="I62" s="218"/>
      <c r="J62" s="218"/>
      <c r="K62" s="221"/>
      <c r="L62" s="220"/>
      <c r="M62" s="218"/>
      <c r="N62" s="219"/>
    </row>
    <row r="63" spans="1:14" ht="14.25" customHeight="1" x14ac:dyDescent="0.25">
      <c r="A63" s="225"/>
      <c r="B63" s="224"/>
      <c r="C63" s="223"/>
      <c r="D63" s="223"/>
      <c r="E63" s="223"/>
      <c r="F63" s="223"/>
      <c r="G63" s="222"/>
      <c r="H63" s="220"/>
      <c r="I63" s="218"/>
      <c r="J63" s="218"/>
      <c r="K63" s="221"/>
      <c r="L63" s="220"/>
      <c r="M63" s="218"/>
      <c r="N63" s="219"/>
    </row>
    <row r="64" spans="1:14" ht="14.25" customHeight="1" x14ac:dyDescent="0.25">
      <c r="A64" s="225"/>
      <c r="B64" s="224"/>
      <c r="C64" s="223"/>
      <c r="D64" s="223"/>
      <c r="E64" s="223"/>
      <c r="F64" s="223"/>
      <c r="G64" s="222"/>
      <c r="H64" s="220"/>
      <c r="I64" s="218"/>
      <c r="J64" s="218"/>
      <c r="K64" s="221"/>
      <c r="L64" s="220"/>
      <c r="M64" s="218"/>
      <c r="N64" s="219"/>
    </row>
    <row r="65" spans="1:14" ht="14.25" customHeight="1" x14ac:dyDescent="0.25">
      <c r="A65" s="225"/>
      <c r="B65" s="224"/>
      <c r="C65" s="223"/>
      <c r="D65" s="223"/>
      <c r="E65" s="223"/>
      <c r="F65" s="223"/>
      <c r="G65" s="222"/>
      <c r="H65" s="220"/>
      <c r="I65" s="218"/>
      <c r="J65" s="218"/>
      <c r="K65" s="221"/>
      <c r="L65" s="220"/>
      <c r="M65" s="218"/>
      <c r="N65" s="219"/>
    </row>
    <row r="66" spans="1:14" ht="14.25" customHeight="1" x14ac:dyDescent="0.25">
      <c r="A66" s="225"/>
      <c r="B66" s="224"/>
      <c r="C66" s="223"/>
      <c r="D66" s="223"/>
      <c r="E66" s="223"/>
      <c r="F66" s="223"/>
      <c r="G66" s="222"/>
      <c r="H66" s="220"/>
      <c r="I66" s="218"/>
      <c r="J66" s="218"/>
      <c r="K66" s="221"/>
      <c r="L66" s="220"/>
      <c r="M66" s="218"/>
      <c r="N66" s="219"/>
    </row>
    <row r="67" spans="1:14" ht="14.25" customHeight="1" x14ac:dyDescent="0.25">
      <c r="A67" s="225"/>
      <c r="B67" s="224"/>
      <c r="C67" s="223"/>
      <c r="D67" s="223"/>
      <c r="E67" s="223"/>
      <c r="F67" s="223"/>
      <c r="G67" s="222"/>
      <c r="H67" s="220"/>
      <c r="I67" s="218"/>
      <c r="J67" s="218"/>
      <c r="K67" s="221"/>
      <c r="L67" s="220"/>
      <c r="M67" s="218"/>
      <c r="N67" s="219"/>
    </row>
    <row r="68" spans="1:14" ht="14.25" customHeight="1" x14ac:dyDescent="0.25">
      <c r="A68" s="225"/>
      <c r="B68" s="224"/>
      <c r="C68" s="223"/>
      <c r="D68" s="223"/>
      <c r="E68" s="223"/>
      <c r="F68" s="223"/>
      <c r="G68" s="222"/>
      <c r="H68" s="220"/>
      <c r="I68" s="218"/>
      <c r="J68" s="218"/>
      <c r="K68" s="221"/>
      <c r="L68" s="220"/>
      <c r="M68" s="218"/>
      <c r="N68" s="219"/>
    </row>
    <row r="69" spans="1:14" ht="14.25" customHeight="1" x14ac:dyDescent="0.25">
      <c r="A69" s="225"/>
      <c r="B69" s="224"/>
      <c r="C69" s="223"/>
      <c r="D69" s="223"/>
      <c r="E69" s="223"/>
      <c r="F69" s="223"/>
      <c r="G69" s="222"/>
      <c r="H69" s="220"/>
      <c r="I69" s="218"/>
      <c r="J69" s="218"/>
      <c r="K69" s="221"/>
      <c r="L69" s="220"/>
      <c r="M69" s="218"/>
      <c r="N69" s="219"/>
    </row>
    <row r="70" spans="1:14" ht="14.25" customHeight="1" x14ac:dyDescent="0.25">
      <c r="A70" s="225"/>
      <c r="B70" s="224"/>
      <c r="C70" s="223"/>
      <c r="D70" s="223"/>
      <c r="E70" s="223"/>
      <c r="F70" s="223"/>
      <c r="G70" s="222"/>
      <c r="H70" s="220"/>
      <c r="I70" s="218"/>
      <c r="J70" s="218"/>
      <c r="K70" s="221"/>
      <c r="L70" s="220"/>
      <c r="M70" s="218"/>
      <c r="N70" s="219"/>
    </row>
    <row r="71" spans="1:14" ht="14.25" customHeight="1" x14ac:dyDescent="0.25">
      <c r="A71" s="225"/>
      <c r="B71" s="224"/>
      <c r="C71" s="223"/>
      <c r="D71" s="223"/>
      <c r="E71" s="223"/>
      <c r="F71" s="223"/>
      <c r="G71" s="222"/>
      <c r="H71" s="220"/>
      <c r="I71" s="218"/>
      <c r="J71" s="218"/>
      <c r="K71" s="221"/>
      <c r="L71" s="220"/>
      <c r="M71" s="218"/>
      <c r="N71" s="219"/>
    </row>
    <row r="72" spans="1:14" ht="14.25" customHeight="1" x14ac:dyDescent="0.25">
      <c r="A72" s="225"/>
      <c r="B72" s="224"/>
      <c r="C72" s="223"/>
      <c r="D72" s="223"/>
      <c r="E72" s="223"/>
      <c r="F72" s="223"/>
      <c r="G72" s="222"/>
      <c r="H72" s="220"/>
      <c r="I72" s="218"/>
      <c r="J72" s="218"/>
      <c r="K72" s="221"/>
      <c r="L72" s="220"/>
      <c r="M72" s="218"/>
      <c r="N72" s="219"/>
    </row>
    <row r="73" spans="1:14" ht="14.25" customHeight="1" x14ac:dyDescent="0.25">
      <c r="A73" s="225"/>
      <c r="B73" s="224"/>
      <c r="C73" s="223"/>
      <c r="D73" s="223"/>
      <c r="E73" s="223"/>
      <c r="F73" s="223"/>
      <c r="G73" s="222"/>
      <c r="H73" s="220"/>
      <c r="I73" s="218"/>
      <c r="J73" s="218"/>
      <c r="K73" s="221"/>
      <c r="L73" s="220"/>
      <c r="M73" s="218"/>
      <c r="N73" s="219"/>
    </row>
    <row r="74" spans="1:14" ht="14.25" customHeight="1" x14ac:dyDescent="0.25">
      <c r="A74" s="225"/>
      <c r="B74" s="224"/>
      <c r="C74" s="223"/>
      <c r="D74" s="223"/>
      <c r="E74" s="223"/>
      <c r="F74" s="223"/>
      <c r="G74" s="222"/>
      <c r="H74" s="220"/>
      <c r="I74" s="218"/>
      <c r="J74" s="218"/>
      <c r="K74" s="221"/>
      <c r="L74" s="220"/>
      <c r="M74" s="218"/>
      <c r="N74" s="219"/>
    </row>
    <row r="75" spans="1:14" ht="14.25" customHeight="1" x14ac:dyDescent="0.25">
      <c r="A75" s="225"/>
      <c r="B75" s="224"/>
      <c r="C75" s="223"/>
      <c r="D75" s="223"/>
      <c r="E75" s="223"/>
      <c r="F75" s="223"/>
      <c r="G75" s="222"/>
      <c r="H75" s="220"/>
      <c r="I75" s="218"/>
      <c r="J75" s="218"/>
      <c r="K75" s="221"/>
      <c r="L75" s="220"/>
      <c r="M75" s="218"/>
      <c r="N75" s="219"/>
    </row>
    <row r="76" spans="1:14" ht="14.25" customHeight="1" x14ac:dyDescent="0.25">
      <c r="A76" s="225"/>
      <c r="B76" s="224"/>
      <c r="C76" s="223"/>
      <c r="D76" s="223"/>
      <c r="E76" s="223"/>
      <c r="F76" s="223"/>
      <c r="G76" s="222"/>
      <c r="H76" s="220"/>
      <c r="I76" s="218"/>
      <c r="J76" s="218"/>
      <c r="K76" s="221"/>
      <c r="L76" s="220"/>
      <c r="M76" s="218"/>
      <c r="N76" s="219"/>
    </row>
    <row r="77" spans="1:14" ht="14.25" customHeight="1" x14ac:dyDescent="0.25">
      <c r="A77" s="225"/>
      <c r="B77" s="224"/>
      <c r="C77" s="223"/>
      <c r="D77" s="223"/>
      <c r="E77" s="223"/>
      <c r="F77" s="223"/>
      <c r="G77" s="222"/>
      <c r="H77" s="220"/>
      <c r="I77" s="218"/>
      <c r="J77" s="218"/>
      <c r="K77" s="221"/>
      <c r="L77" s="220"/>
      <c r="M77" s="218"/>
      <c r="N77" s="219"/>
    </row>
    <row r="78" spans="1:14" ht="14.25" customHeight="1" x14ac:dyDescent="0.25">
      <c r="A78" s="225"/>
      <c r="B78" s="224"/>
      <c r="C78" s="223"/>
      <c r="D78" s="223"/>
      <c r="E78" s="223"/>
      <c r="F78" s="223"/>
      <c r="G78" s="222"/>
      <c r="H78" s="220"/>
      <c r="I78" s="218"/>
      <c r="J78" s="218"/>
      <c r="K78" s="221"/>
      <c r="L78" s="220"/>
      <c r="M78" s="218"/>
      <c r="N78" s="219"/>
    </row>
    <row r="79" spans="1:14" ht="14.25" customHeight="1" x14ac:dyDescent="0.25">
      <c r="A79" s="225"/>
      <c r="B79" s="224"/>
      <c r="C79" s="223"/>
      <c r="D79" s="223"/>
      <c r="E79" s="223"/>
      <c r="F79" s="223"/>
      <c r="G79" s="222"/>
      <c r="H79" s="220"/>
      <c r="I79" s="218"/>
      <c r="J79" s="218"/>
      <c r="K79" s="221"/>
      <c r="L79" s="220"/>
      <c r="M79" s="218"/>
      <c r="N79" s="219"/>
    </row>
    <row r="80" spans="1:14" ht="14.25" customHeight="1" x14ac:dyDescent="0.25">
      <c r="A80" s="225"/>
      <c r="B80" s="224"/>
      <c r="C80" s="223"/>
      <c r="D80" s="223"/>
      <c r="E80" s="223"/>
      <c r="F80" s="223"/>
      <c r="G80" s="222"/>
      <c r="H80" s="220"/>
      <c r="I80" s="218"/>
      <c r="J80" s="218"/>
      <c r="K80" s="221"/>
      <c r="L80" s="220"/>
      <c r="M80" s="218"/>
      <c r="N80" s="219"/>
    </row>
    <row r="81" spans="1:14" ht="14.25" customHeight="1" x14ac:dyDescent="0.25">
      <c r="A81" s="225"/>
      <c r="B81" s="224"/>
      <c r="C81" s="223"/>
      <c r="D81" s="223"/>
      <c r="E81" s="223"/>
      <c r="F81" s="223"/>
      <c r="G81" s="222"/>
      <c r="H81" s="220"/>
      <c r="I81" s="218"/>
      <c r="J81" s="218"/>
      <c r="K81" s="221"/>
      <c r="L81" s="220"/>
      <c r="M81" s="218"/>
      <c r="N81" s="219"/>
    </row>
    <row r="82" spans="1:14" ht="14.25" customHeight="1" x14ac:dyDescent="0.25">
      <c r="A82" s="225"/>
      <c r="B82" s="224"/>
      <c r="C82" s="223"/>
      <c r="D82" s="223"/>
      <c r="E82" s="223"/>
      <c r="F82" s="223"/>
      <c r="G82" s="222"/>
      <c r="H82" s="220"/>
      <c r="I82" s="218"/>
      <c r="J82" s="218"/>
      <c r="K82" s="221"/>
      <c r="L82" s="220"/>
      <c r="M82" s="218"/>
      <c r="N82" s="219"/>
    </row>
    <row r="83" spans="1:14" ht="14.25" customHeight="1" x14ac:dyDescent="0.25">
      <c r="A83" s="225"/>
      <c r="B83" s="224"/>
      <c r="C83" s="223"/>
      <c r="D83" s="223"/>
      <c r="E83" s="223"/>
      <c r="F83" s="223"/>
      <c r="G83" s="222"/>
      <c r="H83" s="220"/>
      <c r="I83" s="218"/>
      <c r="J83" s="218"/>
      <c r="K83" s="221"/>
      <c r="L83" s="220"/>
      <c r="M83" s="218"/>
      <c r="N83" s="219"/>
    </row>
    <row r="84" spans="1:14" ht="14.25" customHeight="1" x14ac:dyDescent="0.25">
      <c r="A84" s="225"/>
      <c r="B84" s="224"/>
      <c r="C84" s="223"/>
      <c r="D84" s="223"/>
      <c r="E84" s="223"/>
      <c r="F84" s="223"/>
      <c r="G84" s="222"/>
      <c r="H84" s="220"/>
      <c r="I84" s="218"/>
      <c r="J84" s="218"/>
      <c r="K84" s="221"/>
      <c r="L84" s="220"/>
      <c r="M84" s="218"/>
      <c r="N84" s="219"/>
    </row>
    <row r="85" spans="1:14" ht="14.25" customHeight="1" x14ac:dyDescent="0.25">
      <c r="A85" s="225"/>
      <c r="B85" s="224"/>
      <c r="C85" s="223"/>
      <c r="D85" s="223"/>
      <c r="E85" s="223"/>
      <c r="F85" s="223"/>
      <c r="G85" s="222"/>
      <c r="H85" s="220"/>
      <c r="I85" s="218"/>
      <c r="J85" s="218"/>
      <c r="K85" s="221"/>
      <c r="L85" s="220"/>
      <c r="M85" s="218"/>
      <c r="N85" s="219"/>
    </row>
    <row r="86" spans="1:14" ht="14.25" customHeight="1" x14ac:dyDescent="0.25">
      <c r="A86" s="225"/>
      <c r="B86" s="224"/>
      <c r="C86" s="223"/>
      <c r="D86" s="223"/>
      <c r="E86" s="223"/>
      <c r="F86" s="223"/>
      <c r="G86" s="222"/>
      <c r="H86" s="220"/>
      <c r="I86" s="218"/>
      <c r="J86" s="218"/>
      <c r="K86" s="221"/>
      <c r="L86" s="220"/>
      <c r="M86" s="218"/>
      <c r="N86" s="219"/>
    </row>
    <row r="87" spans="1:14" ht="14.25" customHeight="1" x14ac:dyDescent="0.25">
      <c r="A87" s="225"/>
      <c r="B87" s="224"/>
      <c r="C87" s="223"/>
      <c r="D87" s="223"/>
      <c r="E87" s="223"/>
      <c r="F87" s="223"/>
      <c r="G87" s="222"/>
      <c r="H87" s="220"/>
      <c r="I87" s="218"/>
      <c r="J87" s="218"/>
      <c r="K87" s="221"/>
      <c r="L87" s="220"/>
      <c r="M87" s="218"/>
      <c r="N87" s="219"/>
    </row>
    <row r="88" spans="1:14" ht="14.25" customHeight="1" x14ac:dyDescent="0.25">
      <c r="A88" s="225"/>
      <c r="B88" s="224"/>
      <c r="C88" s="223"/>
      <c r="D88" s="223"/>
      <c r="E88" s="223"/>
      <c r="F88" s="223"/>
      <c r="G88" s="222"/>
      <c r="H88" s="220"/>
      <c r="I88" s="218"/>
      <c r="J88" s="218"/>
      <c r="K88" s="221"/>
      <c r="L88" s="220"/>
      <c r="M88" s="218"/>
      <c r="N88" s="219"/>
    </row>
    <row r="89" spans="1:14" ht="14.25" customHeight="1" x14ac:dyDescent="0.25">
      <c r="A89" s="225"/>
      <c r="B89" s="224"/>
      <c r="C89" s="223"/>
      <c r="D89" s="223"/>
      <c r="E89" s="223"/>
      <c r="F89" s="223"/>
      <c r="G89" s="222"/>
      <c r="H89" s="220"/>
      <c r="I89" s="218"/>
      <c r="J89" s="218"/>
      <c r="K89" s="221"/>
      <c r="L89" s="220"/>
      <c r="M89" s="218"/>
      <c r="N89" s="219"/>
    </row>
    <row r="90" spans="1:14" ht="14.25" customHeight="1" x14ac:dyDescent="0.25">
      <c r="A90" s="225"/>
      <c r="B90" s="224"/>
      <c r="C90" s="223"/>
      <c r="D90" s="223"/>
      <c r="E90" s="223"/>
      <c r="F90" s="223"/>
      <c r="G90" s="222"/>
      <c r="H90" s="220"/>
      <c r="I90" s="218"/>
      <c r="J90" s="218"/>
      <c r="K90" s="221"/>
      <c r="L90" s="220"/>
      <c r="M90" s="218"/>
      <c r="N90" s="219"/>
    </row>
    <row r="91" spans="1:14" ht="14.25" customHeight="1" x14ac:dyDescent="0.25">
      <c r="A91" s="225"/>
      <c r="B91" s="224"/>
      <c r="C91" s="223"/>
      <c r="D91" s="223"/>
      <c r="E91" s="223"/>
      <c r="F91" s="223"/>
      <c r="G91" s="222"/>
      <c r="H91" s="220"/>
      <c r="I91" s="218"/>
      <c r="J91" s="218"/>
      <c r="K91" s="221"/>
      <c r="L91" s="220"/>
      <c r="M91" s="218"/>
      <c r="N91" s="219"/>
    </row>
    <row r="92" spans="1:14" ht="14.25" customHeight="1" x14ac:dyDescent="0.25">
      <c r="A92" s="225"/>
      <c r="B92" s="224"/>
      <c r="C92" s="223"/>
      <c r="D92" s="223"/>
      <c r="E92" s="223"/>
      <c r="F92" s="223"/>
      <c r="G92" s="222"/>
      <c r="H92" s="220"/>
      <c r="I92" s="218"/>
      <c r="J92" s="218"/>
      <c r="K92" s="221"/>
      <c r="L92" s="220"/>
      <c r="M92" s="218"/>
      <c r="N92" s="219"/>
    </row>
    <row r="93" spans="1:14" ht="14.25" customHeight="1" x14ac:dyDescent="0.25">
      <c r="A93" s="225"/>
      <c r="B93" s="224"/>
      <c r="C93" s="223"/>
      <c r="D93" s="223"/>
      <c r="E93" s="223"/>
      <c r="F93" s="223"/>
      <c r="G93" s="222"/>
      <c r="H93" s="220"/>
      <c r="I93" s="218"/>
      <c r="J93" s="218"/>
      <c r="K93" s="221"/>
      <c r="L93" s="220"/>
      <c r="M93" s="218"/>
      <c r="N93" s="219"/>
    </row>
    <row r="94" spans="1:14" ht="14.25" customHeight="1" x14ac:dyDescent="0.25">
      <c r="A94" s="225"/>
      <c r="B94" s="224"/>
      <c r="C94" s="223"/>
      <c r="D94" s="223"/>
      <c r="E94" s="223"/>
      <c r="F94" s="223"/>
      <c r="G94" s="222"/>
      <c r="H94" s="220"/>
      <c r="I94" s="218"/>
      <c r="J94" s="218"/>
      <c r="K94" s="221"/>
      <c r="L94" s="220"/>
      <c r="M94" s="218"/>
      <c r="N94" s="219"/>
    </row>
    <row r="95" spans="1:14" ht="14.25" customHeight="1" x14ac:dyDescent="0.25">
      <c r="A95" s="225"/>
      <c r="B95" s="224"/>
      <c r="C95" s="223"/>
      <c r="D95" s="223"/>
      <c r="E95" s="223"/>
      <c r="F95" s="223"/>
      <c r="G95" s="222"/>
      <c r="H95" s="220"/>
      <c r="I95" s="218"/>
      <c r="J95" s="218"/>
      <c r="K95" s="221"/>
      <c r="L95" s="220"/>
      <c r="M95" s="218"/>
      <c r="N95" s="219"/>
    </row>
    <row r="96" spans="1:14" ht="14.25" customHeight="1" x14ac:dyDescent="0.25">
      <c r="A96" s="225"/>
      <c r="B96" s="224"/>
      <c r="C96" s="223"/>
      <c r="D96" s="223"/>
      <c r="E96" s="223"/>
      <c r="F96" s="223"/>
      <c r="G96" s="222"/>
      <c r="H96" s="220"/>
      <c r="I96" s="218"/>
      <c r="J96" s="218"/>
      <c r="K96" s="221"/>
      <c r="L96" s="220"/>
      <c r="M96" s="218"/>
      <c r="N96" s="219"/>
    </row>
    <row r="97" spans="1:14" ht="14.25" customHeight="1" x14ac:dyDescent="0.25">
      <c r="A97" s="225"/>
      <c r="B97" s="224"/>
      <c r="C97" s="223"/>
      <c r="D97" s="223"/>
      <c r="E97" s="223"/>
      <c r="F97" s="223"/>
      <c r="G97" s="222"/>
      <c r="H97" s="220"/>
      <c r="I97" s="218"/>
      <c r="J97" s="218"/>
      <c r="K97" s="221"/>
      <c r="L97" s="220"/>
      <c r="M97" s="218"/>
      <c r="N97" s="219"/>
    </row>
    <row r="98" spans="1:14" ht="14.25" customHeight="1" x14ac:dyDescent="0.25">
      <c r="A98" s="225"/>
      <c r="B98" s="224"/>
      <c r="C98" s="223"/>
      <c r="D98" s="223"/>
      <c r="E98" s="223"/>
      <c r="F98" s="223"/>
      <c r="G98" s="222"/>
      <c r="H98" s="220"/>
      <c r="I98" s="218"/>
      <c r="J98" s="218"/>
      <c r="K98" s="221"/>
      <c r="L98" s="220"/>
      <c r="M98" s="218"/>
      <c r="N98" s="219"/>
    </row>
    <row r="99" spans="1:14" ht="14.25" customHeight="1" x14ac:dyDescent="0.25">
      <c r="A99" s="225"/>
      <c r="B99" s="224"/>
      <c r="C99" s="223"/>
      <c r="D99" s="223"/>
      <c r="E99" s="223"/>
      <c r="F99" s="223"/>
      <c r="G99" s="222"/>
      <c r="H99" s="220"/>
      <c r="I99" s="218"/>
      <c r="J99" s="218"/>
      <c r="K99" s="221"/>
      <c r="L99" s="220"/>
      <c r="M99" s="218"/>
      <c r="N99" s="219"/>
    </row>
    <row r="100" spans="1:14" ht="14.25" customHeight="1" x14ac:dyDescent="0.25">
      <c r="A100" s="225"/>
      <c r="B100" s="224"/>
      <c r="C100" s="223"/>
      <c r="D100" s="223"/>
      <c r="E100" s="223"/>
      <c r="F100" s="223"/>
      <c r="G100" s="222"/>
      <c r="H100" s="220"/>
      <c r="I100" s="218"/>
      <c r="J100" s="218"/>
      <c r="K100" s="221"/>
      <c r="L100" s="220"/>
      <c r="M100" s="218"/>
      <c r="N100" s="219"/>
    </row>
    <row r="101" spans="1:14" ht="14.25" customHeight="1" x14ac:dyDescent="0.25">
      <c r="A101" s="225"/>
      <c r="B101" s="224"/>
      <c r="C101" s="223"/>
      <c r="D101" s="223"/>
      <c r="E101" s="223"/>
      <c r="F101" s="223"/>
      <c r="G101" s="222"/>
      <c r="H101" s="220"/>
      <c r="I101" s="218"/>
      <c r="J101" s="218"/>
      <c r="K101" s="221"/>
      <c r="L101" s="220"/>
      <c r="M101" s="218"/>
      <c r="N101" s="219"/>
    </row>
    <row r="102" spans="1:14" ht="14.25" customHeight="1" x14ac:dyDescent="0.25">
      <c r="A102" s="225"/>
      <c r="B102" s="224"/>
      <c r="C102" s="223"/>
      <c r="D102" s="223"/>
      <c r="E102" s="223"/>
      <c r="F102" s="223"/>
      <c r="G102" s="222"/>
      <c r="H102" s="220"/>
      <c r="I102" s="218"/>
      <c r="J102" s="218"/>
      <c r="K102" s="221"/>
      <c r="L102" s="220"/>
      <c r="M102" s="218"/>
      <c r="N102" s="219"/>
    </row>
    <row r="103" spans="1:14" ht="14.25" customHeight="1" x14ac:dyDescent="0.25">
      <c r="A103" s="225"/>
      <c r="B103" s="224"/>
      <c r="C103" s="223"/>
      <c r="D103" s="223"/>
      <c r="E103" s="223"/>
      <c r="F103" s="223"/>
      <c r="G103" s="222"/>
      <c r="H103" s="220"/>
      <c r="I103" s="218"/>
      <c r="J103" s="218"/>
      <c r="K103" s="221"/>
      <c r="L103" s="220"/>
      <c r="M103" s="218"/>
      <c r="N103" s="219"/>
    </row>
    <row r="104" spans="1:14" ht="14.25" customHeight="1" x14ac:dyDescent="0.25">
      <c r="A104" s="225"/>
      <c r="B104" s="224"/>
      <c r="C104" s="223"/>
      <c r="D104" s="223"/>
      <c r="E104" s="223"/>
      <c r="F104" s="223"/>
      <c r="G104" s="222"/>
      <c r="H104" s="220"/>
      <c r="I104" s="218"/>
      <c r="J104" s="218"/>
      <c r="K104" s="221"/>
      <c r="L104" s="220"/>
      <c r="M104" s="218"/>
      <c r="N104" s="219"/>
    </row>
    <row r="105" spans="1:14" ht="14.25" customHeight="1" x14ac:dyDescent="0.25">
      <c r="A105" s="225"/>
      <c r="B105" s="224"/>
      <c r="C105" s="223"/>
      <c r="D105" s="223"/>
      <c r="E105" s="223"/>
      <c r="F105" s="223"/>
      <c r="G105" s="222"/>
      <c r="H105" s="220"/>
      <c r="I105" s="218"/>
      <c r="J105" s="218"/>
      <c r="K105" s="221"/>
      <c r="L105" s="220"/>
      <c r="M105" s="218"/>
      <c r="N105" s="219"/>
    </row>
    <row r="106" spans="1:14" ht="14.25" customHeight="1" x14ac:dyDescent="0.25">
      <c r="A106" s="225"/>
      <c r="B106" s="224"/>
      <c r="C106" s="223"/>
      <c r="D106" s="223"/>
      <c r="E106" s="223"/>
      <c r="F106" s="223"/>
      <c r="G106" s="222"/>
      <c r="H106" s="220"/>
      <c r="I106" s="218"/>
      <c r="J106" s="218"/>
      <c r="K106" s="221"/>
      <c r="L106" s="220"/>
      <c r="M106" s="218"/>
      <c r="N106" s="219"/>
    </row>
    <row r="107" spans="1:14" ht="14.25" customHeight="1" x14ac:dyDescent="0.25">
      <c r="A107" s="225"/>
      <c r="B107" s="224"/>
      <c r="C107" s="223"/>
      <c r="D107" s="223"/>
      <c r="E107" s="223"/>
      <c r="F107" s="223"/>
      <c r="G107" s="222"/>
      <c r="H107" s="220"/>
      <c r="I107" s="218"/>
      <c r="J107" s="218"/>
      <c r="K107" s="221"/>
      <c r="L107" s="220"/>
      <c r="M107" s="218"/>
      <c r="N107" s="219"/>
    </row>
    <row r="108" spans="1:14" ht="14.25" customHeight="1" x14ac:dyDescent="0.25">
      <c r="A108" s="225"/>
      <c r="B108" s="224"/>
      <c r="C108" s="223"/>
      <c r="D108" s="223"/>
      <c r="E108" s="223"/>
      <c r="F108" s="223"/>
      <c r="G108" s="222"/>
      <c r="H108" s="220"/>
      <c r="I108" s="218"/>
      <c r="J108" s="218"/>
      <c r="K108" s="221"/>
      <c r="L108" s="220"/>
      <c r="M108" s="218"/>
      <c r="N108" s="219"/>
    </row>
    <row r="109" spans="1:14" ht="14.25" customHeight="1" x14ac:dyDescent="0.25">
      <c r="A109" s="225"/>
      <c r="B109" s="224"/>
      <c r="C109" s="223"/>
      <c r="D109" s="223"/>
      <c r="E109" s="223"/>
      <c r="F109" s="223"/>
      <c r="G109" s="222"/>
      <c r="H109" s="220"/>
      <c r="I109" s="218"/>
      <c r="J109" s="218"/>
      <c r="K109" s="221"/>
      <c r="L109" s="220"/>
      <c r="M109" s="218"/>
      <c r="N109" s="219"/>
    </row>
    <row r="110" spans="1:14" ht="14.25" customHeight="1" x14ac:dyDescent="0.25">
      <c r="A110" s="225"/>
      <c r="B110" s="224"/>
      <c r="C110" s="223"/>
      <c r="D110" s="223"/>
      <c r="E110" s="223"/>
      <c r="F110" s="223"/>
      <c r="G110" s="222"/>
      <c r="H110" s="220"/>
      <c r="I110" s="218"/>
      <c r="J110" s="218"/>
      <c r="K110" s="221"/>
      <c r="L110" s="220"/>
      <c r="M110" s="218"/>
      <c r="N110" s="219"/>
    </row>
    <row r="111" spans="1:14" ht="14.25" customHeight="1" x14ac:dyDescent="0.25">
      <c r="A111" s="225"/>
      <c r="B111" s="224"/>
      <c r="C111" s="223"/>
      <c r="D111" s="223"/>
      <c r="E111" s="223"/>
      <c r="F111" s="223"/>
      <c r="G111" s="222"/>
      <c r="H111" s="220"/>
      <c r="I111" s="218"/>
      <c r="J111" s="218"/>
      <c r="K111" s="221"/>
      <c r="L111" s="220"/>
      <c r="M111" s="218"/>
      <c r="N111" s="219"/>
    </row>
    <row r="112" spans="1:14" ht="14.25" customHeight="1" x14ac:dyDescent="0.25">
      <c r="A112" s="225"/>
      <c r="B112" s="224"/>
      <c r="C112" s="223"/>
      <c r="D112" s="223"/>
      <c r="E112" s="223"/>
      <c r="F112" s="223"/>
      <c r="G112" s="222"/>
      <c r="H112" s="220"/>
      <c r="I112" s="218"/>
      <c r="J112" s="218"/>
      <c r="K112" s="221"/>
      <c r="L112" s="220"/>
      <c r="M112" s="218"/>
      <c r="N112" s="219"/>
    </row>
    <row r="113" spans="1:14" ht="14.25" customHeight="1" x14ac:dyDescent="0.25">
      <c r="A113" s="225"/>
      <c r="B113" s="224"/>
      <c r="C113" s="223"/>
      <c r="D113" s="223"/>
      <c r="E113" s="223"/>
      <c r="F113" s="223"/>
      <c r="G113" s="222"/>
      <c r="H113" s="220"/>
      <c r="I113" s="218"/>
      <c r="J113" s="218"/>
      <c r="K113" s="221"/>
      <c r="L113" s="220"/>
      <c r="M113" s="218"/>
      <c r="N113" s="219"/>
    </row>
    <row r="114" spans="1:14" ht="14.25" customHeight="1" x14ac:dyDescent="0.25">
      <c r="A114" s="225"/>
      <c r="B114" s="224"/>
      <c r="C114" s="223"/>
      <c r="D114" s="223"/>
      <c r="E114" s="223"/>
      <c r="F114" s="223"/>
      <c r="G114" s="222"/>
      <c r="H114" s="220"/>
      <c r="I114" s="218"/>
      <c r="J114" s="218"/>
      <c r="K114" s="221"/>
      <c r="L114" s="220"/>
      <c r="M114" s="218"/>
      <c r="N114" s="219"/>
    </row>
    <row r="115" spans="1:14" ht="14.25" customHeight="1" x14ac:dyDescent="0.25">
      <c r="A115" s="225"/>
      <c r="B115" s="224"/>
      <c r="C115" s="223"/>
      <c r="D115" s="223"/>
      <c r="E115" s="223"/>
      <c r="F115" s="223"/>
      <c r="G115" s="222"/>
      <c r="H115" s="220"/>
      <c r="I115" s="218"/>
      <c r="J115" s="218"/>
      <c r="K115" s="221"/>
      <c r="L115" s="220"/>
      <c r="M115" s="218"/>
      <c r="N115" s="219"/>
    </row>
    <row r="116" spans="1:14" ht="14.25" customHeight="1" x14ac:dyDescent="0.25">
      <c r="A116" s="225"/>
      <c r="B116" s="224"/>
      <c r="C116" s="223"/>
      <c r="D116" s="223"/>
      <c r="E116" s="223"/>
      <c r="F116" s="223"/>
      <c r="G116" s="222"/>
      <c r="H116" s="220"/>
      <c r="I116" s="218"/>
      <c r="J116" s="218"/>
      <c r="K116" s="221"/>
      <c r="L116" s="220"/>
      <c r="M116" s="218"/>
      <c r="N116" s="219"/>
    </row>
    <row r="117" spans="1:14" ht="14.25" customHeight="1" x14ac:dyDescent="0.25">
      <c r="A117" s="225"/>
      <c r="B117" s="224"/>
      <c r="C117" s="223"/>
      <c r="D117" s="223"/>
      <c r="E117" s="223"/>
      <c r="F117" s="223"/>
      <c r="G117" s="222"/>
      <c r="H117" s="220"/>
      <c r="I117" s="218"/>
      <c r="J117" s="218"/>
      <c r="K117" s="221"/>
      <c r="L117" s="220"/>
      <c r="M117" s="218"/>
      <c r="N117" s="219"/>
    </row>
    <row r="118" spans="1:14" ht="14.25" customHeight="1" x14ac:dyDescent="0.25">
      <c r="A118" s="225"/>
      <c r="B118" s="224"/>
      <c r="C118" s="223"/>
      <c r="D118" s="223"/>
      <c r="E118" s="223"/>
      <c r="F118" s="223"/>
      <c r="G118" s="222"/>
      <c r="H118" s="220"/>
      <c r="I118" s="218"/>
      <c r="J118" s="218"/>
      <c r="K118" s="221"/>
      <c r="L118" s="220"/>
      <c r="M118" s="218"/>
      <c r="N118" s="219"/>
    </row>
    <row r="119" spans="1:14" ht="14.25" customHeight="1" x14ac:dyDescent="0.25">
      <c r="A119" s="225"/>
      <c r="B119" s="224"/>
      <c r="C119" s="223"/>
      <c r="D119" s="223"/>
      <c r="E119" s="223"/>
      <c r="F119" s="223"/>
      <c r="G119" s="222"/>
      <c r="H119" s="220"/>
      <c r="I119" s="218"/>
      <c r="J119" s="218"/>
      <c r="K119" s="221"/>
      <c r="L119" s="220"/>
      <c r="M119" s="218"/>
      <c r="N119" s="219"/>
    </row>
    <row r="120" spans="1:14" ht="14.25" customHeight="1" x14ac:dyDescent="0.25">
      <c r="A120" s="225"/>
      <c r="B120" s="224"/>
      <c r="C120" s="223"/>
      <c r="D120" s="223"/>
      <c r="E120" s="223"/>
      <c r="F120" s="223"/>
      <c r="G120" s="222"/>
      <c r="H120" s="220"/>
      <c r="I120" s="218"/>
      <c r="J120" s="218"/>
      <c r="K120" s="221"/>
      <c r="L120" s="220"/>
      <c r="M120" s="218"/>
      <c r="N120" s="219"/>
    </row>
    <row r="121" spans="1:14" ht="14.25" customHeight="1" x14ac:dyDescent="0.25">
      <c r="A121" s="225"/>
      <c r="B121" s="224"/>
      <c r="C121" s="223"/>
      <c r="D121" s="223"/>
      <c r="E121" s="223"/>
      <c r="F121" s="223"/>
      <c r="G121" s="222"/>
      <c r="H121" s="220"/>
      <c r="I121" s="218"/>
      <c r="J121" s="218"/>
      <c r="K121" s="221"/>
      <c r="L121" s="220"/>
      <c r="M121" s="218"/>
      <c r="N121" s="219"/>
    </row>
    <row r="122" spans="1:14" ht="14.25" customHeight="1" x14ac:dyDescent="0.25">
      <c r="A122" s="225"/>
      <c r="B122" s="224"/>
      <c r="C122" s="223"/>
      <c r="D122" s="223"/>
      <c r="E122" s="223"/>
      <c r="F122" s="223"/>
      <c r="G122" s="222"/>
      <c r="H122" s="220"/>
      <c r="I122" s="218"/>
      <c r="J122" s="218"/>
      <c r="K122" s="221"/>
      <c r="L122" s="220"/>
      <c r="M122" s="218"/>
      <c r="N122" s="219"/>
    </row>
    <row r="123" spans="1:14" ht="14.25" customHeight="1" x14ac:dyDescent="0.25">
      <c r="A123" s="225"/>
      <c r="B123" s="224"/>
      <c r="C123" s="223"/>
      <c r="D123" s="223"/>
      <c r="E123" s="223"/>
      <c r="F123" s="223"/>
      <c r="G123" s="222"/>
      <c r="H123" s="220"/>
      <c r="I123" s="218"/>
      <c r="J123" s="218"/>
      <c r="K123" s="221"/>
      <c r="L123" s="220"/>
      <c r="M123" s="218"/>
      <c r="N123" s="219"/>
    </row>
    <row r="124" spans="1:14" ht="14.25" customHeight="1" x14ac:dyDescent="0.25">
      <c r="A124" s="225"/>
      <c r="B124" s="224"/>
      <c r="C124" s="223"/>
      <c r="D124" s="223"/>
      <c r="E124" s="223"/>
      <c r="F124" s="223"/>
      <c r="G124" s="222"/>
      <c r="H124" s="220"/>
      <c r="I124" s="218"/>
      <c r="J124" s="218"/>
      <c r="K124" s="221"/>
      <c r="L124" s="220"/>
      <c r="M124" s="218"/>
      <c r="N124" s="219"/>
    </row>
    <row r="125" spans="1:14" ht="14.25" customHeight="1" x14ac:dyDescent="0.25">
      <c r="A125" s="225"/>
      <c r="B125" s="224"/>
      <c r="C125" s="223"/>
      <c r="D125" s="223"/>
      <c r="E125" s="223"/>
      <c r="F125" s="223"/>
      <c r="G125" s="222"/>
      <c r="H125" s="220"/>
      <c r="I125" s="218"/>
      <c r="J125" s="218"/>
      <c r="K125" s="221"/>
      <c r="L125" s="220"/>
      <c r="M125" s="218"/>
      <c r="N125" s="219"/>
    </row>
    <row r="126" spans="1:14" ht="14.25" customHeight="1" x14ac:dyDescent="0.25">
      <c r="A126" s="225"/>
      <c r="B126" s="224"/>
      <c r="C126" s="223"/>
      <c r="D126" s="223"/>
      <c r="E126" s="223"/>
      <c r="F126" s="223"/>
      <c r="G126" s="222"/>
      <c r="H126" s="220"/>
      <c r="I126" s="218"/>
      <c r="J126" s="218"/>
      <c r="K126" s="221"/>
      <c r="L126" s="220"/>
      <c r="M126" s="218"/>
      <c r="N126" s="219"/>
    </row>
    <row r="127" spans="1:14" ht="14.25" customHeight="1" x14ac:dyDescent="0.25">
      <c r="A127" s="225"/>
      <c r="B127" s="224"/>
      <c r="C127" s="223"/>
      <c r="D127" s="223"/>
      <c r="E127" s="223"/>
      <c r="F127" s="223"/>
      <c r="G127" s="222"/>
      <c r="H127" s="220"/>
      <c r="I127" s="218"/>
      <c r="J127" s="218"/>
      <c r="K127" s="221"/>
      <c r="L127" s="220"/>
      <c r="M127" s="218"/>
      <c r="N127" s="219"/>
    </row>
    <row r="128" spans="1:14" ht="14.25" customHeight="1" x14ac:dyDescent="0.25">
      <c r="A128" s="225"/>
      <c r="B128" s="224"/>
      <c r="C128" s="223"/>
      <c r="D128" s="223"/>
      <c r="E128" s="223"/>
      <c r="F128" s="223"/>
      <c r="G128" s="222"/>
      <c r="H128" s="220"/>
      <c r="I128" s="218"/>
      <c r="J128" s="218"/>
      <c r="K128" s="221"/>
      <c r="L128" s="220"/>
      <c r="M128" s="218"/>
      <c r="N128" s="219"/>
    </row>
    <row r="129" spans="1:14" ht="14.25" customHeight="1" x14ac:dyDescent="0.25">
      <c r="A129" s="225"/>
      <c r="B129" s="224"/>
      <c r="C129" s="223"/>
      <c r="D129" s="223"/>
      <c r="E129" s="223"/>
      <c r="F129" s="223"/>
      <c r="G129" s="222"/>
      <c r="H129" s="220"/>
      <c r="I129" s="218"/>
      <c r="J129" s="218"/>
      <c r="K129" s="221"/>
      <c r="L129" s="220"/>
      <c r="M129" s="218"/>
      <c r="N129" s="219"/>
    </row>
    <row r="130" spans="1:14" ht="14.25" customHeight="1" x14ac:dyDescent="0.25">
      <c r="A130" s="225"/>
      <c r="B130" s="224"/>
      <c r="C130" s="223"/>
      <c r="D130" s="223"/>
      <c r="E130" s="223"/>
      <c r="F130" s="223"/>
      <c r="G130" s="222"/>
      <c r="H130" s="220"/>
      <c r="I130" s="218"/>
      <c r="J130" s="218"/>
      <c r="K130" s="221"/>
      <c r="L130" s="220"/>
      <c r="M130" s="218"/>
      <c r="N130" s="219"/>
    </row>
    <row r="131" spans="1:14" ht="14.25" customHeight="1" x14ac:dyDescent="0.25">
      <c r="A131" s="225"/>
      <c r="B131" s="224"/>
      <c r="C131" s="223"/>
      <c r="D131" s="223"/>
      <c r="E131" s="223"/>
      <c r="F131" s="223"/>
      <c r="G131" s="222"/>
      <c r="H131" s="220"/>
      <c r="I131" s="218"/>
      <c r="J131" s="218"/>
      <c r="K131" s="221"/>
      <c r="L131" s="220"/>
      <c r="M131" s="218"/>
      <c r="N131" s="219"/>
    </row>
    <row r="132" spans="1:14" ht="14.25" customHeight="1" x14ac:dyDescent="0.25">
      <c r="A132" s="225"/>
      <c r="B132" s="224"/>
      <c r="C132" s="223"/>
      <c r="D132" s="223"/>
      <c r="E132" s="223"/>
      <c r="F132" s="223"/>
      <c r="G132" s="222"/>
      <c r="H132" s="220"/>
      <c r="I132" s="218"/>
      <c r="J132" s="218"/>
      <c r="K132" s="221"/>
      <c r="L132" s="220"/>
      <c r="M132" s="218"/>
      <c r="N132" s="219"/>
    </row>
    <row r="133" spans="1:14" ht="14.25" customHeight="1" x14ac:dyDescent="0.25">
      <c r="A133" s="225"/>
      <c r="B133" s="224"/>
      <c r="C133" s="223"/>
      <c r="D133" s="223"/>
      <c r="E133" s="223"/>
      <c r="F133" s="223"/>
      <c r="G133" s="222"/>
      <c r="H133" s="220"/>
      <c r="I133" s="218"/>
      <c r="J133" s="218"/>
      <c r="K133" s="221"/>
      <c r="L133" s="220"/>
      <c r="M133" s="218"/>
      <c r="N133" s="219"/>
    </row>
    <row r="134" spans="1:14" ht="14.25" customHeight="1" x14ac:dyDescent="0.25">
      <c r="A134" s="225"/>
      <c r="B134" s="224"/>
      <c r="C134" s="223"/>
      <c r="D134" s="223"/>
      <c r="E134" s="223"/>
      <c r="F134" s="223"/>
      <c r="G134" s="222"/>
      <c r="H134" s="220"/>
      <c r="I134" s="218"/>
      <c r="J134" s="218"/>
      <c r="K134" s="221"/>
      <c r="L134" s="220"/>
      <c r="M134" s="218"/>
      <c r="N134" s="219"/>
    </row>
    <row r="135" spans="1:14" ht="14.25" customHeight="1" x14ac:dyDescent="0.25">
      <c r="A135" s="225"/>
      <c r="B135" s="224"/>
      <c r="C135" s="223"/>
      <c r="D135" s="223"/>
      <c r="E135" s="223"/>
      <c r="F135" s="223"/>
      <c r="G135" s="222"/>
      <c r="H135" s="220"/>
      <c r="I135" s="218"/>
      <c r="J135" s="218"/>
      <c r="K135" s="221"/>
      <c r="L135" s="220"/>
      <c r="M135" s="218"/>
      <c r="N135" s="219"/>
    </row>
    <row r="136" spans="1:14" ht="14.25" customHeight="1" x14ac:dyDescent="0.25">
      <c r="A136" s="225"/>
      <c r="B136" s="224"/>
      <c r="C136" s="223"/>
      <c r="D136" s="223"/>
      <c r="E136" s="223"/>
      <c r="F136" s="223"/>
      <c r="G136" s="222"/>
      <c r="H136" s="220"/>
      <c r="I136" s="218"/>
      <c r="J136" s="218"/>
      <c r="K136" s="221"/>
      <c r="L136" s="220"/>
      <c r="M136" s="218"/>
      <c r="N136" s="219"/>
    </row>
    <row r="137" spans="1:14" ht="14.25" customHeight="1" x14ac:dyDescent="0.25">
      <c r="A137" s="225"/>
      <c r="B137" s="224"/>
      <c r="C137" s="223"/>
      <c r="D137" s="223"/>
      <c r="E137" s="223"/>
      <c r="F137" s="223"/>
      <c r="G137" s="222"/>
      <c r="H137" s="220"/>
      <c r="I137" s="218"/>
      <c r="J137" s="218"/>
      <c r="K137" s="221"/>
      <c r="L137" s="220"/>
      <c r="M137" s="218"/>
      <c r="N137" s="219"/>
    </row>
    <row r="138" spans="1:14" ht="14.25" customHeight="1" x14ac:dyDescent="0.25">
      <c r="A138" s="225"/>
      <c r="B138" s="224"/>
      <c r="C138" s="223"/>
      <c r="D138" s="223"/>
      <c r="E138" s="223"/>
      <c r="F138" s="223"/>
      <c r="G138" s="222"/>
      <c r="H138" s="220"/>
      <c r="I138" s="218"/>
      <c r="J138" s="218"/>
      <c r="K138" s="221"/>
      <c r="L138" s="220"/>
      <c r="M138" s="218"/>
      <c r="N138" s="219"/>
    </row>
    <row r="139" spans="1:14" ht="14.25" customHeight="1" x14ac:dyDescent="0.25">
      <c r="A139" s="225"/>
      <c r="B139" s="224"/>
      <c r="C139" s="223"/>
      <c r="D139" s="223"/>
      <c r="E139" s="223"/>
      <c r="F139" s="223"/>
      <c r="G139" s="222"/>
      <c r="H139" s="220"/>
      <c r="I139" s="218"/>
      <c r="J139" s="218"/>
      <c r="K139" s="221"/>
      <c r="L139" s="220"/>
      <c r="M139" s="218"/>
      <c r="N139" s="219"/>
    </row>
    <row r="140" spans="1:14" ht="14.25" customHeight="1" x14ac:dyDescent="0.25">
      <c r="A140" s="225"/>
      <c r="B140" s="224"/>
      <c r="C140" s="223"/>
      <c r="D140" s="223"/>
      <c r="E140" s="223"/>
      <c r="F140" s="223"/>
      <c r="G140" s="222"/>
      <c r="H140" s="220"/>
      <c r="I140" s="218"/>
      <c r="J140" s="218"/>
      <c r="K140" s="221"/>
      <c r="L140" s="220"/>
      <c r="M140" s="218"/>
      <c r="N140" s="219"/>
    </row>
    <row r="141" spans="1:14" ht="14.25" customHeight="1" x14ac:dyDescent="0.25">
      <c r="A141" s="225"/>
      <c r="B141" s="224"/>
      <c r="C141" s="223"/>
      <c r="D141" s="223"/>
      <c r="E141" s="223"/>
      <c r="F141" s="223"/>
      <c r="G141" s="222"/>
      <c r="H141" s="220"/>
      <c r="I141" s="218"/>
      <c r="J141" s="218"/>
      <c r="K141" s="221"/>
      <c r="L141" s="220"/>
      <c r="M141" s="218"/>
      <c r="N141" s="219"/>
    </row>
    <row r="142" spans="1:14" ht="14.25" customHeight="1" x14ac:dyDescent="0.25">
      <c r="A142" s="225"/>
      <c r="B142" s="224"/>
      <c r="C142" s="223"/>
      <c r="D142" s="223"/>
      <c r="E142" s="223"/>
      <c r="F142" s="223"/>
      <c r="G142" s="222"/>
      <c r="H142" s="220"/>
      <c r="I142" s="218"/>
      <c r="J142" s="218"/>
      <c r="K142" s="221"/>
      <c r="L142" s="220"/>
      <c r="M142" s="218"/>
      <c r="N142" s="219"/>
    </row>
    <row r="143" spans="1:14" ht="14.25" customHeight="1" x14ac:dyDescent="0.25">
      <c r="A143" s="225"/>
      <c r="B143" s="224"/>
      <c r="C143" s="223"/>
      <c r="D143" s="223"/>
      <c r="E143" s="223"/>
      <c r="F143" s="223"/>
      <c r="G143" s="222"/>
      <c r="H143" s="220"/>
      <c r="I143" s="218"/>
      <c r="J143" s="218"/>
      <c r="K143" s="221"/>
      <c r="L143" s="220"/>
      <c r="M143" s="218"/>
      <c r="N143" s="219"/>
    </row>
    <row r="144" spans="1:14" ht="14.25" customHeight="1" x14ac:dyDescent="0.25">
      <c r="A144" s="225"/>
      <c r="B144" s="224"/>
      <c r="C144" s="223"/>
      <c r="D144" s="223"/>
      <c r="E144" s="223"/>
      <c r="F144" s="223"/>
      <c r="G144" s="222"/>
      <c r="H144" s="220"/>
      <c r="I144" s="218"/>
      <c r="J144" s="218"/>
      <c r="K144" s="221"/>
      <c r="L144" s="220"/>
      <c r="M144" s="218"/>
      <c r="N144" s="219"/>
    </row>
    <row r="145" spans="1:14" ht="14.25" customHeight="1" x14ac:dyDescent="0.25">
      <c r="A145" s="225"/>
      <c r="B145" s="224"/>
      <c r="C145" s="223"/>
      <c r="D145" s="223"/>
      <c r="E145" s="223"/>
      <c r="F145" s="223"/>
      <c r="G145" s="222"/>
      <c r="H145" s="220"/>
      <c r="I145" s="218"/>
      <c r="J145" s="218"/>
      <c r="K145" s="221"/>
      <c r="L145" s="220"/>
      <c r="M145" s="218"/>
      <c r="N145" s="219"/>
    </row>
    <row r="146" spans="1:14" ht="14.25" customHeight="1" x14ac:dyDescent="0.25">
      <c r="A146" s="225"/>
      <c r="B146" s="224"/>
      <c r="C146" s="223"/>
      <c r="D146" s="223"/>
      <c r="E146" s="223"/>
      <c r="F146" s="223"/>
      <c r="G146" s="222"/>
      <c r="H146" s="220"/>
      <c r="I146" s="218"/>
      <c r="J146" s="218"/>
      <c r="K146" s="221"/>
      <c r="L146" s="220"/>
      <c r="M146" s="218"/>
      <c r="N146" s="219"/>
    </row>
    <row r="147" spans="1:14" ht="14.25" customHeight="1" x14ac:dyDescent="0.25">
      <c r="A147" s="225"/>
      <c r="B147" s="224"/>
      <c r="C147" s="223"/>
      <c r="D147" s="223"/>
      <c r="E147" s="223"/>
      <c r="F147" s="223"/>
      <c r="G147" s="222"/>
      <c r="H147" s="220"/>
      <c r="I147" s="218"/>
      <c r="J147" s="218"/>
      <c r="K147" s="221"/>
      <c r="L147" s="220"/>
      <c r="M147" s="218"/>
      <c r="N147" s="219"/>
    </row>
    <row r="148" spans="1:14" ht="14.25" customHeight="1" x14ac:dyDescent="0.25">
      <c r="A148" s="225"/>
      <c r="B148" s="224"/>
      <c r="C148" s="223"/>
      <c r="D148" s="223"/>
      <c r="E148" s="223"/>
      <c r="F148" s="223"/>
      <c r="G148" s="222"/>
      <c r="H148" s="220"/>
      <c r="I148" s="218"/>
      <c r="J148" s="218"/>
      <c r="K148" s="221"/>
      <c r="L148" s="220"/>
      <c r="M148" s="218"/>
      <c r="N148" s="219"/>
    </row>
    <row r="149" spans="1:14" ht="14.25" customHeight="1" x14ac:dyDescent="0.25">
      <c r="A149" s="225"/>
      <c r="B149" s="224"/>
      <c r="C149" s="223"/>
      <c r="D149" s="223"/>
      <c r="E149" s="223"/>
      <c r="F149" s="223"/>
      <c r="G149" s="222"/>
      <c r="H149" s="220"/>
      <c r="I149" s="218"/>
      <c r="J149" s="218"/>
      <c r="K149" s="221"/>
      <c r="L149" s="220"/>
      <c r="M149" s="218"/>
      <c r="N149" s="219"/>
    </row>
    <row r="150" spans="1:14" ht="14.25" customHeight="1" x14ac:dyDescent="0.25">
      <c r="A150" s="225"/>
      <c r="B150" s="224"/>
      <c r="C150" s="223"/>
      <c r="D150" s="223"/>
      <c r="E150" s="223"/>
      <c r="F150" s="223"/>
      <c r="G150" s="222"/>
      <c r="H150" s="220"/>
      <c r="I150" s="218"/>
      <c r="J150" s="218"/>
      <c r="K150" s="221"/>
      <c r="L150" s="220"/>
      <c r="M150" s="218"/>
      <c r="N150" s="219"/>
    </row>
    <row r="151" spans="1:14" ht="14.25" customHeight="1" x14ac:dyDescent="0.25">
      <c r="A151" s="225"/>
      <c r="B151" s="224"/>
      <c r="C151" s="223"/>
      <c r="D151" s="223"/>
      <c r="E151" s="223"/>
      <c r="F151" s="223"/>
      <c r="G151" s="222"/>
      <c r="H151" s="220"/>
      <c r="I151" s="218"/>
      <c r="J151" s="218"/>
      <c r="K151" s="221"/>
      <c r="L151" s="220"/>
      <c r="M151" s="218"/>
      <c r="N151" s="219"/>
    </row>
    <row r="152" spans="1:14" ht="14.25" customHeight="1" x14ac:dyDescent="0.25">
      <c r="A152" s="225"/>
      <c r="B152" s="224"/>
      <c r="C152" s="223"/>
      <c r="D152" s="223"/>
      <c r="E152" s="223"/>
      <c r="F152" s="223"/>
      <c r="G152" s="222"/>
      <c r="H152" s="220"/>
      <c r="I152" s="218"/>
      <c r="J152" s="218"/>
      <c r="K152" s="221"/>
      <c r="L152" s="220"/>
      <c r="M152" s="218"/>
      <c r="N152" s="219"/>
    </row>
    <row r="153" spans="1:14" ht="14.25" customHeight="1" x14ac:dyDescent="0.25">
      <c r="A153" s="225"/>
      <c r="B153" s="224"/>
      <c r="C153" s="223"/>
      <c r="D153" s="223"/>
      <c r="E153" s="223"/>
      <c r="F153" s="223"/>
      <c r="G153" s="222"/>
      <c r="H153" s="220"/>
      <c r="I153" s="218"/>
      <c r="J153" s="218"/>
      <c r="K153" s="221"/>
      <c r="L153" s="220"/>
      <c r="M153" s="218"/>
      <c r="N153" s="219"/>
    </row>
    <row r="154" spans="1:14" ht="14.25" customHeight="1" x14ac:dyDescent="0.25">
      <c r="A154" s="225"/>
      <c r="B154" s="224"/>
      <c r="C154" s="223"/>
      <c r="D154" s="223"/>
      <c r="E154" s="223"/>
      <c r="F154" s="223"/>
      <c r="G154" s="222"/>
      <c r="H154" s="220"/>
      <c r="I154" s="218"/>
      <c r="J154" s="218"/>
      <c r="K154" s="221"/>
      <c r="L154" s="220"/>
      <c r="M154" s="218"/>
      <c r="N154" s="219"/>
    </row>
    <row r="155" spans="1:14" ht="14.25" customHeight="1" x14ac:dyDescent="0.25">
      <c r="A155" s="225"/>
      <c r="B155" s="224"/>
      <c r="C155" s="223"/>
      <c r="D155" s="223"/>
      <c r="E155" s="223"/>
      <c r="F155" s="223"/>
      <c r="G155" s="222"/>
      <c r="H155" s="220"/>
      <c r="I155" s="218"/>
      <c r="J155" s="218"/>
      <c r="K155" s="221"/>
      <c r="L155" s="220"/>
      <c r="M155" s="218"/>
      <c r="N155" s="219"/>
    </row>
    <row r="156" spans="1:14" ht="14.25" customHeight="1" x14ac:dyDescent="0.25">
      <c r="A156" s="225"/>
      <c r="B156" s="224"/>
      <c r="C156" s="223"/>
      <c r="D156" s="223"/>
      <c r="E156" s="223"/>
      <c r="F156" s="223"/>
      <c r="G156" s="222"/>
      <c r="H156" s="220"/>
      <c r="I156" s="218"/>
      <c r="J156" s="218"/>
      <c r="K156" s="221"/>
      <c r="L156" s="220"/>
      <c r="M156" s="218"/>
      <c r="N156" s="219"/>
    </row>
    <row r="157" spans="1:14" ht="14.25" customHeight="1" x14ac:dyDescent="0.25">
      <c r="A157" s="225"/>
      <c r="B157" s="224"/>
      <c r="C157" s="223"/>
      <c r="D157" s="223"/>
      <c r="E157" s="223"/>
      <c r="F157" s="223"/>
      <c r="G157" s="222"/>
      <c r="H157" s="220"/>
      <c r="I157" s="218"/>
      <c r="J157" s="218"/>
      <c r="K157" s="221"/>
      <c r="L157" s="220"/>
      <c r="M157" s="218"/>
      <c r="N157" s="219"/>
    </row>
    <row r="158" spans="1:14" ht="14.25" customHeight="1" x14ac:dyDescent="0.25">
      <c r="A158" s="225"/>
      <c r="B158" s="224"/>
      <c r="C158" s="223"/>
      <c r="D158" s="223"/>
      <c r="E158" s="223"/>
      <c r="F158" s="223"/>
      <c r="G158" s="222"/>
      <c r="H158" s="220"/>
      <c r="I158" s="218"/>
      <c r="J158" s="218"/>
      <c r="K158" s="221"/>
      <c r="L158" s="220"/>
      <c r="M158" s="218"/>
      <c r="N158" s="219"/>
    </row>
    <row r="159" spans="1:14" ht="14.25" customHeight="1" x14ac:dyDescent="0.25">
      <c r="A159" s="225"/>
      <c r="B159" s="224"/>
      <c r="C159" s="223"/>
      <c r="D159" s="223"/>
      <c r="E159" s="223"/>
      <c r="F159" s="223"/>
      <c r="G159" s="222"/>
      <c r="H159" s="220"/>
      <c r="I159" s="218"/>
      <c r="J159" s="218"/>
      <c r="K159" s="221"/>
      <c r="L159" s="220"/>
      <c r="M159" s="218"/>
      <c r="N159" s="219"/>
    </row>
    <row r="160" spans="1:14" ht="14.25" customHeight="1" x14ac:dyDescent="0.25">
      <c r="A160" s="225"/>
      <c r="B160" s="224"/>
      <c r="C160" s="223"/>
      <c r="D160" s="223"/>
      <c r="E160" s="223"/>
      <c r="F160" s="223"/>
      <c r="G160" s="222"/>
      <c r="H160" s="220"/>
      <c r="I160" s="218"/>
      <c r="J160" s="218"/>
      <c r="K160" s="221"/>
      <c r="L160" s="220"/>
      <c r="M160" s="218"/>
      <c r="N160" s="219"/>
    </row>
    <row r="161" spans="1:14" ht="14.25" customHeight="1" x14ac:dyDescent="0.25">
      <c r="A161" s="225"/>
      <c r="B161" s="224"/>
      <c r="C161" s="223"/>
      <c r="D161" s="223"/>
      <c r="E161" s="223"/>
      <c r="F161" s="223"/>
      <c r="G161" s="222"/>
      <c r="H161" s="220"/>
      <c r="I161" s="218"/>
      <c r="J161" s="218"/>
      <c r="K161" s="221"/>
      <c r="L161" s="220"/>
      <c r="M161" s="218"/>
      <c r="N161" s="219"/>
    </row>
    <row r="162" spans="1:14" ht="14.25" customHeight="1" x14ac:dyDescent="0.25">
      <c r="A162" s="225"/>
      <c r="B162" s="224"/>
      <c r="C162" s="223"/>
      <c r="D162" s="223"/>
      <c r="E162" s="223"/>
      <c r="F162" s="223"/>
      <c r="G162" s="222"/>
      <c r="H162" s="220"/>
      <c r="I162" s="218"/>
      <c r="J162" s="218"/>
      <c r="K162" s="221"/>
      <c r="L162" s="220"/>
      <c r="M162" s="218"/>
      <c r="N162" s="219"/>
    </row>
    <row r="163" spans="1:14" ht="14.25" customHeight="1" x14ac:dyDescent="0.25">
      <c r="A163" s="225"/>
      <c r="B163" s="224"/>
      <c r="C163" s="223"/>
      <c r="D163" s="223"/>
      <c r="E163" s="223"/>
      <c r="F163" s="223"/>
      <c r="G163" s="222"/>
      <c r="H163" s="220"/>
      <c r="I163" s="218"/>
      <c r="J163" s="218"/>
      <c r="K163" s="221"/>
      <c r="L163" s="220"/>
      <c r="M163" s="218"/>
      <c r="N163" s="219"/>
    </row>
    <row r="164" spans="1:14" ht="14.25" customHeight="1" x14ac:dyDescent="0.25">
      <c r="A164" s="225"/>
      <c r="B164" s="224"/>
      <c r="C164" s="223"/>
      <c r="D164" s="223"/>
      <c r="E164" s="223"/>
      <c r="F164" s="223"/>
      <c r="G164" s="222"/>
      <c r="H164" s="220"/>
      <c r="I164" s="218"/>
      <c r="J164" s="218"/>
      <c r="K164" s="221"/>
      <c r="L164" s="220"/>
      <c r="M164" s="218"/>
      <c r="N164" s="219"/>
    </row>
    <row r="165" spans="1:14" ht="14.25" customHeight="1" x14ac:dyDescent="0.25">
      <c r="A165" s="225"/>
      <c r="B165" s="224"/>
      <c r="C165" s="223"/>
      <c r="D165" s="223"/>
      <c r="E165" s="223"/>
      <c r="F165" s="223"/>
      <c r="G165" s="222"/>
      <c r="H165" s="220"/>
      <c r="I165" s="218"/>
      <c r="J165" s="218"/>
      <c r="K165" s="221"/>
      <c r="L165" s="220"/>
      <c r="M165" s="218"/>
      <c r="N165" s="219"/>
    </row>
    <row r="166" spans="1:14" ht="14.25" customHeight="1" x14ac:dyDescent="0.25">
      <c r="A166" s="225"/>
      <c r="B166" s="224"/>
      <c r="C166" s="223"/>
      <c r="D166" s="223"/>
      <c r="E166" s="223"/>
      <c r="F166" s="223"/>
      <c r="G166" s="222"/>
      <c r="H166" s="220"/>
      <c r="I166" s="218"/>
      <c r="J166" s="218"/>
      <c r="K166" s="221"/>
      <c r="L166" s="220"/>
      <c r="M166" s="218"/>
      <c r="N166" s="219"/>
    </row>
    <row r="167" spans="1:14" ht="14.25" customHeight="1" x14ac:dyDescent="0.25">
      <c r="A167" s="225"/>
      <c r="B167" s="224"/>
      <c r="C167" s="223"/>
      <c r="D167" s="223"/>
      <c r="E167" s="223"/>
      <c r="F167" s="223"/>
      <c r="G167" s="222"/>
      <c r="H167" s="220"/>
      <c r="I167" s="218"/>
      <c r="J167" s="218"/>
      <c r="K167" s="221"/>
      <c r="L167" s="220"/>
      <c r="M167" s="218"/>
      <c r="N167" s="219"/>
    </row>
    <row r="168" spans="1:14" ht="14.25" customHeight="1" x14ac:dyDescent="0.25">
      <c r="A168" s="225"/>
      <c r="B168" s="224"/>
      <c r="C168" s="223"/>
      <c r="D168" s="223"/>
      <c r="E168" s="223"/>
      <c r="F168" s="223"/>
      <c r="G168" s="222"/>
      <c r="H168" s="220"/>
      <c r="I168" s="218"/>
      <c r="J168" s="218"/>
      <c r="K168" s="221"/>
      <c r="L168" s="220"/>
      <c r="M168" s="218"/>
      <c r="N168" s="219"/>
    </row>
    <row r="169" spans="1:14" ht="14.25" customHeight="1" x14ac:dyDescent="0.25">
      <c r="A169" s="225"/>
      <c r="B169" s="224"/>
      <c r="C169" s="223"/>
      <c r="D169" s="223"/>
      <c r="E169" s="223"/>
      <c r="F169" s="223"/>
      <c r="G169" s="222"/>
      <c r="H169" s="220"/>
      <c r="I169" s="218"/>
      <c r="J169" s="218"/>
      <c r="K169" s="221"/>
      <c r="L169" s="220"/>
      <c r="M169" s="218"/>
      <c r="N169" s="219"/>
    </row>
    <row r="170" spans="1:14" ht="14.25" customHeight="1" x14ac:dyDescent="0.25">
      <c r="A170" s="225"/>
      <c r="B170" s="224"/>
      <c r="C170" s="223"/>
      <c r="D170" s="223"/>
      <c r="E170" s="223"/>
      <c r="F170" s="223"/>
      <c r="G170" s="222"/>
      <c r="H170" s="220"/>
      <c r="I170" s="218"/>
      <c r="J170" s="218"/>
      <c r="K170" s="221"/>
      <c r="L170" s="220"/>
      <c r="M170" s="218"/>
      <c r="N170" s="219"/>
    </row>
    <row r="171" spans="1:14" ht="14.25" customHeight="1" x14ac:dyDescent="0.25">
      <c r="A171" s="225"/>
      <c r="B171" s="224"/>
      <c r="C171" s="223"/>
      <c r="D171" s="223"/>
      <c r="E171" s="223"/>
      <c r="F171" s="223"/>
      <c r="G171" s="222"/>
      <c r="H171" s="220"/>
      <c r="I171" s="218"/>
      <c r="J171" s="218"/>
      <c r="K171" s="221"/>
      <c r="L171" s="220"/>
      <c r="M171" s="218"/>
      <c r="N171" s="219"/>
    </row>
    <row r="172" spans="1:14" ht="14.25" customHeight="1" x14ac:dyDescent="0.25">
      <c r="A172" s="225"/>
      <c r="B172" s="224"/>
      <c r="C172" s="223"/>
      <c r="D172" s="223"/>
      <c r="E172" s="223"/>
      <c r="F172" s="223"/>
      <c r="G172" s="222"/>
      <c r="H172" s="220"/>
      <c r="I172" s="218"/>
      <c r="J172" s="218"/>
      <c r="K172" s="221"/>
      <c r="L172" s="220"/>
      <c r="M172" s="218"/>
      <c r="N172" s="219"/>
    </row>
    <row r="173" spans="1:14" ht="14.25" customHeight="1" x14ac:dyDescent="0.25">
      <c r="A173" s="225"/>
      <c r="B173" s="224"/>
      <c r="C173" s="223"/>
      <c r="D173" s="223"/>
      <c r="E173" s="223"/>
      <c r="F173" s="223"/>
      <c r="G173" s="222"/>
      <c r="H173" s="220"/>
      <c r="I173" s="218"/>
      <c r="J173" s="218"/>
      <c r="K173" s="221"/>
      <c r="L173" s="220"/>
      <c r="M173" s="218"/>
      <c r="N173" s="219"/>
    </row>
    <row r="174" spans="1:14" ht="14.25" customHeight="1" x14ac:dyDescent="0.25">
      <c r="A174" s="225"/>
      <c r="B174" s="224"/>
      <c r="C174" s="223"/>
      <c r="D174" s="223"/>
      <c r="E174" s="223"/>
      <c r="F174" s="223"/>
      <c r="G174" s="222"/>
      <c r="H174" s="220"/>
      <c r="I174" s="218"/>
      <c r="J174" s="218"/>
      <c r="K174" s="221"/>
      <c r="L174" s="220"/>
      <c r="M174" s="218"/>
      <c r="N174" s="219"/>
    </row>
    <row r="175" spans="1:14" ht="14.25" customHeight="1" x14ac:dyDescent="0.25">
      <c r="A175" s="225"/>
      <c r="B175" s="224"/>
      <c r="C175" s="223"/>
      <c r="D175" s="223"/>
      <c r="E175" s="223"/>
      <c r="F175" s="223"/>
      <c r="G175" s="222"/>
      <c r="H175" s="220"/>
      <c r="I175" s="218"/>
      <c r="J175" s="218"/>
      <c r="K175" s="221"/>
      <c r="L175" s="220"/>
      <c r="M175" s="218"/>
      <c r="N175" s="219"/>
    </row>
    <row r="176" spans="1:14" ht="14.25" customHeight="1" x14ac:dyDescent="0.25">
      <c r="A176" s="225"/>
      <c r="B176" s="224"/>
      <c r="C176" s="223"/>
      <c r="D176" s="223"/>
      <c r="E176" s="223"/>
      <c r="F176" s="223"/>
      <c r="G176" s="222"/>
      <c r="H176" s="220"/>
      <c r="I176" s="218"/>
      <c r="J176" s="218"/>
      <c r="K176" s="221"/>
      <c r="L176" s="220"/>
      <c r="M176" s="218"/>
      <c r="N176" s="219"/>
    </row>
    <row r="177" spans="1:14" ht="14.25" customHeight="1" x14ac:dyDescent="0.25">
      <c r="A177" s="225"/>
      <c r="B177" s="224"/>
      <c r="C177" s="223"/>
      <c r="D177" s="223"/>
      <c r="E177" s="223"/>
      <c r="F177" s="223"/>
      <c r="G177" s="222"/>
      <c r="H177" s="220"/>
      <c r="I177" s="218"/>
      <c r="J177" s="218"/>
      <c r="K177" s="221"/>
      <c r="L177" s="220"/>
      <c r="M177" s="218"/>
      <c r="N177" s="219"/>
    </row>
    <row r="178" spans="1:14" ht="14.25" customHeight="1" x14ac:dyDescent="0.25">
      <c r="A178" s="225"/>
      <c r="B178" s="224"/>
      <c r="C178" s="223"/>
      <c r="D178" s="223"/>
      <c r="E178" s="223"/>
      <c r="F178" s="223"/>
      <c r="G178" s="222"/>
      <c r="H178" s="220"/>
      <c r="I178" s="218"/>
      <c r="J178" s="218"/>
      <c r="K178" s="221"/>
      <c r="L178" s="220"/>
      <c r="M178" s="218"/>
      <c r="N178" s="219"/>
    </row>
    <row r="179" spans="1:14" ht="14.25" customHeight="1" x14ac:dyDescent="0.25">
      <c r="A179" s="225"/>
      <c r="B179" s="224"/>
      <c r="C179" s="223"/>
      <c r="D179" s="223"/>
      <c r="E179" s="223"/>
      <c r="F179" s="223"/>
      <c r="G179" s="222"/>
      <c r="H179" s="220"/>
      <c r="I179" s="218"/>
      <c r="J179" s="218"/>
      <c r="K179" s="221"/>
      <c r="L179" s="220"/>
      <c r="M179" s="218"/>
      <c r="N179" s="219"/>
    </row>
    <row r="180" spans="1:14" ht="14.25" customHeight="1" x14ac:dyDescent="0.25">
      <c r="A180" s="225"/>
      <c r="B180" s="224"/>
      <c r="C180" s="223"/>
      <c r="D180" s="223"/>
      <c r="E180" s="223"/>
      <c r="F180" s="223"/>
      <c r="G180" s="222"/>
      <c r="H180" s="220"/>
      <c r="I180" s="218"/>
      <c r="J180" s="218"/>
      <c r="K180" s="221"/>
      <c r="L180" s="220"/>
      <c r="M180" s="218"/>
      <c r="N180" s="219"/>
    </row>
    <row r="181" spans="1:14" ht="14.25" customHeight="1" x14ac:dyDescent="0.25">
      <c r="A181" s="225"/>
      <c r="B181" s="224"/>
      <c r="C181" s="223"/>
      <c r="D181" s="223"/>
      <c r="E181" s="223"/>
      <c r="F181" s="223"/>
      <c r="G181" s="222"/>
      <c r="H181" s="220"/>
      <c r="I181" s="218"/>
      <c r="J181" s="218"/>
      <c r="K181" s="221"/>
      <c r="L181" s="220"/>
      <c r="M181" s="218"/>
      <c r="N181" s="219"/>
    </row>
    <row r="182" spans="1:14" ht="14.25" customHeight="1" x14ac:dyDescent="0.25">
      <c r="A182" s="225"/>
      <c r="B182" s="224"/>
      <c r="C182" s="223"/>
      <c r="D182" s="223"/>
      <c r="E182" s="223"/>
      <c r="F182" s="223"/>
      <c r="G182" s="222"/>
      <c r="H182" s="220"/>
      <c r="I182" s="218"/>
      <c r="J182" s="218"/>
      <c r="K182" s="221"/>
      <c r="L182" s="220"/>
      <c r="M182" s="218"/>
      <c r="N182" s="219"/>
    </row>
    <row r="183" spans="1:14" ht="14.25" customHeight="1" x14ac:dyDescent="0.25">
      <c r="A183" s="225"/>
      <c r="B183" s="224"/>
      <c r="C183" s="223"/>
      <c r="D183" s="223"/>
      <c r="E183" s="223"/>
      <c r="F183" s="223"/>
      <c r="G183" s="222"/>
      <c r="H183" s="220"/>
      <c r="I183" s="218"/>
      <c r="J183" s="218"/>
      <c r="K183" s="221"/>
      <c r="L183" s="220"/>
      <c r="M183" s="218"/>
      <c r="N183" s="219"/>
    </row>
    <row r="184" spans="1:14" ht="14.25" customHeight="1" x14ac:dyDescent="0.25">
      <c r="A184" s="225"/>
      <c r="B184" s="224"/>
      <c r="C184" s="223"/>
      <c r="D184" s="223"/>
      <c r="E184" s="223"/>
      <c r="F184" s="223"/>
      <c r="G184" s="222"/>
      <c r="H184" s="220"/>
      <c r="I184" s="218"/>
      <c r="J184" s="218"/>
      <c r="K184" s="221"/>
      <c r="L184" s="220"/>
      <c r="M184" s="218"/>
      <c r="N184" s="219"/>
    </row>
    <row r="185" spans="1:14" ht="14.25" customHeight="1" x14ac:dyDescent="0.25">
      <c r="A185" s="225"/>
      <c r="B185" s="224"/>
      <c r="C185" s="223"/>
      <c r="D185" s="223"/>
      <c r="E185" s="223"/>
      <c r="F185" s="223"/>
      <c r="G185" s="222"/>
      <c r="H185" s="220"/>
      <c r="I185" s="218"/>
      <c r="J185" s="218"/>
      <c r="K185" s="221"/>
      <c r="L185" s="220"/>
      <c r="M185" s="218"/>
      <c r="N185" s="219"/>
    </row>
    <row r="186" spans="1:14" ht="14.25" customHeight="1" x14ac:dyDescent="0.25">
      <c r="A186" s="225"/>
      <c r="B186" s="224"/>
      <c r="C186" s="223"/>
      <c r="D186" s="223"/>
      <c r="E186" s="223"/>
      <c r="F186" s="223"/>
      <c r="G186" s="222"/>
      <c r="H186" s="220"/>
      <c r="I186" s="218"/>
      <c r="J186" s="218"/>
      <c r="K186" s="221"/>
      <c r="L186" s="220"/>
      <c r="M186" s="218"/>
      <c r="N186" s="219"/>
    </row>
    <row r="187" spans="1:14" ht="14.25" customHeight="1" x14ac:dyDescent="0.25">
      <c r="A187" s="225"/>
      <c r="B187" s="224"/>
      <c r="C187" s="223"/>
      <c r="D187" s="223"/>
      <c r="E187" s="223"/>
      <c r="F187" s="223"/>
      <c r="G187" s="222"/>
      <c r="H187" s="220"/>
      <c r="I187" s="218"/>
      <c r="J187" s="218"/>
      <c r="K187" s="221"/>
      <c r="L187" s="220"/>
      <c r="M187" s="218"/>
      <c r="N187" s="219"/>
    </row>
    <row r="188" spans="1:14" ht="14.25" customHeight="1" x14ac:dyDescent="0.25">
      <c r="A188" s="225"/>
      <c r="B188" s="224"/>
      <c r="C188" s="223"/>
      <c r="D188" s="223"/>
      <c r="E188" s="223"/>
      <c r="F188" s="223"/>
      <c r="G188" s="222"/>
      <c r="H188" s="220"/>
      <c r="I188" s="218"/>
      <c r="J188" s="218"/>
      <c r="K188" s="221"/>
      <c r="L188" s="220"/>
      <c r="M188" s="218"/>
      <c r="N188" s="219"/>
    </row>
    <row r="189" spans="1:14" ht="14.25" customHeight="1" x14ac:dyDescent="0.25">
      <c r="A189" s="225"/>
      <c r="B189" s="224"/>
      <c r="C189" s="223"/>
      <c r="D189" s="223"/>
      <c r="E189" s="223"/>
      <c r="F189" s="223"/>
      <c r="G189" s="222"/>
      <c r="H189" s="220"/>
      <c r="I189" s="218"/>
      <c r="J189" s="218"/>
      <c r="K189" s="221"/>
      <c r="L189" s="220"/>
      <c r="M189" s="218"/>
      <c r="N189" s="219"/>
    </row>
    <row r="190" spans="1:14" ht="14.25" customHeight="1" x14ac:dyDescent="0.25">
      <c r="A190" s="225"/>
      <c r="B190" s="224"/>
      <c r="C190" s="223"/>
      <c r="D190" s="223"/>
      <c r="E190" s="223"/>
      <c r="F190" s="223"/>
      <c r="G190" s="222"/>
      <c r="H190" s="220"/>
      <c r="I190" s="218"/>
      <c r="J190" s="218"/>
      <c r="K190" s="221"/>
      <c r="L190" s="220"/>
      <c r="M190" s="218"/>
      <c r="N190" s="219"/>
    </row>
    <row r="191" spans="1:14" ht="14.25" customHeight="1" x14ac:dyDescent="0.25">
      <c r="A191" s="225"/>
      <c r="B191" s="224"/>
      <c r="C191" s="223"/>
      <c r="D191" s="223"/>
      <c r="E191" s="223"/>
      <c r="F191" s="223"/>
      <c r="G191" s="222"/>
      <c r="H191" s="220"/>
      <c r="I191" s="218"/>
      <c r="J191" s="218"/>
      <c r="K191" s="221"/>
      <c r="L191" s="220"/>
      <c r="M191" s="218"/>
      <c r="N191" s="219"/>
    </row>
    <row r="192" spans="1:14" ht="14.25" customHeight="1" x14ac:dyDescent="0.25">
      <c r="A192" s="225"/>
      <c r="B192" s="224"/>
      <c r="C192" s="223"/>
      <c r="D192" s="223"/>
      <c r="E192" s="223"/>
      <c r="F192" s="223"/>
      <c r="G192" s="222"/>
      <c r="H192" s="220"/>
      <c r="I192" s="218"/>
      <c r="J192" s="218"/>
      <c r="K192" s="221"/>
      <c r="L192" s="220"/>
      <c r="M192" s="218"/>
      <c r="N192" s="219"/>
    </row>
    <row r="193" spans="1:14" ht="14.25" customHeight="1" x14ac:dyDescent="0.25">
      <c r="A193" s="225"/>
      <c r="B193" s="224"/>
      <c r="C193" s="223"/>
      <c r="D193" s="223"/>
      <c r="E193" s="223"/>
      <c r="F193" s="223"/>
      <c r="G193" s="222"/>
      <c r="H193" s="220"/>
      <c r="I193" s="218"/>
      <c r="J193" s="218"/>
      <c r="K193" s="221"/>
      <c r="L193" s="220"/>
      <c r="M193" s="218"/>
      <c r="N193" s="219"/>
    </row>
    <row r="194" spans="1:14" ht="14.25" customHeight="1" x14ac:dyDescent="0.25">
      <c r="A194" s="225"/>
      <c r="B194" s="224"/>
      <c r="C194" s="223"/>
      <c r="D194" s="223"/>
      <c r="E194" s="223"/>
      <c r="F194" s="223"/>
      <c r="G194" s="222"/>
      <c r="H194" s="220"/>
      <c r="I194" s="218"/>
      <c r="J194" s="218"/>
      <c r="K194" s="221"/>
      <c r="L194" s="220"/>
      <c r="M194" s="218"/>
      <c r="N194" s="219"/>
    </row>
    <row r="195" spans="1:14" ht="14.25" customHeight="1" x14ac:dyDescent="0.25">
      <c r="A195" s="225"/>
      <c r="B195" s="224"/>
      <c r="C195" s="223"/>
      <c r="D195" s="223"/>
      <c r="E195" s="223"/>
      <c r="F195" s="223"/>
      <c r="G195" s="222"/>
      <c r="H195" s="220"/>
      <c r="I195" s="218"/>
      <c r="J195" s="218"/>
      <c r="K195" s="221"/>
      <c r="L195" s="220"/>
      <c r="M195" s="218"/>
      <c r="N195" s="219"/>
    </row>
    <row r="196" spans="1:14" ht="14.25" customHeight="1" x14ac:dyDescent="0.25">
      <c r="A196" s="225"/>
      <c r="B196" s="224"/>
      <c r="C196" s="223"/>
      <c r="D196" s="223"/>
      <c r="E196" s="223"/>
      <c r="F196" s="223"/>
      <c r="G196" s="222"/>
      <c r="H196" s="220"/>
      <c r="I196" s="218"/>
      <c r="J196" s="218"/>
      <c r="K196" s="221"/>
      <c r="L196" s="220"/>
      <c r="M196" s="218"/>
      <c r="N196" s="219"/>
    </row>
    <row r="197" spans="1:14" ht="14.25" customHeight="1" x14ac:dyDescent="0.25">
      <c r="A197" s="225"/>
      <c r="B197" s="224"/>
      <c r="C197" s="223"/>
      <c r="D197" s="223"/>
      <c r="E197" s="223"/>
      <c r="F197" s="223"/>
      <c r="G197" s="222"/>
      <c r="H197" s="220"/>
      <c r="I197" s="218"/>
      <c r="J197" s="218"/>
      <c r="K197" s="221"/>
      <c r="L197" s="220"/>
      <c r="M197" s="218"/>
      <c r="N197" s="219"/>
    </row>
    <row r="198" spans="1:14" ht="14.25" customHeight="1" x14ac:dyDescent="0.25">
      <c r="A198" s="225"/>
      <c r="B198" s="224"/>
      <c r="C198" s="223"/>
      <c r="D198" s="223"/>
      <c r="E198" s="223"/>
      <c r="F198" s="223"/>
      <c r="G198" s="222"/>
      <c r="H198" s="220"/>
      <c r="I198" s="218"/>
      <c r="J198" s="218"/>
      <c r="K198" s="221"/>
      <c r="L198" s="220"/>
      <c r="M198" s="218"/>
      <c r="N198" s="219"/>
    </row>
    <row r="199" spans="1:14" ht="14.25" customHeight="1" x14ac:dyDescent="0.25">
      <c r="A199" s="225"/>
      <c r="B199" s="224"/>
      <c r="C199" s="223"/>
      <c r="D199" s="223"/>
      <c r="E199" s="223"/>
      <c r="F199" s="223"/>
      <c r="G199" s="222"/>
      <c r="H199" s="220"/>
      <c r="I199" s="218"/>
      <c r="J199" s="218"/>
      <c r="K199" s="221"/>
      <c r="L199" s="220"/>
      <c r="M199" s="218"/>
      <c r="N199" s="219"/>
    </row>
    <row r="200" spans="1:14" ht="14.25" customHeight="1" x14ac:dyDescent="0.25">
      <c r="A200" s="225"/>
      <c r="B200" s="224"/>
      <c r="C200" s="223"/>
      <c r="D200" s="223"/>
      <c r="E200" s="223"/>
      <c r="F200" s="223"/>
      <c r="G200" s="222"/>
      <c r="H200" s="220"/>
      <c r="I200" s="218"/>
      <c r="J200" s="218"/>
      <c r="K200" s="221"/>
      <c r="L200" s="220"/>
      <c r="M200" s="218"/>
      <c r="N200" s="219"/>
    </row>
    <row r="201" spans="1:14" ht="14.25" customHeight="1" x14ac:dyDescent="0.25">
      <c r="A201" s="225"/>
      <c r="B201" s="224"/>
      <c r="C201" s="223"/>
      <c r="D201" s="223"/>
      <c r="E201" s="223"/>
      <c r="F201" s="223"/>
      <c r="G201" s="222"/>
      <c r="H201" s="220"/>
      <c r="I201" s="218"/>
      <c r="J201" s="218"/>
      <c r="K201" s="221"/>
      <c r="L201" s="220"/>
      <c r="M201" s="218"/>
      <c r="N201" s="219"/>
    </row>
    <row r="202" spans="1:14" ht="14.25" customHeight="1" x14ac:dyDescent="0.25">
      <c r="A202" s="225"/>
      <c r="B202" s="224"/>
      <c r="C202" s="223"/>
      <c r="D202" s="223"/>
      <c r="E202" s="223"/>
      <c r="F202" s="223"/>
      <c r="G202" s="222"/>
      <c r="H202" s="220"/>
      <c r="I202" s="218"/>
      <c r="J202" s="218"/>
      <c r="K202" s="221"/>
      <c r="L202" s="220"/>
      <c r="M202" s="218"/>
      <c r="N202" s="219"/>
    </row>
    <row r="203" spans="1:14" ht="14.25" customHeight="1" x14ac:dyDescent="0.25">
      <c r="A203" s="225"/>
      <c r="B203" s="224"/>
      <c r="C203" s="223"/>
      <c r="D203" s="223"/>
      <c r="E203" s="223"/>
      <c r="F203" s="223"/>
      <c r="G203" s="222"/>
      <c r="H203" s="220"/>
      <c r="I203" s="218"/>
      <c r="J203" s="218"/>
      <c r="K203" s="221"/>
      <c r="L203" s="220"/>
      <c r="M203" s="218"/>
      <c r="N203" s="219"/>
    </row>
    <row r="204" spans="1:14" ht="14.25" customHeight="1" x14ac:dyDescent="0.25">
      <c r="A204" s="225"/>
      <c r="B204" s="224"/>
      <c r="C204" s="223"/>
      <c r="D204" s="223"/>
      <c r="E204" s="223"/>
      <c r="F204" s="223"/>
      <c r="G204" s="222"/>
      <c r="H204" s="220"/>
      <c r="I204" s="218"/>
      <c r="J204" s="218"/>
      <c r="K204" s="221"/>
      <c r="L204" s="220"/>
      <c r="M204" s="218"/>
      <c r="N204" s="219"/>
    </row>
    <row r="205" spans="1:14" ht="14.25" customHeight="1" x14ac:dyDescent="0.25">
      <c r="A205" s="225"/>
      <c r="B205" s="224"/>
      <c r="C205" s="223"/>
      <c r="D205" s="223"/>
      <c r="E205" s="223"/>
      <c r="F205" s="223"/>
      <c r="G205" s="222"/>
      <c r="H205" s="220"/>
      <c r="I205" s="218"/>
      <c r="J205" s="218"/>
      <c r="K205" s="221"/>
      <c r="L205" s="220"/>
      <c r="M205" s="218"/>
      <c r="N205" s="219"/>
    </row>
    <row r="206" spans="1:14" ht="14.25" customHeight="1" x14ac:dyDescent="0.25">
      <c r="A206" s="218"/>
      <c r="I206" s="218"/>
      <c r="J206" s="218"/>
      <c r="M206" s="218"/>
      <c r="N206" s="218"/>
    </row>
    <row r="207" spans="1:14" ht="14.25" customHeight="1" x14ac:dyDescent="0.25">
      <c r="A207" s="218"/>
      <c r="I207" s="218"/>
      <c r="J207" s="218"/>
      <c r="M207" s="218"/>
      <c r="N207" s="218"/>
    </row>
    <row r="208" spans="1:14" ht="14.25" customHeight="1" x14ac:dyDescent="0.25">
      <c r="A208" s="218"/>
      <c r="I208" s="218"/>
      <c r="J208" s="218"/>
      <c r="M208" s="218"/>
      <c r="N208" s="218"/>
    </row>
    <row r="209" spans="1:14" ht="14.25" customHeight="1" x14ac:dyDescent="0.25">
      <c r="A209" s="218"/>
      <c r="I209" s="218"/>
      <c r="J209" s="218"/>
      <c r="M209" s="218"/>
      <c r="N209" s="218"/>
    </row>
    <row r="210" spans="1:14" ht="14.25" customHeight="1" x14ac:dyDescent="0.25">
      <c r="A210" s="218"/>
      <c r="I210" s="218"/>
      <c r="J210" s="218"/>
      <c r="M210" s="218"/>
      <c r="N210" s="218"/>
    </row>
    <row r="211" spans="1:14" ht="14.25" customHeight="1" x14ac:dyDescent="0.25">
      <c r="A211" s="218"/>
      <c r="I211" s="218"/>
      <c r="J211" s="218"/>
      <c r="M211" s="218"/>
      <c r="N211" s="218"/>
    </row>
    <row r="212" spans="1:14" ht="14.25" customHeight="1" x14ac:dyDescent="0.25">
      <c r="A212" s="218"/>
      <c r="I212" s="218"/>
      <c r="J212" s="218"/>
      <c r="M212" s="218"/>
      <c r="N212" s="218"/>
    </row>
    <row r="213" spans="1:14" ht="14.25" customHeight="1" x14ac:dyDescent="0.25">
      <c r="A213" s="218"/>
      <c r="I213" s="218"/>
      <c r="J213" s="218"/>
      <c r="M213" s="218"/>
      <c r="N213" s="218"/>
    </row>
    <row r="214" spans="1:14" ht="14.25" customHeight="1" x14ac:dyDescent="0.25">
      <c r="A214" s="218"/>
      <c r="I214" s="218"/>
      <c r="J214" s="218"/>
      <c r="M214" s="218"/>
      <c r="N214" s="218"/>
    </row>
    <row r="215" spans="1:14" ht="14.25" customHeight="1" x14ac:dyDescent="0.25">
      <c r="A215" s="218"/>
      <c r="I215" s="218"/>
      <c r="J215" s="218"/>
      <c r="M215" s="218"/>
      <c r="N215" s="218"/>
    </row>
    <row r="216" spans="1:14" ht="14.25" customHeight="1" x14ac:dyDescent="0.25">
      <c r="A216" s="218"/>
      <c r="I216" s="218"/>
      <c r="J216" s="218"/>
      <c r="M216" s="218"/>
      <c r="N216" s="218"/>
    </row>
    <row r="217" spans="1:14" ht="14.25" customHeight="1" x14ac:dyDescent="0.25">
      <c r="A217" s="218"/>
      <c r="I217" s="218"/>
      <c r="J217" s="218"/>
      <c r="M217" s="218"/>
      <c r="N217" s="218"/>
    </row>
    <row r="218" spans="1:14" ht="14.25" customHeight="1" x14ac:dyDescent="0.25">
      <c r="A218" s="218"/>
      <c r="I218" s="218"/>
      <c r="J218" s="218"/>
      <c r="M218" s="218"/>
      <c r="N218" s="218"/>
    </row>
    <row r="219" spans="1:14" ht="14.25" customHeight="1" x14ac:dyDescent="0.25">
      <c r="A219" s="218"/>
      <c r="I219" s="218"/>
      <c r="J219" s="218"/>
      <c r="M219" s="218"/>
      <c r="N219" s="218"/>
    </row>
    <row r="220" spans="1:14" ht="14.25" customHeight="1" x14ac:dyDescent="0.25">
      <c r="A220" s="218"/>
      <c r="I220" s="218"/>
      <c r="J220" s="218"/>
      <c r="M220" s="218"/>
      <c r="N220" s="218"/>
    </row>
    <row r="221" spans="1:14" ht="14.25" customHeight="1" x14ac:dyDescent="0.25">
      <c r="A221" s="218"/>
      <c r="I221" s="218"/>
      <c r="J221" s="218"/>
      <c r="M221" s="218"/>
      <c r="N221" s="218"/>
    </row>
    <row r="222" spans="1:14" ht="14.25" customHeight="1" x14ac:dyDescent="0.25">
      <c r="A222" s="218"/>
      <c r="I222" s="218"/>
      <c r="J222" s="218"/>
      <c r="M222" s="218"/>
      <c r="N222" s="218"/>
    </row>
    <row r="223" spans="1:14" ht="14.25" customHeight="1" x14ac:dyDescent="0.25">
      <c r="A223" s="218"/>
      <c r="I223" s="218"/>
      <c r="J223" s="218"/>
      <c r="M223" s="218"/>
      <c r="N223" s="218"/>
    </row>
    <row r="224" spans="1:14" ht="14.25" customHeight="1" x14ac:dyDescent="0.25">
      <c r="A224" s="218"/>
      <c r="I224" s="218"/>
      <c r="J224" s="218"/>
      <c r="M224" s="218"/>
      <c r="N224" s="218"/>
    </row>
    <row r="225" spans="1:14" ht="14.25" customHeight="1" x14ac:dyDescent="0.25">
      <c r="A225" s="218"/>
      <c r="I225" s="218"/>
      <c r="J225" s="218"/>
      <c r="M225" s="218"/>
      <c r="N225" s="218"/>
    </row>
    <row r="226" spans="1:14" ht="14.25" customHeight="1" x14ac:dyDescent="0.25">
      <c r="A226" s="218"/>
      <c r="I226" s="218"/>
      <c r="J226" s="218"/>
      <c r="M226" s="218"/>
      <c r="N226" s="218"/>
    </row>
    <row r="227" spans="1:14" ht="14.25" customHeight="1" x14ac:dyDescent="0.25">
      <c r="A227" s="218"/>
      <c r="I227" s="218"/>
      <c r="J227" s="218"/>
      <c r="M227" s="218"/>
      <c r="N227" s="218"/>
    </row>
    <row r="228" spans="1:14" ht="14.25" customHeight="1" x14ac:dyDescent="0.25">
      <c r="A228" s="218"/>
      <c r="I228" s="218"/>
      <c r="J228" s="218"/>
      <c r="M228" s="218"/>
      <c r="N228" s="218"/>
    </row>
    <row r="229" spans="1:14" ht="14.25" customHeight="1" x14ac:dyDescent="0.25">
      <c r="A229" s="218"/>
      <c r="I229" s="218"/>
      <c r="J229" s="218"/>
      <c r="M229" s="218"/>
      <c r="N229" s="218"/>
    </row>
    <row r="230" spans="1:14" ht="14.25" customHeight="1" x14ac:dyDescent="0.25">
      <c r="A230" s="218"/>
      <c r="I230" s="218"/>
      <c r="J230" s="218"/>
      <c r="M230" s="218"/>
      <c r="N230" s="218"/>
    </row>
    <row r="231" spans="1:14" ht="14.25" customHeight="1" x14ac:dyDescent="0.25">
      <c r="A231" s="218"/>
      <c r="I231" s="218"/>
      <c r="J231" s="218"/>
      <c r="M231" s="218"/>
      <c r="N231" s="218"/>
    </row>
    <row r="232" spans="1:14" ht="14.25" customHeight="1" x14ac:dyDescent="0.25">
      <c r="A232" s="218"/>
      <c r="I232" s="218"/>
      <c r="J232" s="218"/>
      <c r="M232" s="218"/>
      <c r="N232" s="218"/>
    </row>
    <row r="233" spans="1:14" ht="14.25" customHeight="1" x14ac:dyDescent="0.25">
      <c r="A233" s="218"/>
      <c r="I233" s="218"/>
      <c r="J233" s="218"/>
      <c r="M233" s="218"/>
      <c r="N233" s="218"/>
    </row>
    <row r="234" spans="1:14" ht="14.25" customHeight="1" x14ac:dyDescent="0.25">
      <c r="A234" s="218"/>
      <c r="I234" s="218"/>
      <c r="J234" s="218"/>
      <c r="M234" s="218"/>
      <c r="N234" s="218"/>
    </row>
    <row r="235" spans="1:14" ht="14.25" customHeight="1" x14ac:dyDescent="0.25">
      <c r="A235" s="218"/>
      <c r="I235" s="218"/>
      <c r="J235" s="218"/>
      <c r="M235" s="218"/>
      <c r="N235" s="218"/>
    </row>
    <row r="236" spans="1:14" ht="14.25" customHeight="1" x14ac:dyDescent="0.25">
      <c r="A236" s="218"/>
      <c r="I236" s="218"/>
      <c r="J236" s="218"/>
      <c r="M236" s="218"/>
      <c r="N236" s="218"/>
    </row>
    <row r="237" spans="1:14" ht="14.25" customHeight="1" x14ac:dyDescent="0.25">
      <c r="A237" s="218"/>
      <c r="I237" s="218"/>
      <c r="J237" s="218"/>
      <c r="M237" s="218"/>
      <c r="N237" s="218"/>
    </row>
    <row r="238" spans="1:14" ht="14.25" customHeight="1" x14ac:dyDescent="0.25">
      <c r="A238" s="218"/>
      <c r="I238" s="218"/>
      <c r="J238" s="218"/>
      <c r="M238" s="218"/>
      <c r="N238" s="218"/>
    </row>
    <row r="239" spans="1:14" ht="14.25" customHeight="1" x14ac:dyDescent="0.25">
      <c r="A239" s="218"/>
      <c r="I239" s="218"/>
      <c r="J239" s="218"/>
      <c r="M239" s="218"/>
      <c r="N239" s="218"/>
    </row>
    <row r="240" spans="1:14" ht="14.25" customHeight="1" x14ac:dyDescent="0.25">
      <c r="A240" s="218"/>
      <c r="I240" s="218"/>
      <c r="J240" s="218"/>
      <c r="M240" s="218"/>
      <c r="N240" s="218"/>
    </row>
    <row r="241" spans="1:14" ht="14.25" customHeight="1" x14ac:dyDescent="0.25">
      <c r="A241" s="218"/>
      <c r="I241" s="218"/>
      <c r="J241" s="218"/>
      <c r="M241" s="218"/>
      <c r="N241" s="218"/>
    </row>
    <row r="242" spans="1:14" ht="14.25" customHeight="1" x14ac:dyDescent="0.25">
      <c r="A242" s="218"/>
      <c r="I242" s="218"/>
      <c r="J242" s="218"/>
      <c r="M242" s="218"/>
      <c r="N242" s="218"/>
    </row>
    <row r="243" spans="1:14" ht="14.25" customHeight="1" x14ac:dyDescent="0.25">
      <c r="A243" s="218"/>
      <c r="I243" s="218"/>
      <c r="J243" s="218"/>
      <c r="M243" s="218"/>
      <c r="N243" s="218"/>
    </row>
    <row r="244" spans="1:14" ht="14.25" customHeight="1" x14ac:dyDescent="0.25">
      <c r="A244" s="218"/>
      <c r="I244" s="218"/>
      <c r="J244" s="218"/>
      <c r="M244" s="218"/>
      <c r="N244" s="218"/>
    </row>
    <row r="245" spans="1:14" ht="14.25" customHeight="1" x14ac:dyDescent="0.25">
      <c r="A245" s="218"/>
      <c r="I245" s="218"/>
      <c r="J245" s="218"/>
      <c r="M245" s="218"/>
      <c r="N245" s="218"/>
    </row>
    <row r="246" spans="1:14" ht="14.25" customHeight="1" x14ac:dyDescent="0.25">
      <c r="A246" s="218"/>
      <c r="I246" s="218"/>
      <c r="J246" s="218"/>
      <c r="M246" s="218"/>
      <c r="N246" s="218"/>
    </row>
    <row r="247" spans="1:14" ht="14.25" customHeight="1" x14ac:dyDescent="0.25">
      <c r="A247" s="218"/>
      <c r="I247" s="218"/>
      <c r="J247" s="218"/>
      <c r="M247" s="218"/>
      <c r="N247" s="218"/>
    </row>
    <row r="248" spans="1:14" ht="14.25" customHeight="1" x14ac:dyDescent="0.25">
      <c r="A248" s="218"/>
      <c r="I248" s="218"/>
      <c r="J248" s="218"/>
      <c r="M248" s="218"/>
      <c r="N248" s="218"/>
    </row>
    <row r="249" spans="1:14" ht="14.25" customHeight="1" x14ac:dyDescent="0.25">
      <c r="A249" s="218"/>
      <c r="I249" s="218"/>
      <c r="J249" s="218"/>
      <c r="M249" s="218"/>
      <c r="N249" s="218"/>
    </row>
    <row r="250" spans="1:14" ht="14.25" customHeight="1" x14ac:dyDescent="0.25">
      <c r="A250" s="218"/>
      <c r="I250" s="218"/>
      <c r="J250" s="218"/>
      <c r="M250" s="218"/>
      <c r="N250" s="218"/>
    </row>
    <row r="251" spans="1:14" ht="14.25" customHeight="1" x14ac:dyDescent="0.25">
      <c r="A251" s="218"/>
      <c r="I251" s="218"/>
      <c r="J251" s="218"/>
      <c r="M251" s="218"/>
      <c r="N251" s="218"/>
    </row>
    <row r="252" spans="1:14" ht="14.25" customHeight="1" x14ac:dyDescent="0.25">
      <c r="A252" s="218"/>
      <c r="I252" s="218"/>
      <c r="J252" s="218"/>
      <c r="M252" s="218"/>
      <c r="N252" s="218"/>
    </row>
    <row r="253" spans="1:14" ht="14.25" customHeight="1" x14ac:dyDescent="0.25">
      <c r="A253" s="218"/>
      <c r="I253" s="218"/>
      <c r="J253" s="218"/>
      <c r="M253" s="218"/>
      <c r="N253" s="218"/>
    </row>
    <row r="254" spans="1:14" ht="14.25" customHeight="1" x14ac:dyDescent="0.25">
      <c r="A254" s="218"/>
      <c r="I254" s="218"/>
      <c r="J254" s="218"/>
      <c r="M254" s="218"/>
      <c r="N254" s="218"/>
    </row>
    <row r="255" spans="1:14" ht="14.25" customHeight="1" x14ac:dyDescent="0.25">
      <c r="A255" s="218"/>
      <c r="I255" s="218"/>
      <c r="J255" s="218"/>
      <c r="M255" s="218"/>
      <c r="N255" s="218"/>
    </row>
    <row r="256" spans="1:14" ht="14.25" customHeight="1" x14ac:dyDescent="0.25">
      <c r="A256" s="218"/>
      <c r="I256" s="218"/>
      <c r="J256" s="218"/>
      <c r="M256" s="218"/>
      <c r="N256" s="218"/>
    </row>
    <row r="257" spans="1:14" ht="14.25" customHeight="1" x14ac:dyDescent="0.25">
      <c r="A257" s="218"/>
      <c r="I257" s="218"/>
      <c r="J257" s="218"/>
      <c r="M257" s="218"/>
      <c r="N257" s="218"/>
    </row>
    <row r="258" spans="1:14" ht="14.25" customHeight="1" x14ac:dyDescent="0.25">
      <c r="A258" s="218"/>
      <c r="I258" s="218"/>
      <c r="J258" s="218"/>
      <c r="M258" s="218"/>
      <c r="N258" s="218"/>
    </row>
    <row r="259" spans="1:14" ht="14.25" customHeight="1" x14ac:dyDescent="0.25">
      <c r="A259" s="218"/>
      <c r="I259" s="218"/>
      <c r="J259" s="218"/>
      <c r="M259" s="218"/>
      <c r="N259" s="218"/>
    </row>
    <row r="260" spans="1:14" ht="14.25" customHeight="1" x14ac:dyDescent="0.25">
      <c r="A260" s="218"/>
      <c r="I260" s="218"/>
      <c r="J260" s="218"/>
      <c r="M260" s="218"/>
      <c r="N260" s="218"/>
    </row>
    <row r="261" spans="1:14" ht="14.25" customHeight="1" x14ac:dyDescent="0.25">
      <c r="A261" s="218"/>
      <c r="I261" s="218"/>
      <c r="J261" s="218"/>
      <c r="M261" s="218"/>
      <c r="N261" s="218"/>
    </row>
    <row r="262" spans="1:14" ht="14.25" customHeight="1" x14ac:dyDescent="0.25">
      <c r="A262" s="218"/>
      <c r="I262" s="218"/>
      <c r="J262" s="218"/>
      <c r="M262" s="218"/>
      <c r="N262" s="218"/>
    </row>
    <row r="263" spans="1:14" ht="14.25" customHeight="1" x14ac:dyDescent="0.25">
      <c r="A263" s="218"/>
      <c r="I263" s="218"/>
      <c r="J263" s="218"/>
      <c r="M263" s="218"/>
      <c r="N263" s="218"/>
    </row>
    <row r="264" spans="1:14" ht="14.25" customHeight="1" x14ac:dyDescent="0.25">
      <c r="A264" s="218"/>
      <c r="I264" s="218"/>
      <c r="J264" s="218"/>
      <c r="M264" s="218"/>
      <c r="N264" s="218"/>
    </row>
    <row r="265" spans="1:14" ht="14.25" customHeight="1" x14ac:dyDescent="0.25">
      <c r="A265" s="218"/>
      <c r="I265" s="218"/>
      <c r="J265" s="218"/>
      <c r="M265" s="218"/>
      <c r="N265" s="218"/>
    </row>
    <row r="266" spans="1:14" ht="14.25" customHeight="1" x14ac:dyDescent="0.25">
      <c r="A266" s="218"/>
      <c r="I266" s="218"/>
      <c r="J266" s="218"/>
      <c r="M266" s="218"/>
      <c r="N266" s="218"/>
    </row>
    <row r="267" spans="1:14" ht="14.25" customHeight="1" x14ac:dyDescent="0.25">
      <c r="A267" s="218"/>
      <c r="I267" s="218"/>
      <c r="J267" s="218"/>
      <c r="M267" s="218"/>
      <c r="N267" s="218"/>
    </row>
    <row r="268" spans="1:14" ht="14.25" customHeight="1" x14ac:dyDescent="0.25">
      <c r="A268" s="218"/>
      <c r="I268" s="218"/>
      <c r="J268" s="218"/>
      <c r="M268" s="218"/>
      <c r="N268" s="218"/>
    </row>
    <row r="269" spans="1:14" ht="14.25" customHeight="1" x14ac:dyDescent="0.25">
      <c r="A269" s="218"/>
      <c r="I269" s="218"/>
      <c r="J269" s="218"/>
      <c r="M269" s="218"/>
      <c r="N269" s="218"/>
    </row>
    <row r="270" spans="1:14" ht="14.25" customHeight="1" x14ac:dyDescent="0.25">
      <c r="A270" s="218"/>
      <c r="I270" s="218"/>
      <c r="J270" s="218"/>
      <c r="M270" s="218"/>
      <c r="N270" s="218"/>
    </row>
    <row r="271" spans="1:14" ht="14.25" customHeight="1" x14ac:dyDescent="0.25">
      <c r="A271" s="218"/>
      <c r="I271" s="218"/>
      <c r="J271" s="218"/>
      <c r="M271" s="218"/>
      <c r="N271" s="218"/>
    </row>
    <row r="272" spans="1:14" ht="14.25" customHeight="1" x14ac:dyDescent="0.25">
      <c r="A272" s="218"/>
      <c r="I272" s="218"/>
      <c r="J272" s="218"/>
      <c r="M272" s="218"/>
      <c r="N272" s="218"/>
    </row>
    <row r="273" spans="1:14" ht="14.25" customHeight="1" x14ac:dyDescent="0.25">
      <c r="A273" s="218"/>
      <c r="I273" s="218"/>
      <c r="J273" s="218"/>
      <c r="M273" s="218"/>
      <c r="N273" s="218"/>
    </row>
    <row r="274" spans="1:14" ht="14.25" customHeight="1" x14ac:dyDescent="0.25">
      <c r="A274" s="218"/>
      <c r="I274" s="218"/>
      <c r="J274" s="218"/>
      <c r="M274" s="218"/>
      <c r="N274" s="218"/>
    </row>
    <row r="275" spans="1:14" ht="14.25" customHeight="1" x14ac:dyDescent="0.25">
      <c r="A275" s="218"/>
      <c r="I275" s="218"/>
      <c r="J275" s="218"/>
      <c r="M275" s="218"/>
      <c r="N275" s="218"/>
    </row>
    <row r="276" spans="1:14" ht="14.25" customHeight="1" x14ac:dyDescent="0.25">
      <c r="A276" s="218"/>
      <c r="I276" s="218"/>
      <c r="J276" s="218"/>
      <c r="M276" s="218"/>
      <c r="N276" s="218"/>
    </row>
    <row r="277" spans="1:14" ht="14.25" customHeight="1" x14ac:dyDescent="0.25">
      <c r="A277" s="218"/>
      <c r="I277" s="218"/>
      <c r="J277" s="218"/>
      <c r="M277" s="218"/>
      <c r="N277" s="218"/>
    </row>
    <row r="278" spans="1:14" ht="14.25" customHeight="1" x14ac:dyDescent="0.25">
      <c r="A278" s="218"/>
      <c r="I278" s="218"/>
      <c r="J278" s="218"/>
      <c r="M278" s="218"/>
      <c r="N278" s="218"/>
    </row>
    <row r="279" spans="1:14" ht="14.25" customHeight="1" x14ac:dyDescent="0.25">
      <c r="A279" s="218"/>
      <c r="I279" s="218"/>
      <c r="J279" s="218"/>
      <c r="M279" s="218"/>
      <c r="N279" s="218"/>
    </row>
    <row r="280" spans="1:14" ht="14.25" customHeight="1" x14ac:dyDescent="0.25">
      <c r="A280" s="218"/>
      <c r="I280" s="218"/>
      <c r="J280" s="218"/>
      <c r="M280" s="218"/>
      <c r="N280" s="218"/>
    </row>
    <row r="281" spans="1:14" ht="14.25" customHeight="1" x14ac:dyDescent="0.25">
      <c r="A281" s="218"/>
      <c r="I281" s="218"/>
      <c r="J281" s="218"/>
      <c r="M281" s="218"/>
      <c r="N281" s="218"/>
    </row>
    <row r="282" spans="1:14" ht="14.25" customHeight="1" x14ac:dyDescent="0.25">
      <c r="A282" s="218"/>
      <c r="I282" s="218"/>
      <c r="J282" s="218"/>
      <c r="M282" s="218"/>
      <c r="N282" s="218"/>
    </row>
    <row r="283" spans="1:14" ht="14.25" customHeight="1" x14ac:dyDescent="0.25">
      <c r="A283" s="218"/>
      <c r="I283" s="218"/>
      <c r="J283" s="218"/>
      <c r="M283" s="218"/>
      <c r="N283" s="218"/>
    </row>
    <row r="284" spans="1:14" ht="14.25" customHeight="1" x14ac:dyDescent="0.25">
      <c r="A284" s="218"/>
      <c r="I284" s="218"/>
      <c r="J284" s="218"/>
      <c r="M284" s="218"/>
      <c r="N284" s="218"/>
    </row>
    <row r="285" spans="1:14" ht="14.25" customHeight="1" x14ac:dyDescent="0.25">
      <c r="A285" s="218"/>
      <c r="I285" s="218"/>
      <c r="J285" s="218"/>
      <c r="M285" s="218"/>
      <c r="N285" s="218"/>
    </row>
    <row r="286" spans="1:14" ht="14.25" customHeight="1" x14ac:dyDescent="0.25">
      <c r="A286" s="218"/>
      <c r="I286" s="218"/>
      <c r="J286" s="218"/>
      <c r="M286" s="218"/>
      <c r="N286" s="218"/>
    </row>
    <row r="287" spans="1:14" ht="14.25" customHeight="1" x14ac:dyDescent="0.25">
      <c r="A287" s="218"/>
      <c r="I287" s="218"/>
      <c r="J287" s="218"/>
      <c r="M287" s="218"/>
      <c r="N287" s="218"/>
    </row>
    <row r="288" spans="1:14" ht="14.25" customHeight="1" x14ac:dyDescent="0.25">
      <c r="A288" s="218"/>
      <c r="I288" s="218"/>
      <c r="J288" s="218"/>
      <c r="M288" s="218"/>
      <c r="N288" s="218"/>
    </row>
    <row r="289" spans="1:14" ht="14.25" customHeight="1" x14ac:dyDescent="0.25">
      <c r="A289" s="218"/>
      <c r="I289" s="218"/>
      <c r="J289" s="218"/>
      <c r="M289" s="218"/>
      <c r="N289" s="218"/>
    </row>
    <row r="290" spans="1:14" ht="14.25" customHeight="1" x14ac:dyDescent="0.25">
      <c r="A290" s="218"/>
      <c r="I290" s="218"/>
      <c r="J290" s="218"/>
      <c r="M290" s="218"/>
      <c r="N290" s="218"/>
    </row>
    <row r="291" spans="1:14" ht="14.25" customHeight="1" x14ac:dyDescent="0.25">
      <c r="A291" s="218"/>
      <c r="I291" s="218"/>
      <c r="J291" s="218"/>
      <c r="M291" s="218"/>
      <c r="N291" s="218"/>
    </row>
    <row r="292" spans="1:14" ht="14.25" customHeight="1" x14ac:dyDescent="0.25">
      <c r="A292" s="218"/>
      <c r="I292" s="218"/>
      <c r="J292" s="218"/>
      <c r="M292" s="218"/>
      <c r="N292" s="218"/>
    </row>
    <row r="293" spans="1:14" ht="14.25" customHeight="1" x14ac:dyDescent="0.25">
      <c r="A293" s="218"/>
      <c r="I293" s="218"/>
      <c r="J293" s="218"/>
      <c r="M293" s="218"/>
      <c r="N293" s="218"/>
    </row>
    <row r="294" spans="1:14" ht="14.25" customHeight="1" x14ac:dyDescent="0.25">
      <c r="A294" s="218"/>
      <c r="I294" s="218"/>
      <c r="J294" s="218"/>
      <c r="M294" s="218"/>
      <c r="N294" s="218"/>
    </row>
    <row r="295" spans="1:14" ht="14.25" customHeight="1" x14ac:dyDescent="0.25">
      <c r="A295" s="218"/>
      <c r="I295" s="218"/>
      <c r="J295" s="218"/>
      <c r="M295" s="218"/>
      <c r="N295" s="218"/>
    </row>
    <row r="296" spans="1:14" ht="14.25" customHeight="1" x14ac:dyDescent="0.25">
      <c r="A296" s="218"/>
      <c r="I296" s="218"/>
      <c r="J296" s="218"/>
      <c r="M296" s="218"/>
      <c r="N296" s="218"/>
    </row>
    <row r="297" spans="1:14" ht="14.25" customHeight="1" x14ac:dyDescent="0.25">
      <c r="A297" s="218"/>
      <c r="I297" s="218"/>
      <c r="J297" s="218"/>
      <c r="M297" s="218"/>
      <c r="N297" s="218"/>
    </row>
    <row r="298" spans="1:14" ht="14.25" customHeight="1" x14ac:dyDescent="0.25">
      <c r="A298" s="218"/>
      <c r="I298" s="218"/>
      <c r="J298" s="218"/>
      <c r="M298" s="218"/>
      <c r="N298" s="218"/>
    </row>
    <row r="299" spans="1:14" ht="14.25" customHeight="1" x14ac:dyDescent="0.25">
      <c r="A299" s="218"/>
      <c r="I299" s="218"/>
      <c r="J299" s="218"/>
      <c r="M299" s="218"/>
      <c r="N299" s="218"/>
    </row>
    <row r="300" spans="1:14" ht="14.25" customHeight="1" x14ac:dyDescent="0.25">
      <c r="A300" s="218"/>
      <c r="I300" s="218"/>
      <c r="J300" s="218"/>
      <c r="M300" s="218"/>
      <c r="N300" s="218"/>
    </row>
    <row r="301" spans="1:14" ht="14.25" customHeight="1" x14ac:dyDescent="0.25">
      <c r="A301" s="218"/>
      <c r="I301" s="218"/>
      <c r="J301" s="218"/>
      <c r="M301" s="218"/>
      <c r="N301" s="218"/>
    </row>
    <row r="302" spans="1:14" ht="14.25" customHeight="1" x14ac:dyDescent="0.25">
      <c r="A302" s="218"/>
      <c r="I302" s="218"/>
      <c r="J302" s="218"/>
      <c r="M302" s="218"/>
      <c r="N302" s="218"/>
    </row>
    <row r="303" spans="1:14" ht="14.25" customHeight="1" x14ac:dyDescent="0.25">
      <c r="A303" s="218"/>
      <c r="I303" s="218"/>
      <c r="J303" s="218"/>
      <c r="M303" s="218"/>
      <c r="N303" s="218"/>
    </row>
    <row r="304" spans="1:14" ht="14.25" customHeight="1" x14ac:dyDescent="0.25">
      <c r="A304" s="218"/>
      <c r="I304" s="218"/>
      <c r="J304" s="218"/>
      <c r="M304" s="218"/>
      <c r="N304" s="218"/>
    </row>
    <row r="305" spans="1:14" ht="14.25" customHeight="1" x14ac:dyDescent="0.25">
      <c r="A305" s="218"/>
      <c r="I305" s="218"/>
      <c r="J305" s="218"/>
      <c r="M305" s="218"/>
      <c r="N305" s="218"/>
    </row>
    <row r="306" spans="1:14" ht="14.25" customHeight="1" x14ac:dyDescent="0.25">
      <c r="A306" s="218"/>
      <c r="I306" s="218"/>
      <c r="J306" s="218"/>
      <c r="M306" s="218"/>
      <c r="N306" s="218"/>
    </row>
    <row r="307" spans="1:14" ht="14.25" customHeight="1" x14ac:dyDescent="0.25">
      <c r="A307" s="218"/>
      <c r="I307" s="218"/>
      <c r="J307" s="218"/>
      <c r="M307" s="218"/>
      <c r="N307" s="218"/>
    </row>
    <row r="308" spans="1:14" ht="14.25" customHeight="1" x14ac:dyDescent="0.25">
      <c r="A308" s="218"/>
      <c r="I308" s="218"/>
      <c r="J308" s="218"/>
      <c r="M308" s="218"/>
      <c r="N308" s="218"/>
    </row>
    <row r="309" spans="1:14" ht="14.25" customHeight="1" x14ac:dyDescent="0.25">
      <c r="A309" s="218"/>
      <c r="I309" s="218"/>
      <c r="J309" s="218"/>
      <c r="M309" s="218"/>
      <c r="N309" s="218"/>
    </row>
    <row r="310" spans="1:14" ht="14.25" customHeight="1" x14ac:dyDescent="0.25">
      <c r="A310" s="218"/>
      <c r="I310" s="218"/>
      <c r="J310" s="218"/>
      <c r="M310" s="218"/>
      <c r="N310" s="218"/>
    </row>
    <row r="311" spans="1:14" ht="14.25" customHeight="1" x14ac:dyDescent="0.25">
      <c r="A311" s="218"/>
      <c r="I311" s="218"/>
      <c r="J311" s="218"/>
      <c r="M311" s="218"/>
      <c r="N311" s="218"/>
    </row>
    <row r="312" spans="1:14" ht="14.25" customHeight="1" x14ac:dyDescent="0.25">
      <c r="A312" s="218"/>
      <c r="I312" s="218"/>
      <c r="J312" s="218"/>
      <c r="M312" s="218"/>
      <c r="N312" s="218"/>
    </row>
    <row r="313" spans="1:14" ht="14.25" customHeight="1" x14ac:dyDescent="0.25">
      <c r="A313" s="218"/>
      <c r="I313" s="218"/>
      <c r="J313" s="218"/>
      <c r="M313" s="218"/>
      <c r="N313" s="218"/>
    </row>
    <row r="314" spans="1:14" ht="14.25" customHeight="1" x14ac:dyDescent="0.25">
      <c r="A314" s="218"/>
      <c r="I314" s="218"/>
      <c r="J314" s="218"/>
      <c r="M314" s="218"/>
      <c r="N314" s="218"/>
    </row>
    <row r="315" spans="1:14" ht="14.25" customHeight="1" x14ac:dyDescent="0.25">
      <c r="A315" s="218"/>
      <c r="I315" s="218"/>
      <c r="J315" s="218"/>
      <c r="M315" s="218"/>
      <c r="N315" s="218"/>
    </row>
    <row r="316" spans="1:14" ht="14.25" customHeight="1" x14ac:dyDescent="0.25">
      <c r="A316" s="218"/>
      <c r="I316" s="218"/>
      <c r="J316" s="218"/>
      <c r="M316" s="218"/>
      <c r="N316" s="218"/>
    </row>
    <row r="317" spans="1:14" ht="14.25" customHeight="1" x14ac:dyDescent="0.25">
      <c r="A317" s="218"/>
      <c r="I317" s="218"/>
      <c r="J317" s="218"/>
      <c r="M317" s="218"/>
      <c r="N317" s="218"/>
    </row>
    <row r="318" spans="1:14" ht="14.25" customHeight="1" x14ac:dyDescent="0.25">
      <c r="A318" s="218"/>
      <c r="I318" s="218"/>
      <c r="J318" s="218"/>
      <c r="M318" s="218"/>
      <c r="N318" s="218"/>
    </row>
    <row r="319" spans="1:14" ht="14.25" customHeight="1" x14ac:dyDescent="0.25">
      <c r="A319" s="218"/>
      <c r="I319" s="218"/>
      <c r="J319" s="218"/>
      <c r="M319" s="218"/>
      <c r="N319" s="218"/>
    </row>
    <row r="320" spans="1:14" ht="14.25" customHeight="1" x14ac:dyDescent="0.25">
      <c r="A320" s="218"/>
      <c r="I320" s="218"/>
      <c r="J320" s="218"/>
      <c r="M320" s="218"/>
      <c r="N320" s="218"/>
    </row>
    <row r="321" spans="1:14" ht="14.25" customHeight="1" x14ac:dyDescent="0.25">
      <c r="A321" s="218"/>
      <c r="I321" s="218"/>
      <c r="J321" s="218"/>
      <c r="M321" s="218"/>
      <c r="N321" s="218"/>
    </row>
    <row r="322" spans="1:14" ht="14.25" customHeight="1" x14ac:dyDescent="0.25">
      <c r="A322" s="218"/>
      <c r="I322" s="218"/>
      <c r="J322" s="218"/>
      <c r="M322" s="218"/>
      <c r="N322" s="218"/>
    </row>
    <row r="323" spans="1:14" ht="14.25" customHeight="1" x14ac:dyDescent="0.25">
      <c r="A323" s="218"/>
      <c r="I323" s="218"/>
      <c r="J323" s="218"/>
      <c r="M323" s="218"/>
      <c r="N323" s="218"/>
    </row>
    <row r="324" spans="1:14" ht="14.25" customHeight="1" x14ac:dyDescent="0.25">
      <c r="A324" s="218"/>
      <c r="I324" s="218"/>
      <c r="J324" s="218"/>
      <c r="M324" s="218"/>
      <c r="N324" s="218"/>
    </row>
    <row r="325" spans="1:14" ht="14.25" customHeight="1" x14ac:dyDescent="0.25">
      <c r="A325" s="218"/>
      <c r="I325" s="218"/>
      <c r="J325" s="218"/>
      <c r="M325" s="218"/>
      <c r="N325" s="218"/>
    </row>
    <row r="326" spans="1:14" ht="14.25" customHeight="1" x14ac:dyDescent="0.25">
      <c r="A326" s="218"/>
      <c r="I326" s="218"/>
      <c r="J326" s="218"/>
      <c r="M326" s="218"/>
      <c r="N326" s="218"/>
    </row>
    <row r="327" spans="1:14" ht="14.25" customHeight="1" x14ac:dyDescent="0.25">
      <c r="A327" s="218"/>
      <c r="I327" s="218"/>
      <c r="J327" s="218"/>
      <c r="M327" s="218"/>
      <c r="N327" s="218"/>
    </row>
    <row r="328" spans="1:14" ht="14.25" customHeight="1" x14ac:dyDescent="0.25">
      <c r="A328" s="218"/>
      <c r="I328" s="218"/>
      <c r="J328" s="218"/>
      <c r="M328" s="218"/>
      <c r="N328" s="218"/>
    </row>
    <row r="329" spans="1:14" ht="14.25" customHeight="1" x14ac:dyDescent="0.25">
      <c r="A329" s="218"/>
      <c r="I329" s="218"/>
      <c r="J329" s="218"/>
      <c r="M329" s="218"/>
      <c r="N329" s="218"/>
    </row>
    <row r="330" spans="1:14" ht="14.25" customHeight="1" x14ac:dyDescent="0.25">
      <c r="A330" s="218"/>
      <c r="I330" s="218"/>
      <c r="J330" s="218"/>
      <c r="M330" s="218"/>
      <c r="N330" s="218"/>
    </row>
    <row r="331" spans="1:14" ht="14.25" customHeight="1" x14ac:dyDescent="0.25">
      <c r="A331" s="218"/>
      <c r="I331" s="218"/>
      <c r="J331" s="218"/>
      <c r="M331" s="218"/>
      <c r="N331" s="218"/>
    </row>
    <row r="332" spans="1:14" ht="14.25" customHeight="1" x14ac:dyDescent="0.25">
      <c r="A332" s="218"/>
      <c r="I332" s="218"/>
      <c r="J332" s="218"/>
      <c r="M332" s="218"/>
      <c r="N332" s="218"/>
    </row>
    <row r="333" spans="1:14" ht="14.25" customHeight="1" x14ac:dyDescent="0.25">
      <c r="A333" s="218"/>
      <c r="I333" s="218"/>
      <c r="J333" s="218"/>
      <c r="M333" s="218"/>
      <c r="N333" s="218"/>
    </row>
    <row r="334" spans="1:14" ht="14.25" customHeight="1" x14ac:dyDescent="0.25">
      <c r="A334" s="218"/>
      <c r="I334" s="218"/>
      <c r="J334" s="218"/>
      <c r="M334" s="218"/>
      <c r="N334" s="218"/>
    </row>
    <row r="335" spans="1:14" ht="14.25" customHeight="1" x14ac:dyDescent="0.25">
      <c r="A335" s="218"/>
      <c r="I335" s="218"/>
      <c r="J335" s="218"/>
      <c r="M335" s="218"/>
      <c r="N335" s="218"/>
    </row>
    <row r="336" spans="1:14" ht="14.25" customHeight="1" x14ac:dyDescent="0.25">
      <c r="A336" s="218"/>
      <c r="I336" s="218"/>
      <c r="J336" s="218"/>
      <c r="M336" s="218"/>
      <c r="N336" s="218"/>
    </row>
    <row r="337" spans="1:14" ht="14.25" customHeight="1" x14ac:dyDescent="0.25">
      <c r="A337" s="218"/>
      <c r="I337" s="218"/>
      <c r="J337" s="218"/>
      <c r="M337" s="218"/>
      <c r="N337" s="218"/>
    </row>
    <row r="338" spans="1:14" ht="14.25" customHeight="1" x14ac:dyDescent="0.25">
      <c r="A338" s="218"/>
      <c r="I338" s="218"/>
      <c r="J338" s="218"/>
      <c r="M338" s="218"/>
      <c r="N338" s="218"/>
    </row>
    <row r="339" spans="1:14" ht="14.25" customHeight="1" x14ac:dyDescent="0.25">
      <c r="A339" s="218"/>
      <c r="I339" s="218"/>
      <c r="J339" s="218"/>
      <c r="M339" s="218"/>
      <c r="N339" s="218"/>
    </row>
    <row r="340" spans="1:14" ht="14.25" customHeight="1" x14ac:dyDescent="0.25">
      <c r="A340" s="218"/>
      <c r="I340" s="218"/>
      <c r="J340" s="218"/>
      <c r="M340" s="218"/>
      <c r="N340" s="218"/>
    </row>
    <row r="341" spans="1:14" ht="14.25" customHeight="1" x14ac:dyDescent="0.25">
      <c r="A341" s="218"/>
      <c r="I341" s="218"/>
      <c r="J341" s="218"/>
      <c r="M341" s="218"/>
      <c r="N341" s="218"/>
    </row>
    <row r="342" spans="1:14" ht="14.25" customHeight="1" x14ac:dyDescent="0.25">
      <c r="A342" s="218"/>
      <c r="I342" s="218"/>
      <c r="J342" s="218"/>
      <c r="M342" s="218"/>
      <c r="N342" s="218"/>
    </row>
    <row r="343" spans="1:14" ht="14.25" customHeight="1" x14ac:dyDescent="0.25">
      <c r="A343" s="218"/>
      <c r="I343" s="218"/>
      <c r="J343" s="218"/>
      <c r="M343" s="218"/>
      <c r="N343" s="218"/>
    </row>
    <row r="344" spans="1:14" ht="14.25" customHeight="1" x14ac:dyDescent="0.25">
      <c r="A344" s="218"/>
      <c r="I344" s="218"/>
      <c r="J344" s="218"/>
      <c r="M344" s="218"/>
      <c r="N344" s="218"/>
    </row>
    <row r="345" spans="1:14" ht="14.25" customHeight="1" x14ac:dyDescent="0.25">
      <c r="A345" s="218"/>
      <c r="I345" s="218"/>
      <c r="J345" s="218"/>
      <c r="M345" s="218"/>
      <c r="N345" s="218"/>
    </row>
    <row r="346" spans="1:14" ht="14.25" customHeight="1" x14ac:dyDescent="0.25">
      <c r="A346" s="218"/>
      <c r="I346" s="218"/>
      <c r="J346" s="218"/>
      <c r="M346" s="218"/>
      <c r="N346" s="218"/>
    </row>
    <row r="347" spans="1:14" ht="14.25" customHeight="1" x14ac:dyDescent="0.25">
      <c r="A347" s="218"/>
      <c r="I347" s="218"/>
      <c r="J347" s="218"/>
      <c r="M347" s="218"/>
      <c r="N347" s="218"/>
    </row>
    <row r="348" spans="1:14" ht="14.25" customHeight="1" x14ac:dyDescent="0.25">
      <c r="A348" s="218"/>
      <c r="I348" s="218"/>
      <c r="J348" s="218"/>
      <c r="M348" s="218"/>
      <c r="N348" s="218"/>
    </row>
    <row r="349" spans="1:14" ht="14.25" customHeight="1" x14ac:dyDescent="0.25">
      <c r="A349" s="218"/>
      <c r="I349" s="218"/>
      <c r="J349" s="218"/>
      <c r="M349" s="218"/>
      <c r="N349" s="218"/>
    </row>
    <row r="350" spans="1:14" ht="14.25" customHeight="1" x14ac:dyDescent="0.25">
      <c r="A350" s="218"/>
      <c r="I350" s="218"/>
      <c r="J350" s="218"/>
      <c r="M350" s="218"/>
      <c r="N350" s="218"/>
    </row>
    <row r="351" spans="1:14" ht="14.25" customHeight="1" x14ac:dyDescent="0.25">
      <c r="A351" s="218"/>
      <c r="I351" s="218"/>
      <c r="J351" s="218"/>
      <c r="M351" s="218"/>
      <c r="N351" s="218"/>
    </row>
    <row r="352" spans="1:14" ht="14.25" customHeight="1" x14ac:dyDescent="0.25">
      <c r="A352" s="218"/>
      <c r="I352" s="218"/>
      <c r="J352" s="218"/>
      <c r="M352" s="218"/>
      <c r="N352" s="218"/>
    </row>
    <row r="353" spans="1:14" ht="14.25" customHeight="1" x14ac:dyDescent="0.25">
      <c r="A353" s="218"/>
      <c r="I353" s="218"/>
      <c r="J353" s="218"/>
      <c r="M353" s="218"/>
      <c r="N353" s="218"/>
    </row>
    <row r="354" spans="1:14" ht="14.25" customHeight="1" x14ac:dyDescent="0.25">
      <c r="A354" s="218"/>
      <c r="I354" s="218"/>
      <c r="J354" s="218"/>
      <c r="M354" s="218"/>
      <c r="N354" s="218"/>
    </row>
    <row r="355" spans="1:14" ht="14.25" customHeight="1" x14ac:dyDescent="0.25">
      <c r="A355" s="218"/>
      <c r="I355" s="218"/>
      <c r="J355" s="218"/>
      <c r="M355" s="218"/>
      <c r="N355" s="218"/>
    </row>
    <row r="356" spans="1:14" ht="14.25" customHeight="1" x14ac:dyDescent="0.25">
      <c r="A356" s="218"/>
      <c r="I356" s="218"/>
      <c r="J356" s="218"/>
      <c r="M356" s="218"/>
      <c r="N356" s="218"/>
    </row>
    <row r="357" spans="1:14" ht="14.25" customHeight="1" x14ac:dyDescent="0.25">
      <c r="A357" s="218"/>
      <c r="I357" s="218"/>
      <c r="J357" s="218"/>
      <c r="M357" s="218"/>
      <c r="N357" s="218"/>
    </row>
    <row r="358" spans="1:14" ht="14.25" customHeight="1" x14ac:dyDescent="0.25">
      <c r="A358" s="218"/>
      <c r="I358" s="218"/>
      <c r="J358" s="218"/>
      <c r="M358" s="218"/>
      <c r="N358" s="218"/>
    </row>
    <row r="359" spans="1:14" ht="14.25" customHeight="1" x14ac:dyDescent="0.25">
      <c r="A359" s="218"/>
      <c r="I359" s="218"/>
      <c r="J359" s="218"/>
      <c r="M359" s="218"/>
      <c r="N359" s="218"/>
    </row>
    <row r="360" spans="1:14" ht="14.25" customHeight="1" x14ac:dyDescent="0.25">
      <c r="A360" s="218"/>
      <c r="I360" s="218"/>
      <c r="J360" s="218"/>
      <c r="M360" s="218"/>
      <c r="N360" s="218"/>
    </row>
    <row r="361" spans="1:14" ht="14.25" customHeight="1" x14ac:dyDescent="0.25">
      <c r="A361" s="218"/>
      <c r="I361" s="218"/>
      <c r="J361" s="218"/>
      <c r="M361" s="218"/>
      <c r="N361" s="218"/>
    </row>
    <row r="362" spans="1:14" ht="14.25" customHeight="1" x14ac:dyDescent="0.25">
      <c r="A362" s="218"/>
      <c r="I362" s="218"/>
      <c r="J362" s="218"/>
      <c r="M362" s="218"/>
      <c r="N362" s="218"/>
    </row>
    <row r="363" spans="1:14" ht="14.25" customHeight="1" x14ac:dyDescent="0.25">
      <c r="A363" s="218"/>
      <c r="I363" s="218"/>
      <c r="J363" s="218"/>
      <c r="M363" s="218"/>
      <c r="N363" s="218"/>
    </row>
    <row r="364" spans="1:14" ht="14.25" customHeight="1" x14ac:dyDescent="0.25">
      <c r="A364" s="218"/>
      <c r="I364" s="218"/>
      <c r="J364" s="218"/>
      <c r="M364" s="218"/>
      <c r="N364" s="218"/>
    </row>
    <row r="365" spans="1:14" ht="14.25" customHeight="1" x14ac:dyDescent="0.25">
      <c r="A365" s="218"/>
      <c r="I365" s="218"/>
      <c r="J365" s="218"/>
      <c r="M365" s="218"/>
      <c r="N365" s="218"/>
    </row>
    <row r="366" spans="1:14" ht="14.25" customHeight="1" x14ac:dyDescent="0.25">
      <c r="A366" s="218"/>
      <c r="I366" s="218"/>
      <c r="J366" s="218"/>
      <c r="M366" s="218"/>
      <c r="N366" s="218"/>
    </row>
    <row r="367" spans="1:14" ht="14.25" customHeight="1" x14ac:dyDescent="0.25">
      <c r="A367" s="218"/>
      <c r="I367" s="218"/>
      <c r="J367" s="218"/>
      <c r="M367" s="218"/>
      <c r="N367" s="218"/>
    </row>
    <row r="368" spans="1:14" ht="14.25" customHeight="1" x14ac:dyDescent="0.25">
      <c r="A368" s="218"/>
      <c r="I368" s="218"/>
      <c r="J368" s="218"/>
      <c r="M368" s="218"/>
      <c r="N368" s="218"/>
    </row>
    <row r="369" spans="1:14" ht="14.25" customHeight="1" x14ac:dyDescent="0.25">
      <c r="A369" s="218"/>
      <c r="I369" s="218"/>
      <c r="J369" s="218"/>
      <c r="M369" s="218"/>
      <c r="N369" s="218"/>
    </row>
    <row r="370" spans="1:14" ht="14.25" customHeight="1" x14ac:dyDescent="0.25">
      <c r="A370" s="218"/>
      <c r="I370" s="218"/>
      <c r="J370" s="218"/>
      <c r="M370" s="218"/>
      <c r="N370" s="218"/>
    </row>
    <row r="371" spans="1:14" ht="14.25" customHeight="1" x14ac:dyDescent="0.25">
      <c r="A371" s="218"/>
      <c r="I371" s="218"/>
      <c r="J371" s="218"/>
      <c r="M371" s="218"/>
      <c r="N371" s="218"/>
    </row>
    <row r="372" spans="1:14" ht="14.25" customHeight="1" x14ac:dyDescent="0.25">
      <c r="A372" s="218"/>
      <c r="I372" s="218"/>
      <c r="J372" s="218"/>
      <c r="M372" s="218"/>
      <c r="N372" s="218"/>
    </row>
    <row r="373" spans="1:14" ht="14.25" customHeight="1" x14ac:dyDescent="0.25">
      <c r="A373" s="218"/>
      <c r="I373" s="218"/>
      <c r="J373" s="218"/>
      <c r="M373" s="218"/>
      <c r="N373" s="218"/>
    </row>
    <row r="374" spans="1:14" ht="14.25" customHeight="1" x14ac:dyDescent="0.25">
      <c r="A374" s="218"/>
      <c r="I374" s="218"/>
      <c r="J374" s="218"/>
      <c r="M374" s="218"/>
      <c r="N374" s="218"/>
    </row>
    <row r="375" spans="1:14" ht="14.25" customHeight="1" x14ac:dyDescent="0.25">
      <c r="A375" s="218"/>
      <c r="I375" s="218"/>
      <c r="J375" s="218"/>
      <c r="M375" s="218"/>
      <c r="N375" s="218"/>
    </row>
    <row r="376" spans="1:14" ht="14.25" customHeight="1" x14ac:dyDescent="0.25">
      <c r="A376" s="218"/>
      <c r="I376" s="218"/>
      <c r="J376" s="218"/>
      <c r="M376" s="218"/>
      <c r="N376" s="218"/>
    </row>
    <row r="377" spans="1:14" ht="14.25" customHeight="1" x14ac:dyDescent="0.25">
      <c r="A377" s="218"/>
      <c r="I377" s="218"/>
      <c r="J377" s="218"/>
      <c r="M377" s="218"/>
      <c r="N377" s="218"/>
    </row>
    <row r="378" spans="1:14" ht="14.25" customHeight="1" x14ac:dyDescent="0.25">
      <c r="A378" s="218"/>
      <c r="I378" s="218"/>
      <c r="J378" s="218"/>
      <c r="M378" s="218"/>
      <c r="N378" s="218"/>
    </row>
    <row r="379" spans="1:14" ht="14.25" customHeight="1" x14ac:dyDescent="0.25">
      <c r="A379" s="218"/>
      <c r="I379" s="218"/>
      <c r="J379" s="218"/>
      <c r="M379" s="218"/>
      <c r="N379" s="218"/>
    </row>
    <row r="380" spans="1:14" ht="14.25" customHeight="1" x14ac:dyDescent="0.25">
      <c r="A380" s="218"/>
      <c r="I380" s="218"/>
      <c r="J380" s="218"/>
      <c r="M380" s="218"/>
      <c r="N380" s="218"/>
    </row>
    <row r="381" spans="1:14" ht="14.25" customHeight="1" x14ac:dyDescent="0.25">
      <c r="A381" s="218"/>
      <c r="I381" s="218"/>
      <c r="J381" s="218"/>
      <c r="M381" s="218"/>
      <c r="N381" s="218"/>
    </row>
    <row r="382" spans="1:14" ht="14.25" customHeight="1" x14ac:dyDescent="0.25">
      <c r="A382" s="218"/>
      <c r="I382" s="218"/>
      <c r="J382" s="218"/>
      <c r="M382" s="218"/>
      <c r="N382" s="218"/>
    </row>
    <row r="383" spans="1:14" ht="14.25" customHeight="1" x14ac:dyDescent="0.25">
      <c r="A383" s="218"/>
      <c r="I383" s="218"/>
      <c r="J383" s="218"/>
      <c r="M383" s="218"/>
      <c r="N383" s="218"/>
    </row>
    <row r="384" spans="1:14" ht="14.25" customHeight="1" x14ac:dyDescent="0.25">
      <c r="A384" s="218"/>
      <c r="I384" s="218"/>
      <c r="J384" s="218"/>
      <c r="M384" s="218"/>
      <c r="N384" s="218"/>
    </row>
    <row r="385" spans="1:14" ht="14.25" customHeight="1" x14ac:dyDescent="0.25">
      <c r="A385" s="218"/>
      <c r="I385" s="218"/>
      <c r="J385" s="218"/>
      <c r="M385" s="218"/>
      <c r="N385" s="218"/>
    </row>
    <row r="386" spans="1:14" ht="14.25" customHeight="1" x14ac:dyDescent="0.25">
      <c r="A386" s="218"/>
      <c r="I386" s="218"/>
      <c r="J386" s="218"/>
      <c r="M386" s="218"/>
      <c r="N386" s="218"/>
    </row>
    <row r="387" spans="1:14" ht="14.25" customHeight="1" x14ac:dyDescent="0.25">
      <c r="A387" s="218"/>
      <c r="I387" s="218"/>
      <c r="J387" s="218"/>
      <c r="M387" s="218"/>
      <c r="N387" s="218"/>
    </row>
    <row r="388" spans="1:14" ht="14.25" customHeight="1" x14ac:dyDescent="0.25">
      <c r="A388" s="218"/>
      <c r="I388" s="218"/>
      <c r="J388" s="218"/>
      <c r="M388" s="218"/>
      <c r="N388" s="218"/>
    </row>
    <row r="389" spans="1:14" ht="14.25" customHeight="1" x14ac:dyDescent="0.25">
      <c r="A389" s="218"/>
      <c r="I389" s="218"/>
      <c r="J389" s="218"/>
      <c r="M389" s="218"/>
      <c r="N389" s="218"/>
    </row>
    <row r="390" spans="1:14" ht="14.25" customHeight="1" x14ac:dyDescent="0.25">
      <c r="A390" s="218"/>
      <c r="I390" s="218"/>
      <c r="J390" s="218"/>
      <c r="M390" s="218"/>
      <c r="N390" s="218"/>
    </row>
    <row r="391" spans="1:14" ht="14.25" customHeight="1" x14ac:dyDescent="0.25">
      <c r="A391" s="218"/>
      <c r="I391" s="218"/>
      <c r="J391" s="218"/>
      <c r="M391" s="218"/>
      <c r="N391" s="218"/>
    </row>
    <row r="392" spans="1:14" ht="14.25" customHeight="1" x14ac:dyDescent="0.25">
      <c r="A392" s="218"/>
      <c r="I392" s="218"/>
      <c r="J392" s="218"/>
      <c r="M392" s="218"/>
      <c r="N392" s="218"/>
    </row>
    <row r="393" spans="1:14" ht="14.25" customHeight="1" x14ac:dyDescent="0.25">
      <c r="A393" s="218"/>
      <c r="I393" s="218"/>
      <c r="J393" s="218"/>
      <c r="M393" s="218"/>
      <c r="N393" s="218"/>
    </row>
    <row r="394" spans="1:14" ht="14.25" customHeight="1" x14ac:dyDescent="0.25">
      <c r="A394" s="218"/>
      <c r="I394" s="218"/>
      <c r="J394" s="218"/>
      <c r="M394" s="218"/>
      <c r="N394" s="218"/>
    </row>
    <row r="395" spans="1:14" ht="14.25" customHeight="1" x14ac:dyDescent="0.25">
      <c r="A395" s="218"/>
      <c r="I395" s="218"/>
      <c r="J395" s="218"/>
      <c r="M395" s="218"/>
      <c r="N395" s="218"/>
    </row>
    <row r="396" spans="1:14" ht="14.25" customHeight="1" x14ac:dyDescent="0.25">
      <c r="A396" s="218"/>
      <c r="I396" s="218"/>
      <c r="J396" s="218"/>
      <c r="M396" s="218"/>
      <c r="N396" s="218"/>
    </row>
    <row r="397" spans="1:14" ht="14.25" customHeight="1" x14ac:dyDescent="0.25">
      <c r="A397" s="218"/>
      <c r="I397" s="218"/>
      <c r="J397" s="218"/>
      <c r="M397" s="218"/>
      <c r="N397" s="218"/>
    </row>
    <row r="398" spans="1:14" ht="14.25" customHeight="1" x14ac:dyDescent="0.25">
      <c r="A398" s="218"/>
      <c r="I398" s="218"/>
      <c r="J398" s="218"/>
      <c r="M398" s="218"/>
      <c r="N398" s="218"/>
    </row>
    <row r="399" spans="1:14" ht="14.25" customHeight="1" x14ac:dyDescent="0.25">
      <c r="A399" s="218"/>
      <c r="I399" s="218"/>
      <c r="J399" s="218"/>
      <c r="M399" s="218"/>
      <c r="N399" s="218"/>
    </row>
    <row r="400" spans="1:14" ht="14.25" customHeight="1" x14ac:dyDescent="0.25">
      <c r="A400" s="218"/>
      <c r="I400" s="218"/>
      <c r="J400" s="218"/>
      <c r="M400" s="218"/>
      <c r="N400" s="218"/>
    </row>
    <row r="401" spans="1:14" ht="14.25" customHeight="1" x14ac:dyDescent="0.25">
      <c r="A401" s="218"/>
      <c r="I401" s="218"/>
      <c r="J401" s="218"/>
      <c r="M401" s="218"/>
      <c r="N401" s="218"/>
    </row>
    <row r="402" spans="1:14" ht="14.25" customHeight="1" x14ac:dyDescent="0.25">
      <c r="A402" s="218"/>
      <c r="I402" s="218"/>
      <c r="J402" s="218"/>
      <c r="M402" s="218"/>
      <c r="N402" s="218"/>
    </row>
    <row r="403" spans="1:14" ht="14.25" customHeight="1" x14ac:dyDescent="0.25">
      <c r="A403" s="218"/>
      <c r="I403" s="218"/>
      <c r="J403" s="218"/>
      <c r="M403" s="218"/>
      <c r="N403" s="218"/>
    </row>
    <row r="404" spans="1:14" ht="14.25" customHeight="1" x14ac:dyDescent="0.25">
      <c r="A404" s="218"/>
      <c r="I404" s="218"/>
      <c r="J404" s="218"/>
      <c r="M404" s="218"/>
      <c r="N404" s="218"/>
    </row>
    <row r="405" spans="1:14" ht="14.25" customHeight="1" x14ac:dyDescent="0.25">
      <c r="A405" s="218"/>
      <c r="I405" s="218"/>
      <c r="J405" s="218"/>
      <c r="M405" s="218"/>
      <c r="N405" s="218"/>
    </row>
    <row r="406" spans="1:14" ht="14.25" customHeight="1" x14ac:dyDescent="0.25">
      <c r="A406" s="218"/>
      <c r="I406" s="218"/>
      <c r="J406" s="218"/>
      <c r="M406" s="218"/>
      <c r="N406" s="218"/>
    </row>
    <row r="407" spans="1:14" ht="14.25" customHeight="1" x14ac:dyDescent="0.25">
      <c r="A407" s="218"/>
      <c r="I407" s="218"/>
      <c r="J407" s="218"/>
      <c r="M407" s="218"/>
      <c r="N407" s="218"/>
    </row>
    <row r="408" spans="1:14" ht="14.25" customHeight="1" x14ac:dyDescent="0.25">
      <c r="A408" s="218"/>
      <c r="I408" s="218"/>
      <c r="J408" s="218"/>
      <c r="M408" s="218"/>
      <c r="N408" s="218"/>
    </row>
    <row r="409" spans="1:14" ht="14.25" customHeight="1" x14ac:dyDescent="0.25">
      <c r="A409" s="218"/>
      <c r="I409" s="218"/>
      <c r="J409" s="218"/>
      <c r="M409" s="218"/>
      <c r="N409" s="218"/>
    </row>
    <row r="410" spans="1:14" ht="14.25" customHeight="1" x14ac:dyDescent="0.25">
      <c r="A410" s="218"/>
      <c r="I410" s="218"/>
      <c r="J410" s="218"/>
      <c r="M410" s="218"/>
      <c r="N410" s="218"/>
    </row>
    <row r="411" spans="1:14" ht="14.25" customHeight="1" x14ac:dyDescent="0.25">
      <c r="A411" s="218"/>
      <c r="I411" s="218"/>
      <c r="J411" s="218"/>
      <c r="M411" s="218"/>
      <c r="N411" s="218"/>
    </row>
    <row r="412" spans="1:14" ht="14.25" customHeight="1" x14ac:dyDescent="0.25">
      <c r="A412" s="218"/>
      <c r="I412" s="218"/>
      <c r="J412" s="218"/>
      <c r="M412" s="218"/>
      <c r="N412" s="218"/>
    </row>
    <row r="413" spans="1:14" ht="14.25" customHeight="1" x14ac:dyDescent="0.25">
      <c r="A413" s="218"/>
      <c r="I413" s="218"/>
      <c r="J413" s="218"/>
      <c r="M413" s="218"/>
      <c r="N413" s="218"/>
    </row>
    <row r="414" spans="1:14" ht="14.25" customHeight="1" x14ac:dyDescent="0.25">
      <c r="A414" s="218"/>
      <c r="I414" s="218"/>
      <c r="J414" s="218"/>
      <c r="M414" s="218"/>
      <c r="N414" s="218"/>
    </row>
    <row r="415" spans="1:14" ht="14.25" customHeight="1" x14ac:dyDescent="0.25">
      <c r="A415" s="218"/>
      <c r="I415" s="218"/>
      <c r="J415" s="218"/>
      <c r="M415" s="218"/>
      <c r="N415" s="218"/>
    </row>
    <row r="416" spans="1:14" ht="14.25" customHeight="1" x14ac:dyDescent="0.25">
      <c r="A416" s="218"/>
      <c r="I416" s="218"/>
      <c r="J416" s="218"/>
      <c r="M416" s="218"/>
      <c r="N416" s="218"/>
    </row>
    <row r="417" spans="1:14" ht="14.25" customHeight="1" x14ac:dyDescent="0.25">
      <c r="A417" s="218"/>
      <c r="I417" s="218"/>
      <c r="J417" s="218"/>
      <c r="M417" s="218"/>
      <c r="N417" s="218"/>
    </row>
    <row r="418" spans="1:14" ht="14.25" customHeight="1" x14ac:dyDescent="0.25">
      <c r="A418" s="218"/>
      <c r="I418" s="218"/>
      <c r="J418" s="218"/>
      <c r="M418" s="218"/>
      <c r="N418" s="218"/>
    </row>
    <row r="419" spans="1:14" ht="14.25" customHeight="1" x14ac:dyDescent="0.25">
      <c r="A419" s="218"/>
      <c r="I419" s="218"/>
      <c r="J419" s="218"/>
      <c r="M419" s="218"/>
      <c r="N419" s="218"/>
    </row>
    <row r="420" spans="1:14" ht="14.25" customHeight="1" x14ac:dyDescent="0.25">
      <c r="A420" s="218"/>
      <c r="I420" s="218"/>
      <c r="J420" s="218"/>
      <c r="M420" s="218"/>
      <c r="N420" s="218"/>
    </row>
    <row r="421" spans="1:14" ht="14.25" customHeight="1" x14ac:dyDescent="0.25">
      <c r="A421" s="218"/>
      <c r="I421" s="218"/>
      <c r="J421" s="218"/>
      <c r="M421" s="218"/>
      <c r="N421" s="218"/>
    </row>
    <row r="422" spans="1:14" ht="14.25" customHeight="1" x14ac:dyDescent="0.25">
      <c r="A422" s="218"/>
      <c r="I422" s="218"/>
      <c r="J422" s="218"/>
      <c r="M422" s="218"/>
      <c r="N422" s="218"/>
    </row>
    <row r="423" spans="1:14" ht="14.25" customHeight="1" x14ac:dyDescent="0.25">
      <c r="A423" s="218"/>
      <c r="I423" s="218"/>
      <c r="J423" s="218"/>
      <c r="M423" s="218"/>
      <c r="N423" s="218"/>
    </row>
    <row r="424" spans="1:14" ht="14.25" customHeight="1" x14ac:dyDescent="0.25">
      <c r="A424" s="218"/>
      <c r="I424" s="218"/>
      <c r="J424" s="218"/>
      <c r="M424" s="218"/>
      <c r="N424" s="218"/>
    </row>
    <row r="425" spans="1:14" ht="14.25" customHeight="1" x14ac:dyDescent="0.25">
      <c r="A425" s="218"/>
      <c r="I425" s="218"/>
      <c r="J425" s="218"/>
      <c r="M425" s="218"/>
      <c r="N425" s="218"/>
    </row>
    <row r="426" spans="1:14" ht="14.25" customHeight="1" x14ac:dyDescent="0.25">
      <c r="A426" s="218"/>
      <c r="I426" s="218"/>
      <c r="J426" s="218"/>
      <c r="M426" s="218"/>
      <c r="N426" s="218"/>
    </row>
    <row r="427" spans="1:14" ht="14.25" customHeight="1" x14ac:dyDescent="0.25">
      <c r="A427" s="218"/>
      <c r="I427" s="218"/>
      <c r="J427" s="218"/>
      <c r="M427" s="218"/>
      <c r="N427" s="218"/>
    </row>
    <row r="428" spans="1:14" ht="14.25" customHeight="1" x14ac:dyDescent="0.25">
      <c r="A428" s="218"/>
      <c r="I428" s="218"/>
      <c r="J428" s="218"/>
      <c r="M428" s="218"/>
      <c r="N428" s="218"/>
    </row>
    <row r="429" spans="1:14" ht="14.25" customHeight="1" x14ac:dyDescent="0.25">
      <c r="A429" s="218"/>
      <c r="I429" s="218"/>
      <c r="J429" s="218"/>
      <c r="M429" s="218"/>
      <c r="N429" s="218"/>
    </row>
    <row r="430" spans="1:14" ht="14.25" customHeight="1" x14ac:dyDescent="0.25">
      <c r="A430" s="218"/>
      <c r="I430" s="218"/>
      <c r="J430" s="218"/>
      <c r="M430" s="218"/>
      <c r="N430" s="218"/>
    </row>
    <row r="431" spans="1:14" ht="14.25" customHeight="1" x14ac:dyDescent="0.25">
      <c r="A431" s="218"/>
      <c r="I431" s="218"/>
      <c r="J431" s="218"/>
      <c r="M431" s="218"/>
      <c r="N431" s="218"/>
    </row>
    <row r="432" spans="1:14" ht="14.25" customHeight="1" x14ac:dyDescent="0.25">
      <c r="A432" s="218"/>
      <c r="I432" s="218"/>
      <c r="J432" s="218"/>
      <c r="M432" s="218"/>
      <c r="N432" s="218"/>
    </row>
    <row r="433" spans="1:14" ht="14.25" customHeight="1" x14ac:dyDescent="0.25">
      <c r="A433" s="218"/>
      <c r="I433" s="218"/>
      <c r="J433" s="218"/>
      <c r="M433" s="218"/>
      <c r="N433" s="218"/>
    </row>
    <row r="434" spans="1:14" ht="14.25" customHeight="1" x14ac:dyDescent="0.25">
      <c r="A434" s="218"/>
      <c r="I434" s="218"/>
      <c r="J434" s="218"/>
      <c r="M434" s="218"/>
      <c r="N434" s="218"/>
    </row>
    <row r="435" spans="1:14" ht="14.25" customHeight="1" x14ac:dyDescent="0.25">
      <c r="A435" s="218"/>
      <c r="I435" s="218"/>
      <c r="J435" s="218"/>
      <c r="M435" s="218"/>
      <c r="N435" s="218"/>
    </row>
    <row r="436" spans="1:14" ht="14.25" customHeight="1" x14ac:dyDescent="0.25">
      <c r="A436" s="218"/>
      <c r="I436" s="218"/>
      <c r="J436" s="218"/>
      <c r="M436" s="218"/>
      <c r="N436" s="218"/>
    </row>
    <row r="437" spans="1:14" ht="14.25" customHeight="1" x14ac:dyDescent="0.25">
      <c r="A437" s="218"/>
      <c r="I437" s="218"/>
      <c r="J437" s="218"/>
      <c r="M437" s="218"/>
      <c r="N437" s="218"/>
    </row>
    <row r="438" spans="1:14" ht="14.25" customHeight="1" x14ac:dyDescent="0.25">
      <c r="A438" s="218"/>
      <c r="I438" s="218"/>
      <c r="J438" s="218"/>
      <c r="M438" s="218"/>
      <c r="N438" s="218"/>
    </row>
    <row r="439" spans="1:14" ht="14.25" customHeight="1" x14ac:dyDescent="0.25">
      <c r="A439" s="218"/>
      <c r="I439" s="218"/>
      <c r="J439" s="218"/>
      <c r="M439" s="218"/>
      <c r="N439" s="218"/>
    </row>
    <row r="440" spans="1:14" ht="14.25" customHeight="1" x14ac:dyDescent="0.25">
      <c r="A440" s="218"/>
      <c r="I440" s="218"/>
      <c r="J440" s="218"/>
      <c r="M440" s="218"/>
      <c r="N440" s="218"/>
    </row>
    <row r="441" spans="1:14" ht="14.25" customHeight="1" x14ac:dyDescent="0.25">
      <c r="A441" s="218"/>
      <c r="I441" s="218"/>
      <c r="J441" s="218"/>
      <c r="M441" s="218"/>
      <c r="N441" s="218"/>
    </row>
    <row r="442" spans="1:14" ht="14.25" customHeight="1" x14ac:dyDescent="0.25">
      <c r="A442" s="218"/>
      <c r="I442" s="218"/>
      <c r="J442" s="218"/>
      <c r="M442" s="218"/>
      <c r="N442" s="218"/>
    </row>
    <row r="443" spans="1:14" ht="14.25" customHeight="1" x14ac:dyDescent="0.25">
      <c r="A443" s="218"/>
      <c r="I443" s="218"/>
      <c r="J443" s="218"/>
      <c r="M443" s="218"/>
      <c r="N443" s="218"/>
    </row>
    <row r="444" spans="1:14" ht="14.25" customHeight="1" x14ac:dyDescent="0.25">
      <c r="A444" s="218"/>
      <c r="I444" s="218"/>
      <c r="J444" s="218"/>
      <c r="M444" s="218"/>
      <c r="N444" s="218"/>
    </row>
    <row r="445" spans="1:14" ht="14.25" customHeight="1" x14ac:dyDescent="0.25">
      <c r="A445" s="218"/>
      <c r="I445" s="218"/>
      <c r="J445" s="218"/>
      <c r="M445" s="218"/>
      <c r="N445" s="218"/>
    </row>
    <row r="446" spans="1:14" ht="14.25" customHeight="1" x14ac:dyDescent="0.25">
      <c r="A446" s="218"/>
      <c r="I446" s="218"/>
      <c r="J446" s="218"/>
      <c r="M446" s="218"/>
      <c r="N446" s="218"/>
    </row>
    <row r="447" spans="1:14" ht="14.25" customHeight="1" x14ac:dyDescent="0.25">
      <c r="A447" s="218"/>
      <c r="I447" s="218"/>
      <c r="J447" s="218"/>
      <c r="M447" s="218"/>
      <c r="N447" s="218"/>
    </row>
    <row r="448" spans="1:14" ht="14.25" customHeight="1" x14ac:dyDescent="0.25">
      <c r="A448" s="218"/>
      <c r="I448" s="218"/>
      <c r="J448" s="218"/>
      <c r="M448" s="218"/>
      <c r="N448" s="218"/>
    </row>
    <row r="449" spans="1:14" ht="14.25" customHeight="1" x14ac:dyDescent="0.25">
      <c r="A449" s="218"/>
      <c r="I449" s="218"/>
      <c r="J449" s="218"/>
      <c r="M449" s="218"/>
      <c r="N449" s="218"/>
    </row>
    <row r="450" spans="1:14" ht="14.25" customHeight="1" x14ac:dyDescent="0.25">
      <c r="A450" s="218"/>
      <c r="I450" s="218"/>
      <c r="J450" s="218"/>
      <c r="M450" s="218"/>
      <c r="N450" s="218"/>
    </row>
    <row r="451" spans="1:14" ht="14.25" customHeight="1" x14ac:dyDescent="0.25">
      <c r="A451" s="218"/>
      <c r="I451" s="218"/>
      <c r="J451" s="218"/>
      <c r="M451" s="218"/>
      <c r="N451" s="218"/>
    </row>
    <row r="452" spans="1:14" ht="14.25" customHeight="1" x14ac:dyDescent="0.25">
      <c r="A452" s="218"/>
      <c r="I452" s="218"/>
      <c r="J452" s="218"/>
      <c r="M452" s="218"/>
      <c r="N452" s="218"/>
    </row>
    <row r="453" spans="1:14" ht="14.25" customHeight="1" x14ac:dyDescent="0.25">
      <c r="A453" s="218"/>
      <c r="I453" s="218"/>
      <c r="J453" s="218"/>
      <c r="M453" s="218"/>
      <c r="N453" s="218"/>
    </row>
    <row r="454" spans="1:14" ht="14.25" customHeight="1" x14ac:dyDescent="0.25">
      <c r="A454" s="218"/>
      <c r="I454" s="218"/>
      <c r="J454" s="218"/>
      <c r="M454" s="218"/>
      <c r="N454" s="218"/>
    </row>
    <row r="455" spans="1:14" ht="14.25" customHeight="1" x14ac:dyDescent="0.25">
      <c r="A455" s="218"/>
      <c r="I455" s="218"/>
      <c r="J455" s="218"/>
      <c r="M455" s="218"/>
      <c r="N455" s="218"/>
    </row>
    <row r="456" spans="1:14" ht="14.25" customHeight="1" x14ac:dyDescent="0.25">
      <c r="A456" s="218"/>
      <c r="I456" s="218"/>
      <c r="J456" s="218"/>
      <c r="M456" s="218"/>
      <c r="N456" s="218"/>
    </row>
    <row r="457" spans="1:14" ht="14.25" customHeight="1" x14ac:dyDescent="0.25">
      <c r="A457" s="218"/>
      <c r="I457" s="218"/>
      <c r="J457" s="218"/>
      <c r="M457" s="218"/>
      <c r="N457" s="218"/>
    </row>
    <row r="458" spans="1:14" ht="14.25" customHeight="1" x14ac:dyDescent="0.25">
      <c r="A458" s="218"/>
      <c r="I458" s="218"/>
      <c r="J458" s="218"/>
      <c r="M458" s="218"/>
      <c r="N458" s="218"/>
    </row>
    <row r="459" spans="1:14" ht="14.25" customHeight="1" x14ac:dyDescent="0.25">
      <c r="A459" s="218"/>
      <c r="I459" s="218"/>
      <c r="J459" s="218"/>
      <c r="M459" s="218"/>
      <c r="N459" s="218"/>
    </row>
    <row r="460" spans="1:14" ht="14.25" customHeight="1" x14ac:dyDescent="0.25">
      <c r="A460" s="218"/>
      <c r="I460" s="218"/>
      <c r="J460" s="218"/>
      <c r="M460" s="218"/>
      <c r="N460" s="218"/>
    </row>
    <row r="461" spans="1:14" ht="14.25" customHeight="1" x14ac:dyDescent="0.25">
      <c r="A461" s="218"/>
      <c r="I461" s="218"/>
      <c r="J461" s="218"/>
      <c r="M461" s="218"/>
      <c r="N461" s="218"/>
    </row>
    <row r="462" spans="1:14" ht="14.25" customHeight="1" x14ac:dyDescent="0.25">
      <c r="A462" s="218"/>
      <c r="I462" s="218"/>
      <c r="J462" s="218"/>
      <c r="M462" s="218"/>
      <c r="N462" s="218"/>
    </row>
    <row r="463" spans="1:14" ht="14.25" customHeight="1" x14ac:dyDescent="0.25">
      <c r="A463" s="218"/>
      <c r="I463" s="218"/>
      <c r="J463" s="218"/>
      <c r="M463" s="218"/>
      <c r="N463" s="218"/>
    </row>
    <row r="464" spans="1:14" ht="14.25" customHeight="1" x14ac:dyDescent="0.25">
      <c r="A464" s="218"/>
      <c r="I464" s="218"/>
      <c r="J464" s="218"/>
      <c r="M464" s="218"/>
      <c r="N464" s="218"/>
    </row>
    <row r="465" spans="1:14" ht="14.25" customHeight="1" x14ac:dyDescent="0.25">
      <c r="A465" s="218"/>
      <c r="I465" s="218"/>
      <c r="J465" s="218"/>
      <c r="M465" s="218"/>
      <c r="N465" s="218"/>
    </row>
    <row r="466" spans="1:14" ht="14.25" customHeight="1" x14ac:dyDescent="0.25">
      <c r="A466" s="218"/>
      <c r="I466" s="218"/>
      <c r="J466" s="218"/>
      <c r="M466" s="218"/>
      <c r="N466" s="218"/>
    </row>
    <row r="467" spans="1:14" ht="14.25" customHeight="1" x14ac:dyDescent="0.25">
      <c r="A467" s="218"/>
      <c r="I467" s="218"/>
      <c r="J467" s="218"/>
      <c r="M467" s="218"/>
      <c r="N467" s="218"/>
    </row>
    <row r="468" spans="1:14" ht="14.25" customHeight="1" x14ac:dyDescent="0.25">
      <c r="A468" s="218"/>
      <c r="I468" s="218"/>
      <c r="J468" s="218"/>
      <c r="M468" s="218"/>
      <c r="N468" s="218"/>
    </row>
    <row r="469" spans="1:14" ht="14.25" customHeight="1" x14ac:dyDescent="0.25">
      <c r="A469" s="218"/>
      <c r="I469" s="218"/>
      <c r="J469" s="218"/>
      <c r="M469" s="218"/>
      <c r="N469" s="218"/>
    </row>
    <row r="470" spans="1:14" ht="14.25" customHeight="1" x14ac:dyDescent="0.25">
      <c r="A470" s="218"/>
      <c r="I470" s="218"/>
      <c r="J470" s="218"/>
      <c r="M470" s="218"/>
      <c r="N470" s="218"/>
    </row>
    <row r="471" spans="1:14" ht="14.25" customHeight="1" x14ac:dyDescent="0.25">
      <c r="A471" s="218"/>
      <c r="I471" s="218"/>
      <c r="J471" s="218"/>
      <c r="M471" s="218"/>
      <c r="N471" s="218"/>
    </row>
    <row r="472" spans="1:14" ht="14.25" customHeight="1" x14ac:dyDescent="0.25">
      <c r="A472" s="218"/>
      <c r="I472" s="218"/>
      <c r="J472" s="218"/>
      <c r="M472" s="218"/>
      <c r="N472" s="218"/>
    </row>
    <row r="473" spans="1:14" ht="14.25" customHeight="1" x14ac:dyDescent="0.25">
      <c r="A473" s="218"/>
      <c r="I473" s="218"/>
      <c r="J473" s="218"/>
      <c r="M473" s="218"/>
      <c r="N473" s="218"/>
    </row>
    <row r="474" spans="1:14" ht="14.25" customHeight="1" x14ac:dyDescent="0.25">
      <c r="A474" s="218"/>
      <c r="I474" s="218"/>
      <c r="J474" s="218"/>
      <c r="M474" s="218"/>
      <c r="N474" s="218"/>
    </row>
    <row r="475" spans="1:14" ht="14.25" customHeight="1" x14ac:dyDescent="0.25">
      <c r="A475" s="218"/>
      <c r="I475" s="218"/>
      <c r="J475" s="218"/>
      <c r="M475" s="218"/>
      <c r="N475" s="218"/>
    </row>
    <row r="476" spans="1:14" ht="14.25" customHeight="1" x14ac:dyDescent="0.25">
      <c r="A476" s="218"/>
      <c r="I476" s="218"/>
      <c r="J476" s="218"/>
      <c r="M476" s="218"/>
      <c r="N476" s="218"/>
    </row>
    <row r="477" spans="1:14" ht="14.25" customHeight="1" x14ac:dyDescent="0.25">
      <c r="A477" s="218"/>
      <c r="I477" s="218"/>
      <c r="J477" s="218"/>
      <c r="M477" s="218"/>
      <c r="N477" s="218"/>
    </row>
    <row r="478" spans="1:14" ht="14.25" customHeight="1" x14ac:dyDescent="0.25">
      <c r="A478" s="218"/>
      <c r="I478" s="218"/>
      <c r="J478" s="218"/>
      <c r="M478" s="218"/>
      <c r="N478" s="218"/>
    </row>
    <row r="479" spans="1:14" ht="14.25" customHeight="1" x14ac:dyDescent="0.25">
      <c r="A479" s="218"/>
      <c r="I479" s="218"/>
      <c r="J479" s="218"/>
      <c r="M479" s="218"/>
      <c r="N479" s="218"/>
    </row>
    <row r="480" spans="1:14" ht="14.25" customHeight="1" x14ac:dyDescent="0.25">
      <c r="A480" s="218"/>
      <c r="I480" s="218"/>
      <c r="J480" s="218"/>
      <c r="M480" s="218"/>
      <c r="N480" s="218"/>
    </row>
    <row r="481" spans="1:14" ht="14.25" customHeight="1" x14ac:dyDescent="0.25">
      <c r="A481" s="218"/>
      <c r="I481" s="218"/>
      <c r="J481" s="218"/>
      <c r="M481" s="218"/>
      <c r="N481" s="218"/>
    </row>
    <row r="482" spans="1:14" ht="14.25" customHeight="1" x14ac:dyDescent="0.25">
      <c r="A482" s="218"/>
      <c r="I482" s="218"/>
      <c r="J482" s="218"/>
      <c r="M482" s="218"/>
      <c r="N482" s="218"/>
    </row>
    <row r="483" spans="1:14" ht="14.25" customHeight="1" x14ac:dyDescent="0.25">
      <c r="A483" s="218"/>
      <c r="I483" s="218"/>
      <c r="J483" s="218"/>
      <c r="M483" s="218"/>
      <c r="N483" s="218"/>
    </row>
    <row r="484" spans="1:14" ht="14.25" customHeight="1" x14ac:dyDescent="0.25">
      <c r="A484" s="218"/>
      <c r="I484" s="218"/>
      <c r="J484" s="218"/>
      <c r="M484" s="218"/>
      <c r="N484" s="218"/>
    </row>
    <row r="485" spans="1:14" ht="14.25" customHeight="1" x14ac:dyDescent="0.25">
      <c r="A485" s="218"/>
      <c r="I485" s="218"/>
      <c r="J485" s="218"/>
      <c r="M485" s="218"/>
      <c r="N485" s="218"/>
    </row>
    <row r="486" spans="1:14" ht="14.25" customHeight="1" x14ac:dyDescent="0.25">
      <c r="A486" s="218"/>
      <c r="I486" s="218"/>
      <c r="J486" s="218"/>
      <c r="M486" s="218"/>
      <c r="N486" s="218"/>
    </row>
    <row r="487" spans="1:14" ht="14.25" customHeight="1" x14ac:dyDescent="0.25">
      <c r="A487" s="218"/>
      <c r="I487" s="218"/>
      <c r="J487" s="218"/>
      <c r="M487" s="218"/>
      <c r="N487" s="218"/>
    </row>
    <row r="488" spans="1:14" ht="14.25" customHeight="1" x14ac:dyDescent="0.25">
      <c r="A488" s="218"/>
      <c r="I488" s="218"/>
      <c r="J488" s="218"/>
      <c r="M488" s="218"/>
      <c r="N488" s="218"/>
    </row>
    <row r="489" spans="1:14" ht="14.25" customHeight="1" x14ac:dyDescent="0.25">
      <c r="A489" s="218"/>
      <c r="I489" s="218"/>
      <c r="J489" s="218"/>
      <c r="M489" s="218"/>
      <c r="N489" s="218"/>
    </row>
    <row r="490" spans="1:14" ht="14.25" customHeight="1" x14ac:dyDescent="0.25">
      <c r="A490" s="218"/>
      <c r="I490" s="218"/>
      <c r="J490" s="218"/>
      <c r="M490" s="218"/>
      <c r="N490" s="218"/>
    </row>
    <row r="491" spans="1:14" ht="14.25" customHeight="1" x14ac:dyDescent="0.25">
      <c r="A491" s="218"/>
      <c r="I491" s="218"/>
      <c r="J491" s="218"/>
      <c r="M491" s="218"/>
      <c r="N491" s="218"/>
    </row>
    <row r="492" spans="1:14" ht="14.25" customHeight="1" x14ac:dyDescent="0.25">
      <c r="A492" s="218"/>
      <c r="I492" s="218"/>
      <c r="J492" s="218"/>
      <c r="M492" s="218"/>
      <c r="N492" s="218"/>
    </row>
    <row r="493" spans="1:14" ht="14.25" customHeight="1" x14ac:dyDescent="0.25">
      <c r="A493" s="218"/>
      <c r="I493" s="218"/>
      <c r="J493" s="218"/>
      <c r="M493" s="218"/>
      <c r="N493" s="218"/>
    </row>
    <row r="494" spans="1:14" ht="14.25" customHeight="1" x14ac:dyDescent="0.25">
      <c r="A494" s="218"/>
      <c r="I494" s="218"/>
      <c r="J494" s="218"/>
      <c r="M494" s="218"/>
      <c r="N494" s="218"/>
    </row>
    <row r="495" spans="1:14" ht="14.25" customHeight="1" x14ac:dyDescent="0.25">
      <c r="A495" s="218"/>
      <c r="I495" s="218"/>
      <c r="J495" s="218"/>
      <c r="M495" s="218"/>
      <c r="N495" s="218"/>
    </row>
    <row r="496" spans="1:14" ht="14.25" customHeight="1" x14ac:dyDescent="0.25">
      <c r="A496" s="218"/>
      <c r="I496" s="218"/>
      <c r="J496" s="218"/>
      <c r="M496" s="218"/>
      <c r="N496" s="218"/>
    </row>
    <row r="497" spans="1:14" ht="14.25" customHeight="1" x14ac:dyDescent="0.25">
      <c r="A497" s="218"/>
      <c r="I497" s="218"/>
      <c r="J497" s="218"/>
      <c r="M497" s="218"/>
      <c r="N497" s="218"/>
    </row>
    <row r="498" spans="1:14" ht="14.25" customHeight="1" x14ac:dyDescent="0.25">
      <c r="A498" s="218"/>
      <c r="I498" s="218"/>
      <c r="J498" s="218"/>
      <c r="M498" s="218"/>
      <c r="N498" s="218"/>
    </row>
    <row r="499" spans="1:14" ht="14.25" customHeight="1" x14ac:dyDescent="0.25">
      <c r="A499" s="218"/>
      <c r="I499" s="218"/>
      <c r="J499" s="218"/>
      <c r="M499" s="218"/>
      <c r="N499" s="218"/>
    </row>
    <row r="500" spans="1:14" ht="14.25" customHeight="1" x14ac:dyDescent="0.25">
      <c r="A500" s="218"/>
      <c r="I500" s="218"/>
      <c r="J500" s="218"/>
      <c r="M500" s="218"/>
      <c r="N500" s="218"/>
    </row>
    <row r="501" spans="1:14" ht="14.25" customHeight="1" x14ac:dyDescent="0.25">
      <c r="A501" s="218"/>
      <c r="I501" s="218"/>
      <c r="J501" s="218"/>
      <c r="M501" s="218"/>
      <c r="N501" s="218"/>
    </row>
    <row r="502" spans="1:14" ht="14.25" customHeight="1" x14ac:dyDescent="0.25">
      <c r="A502" s="218"/>
      <c r="I502" s="218"/>
      <c r="J502" s="218"/>
      <c r="M502" s="218"/>
      <c r="N502" s="218"/>
    </row>
    <row r="503" spans="1:14" ht="14.25" customHeight="1" x14ac:dyDescent="0.25">
      <c r="A503" s="218"/>
      <c r="I503" s="218"/>
      <c r="J503" s="218"/>
      <c r="M503" s="218"/>
      <c r="N503" s="218"/>
    </row>
    <row r="504" spans="1:14" ht="14.25" customHeight="1" x14ac:dyDescent="0.25">
      <c r="A504" s="218"/>
      <c r="I504" s="218"/>
      <c r="J504" s="218"/>
      <c r="M504" s="218"/>
      <c r="N504" s="218"/>
    </row>
    <row r="505" spans="1:14" ht="14.25" customHeight="1" x14ac:dyDescent="0.25">
      <c r="A505" s="218"/>
      <c r="I505" s="218"/>
      <c r="J505" s="218"/>
      <c r="M505" s="218"/>
      <c r="N505" s="218"/>
    </row>
    <row r="506" spans="1:14" ht="14.25" customHeight="1" x14ac:dyDescent="0.25">
      <c r="A506" s="218"/>
      <c r="I506" s="218"/>
      <c r="J506" s="218"/>
      <c r="M506" s="218"/>
      <c r="N506" s="218"/>
    </row>
    <row r="507" spans="1:14" ht="14.25" customHeight="1" x14ac:dyDescent="0.25">
      <c r="A507" s="218"/>
      <c r="I507" s="218"/>
      <c r="J507" s="218"/>
      <c r="M507" s="218"/>
      <c r="N507" s="218"/>
    </row>
    <row r="508" spans="1:14" ht="14.25" customHeight="1" x14ac:dyDescent="0.25">
      <c r="A508" s="218"/>
      <c r="I508" s="218"/>
      <c r="J508" s="218"/>
      <c r="M508" s="218"/>
      <c r="N508" s="218"/>
    </row>
    <row r="509" spans="1:14" ht="14.25" customHeight="1" x14ac:dyDescent="0.25">
      <c r="A509" s="218"/>
      <c r="I509" s="218"/>
      <c r="J509" s="218"/>
      <c r="M509" s="218"/>
      <c r="N509" s="218"/>
    </row>
    <row r="510" spans="1:14" ht="14.25" customHeight="1" x14ac:dyDescent="0.25">
      <c r="A510" s="218"/>
      <c r="I510" s="218"/>
      <c r="J510" s="218"/>
      <c r="M510" s="218"/>
      <c r="N510" s="218"/>
    </row>
    <row r="511" spans="1:14" ht="14.25" customHeight="1" x14ac:dyDescent="0.25">
      <c r="A511" s="218"/>
      <c r="I511" s="218"/>
      <c r="J511" s="218"/>
      <c r="M511" s="218"/>
      <c r="N511" s="218"/>
    </row>
    <row r="512" spans="1:14" ht="14.25" customHeight="1" x14ac:dyDescent="0.25">
      <c r="A512" s="218"/>
      <c r="I512" s="218"/>
      <c r="J512" s="218"/>
      <c r="M512" s="218"/>
      <c r="N512" s="218"/>
    </row>
    <row r="513" spans="1:14" ht="14.25" customHeight="1" x14ac:dyDescent="0.25">
      <c r="A513" s="218"/>
      <c r="I513" s="218"/>
      <c r="J513" s="218"/>
      <c r="M513" s="218"/>
      <c r="N513" s="218"/>
    </row>
    <row r="514" spans="1:14" ht="14.25" customHeight="1" x14ac:dyDescent="0.25">
      <c r="A514" s="218"/>
      <c r="I514" s="218"/>
      <c r="J514" s="218"/>
      <c r="M514" s="218"/>
      <c r="N514" s="218"/>
    </row>
    <row r="515" spans="1:14" ht="14.25" customHeight="1" x14ac:dyDescent="0.25">
      <c r="A515" s="218"/>
      <c r="I515" s="218"/>
      <c r="J515" s="218"/>
      <c r="M515" s="218"/>
      <c r="N515" s="218"/>
    </row>
    <row r="516" spans="1:14" ht="14.25" customHeight="1" x14ac:dyDescent="0.25">
      <c r="A516" s="218"/>
      <c r="I516" s="218"/>
      <c r="J516" s="218"/>
      <c r="M516" s="218"/>
      <c r="N516" s="218"/>
    </row>
    <row r="517" spans="1:14" ht="14.25" customHeight="1" x14ac:dyDescent="0.25">
      <c r="A517" s="218"/>
      <c r="I517" s="218"/>
      <c r="J517" s="218"/>
      <c r="M517" s="218"/>
      <c r="N517" s="218"/>
    </row>
    <row r="518" spans="1:14" ht="14.25" customHeight="1" x14ac:dyDescent="0.25">
      <c r="A518" s="218"/>
      <c r="I518" s="218"/>
      <c r="J518" s="218"/>
      <c r="M518" s="218"/>
      <c r="N518" s="218"/>
    </row>
    <row r="519" spans="1:14" ht="14.25" customHeight="1" x14ac:dyDescent="0.25">
      <c r="A519" s="218"/>
      <c r="I519" s="218"/>
      <c r="J519" s="218"/>
      <c r="M519" s="218"/>
      <c r="N519" s="218"/>
    </row>
    <row r="520" spans="1:14" ht="14.25" customHeight="1" x14ac:dyDescent="0.25">
      <c r="A520" s="218"/>
      <c r="I520" s="218"/>
      <c r="J520" s="218"/>
      <c r="M520" s="218"/>
      <c r="N520" s="218"/>
    </row>
    <row r="521" spans="1:14" ht="14.25" customHeight="1" x14ac:dyDescent="0.25">
      <c r="A521" s="218"/>
      <c r="I521" s="218"/>
      <c r="J521" s="218"/>
      <c r="M521" s="218"/>
      <c r="N521" s="218"/>
    </row>
    <row r="522" spans="1:14" ht="14.25" customHeight="1" x14ac:dyDescent="0.25">
      <c r="A522" s="218"/>
      <c r="I522" s="218"/>
      <c r="J522" s="218"/>
      <c r="M522" s="218"/>
      <c r="N522" s="218"/>
    </row>
    <row r="523" spans="1:14" ht="14.25" customHeight="1" x14ac:dyDescent="0.25">
      <c r="A523" s="218"/>
      <c r="I523" s="218"/>
      <c r="J523" s="218"/>
      <c r="M523" s="218"/>
      <c r="N523" s="218"/>
    </row>
    <row r="524" spans="1:14" ht="14.25" customHeight="1" x14ac:dyDescent="0.25">
      <c r="A524" s="218"/>
      <c r="I524" s="218"/>
      <c r="J524" s="218"/>
      <c r="M524" s="218"/>
      <c r="N524" s="218"/>
    </row>
    <row r="525" spans="1:14" ht="14.25" customHeight="1" x14ac:dyDescent="0.25">
      <c r="A525" s="218"/>
      <c r="I525" s="218"/>
      <c r="J525" s="218"/>
      <c r="M525" s="218"/>
      <c r="N525" s="218"/>
    </row>
    <row r="526" spans="1:14" ht="14.25" customHeight="1" x14ac:dyDescent="0.25">
      <c r="A526" s="218"/>
      <c r="I526" s="218"/>
      <c r="J526" s="218"/>
      <c r="M526" s="218"/>
      <c r="N526" s="218"/>
    </row>
    <row r="527" spans="1:14" ht="14.25" customHeight="1" x14ac:dyDescent="0.25">
      <c r="A527" s="218"/>
      <c r="I527" s="218"/>
      <c r="J527" s="218"/>
      <c r="M527" s="218"/>
      <c r="N527" s="218"/>
    </row>
    <row r="528" spans="1:14" ht="14.25" customHeight="1" x14ac:dyDescent="0.25">
      <c r="A528" s="218"/>
      <c r="I528" s="218"/>
      <c r="J528" s="218"/>
      <c r="M528" s="218"/>
      <c r="N528" s="218"/>
    </row>
    <row r="529" spans="1:14" ht="14.25" customHeight="1" x14ac:dyDescent="0.25">
      <c r="A529" s="218"/>
      <c r="I529" s="218"/>
      <c r="J529" s="218"/>
      <c r="M529" s="218"/>
      <c r="N529" s="218"/>
    </row>
    <row r="530" spans="1:14" ht="14.25" customHeight="1" x14ac:dyDescent="0.25">
      <c r="A530" s="218"/>
      <c r="I530" s="218"/>
      <c r="J530" s="218"/>
      <c r="M530" s="218"/>
      <c r="N530" s="218"/>
    </row>
    <row r="531" spans="1:14" ht="14.25" customHeight="1" x14ac:dyDescent="0.25">
      <c r="A531" s="218"/>
      <c r="I531" s="218"/>
      <c r="J531" s="218"/>
      <c r="M531" s="218"/>
      <c r="N531" s="218"/>
    </row>
    <row r="532" spans="1:14" ht="14.25" customHeight="1" x14ac:dyDescent="0.25">
      <c r="A532" s="218"/>
      <c r="I532" s="218"/>
      <c r="J532" s="218"/>
      <c r="M532" s="218"/>
      <c r="N532" s="218"/>
    </row>
    <row r="533" spans="1:14" ht="14.25" customHeight="1" x14ac:dyDescent="0.25">
      <c r="A533" s="218"/>
      <c r="I533" s="218"/>
      <c r="J533" s="218"/>
      <c r="M533" s="218"/>
      <c r="N533" s="218"/>
    </row>
    <row r="534" spans="1:14" ht="14.25" customHeight="1" x14ac:dyDescent="0.25">
      <c r="A534" s="218"/>
      <c r="I534" s="218"/>
      <c r="J534" s="218"/>
      <c r="M534" s="218"/>
      <c r="N534" s="218"/>
    </row>
    <row r="535" spans="1:14" ht="14.25" customHeight="1" x14ac:dyDescent="0.25">
      <c r="A535" s="218"/>
      <c r="I535" s="218"/>
      <c r="J535" s="218"/>
      <c r="M535" s="218"/>
      <c r="N535" s="218"/>
    </row>
    <row r="536" spans="1:14" ht="14.25" customHeight="1" x14ac:dyDescent="0.25">
      <c r="A536" s="218"/>
      <c r="I536" s="218"/>
      <c r="J536" s="218"/>
      <c r="M536" s="218"/>
      <c r="N536" s="218"/>
    </row>
    <row r="537" spans="1:14" ht="14.25" customHeight="1" x14ac:dyDescent="0.25">
      <c r="A537" s="218"/>
      <c r="I537" s="218"/>
      <c r="J537" s="218"/>
      <c r="M537" s="218"/>
      <c r="N537" s="218"/>
    </row>
    <row r="538" spans="1:14" ht="14.25" customHeight="1" x14ac:dyDescent="0.25">
      <c r="A538" s="218"/>
      <c r="I538" s="218"/>
      <c r="J538" s="218"/>
      <c r="M538" s="218"/>
      <c r="N538" s="218"/>
    </row>
    <row r="539" spans="1:14" ht="14.25" customHeight="1" x14ac:dyDescent="0.25">
      <c r="A539" s="218"/>
      <c r="I539" s="218"/>
      <c r="J539" s="218"/>
      <c r="M539" s="218"/>
      <c r="N539" s="218"/>
    </row>
    <row r="540" spans="1:14" ht="14.25" customHeight="1" x14ac:dyDescent="0.25">
      <c r="A540" s="218"/>
      <c r="I540" s="218"/>
      <c r="J540" s="218"/>
      <c r="M540" s="218"/>
      <c r="N540" s="218"/>
    </row>
    <row r="541" spans="1:14" ht="14.25" customHeight="1" x14ac:dyDescent="0.25">
      <c r="A541" s="218"/>
      <c r="I541" s="218"/>
      <c r="J541" s="218"/>
      <c r="M541" s="218"/>
      <c r="N541" s="218"/>
    </row>
    <row r="542" spans="1:14" ht="14.25" customHeight="1" x14ac:dyDescent="0.25">
      <c r="A542" s="218"/>
      <c r="I542" s="218"/>
      <c r="J542" s="218"/>
      <c r="M542" s="218"/>
      <c r="N542" s="218"/>
    </row>
    <row r="543" spans="1:14" ht="14.25" customHeight="1" x14ac:dyDescent="0.25">
      <c r="A543" s="218"/>
      <c r="I543" s="218"/>
      <c r="J543" s="218"/>
      <c r="M543" s="218"/>
      <c r="N543" s="218"/>
    </row>
    <row r="544" spans="1:14" ht="14.25" customHeight="1" x14ac:dyDescent="0.25">
      <c r="A544" s="218"/>
      <c r="I544" s="218"/>
      <c r="J544" s="218"/>
      <c r="M544" s="218"/>
      <c r="N544" s="218"/>
    </row>
    <row r="545" spans="1:14" ht="14.25" customHeight="1" x14ac:dyDescent="0.25">
      <c r="A545" s="218"/>
      <c r="I545" s="218"/>
      <c r="J545" s="218"/>
      <c r="M545" s="218"/>
      <c r="N545" s="218"/>
    </row>
    <row r="546" spans="1:14" ht="14.25" customHeight="1" x14ac:dyDescent="0.25">
      <c r="A546" s="218"/>
      <c r="I546" s="218"/>
      <c r="J546" s="218"/>
      <c r="M546" s="218"/>
      <c r="N546" s="218"/>
    </row>
    <row r="547" spans="1:14" ht="14.25" customHeight="1" x14ac:dyDescent="0.25">
      <c r="A547" s="218"/>
      <c r="I547" s="218"/>
      <c r="J547" s="218"/>
      <c r="M547" s="218"/>
      <c r="N547" s="218"/>
    </row>
    <row r="548" spans="1:14" ht="14.25" customHeight="1" x14ac:dyDescent="0.25">
      <c r="A548" s="218"/>
      <c r="I548" s="218"/>
      <c r="J548" s="218"/>
      <c r="M548" s="218"/>
      <c r="N548" s="218"/>
    </row>
    <row r="549" spans="1:14" ht="14.25" customHeight="1" x14ac:dyDescent="0.25">
      <c r="A549" s="218"/>
      <c r="I549" s="218"/>
      <c r="J549" s="218"/>
      <c r="M549" s="218"/>
      <c r="N549" s="218"/>
    </row>
    <row r="550" spans="1:14" ht="14.25" customHeight="1" x14ac:dyDescent="0.25">
      <c r="A550" s="218"/>
      <c r="I550" s="218"/>
      <c r="J550" s="218"/>
      <c r="M550" s="218"/>
      <c r="N550" s="218"/>
    </row>
    <row r="551" spans="1:14" ht="14.25" customHeight="1" x14ac:dyDescent="0.25">
      <c r="A551" s="218"/>
      <c r="I551" s="218"/>
      <c r="J551" s="218"/>
      <c r="M551" s="218"/>
      <c r="N551" s="218"/>
    </row>
    <row r="552" spans="1:14" ht="14.25" customHeight="1" x14ac:dyDescent="0.25">
      <c r="A552" s="218"/>
      <c r="I552" s="218"/>
      <c r="J552" s="218"/>
      <c r="M552" s="218"/>
      <c r="N552" s="218"/>
    </row>
    <row r="553" spans="1:14" ht="14.25" customHeight="1" x14ac:dyDescent="0.25">
      <c r="A553" s="218"/>
      <c r="I553" s="218"/>
      <c r="J553" s="218"/>
      <c r="M553" s="218"/>
      <c r="N553" s="218"/>
    </row>
    <row r="554" spans="1:14" ht="14.25" customHeight="1" x14ac:dyDescent="0.25">
      <c r="A554" s="218"/>
      <c r="I554" s="218"/>
      <c r="J554" s="218"/>
      <c r="M554" s="218"/>
      <c r="N554" s="218"/>
    </row>
    <row r="555" spans="1:14" ht="14.25" customHeight="1" x14ac:dyDescent="0.25">
      <c r="A555" s="218"/>
      <c r="I555" s="218"/>
      <c r="J555" s="218"/>
      <c r="M555" s="218"/>
      <c r="N555" s="218"/>
    </row>
    <row r="556" spans="1:14" ht="14.25" customHeight="1" x14ac:dyDescent="0.25">
      <c r="A556" s="218"/>
      <c r="I556" s="218"/>
      <c r="J556" s="218"/>
      <c r="M556" s="218"/>
      <c r="N556" s="218"/>
    </row>
    <row r="557" spans="1:14" ht="14.25" customHeight="1" x14ac:dyDescent="0.25">
      <c r="A557" s="218"/>
      <c r="I557" s="218"/>
      <c r="J557" s="218"/>
      <c r="M557" s="218"/>
      <c r="N557" s="218"/>
    </row>
    <row r="558" spans="1:14" ht="14.25" customHeight="1" x14ac:dyDescent="0.25">
      <c r="A558" s="218"/>
      <c r="I558" s="218"/>
      <c r="J558" s="218"/>
      <c r="M558" s="218"/>
      <c r="N558" s="218"/>
    </row>
    <row r="559" spans="1:14" ht="14.25" customHeight="1" x14ac:dyDescent="0.25">
      <c r="A559" s="218"/>
      <c r="I559" s="218"/>
      <c r="J559" s="218"/>
      <c r="M559" s="218"/>
      <c r="N559" s="218"/>
    </row>
    <row r="560" spans="1:14" ht="14.25" customHeight="1" x14ac:dyDescent="0.25">
      <c r="A560" s="218"/>
      <c r="I560" s="218"/>
      <c r="J560" s="218"/>
      <c r="M560" s="218"/>
      <c r="N560" s="218"/>
    </row>
    <row r="561" spans="1:14" ht="14.25" customHeight="1" x14ac:dyDescent="0.25">
      <c r="A561" s="218"/>
      <c r="I561" s="218"/>
      <c r="J561" s="218"/>
      <c r="M561" s="218"/>
      <c r="N561" s="218"/>
    </row>
    <row r="562" spans="1:14" ht="14.25" customHeight="1" x14ac:dyDescent="0.25">
      <c r="A562" s="218"/>
      <c r="I562" s="218"/>
      <c r="J562" s="218"/>
      <c r="M562" s="218"/>
      <c r="N562" s="218"/>
    </row>
    <row r="563" spans="1:14" ht="14.25" customHeight="1" x14ac:dyDescent="0.25">
      <c r="A563" s="218"/>
      <c r="I563" s="218"/>
      <c r="J563" s="218"/>
      <c r="M563" s="218"/>
      <c r="N563" s="218"/>
    </row>
    <row r="564" spans="1:14" ht="14.25" customHeight="1" x14ac:dyDescent="0.25">
      <c r="A564" s="218"/>
      <c r="I564" s="218"/>
      <c r="J564" s="218"/>
      <c r="M564" s="218"/>
      <c r="N564" s="218"/>
    </row>
    <row r="565" spans="1:14" ht="14.25" customHeight="1" x14ac:dyDescent="0.25">
      <c r="A565" s="218"/>
      <c r="I565" s="218"/>
      <c r="J565" s="218"/>
      <c r="M565" s="218"/>
      <c r="N565" s="218"/>
    </row>
    <row r="566" spans="1:14" ht="14.25" customHeight="1" x14ac:dyDescent="0.25">
      <c r="A566" s="218"/>
      <c r="I566" s="218"/>
      <c r="J566" s="218"/>
      <c r="M566" s="218"/>
      <c r="N566" s="218"/>
    </row>
    <row r="567" spans="1:14" ht="14.25" customHeight="1" x14ac:dyDescent="0.25">
      <c r="A567" s="218"/>
      <c r="I567" s="218"/>
      <c r="J567" s="218"/>
      <c r="M567" s="218"/>
      <c r="N567" s="218"/>
    </row>
    <row r="568" spans="1:14" ht="14.25" customHeight="1" x14ac:dyDescent="0.25">
      <c r="A568" s="218"/>
      <c r="I568" s="218"/>
      <c r="J568" s="218"/>
      <c r="M568" s="218"/>
      <c r="N568" s="218"/>
    </row>
    <row r="569" spans="1:14" ht="14.25" customHeight="1" x14ac:dyDescent="0.25">
      <c r="A569" s="218"/>
      <c r="I569" s="218"/>
      <c r="J569" s="218"/>
      <c r="M569" s="218"/>
      <c r="N569" s="218"/>
    </row>
    <row r="570" spans="1:14" ht="14.25" customHeight="1" x14ac:dyDescent="0.25">
      <c r="A570" s="218"/>
      <c r="I570" s="218"/>
      <c r="J570" s="218"/>
      <c r="M570" s="218"/>
      <c r="N570" s="218"/>
    </row>
    <row r="571" spans="1:14" ht="14.25" customHeight="1" x14ac:dyDescent="0.25">
      <c r="A571" s="218"/>
      <c r="I571" s="218"/>
      <c r="J571" s="218"/>
      <c r="M571" s="218"/>
      <c r="N571" s="218"/>
    </row>
    <row r="572" spans="1:14" ht="14.25" customHeight="1" x14ac:dyDescent="0.25">
      <c r="A572" s="218"/>
      <c r="I572" s="218"/>
      <c r="J572" s="218"/>
      <c r="M572" s="218"/>
      <c r="N572" s="218"/>
    </row>
    <row r="573" spans="1:14" ht="14.25" customHeight="1" x14ac:dyDescent="0.25">
      <c r="A573" s="218"/>
      <c r="I573" s="218"/>
      <c r="J573" s="218"/>
      <c r="M573" s="218"/>
      <c r="N573" s="218"/>
    </row>
    <row r="574" spans="1:14" ht="14.25" customHeight="1" x14ac:dyDescent="0.25">
      <c r="A574" s="218"/>
      <c r="I574" s="218"/>
      <c r="J574" s="218"/>
      <c r="M574" s="218"/>
      <c r="N574" s="218"/>
    </row>
    <row r="575" spans="1:14" ht="14.25" customHeight="1" x14ac:dyDescent="0.25">
      <c r="A575" s="218"/>
      <c r="I575" s="218"/>
      <c r="J575" s="218"/>
      <c r="M575" s="218"/>
      <c r="N575" s="218"/>
    </row>
    <row r="576" spans="1:14" ht="14.25" customHeight="1" x14ac:dyDescent="0.25">
      <c r="A576" s="218"/>
      <c r="I576" s="218"/>
      <c r="J576" s="218"/>
      <c r="M576" s="218"/>
      <c r="N576" s="218"/>
    </row>
    <row r="577" spans="1:14" ht="14.25" customHeight="1" x14ac:dyDescent="0.25">
      <c r="A577" s="218"/>
      <c r="I577" s="218"/>
      <c r="J577" s="218"/>
      <c r="M577" s="218"/>
      <c r="N577" s="218"/>
    </row>
    <row r="578" spans="1:14" ht="14.25" customHeight="1" x14ac:dyDescent="0.25">
      <c r="A578" s="218"/>
      <c r="I578" s="218"/>
      <c r="J578" s="218"/>
      <c r="M578" s="218"/>
      <c r="N578" s="218"/>
    </row>
    <row r="579" spans="1:14" ht="14.25" customHeight="1" x14ac:dyDescent="0.25">
      <c r="A579" s="218"/>
      <c r="I579" s="218"/>
      <c r="J579" s="218"/>
      <c r="M579" s="218"/>
      <c r="N579" s="218"/>
    </row>
    <row r="580" spans="1:14" ht="14.25" customHeight="1" x14ac:dyDescent="0.25">
      <c r="A580" s="218"/>
      <c r="I580" s="218"/>
      <c r="J580" s="218"/>
      <c r="M580" s="218"/>
      <c r="N580" s="218"/>
    </row>
    <row r="581" spans="1:14" ht="14.25" customHeight="1" x14ac:dyDescent="0.25">
      <c r="A581" s="218"/>
      <c r="I581" s="218"/>
      <c r="J581" s="218"/>
      <c r="M581" s="218"/>
      <c r="N581" s="218"/>
    </row>
    <row r="582" spans="1:14" ht="14.25" customHeight="1" x14ac:dyDescent="0.25">
      <c r="A582" s="218"/>
      <c r="I582" s="218"/>
      <c r="J582" s="218"/>
      <c r="M582" s="218"/>
      <c r="N582" s="218"/>
    </row>
    <row r="583" spans="1:14" ht="14.25" customHeight="1" x14ac:dyDescent="0.25">
      <c r="A583" s="218"/>
      <c r="I583" s="218"/>
      <c r="J583" s="218"/>
      <c r="M583" s="218"/>
      <c r="N583" s="218"/>
    </row>
    <row r="584" spans="1:14" ht="14.25" customHeight="1" x14ac:dyDescent="0.25">
      <c r="A584" s="218"/>
      <c r="I584" s="218"/>
      <c r="J584" s="218"/>
      <c r="M584" s="218"/>
      <c r="N584" s="218"/>
    </row>
    <row r="585" spans="1:14" ht="14.25" customHeight="1" x14ac:dyDescent="0.25">
      <c r="A585" s="218"/>
      <c r="I585" s="218"/>
      <c r="J585" s="218"/>
      <c r="M585" s="218"/>
      <c r="N585" s="218"/>
    </row>
    <row r="586" spans="1:14" ht="14.25" customHeight="1" x14ac:dyDescent="0.25">
      <c r="A586" s="218"/>
      <c r="I586" s="218"/>
      <c r="J586" s="218"/>
      <c r="M586" s="218"/>
      <c r="N586" s="218"/>
    </row>
    <row r="587" spans="1:14" ht="14.25" customHeight="1" x14ac:dyDescent="0.25">
      <c r="A587" s="218"/>
      <c r="I587" s="218"/>
      <c r="J587" s="218"/>
      <c r="M587" s="218"/>
      <c r="N587" s="218"/>
    </row>
    <row r="588" spans="1:14" ht="14.25" customHeight="1" x14ac:dyDescent="0.25">
      <c r="A588" s="218"/>
      <c r="I588" s="218"/>
      <c r="J588" s="218"/>
      <c r="M588" s="218"/>
      <c r="N588" s="218"/>
    </row>
    <row r="589" spans="1:14" ht="14.25" customHeight="1" x14ac:dyDescent="0.25">
      <c r="A589" s="218"/>
      <c r="I589" s="218"/>
      <c r="J589" s="218"/>
      <c r="M589" s="218"/>
      <c r="N589" s="218"/>
    </row>
    <row r="590" spans="1:14" ht="14.25" customHeight="1" x14ac:dyDescent="0.25">
      <c r="A590" s="218"/>
      <c r="I590" s="218"/>
      <c r="J590" s="218"/>
      <c r="M590" s="218"/>
      <c r="N590" s="218"/>
    </row>
    <row r="591" spans="1:14" ht="14.25" customHeight="1" x14ac:dyDescent="0.25">
      <c r="A591" s="218"/>
      <c r="I591" s="218"/>
      <c r="J591" s="218"/>
      <c r="M591" s="218"/>
      <c r="N591" s="218"/>
    </row>
    <row r="592" spans="1:14" ht="14.25" customHeight="1" x14ac:dyDescent="0.25">
      <c r="A592" s="218"/>
      <c r="I592" s="218"/>
      <c r="J592" s="218"/>
      <c r="M592" s="218"/>
      <c r="N592" s="218"/>
    </row>
    <row r="593" spans="1:14" ht="14.25" customHeight="1" x14ac:dyDescent="0.25">
      <c r="A593" s="218"/>
      <c r="I593" s="218"/>
      <c r="J593" s="218"/>
      <c r="M593" s="218"/>
      <c r="N593" s="218"/>
    </row>
    <row r="594" spans="1:14" ht="14.25" customHeight="1" x14ac:dyDescent="0.25">
      <c r="A594" s="218"/>
      <c r="I594" s="218"/>
      <c r="J594" s="218"/>
      <c r="M594" s="218"/>
      <c r="N594" s="218"/>
    </row>
    <row r="595" spans="1:14" ht="14.25" customHeight="1" x14ac:dyDescent="0.25">
      <c r="A595" s="218"/>
      <c r="I595" s="218"/>
      <c r="J595" s="218"/>
      <c r="M595" s="218"/>
      <c r="N595" s="218"/>
    </row>
    <row r="596" spans="1:14" ht="14.25" customHeight="1" x14ac:dyDescent="0.25">
      <c r="A596" s="218"/>
      <c r="I596" s="218"/>
      <c r="J596" s="218"/>
      <c r="M596" s="218"/>
      <c r="N596" s="218"/>
    </row>
    <row r="597" spans="1:14" ht="14.25" customHeight="1" x14ac:dyDescent="0.25">
      <c r="A597" s="218"/>
      <c r="I597" s="218"/>
      <c r="J597" s="218"/>
      <c r="M597" s="218"/>
      <c r="N597" s="218"/>
    </row>
    <row r="598" spans="1:14" ht="14.25" customHeight="1" x14ac:dyDescent="0.25">
      <c r="A598" s="218"/>
      <c r="I598" s="218"/>
      <c r="J598" s="218"/>
      <c r="M598" s="218"/>
      <c r="N598" s="218"/>
    </row>
    <row r="599" spans="1:14" ht="14.25" customHeight="1" x14ac:dyDescent="0.25">
      <c r="A599" s="218"/>
      <c r="I599" s="218"/>
      <c r="J599" s="218"/>
      <c r="M599" s="218"/>
      <c r="N599" s="218"/>
    </row>
    <row r="600" spans="1:14" ht="14.25" customHeight="1" x14ac:dyDescent="0.25">
      <c r="A600" s="218"/>
      <c r="I600" s="218"/>
      <c r="J600" s="218"/>
      <c r="M600" s="218"/>
      <c r="N600" s="218"/>
    </row>
    <row r="601" spans="1:14" ht="14.25" customHeight="1" x14ac:dyDescent="0.25">
      <c r="A601" s="218"/>
      <c r="I601" s="218"/>
      <c r="J601" s="218"/>
      <c r="M601" s="218"/>
      <c r="N601" s="218"/>
    </row>
    <row r="602" spans="1:14" ht="14.25" customHeight="1" x14ac:dyDescent="0.25">
      <c r="A602" s="218"/>
      <c r="I602" s="218"/>
      <c r="J602" s="218"/>
      <c r="M602" s="218"/>
      <c r="N602" s="218"/>
    </row>
    <row r="603" spans="1:14" ht="14.25" customHeight="1" x14ac:dyDescent="0.25">
      <c r="A603" s="218"/>
      <c r="I603" s="218"/>
      <c r="J603" s="218"/>
      <c r="M603" s="218"/>
      <c r="N603" s="218"/>
    </row>
    <row r="604" spans="1:14" ht="14.25" customHeight="1" x14ac:dyDescent="0.25">
      <c r="A604" s="218"/>
      <c r="I604" s="218"/>
      <c r="J604" s="218"/>
      <c r="M604" s="218"/>
      <c r="N604" s="218"/>
    </row>
    <row r="605" spans="1:14" ht="14.25" customHeight="1" x14ac:dyDescent="0.25">
      <c r="A605" s="218"/>
      <c r="I605" s="218"/>
      <c r="J605" s="218"/>
      <c r="M605" s="218"/>
      <c r="N605" s="218"/>
    </row>
    <row r="606" spans="1:14" ht="14.25" customHeight="1" x14ac:dyDescent="0.25">
      <c r="A606" s="218"/>
      <c r="I606" s="218"/>
      <c r="J606" s="218"/>
      <c r="M606" s="218"/>
      <c r="N606" s="218"/>
    </row>
    <row r="607" spans="1:14" ht="14.25" customHeight="1" x14ac:dyDescent="0.25">
      <c r="A607" s="218"/>
      <c r="I607" s="218"/>
      <c r="J607" s="218"/>
      <c r="M607" s="218"/>
      <c r="N607" s="218"/>
    </row>
    <row r="608" spans="1:14" ht="14.25" customHeight="1" x14ac:dyDescent="0.25">
      <c r="A608" s="218"/>
      <c r="I608" s="218"/>
      <c r="J608" s="218"/>
      <c r="M608" s="218"/>
      <c r="N608" s="218"/>
    </row>
    <row r="609" spans="1:14" ht="14.25" customHeight="1" x14ac:dyDescent="0.25">
      <c r="A609" s="218"/>
      <c r="I609" s="218"/>
      <c r="J609" s="218"/>
      <c r="M609" s="218"/>
      <c r="N609" s="218"/>
    </row>
    <row r="610" spans="1:14" ht="14.25" customHeight="1" x14ac:dyDescent="0.25">
      <c r="A610" s="218"/>
      <c r="I610" s="218"/>
      <c r="J610" s="218"/>
      <c r="M610" s="218"/>
      <c r="N610" s="218"/>
    </row>
    <row r="611" spans="1:14" ht="14.25" customHeight="1" x14ac:dyDescent="0.25">
      <c r="A611" s="218"/>
      <c r="I611" s="218"/>
      <c r="J611" s="218"/>
      <c r="M611" s="218"/>
      <c r="N611" s="218"/>
    </row>
    <row r="612" spans="1:14" ht="14.25" customHeight="1" x14ac:dyDescent="0.25">
      <c r="A612" s="218"/>
      <c r="I612" s="218"/>
      <c r="J612" s="218"/>
      <c r="M612" s="218"/>
      <c r="N612" s="218"/>
    </row>
    <row r="613" spans="1:14" ht="14.25" customHeight="1" x14ac:dyDescent="0.25">
      <c r="A613" s="218"/>
      <c r="I613" s="218"/>
      <c r="J613" s="218"/>
      <c r="M613" s="218"/>
      <c r="N613" s="218"/>
    </row>
    <row r="614" spans="1:14" ht="14.25" customHeight="1" x14ac:dyDescent="0.25">
      <c r="A614" s="218"/>
      <c r="I614" s="218"/>
      <c r="J614" s="218"/>
      <c r="M614" s="218"/>
      <c r="N614" s="218"/>
    </row>
    <row r="615" spans="1:14" ht="14.25" customHeight="1" x14ac:dyDescent="0.25">
      <c r="A615" s="218"/>
      <c r="I615" s="218"/>
      <c r="J615" s="218"/>
      <c r="M615" s="218"/>
      <c r="N615" s="218"/>
    </row>
    <row r="616" spans="1:14" ht="14.25" customHeight="1" x14ac:dyDescent="0.25">
      <c r="A616" s="218"/>
      <c r="I616" s="218"/>
      <c r="J616" s="218"/>
      <c r="M616" s="218"/>
      <c r="N616" s="218"/>
    </row>
    <row r="617" spans="1:14" ht="14.25" customHeight="1" x14ac:dyDescent="0.25">
      <c r="A617" s="218"/>
      <c r="I617" s="218"/>
      <c r="J617" s="218"/>
      <c r="M617" s="218"/>
      <c r="N617" s="218"/>
    </row>
    <row r="618" spans="1:14" ht="14.25" customHeight="1" x14ac:dyDescent="0.25">
      <c r="A618" s="218"/>
      <c r="I618" s="218"/>
      <c r="J618" s="218"/>
      <c r="M618" s="218"/>
      <c r="N618" s="218"/>
    </row>
    <row r="619" spans="1:14" ht="14.25" customHeight="1" x14ac:dyDescent="0.25">
      <c r="A619" s="218"/>
      <c r="I619" s="218"/>
      <c r="J619" s="218"/>
      <c r="M619" s="218"/>
      <c r="N619" s="218"/>
    </row>
    <row r="620" spans="1:14" ht="14.25" customHeight="1" x14ac:dyDescent="0.25">
      <c r="A620" s="218"/>
      <c r="I620" s="218"/>
      <c r="J620" s="218"/>
      <c r="M620" s="218"/>
      <c r="N620" s="218"/>
    </row>
    <row r="621" spans="1:14" ht="14.25" customHeight="1" x14ac:dyDescent="0.25">
      <c r="A621" s="218"/>
      <c r="I621" s="218"/>
      <c r="J621" s="218"/>
      <c r="M621" s="218"/>
      <c r="N621" s="218"/>
    </row>
    <row r="622" spans="1:14" ht="14.25" customHeight="1" x14ac:dyDescent="0.25">
      <c r="A622" s="218"/>
      <c r="I622" s="218"/>
      <c r="J622" s="218"/>
      <c r="M622" s="218"/>
      <c r="N622" s="218"/>
    </row>
    <row r="623" spans="1:14" ht="14.25" customHeight="1" x14ac:dyDescent="0.25">
      <c r="A623" s="218"/>
      <c r="I623" s="218"/>
      <c r="J623" s="218"/>
      <c r="M623" s="218"/>
      <c r="N623" s="218"/>
    </row>
    <row r="624" spans="1:14" ht="14.25" customHeight="1" x14ac:dyDescent="0.25">
      <c r="A624" s="218"/>
      <c r="I624" s="218"/>
      <c r="J624" s="218"/>
      <c r="M624" s="218"/>
      <c r="N624" s="218"/>
    </row>
    <row r="625" spans="1:14" ht="14.25" customHeight="1" x14ac:dyDescent="0.25">
      <c r="A625" s="218"/>
      <c r="I625" s="218"/>
      <c r="J625" s="218"/>
      <c r="M625" s="218"/>
      <c r="N625" s="218"/>
    </row>
    <row r="626" spans="1:14" ht="14.25" customHeight="1" x14ac:dyDescent="0.25">
      <c r="A626" s="218"/>
      <c r="I626" s="218"/>
      <c r="J626" s="218"/>
      <c r="M626" s="218"/>
      <c r="N626" s="218"/>
    </row>
    <row r="627" spans="1:14" ht="14.25" customHeight="1" x14ac:dyDescent="0.25">
      <c r="A627" s="218"/>
      <c r="I627" s="218"/>
      <c r="J627" s="218"/>
      <c r="M627" s="218"/>
      <c r="N627" s="218"/>
    </row>
    <row r="628" spans="1:14" ht="14.25" customHeight="1" x14ac:dyDescent="0.25">
      <c r="A628" s="218"/>
      <c r="I628" s="218"/>
      <c r="J628" s="218"/>
      <c r="M628" s="218"/>
      <c r="N628" s="218"/>
    </row>
    <row r="629" spans="1:14" ht="14.25" customHeight="1" x14ac:dyDescent="0.25">
      <c r="A629" s="218"/>
      <c r="I629" s="218"/>
      <c r="J629" s="218"/>
      <c r="M629" s="218"/>
      <c r="N629" s="218"/>
    </row>
    <row r="630" spans="1:14" ht="14.25" customHeight="1" x14ac:dyDescent="0.25">
      <c r="A630" s="218"/>
      <c r="I630" s="218"/>
      <c r="J630" s="218"/>
      <c r="M630" s="218"/>
      <c r="N630" s="218"/>
    </row>
    <row r="631" spans="1:14" ht="14.25" customHeight="1" x14ac:dyDescent="0.25">
      <c r="A631" s="218"/>
      <c r="I631" s="218"/>
      <c r="J631" s="218"/>
      <c r="M631" s="218"/>
      <c r="N631" s="218"/>
    </row>
    <row r="632" spans="1:14" ht="14.25" customHeight="1" x14ac:dyDescent="0.25">
      <c r="A632" s="218"/>
      <c r="I632" s="218"/>
      <c r="J632" s="218"/>
      <c r="M632" s="218"/>
      <c r="N632" s="218"/>
    </row>
    <row r="633" spans="1:14" ht="14.25" customHeight="1" x14ac:dyDescent="0.25">
      <c r="A633" s="218"/>
      <c r="I633" s="218"/>
      <c r="J633" s="218"/>
      <c r="M633" s="218"/>
      <c r="N633" s="218"/>
    </row>
    <row r="634" spans="1:14" ht="14.25" customHeight="1" x14ac:dyDescent="0.25">
      <c r="A634" s="218"/>
      <c r="I634" s="218"/>
      <c r="J634" s="218"/>
      <c r="M634" s="218"/>
      <c r="N634" s="218"/>
    </row>
    <row r="635" spans="1:14" ht="14.25" customHeight="1" x14ac:dyDescent="0.25">
      <c r="A635" s="218"/>
      <c r="I635" s="218"/>
      <c r="J635" s="218"/>
      <c r="M635" s="218"/>
      <c r="N635" s="218"/>
    </row>
    <row r="636" spans="1:14" ht="14.25" customHeight="1" x14ac:dyDescent="0.25">
      <c r="A636" s="218"/>
      <c r="I636" s="218"/>
      <c r="J636" s="218"/>
      <c r="M636" s="218"/>
      <c r="N636" s="218"/>
    </row>
    <row r="637" spans="1:14" ht="14.25" customHeight="1" x14ac:dyDescent="0.25">
      <c r="A637" s="218"/>
      <c r="I637" s="218"/>
      <c r="J637" s="218"/>
      <c r="M637" s="218"/>
      <c r="N637" s="218"/>
    </row>
    <row r="638" spans="1:14" ht="14.25" customHeight="1" x14ac:dyDescent="0.25">
      <c r="A638" s="218"/>
      <c r="I638" s="218"/>
      <c r="J638" s="218"/>
      <c r="M638" s="218"/>
      <c r="N638" s="218"/>
    </row>
    <row r="639" spans="1:14" ht="14.25" customHeight="1" x14ac:dyDescent="0.25">
      <c r="A639" s="218"/>
      <c r="I639" s="218"/>
      <c r="J639" s="218"/>
      <c r="M639" s="218"/>
      <c r="N639" s="218"/>
    </row>
    <row r="640" spans="1:14" ht="14.25" customHeight="1" x14ac:dyDescent="0.25">
      <c r="A640" s="218"/>
      <c r="I640" s="218"/>
      <c r="J640" s="218"/>
      <c r="M640" s="218"/>
      <c r="N640" s="218"/>
    </row>
    <row r="641" spans="1:14" ht="14.25" customHeight="1" x14ac:dyDescent="0.25">
      <c r="A641" s="218"/>
      <c r="I641" s="218"/>
      <c r="J641" s="218"/>
      <c r="M641" s="218"/>
      <c r="N641" s="218"/>
    </row>
    <row r="642" spans="1:14" ht="14.25" customHeight="1" x14ac:dyDescent="0.25">
      <c r="A642" s="218"/>
      <c r="I642" s="218"/>
      <c r="J642" s="218"/>
      <c r="M642" s="218"/>
      <c r="N642" s="218"/>
    </row>
    <row r="643" spans="1:14" ht="14.25" customHeight="1" x14ac:dyDescent="0.25">
      <c r="A643" s="218"/>
      <c r="I643" s="218"/>
      <c r="J643" s="218"/>
      <c r="M643" s="218"/>
      <c r="N643" s="218"/>
    </row>
    <row r="644" spans="1:14" ht="14.25" customHeight="1" x14ac:dyDescent="0.25">
      <c r="A644" s="218"/>
      <c r="I644" s="218"/>
      <c r="J644" s="218"/>
      <c r="M644" s="218"/>
      <c r="N644" s="218"/>
    </row>
    <row r="645" spans="1:14" ht="14.25" customHeight="1" x14ac:dyDescent="0.25">
      <c r="A645" s="218"/>
      <c r="I645" s="218"/>
      <c r="J645" s="218"/>
      <c r="M645" s="218"/>
      <c r="N645" s="218"/>
    </row>
    <row r="646" spans="1:14" ht="14.25" customHeight="1" x14ac:dyDescent="0.25">
      <c r="A646" s="218"/>
      <c r="I646" s="218"/>
      <c r="J646" s="218"/>
      <c r="M646" s="218"/>
      <c r="N646" s="218"/>
    </row>
    <row r="647" spans="1:14" ht="14.25" customHeight="1" x14ac:dyDescent="0.25">
      <c r="A647" s="218"/>
      <c r="I647" s="218"/>
      <c r="J647" s="218"/>
      <c r="M647" s="218"/>
      <c r="N647" s="218"/>
    </row>
    <row r="648" spans="1:14" ht="14.25" customHeight="1" x14ac:dyDescent="0.25">
      <c r="A648" s="218"/>
      <c r="I648" s="218"/>
      <c r="J648" s="218"/>
      <c r="M648" s="218"/>
      <c r="N648" s="218"/>
    </row>
    <row r="649" spans="1:14" ht="14.25" customHeight="1" x14ac:dyDescent="0.25">
      <c r="A649" s="218"/>
      <c r="I649" s="218"/>
      <c r="J649" s="218"/>
      <c r="M649" s="218"/>
      <c r="N649" s="218"/>
    </row>
    <row r="650" spans="1:14" ht="14.25" customHeight="1" x14ac:dyDescent="0.25">
      <c r="A650" s="218"/>
      <c r="I650" s="218"/>
      <c r="J650" s="218"/>
      <c r="M650" s="218"/>
      <c r="N650" s="218"/>
    </row>
    <row r="651" spans="1:14" ht="14.25" customHeight="1" x14ac:dyDescent="0.25">
      <c r="A651" s="218"/>
      <c r="I651" s="218"/>
      <c r="J651" s="218"/>
      <c r="M651" s="218"/>
      <c r="N651" s="218"/>
    </row>
    <row r="652" spans="1:14" ht="14.25" customHeight="1" x14ac:dyDescent="0.25">
      <c r="A652" s="218"/>
      <c r="I652" s="218"/>
      <c r="J652" s="218"/>
      <c r="M652" s="218"/>
      <c r="N652" s="218"/>
    </row>
    <row r="653" spans="1:14" ht="14.25" customHeight="1" x14ac:dyDescent="0.25">
      <c r="A653" s="218"/>
      <c r="I653" s="218"/>
      <c r="J653" s="218"/>
      <c r="M653" s="218"/>
      <c r="N653" s="218"/>
    </row>
    <row r="654" spans="1:14" ht="14.25" customHeight="1" x14ac:dyDescent="0.25">
      <c r="A654" s="218"/>
      <c r="I654" s="218"/>
      <c r="J654" s="218"/>
      <c r="M654" s="218"/>
      <c r="N654" s="218"/>
    </row>
    <row r="655" spans="1:14" ht="14.25" customHeight="1" x14ac:dyDescent="0.25">
      <c r="A655" s="218"/>
      <c r="I655" s="218"/>
      <c r="J655" s="218"/>
      <c r="M655" s="218"/>
      <c r="N655" s="218"/>
    </row>
    <row r="656" spans="1:14" ht="14.25" customHeight="1" x14ac:dyDescent="0.25">
      <c r="A656" s="218"/>
      <c r="I656" s="218"/>
      <c r="J656" s="218"/>
      <c r="M656" s="218"/>
      <c r="N656" s="218"/>
    </row>
    <row r="657" spans="1:14" ht="14.25" customHeight="1" x14ac:dyDescent="0.25">
      <c r="A657" s="218"/>
      <c r="I657" s="218"/>
      <c r="J657" s="218"/>
      <c r="M657" s="218"/>
      <c r="N657" s="218"/>
    </row>
    <row r="658" spans="1:14" ht="14.25" customHeight="1" x14ac:dyDescent="0.25">
      <c r="A658" s="218"/>
      <c r="I658" s="218"/>
      <c r="J658" s="218"/>
      <c r="M658" s="218"/>
      <c r="N658" s="218"/>
    </row>
    <row r="659" spans="1:14" ht="14.25" customHeight="1" x14ac:dyDescent="0.25">
      <c r="A659" s="218"/>
      <c r="I659" s="218"/>
      <c r="J659" s="218"/>
      <c r="M659" s="218"/>
      <c r="N659" s="218"/>
    </row>
    <row r="660" spans="1:14" ht="14.25" customHeight="1" x14ac:dyDescent="0.25">
      <c r="A660" s="218"/>
      <c r="I660" s="218"/>
      <c r="J660" s="218"/>
      <c r="M660" s="218"/>
      <c r="N660" s="218"/>
    </row>
    <row r="661" spans="1:14" ht="14.25" customHeight="1" x14ac:dyDescent="0.25">
      <c r="A661" s="218"/>
      <c r="I661" s="218"/>
      <c r="J661" s="218"/>
      <c r="M661" s="218"/>
      <c r="N661" s="218"/>
    </row>
    <row r="662" spans="1:14" ht="14.25" customHeight="1" x14ac:dyDescent="0.25">
      <c r="A662" s="218"/>
      <c r="I662" s="218"/>
      <c r="J662" s="218"/>
      <c r="M662" s="218"/>
      <c r="N662" s="218"/>
    </row>
    <row r="663" spans="1:14" ht="14.25" customHeight="1" x14ac:dyDescent="0.25">
      <c r="A663" s="218"/>
      <c r="I663" s="218"/>
      <c r="J663" s="218"/>
      <c r="M663" s="218"/>
      <c r="N663" s="218"/>
    </row>
    <row r="664" spans="1:14" ht="14.25" customHeight="1" x14ac:dyDescent="0.25">
      <c r="A664" s="218"/>
      <c r="I664" s="218"/>
      <c r="J664" s="218"/>
      <c r="M664" s="218"/>
      <c r="N664" s="218"/>
    </row>
    <row r="665" spans="1:14" ht="14.25" customHeight="1" x14ac:dyDescent="0.25">
      <c r="A665" s="218"/>
      <c r="I665" s="218"/>
      <c r="J665" s="218"/>
      <c r="M665" s="218"/>
      <c r="N665" s="218"/>
    </row>
    <row r="666" spans="1:14" ht="14.25" customHeight="1" x14ac:dyDescent="0.25">
      <c r="A666" s="218"/>
      <c r="I666" s="218"/>
      <c r="J666" s="218"/>
      <c r="M666" s="218"/>
      <c r="N666" s="218"/>
    </row>
    <row r="667" spans="1:14" ht="14.25" customHeight="1" x14ac:dyDescent="0.25">
      <c r="A667" s="218"/>
      <c r="I667" s="218"/>
      <c r="J667" s="218"/>
      <c r="M667" s="218"/>
      <c r="N667" s="218"/>
    </row>
    <row r="668" spans="1:14" ht="14.25" customHeight="1" x14ac:dyDescent="0.25">
      <c r="A668" s="218"/>
      <c r="I668" s="218"/>
      <c r="J668" s="218"/>
      <c r="M668" s="218"/>
      <c r="N668" s="218"/>
    </row>
    <row r="669" spans="1:14" ht="14.25" customHeight="1" x14ac:dyDescent="0.25">
      <c r="A669" s="218"/>
      <c r="I669" s="218"/>
      <c r="J669" s="218"/>
      <c r="M669" s="218"/>
      <c r="N669" s="218"/>
    </row>
    <row r="670" spans="1:14" ht="14.25" customHeight="1" x14ac:dyDescent="0.25">
      <c r="A670" s="218"/>
      <c r="I670" s="218"/>
      <c r="J670" s="218"/>
      <c r="M670" s="218"/>
      <c r="N670" s="218"/>
    </row>
    <row r="671" spans="1:14" ht="14.25" customHeight="1" x14ac:dyDescent="0.25">
      <c r="A671" s="218"/>
      <c r="I671" s="218"/>
      <c r="J671" s="218"/>
      <c r="M671" s="218"/>
      <c r="N671" s="218"/>
    </row>
    <row r="672" spans="1:14" ht="14.25" customHeight="1" x14ac:dyDescent="0.25">
      <c r="A672" s="218"/>
      <c r="I672" s="218"/>
      <c r="J672" s="218"/>
      <c r="M672" s="218"/>
      <c r="N672" s="218"/>
    </row>
    <row r="673" spans="1:14" ht="14.25" customHeight="1" x14ac:dyDescent="0.25">
      <c r="A673" s="218"/>
      <c r="I673" s="218"/>
      <c r="J673" s="218"/>
      <c r="M673" s="218"/>
      <c r="N673" s="218"/>
    </row>
    <row r="674" spans="1:14" ht="14.25" customHeight="1" x14ac:dyDescent="0.25">
      <c r="A674" s="218"/>
      <c r="I674" s="218"/>
      <c r="J674" s="218"/>
      <c r="M674" s="218"/>
      <c r="N674" s="218"/>
    </row>
    <row r="675" spans="1:14" ht="14.25" customHeight="1" x14ac:dyDescent="0.25">
      <c r="A675" s="218"/>
      <c r="I675" s="218"/>
      <c r="J675" s="218"/>
      <c r="M675" s="218"/>
      <c r="N675" s="218"/>
    </row>
    <row r="676" spans="1:14" ht="14.25" customHeight="1" x14ac:dyDescent="0.25">
      <c r="A676" s="218"/>
      <c r="I676" s="218"/>
      <c r="J676" s="218"/>
      <c r="M676" s="218"/>
      <c r="N676" s="218"/>
    </row>
    <row r="677" spans="1:14" ht="14.25" customHeight="1" x14ac:dyDescent="0.25">
      <c r="A677" s="218"/>
      <c r="I677" s="218"/>
      <c r="J677" s="218"/>
      <c r="M677" s="218"/>
      <c r="N677" s="218"/>
    </row>
    <row r="678" spans="1:14" ht="14.25" customHeight="1" x14ac:dyDescent="0.25">
      <c r="A678" s="218"/>
      <c r="I678" s="218"/>
      <c r="J678" s="218"/>
      <c r="M678" s="218"/>
      <c r="N678" s="218"/>
    </row>
    <row r="679" spans="1:14" ht="14.25" customHeight="1" x14ac:dyDescent="0.25">
      <c r="A679" s="218"/>
      <c r="I679" s="218"/>
      <c r="J679" s="218"/>
      <c r="M679" s="218"/>
      <c r="N679" s="218"/>
    </row>
    <row r="680" spans="1:14" ht="14.25" customHeight="1" x14ac:dyDescent="0.25">
      <c r="A680" s="218"/>
      <c r="I680" s="218"/>
      <c r="J680" s="218"/>
      <c r="M680" s="218"/>
      <c r="N680" s="218"/>
    </row>
    <row r="681" spans="1:14" ht="14.25" customHeight="1" x14ac:dyDescent="0.25">
      <c r="A681" s="218"/>
      <c r="I681" s="218"/>
      <c r="J681" s="218"/>
      <c r="M681" s="218"/>
      <c r="N681" s="218"/>
    </row>
    <row r="682" spans="1:14" ht="14.25" customHeight="1" x14ac:dyDescent="0.25">
      <c r="A682" s="218"/>
      <c r="I682" s="218"/>
      <c r="J682" s="218"/>
      <c r="M682" s="218"/>
      <c r="N682" s="218"/>
    </row>
    <row r="683" spans="1:14" ht="14.25" customHeight="1" x14ac:dyDescent="0.25">
      <c r="A683" s="218"/>
      <c r="I683" s="218"/>
      <c r="J683" s="218"/>
      <c r="M683" s="218"/>
      <c r="N683" s="218"/>
    </row>
    <row r="684" spans="1:14" ht="14.25" customHeight="1" x14ac:dyDescent="0.25">
      <c r="A684" s="218"/>
      <c r="I684" s="218"/>
      <c r="J684" s="218"/>
      <c r="M684" s="218"/>
      <c r="N684" s="218"/>
    </row>
    <row r="685" spans="1:14" ht="14.25" customHeight="1" x14ac:dyDescent="0.25">
      <c r="A685" s="218"/>
      <c r="I685" s="218"/>
      <c r="J685" s="218"/>
      <c r="M685" s="218"/>
      <c r="N685" s="218"/>
    </row>
    <row r="686" spans="1:14" ht="14.25" customHeight="1" x14ac:dyDescent="0.25">
      <c r="A686" s="218"/>
      <c r="I686" s="218"/>
      <c r="J686" s="218"/>
      <c r="M686" s="218"/>
      <c r="N686" s="218"/>
    </row>
    <row r="687" spans="1:14" ht="14.25" customHeight="1" x14ac:dyDescent="0.25">
      <c r="A687" s="218"/>
      <c r="I687" s="218"/>
      <c r="J687" s="218"/>
      <c r="M687" s="218"/>
      <c r="N687" s="218"/>
    </row>
    <row r="688" spans="1:14" ht="14.25" customHeight="1" x14ac:dyDescent="0.25">
      <c r="A688" s="218"/>
      <c r="I688" s="218"/>
      <c r="J688" s="218"/>
      <c r="M688" s="218"/>
      <c r="N688" s="218"/>
    </row>
    <row r="689" spans="1:14" ht="14.25" customHeight="1" x14ac:dyDescent="0.25">
      <c r="A689" s="218"/>
      <c r="I689" s="218"/>
      <c r="J689" s="218"/>
      <c r="M689" s="218"/>
      <c r="N689" s="218"/>
    </row>
    <row r="690" spans="1:14" ht="14.25" customHeight="1" x14ac:dyDescent="0.25">
      <c r="A690" s="218"/>
      <c r="I690" s="218"/>
      <c r="J690" s="218"/>
      <c r="M690" s="218"/>
      <c r="N690" s="218"/>
    </row>
    <row r="691" spans="1:14" ht="14.25" customHeight="1" x14ac:dyDescent="0.25">
      <c r="A691" s="218"/>
      <c r="I691" s="218"/>
      <c r="J691" s="218"/>
      <c r="M691" s="218"/>
      <c r="N691" s="218"/>
    </row>
    <row r="692" spans="1:14" ht="14.25" customHeight="1" x14ac:dyDescent="0.25">
      <c r="A692" s="218"/>
      <c r="I692" s="218"/>
      <c r="J692" s="218"/>
      <c r="M692" s="218"/>
      <c r="N692" s="218"/>
    </row>
    <row r="693" spans="1:14" ht="14.25" customHeight="1" x14ac:dyDescent="0.25">
      <c r="A693" s="218"/>
      <c r="I693" s="218"/>
      <c r="J693" s="218"/>
      <c r="M693" s="218"/>
      <c r="N693" s="218"/>
    </row>
    <row r="694" spans="1:14" ht="14.25" customHeight="1" x14ac:dyDescent="0.25">
      <c r="A694" s="218"/>
      <c r="I694" s="218"/>
      <c r="J694" s="218"/>
      <c r="M694" s="218"/>
      <c r="N694" s="218"/>
    </row>
    <row r="695" spans="1:14" ht="14.25" customHeight="1" x14ac:dyDescent="0.25">
      <c r="A695" s="218"/>
      <c r="I695" s="218"/>
      <c r="J695" s="218"/>
      <c r="M695" s="218"/>
      <c r="N695" s="218"/>
    </row>
    <row r="696" spans="1:14" ht="14.25" customHeight="1" x14ac:dyDescent="0.25">
      <c r="A696" s="218"/>
      <c r="I696" s="218"/>
      <c r="J696" s="218"/>
      <c r="M696" s="218"/>
      <c r="N696" s="218"/>
    </row>
    <row r="697" spans="1:14" ht="14.25" customHeight="1" x14ac:dyDescent="0.25">
      <c r="A697" s="218"/>
      <c r="I697" s="218"/>
      <c r="J697" s="218"/>
      <c r="M697" s="218"/>
      <c r="N697" s="218"/>
    </row>
    <row r="698" spans="1:14" ht="14.25" customHeight="1" x14ac:dyDescent="0.25">
      <c r="A698" s="218"/>
      <c r="I698" s="218"/>
      <c r="J698" s="218"/>
      <c r="M698" s="218"/>
      <c r="N698" s="218"/>
    </row>
    <row r="699" spans="1:14" ht="14.25" customHeight="1" x14ac:dyDescent="0.25">
      <c r="A699" s="218"/>
      <c r="I699" s="218"/>
      <c r="J699" s="218"/>
      <c r="M699" s="218"/>
      <c r="N699" s="218"/>
    </row>
    <row r="700" spans="1:14" ht="14.25" customHeight="1" x14ac:dyDescent="0.25">
      <c r="A700" s="218"/>
      <c r="I700" s="218"/>
      <c r="J700" s="218"/>
      <c r="M700" s="218"/>
      <c r="N700" s="218"/>
    </row>
    <row r="701" spans="1:14" ht="14.25" customHeight="1" x14ac:dyDescent="0.25">
      <c r="A701" s="218"/>
      <c r="I701" s="218"/>
      <c r="J701" s="218"/>
      <c r="M701" s="218"/>
      <c r="N701" s="218"/>
    </row>
    <row r="702" spans="1:14" ht="14.25" customHeight="1" x14ac:dyDescent="0.25">
      <c r="A702" s="218"/>
      <c r="I702" s="218"/>
      <c r="J702" s="218"/>
      <c r="M702" s="218"/>
      <c r="N702" s="218"/>
    </row>
    <row r="703" spans="1:14" ht="14.25" customHeight="1" x14ac:dyDescent="0.25">
      <c r="A703" s="218"/>
      <c r="I703" s="218"/>
      <c r="J703" s="218"/>
      <c r="M703" s="218"/>
      <c r="N703" s="218"/>
    </row>
    <row r="704" spans="1:14" ht="14.25" customHeight="1" x14ac:dyDescent="0.25">
      <c r="A704" s="218"/>
      <c r="I704" s="218"/>
      <c r="J704" s="218"/>
      <c r="M704" s="218"/>
      <c r="N704" s="218"/>
    </row>
    <row r="705" spans="1:14" ht="14.25" customHeight="1" x14ac:dyDescent="0.25">
      <c r="A705" s="218"/>
      <c r="I705" s="218"/>
      <c r="J705" s="218"/>
      <c r="M705" s="218"/>
      <c r="N705" s="218"/>
    </row>
    <row r="706" spans="1:14" ht="14.25" customHeight="1" x14ac:dyDescent="0.25">
      <c r="A706" s="218"/>
      <c r="I706" s="218"/>
      <c r="J706" s="218"/>
      <c r="M706" s="218"/>
      <c r="N706" s="218"/>
    </row>
    <row r="707" spans="1:14" ht="14.25" customHeight="1" x14ac:dyDescent="0.25">
      <c r="A707" s="218"/>
      <c r="I707" s="218"/>
      <c r="J707" s="218"/>
      <c r="M707" s="218"/>
      <c r="N707" s="218"/>
    </row>
    <row r="708" spans="1:14" ht="14.25" customHeight="1" x14ac:dyDescent="0.25">
      <c r="A708" s="218"/>
      <c r="I708" s="218"/>
      <c r="J708" s="218"/>
      <c r="M708" s="218"/>
      <c r="N708" s="218"/>
    </row>
    <row r="709" spans="1:14" ht="14.25" customHeight="1" x14ac:dyDescent="0.25">
      <c r="A709" s="218"/>
      <c r="I709" s="218"/>
      <c r="J709" s="218"/>
      <c r="M709" s="218"/>
      <c r="N709" s="218"/>
    </row>
    <row r="710" spans="1:14" ht="14.25" customHeight="1" x14ac:dyDescent="0.25">
      <c r="A710" s="218"/>
      <c r="I710" s="218"/>
      <c r="J710" s="218"/>
      <c r="M710" s="218"/>
      <c r="N710" s="218"/>
    </row>
    <row r="711" spans="1:14" ht="14.25" customHeight="1" x14ac:dyDescent="0.25">
      <c r="A711" s="218"/>
      <c r="I711" s="218"/>
      <c r="J711" s="218"/>
      <c r="M711" s="218"/>
      <c r="N711" s="218"/>
    </row>
    <row r="712" spans="1:14" ht="14.25" customHeight="1" x14ac:dyDescent="0.25">
      <c r="A712" s="218"/>
      <c r="I712" s="218"/>
      <c r="J712" s="218"/>
      <c r="M712" s="218"/>
      <c r="N712" s="218"/>
    </row>
    <row r="713" spans="1:14" ht="14.25" customHeight="1" x14ac:dyDescent="0.25">
      <c r="A713" s="218"/>
      <c r="I713" s="218"/>
      <c r="J713" s="218"/>
      <c r="M713" s="218"/>
      <c r="N713" s="218"/>
    </row>
    <row r="714" spans="1:14" ht="14.25" customHeight="1" x14ac:dyDescent="0.25">
      <c r="A714" s="218"/>
      <c r="I714" s="218"/>
      <c r="J714" s="218"/>
      <c r="M714" s="218"/>
      <c r="N714" s="218"/>
    </row>
    <row r="715" spans="1:14" ht="14.25" customHeight="1" x14ac:dyDescent="0.25">
      <c r="A715" s="218"/>
      <c r="I715" s="218"/>
      <c r="J715" s="218"/>
      <c r="M715" s="218"/>
      <c r="N715" s="218"/>
    </row>
    <row r="716" spans="1:14" ht="14.25" customHeight="1" x14ac:dyDescent="0.25">
      <c r="A716" s="218"/>
      <c r="I716" s="218"/>
      <c r="J716" s="218"/>
      <c r="M716" s="218"/>
      <c r="N716" s="218"/>
    </row>
    <row r="717" spans="1:14" ht="14.25" customHeight="1" x14ac:dyDescent="0.25">
      <c r="A717" s="218"/>
      <c r="I717" s="218"/>
      <c r="J717" s="218"/>
      <c r="M717" s="218"/>
      <c r="N717" s="218"/>
    </row>
    <row r="718" spans="1:14" ht="14.25" customHeight="1" x14ac:dyDescent="0.25">
      <c r="A718" s="218"/>
      <c r="I718" s="218"/>
      <c r="J718" s="218"/>
      <c r="M718" s="218"/>
      <c r="N718" s="218"/>
    </row>
    <row r="719" spans="1:14" ht="14.25" customHeight="1" x14ac:dyDescent="0.25">
      <c r="A719" s="218"/>
      <c r="I719" s="218"/>
      <c r="J719" s="218"/>
      <c r="M719" s="218"/>
      <c r="N719" s="218"/>
    </row>
    <row r="720" spans="1:14" ht="14.25" customHeight="1" x14ac:dyDescent="0.25">
      <c r="A720" s="218"/>
      <c r="I720" s="218"/>
      <c r="J720" s="218"/>
      <c r="M720" s="218"/>
      <c r="N720" s="218"/>
    </row>
    <row r="721" spans="1:14" ht="14.25" customHeight="1" x14ac:dyDescent="0.25">
      <c r="A721" s="218"/>
      <c r="I721" s="218"/>
      <c r="J721" s="218"/>
      <c r="M721" s="218"/>
      <c r="N721" s="218"/>
    </row>
    <row r="722" spans="1:14" ht="14.25" customHeight="1" x14ac:dyDescent="0.25">
      <c r="A722" s="218"/>
      <c r="I722" s="218"/>
      <c r="J722" s="218"/>
      <c r="M722" s="218"/>
      <c r="N722" s="218"/>
    </row>
    <row r="723" spans="1:14" ht="14.25" customHeight="1" x14ac:dyDescent="0.25">
      <c r="A723" s="218"/>
      <c r="I723" s="218"/>
      <c r="J723" s="218"/>
      <c r="M723" s="218"/>
      <c r="N723" s="218"/>
    </row>
    <row r="724" spans="1:14" ht="14.25" customHeight="1" x14ac:dyDescent="0.25">
      <c r="A724" s="218"/>
      <c r="I724" s="218"/>
      <c r="J724" s="218"/>
      <c r="M724" s="218"/>
      <c r="N724" s="218"/>
    </row>
    <row r="725" spans="1:14" ht="14.25" customHeight="1" x14ac:dyDescent="0.25">
      <c r="A725" s="218"/>
      <c r="I725" s="218"/>
      <c r="J725" s="218"/>
      <c r="M725" s="218"/>
      <c r="N725" s="218"/>
    </row>
    <row r="726" spans="1:14" ht="14.25" customHeight="1" x14ac:dyDescent="0.25">
      <c r="A726" s="218"/>
      <c r="I726" s="218"/>
      <c r="J726" s="218"/>
      <c r="M726" s="218"/>
      <c r="N726" s="218"/>
    </row>
    <row r="727" spans="1:14" ht="14.25" customHeight="1" x14ac:dyDescent="0.25">
      <c r="A727" s="218"/>
      <c r="I727" s="218"/>
      <c r="J727" s="218"/>
      <c r="M727" s="218"/>
      <c r="N727" s="218"/>
    </row>
    <row r="728" spans="1:14" ht="14.25" customHeight="1" x14ac:dyDescent="0.25">
      <c r="A728" s="218"/>
      <c r="I728" s="218"/>
      <c r="J728" s="218"/>
      <c r="M728" s="218"/>
      <c r="N728" s="218"/>
    </row>
    <row r="729" spans="1:14" ht="14.25" customHeight="1" x14ac:dyDescent="0.25">
      <c r="A729" s="218"/>
      <c r="I729" s="218"/>
      <c r="J729" s="218"/>
      <c r="M729" s="218"/>
      <c r="N729" s="218"/>
    </row>
    <row r="730" spans="1:14" ht="14.25" customHeight="1" x14ac:dyDescent="0.25">
      <c r="A730" s="218"/>
      <c r="I730" s="218"/>
      <c r="J730" s="218"/>
      <c r="M730" s="218"/>
      <c r="N730" s="218"/>
    </row>
    <row r="731" spans="1:14" ht="14.25" customHeight="1" x14ac:dyDescent="0.25">
      <c r="A731" s="218"/>
      <c r="I731" s="218"/>
      <c r="J731" s="218"/>
      <c r="M731" s="218"/>
      <c r="N731" s="218"/>
    </row>
    <row r="732" spans="1:14" ht="14.25" customHeight="1" x14ac:dyDescent="0.25">
      <c r="A732" s="218"/>
      <c r="I732" s="218"/>
      <c r="J732" s="218"/>
      <c r="M732" s="218"/>
      <c r="N732" s="218"/>
    </row>
    <row r="733" spans="1:14" ht="14.25" customHeight="1" x14ac:dyDescent="0.25">
      <c r="A733" s="218"/>
      <c r="I733" s="218"/>
      <c r="J733" s="218"/>
      <c r="M733" s="218"/>
      <c r="N733" s="218"/>
    </row>
    <row r="734" spans="1:14" ht="14.25" customHeight="1" x14ac:dyDescent="0.25">
      <c r="A734" s="218"/>
      <c r="I734" s="218"/>
      <c r="J734" s="218"/>
      <c r="M734" s="218"/>
      <c r="N734" s="218"/>
    </row>
    <row r="735" spans="1:14" ht="14.25" customHeight="1" x14ac:dyDescent="0.25">
      <c r="A735" s="218"/>
      <c r="I735" s="218"/>
      <c r="J735" s="218"/>
      <c r="M735" s="218"/>
      <c r="N735" s="218"/>
    </row>
    <row r="736" spans="1:14" ht="14.25" customHeight="1" x14ac:dyDescent="0.25">
      <c r="A736" s="218"/>
      <c r="I736" s="218"/>
      <c r="J736" s="218"/>
      <c r="M736" s="218"/>
      <c r="N736" s="218"/>
    </row>
    <row r="737" spans="1:14" ht="14.25" customHeight="1" x14ac:dyDescent="0.25">
      <c r="A737" s="218"/>
      <c r="I737" s="218"/>
      <c r="J737" s="218"/>
      <c r="M737" s="218"/>
      <c r="N737" s="218"/>
    </row>
    <row r="738" spans="1:14" ht="14.25" customHeight="1" x14ac:dyDescent="0.25">
      <c r="A738" s="218"/>
      <c r="I738" s="218"/>
      <c r="J738" s="218"/>
      <c r="M738" s="218"/>
      <c r="N738" s="218"/>
    </row>
    <row r="739" spans="1:14" ht="14.25" customHeight="1" x14ac:dyDescent="0.25">
      <c r="A739" s="218"/>
      <c r="I739" s="218"/>
      <c r="J739" s="218"/>
      <c r="M739" s="218"/>
      <c r="N739" s="218"/>
    </row>
    <row r="740" spans="1:14" ht="14.25" customHeight="1" x14ac:dyDescent="0.25">
      <c r="A740" s="218"/>
      <c r="I740" s="218"/>
      <c r="J740" s="218"/>
      <c r="M740" s="218"/>
      <c r="N740" s="218"/>
    </row>
    <row r="741" spans="1:14" ht="14.25" customHeight="1" x14ac:dyDescent="0.25">
      <c r="A741" s="218"/>
      <c r="I741" s="218"/>
      <c r="J741" s="218"/>
      <c r="M741" s="218"/>
      <c r="N741" s="218"/>
    </row>
    <row r="742" spans="1:14" ht="14.25" customHeight="1" x14ac:dyDescent="0.25">
      <c r="A742" s="218"/>
      <c r="I742" s="218"/>
      <c r="J742" s="218"/>
      <c r="M742" s="218"/>
      <c r="N742" s="218"/>
    </row>
    <row r="743" spans="1:14" ht="14.25" customHeight="1" x14ac:dyDescent="0.25">
      <c r="A743" s="218"/>
      <c r="I743" s="218"/>
      <c r="J743" s="218"/>
      <c r="M743" s="218"/>
      <c r="N743" s="218"/>
    </row>
    <row r="744" spans="1:14" ht="14.25" customHeight="1" x14ac:dyDescent="0.25">
      <c r="A744" s="218"/>
      <c r="I744" s="218"/>
      <c r="J744" s="218"/>
      <c r="M744" s="218"/>
      <c r="N744" s="218"/>
    </row>
    <row r="745" spans="1:14" ht="14.25" customHeight="1" x14ac:dyDescent="0.25">
      <c r="A745" s="218"/>
      <c r="I745" s="218"/>
      <c r="J745" s="218"/>
      <c r="M745" s="218"/>
      <c r="N745" s="218"/>
    </row>
    <row r="746" spans="1:14" ht="14.25" customHeight="1" x14ac:dyDescent="0.25">
      <c r="A746" s="218"/>
      <c r="I746" s="218"/>
      <c r="J746" s="218"/>
      <c r="M746" s="218"/>
      <c r="N746" s="218"/>
    </row>
    <row r="747" spans="1:14" ht="14.25" customHeight="1" x14ac:dyDescent="0.25">
      <c r="A747" s="218"/>
      <c r="I747" s="218"/>
      <c r="J747" s="218"/>
      <c r="M747" s="218"/>
      <c r="N747" s="218"/>
    </row>
    <row r="748" spans="1:14" ht="14.25" customHeight="1" x14ac:dyDescent="0.25">
      <c r="A748" s="218"/>
      <c r="I748" s="218"/>
      <c r="J748" s="218"/>
      <c r="M748" s="218"/>
      <c r="N748" s="218"/>
    </row>
    <row r="749" spans="1:14" ht="14.25" customHeight="1" x14ac:dyDescent="0.25">
      <c r="A749" s="218"/>
      <c r="I749" s="218"/>
      <c r="J749" s="218"/>
      <c r="M749" s="218"/>
      <c r="N749" s="218"/>
    </row>
    <row r="750" spans="1:14" ht="14.25" customHeight="1" x14ac:dyDescent="0.25">
      <c r="A750" s="218"/>
      <c r="I750" s="218"/>
      <c r="J750" s="218"/>
      <c r="M750" s="218"/>
      <c r="N750" s="218"/>
    </row>
    <row r="751" spans="1:14" ht="14.25" customHeight="1" x14ac:dyDescent="0.25">
      <c r="A751" s="218"/>
      <c r="I751" s="218"/>
      <c r="J751" s="218"/>
      <c r="M751" s="218"/>
      <c r="N751" s="218"/>
    </row>
    <row r="752" spans="1:14" ht="14.25" customHeight="1" x14ac:dyDescent="0.25">
      <c r="A752" s="218"/>
      <c r="I752" s="218"/>
      <c r="J752" s="218"/>
      <c r="M752" s="218"/>
      <c r="N752" s="218"/>
    </row>
    <row r="753" spans="1:14" ht="14.25" customHeight="1" x14ac:dyDescent="0.25">
      <c r="A753" s="218"/>
      <c r="I753" s="218"/>
      <c r="J753" s="218"/>
      <c r="M753" s="218"/>
      <c r="N753" s="218"/>
    </row>
    <row r="754" spans="1:14" ht="14.25" customHeight="1" x14ac:dyDescent="0.25">
      <c r="A754" s="218"/>
      <c r="I754" s="218"/>
      <c r="J754" s="218"/>
      <c r="M754" s="218"/>
      <c r="N754" s="218"/>
    </row>
    <row r="755" spans="1:14" ht="14.25" customHeight="1" x14ac:dyDescent="0.25">
      <c r="A755" s="218"/>
      <c r="I755" s="218"/>
      <c r="J755" s="218"/>
      <c r="M755" s="218"/>
      <c r="N755" s="218"/>
    </row>
    <row r="756" spans="1:14" ht="14.25" customHeight="1" x14ac:dyDescent="0.25">
      <c r="A756" s="218"/>
      <c r="I756" s="218"/>
      <c r="J756" s="218"/>
      <c r="M756" s="218"/>
      <c r="N756" s="218"/>
    </row>
    <row r="757" spans="1:14" ht="14.25" customHeight="1" x14ac:dyDescent="0.25">
      <c r="A757" s="218"/>
      <c r="I757" s="218"/>
      <c r="J757" s="218"/>
      <c r="M757" s="218"/>
      <c r="N757" s="218"/>
    </row>
    <row r="758" spans="1:14" ht="14.25" customHeight="1" x14ac:dyDescent="0.25">
      <c r="A758" s="218"/>
      <c r="I758" s="218"/>
      <c r="J758" s="218"/>
      <c r="M758" s="218"/>
      <c r="N758" s="218"/>
    </row>
    <row r="759" spans="1:14" ht="14.25" customHeight="1" x14ac:dyDescent="0.25">
      <c r="A759" s="218"/>
      <c r="I759" s="218"/>
      <c r="J759" s="218"/>
      <c r="M759" s="218"/>
      <c r="N759" s="218"/>
    </row>
    <row r="760" spans="1:14" ht="14.25" customHeight="1" x14ac:dyDescent="0.25">
      <c r="A760" s="218"/>
      <c r="I760" s="218"/>
      <c r="J760" s="218"/>
      <c r="M760" s="218"/>
      <c r="N760" s="218"/>
    </row>
    <row r="761" spans="1:14" ht="14.25" customHeight="1" x14ac:dyDescent="0.25">
      <c r="A761" s="218"/>
      <c r="I761" s="218"/>
      <c r="J761" s="218"/>
      <c r="M761" s="218"/>
      <c r="N761" s="218"/>
    </row>
    <row r="762" spans="1:14" ht="14.25" customHeight="1" x14ac:dyDescent="0.25">
      <c r="A762" s="218"/>
      <c r="I762" s="218"/>
      <c r="J762" s="218"/>
      <c r="M762" s="218"/>
      <c r="N762" s="218"/>
    </row>
    <row r="763" spans="1:14" ht="14.25" customHeight="1" x14ac:dyDescent="0.25">
      <c r="A763" s="218"/>
      <c r="I763" s="218"/>
      <c r="J763" s="218"/>
      <c r="M763" s="218"/>
      <c r="N763" s="218"/>
    </row>
    <row r="764" spans="1:14" ht="14.25" customHeight="1" x14ac:dyDescent="0.25">
      <c r="A764" s="218"/>
      <c r="I764" s="218"/>
      <c r="J764" s="218"/>
      <c r="M764" s="218"/>
      <c r="N764" s="218"/>
    </row>
    <row r="765" spans="1:14" ht="14.25" customHeight="1" x14ac:dyDescent="0.25">
      <c r="A765" s="218"/>
      <c r="I765" s="218"/>
      <c r="J765" s="218"/>
      <c r="M765" s="218"/>
      <c r="N765" s="218"/>
    </row>
    <row r="766" spans="1:14" ht="14.25" customHeight="1" x14ac:dyDescent="0.25">
      <c r="A766" s="218"/>
      <c r="I766" s="218"/>
      <c r="J766" s="218"/>
      <c r="M766" s="218"/>
      <c r="N766" s="218"/>
    </row>
    <row r="767" spans="1:14" ht="14.25" customHeight="1" x14ac:dyDescent="0.25">
      <c r="A767" s="218"/>
      <c r="I767" s="218"/>
      <c r="J767" s="218"/>
      <c r="M767" s="218"/>
      <c r="N767" s="218"/>
    </row>
    <row r="768" spans="1:14" ht="14.25" customHeight="1" x14ac:dyDescent="0.25">
      <c r="A768" s="218"/>
      <c r="I768" s="218"/>
      <c r="J768" s="218"/>
      <c r="M768" s="218"/>
      <c r="N768" s="218"/>
    </row>
    <row r="769" spans="1:14" ht="14.25" customHeight="1" x14ac:dyDescent="0.25">
      <c r="A769" s="218"/>
      <c r="I769" s="218"/>
      <c r="J769" s="218"/>
      <c r="M769" s="218"/>
      <c r="N769" s="218"/>
    </row>
    <row r="770" spans="1:14" ht="14.25" customHeight="1" x14ac:dyDescent="0.25">
      <c r="A770" s="218"/>
      <c r="I770" s="218"/>
      <c r="J770" s="218"/>
      <c r="M770" s="218"/>
      <c r="N770" s="218"/>
    </row>
    <row r="771" spans="1:14" ht="14.25" customHeight="1" x14ac:dyDescent="0.25">
      <c r="A771" s="218"/>
      <c r="I771" s="218"/>
      <c r="J771" s="218"/>
      <c r="M771" s="218"/>
      <c r="N771" s="218"/>
    </row>
    <row r="772" spans="1:14" ht="14.25" customHeight="1" x14ac:dyDescent="0.25">
      <c r="A772" s="218"/>
      <c r="I772" s="218"/>
      <c r="J772" s="218"/>
      <c r="M772" s="218"/>
      <c r="N772" s="218"/>
    </row>
    <row r="773" spans="1:14" ht="14.25" customHeight="1" x14ac:dyDescent="0.25">
      <c r="A773" s="218"/>
      <c r="I773" s="218"/>
      <c r="J773" s="218"/>
      <c r="M773" s="218"/>
      <c r="N773" s="218"/>
    </row>
    <row r="774" spans="1:14" ht="14.25" customHeight="1" x14ac:dyDescent="0.25">
      <c r="A774" s="218"/>
      <c r="I774" s="218"/>
      <c r="J774" s="218"/>
      <c r="M774" s="218"/>
      <c r="N774" s="218"/>
    </row>
    <row r="775" spans="1:14" ht="14.25" customHeight="1" x14ac:dyDescent="0.25">
      <c r="A775" s="218"/>
      <c r="I775" s="218"/>
      <c r="J775" s="218"/>
      <c r="M775" s="218"/>
      <c r="N775" s="218"/>
    </row>
    <row r="776" spans="1:14" ht="14.25" customHeight="1" x14ac:dyDescent="0.25">
      <c r="A776" s="218"/>
      <c r="I776" s="218"/>
      <c r="J776" s="218"/>
      <c r="M776" s="218"/>
      <c r="N776" s="218"/>
    </row>
    <row r="777" spans="1:14" ht="14.25" customHeight="1" x14ac:dyDescent="0.25">
      <c r="A777" s="218"/>
      <c r="I777" s="218"/>
      <c r="J777" s="218"/>
      <c r="M777" s="218"/>
      <c r="N777" s="218"/>
    </row>
    <row r="778" spans="1:14" ht="14.25" customHeight="1" x14ac:dyDescent="0.25">
      <c r="A778" s="218"/>
      <c r="I778" s="218"/>
      <c r="J778" s="218"/>
      <c r="M778" s="218"/>
      <c r="N778" s="218"/>
    </row>
    <row r="779" spans="1:14" ht="14.25" customHeight="1" x14ac:dyDescent="0.25">
      <c r="A779" s="218"/>
      <c r="I779" s="218"/>
      <c r="J779" s="218"/>
      <c r="M779" s="218"/>
      <c r="N779" s="218"/>
    </row>
    <row r="780" spans="1:14" ht="14.25" customHeight="1" x14ac:dyDescent="0.25">
      <c r="A780" s="218"/>
      <c r="I780" s="218"/>
      <c r="J780" s="218"/>
      <c r="M780" s="218"/>
      <c r="N780" s="218"/>
    </row>
    <row r="781" spans="1:14" ht="14.25" customHeight="1" x14ac:dyDescent="0.25">
      <c r="A781" s="218"/>
      <c r="I781" s="218"/>
      <c r="J781" s="218"/>
      <c r="M781" s="218"/>
      <c r="N781" s="218"/>
    </row>
    <row r="782" spans="1:14" ht="14.25" customHeight="1" x14ac:dyDescent="0.25">
      <c r="A782" s="218"/>
      <c r="I782" s="218"/>
      <c r="J782" s="218"/>
      <c r="M782" s="218"/>
      <c r="N782" s="218"/>
    </row>
    <row r="783" spans="1:14" ht="14.25" customHeight="1" x14ac:dyDescent="0.25">
      <c r="A783" s="218"/>
      <c r="I783" s="218"/>
      <c r="J783" s="218"/>
      <c r="M783" s="218"/>
      <c r="N783" s="218"/>
    </row>
    <row r="784" spans="1:14" ht="14.25" customHeight="1" x14ac:dyDescent="0.25">
      <c r="A784" s="218"/>
      <c r="I784" s="218"/>
      <c r="J784" s="218"/>
      <c r="M784" s="218"/>
      <c r="N784" s="218"/>
    </row>
    <row r="785" spans="1:14" ht="14.25" customHeight="1" x14ac:dyDescent="0.25">
      <c r="A785" s="218"/>
      <c r="I785" s="218"/>
      <c r="J785" s="218"/>
      <c r="M785" s="218"/>
      <c r="N785" s="218"/>
    </row>
    <row r="786" spans="1:14" ht="14.25" customHeight="1" x14ac:dyDescent="0.25">
      <c r="A786" s="218"/>
      <c r="I786" s="218"/>
      <c r="J786" s="218"/>
      <c r="M786" s="218"/>
      <c r="N786" s="218"/>
    </row>
    <row r="787" spans="1:14" ht="14.25" customHeight="1" x14ac:dyDescent="0.25">
      <c r="A787" s="218"/>
      <c r="I787" s="218"/>
      <c r="J787" s="218"/>
      <c r="M787" s="218"/>
      <c r="N787" s="218"/>
    </row>
    <row r="788" spans="1:14" ht="14.25" customHeight="1" x14ac:dyDescent="0.25">
      <c r="A788" s="218"/>
      <c r="I788" s="218"/>
      <c r="J788" s="218"/>
      <c r="M788" s="218"/>
      <c r="N788" s="218"/>
    </row>
    <row r="789" spans="1:14" ht="14.25" customHeight="1" x14ac:dyDescent="0.25">
      <c r="A789" s="218"/>
      <c r="I789" s="218"/>
      <c r="J789" s="218"/>
      <c r="M789" s="218"/>
      <c r="N789" s="218"/>
    </row>
    <row r="790" spans="1:14" ht="14.25" customHeight="1" x14ac:dyDescent="0.25">
      <c r="A790" s="218"/>
      <c r="I790" s="218"/>
      <c r="J790" s="218"/>
      <c r="M790" s="218"/>
      <c r="N790" s="218"/>
    </row>
    <row r="791" spans="1:14" ht="14.25" customHeight="1" x14ac:dyDescent="0.25">
      <c r="A791" s="218"/>
      <c r="I791" s="218"/>
      <c r="J791" s="218"/>
      <c r="M791" s="218"/>
      <c r="N791" s="218"/>
    </row>
    <row r="792" spans="1:14" ht="14.25" customHeight="1" x14ac:dyDescent="0.25">
      <c r="A792" s="218"/>
      <c r="I792" s="218"/>
      <c r="J792" s="218"/>
      <c r="M792" s="218"/>
      <c r="N792" s="218"/>
    </row>
    <row r="793" spans="1:14" ht="14.25" customHeight="1" x14ac:dyDescent="0.25">
      <c r="A793" s="218"/>
      <c r="I793" s="218"/>
      <c r="J793" s="218"/>
      <c r="M793" s="218"/>
      <c r="N793" s="218"/>
    </row>
    <row r="794" spans="1:14" ht="14.25" customHeight="1" x14ac:dyDescent="0.25">
      <c r="A794" s="218"/>
      <c r="I794" s="218"/>
      <c r="J794" s="218"/>
      <c r="M794" s="218"/>
      <c r="N794" s="218"/>
    </row>
    <row r="795" spans="1:14" ht="14.25" customHeight="1" x14ac:dyDescent="0.25">
      <c r="A795" s="218"/>
      <c r="I795" s="218"/>
      <c r="J795" s="218"/>
      <c r="M795" s="218"/>
      <c r="N795" s="218"/>
    </row>
    <row r="796" spans="1:14" ht="14.25" customHeight="1" x14ac:dyDescent="0.25">
      <c r="A796" s="218"/>
      <c r="I796" s="218"/>
      <c r="J796" s="218"/>
      <c r="M796" s="218"/>
      <c r="N796" s="218"/>
    </row>
    <row r="797" spans="1:14" ht="14.25" customHeight="1" x14ac:dyDescent="0.25">
      <c r="A797" s="218"/>
      <c r="I797" s="218"/>
      <c r="J797" s="218"/>
      <c r="M797" s="218"/>
      <c r="N797" s="218"/>
    </row>
    <row r="798" spans="1:14" ht="14.25" customHeight="1" x14ac:dyDescent="0.25">
      <c r="A798" s="218"/>
      <c r="I798" s="218"/>
      <c r="J798" s="218"/>
      <c r="M798" s="218"/>
      <c r="N798" s="218"/>
    </row>
    <row r="799" spans="1:14" ht="14.25" customHeight="1" x14ac:dyDescent="0.25">
      <c r="A799" s="218"/>
      <c r="I799" s="218"/>
      <c r="J799" s="218"/>
      <c r="M799" s="218"/>
      <c r="N799" s="218"/>
    </row>
    <row r="800" spans="1:14" ht="14.25" customHeight="1" x14ac:dyDescent="0.25">
      <c r="A800" s="218"/>
      <c r="I800" s="218"/>
      <c r="J800" s="218"/>
      <c r="M800" s="218"/>
      <c r="N800" s="218"/>
    </row>
    <row r="801" spans="1:14" ht="14.25" customHeight="1" x14ac:dyDescent="0.25">
      <c r="A801" s="218"/>
      <c r="I801" s="218"/>
      <c r="J801" s="218"/>
      <c r="M801" s="218"/>
      <c r="N801" s="218"/>
    </row>
    <row r="802" spans="1:14" ht="14.25" customHeight="1" x14ac:dyDescent="0.25">
      <c r="A802" s="218"/>
      <c r="I802" s="218"/>
      <c r="J802" s="218"/>
      <c r="M802" s="218"/>
      <c r="N802" s="218"/>
    </row>
    <row r="803" spans="1:14" ht="14.25" customHeight="1" x14ac:dyDescent="0.25">
      <c r="A803" s="218"/>
      <c r="I803" s="218"/>
      <c r="J803" s="218"/>
      <c r="M803" s="218"/>
      <c r="N803" s="218"/>
    </row>
    <row r="804" spans="1:14" ht="14.25" customHeight="1" x14ac:dyDescent="0.25">
      <c r="A804" s="218"/>
      <c r="I804" s="218"/>
      <c r="J804" s="218"/>
      <c r="M804" s="218"/>
      <c r="N804" s="218"/>
    </row>
    <row r="805" spans="1:14" ht="14.25" customHeight="1" x14ac:dyDescent="0.25">
      <c r="A805" s="218"/>
      <c r="I805" s="218"/>
      <c r="J805" s="218"/>
      <c r="M805" s="218"/>
      <c r="N805" s="218"/>
    </row>
    <row r="806" spans="1:14" ht="14.25" customHeight="1" x14ac:dyDescent="0.25">
      <c r="A806" s="218"/>
      <c r="I806" s="218"/>
      <c r="J806" s="218"/>
      <c r="M806" s="218"/>
      <c r="N806" s="218"/>
    </row>
    <row r="807" spans="1:14" ht="14.25" customHeight="1" x14ac:dyDescent="0.25">
      <c r="A807" s="218"/>
      <c r="I807" s="218"/>
      <c r="J807" s="218"/>
      <c r="M807" s="218"/>
      <c r="N807" s="218"/>
    </row>
    <row r="808" spans="1:14" ht="14.25" customHeight="1" x14ac:dyDescent="0.25">
      <c r="A808" s="218"/>
      <c r="I808" s="218"/>
      <c r="J808" s="218"/>
      <c r="M808" s="218"/>
      <c r="N808" s="218"/>
    </row>
    <row r="809" spans="1:14" ht="14.25" customHeight="1" x14ac:dyDescent="0.25">
      <c r="A809" s="218"/>
      <c r="I809" s="218"/>
      <c r="J809" s="218"/>
      <c r="M809" s="218"/>
      <c r="N809" s="218"/>
    </row>
    <row r="810" spans="1:14" ht="14.25" customHeight="1" x14ac:dyDescent="0.25">
      <c r="A810" s="218"/>
      <c r="I810" s="218"/>
      <c r="J810" s="218"/>
      <c r="M810" s="218"/>
      <c r="N810" s="218"/>
    </row>
    <row r="811" spans="1:14" ht="14.25" customHeight="1" x14ac:dyDescent="0.25">
      <c r="A811" s="218"/>
      <c r="I811" s="218"/>
      <c r="J811" s="218"/>
      <c r="M811" s="218"/>
      <c r="N811" s="218"/>
    </row>
    <row r="812" spans="1:14" ht="14.25" customHeight="1" x14ac:dyDescent="0.25">
      <c r="A812" s="218"/>
      <c r="I812" s="218"/>
      <c r="J812" s="218"/>
      <c r="M812" s="218"/>
      <c r="N812" s="218"/>
    </row>
    <row r="813" spans="1:14" ht="14.25" customHeight="1" x14ac:dyDescent="0.25">
      <c r="A813" s="218"/>
      <c r="I813" s="218"/>
      <c r="J813" s="218"/>
      <c r="M813" s="218"/>
      <c r="N813" s="218"/>
    </row>
    <row r="814" spans="1:14" ht="14.25" customHeight="1" x14ac:dyDescent="0.25">
      <c r="A814" s="218"/>
      <c r="I814" s="218"/>
      <c r="J814" s="218"/>
      <c r="M814" s="218"/>
      <c r="N814" s="218"/>
    </row>
    <row r="815" spans="1:14" ht="14.25" customHeight="1" x14ac:dyDescent="0.25">
      <c r="A815" s="218"/>
      <c r="I815" s="218"/>
      <c r="J815" s="218"/>
      <c r="M815" s="218"/>
      <c r="N815" s="218"/>
    </row>
    <row r="816" spans="1:14" ht="14.25" customHeight="1" x14ac:dyDescent="0.25">
      <c r="A816" s="218"/>
      <c r="I816" s="218"/>
      <c r="J816" s="218"/>
      <c r="M816" s="218"/>
      <c r="N816" s="218"/>
    </row>
    <row r="817" spans="1:14" ht="14.25" customHeight="1" x14ac:dyDescent="0.25">
      <c r="A817" s="218"/>
      <c r="I817" s="218"/>
      <c r="J817" s="218"/>
      <c r="M817" s="218"/>
      <c r="N817" s="218"/>
    </row>
    <row r="818" spans="1:14" ht="14.25" customHeight="1" x14ac:dyDescent="0.25">
      <c r="A818" s="218"/>
      <c r="I818" s="218"/>
      <c r="J818" s="218"/>
      <c r="M818" s="218"/>
      <c r="N818" s="218"/>
    </row>
    <row r="819" spans="1:14" ht="14.25" customHeight="1" x14ac:dyDescent="0.25">
      <c r="A819" s="218"/>
      <c r="I819" s="218"/>
      <c r="J819" s="218"/>
      <c r="M819" s="218"/>
      <c r="N819" s="218"/>
    </row>
    <row r="820" spans="1:14" ht="14.25" customHeight="1" x14ac:dyDescent="0.25">
      <c r="A820" s="218"/>
      <c r="I820" s="218"/>
      <c r="J820" s="218"/>
      <c r="M820" s="218"/>
      <c r="N820" s="218"/>
    </row>
    <row r="821" spans="1:14" ht="14.25" customHeight="1" x14ac:dyDescent="0.25">
      <c r="A821" s="218"/>
      <c r="I821" s="218"/>
      <c r="J821" s="218"/>
      <c r="M821" s="218"/>
      <c r="N821" s="218"/>
    </row>
    <row r="822" spans="1:14" ht="14.25" customHeight="1" x14ac:dyDescent="0.25">
      <c r="A822" s="218"/>
      <c r="I822" s="218"/>
      <c r="J822" s="218"/>
      <c r="M822" s="218"/>
      <c r="N822" s="218"/>
    </row>
    <row r="823" spans="1:14" ht="14.25" customHeight="1" x14ac:dyDescent="0.25">
      <c r="A823" s="218"/>
      <c r="I823" s="218"/>
      <c r="J823" s="218"/>
      <c r="M823" s="218"/>
      <c r="N823" s="218"/>
    </row>
    <row r="824" spans="1:14" ht="14.25" customHeight="1" x14ac:dyDescent="0.25">
      <c r="A824" s="218"/>
      <c r="I824" s="218"/>
      <c r="J824" s="218"/>
      <c r="M824" s="218"/>
      <c r="N824" s="218"/>
    </row>
    <row r="825" spans="1:14" ht="14.25" customHeight="1" x14ac:dyDescent="0.25">
      <c r="A825" s="218"/>
      <c r="I825" s="218"/>
      <c r="J825" s="218"/>
      <c r="M825" s="218"/>
      <c r="N825" s="218"/>
    </row>
    <row r="826" spans="1:14" ht="14.25" customHeight="1" x14ac:dyDescent="0.25">
      <c r="A826" s="218"/>
      <c r="I826" s="218"/>
      <c r="J826" s="218"/>
      <c r="M826" s="218"/>
      <c r="N826" s="218"/>
    </row>
    <row r="827" spans="1:14" ht="14.25" customHeight="1" x14ac:dyDescent="0.25">
      <c r="A827" s="218"/>
      <c r="I827" s="218"/>
      <c r="J827" s="218"/>
      <c r="M827" s="218"/>
      <c r="N827" s="218"/>
    </row>
    <row r="828" spans="1:14" ht="14.25" customHeight="1" x14ac:dyDescent="0.25">
      <c r="A828" s="218"/>
      <c r="I828" s="218"/>
      <c r="J828" s="218"/>
      <c r="M828" s="218"/>
      <c r="N828" s="218"/>
    </row>
    <row r="829" spans="1:14" ht="14.25" customHeight="1" x14ac:dyDescent="0.25">
      <c r="A829" s="218"/>
      <c r="I829" s="218"/>
      <c r="J829" s="218"/>
      <c r="M829" s="218"/>
      <c r="N829" s="218"/>
    </row>
    <row r="830" spans="1:14" ht="14.25" customHeight="1" x14ac:dyDescent="0.25">
      <c r="A830" s="218"/>
      <c r="I830" s="218"/>
      <c r="J830" s="218"/>
      <c r="M830" s="218"/>
      <c r="N830" s="218"/>
    </row>
    <row r="831" spans="1:14" ht="14.25" customHeight="1" x14ac:dyDescent="0.25">
      <c r="A831" s="218"/>
      <c r="I831" s="218"/>
      <c r="J831" s="218"/>
      <c r="M831" s="218"/>
      <c r="N831" s="218"/>
    </row>
    <row r="832" spans="1:14" ht="14.25" customHeight="1" x14ac:dyDescent="0.25">
      <c r="A832" s="218"/>
      <c r="I832" s="218"/>
      <c r="J832" s="218"/>
      <c r="M832" s="218"/>
      <c r="N832" s="218"/>
    </row>
    <row r="833" spans="1:14" ht="14.25" customHeight="1" x14ac:dyDescent="0.25">
      <c r="A833" s="218"/>
      <c r="I833" s="218"/>
      <c r="J833" s="218"/>
      <c r="M833" s="218"/>
      <c r="N833" s="218"/>
    </row>
    <row r="834" spans="1:14" ht="14.25" customHeight="1" x14ac:dyDescent="0.25">
      <c r="A834" s="218"/>
      <c r="I834" s="218"/>
      <c r="J834" s="218"/>
      <c r="M834" s="218"/>
      <c r="N834" s="218"/>
    </row>
    <row r="835" spans="1:14" ht="14.25" customHeight="1" x14ac:dyDescent="0.25">
      <c r="A835" s="218"/>
      <c r="I835" s="218"/>
      <c r="J835" s="218"/>
      <c r="M835" s="218"/>
      <c r="N835" s="218"/>
    </row>
    <row r="836" spans="1:14" ht="14.25" customHeight="1" x14ac:dyDescent="0.25">
      <c r="A836" s="218"/>
      <c r="I836" s="218"/>
      <c r="J836" s="218"/>
      <c r="M836" s="218"/>
      <c r="N836" s="218"/>
    </row>
    <row r="837" spans="1:14" ht="14.25" customHeight="1" x14ac:dyDescent="0.25">
      <c r="A837" s="218"/>
      <c r="I837" s="218"/>
      <c r="J837" s="218"/>
      <c r="M837" s="218"/>
      <c r="N837" s="218"/>
    </row>
    <row r="838" spans="1:14" ht="14.25" customHeight="1" x14ac:dyDescent="0.25">
      <c r="A838" s="218"/>
      <c r="I838" s="218"/>
      <c r="J838" s="218"/>
      <c r="M838" s="218"/>
      <c r="N838" s="218"/>
    </row>
    <row r="839" spans="1:14" ht="14.25" customHeight="1" x14ac:dyDescent="0.25">
      <c r="A839" s="218"/>
      <c r="I839" s="218"/>
      <c r="J839" s="218"/>
      <c r="M839" s="218"/>
      <c r="N839" s="218"/>
    </row>
    <row r="840" spans="1:14" ht="14.25" customHeight="1" x14ac:dyDescent="0.25">
      <c r="A840" s="218"/>
      <c r="I840" s="218"/>
      <c r="J840" s="218"/>
      <c r="M840" s="218"/>
      <c r="N840" s="218"/>
    </row>
    <row r="841" spans="1:14" ht="14.25" customHeight="1" x14ac:dyDescent="0.25">
      <c r="A841" s="218"/>
      <c r="I841" s="218"/>
      <c r="J841" s="218"/>
      <c r="M841" s="218"/>
      <c r="N841" s="218"/>
    </row>
    <row r="842" spans="1:14" ht="14.25" customHeight="1" x14ac:dyDescent="0.25">
      <c r="A842" s="218"/>
      <c r="I842" s="218"/>
      <c r="J842" s="218"/>
      <c r="M842" s="218"/>
      <c r="N842" s="218"/>
    </row>
    <row r="843" spans="1:14" ht="14.25" customHeight="1" x14ac:dyDescent="0.25">
      <c r="A843" s="218"/>
      <c r="I843" s="218"/>
      <c r="J843" s="218"/>
      <c r="M843" s="218"/>
      <c r="N843" s="218"/>
    </row>
    <row r="844" spans="1:14" ht="14.25" customHeight="1" x14ac:dyDescent="0.25">
      <c r="A844" s="218"/>
      <c r="I844" s="218"/>
      <c r="J844" s="218"/>
      <c r="M844" s="218"/>
      <c r="N844" s="218"/>
    </row>
    <row r="845" spans="1:14" ht="14.25" customHeight="1" x14ac:dyDescent="0.25">
      <c r="A845" s="218"/>
      <c r="I845" s="218"/>
      <c r="J845" s="218"/>
      <c r="M845" s="218"/>
      <c r="N845" s="218"/>
    </row>
    <row r="846" spans="1:14" ht="14.25" customHeight="1" x14ac:dyDescent="0.25">
      <c r="A846" s="218"/>
      <c r="I846" s="218"/>
      <c r="J846" s="218"/>
      <c r="M846" s="218"/>
      <c r="N846" s="218"/>
    </row>
    <row r="847" spans="1:14" ht="14.25" customHeight="1" x14ac:dyDescent="0.25">
      <c r="A847" s="218"/>
      <c r="I847" s="218"/>
      <c r="J847" s="218"/>
      <c r="M847" s="218"/>
      <c r="N847" s="218"/>
    </row>
    <row r="848" spans="1:14" ht="14.25" customHeight="1" x14ac:dyDescent="0.25">
      <c r="A848" s="218"/>
      <c r="I848" s="218"/>
      <c r="J848" s="218"/>
      <c r="M848" s="218"/>
      <c r="N848" s="218"/>
    </row>
    <row r="849" spans="1:14" ht="14.25" customHeight="1" x14ac:dyDescent="0.25">
      <c r="A849" s="218"/>
      <c r="I849" s="218"/>
      <c r="J849" s="218"/>
      <c r="M849" s="218"/>
      <c r="N849" s="218"/>
    </row>
    <row r="850" spans="1:14" ht="14.25" customHeight="1" x14ac:dyDescent="0.25">
      <c r="A850" s="218"/>
      <c r="I850" s="218"/>
      <c r="J850" s="218"/>
      <c r="M850" s="218"/>
      <c r="N850" s="218"/>
    </row>
    <row r="851" spans="1:14" ht="14.25" customHeight="1" x14ac:dyDescent="0.25">
      <c r="A851" s="218"/>
      <c r="I851" s="218"/>
      <c r="J851" s="218"/>
      <c r="M851" s="218"/>
      <c r="N851" s="218"/>
    </row>
    <row r="852" spans="1:14" ht="14.25" customHeight="1" x14ac:dyDescent="0.25">
      <c r="A852" s="218"/>
      <c r="I852" s="218"/>
      <c r="J852" s="218"/>
      <c r="M852" s="218"/>
      <c r="N852" s="218"/>
    </row>
    <row r="853" spans="1:14" ht="14.25" customHeight="1" x14ac:dyDescent="0.25">
      <c r="A853" s="218"/>
      <c r="I853" s="218"/>
      <c r="J853" s="218"/>
      <c r="M853" s="218"/>
      <c r="N853" s="218"/>
    </row>
    <row r="854" spans="1:14" ht="14.25" customHeight="1" x14ac:dyDescent="0.25">
      <c r="A854" s="218"/>
      <c r="I854" s="218"/>
      <c r="J854" s="218"/>
      <c r="M854" s="218"/>
      <c r="N854" s="218"/>
    </row>
    <row r="855" spans="1:14" ht="14.25" customHeight="1" x14ac:dyDescent="0.25">
      <c r="A855" s="218"/>
      <c r="I855" s="218"/>
      <c r="J855" s="218"/>
      <c r="M855" s="218"/>
      <c r="N855" s="218"/>
    </row>
    <row r="856" spans="1:14" ht="14.25" customHeight="1" x14ac:dyDescent="0.25">
      <c r="A856" s="218"/>
      <c r="I856" s="218"/>
      <c r="J856" s="218"/>
      <c r="M856" s="218"/>
      <c r="N856" s="218"/>
    </row>
    <row r="857" spans="1:14" ht="14.25" customHeight="1" x14ac:dyDescent="0.25">
      <c r="A857" s="218"/>
      <c r="I857" s="218"/>
      <c r="J857" s="218"/>
      <c r="M857" s="218"/>
      <c r="N857" s="218"/>
    </row>
    <row r="858" spans="1:14" ht="14.25" customHeight="1" x14ac:dyDescent="0.25">
      <c r="A858" s="218"/>
      <c r="I858" s="218"/>
      <c r="J858" s="218"/>
      <c r="M858" s="218"/>
      <c r="N858" s="218"/>
    </row>
    <row r="859" spans="1:14" ht="14.25" customHeight="1" x14ac:dyDescent="0.25">
      <c r="A859" s="218"/>
      <c r="I859" s="218"/>
      <c r="J859" s="218"/>
      <c r="M859" s="218"/>
      <c r="N859" s="218"/>
    </row>
    <row r="860" spans="1:14" ht="14.25" customHeight="1" x14ac:dyDescent="0.25">
      <c r="A860" s="218"/>
      <c r="I860" s="218"/>
      <c r="J860" s="218"/>
      <c r="M860" s="218"/>
      <c r="N860" s="218"/>
    </row>
    <row r="861" spans="1:14" ht="14.25" customHeight="1" x14ac:dyDescent="0.25">
      <c r="A861" s="218"/>
      <c r="I861" s="218"/>
      <c r="J861" s="218"/>
      <c r="M861" s="218"/>
      <c r="N861" s="218"/>
    </row>
    <row r="862" spans="1:14" ht="14.25" customHeight="1" x14ac:dyDescent="0.25">
      <c r="A862" s="218"/>
      <c r="I862" s="218"/>
      <c r="J862" s="218"/>
      <c r="M862" s="218"/>
      <c r="N862" s="218"/>
    </row>
    <row r="863" spans="1:14" ht="14.25" customHeight="1" x14ac:dyDescent="0.25">
      <c r="A863" s="218"/>
      <c r="I863" s="218"/>
      <c r="J863" s="218"/>
      <c r="M863" s="218"/>
      <c r="N863" s="218"/>
    </row>
    <row r="864" spans="1:14" ht="14.25" customHeight="1" x14ac:dyDescent="0.25">
      <c r="A864" s="218"/>
      <c r="I864" s="218"/>
      <c r="J864" s="218"/>
      <c r="M864" s="218"/>
      <c r="N864" s="218"/>
    </row>
    <row r="865" spans="1:14" ht="14.25" customHeight="1" x14ac:dyDescent="0.25">
      <c r="A865" s="218"/>
      <c r="I865" s="218"/>
      <c r="J865" s="218"/>
      <c r="M865" s="218"/>
      <c r="N865" s="218"/>
    </row>
    <row r="866" spans="1:14" ht="14.25" customHeight="1" x14ac:dyDescent="0.25">
      <c r="A866" s="218"/>
      <c r="I866" s="218"/>
      <c r="J866" s="218"/>
      <c r="M866" s="218"/>
      <c r="N866" s="218"/>
    </row>
    <row r="867" spans="1:14" ht="14.25" customHeight="1" x14ac:dyDescent="0.25">
      <c r="A867" s="218"/>
      <c r="I867" s="218"/>
      <c r="J867" s="218"/>
      <c r="M867" s="218"/>
      <c r="N867" s="218"/>
    </row>
    <row r="868" spans="1:14" ht="14.25" customHeight="1" x14ac:dyDescent="0.25">
      <c r="A868" s="218"/>
      <c r="I868" s="218"/>
      <c r="J868" s="218"/>
      <c r="M868" s="218"/>
      <c r="N868" s="218"/>
    </row>
    <row r="869" spans="1:14" ht="14.25" customHeight="1" x14ac:dyDescent="0.25">
      <c r="A869" s="218"/>
      <c r="I869" s="218"/>
      <c r="J869" s="218"/>
      <c r="M869" s="218"/>
      <c r="N869" s="218"/>
    </row>
    <row r="870" spans="1:14" ht="14.25" customHeight="1" x14ac:dyDescent="0.25">
      <c r="A870" s="218"/>
      <c r="I870" s="218"/>
      <c r="J870" s="218"/>
      <c r="M870" s="218"/>
      <c r="N870" s="218"/>
    </row>
    <row r="871" spans="1:14" ht="14.25" customHeight="1" x14ac:dyDescent="0.25">
      <c r="A871" s="218"/>
      <c r="I871" s="218"/>
      <c r="J871" s="218"/>
      <c r="M871" s="218"/>
      <c r="N871" s="218"/>
    </row>
    <row r="872" spans="1:14" ht="14.25" customHeight="1" x14ac:dyDescent="0.25">
      <c r="A872" s="218"/>
      <c r="I872" s="218"/>
      <c r="J872" s="218"/>
      <c r="M872" s="218"/>
      <c r="N872" s="218"/>
    </row>
    <row r="873" spans="1:14" ht="14.25" customHeight="1" x14ac:dyDescent="0.25">
      <c r="A873" s="218"/>
      <c r="I873" s="218"/>
      <c r="J873" s="218"/>
      <c r="M873" s="218"/>
      <c r="N873" s="218"/>
    </row>
    <row r="874" spans="1:14" ht="14.25" customHeight="1" x14ac:dyDescent="0.25">
      <c r="A874" s="218"/>
      <c r="I874" s="218"/>
      <c r="J874" s="218"/>
      <c r="M874" s="218"/>
      <c r="N874" s="218"/>
    </row>
    <row r="875" spans="1:14" ht="14.25" customHeight="1" x14ac:dyDescent="0.25">
      <c r="A875" s="218"/>
      <c r="I875" s="218"/>
      <c r="J875" s="218"/>
      <c r="M875" s="218"/>
      <c r="N875" s="218"/>
    </row>
    <row r="876" spans="1:14" ht="14.25" customHeight="1" x14ac:dyDescent="0.25">
      <c r="A876" s="218"/>
      <c r="I876" s="218"/>
      <c r="J876" s="218"/>
      <c r="M876" s="218"/>
      <c r="N876" s="218"/>
    </row>
    <row r="877" spans="1:14" ht="14.25" customHeight="1" x14ac:dyDescent="0.25">
      <c r="A877" s="218"/>
      <c r="I877" s="218"/>
      <c r="J877" s="218"/>
      <c r="M877" s="218"/>
      <c r="N877" s="218"/>
    </row>
    <row r="878" spans="1:14" ht="14.25" customHeight="1" x14ac:dyDescent="0.25">
      <c r="A878" s="218"/>
      <c r="I878" s="218"/>
      <c r="J878" s="218"/>
      <c r="M878" s="218"/>
      <c r="N878" s="218"/>
    </row>
    <row r="879" spans="1:14" ht="14.25" customHeight="1" x14ac:dyDescent="0.25">
      <c r="A879" s="218"/>
      <c r="I879" s="218"/>
      <c r="J879" s="218"/>
      <c r="M879" s="218"/>
      <c r="N879" s="218"/>
    </row>
    <row r="880" spans="1:14" ht="14.25" customHeight="1" x14ac:dyDescent="0.25">
      <c r="A880" s="218"/>
      <c r="I880" s="218"/>
      <c r="J880" s="218"/>
      <c r="M880" s="218"/>
      <c r="N880" s="218"/>
    </row>
    <row r="881" spans="1:14" ht="14.25" customHeight="1" x14ac:dyDescent="0.25">
      <c r="A881" s="218"/>
      <c r="I881" s="218"/>
      <c r="J881" s="218"/>
      <c r="M881" s="218"/>
      <c r="N881" s="218"/>
    </row>
    <row r="882" spans="1:14" ht="14.25" customHeight="1" x14ac:dyDescent="0.25">
      <c r="A882" s="218"/>
      <c r="I882" s="218"/>
      <c r="J882" s="218"/>
      <c r="M882" s="218"/>
      <c r="N882" s="218"/>
    </row>
    <row r="883" spans="1:14" ht="14.25" customHeight="1" x14ac:dyDescent="0.25">
      <c r="A883" s="218"/>
      <c r="I883" s="218"/>
      <c r="J883" s="218"/>
      <c r="M883" s="218"/>
      <c r="N883" s="218"/>
    </row>
    <row r="884" spans="1:14" ht="14.25" customHeight="1" x14ac:dyDescent="0.25">
      <c r="A884" s="218"/>
      <c r="I884" s="218"/>
      <c r="J884" s="218"/>
      <c r="M884" s="218"/>
      <c r="N884" s="218"/>
    </row>
    <row r="885" spans="1:14" ht="14.25" customHeight="1" x14ac:dyDescent="0.25">
      <c r="A885" s="218"/>
      <c r="I885" s="218"/>
      <c r="J885" s="218"/>
      <c r="M885" s="218"/>
      <c r="N885" s="218"/>
    </row>
    <row r="886" spans="1:14" ht="14.25" customHeight="1" x14ac:dyDescent="0.25">
      <c r="A886" s="218"/>
      <c r="I886" s="218"/>
      <c r="J886" s="218"/>
      <c r="M886" s="218"/>
      <c r="N886" s="218"/>
    </row>
    <row r="887" spans="1:14" ht="14.25" customHeight="1" x14ac:dyDescent="0.25">
      <c r="A887" s="218"/>
      <c r="I887" s="218"/>
      <c r="J887" s="218"/>
      <c r="M887" s="218"/>
      <c r="N887" s="218"/>
    </row>
    <row r="888" spans="1:14" ht="14.25" customHeight="1" x14ac:dyDescent="0.25">
      <c r="A888" s="218"/>
      <c r="I888" s="218"/>
      <c r="J888" s="218"/>
      <c r="M888" s="218"/>
      <c r="N888" s="218"/>
    </row>
    <row r="889" spans="1:14" ht="14.25" customHeight="1" x14ac:dyDescent="0.25">
      <c r="A889" s="218"/>
      <c r="I889" s="218"/>
      <c r="J889" s="218"/>
      <c r="M889" s="218"/>
      <c r="N889" s="218"/>
    </row>
    <row r="890" spans="1:14" ht="14.25" customHeight="1" x14ac:dyDescent="0.25">
      <c r="A890" s="218"/>
      <c r="I890" s="218"/>
      <c r="J890" s="218"/>
      <c r="M890" s="218"/>
      <c r="N890" s="218"/>
    </row>
    <row r="891" spans="1:14" ht="14.25" customHeight="1" x14ac:dyDescent="0.25">
      <c r="A891" s="218"/>
      <c r="I891" s="218"/>
      <c r="J891" s="218"/>
      <c r="M891" s="218"/>
      <c r="N891" s="218"/>
    </row>
    <row r="892" spans="1:14" ht="14.25" customHeight="1" x14ac:dyDescent="0.25">
      <c r="A892" s="218"/>
      <c r="I892" s="218"/>
      <c r="J892" s="218"/>
      <c r="M892" s="218"/>
      <c r="N892" s="218"/>
    </row>
    <row r="893" spans="1:14" ht="14.25" customHeight="1" x14ac:dyDescent="0.25">
      <c r="A893" s="218"/>
      <c r="I893" s="218"/>
      <c r="J893" s="218"/>
      <c r="M893" s="218"/>
      <c r="N893" s="218"/>
    </row>
    <row r="894" spans="1:14" ht="14.25" customHeight="1" x14ac:dyDescent="0.25">
      <c r="A894" s="218"/>
      <c r="I894" s="218"/>
      <c r="J894" s="218"/>
      <c r="M894" s="218"/>
      <c r="N894" s="218"/>
    </row>
    <row r="895" spans="1:14" ht="14.25" customHeight="1" x14ac:dyDescent="0.25">
      <c r="A895" s="218"/>
      <c r="I895" s="218"/>
      <c r="J895" s="218"/>
      <c r="M895" s="218"/>
      <c r="N895" s="218"/>
    </row>
    <row r="896" spans="1:14" ht="14.25" customHeight="1" x14ac:dyDescent="0.25">
      <c r="A896" s="218"/>
      <c r="I896" s="218"/>
      <c r="J896" s="218"/>
      <c r="M896" s="218"/>
      <c r="N896" s="218"/>
    </row>
    <row r="897" spans="1:14" ht="14.25" customHeight="1" x14ac:dyDescent="0.25">
      <c r="A897" s="218"/>
      <c r="I897" s="218"/>
      <c r="J897" s="218"/>
      <c r="M897" s="218"/>
      <c r="N897" s="218"/>
    </row>
    <row r="898" spans="1:14" ht="14.25" customHeight="1" x14ac:dyDescent="0.25">
      <c r="A898" s="218"/>
      <c r="I898" s="218"/>
      <c r="J898" s="218"/>
      <c r="M898" s="218"/>
      <c r="N898" s="218"/>
    </row>
    <row r="899" spans="1:14" ht="14.25" customHeight="1" x14ac:dyDescent="0.25">
      <c r="A899" s="218"/>
      <c r="I899" s="218"/>
      <c r="J899" s="218"/>
      <c r="M899" s="218"/>
      <c r="N899" s="218"/>
    </row>
    <row r="900" spans="1:14" ht="14.25" customHeight="1" x14ac:dyDescent="0.25">
      <c r="A900" s="218"/>
      <c r="I900" s="218"/>
      <c r="J900" s="218"/>
      <c r="M900" s="218"/>
      <c r="N900" s="218"/>
    </row>
    <row r="901" spans="1:14" ht="14.25" customHeight="1" x14ac:dyDescent="0.25">
      <c r="A901" s="218"/>
      <c r="I901" s="218"/>
      <c r="J901" s="218"/>
      <c r="M901" s="218"/>
      <c r="N901" s="218"/>
    </row>
    <row r="902" spans="1:14" ht="14.25" customHeight="1" x14ac:dyDescent="0.25">
      <c r="A902" s="218"/>
      <c r="I902" s="218"/>
      <c r="J902" s="218"/>
      <c r="M902" s="218"/>
      <c r="N902" s="218"/>
    </row>
    <row r="903" spans="1:14" ht="14.25" customHeight="1" x14ac:dyDescent="0.25">
      <c r="A903" s="218"/>
      <c r="I903" s="218"/>
      <c r="J903" s="218"/>
      <c r="M903" s="218"/>
      <c r="N903" s="218"/>
    </row>
    <row r="904" spans="1:14" ht="14.25" customHeight="1" x14ac:dyDescent="0.25">
      <c r="A904" s="218"/>
      <c r="I904" s="218"/>
      <c r="J904" s="218"/>
      <c r="M904" s="218"/>
      <c r="N904" s="218"/>
    </row>
    <row r="905" spans="1:14" ht="14.25" customHeight="1" x14ac:dyDescent="0.25">
      <c r="A905" s="218"/>
      <c r="I905" s="218"/>
      <c r="J905" s="218"/>
      <c r="M905" s="218"/>
      <c r="N905" s="218"/>
    </row>
    <row r="906" spans="1:14" ht="14.25" customHeight="1" x14ac:dyDescent="0.25">
      <c r="A906" s="218"/>
      <c r="I906" s="218"/>
      <c r="J906" s="218"/>
      <c r="M906" s="218"/>
      <c r="N906" s="218"/>
    </row>
    <row r="907" spans="1:14" ht="14.25" customHeight="1" x14ac:dyDescent="0.25">
      <c r="A907" s="218"/>
      <c r="I907" s="218"/>
      <c r="J907" s="218"/>
      <c r="M907" s="218"/>
      <c r="N907" s="218"/>
    </row>
    <row r="908" spans="1:14" ht="14.25" customHeight="1" x14ac:dyDescent="0.25">
      <c r="A908" s="218"/>
      <c r="I908" s="218"/>
      <c r="J908" s="218"/>
      <c r="M908" s="218"/>
      <c r="N908" s="218"/>
    </row>
    <row r="909" spans="1:14" ht="14.25" customHeight="1" x14ac:dyDescent="0.25">
      <c r="A909" s="218"/>
      <c r="I909" s="218"/>
      <c r="J909" s="218"/>
      <c r="M909" s="218"/>
      <c r="N909" s="218"/>
    </row>
    <row r="910" spans="1:14" ht="14.25" customHeight="1" x14ac:dyDescent="0.25">
      <c r="A910" s="218"/>
      <c r="I910" s="218"/>
      <c r="J910" s="218"/>
      <c r="M910" s="218"/>
      <c r="N910" s="218"/>
    </row>
    <row r="911" spans="1:14" ht="14.25" customHeight="1" x14ac:dyDescent="0.25">
      <c r="A911" s="218"/>
      <c r="I911" s="218"/>
      <c r="J911" s="218"/>
      <c r="M911" s="218"/>
      <c r="N911" s="218"/>
    </row>
    <row r="912" spans="1:14" ht="14.25" customHeight="1" x14ac:dyDescent="0.25">
      <c r="A912" s="218"/>
      <c r="I912" s="218"/>
      <c r="J912" s="218"/>
      <c r="M912" s="218"/>
      <c r="N912" s="218"/>
    </row>
    <row r="913" spans="1:14" ht="14.25" customHeight="1" x14ac:dyDescent="0.25">
      <c r="A913" s="218"/>
      <c r="I913" s="218"/>
      <c r="J913" s="218"/>
      <c r="M913" s="218"/>
      <c r="N913" s="218"/>
    </row>
    <row r="914" spans="1:14" ht="14.25" customHeight="1" x14ac:dyDescent="0.25">
      <c r="A914" s="218"/>
      <c r="I914" s="218"/>
      <c r="J914" s="218"/>
      <c r="M914" s="218"/>
      <c r="N914" s="218"/>
    </row>
    <row r="915" spans="1:14" ht="14.25" customHeight="1" x14ac:dyDescent="0.25">
      <c r="A915" s="218"/>
      <c r="I915" s="218"/>
      <c r="J915" s="218"/>
      <c r="M915" s="218"/>
      <c r="N915" s="218"/>
    </row>
    <row r="916" spans="1:14" ht="14.25" customHeight="1" x14ac:dyDescent="0.25">
      <c r="A916" s="218"/>
      <c r="I916" s="218"/>
      <c r="J916" s="218"/>
      <c r="M916" s="218"/>
      <c r="N916" s="218"/>
    </row>
    <row r="917" spans="1:14" ht="14.25" customHeight="1" x14ac:dyDescent="0.25">
      <c r="A917" s="218"/>
      <c r="I917" s="218"/>
      <c r="J917" s="218"/>
      <c r="M917" s="218"/>
      <c r="N917" s="218"/>
    </row>
    <row r="918" spans="1:14" ht="14.25" customHeight="1" x14ac:dyDescent="0.25">
      <c r="A918" s="218"/>
      <c r="I918" s="218"/>
      <c r="J918" s="218"/>
      <c r="M918" s="218"/>
      <c r="N918" s="218"/>
    </row>
    <row r="919" spans="1:14" ht="14.25" customHeight="1" x14ac:dyDescent="0.25">
      <c r="A919" s="218"/>
      <c r="I919" s="218"/>
      <c r="J919" s="218"/>
      <c r="M919" s="218"/>
      <c r="N919" s="218"/>
    </row>
    <row r="920" spans="1:14" ht="14.25" customHeight="1" x14ac:dyDescent="0.25">
      <c r="A920" s="218"/>
      <c r="I920" s="218"/>
      <c r="J920" s="218"/>
      <c r="M920" s="218"/>
      <c r="N920" s="218"/>
    </row>
    <row r="921" spans="1:14" ht="14.25" customHeight="1" x14ac:dyDescent="0.25">
      <c r="A921" s="218"/>
      <c r="I921" s="218"/>
      <c r="J921" s="218"/>
      <c r="M921" s="218"/>
      <c r="N921" s="218"/>
    </row>
    <row r="922" spans="1:14" ht="14.25" customHeight="1" x14ac:dyDescent="0.25">
      <c r="A922" s="218"/>
      <c r="I922" s="218"/>
      <c r="J922" s="218"/>
      <c r="M922" s="218"/>
      <c r="N922" s="218"/>
    </row>
    <row r="923" spans="1:14" ht="14.25" customHeight="1" x14ac:dyDescent="0.25">
      <c r="A923" s="218"/>
      <c r="I923" s="218"/>
      <c r="J923" s="218"/>
      <c r="M923" s="218"/>
      <c r="N923" s="218"/>
    </row>
    <row r="924" spans="1:14" ht="14.25" customHeight="1" x14ac:dyDescent="0.25">
      <c r="A924" s="218"/>
      <c r="I924" s="218"/>
      <c r="J924" s="218"/>
      <c r="M924" s="218"/>
      <c r="N924" s="218"/>
    </row>
    <row r="925" spans="1:14" ht="14.25" customHeight="1" x14ac:dyDescent="0.25">
      <c r="A925" s="218"/>
      <c r="I925" s="218"/>
      <c r="J925" s="218"/>
      <c r="M925" s="218"/>
      <c r="N925" s="218"/>
    </row>
    <row r="926" spans="1:14" ht="14.25" customHeight="1" x14ac:dyDescent="0.25">
      <c r="A926" s="218"/>
      <c r="I926" s="218"/>
      <c r="J926" s="218"/>
      <c r="M926" s="218"/>
      <c r="N926" s="218"/>
    </row>
    <row r="927" spans="1:14" ht="14.25" customHeight="1" x14ac:dyDescent="0.25">
      <c r="A927" s="218"/>
      <c r="I927" s="218"/>
      <c r="J927" s="218"/>
      <c r="M927" s="218"/>
      <c r="N927" s="218"/>
    </row>
    <row r="928" spans="1:14" ht="14.25" customHeight="1" x14ac:dyDescent="0.25">
      <c r="A928" s="218"/>
      <c r="I928" s="218"/>
      <c r="J928" s="218"/>
      <c r="M928" s="218"/>
      <c r="N928" s="218"/>
    </row>
    <row r="929" spans="1:14" ht="14.25" customHeight="1" x14ac:dyDescent="0.25">
      <c r="A929" s="218"/>
      <c r="I929" s="218"/>
      <c r="J929" s="218"/>
      <c r="M929" s="218"/>
      <c r="N929" s="218"/>
    </row>
    <row r="930" spans="1:14" ht="14.25" customHeight="1" x14ac:dyDescent="0.25">
      <c r="A930" s="218"/>
      <c r="I930" s="218"/>
      <c r="J930" s="218"/>
      <c r="M930" s="218"/>
      <c r="N930" s="218"/>
    </row>
    <row r="931" spans="1:14" ht="14.25" customHeight="1" x14ac:dyDescent="0.25">
      <c r="A931" s="218"/>
      <c r="I931" s="218"/>
      <c r="J931" s="218"/>
      <c r="M931" s="218"/>
      <c r="N931" s="218"/>
    </row>
    <row r="932" spans="1:14" ht="14.25" customHeight="1" x14ac:dyDescent="0.25">
      <c r="A932" s="218"/>
      <c r="I932" s="218"/>
      <c r="J932" s="218"/>
      <c r="M932" s="218"/>
      <c r="N932" s="218"/>
    </row>
    <row r="933" spans="1:14" ht="14.25" customHeight="1" x14ac:dyDescent="0.25">
      <c r="A933" s="218"/>
      <c r="I933" s="218"/>
      <c r="J933" s="218"/>
      <c r="M933" s="218"/>
      <c r="N933" s="218"/>
    </row>
    <row r="934" spans="1:14" ht="14.25" customHeight="1" x14ac:dyDescent="0.25">
      <c r="A934" s="218"/>
      <c r="I934" s="218"/>
      <c r="J934" s="218"/>
      <c r="M934" s="218"/>
      <c r="N934" s="218"/>
    </row>
    <row r="935" spans="1:14" ht="14.25" customHeight="1" x14ac:dyDescent="0.25">
      <c r="A935" s="218"/>
      <c r="I935" s="218"/>
      <c r="J935" s="218"/>
      <c r="M935" s="218"/>
      <c r="N935" s="218"/>
    </row>
    <row r="936" spans="1:14" ht="14.25" customHeight="1" x14ac:dyDescent="0.25">
      <c r="A936" s="218"/>
      <c r="I936" s="218"/>
      <c r="J936" s="218"/>
      <c r="M936" s="218"/>
      <c r="N936" s="218"/>
    </row>
    <row r="937" spans="1:14" ht="14.25" customHeight="1" x14ac:dyDescent="0.25">
      <c r="A937" s="218"/>
      <c r="I937" s="218"/>
      <c r="J937" s="218"/>
      <c r="M937" s="218"/>
      <c r="N937" s="218"/>
    </row>
    <row r="938" spans="1:14" ht="14.25" customHeight="1" x14ac:dyDescent="0.25">
      <c r="A938" s="218"/>
      <c r="I938" s="218"/>
      <c r="J938" s="218"/>
      <c r="M938" s="218"/>
      <c r="N938" s="218"/>
    </row>
    <row r="939" spans="1:14" ht="14.25" customHeight="1" x14ac:dyDescent="0.25">
      <c r="A939" s="218"/>
      <c r="I939" s="218"/>
      <c r="J939" s="218"/>
      <c r="M939" s="218"/>
      <c r="N939" s="218"/>
    </row>
    <row r="940" spans="1:14" ht="14.25" customHeight="1" x14ac:dyDescent="0.25">
      <c r="A940" s="218"/>
      <c r="I940" s="218"/>
      <c r="J940" s="218"/>
      <c r="M940" s="218"/>
      <c r="N940" s="218"/>
    </row>
    <row r="941" spans="1:14" ht="14.25" customHeight="1" x14ac:dyDescent="0.25">
      <c r="A941" s="218"/>
      <c r="I941" s="218"/>
      <c r="J941" s="218"/>
      <c r="M941" s="218"/>
      <c r="N941" s="218"/>
    </row>
    <row r="942" spans="1:14" ht="14.25" customHeight="1" x14ac:dyDescent="0.25">
      <c r="A942" s="218"/>
      <c r="I942" s="218"/>
      <c r="J942" s="218"/>
      <c r="M942" s="218"/>
      <c r="N942" s="218"/>
    </row>
    <row r="943" spans="1:14" ht="14.25" customHeight="1" x14ac:dyDescent="0.25">
      <c r="A943" s="218"/>
      <c r="I943" s="218"/>
      <c r="J943" s="218"/>
      <c r="M943" s="218"/>
      <c r="N943" s="218"/>
    </row>
    <row r="944" spans="1:14" ht="14.25" customHeight="1" x14ac:dyDescent="0.25">
      <c r="A944" s="218"/>
      <c r="I944" s="218"/>
      <c r="J944" s="218"/>
      <c r="M944" s="218"/>
      <c r="N944" s="218"/>
    </row>
    <row r="945" spans="1:14" ht="14.25" customHeight="1" x14ac:dyDescent="0.25">
      <c r="A945" s="218"/>
      <c r="I945" s="218"/>
      <c r="J945" s="218"/>
      <c r="M945" s="218"/>
      <c r="N945" s="218"/>
    </row>
    <row r="946" spans="1:14" ht="14.25" customHeight="1" x14ac:dyDescent="0.25">
      <c r="A946" s="218"/>
      <c r="I946" s="218"/>
      <c r="J946" s="218"/>
      <c r="M946" s="218"/>
      <c r="N946" s="218"/>
    </row>
    <row r="947" spans="1:14" ht="14.25" customHeight="1" x14ac:dyDescent="0.25">
      <c r="A947" s="218"/>
      <c r="I947" s="218"/>
      <c r="J947" s="218"/>
      <c r="M947" s="218"/>
      <c r="N947" s="218"/>
    </row>
    <row r="948" spans="1:14" ht="14.25" customHeight="1" x14ac:dyDescent="0.25">
      <c r="A948" s="218"/>
      <c r="I948" s="218"/>
      <c r="J948" s="218"/>
      <c r="M948" s="218"/>
      <c r="N948" s="218"/>
    </row>
    <row r="949" spans="1:14" ht="14.25" customHeight="1" x14ac:dyDescent="0.25">
      <c r="A949" s="218"/>
      <c r="I949" s="218"/>
      <c r="J949" s="218"/>
      <c r="M949" s="218"/>
      <c r="N949" s="218"/>
    </row>
    <row r="950" spans="1:14" ht="14.25" customHeight="1" x14ac:dyDescent="0.25">
      <c r="A950" s="218"/>
      <c r="I950" s="218"/>
      <c r="J950" s="218"/>
      <c r="M950" s="218"/>
      <c r="N950" s="218"/>
    </row>
    <row r="951" spans="1:14" ht="14.25" customHeight="1" x14ac:dyDescent="0.25">
      <c r="A951" s="218"/>
      <c r="I951" s="218"/>
      <c r="J951" s="218"/>
      <c r="M951" s="218"/>
      <c r="N951" s="218"/>
    </row>
    <row r="952" spans="1:14" ht="14.25" customHeight="1" x14ac:dyDescent="0.25">
      <c r="A952" s="218"/>
      <c r="I952" s="218"/>
      <c r="J952" s="218"/>
      <c r="M952" s="218"/>
      <c r="N952" s="218"/>
    </row>
    <row r="953" spans="1:14" ht="14.25" customHeight="1" x14ac:dyDescent="0.25">
      <c r="A953" s="218"/>
      <c r="I953" s="218"/>
      <c r="J953" s="218"/>
      <c r="M953" s="218"/>
      <c r="N953" s="218"/>
    </row>
    <row r="954" spans="1:14" ht="14.25" customHeight="1" x14ac:dyDescent="0.25">
      <c r="A954" s="218"/>
      <c r="I954" s="218"/>
      <c r="J954" s="218"/>
      <c r="M954" s="218"/>
      <c r="N954" s="218"/>
    </row>
    <row r="955" spans="1:14" ht="14.25" customHeight="1" x14ac:dyDescent="0.25">
      <c r="A955" s="218"/>
      <c r="I955" s="218"/>
      <c r="J955" s="218"/>
      <c r="M955" s="218"/>
      <c r="N955" s="218"/>
    </row>
    <row r="956" spans="1:14" ht="14.25" customHeight="1" x14ac:dyDescent="0.25">
      <c r="A956" s="218"/>
      <c r="I956" s="218"/>
      <c r="J956" s="218"/>
      <c r="M956" s="218"/>
      <c r="N956" s="218"/>
    </row>
    <row r="957" spans="1:14" ht="14.25" customHeight="1" x14ac:dyDescent="0.25">
      <c r="A957" s="218"/>
      <c r="I957" s="218"/>
      <c r="J957" s="218"/>
      <c r="M957" s="218"/>
      <c r="N957" s="218"/>
    </row>
    <row r="958" spans="1:14" ht="14.25" customHeight="1" x14ac:dyDescent="0.25">
      <c r="A958" s="218"/>
      <c r="I958" s="218"/>
      <c r="J958" s="218"/>
      <c r="M958" s="218"/>
      <c r="N958" s="218"/>
    </row>
    <row r="959" spans="1:14" ht="14.25" customHeight="1" x14ac:dyDescent="0.25">
      <c r="A959" s="218"/>
      <c r="I959" s="218"/>
      <c r="J959" s="218"/>
      <c r="M959" s="218"/>
      <c r="N959" s="218"/>
    </row>
    <row r="960" spans="1:14" ht="14.25" customHeight="1" x14ac:dyDescent="0.25">
      <c r="A960" s="218"/>
      <c r="I960" s="218"/>
      <c r="J960" s="218"/>
      <c r="M960" s="218"/>
      <c r="N960" s="218"/>
    </row>
    <row r="961" spans="1:14" ht="14.25" customHeight="1" x14ac:dyDescent="0.25">
      <c r="A961" s="218"/>
      <c r="I961" s="218"/>
      <c r="J961" s="218"/>
      <c r="M961" s="218"/>
      <c r="N961" s="218"/>
    </row>
    <row r="962" spans="1:14" ht="14.25" customHeight="1" x14ac:dyDescent="0.25">
      <c r="A962" s="218"/>
      <c r="I962" s="218"/>
      <c r="J962" s="218"/>
      <c r="M962" s="218"/>
      <c r="N962" s="218"/>
    </row>
    <row r="963" spans="1:14" ht="14.25" customHeight="1" x14ac:dyDescent="0.25">
      <c r="A963" s="218"/>
      <c r="I963" s="218"/>
      <c r="J963" s="218"/>
      <c r="M963" s="218"/>
      <c r="N963" s="218"/>
    </row>
    <row r="964" spans="1:14" ht="14.25" customHeight="1" x14ac:dyDescent="0.25">
      <c r="A964" s="218"/>
      <c r="I964" s="218"/>
      <c r="J964" s="218"/>
      <c r="M964" s="218"/>
      <c r="N964" s="218"/>
    </row>
    <row r="965" spans="1:14" ht="14.25" customHeight="1" x14ac:dyDescent="0.25">
      <c r="A965" s="218"/>
      <c r="I965" s="218"/>
      <c r="J965" s="218"/>
      <c r="M965" s="218"/>
      <c r="N965" s="218"/>
    </row>
    <row r="966" spans="1:14" ht="14.25" customHeight="1" x14ac:dyDescent="0.25">
      <c r="A966" s="218"/>
      <c r="I966" s="218"/>
      <c r="J966" s="218"/>
      <c r="M966" s="218"/>
      <c r="N966" s="218"/>
    </row>
    <row r="967" spans="1:14" ht="14.25" customHeight="1" x14ac:dyDescent="0.25">
      <c r="A967" s="218"/>
      <c r="I967" s="218"/>
      <c r="J967" s="218"/>
      <c r="M967" s="218"/>
      <c r="N967" s="218"/>
    </row>
    <row r="968" spans="1:14" ht="14.25" customHeight="1" x14ac:dyDescent="0.25">
      <c r="A968" s="218"/>
      <c r="I968" s="218"/>
      <c r="J968" s="218"/>
      <c r="M968" s="218"/>
      <c r="N968" s="218"/>
    </row>
    <row r="969" spans="1:14" ht="14.25" customHeight="1" x14ac:dyDescent="0.25">
      <c r="A969" s="218"/>
      <c r="I969" s="218"/>
      <c r="J969" s="218"/>
      <c r="M969" s="218"/>
      <c r="N969" s="218"/>
    </row>
    <row r="970" spans="1:14" ht="14.25" customHeight="1" x14ac:dyDescent="0.25">
      <c r="A970" s="218"/>
      <c r="I970" s="218"/>
      <c r="J970" s="218"/>
      <c r="M970" s="218"/>
      <c r="N970" s="218"/>
    </row>
    <row r="971" spans="1:14" ht="14.25" customHeight="1" x14ac:dyDescent="0.25">
      <c r="A971" s="218"/>
      <c r="I971" s="218"/>
      <c r="J971" s="218"/>
      <c r="M971" s="218"/>
      <c r="N971" s="218"/>
    </row>
    <row r="972" spans="1:14" ht="14.25" customHeight="1" x14ac:dyDescent="0.25">
      <c r="A972" s="218"/>
      <c r="I972" s="218"/>
      <c r="J972" s="218"/>
      <c r="M972" s="218"/>
      <c r="N972" s="218"/>
    </row>
    <row r="973" spans="1:14" ht="14.25" customHeight="1" x14ac:dyDescent="0.25">
      <c r="A973" s="218"/>
      <c r="I973" s="218"/>
      <c r="J973" s="218"/>
      <c r="M973" s="218"/>
      <c r="N973" s="218"/>
    </row>
    <row r="974" spans="1:14" ht="14.25" customHeight="1" x14ac:dyDescent="0.25">
      <c r="A974" s="218"/>
      <c r="I974" s="218"/>
      <c r="J974" s="218"/>
      <c r="M974" s="218"/>
      <c r="N974" s="218"/>
    </row>
    <row r="975" spans="1:14" ht="14.25" customHeight="1" x14ac:dyDescent="0.25">
      <c r="A975" s="218"/>
      <c r="I975" s="218"/>
      <c r="J975" s="218"/>
      <c r="M975" s="218"/>
      <c r="N975" s="218"/>
    </row>
    <row r="976" spans="1:14" ht="14.25" customHeight="1" x14ac:dyDescent="0.25">
      <c r="A976" s="218"/>
      <c r="I976" s="218"/>
      <c r="J976" s="218"/>
      <c r="M976" s="218"/>
      <c r="N976" s="218"/>
    </row>
    <row r="977" spans="1:14" ht="14.25" customHeight="1" x14ac:dyDescent="0.25">
      <c r="A977" s="218"/>
      <c r="I977" s="218"/>
      <c r="J977" s="218"/>
      <c r="M977" s="218"/>
      <c r="N977" s="218"/>
    </row>
    <row r="978" spans="1:14" ht="14.25" customHeight="1" x14ac:dyDescent="0.25">
      <c r="A978" s="218"/>
      <c r="I978" s="218"/>
      <c r="J978" s="218"/>
      <c r="M978" s="218"/>
      <c r="N978" s="218"/>
    </row>
    <row r="979" spans="1:14" ht="14.25" customHeight="1" x14ac:dyDescent="0.25">
      <c r="A979" s="218"/>
      <c r="I979" s="218"/>
      <c r="J979" s="218"/>
      <c r="M979" s="218"/>
      <c r="N979" s="218"/>
    </row>
    <row r="980" spans="1:14" ht="14.25" customHeight="1" x14ac:dyDescent="0.25">
      <c r="A980" s="218"/>
      <c r="I980" s="218"/>
      <c r="J980" s="218"/>
      <c r="M980" s="218"/>
      <c r="N980" s="218"/>
    </row>
    <row r="981" spans="1:14" ht="14.25" customHeight="1" x14ac:dyDescent="0.25">
      <c r="A981" s="218"/>
      <c r="I981" s="218"/>
      <c r="J981" s="218"/>
      <c r="M981" s="218"/>
      <c r="N981" s="218"/>
    </row>
    <row r="982" spans="1:14" ht="14.25" customHeight="1" x14ac:dyDescent="0.25">
      <c r="A982" s="218"/>
      <c r="I982" s="218"/>
      <c r="J982" s="218"/>
      <c r="M982" s="218"/>
      <c r="N982" s="218"/>
    </row>
    <row r="983" spans="1:14" ht="14.25" customHeight="1" x14ac:dyDescent="0.25">
      <c r="A983" s="218"/>
      <c r="I983" s="218"/>
      <c r="J983" s="218"/>
      <c r="M983" s="218"/>
      <c r="N983" s="218"/>
    </row>
    <row r="984" spans="1:14" ht="14.25" customHeight="1" x14ac:dyDescent="0.25">
      <c r="A984" s="218"/>
      <c r="I984" s="218"/>
      <c r="J984" s="218"/>
      <c r="M984" s="218"/>
      <c r="N984" s="218"/>
    </row>
    <row r="985" spans="1:14" ht="14.25" customHeight="1" x14ac:dyDescent="0.25">
      <c r="A985" s="218"/>
      <c r="I985" s="218"/>
      <c r="J985" s="218"/>
      <c r="M985" s="218"/>
      <c r="N985" s="218"/>
    </row>
  </sheetData>
  <mergeCells count="5">
    <mergeCell ref="A5:N5"/>
    <mergeCell ref="A7:N7"/>
    <mergeCell ref="B9:H9"/>
    <mergeCell ref="K9:L9"/>
    <mergeCell ref="K14:L14"/>
  </mergeCells>
  <pageMargins left="0.511811024" right="0.511811024" top="0.78740157499999996" bottom="0.78740157499999996" header="0" footer="0"/>
  <pageSetup paperSize="9" orientation="portrait"/>
  <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CA413-B84E-4F21-BDF8-BE523108E400}">
  <dimension ref="A1:J31"/>
  <sheetViews>
    <sheetView showGridLines="0" topLeftCell="A6" zoomScale="87" zoomScaleNormal="87" zoomScaleSheetLayoutView="95" workbookViewId="0">
      <selection activeCell="G23" sqref="G23:G25"/>
    </sheetView>
  </sheetViews>
  <sheetFormatPr defaultColWidth="9.140625" defaultRowHeight="12.75" x14ac:dyDescent="0.25"/>
  <cols>
    <col min="1" max="1" width="45" style="1" bestFit="1" customWidth="1"/>
    <col min="2" max="2" width="14" style="114" customWidth="1"/>
    <col min="3" max="3" width="7.5703125" style="113" customWidth="1"/>
    <col min="4" max="4" width="10.7109375" style="112" customWidth="1"/>
    <col min="5" max="5" width="15.85546875" style="1" customWidth="1"/>
    <col min="6" max="6" width="15.140625" style="1" customWidth="1"/>
    <col min="7" max="7" width="17.7109375" style="1" customWidth="1"/>
    <col min="8" max="8" width="13.140625" style="1" bestFit="1" customWidth="1"/>
    <col min="9" max="9" width="9.140625" style="1"/>
    <col min="10" max="10" width="12.85546875" style="1" bestFit="1" customWidth="1"/>
    <col min="11" max="11" width="12" style="1" bestFit="1" customWidth="1"/>
    <col min="12" max="16384" width="9.140625" style="1"/>
  </cols>
  <sheetData>
    <row r="1" spans="1:10" x14ac:dyDescent="0.25">
      <c r="B1" s="2"/>
      <c r="C1" s="1"/>
      <c r="D1" s="1"/>
      <c r="G1" s="161"/>
      <c r="H1" s="161"/>
      <c r="I1" s="2"/>
    </row>
    <row r="2" spans="1:10" ht="12.75" customHeight="1" x14ac:dyDescent="0.25">
      <c r="A2" s="280" t="s">
        <v>188</v>
      </c>
      <c r="B2" s="2"/>
      <c r="C2" s="1"/>
      <c r="D2" s="1"/>
      <c r="G2" s="166"/>
      <c r="H2" s="166"/>
      <c r="I2" s="2"/>
    </row>
    <row r="3" spans="1:10" ht="12.75" customHeight="1" x14ac:dyDescent="0.25">
      <c r="A3" s="281"/>
      <c r="B3" s="2"/>
      <c r="C3" s="1"/>
      <c r="D3" s="1"/>
      <c r="G3" s="166"/>
      <c r="H3" s="166"/>
      <c r="I3" s="2"/>
    </row>
    <row r="4" spans="1:10" ht="12.75" customHeight="1" x14ac:dyDescent="0.25">
      <c r="A4" s="281"/>
      <c r="B4" s="2"/>
      <c r="C4" s="1"/>
      <c r="D4" s="1"/>
      <c r="G4" s="166"/>
      <c r="H4" s="166"/>
      <c r="I4" s="2"/>
    </row>
    <row r="5" spans="1:10" ht="13.5" thickBot="1" x14ac:dyDescent="0.3">
      <c r="A5" s="165"/>
      <c r="B5" s="164"/>
      <c r="C5" s="164"/>
      <c r="D5" s="164"/>
      <c r="E5" s="164"/>
      <c r="F5" s="164"/>
      <c r="G5" s="163"/>
      <c r="H5" s="163"/>
      <c r="I5" s="2"/>
    </row>
    <row r="6" spans="1:10" x14ac:dyDescent="0.25">
      <c r="A6" s="162"/>
      <c r="B6" s="2"/>
      <c r="C6" s="1"/>
      <c r="D6" s="1"/>
      <c r="G6" s="161"/>
      <c r="H6" s="161"/>
      <c r="I6" s="2"/>
    </row>
    <row r="7" spans="1:10" x14ac:dyDescent="0.25">
      <c r="A7" s="160" t="s">
        <v>187</v>
      </c>
      <c r="B7" s="159"/>
      <c r="C7" s="158"/>
      <c r="D7" s="158"/>
      <c r="E7" s="158"/>
      <c r="F7" s="158"/>
      <c r="G7" s="158"/>
      <c r="H7" s="157"/>
      <c r="I7" s="2"/>
    </row>
    <row r="8" spans="1:10" x14ac:dyDescent="0.25">
      <c r="A8" s="156" t="s">
        <v>0</v>
      </c>
      <c r="B8" s="155"/>
      <c r="C8" s="154"/>
      <c r="D8" s="154"/>
      <c r="E8" s="154"/>
      <c r="F8" s="154"/>
      <c r="G8" s="154"/>
      <c r="H8" s="153"/>
      <c r="I8" s="2"/>
    </row>
    <row r="9" spans="1:10" ht="15" customHeight="1" x14ac:dyDescent="0.25">
      <c r="A9" s="152" t="s">
        <v>186</v>
      </c>
      <c r="B9" s="151">
        <v>45471</v>
      </c>
      <c r="C9" s="150"/>
      <c r="D9" s="150"/>
      <c r="E9" s="150"/>
      <c r="F9" s="150"/>
      <c r="G9" s="150"/>
      <c r="H9" s="149"/>
    </row>
    <row r="10" spans="1:10" x14ac:dyDescent="0.25">
      <c r="A10" s="148" t="s">
        <v>1</v>
      </c>
      <c r="B10" s="147" t="s">
        <v>185</v>
      </c>
      <c r="C10" s="146"/>
      <c r="D10" s="146"/>
      <c r="E10" s="146"/>
      <c r="F10" s="146"/>
      <c r="G10" s="146"/>
      <c r="H10" s="145"/>
    </row>
    <row r="12" spans="1:10" x14ac:dyDescent="0.25">
      <c r="A12" s="144" t="s">
        <v>195</v>
      </c>
      <c r="B12" s="143"/>
      <c r="C12" s="142"/>
      <c r="D12" s="141"/>
      <c r="E12" s="140"/>
      <c r="F12" s="140"/>
      <c r="G12" s="140"/>
      <c r="H12" s="139"/>
    </row>
    <row r="13" spans="1:10" ht="15.95" customHeight="1" x14ac:dyDescent="0.25">
      <c r="A13" s="138"/>
      <c r="B13" s="137"/>
      <c r="C13" s="136"/>
      <c r="D13" s="135"/>
      <c r="E13" s="135"/>
      <c r="F13" s="135"/>
      <c r="H13" s="131"/>
      <c r="J13" s="115"/>
    </row>
    <row r="14" spans="1:10" ht="15.95" customHeight="1" x14ac:dyDescent="0.25">
      <c r="A14" s="134" t="s">
        <v>14</v>
      </c>
      <c r="B14" s="287" t="s">
        <v>18</v>
      </c>
      <c r="C14" s="288"/>
      <c r="D14" s="289" t="s">
        <v>5</v>
      </c>
      <c r="E14" s="290"/>
      <c r="F14" s="133" t="s">
        <v>183</v>
      </c>
      <c r="G14" s="132" t="s">
        <v>16</v>
      </c>
      <c r="H14" s="131"/>
      <c r="J14" s="115"/>
    </row>
    <row r="15" spans="1:10" ht="15.95" customHeight="1" x14ac:dyDescent="0.25">
      <c r="A15" s="174" t="s">
        <v>333</v>
      </c>
      <c r="B15" s="124">
        <f>PISO!L21</f>
        <v>977.1</v>
      </c>
      <c r="C15" s="129" t="s">
        <v>2</v>
      </c>
      <c r="D15" s="128">
        <v>16.5</v>
      </c>
      <c r="E15" s="130" t="s">
        <v>171</v>
      </c>
      <c r="F15" s="126" t="s">
        <v>170</v>
      </c>
      <c r="G15" s="125">
        <f>D15*B15*1.1</f>
        <v>17734.365000000002</v>
      </c>
      <c r="H15" s="131"/>
    </row>
    <row r="16" spans="1:10" ht="15.95" customHeight="1" x14ac:dyDescent="0.25">
      <c r="A16" s="174" t="s">
        <v>334</v>
      </c>
      <c r="B16" s="124">
        <f>PISO!L19+PISO!L17</f>
        <v>319.14999999999998</v>
      </c>
      <c r="C16" s="129" t="s">
        <v>2</v>
      </c>
      <c r="D16" s="128">
        <f>25-D20</f>
        <v>4</v>
      </c>
      <c r="E16" s="130" t="s">
        <v>171</v>
      </c>
      <c r="F16" s="126" t="s">
        <v>170</v>
      </c>
      <c r="G16" s="125">
        <f>D16*B16*1.1</f>
        <v>1404.26</v>
      </c>
      <c r="H16" s="131"/>
    </row>
    <row r="17" spans="1:8" ht="15.95" customHeight="1" x14ac:dyDescent="0.25">
      <c r="A17" s="174" t="s">
        <v>362</v>
      </c>
      <c r="B17" s="124">
        <f>PISO!L18</f>
        <v>367.99560000000002</v>
      </c>
      <c r="C17" s="129" t="s">
        <v>2</v>
      </c>
      <c r="D17" s="128">
        <f>28-D21</f>
        <v>4</v>
      </c>
      <c r="E17" s="130" t="s">
        <v>171</v>
      </c>
      <c r="F17" s="126" t="s">
        <v>170</v>
      </c>
      <c r="G17" s="125">
        <f>D17*B17*1.1</f>
        <v>1619.1806400000003</v>
      </c>
      <c r="H17" s="131"/>
    </row>
    <row r="18" spans="1:8" ht="15.95" customHeight="1" x14ac:dyDescent="0.25">
      <c r="A18" s="172" t="s">
        <v>194</v>
      </c>
      <c r="B18" s="124">
        <f>PISO!L11</f>
        <v>5455.6</v>
      </c>
      <c r="C18" s="129" t="s">
        <v>2</v>
      </c>
      <c r="D18" s="128">
        <f>B18/DADOS_INICIAIS!E9</f>
        <v>0.6399268065240723</v>
      </c>
      <c r="E18" s="130" t="s">
        <v>190</v>
      </c>
      <c r="F18" s="126" t="s">
        <v>170</v>
      </c>
      <c r="G18" s="125">
        <f>+B18*(65-D22)*1.1</f>
        <v>240046.40000000002</v>
      </c>
      <c r="H18" s="131"/>
    </row>
    <row r="19" spans="1:8" ht="15.95" customHeight="1" x14ac:dyDescent="0.25">
      <c r="A19" s="172" t="s">
        <v>193</v>
      </c>
      <c r="B19" s="124">
        <f>PISO!H38+PISO!H37</f>
        <v>4664.1000000000004</v>
      </c>
      <c r="C19" s="129" t="s">
        <v>2</v>
      </c>
      <c r="D19" s="128">
        <f>B19/DADOS_INICIAIS!E9</f>
        <v>0.54708604338824796</v>
      </c>
      <c r="E19" s="130" t="s">
        <v>190</v>
      </c>
      <c r="F19" s="126" t="s">
        <v>170</v>
      </c>
      <c r="G19" s="125">
        <f>+B19*25*1.1</f>
        <v>128262.75000000003</v>
      </c>
      <c r="H19" s="131"/>
    </row>
    <row r="20" spans="1:8" ht="15.95" customHeight="1" x14ac:dyDescent="0.25">
      <c r="A20" s="173" t="s">
        <v>374</v>
      </c>
      <c r="B20" s="171">
        <f>B16</f>
        <v>319.14999999999998</v>
      </c>
      <c r="C20" s="129" t="s">
        <v>2</v>
      </c>
      <c r="D20" s="169">
        <v>21</v>
      </c>
      <c r="E20" s="127"/>
      <c r="F20" s="168"/>
      <c r="G20" s="125">
        <f>D20*B20*1.1</f>
        <v>7372.3649999999998</v>
      </c>
      <c r="H20" s="131">
        <f t="shared" ref="H20:H21" si="0">G20/B20</f>
        <v>23.1</v>
      </c>
    </row>
    <row r="21" spans="1:8" ht="15.95" customHeight="1" x14ac:dyDescent="0.25">
      <c r="A21" s="173" t="s">
        <v>375</v>
      </c>
      <c r="B21" s="171">
        <f>B17</f>
        <v>367.99560000000002</v>
      </c>
      <c r="C21" s="129" t="s">
        <v>2</v>
      </c>
      <c r="D21" s="169">
        <v>24</v>
      </c>
      <c r="E21" s="127"/>
      <c r="F21" s="168"/>
      <c r="G21" s="125">
        <f t="shared" ref="G21:G22" si="1">D21*B21*1.1</f>
        <v>9715.0838400000011</v>
      </c>
      <c r="H21" s="131">
        <f t="shared" si="0"/>
        <v>26.400000000000002</v>
      </c>
    </row>
    <row r="22" spans="1:8" ht="15.95" customHeight="1" x14ac:dyDescent="0.25">
      <c r="A22" s="173" t="s">
        <v>376</v>
      </c>
      <c r="B22" s="171">
        <f>B18</f>
        <v>5455.6</v>
      </c>
      <c r="C22" s="129" t="s">
        <v>2</v>
      </c>
      <c r="D22" s="169">
        <v>25</v>
      </c>
      <c r="E22" s="127"/>
      <c r="F22" s="168"/>
      <c r="G22" s="125">
        <f t="shared" si="1"/>
        <v>150029</v>
      </c>
      <c r="H22" s="131">
        <f>G22/B22</f>
        <v>27.499999999999996</v>
      </c>
    </row>
    <row r="23" spans="1:8" ht="27" customHeight="1" x14ac:dyDescent="0.25">
      <c r="A23" s="173" t="s">
        <v>192</v>
      </c>
      <c r="B23" s="171">
        <f>DADOS_INICIAIS!E9*'Rev. Internos Piso e Parede'!D23</f>
        <v>18755.770000000004</v>
      </c>
      <c r="C23" s="170" t="s">
        <v>2</v>
      </c>
      <c r="D23" s="169">
        <v>2.2000000000000002</v>
      </c>
      <c r="E23" s="127" t="s">
        <v>190</v>
      </c>
      <c r="F23" s="168" t="s">
        <v>170</v>
      </c>
      <c r="G23" s="125">
        <f>+B23*5*1.1-G25*0.1</f>
        <v>30947.020499999999</v>
      </c>
      <c r="H23" s="123"/>
    </row>
    <row r="24" spans="1:8" ht="27" customHeight="1" x14ac:dyDescent="0.25">
      <c r="A24" s="172" t="s">
        <v>191</v>
      </c>
      <c r="B24" s="171">
        <f>DADOS_INICIAIS!E9*'Rev. Internos Piso e Parede'!D24</f>
        <v>18755.770000000004</v>
      </c>
      <c r="C24" s="170" t="s">
        <v>2</v>
      </c>
      <c r="D24" s="169">
        <v>2.2000000000000002</v>
      </c>
      <c r="E24" s="127" t="s">
        <v>190</v>
      </c>
      <c r="F24" s="168" t="s">
        <v>170</v>
      </c>
      <c r="G24" s="125">
        <f>50*B24*1.1-G25*0.9</f>
        <v>381679.91950000008</v>
      </c>
      <c r="H24" s="123"/>
    </row>
    <row r="25" spans="1:8" ht="27" customHeight="1" x14ac:dyDescent="0.25">
      <c r="A25" s="208" t="s">
        <v>377</v>
      </c>
      <c r="B25" s="210">
        <f>B24</f>
        <v>18755.770000000004</v>
      </c>
      <c r="C25" s="170" t="s">
        <v>2</v>
      </c>
      <c r="D25" s="211">
        <v>35</v>
      </c>
      <c r="E25" s="212"/>
      <c r="F25" s="213"/>
      <c r="G25" s="214">
        <f>D25*B25*1.1</f>
        <v>722097.14500000025</v>
      </c>
      <c r="H25" s="123">
        <f>G25/B25</f>
        <v>38.500000000000007</v>
      </c>
    </row>
    <row r="26" spans="1:8" ht="15.95" customHeight="1" x14ac:dyDescent="0.25">
      <c r="A26" s="285" t="s">
        <v>17</v>
      </c>
      <c r="B26" s="286"/>
      <c r="C26" s="286"/>
      <c r="D26" s="286"/>
      <c r="E26" s="286"/>
      <c r="F26" s="286"/>
      <c r="G26" s="122">
        <f>SUM(G15:G25)</f>
        <v>1690907.4894800005</v>
      </c>
      <c r="H26" s="121"/>
    </row>
    <row r="27" spans="1:8" ht="15.95" customHeight="1" x14ac:dyDescent="0.25">
      <c r="A27" s="283"/>
      <c r="B27" s="284"/>
      <c r="C27" s="284"/>
      <c r="D27" s="284"/>
      <c r="E27" s="284"/>
      <c r="F27" s="284"/>
      <c r="G27" s="167"/>
      <c r="H27" s="118"/>
    </row>
    <row r="29" spans="1:8" x14ac:dyDescent="0.25">
      <c r="A29" s="282" t="s">
        <v>189</v>
      </c>
      <c r="B29" s="282"/>
      <c r="C29" s="282"/>
      <c r="D29" s="282"/>
      <c r="E29" s="282"/>
      <c r="F29" s="282"/>
      <c r="G29" s="117">
        <f>G26</f>
        <v>1690907.4894800005</v>
      </c>
      <c r="H29" s="116">
        <f>G29/DADOS_INICIAIS!E9</f>
        <v>198.33877664612015</v>
      </c>
    </row>
    <row r="31" spans="1:8" x14ac:dyDescent="0.25">
      <c r="B31" s="114">
        <f>2*ALVENARIA!D17-'Rev. Fachada'!B15</f>
        <v>19876.348249999995</v>
      </c>
      <c r="H31" s="115">
        <f>H29/1.1</f>
        <v>180.30797876920013</v>
      </c>
    </row>
  </sheetData>
  <mergeCells count="6">
    <mergeCell ref="A2:A4"/>
    <mergeCell ref="A29:F29"/>
    <mergeCell ref="A27:F27"/>
    <mergeCell ref="A26:F26"/>
    <mergeCell ref="B14:C14"/>
    <mergeCell ref="D14:E14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23BA5-59B3-4B37-8482-3A07D04C966C}">
  <dimension ref="A1:L19"/>
  <sheetViews>
    <sheetView showGridLines="0" zoomScale="80" zoomScaleNormal="80" zoomScaleSheetLayoutView="95" workbookViewId="0">
      <selection activeCell="G10" sqref="G10:G13"/>
    </sheetView>
  </sheetViews>
  <sheetFormatPr defaultColWidth="9.140625" defaultRowHeight="15" x14ac:dyDescent="0.25"/>
  <cols>
    <col min="1" max="1" width="50.140625" style="55" customWidth="1"/>
    <col min="2" max="2" width="21.7109375" style="55" customWidth="1"/>
    <col min="3" max="3" width="26.5703125" style="55" customWidth="1"/>
    <col min="4" max="4" width="16.5703125" style="81" customWidth="1"/>
    <col min="5" max="5" width="19.5703125" style="82" customWidth="1"/>
    <col min="6" max="6" width="20.85546875" style="55" customWidth="1"/>
    <col min="7" max="7" width="23.5703125" style="55" customWidth="1"/>
    <col min="8" max="8" width="58.28515625" style="55" customWidth="1"/>
    <col min="9" max="9" width="11.28515625" style="55" customWidth="1"/>
    <col min="10" max="10" width="9.140625" style="55"/>
    <col min="11" max="11" width="11" style="55" bestFit="1" customWidth="1"/>
    <col min="12" max="12" width="11.28515625" style="55" bestFit="1" customWidth="1"/>
    <col min="13" max="13" width="9.140625" style="55"/>
    <col min="14" max="15" width="11" style="55" bestFit="1" customWidth="1"/>
    <col min="16" max="16384" width="9.140625" style="55"/>
  </cols>
  <sheetData>
    <row r="1" spans="1:12" x14ac:dyDescent="0.25">
      <c r="D1" s="79"/>
      <c r="E1" s="55"/>
      <c r="H1" s="80"/>
      <c r="I1" s="80"/>
      <c r="J1" s="79"/>
    </row>
    <row r="3" spans="1:12" ht="28.5" x14ac:dyDescent="0.25">
      <c r="A3" s="261" t="s">
        <v>324</v>
      </c>
      <c r="B3" s="272"/>
      <c r="C3" s="272"/>
      <c r="D3" s="262"/>
      <c r="E3" s="262"/>
      <c r="F3" s="262"/>
      <c r="G3" s="262"/>
      <c r="H3" s="263"/>
      <c r="J3" s="79"/>
    </row>
    <row r="4" spans="1:12" ht="19.5" x14ac:dyDescent="0.25">
      <c r="A4" s="189" t="s">
        <v>186</v>
      </c>
      <c r="B4" s="195">
        <v>45471</v>
      </c>
      <c r="C4" s="193"/>
      <c r="D4" s="193"/>
      <c r="E4" s="193"/>
      <c r="F4" s="193"/>
      <c r="G4" s="193"/>
      <c r="H4" s="194"/>
      <c r="J4" s="79"/>
    </row>
    <row r="5" spans="1:12" ht="19.5" x14ac:dyDescent="0.25">
      <c r="A5" s="189" t="s">
        <v>299</v>
      </c>
      <c r="B5" s="196" t="s">
        <v>216</v>
      </c>
      <c r="C5" s="191"/>
      <c r="D5" s="191"/>
      <c r="E5" s="191"/>
      <c r="F5" s="191"/>
      <c r="G5" s="191"/>
      <c r="H5" s="192"/>
      <c r="J5" s="79"/>
    </row>
    <row r="6" spans="1:12" ht="21.75" x14ac:dyDescent="0.25">
      <c r="A6" s="83"/>
      <c r="B6" s="83"/>
      <c r="C6" s="83"/>
      <c r="D6" s="83"/>
      <c r="E6" s="83"/>
      <c r="F6" s="84"/>
      <c r="G6" s="85"/>
      <c r="H6" s="85"/>
      <c r="J6" s="79"/>
    </row>
    <row r="7" spans="1:12" ht="21.75" x14ac:dyDescent="0.25">
      <c r="A7" s="52" t="s">
        <v>184</v>
      </c>
      <c r="B7" s="52"/>
      <c r="C7" s="52"/>
      <c r="D7" s="53"/>
      <c r="E7" s="53"/>
      <c r="F7" s="54"/>
      <c r="G7" s="53"/>
      <c r="H7" s="53"/>
    </row>
    <row r="8" spans="1:12" ht="21.75" x14ac:dyDescent="0.25">
      <c r="A8" s="56"/>
      <c r="B8" s="56"/>
      <c r="C8" s="56"/>
      <c r="D8" s="57"/>
      <c r="E8" s="57"/>
      <c r="F8" s="58"/>
      <c r="G8" s="59"/>
      <c r="H8" s="59"/>
    </row>
    <row r="9" spans="1:12" ht="42" customHeight="1" x14ac:dyDescent="0.25">
      <c r="A9" s="63" t="s">
        <v>14</v>
      </c>
      <c r="B9" s="265" t="s">
        <v>5</v>
      </c>
      <c r="C9" s="266"/>
      <c r="D9" s="265" t="s">
        <v>18</v>
      </c>
      <c r="E9" s="266"/>
      <c r="F9" s="65" t="s">
        <v>118</v>
      </c>
      <c r="G9" s="71" t="s">
        <v>16</v>
      </c>
      <c r="H9" s="90" t="s">
        <v>302</v>
      </c>
    </row>
    <row r="10" spans="1:12" ht="21.75" x14ac:dyDescent="0.25">
      <c r="A10" s="66" t="s">
        <v>364</v>
      </c>
      <c r="B10" s="62">
        <f>D10/DADOS_INICIAIS!$E$9</f>
        <v>0.6399268065240723</v>
      </c>
      <c r="C10" s="62" t="s">
        <v>37</v>
      </c>
      <c r="D10" s="67">
        <f>'Rev. Internos Piso e Parede'!B18</f>
        <v>5455.6</v>
      </c>
      <c r="E10" s="67" t="s">
        <v>2</v>
      </c>
      <c r="F10" s="88">
        <v>65</v>
      </c>
      <c r="G10" s="89">
        <f>F10*D10*1.1</f>
        <v>390075.4</v>
      </c>
      <c r="H10" s="67"/>
    </row>
    <row r="11" spans="1:12" ht="21.75" x14ac:dyDescent="0.25">
      <c r="A11" s="78" t="s">
        <v>198</v>
      </c>
      <c r="B11" s="62">
        <v>1.2</v>
      </c>
      <c r="C11" s="62" t="s">
        <v>322</v>
      </c>
      <c r="D11" s="67">
        <f>(D10)*B11</f>
        <v>6546.72</v>
      </c>
      <c r="E11" s="67" t="s">
        <v>2</v>
      </c>
      <c r="F11" s="88">
        <v>22</v>
      </c>
      <c r="G11" s="89">
        <f>F11*D11*1.1</f>
        <v>158430.62400000001</v>
      </c>
      <c r="H11" s="67"/>
    </row>
    <row r="12" spans="1:12" ht="21.75" x14ac:dyDescent="0.25">
      <c r="A12" s="78" t="s">
        <v>197</v>
      </c>
      <c r="B12" s="62">
        <f>D12/DADOS_INICIAIS!$E$9</f>
        <v>0.19521141067522152</v>
      </c>
      <c r="C12" s="62" t="s">
        <v>37</v>
      </c>
      <c r="D12" s="67">
        <f>'Rev. Internos Piso e Parede'!B15+'Rev. Internos Piso e Parede'!B16+'Rev. Internos Piso e Parede'!B17</f>
        <v>1664.2456</v>
      </c>
      <c r="E12" s="67" t="s">
        <v>2</v>
      </c>
      <c r="F12" s="88">
        <f>24-F13</f>
        <v>3</v>
      </c>
      <c r="G12" s="89">
        <f>F12*D12*1.1</f>
        <v>5492.0104799999999</v>
      </c>
      <c r="H12" s="67"/>
    </row>
    <row r="13" spans="1:12" ht="21.75" x14ac:dyDescent="0.25">
      <c r="A13" s="78" t="s">
        <v>381</v>
      </c>
      <c r="B13" s="62"/>
      <c r="C13" s="62"/>
      <c r="D13" s="67">
        <f>D12</f>
        <v>1664.2456</v>
      </c>
      <c r="E13" s="67" t="s">
        <v>2</v>
      </c>
      <c r="F13" s="88">
        <f>21</f>
        <v>21</v>
      </c>
      <c r="G13" s="89">
        <f>F13*D13*1.1</f>
        <v>38444.073360000002</v>
      </c>
      <c r="H13" s="67"/>
    </row>
    <row r="14" spans="1:12" ht="21.75" x14ac:dyDescent="0.25">
      <c r="A14" s="260" t="s">
        <v>17</v>
      </c>
      <c r="B14" s="260"/>
      <c r="C14" s="260"/>
      <c r="D14" s="260"/>
      <c r="E14" s="260"/>
      <c r="F14" s="260"/>
      <c r="G14" s="90">
        <f>SUM(G10:G13)</f>
        <v>592442.10784000007</v>
      </c>
      <c r="H14" s="90"/>
      <c r="K14" s="55">
        <f>4160+1440+1120+2880+4800+91680+4000</f>
        <v>110080</v>
      </c>
      <c r="L14" s="55">
        <f>K14/21</f>
        <v>5241.9047619047615</v>
      </c>
    </row>
    <row r="16" spans="1:12" ht="21.75" x14ac:dyDescent="0.25">
      <c r="A16" s="267" t="s">
        <v>355</v>
      </c>
      <c r="B16" s="268"/>
      <c r="C16" s="268"/>
      <c r="D16" s="268"/>
      <c r="E16" s="268"/>
      <c r="F16" s="269"/>
      <c r="G16" s="91">
        <f>G14</f>
        <v>592442.10784000007</v>
      </c>
      <c r="H16" s="91">
        <f>G16/DADOS_INICIAIS!E9</f>
        <v>69.491822369756079</v>
      </c>
    </row>
    <row r="19" spans="8:8" x14ac:dyDescent="0.25">
      <c r="H19" s="198">
        <f>H16/1.1</f>
        <v>63.174383972505524</v>
      </c>
    </row>
  </sheetData>
  <mergeCells count="5">
    <mergeCell ref="A3:H3"/>
    <mergeCell ref="B9:C9"/>
    <mergeCell ref="D9:E9"/>
    <mergeCell ref="A14:F14"/>
    <mergeCell ref="A16:F16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86FD0-B245-4D99-99B5-C3B4613FC83E}">
  <dimension ref="A1:K83"/>
  <sheetViews>
    <sheetView showGridLines="0" topLeftCell="A6" zoomScaleNormal="100" zoomScaleSheetLayoutView="95" workbookViewId="0">
      <selection activeCell="G22" sqref="G22:G24"/>
    </sheetView>
  </sheetViews>
  <sheetFormatPr defaultColWidth="9.140625" defaultRowHeight="12.75" x14ac:dyDescent="0.25"/>
  <cols>
    <col min="1" max="1" width="47.42578125" style="1" customWidth="1"/>
    <col min="2" max="2" width="14" style="114" customWidth="1"/>
    <col min="3" max="3" width="7.5703125" style="113" customWidth="1"/>
    <col min="4" max="4" width="10.7109375" style="112" customWidth="1"/>
    <col min="5" max="5" width="15.85546875" style="1" customWidth="1"/>
    <col min="6" max="6" width="12.85546875" style="1" customWidth="1"/>
    <col min="7" max="7" width="17" style="1" customWidth="1"/>
    <col min="8" max="8" width="11.85546875" style="1" customWidth="1"/>
    <col min="9" max="9" width="13.85546875" style="1" bestFit="1" customWidth="1"/>
    <col min="10" max="10" width="12.140625" style="1" bestFit="1" customWidth="1"/>
    <col min="11" max="11" width="13.85546875" style="1" bestFit="1" customWidth="1"/>
    <col min="12" max="16384" width="9.140625" style="1"/>
  </cols>
  <sheetData>
    <row r="1" spans="1:11" x14ac:dyDescent="0.25">
      <c r="B1" s="2"/>
      <c r="C1" s="1"/>
      <c r="D1" s="1"/>
      <c r="G1" s="161"/>
      <c r="H1" s="161"/>
      <c r="I1" s="2"/>
    </row>
    <row r="2" spans="1:11" ht="12.75" customHeight="1" x14ac:dyDescent="0.25">
      <c r="A2" s="280" t="s">
        <v>188</v>
      </c>
      <c r="B2" s="2"/>
      <c r="C2" s="1"/>
      <c r="D2" s="1"/>
      <c r="G2" s="166"/>
      <c r="H2" s="166"/>
      <c r="I2" s="2"/>
    </row>
    <row r="3" spans="1:11" ht="12.75" customHeight="1" x14ac:dyDescent="0.25">
      <c r="A3" s="281"/>
      <c r="B3" s="2"/>
      <c r="C3" s="1"/>
      <c r="D3" s="1"/>
      <c r="G3" s="166"/>
      <c r="H3" s="166"/>
      <c r="I3" s="2"/>
    </row>
    <row r="4" spans="1:11" ht="12.75" customHeight="1" x14ac:dyDescent="0.25">
      <c r="A4" s="281"/>
      <c r="B4" s="2"/>
      <c r="C4" s="1"/>
      <c r="D4" s="1"/>
      <c r="G4" s="166"/>
      <c r="H4" s="166"/>
      <c r="I4" s="2"/>
    </row>
    <row r="5" spans="1:11" ht="13.5" thickBot="1" x14ac:dyDescent="0.3">
      <c r="A5" s="165"/>
      <c r="B5" s="164"/>
      <c r="C5" s="164"/>
      <c r="D5" s="164"/>
      <c r="E5" s="164"/>
      <c r="F5" s="164"/>
      <c r="G5" s="163"/>
      <c r="H5" s="163"/>
      <c r="I5" s="2"/>
    </row>
    <row r="6" spans="1:11" x14ac:dyDescent="0.25">
      <c r="A6" s="162"/>
      <c r="B6" s="2"/>
      <c r="C6" s="1"/>
      <c r="D6" s="1"/>
      <c r="G6" s="161"/>
      <c r="H6" s="161"/>
      <c r="I6" s="2"/>
    </row>
    <row r="7" spans="1:11" x14ac:dyDescent="0.25">
      <c r="A7" s="160" t="s">
        <v>187</v>
      </c>
      <c r="B7" s="159"/>
      <c r="C7" s="158"/>
      <c r="D7" s="158"/>
      <c r="E7" s="158"/>
      <c r="F7" s="158"/>
      <c r="G7" s="158"/>
      <c r="H7" s="157"/>
      <c r="I7" s="2"/>
    </row>
    <row r="8" spans="1:11" x14ac:dyDescent="0.25">
      <c r="A8" s="156" t="s">
        <v>0</v>
      </c>
      <c r="B8" s="155"/>
      <c r="C8" s="154"/>
      <c r="D8" s="154"/>
      <c r="E8" s="154"/>
      <c r="F8" s="154"/>
      <c r="G8" s="154"/>
      <c r="H8" s="153"/>
      <c r="I8" s="2"/>
    </row>
    <row r="9" spans="1:11" ht="15" customHeight="1" x14ac:dyDescent="0.25">
      <c r="A9" s="152" t="s">
        <v>186</v>
      </c>
      <c r="B9" s="151">
        <v>45471</v>
      </c>
      <c r="C9" s="150"/>
      <c r="D9" s="150"/>
      <c r="E9" s="150"/>
      <c r="F9" s="150"/>
      <c r="G9" s="150"/>
      <c r="H9" s="149"/>
    </row>
    <row r="10" spans="1:11" x14ac:dyDescent="0.25">
      <c r="A10" s="148" t="s">
        <v>1</v>
      </c>
      <c r="B10" s="147" t="s">
        <v>185</v>
      </c>
      <c r="C10" s="146"/>
      <c r="D10" s="146"/>
      <c r="E10" s="146"/>
      <c r="F10" s="146"/>
      <c r="G10" s="146"/>
      <c r="H10" s="145"/>
    </row>
    <row r="12" spans="1:11" x14ac:dyDescent="0.25">
      <c r="A12" s="144" t="s">
        <v>210</v>
      </c>
      <c r="B12" s="143"/>
      <c r="C12" s="142"/>
      <c r="D12" s="141"/>
      <c r="E12" s="140"/>
      <c r="F12" s="140"/>
      <c r="G12" s="140"/>
      <c r="H12" s="139"/>
    </row>
    <row r="13" spans="1:11" ht="15.95" customHeight="1" x14ac:dyDescent="0.25">
      <c r="A13" s="138"/>
      <c r="B13" s="137"/>
      <c r="C13" s="136"/>
      <c r="D13" s="135"/>
      <c r="E13" s="135"/>
      <c r="F13" s="135"/>
      <c r="H13" s="131"/>
    </row>
    <row r="14" spans="1:11" ht="15.95" customHeight="1" x14ac:dyDescent="0.25">
      <c r="A14" s="134" t="s">
        <v>14</v>
      </c>
      <c r="B14" s="287" t="s">
        <v>18</v>
      </c>
      <c r="C14" s="288"/>
      <c r="D14" s="289" t="s">
        <v>5</v>
      </c>
      <c r="E14" s="290"/>
      <c r="F14" s="133" t="s">
        <v>183</v>
      </c>
      <c r="G14" s="132" t="s">
        <v>16</v>
      </c>
      <c r="H14" s="216">
        <f>G19/I14</f>
        <v>4688.942500000001</v>
      </c>
      <c r="I14" s="2">
        <f>40+20</f>
        <v>60</v>
      </c>
    </row>
    <row r="15" spans="1:11" ht="15.95" customHeight="1" x14ac:dyDescent="0.25">
      <c r="A15" s="172" t="s">
        <v>209</v>
      </c>
      <c r="B15" s="180">
        <f>PISO!L16</f>
        <v>5425.9000000000005</v>
      </c>
      <c r="C15" s="170" t="s">
        <v>206</v>
      </c>
      <c r="D15" s="178">
        <f>125-D22</f>
        <v>77</v>
      </c>
      <c r="E15" s="127" t="s">
        <v>171</v>
      </c>
      <c r="F15" s="168" t="s">
        <v>170</v>
      </c>
      <c r="G15" s="125">
        <f>+D15*B15*1.1</f>
        <v>459573.7300000001</v>
      </c>
      <c r="H15" s="131"/>
      <c r="I15" s="1">
        <f>40/I14</f>
        <v>0.66666666666666663</v>
      </c>
      <c r="J15" s="115">
        <f>I15*G19</f>
        <v>187557.7</v>
      </c>
      <c r="K15" s="115"/>
    </row>
    <row r="16" spans="1:11" ht="15.95" customHeight="1" x14ac:dyDescent="0.25">
      <c r="A16" s="182" t="s">
        <v>208</v>
      </c>
      <c r="B16" s="180">
        <f>PISO!L22</f>
        <v>69.73</v>
      </c>
      <c r="C16" s="170" t="s">
        <v>206</v>
      </c>
      <c r="D16" s="178">
        <f>250-D23</f>
        <v>200</v>
      </c>
      <c r="E16" s="127" t="s">
        <v>171</v>
      </c>
      <c r="F16" s="168" t="s">
        <v>170</v>
      </c>
      <c r="G16" s="125">
        <f t="shared" ref="G16:G18" si="0">+D16*B16*1.1</f>
        <v>15340.6</v>
      </c>
      <c r="H16" s="131"/>
      <c r="I16" s="1">
        <f>20/I14</f>
        <v>0.33333333333333331</v>
      </c>
      <c r="J16" s="115">
        <f>I16*G19</f>
        <v>93778.85</v>
      </c>
    </row>
    <row r="17" spans="1:10" ht="15.95" customHeight="1" x14ac:dyDescent="0.25">
      <c r="A17" s="182" t="s">
        <v>363</v>
      </c>
      <c r="B17" s="180">
        <f>PISO!L20</f>
        <v>29.7</v>
      </c>
      <c r="C17" s="170" t="s">
        <v>206</v>
      </c>
      <c r="D17" s="178">
        <v>210</v>
      </c>
      <c r="E17" s="127" t="s">
        <v>171</v>
      </c>
      <c r="F17" s="168" t="s">
        <v>170</v>
      </c>
      <c r="G17" s="125">
        <f t="shared" si="0"/>
        <v>6860.7000000000007</v>
      </c>
      <c r="H17" s="131"/>
    </row>
    <row r="18" spans="1:10" ht="15.95" customHeight="1" x14ac:dyDescent="0.25">
      <c r="A18" s="172" t="s">
        <v>207</v>
      </c>
      <c r="B18" s="180">
        <v>135.4</v>
      </c>
      <c r="C18" s="170" t="s">
        <v>206</v>
      </c>
      <c r="D18" s="178">
        <f>60-D24</f>
        <v>42</v>
      </c>
      <c r="E18" s="127" t="s">
        <v>171</v>
      </c>
      <c r="F18" s="168" t="s">
        <v>170</v>
      </c>
      <c r="G18" s="125">
        <f t="shared" si="0"/>
        <v>6255.4800000000005</v>
      </c>
      <c r="H18" s="131"/>
    </row>
    <row r="19" spans="1:10" ht="15.95" customHeight="1" x14ac:dyDescent="0.25">
      <c r="A19" s="182" t="s">
        <v>205</v>
      </c>
      <c r="B19" s="180">
        <v>1</v>
      </c>
      <c r="C19" s="170" t="s">
        <v>27</v>
      </c>
      <c r="D19" s="178">
        <v>30</v>
      </c>
      <c r="E19" s="127" t="s">
        <v>6</v>
      </c>
      <c r="F19" s="168" t="s">
        <v>170</v>
      </c>
      <c r="G19" s="125">
        <f>D19*DADOS_INICIAIS!$E$9*1.1</f>
        <v>281336.55000000005</v>
      </c>
      <c r="H19" s="216">
        <f>G20/I19</f>
        <v>2016.7494623655916</v>
      </c>
      <c r="I19" s="1">
        <f>81+12</f>
        <v>93</v>
      </c>
    </row>
    <row r="20" spans="1:10" ht="15.95" customHeight="1" x14ac:dyDescent="0.25">
      <c r="A20" s="181" t="s">
        <v>204</v>
      </c>
      <c r="B20" s="180">
        <v>1</v>
      </c>
      <c r="C20" s="170" t="s">
        <v>27</v>
      </c>
      <c r="D20" s="178">
        <v>20</v>
      </c>
      <c r="E20" s="127" t="s">
        <v>6</v>
      </c>
      <c r="F20" s="168" t="s">
        <v>170</v>
      </c>
      <c r="G20" s="125">
        <f>D20*DADOS_INICIAIS!$E$9*1.1</f>
        <v>187557.7</v>
      </c>
      <c r="H20" s="131"/>
      <c r="I20" s="1">
        <f>81/I19</f>
        <v>0.87096774193548387</v>
      </c>
      <c r="J20" s="115">
        <f>I20*G20</f>
        <v>163356.7064516129</v>
      </c>
    </row>
    <row r="21" spans="1:10" ht="15.95" customHeight="1" x14ac:dyDescent="0.25">
      <c r="A21" s="179" t="s">
        <v>203</v>
      </c>
      <c r="B21" s="171">
        <v>1</v>
      </c>
      <c r="C21" s="170" t="s">
        <v>27</v>
      </c>
      <c r="D21" s="178">
        <v>58</v>
      </c>
      <c r="E21" s="127" t="s">
        <v>6</v>
      </c>
      <c r="F21" s="168" t="s">
        <v>170</v>
      </c>
      <c r="G21" s="125">
        <f>D21*DADOS_INICIAIS!$E$9*1.1</f>
        <v>543917.33000000007</v>
      </c>
      <c r="H21" s="123"/>
      <c r="I21" s="1">
        <f>12/I19</f>
        <v>0.12903225806451613</v>
      </c>
      <c r="J21" s="115">
        <f>I21*G20</f>
        <v>24200.993548387098</v>
      </c>
    </row>
    <row r="22" spans="1:10" ht="15.95" customHeight="1" x14ac:dyDescent="0.25">
      <c r="A22" s="179" t="s">
        <v>378</v>
      </c>
      <c r="B22" s="171">
        <f>B15</f>
        <v>5425.9000000000005</v>
      </c>
      <c r="C22" s="170" t="s">
        <v>206</v>
      </c>
      <c r="D22" s="178">
        <v>48</v>
      </c>
      <c r="E22" s="127" t="s">
        <v>171</v>
      </c>
      <c r="F22" s="168"/>
      <c r="G22" s="125">
        <f t="shared" ref="G22:G24" si="1">+D22*B22*1.1</f>
        <v>286487.52</v>
      </c>
      <c r="H22" s="215">
        <f>G21/I22</f>
        <v>2862.7227894736848</v>
      </c>
      <c r="I22" s="1">
        <f>145+45</f>
        <v>190</v>
      </c>
    </row>
    <row r="23" spans="1:10" ht="15.95" customHeight="1" x14ac:dyDescent="0.25">
      <c r="A23" s="182" t="s">
        <v>379</v>
      </c>
      <c r="B23" s="180">
        <f>B16</f>
        <v>69.73</v>
      </c>
      <c r="C23" s="170" t="s">
        <v>206</v>
      </c>
      <c r="D23" s="178">
        <v>50</v>
      </c>
      <c r="E23" s="127" t="s">
        <v>171</v>
      </c>
      <c r="F23" s="168"/>
      <c r="G23" s="125">
        <f t="shared" si="1"/>
        <v>3835.15</v>
      </c>
      <c r="H23" s="131"/>
      <c r="I23" s="1">
        <f>145/I22</f>
        <v>0.76315789473684215</v>
      </c>
      <c r="J23" s="115">
        <f>I23*G21</f>
        <v>415094.80447368429</v>
      </c>
    </row>
    <row r="24" spans="1:10" ht="15.95" customHeight="1" x14ac:dyDescent="0.25">
      <c r="A24" s="182" t="s">
        <v>380</v>
      </c>
      <c r="B24" s="180">
        <f>B18</f>
        <v>135.4</v>
      </c>
      <c r="C24" s="170" t="s">
        <v>206</v>
      </c>
      <c r="D24" s="178">
        <v>18</v>
      </c>
      <c r="E24" s="127" t="s">
        <v>171</v>
      </c>
      <c r="F24" s="168"/>
      <c r="G24" s="125">
        <f t="shared" si="1"/>
        <v>2680.9200000000005</v>
      </c>
      <c r="H24" s="131"/>
      <c r="I24" s="1">
        <f>45/I22</f>
        <v>0.23684210526315788</v>
      </c>
      <c r="J24" s="115">
        <f>I24*G21</f>
        <v>128822.5255263158</v>
      </c>
    </row>
    <row r="25" spans="1:10" ht="15.95" customHeight="1" x14ac:dyDescent="0.25">
      <c r="A25" s="293">
        <f>20*40</f>
        <v>800</v>
      </c>
      <c r="B25" s="282"/>
      <c r="C25" s="282"/>
      <c r="D25" s="282"/>
      <c r="E25" s="282"/>
      <c r="F25" s="282"/>
      <c r="G25" s="177">
        <f>SUM(G15:G24)</f>
        <v>1793845.68</v>
      </c>
      <c r="H25" s="121"/>
    </row>
    <row r="26" spans="1:10" ht="15.95" customHeight="1" x14ac:dyDescent="0.25">
      <c r="A26" s="291"/>
      <c r="B26" s="292"/>
      <c r="C26" s="292"/>
      <c r="D26" s="292"/>
      <c r="E26" s="292"/>
      <c r="F26" s="292"/>
      <c r="G26" s="167"/>
      <c r="H26" s="118"/>
    </row>
    <row r="27" spans="1:10" ht="15.95" customHeight="1" x14ac:dyDescent="0.25">
      <c r="A27" s="120"/>
      <c r="B27" s="119"/>
      <c r="C27" s="119"/>
      <c r="D27" s="119"/>
      <c r="E27" s="119"/>
      <c r="F27" s="119"/>
      <c r="G27" s="167"/>
      <c r="H27" s="118"/>
    </row>
    <row r="28" spans="1:10" x14ac:dyDescent="0.25">
      <c r="A28" s="282" t="s">
        <v>202</v>
      </c>
      <c r="B28" s="282"/>
      <c r="C28" s="282"/>
      <c r="D28" s="282"/>
      <c r="E28" s="282"/>
      <c r="F28" s="282"/>
      <c r="G28" s="117">
        <f>G25</f>
        <v>1793845.68</v>
      </c>
      <c r="H28" s="116">
        <f>G28/DADOS_INICIAIS!E9</f>
        <v>210.41314198244058</v>
      </c>
    </row>
    <row r="30" spans="1:10" ht="15" x14ac:dyDescent="0.25">
      <c r="B30"/>
      <c r="C30"/>
      <c r="D30"/>
      <c r="E30"/>
      <c r="F30"/>
      <c r="G30"/>
      <c r="H30" s="176">
        <f>H28/1.1</f>
        <v>191.28467452949141</v>
      </c>
    </row>
    <row r="31" spans="1:10" ht="15" x14ac:dyDescent="0.25">
      <c r="A31" s="200" t="s">
        <v>201</v>
      </c>
      <c r="B31" s="115">
        <v>6641.47</v>
      </c>
      <c r="D31"/>
      <c r="E31"/>
      <c r="F31"/>
      <c r="G31"/>
      <c r="H31" s="113"/>
    </row>
    <row r="32" spans="1:10" ht="15" x14ac:dyDescent="0.25">
      <c r="A32" s="184" t="s">
        <v>352</v>
      </c>
      <c r="B32" s="115">
        <v>2429.94</v>
      </c>
      <c r="D32"/>
      <c r="E32"/>
      <c r="F32"/>
      <c r="G32"/>
      <c r="H32"/>
    </row>
    <row r="33" spans="1:11" ht="15" x14ac:dyDescent="0.25">
      <c r="A33" s="183" t="s">
        <v>359</v>
      </c>
      <c r="B33" s="1">
        <v>359.81200000000001</v>
      </c>
      <c r="D33"/>
      <c r="E33"/>
      <c r="F33"/>
      <c r="G33"/>
      <c r="H33" s="176"/>
      <c r="K33" s="115"/>
    </row>
    <row r="34" spans="1:11" ht="15" x14ac:dyDescent="0.25">
      <c r="A34" s="1" t="s">
        <v>354</v>
      </c>
      <c r="B34" s="2">
        <v>608.52440000000001</v>
      </c>
      <c r="D34"/>
      <c r="E34"/>
      <c r="F34"/>
      <c r="G34"/>
      <c r="H34" s="176"/>
    </row>
    <row r="35" spans="1:11" ht="15" x14ac:dyDescent="0.25">
      <c r="A35" s="1" t="s">
        <v>360</v>
      </c>
      <c r="B35" s="1">
        <v>52.2</v>
      </c>
      <c r="D35"/>
      <c r="E35"/>
      <c r="F35"/>
      <c r="G35"/>
      <c r="H35" s="176"/>
    </row>
    <row r="36" spans="1:11" ht="15" x14ac:dyDescent="0.25">
      <c r="A36" s="1" t="s">
        <v>361</v>
      </c>
      <c r="B36" s="2">
        <v>85.75</v>
      </c>
      <c r="D36"/>
      <c r="E36"/>
      <c r="F36"/>
      <c r="G36"/>
      <c r="H36"/>
    </row>
    <row r="37" spans="1:11" ht="15" x14ac:dyDescent="0.25">
      <c r="A37" s="1" t="s">
        <v>332</v>
      </c>
      <c r="B37" s="1">
        <v>144.899</v>
      </c>
      <c r="D37"/>
      <c r="E37"/>
      <c r="F37"/>
      <c r="G37"/>
      <c r="H37"/>
    </row>
    <row r="38" spans="1:11" ht="15" x14ac:dyDescent="0.25">
      <c r="B38" s="1"/>
      <c r="C38"/>
      <c r="D38"/>
      <c r="E38"/>
      <c r="F38"/>
      <c r="G38"/>
      <c r="H38"/>
    </row>
    <row r="39" spans="1:11" ht="15" x14ac:dyDescent="0.25">
      <c r="B39" s="1"/>
      <c r="C39"/>
      <c r="D39"/>
      <c r="E39"/>
      <c r="F39"/>
      <c r="G39"/>
      <c r="H39"/>
    </row>
    <row r="40" spans="1:11" ht="15" x14ac:dyDescent="0.25">
      <c r="C40"/>
      <c r="D40"/>
      <c r="E40"/>
      <c r="F40"/>
      <c r="G40"/>
      <c r="H40"/>
    </row>
    <row r="41" spans="1:11" ht="15" x14ac:dyDescent="0.25">
      <c r="C41"/>
      <c r="D41"/>
      <c r="E41"/>
      <c r="F41"/>
      <c r="G41"/>
      <c r="H41"/>
    </row>
    <row r="42" spans="1:11" ht="15" x14ac:dyDescent="0.25">
      <c r="B42"/>
      <c r="C42"/>
      <c r="D42"/>
      <c r="E42"/>
      <c r="F42"/>
      <c r="G42"/>
      <c r="H42"/>
    </row>
    <row r="43" spans="1:11" ht="15" x14ac:dyDescent="0.25">
      <c r="C43"/>
      <c r="D43"/>
      <c r="E43"/>
      <c r="F43"/>
      <c r="G43"/>
      <c r="H43"/>
    </row>
    <row r="44" spans="1:11" ht="15" x14ac:dyDescent="0.25">
      <c r="C44"/>
      <c r="D44"/>
      <c r="E44"/>
      <c r="F44"/>
      <c r="G44"/>
      <c r="H44"/>
    </row>
    <row r="45" spans="1:11" ht="15" x14ac:dyDescent="0.25">
      <c r="C45"/>
      <c r="D45"/>
      <c r="E45"/>
      <c r="F45"/>
      <c r="G45"/>
      <c r="H45"/>
    </row>
    <row r="46" spans="1:11" ht="15" x14ac:dyDescent="0.25">
      <c r="C46"/>
      <c r="D46"/>
      <c r="E46"/>
      <c r="F46"/>
      <c r="G46"/>
      <c r="H46"/>
    </row>
    <row r="47" spans="1:11" ht="15" x14ac:dyDescent="0.25">
      <c r="C47"/>
      <c r="D47"/>
      <c r="E47"/>
      <c r="F47"/>
      <c r="G47"/>
      <c r="H47"/>
    </row>
    <row r="48" spans="1:11" ht="15" x14ac:dyDescent="0.25">
      <c r="C48"/>
      <c r="D48"/>
      <c r="E48"/>
      <c r="F48"/>
      <c r="G48"/>
      <c r="H48"/>
    </row>
    <row r="49" spans="2:8" ht="15" x14ac:dyDescent="0.25">
      <c r="C49"/>
      <c r="D49"/>
      <c r="E49"/>
      <c r="F49"/>
      <c r="G49"/>
      <c r="H49"/>
    </row>
    <row r="50" spans="2:8" ht="15" x14ac:dyDescent="0.25">
      <c r="C50"/>
      <c r="D50"/>
      <c r="E50"/>
      <c r="F50"/>
      <c r="G50"/>
      <c r="H50"/>
    </row>
    <row r="51" spans="2:8" ht="15" x14ac:dyDescent="0.25">
      <c r="C51"/>
      <c r="D51"/>
      <c r="E51"/>
      <c r="F51"/>
      <c r="G51"/>
      <c r="H51"/>
    </row>
    <row r="52" spans="2:8" ht="15" x14ac:dyDescent="0.25">
      <c r="C52"/>
      <c r="D52"/>
      <c r="E52"/>
      <c r="F52"/>
      <c r="G52"/>
      <c r="H52"/>
    </row>
    <row r="53" spans="2:8" ht="15" x14ac:dyDescent="0.25">
      <c r="C53"/>
      <c r="D53"/>
      <c r="E53"/>
      <c r="F53"/>
      <c r="G53"/>
      <c r="H53"/>
    </row>
    <row r="54" spans="2:8" ht="15" x14ac:dyDescent="0.25">
      <c r="C54"/>
      <c r="D54"/>
      <c r="E54"/>
      <c r="F54"/>
      <c r="G54"/>
      <c r="H54"/>
    </row>
    <row r="55" spans="2:8" ht="15" x14ac:dyDescent="0.25">
      <c r="B55"/>
      <c r="C55"/>
      <c r="D55"/>
      <c r="E55"/>
      <c r="F55"/>
      <c r="G55"/>
      <c r="H55"/>
    </row>
    <row r="56" spans="2:8" ht="15" x14ac:dyDescent="0.25">
      <c r="C56"/>
      <c r="D56"/>
      <c r="E56"/>
      <c r="F56"/>
      <c r="G56"/>
      <c r="H56"/>
    </row>
    <row r="57" spans="2:8" ht="15" x14ac:dyDescent="0.25">
      <c r="C57"/>
      <c r="D57"/>
      <c r="E57"/>
      <c r="F57"/>
      <c r="G57"/>
      <c r="H57"/>
    </row>
    <row r="58" spans="2:8" ht="15" x14ac:dyDescent="0.25">
      <c r="C58"/>
      <c r="D58"/>
      <c r="E58"/>
      <c r="F58"/>
      <c r="G58"/>
      <c r="H58"/>
    </row>
    <row r="59" spans="2:8" ht="15" x14ac:dyDescent="0.25">
      <c r="C59"/>
      <c r="D59"/>
      <c r="E59"/>
      <c r="F59"/>
      <c r="G59"/>
      <c r="H59"/>
    </row>
    <row r="60" spans="2:8" ht="15" x14ac:dyDescent="0.25">
      <c r="C60"/>
      <c r="D60"/>
      <c r="E60"/>
      <c r="F60"/>
      <c r="G60"/>
      <c r="H60"/>
    </row>
    <row r="61" spans="2:8" ht="15" x14ac:dyDescent="0.25">
      <c r="B61"/>
      <c r="C61"/>
      <c r="D61"/>
      <c r="E61"/>
      <c r="F61"/>
      <c r="G61"/>
      <c r="H61"/>
    </row>
    <row r="62" spans="2:8" ht="15" x14ac:dyDescent="0.25">
      <c r="C62"/>
      <c r="D62"/>
      <c r="E62"/>
      <c r="F62"/>
      <c r="G62"/>
      <c r="H62"/>
    </row>
    <row r="63" spans="2:8" ht="15" x14ac:dyDescent="0.25">
      <c r="C63"/>
      <c r="D63"/>
      <c r="E63"/>
      <c r="F63"/>
      <c r="G63"/>
      <c r="H63"/>
    </row>
    <row r="64" spans="2:8" ht="15" x14ac:dyDescent="0.25">
      <c r="C64"/>
      <c r="D64"/>
      <c r="E64"/>
      <c r="F64"/>
      <c r="G64"/>
      <c r="H64"/>
    </row>
    <row r="65" spans="2:8" ht="15" x14ac:dyDescent="0.25">
      <c r="C65"/>
      <c r="D65"/>
      <c r="E65"/>
      <c r="F65"/>
      <c r="G65"/>
      <c r="H65"/>
    </row>
    <row r="66" spans="2:8" ht="15" x14ac:dyDescent="0.25">
      <c r="B66"/>
      <c r="C66"/>
      <c r="D66"/>
      <c r="E66"/>
      <c r="F66"/>
      <c r="G66"/>
      <c r="H66"/>
    </row>
    <row r="67" spans="2:8" ht="15" x14ac:dyDescent="0.25">
      <c r="C67"/>
      <c r="D67"/>
      <c r="E67"/>
      <c r="F67"/>
      <c r="G67"/>
      <c r="H67"/>
    </row>
    <row r="68" spans="2:8" ht="15" x14ac:dyDescent="0.25">
      <c r="B68"/>
      <c r="C68"/>
      <c r="D68"/>
      <c r="E68"/>
      <c r="F68"/>
      <c r="G68"/>
      <c r="H68"/>
    </row>
    <row r="69" spans="2:8" ht="15" x14ac:dyDescent="0.25">
      <c r="C69"/>
      <c r="D69"/>
      <c r="E69"/>
      <c r="F69"/>
      <c r="G69"/>
      <c r="H69"/>
    </row>
    <row r="70" spans="2:8" ht="15" x14ac:dyDescent="0.25">
      <c r="C70"/>
      <c r="D70"/>
      <c r="E70"/>
      <c r="F70"/>
      <c r="G70"/>
      <c r="H70"/>
    </row>
    <row r="71" spans="2:8" ht="15" x14ac:dyDescent="0.25">
      <c r="C71"/>
      <c r="D71"/>
      <c r="E71"/>
      <c r="F71"/>
      <c r="G71"/>
      <c r="H71"/>
    </row>
    <row r="72" spans="2:8" ht="15" x14ac:dyDescent="0.25">
      <c r="C72"/>
      <c r="D72"/>
      <c r="E72"/>
      <c r="F72"/>
      <c r="G72"/>
      <c r="H72"/>
    </row>
    <row r="73" spans="2:8" ht="15" x14ac:dyDescent="0.25">
      <c r="B73"/>
      <c r="C73"/>
      <c r="D73"/>
      <c r="E73"/>
      <c r="F73"/>
      <c r="G73"/>
      <c r="H73"/>
    </row>
    <row r="74" spans="2:8" ht="15" x14ac:dyDescent="0.25">
      <c r="C74"/>
      <c r="D74"/>
      <c r="E74"/>
      <c r="F74"/>
      <c r="G74"/>
      <c r="H74"/>
    </row>
    <row r="75" spans="2:8" ht="15" x14ac:dyDescent="0.25">
      <c r="C75"/>
      <c r="D75"/>
      <c r="E75"/>
      <c r="F75"/>
      <c r="G75"/>
      <c r="H75"/>
    </row>
    <row r="76" spans="2:8" ht="15" x14ac:dyDescent="0.25">
      <c r="C76"/>
      <c r="D76"/>
      <c r="E76"/>
      <c r="F76"/>
      <c r="G76"/>
      <c r="H76"/>
    </row>
    <row r="77" spans="2:8" ht="15" x14ac:dyDescent="0.25">
      <c r="C77"/>
      <c r="D77"/>
      <c r="E77"/>
      <c r="F77"/>
      <c r="G77"/>
      <c r="H77"/>
    </row>
    <row r="78" spans="2:8" ht="15" x14ac:dyDescent="0.25">
      <c r="B78"/>
      <c r="C78"/>
      <c r="D78"/>
      <c r="E78"/>
      <c r="F78"/>
      <c r="G78"/>
      <c r="H78"/>
    </row>
    <row r="79" spans="2:8" ht="15" x14ac:dyDescent="0.25">
      <c r="C79"/>
      <c r="D79"/>
      <c r="E79"/>
      <c r="F79"/>
      <c r="G79"/>
      <c r="H79"/>
    </row>
    <row r="80" spans="2:8" ht="15" x14ac:dyDescent="0.25">
      <c r="C80"/>
      <c r="D80"/>
      <c r="E80"/>
      <c r="F80"/>
      <c r="G80"/>
      <c r="H80"/>
    </row>
    <row r="81" spans="3:8" ht="15" x14ac:dyDescent="0.25">
      <c r="C81"/>
      <c r="D81"/>
      <c r="E81"/>
      <c r="F81"/>
      <c r="G81"/>
      <c r="H81"/>
    </row>
    <row r="82" spans="3:8" ht="15" x14ac:dyDescent="0.25">
      <c r="C82"/>
      <c r="D82"/>
      <c r="E82"/>
      <c r="F82"/>
      <c r="G82"/>
      <c r="H82"/>
    </row>
    <row r="83" spans="3:8" ht="15" x14ac:dyDescent="0.25">
      <c r="C83"/>
      <c r="D83"/>
      <c r="E83"/>
      <c r="F83"/>
      <c r="G83"/>
      <c r="H83"/>
    </row>
  </sheetData>
  <mergeCells count="6">
    <mergeCell ref="A28:F28"/>
    <mergeCell ref="A26:F26"/>
    <mergeCell ref="A25:F25"/>
    <mergeCell ref="A2:A4"/>
    <mergeCell ref="B14:C14"/>
    <mergeCell ref="D14:E14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EF737-6C6E-4935-8874-7DD67B74A44A}">
  <dimension ref="A1:L20"/>
  <sheetViews>
    <sheetView showGridLines="0" topLeftCell="B1" zoomScale="80" zoomScaleNormal="80" zoomScaleSheetLayoutView="95" workbookViewId="0">
      <selection activeCell="H12" sqref="H12"/>
    </sheetView>
  </sheetViews>
  <sheetFormatPr defaultColWidth="9.140625" defaultRowHeight="15" x14ac:dyDescent="0.25"/>
  <cols>
    <col min="1" max="1" width="50.140625" style="55" customWidth="1"/>
    <col min="2" max="2" width="21.7109375" style="55" customWidth="1"/>
    <col min="3" max="3" width="26.5703125" style="55" customWidth="1"/>
    <col min="4" max="4" width="16.5703125" style="81" customWidth="1"/>
    <col min="5" max="5" width="19.5703125" style="82" customWidth="1"/>
    <col min="6" max="6" width="20.85546875" style="55" customWidth="1"/>
    <col min="7" max="7" width="23.5703125" style="55" customWidth="1"/>
    <col min="8" max="8" width="58.28515625" style="55" customWidth="1"/>
    <col min="9" max="9" width="11.28515625" style="55" customWidth="1"/>
    <col min="10" max="10" width="18" style="55" customWidth="1"/>
    <col min="11" max="11" width="11" style="55" bestFit="1" customWidth="1"/>
    <col min="12" max="12" width="11.28515625" style="55" bestFit="1" customWidth="1"/>
    <col min="13" max="13" width="9.140625" style="55"/>
    <col min="14" max="15" width="11" style="55" bestFit="1" customWidth="1"/>
    <col min="16" max="16384" width="9.140625" style="55"/>
  </cols>
  <sheetData>
    <row r="1" spans="1:12" x14ac:dyDescent="0.25">
      <c r="D1" s="79"/>
      <c r="E1" s="55"/>
      <c r="H1" s="80"/>
      <c r="I1" s="80"/>
      <c r="J1" s="79"/>
    </row>
    <row r="3" spans="1:12" ht="28.5" x14ac:dyDescent="0.25">
      <c r="A3" s="261" t="s">
        <v>323</v>
      </c>
      <c r="B3" s="272"/>
      <c r="C3" s="272"/>
      <c r="D3" s="262"/>
      <c r="E3" s="262"/>
      <c r="F3" s="262"/>
      <c r="G3" s="262"/>
      <c r="H3" s="263"/>
      <c r="J3" s="79"/>
    </row>
    <row r="4" spans="1:12" ht="19.5" x14ac:dyDescent="0.25">
      <c r="A4" s="189" t="s">
        <v>186</v>
      </c>
      <c r="B4" s="195">
        <v>45457</v>
      </c>
      <c r="C4" s="193"/>
      <c r="D4" s="193"/>
      <c r="E4" s="193"/>
      <c r="F4" s="193"/>
      <c r="G4" s="193"/>
      <c r="H4" s="194"/>
      <c r="J4" s="79"/>
    </row>
    <row r="5" spans="1:12" ht="19.5" x14ac:dyDescent="0.25">
      <c r="A5" s="189" t="s">
        <v>299</v>
      </c>
      <c r="B5" s="196" t="s">
        <v>216</v>
      </c>
      <c r="C5" s="191"/>
      <c r="D5" s="191"/>
      <c r="E5" s="191"/>
      <c r="F5" s="191"/>
      <c r="G5" s="191"/>
      <c r="H5" s="192"/>
      <c r="J5" s="79"/>
    </row>
    <row r="6" spans="1:12" ht="21.75" x14ac:dyDescent="0.25">
      <c r="A6" s="83"/>
      <c r="B6" s="83"/>
      <c r="C6" s="83"/>
      <c r="D6" s="83"/>
      <c r="E6" s="83"/>
      <c r="F6" s="84"/>
      <c r="G6" s="85"/>
      <c r="H6" s="85"/>
      <c r="J6" s="79"/>
    </row>
    <row r="7" spans="1:12" ht="21.75" x14ac:dyDescent="0.25">
      <c r="A7" s="52" t="s">
        <v>184</v>
      </c>
      <c r="B7" s="52"/>
      <c r="C7" s="52"/>
      <c r="D7" s="53"/>
      <c r="E7" s="53"/>
      <c r="F7" s="54"/>
      <c r="G7" s="53"/>
      <c r="H7" s="53"/>
    </row>
    <row r="8" spans="1:12" ht="21.75" x14ac:dyDescent="0.25">
      <c r="A8" s="56"/>
      <c r="B8" s="56"/>
      <c r="C8" s="56"/>
      <c r="D8" s="57"/>
      <c r="E8" s="57"/>
      <c r="F8" s="58"/>
      <c r="G8" s="59"/>
      <c r="H8" s="59"/>
    </row>
    <row r="9" spans="1:12" ht="42" customHeight="1" x14ac:dyDescent="0.25">
      <c r="A9" s="63" t="s">
        <v>14</v>
      </c>
      <c r="B9" s="265" t="s">
        <v>5</v>
      </c>
      <c r="C9" s="266"/>
      <c r="D9" s="265" t="s">
        <v>18</v>
      </c>
      <c r="E9" s="266"/>
      <c r="F9" s="65" t="s">
        <v>118</v>
      </c>
      <c r="G9" s="71" t="s">
        <v>16</v>
      </c>
      <c r="H9" s="90" t="s">
        <v>302</v>
      </c>
    </row>
    <row r="10" spans="1:12" ht="21.75" x14ac:dyDescent="0.25">
      <c r="A10" s="66" t="s">
        <v>214</v>
      </c>
      <c r="B10" s="62">
        <v>110</v>
      </c>
      <c r="C10" s="62" t="s">
        <v>171</v>
      </c>
      <c r="D10" s="67">
        <f>'Rev. Internos Piso e Parede'!B15*0.05</f>
        <v>48.855000000000004</v>
      </c>
      <c r="E10" s="67" t="s">
        <v>2</v>
      </c>
      <c r="F10" s="88">
        <f>110-F14</f>
        <v>70</v>
      </c>
      <c r="G10" s="89">
        <f t="shared" ref="G10:G15" si="0">F10*D10*1.1</f>
        <v>3761.8350000000005</v>
      </c>
      <c r="H10" s="67">
        <f>ALVENARIA!D16*2-'Rev. Fachada'!B15</f>
        <v>19876.348249999995</v>
      </c>
    </row>
    <row r="11" spans="1:12" ht="21.75" x14ac:dyDescent="0.25">
      <c r="A11" s="78" t="s">
        <v>213</v>
      </c>
      <c r="B11" s="62">
        <v>65</v>
      </c>
      <c r="C11" s="62" t="s">
        <v>171</v>
      </c>
      <c r="D11" s="67">
        <f>'Rev. Internos Piso e Parede'!B16</f>
        <v>319.14999999999998</v>
      </c>
      <c r="E11" s="67" t="s">
        <v>2</v>
      </c>
      <c r="F11" s="88">
        <f>65-28</f>
        <v>37</v>
      </c>
      <c r="G11" s="89">
        <f t="shared" si="0"/>
        <v>12989.405000000001</v>
      </c>
      <c r="H11" s="67">
        <f>H10*0.8+TETO!D10</f>
        <v>21356.678599999999</v>
      </c>
      <c r="I11" s="55">
        <f>1+1.5+15+35</f>
        <v>52.5</v>
      </c>
    </row>
    <row r="12" spans="1:12" ht="21.75" x14ac:dyDescent="0.25">
      <c r="A12" s="78" t="s">
        <v>212</v>
      </c>
      <c r="B12" s="62">
        <f>22*1.16</f>
        <v>25.52</v>
      </c>
      <c r="C12" s="62" t="s">
        <v>6</v>
      </c>
      <c r="D12" s="67">
        <v>1</v>
      </c>
      <c r="E12" s="67" t="s">
        <v>27</v>
      </c>
      <c r="F12" s="88">
        <f>B12*DADOS_INICIAIS!$E$9</f>
        <v>217566.932</v>
      </c>
      <c r="G12" s="89">
        <f t="shared" si="0"/>
        <v>239323.62520000001</v>
      </c>
      <c r="H12" s="67">
        <f>H10*0.2+TETO!D12</f>
        <v>5639.5152499999995</v>
      </c>
      <c r="I12" s="55">
        <f>1-I13</f>
        <v>0.33333333333333337</v>
      </c>
      <c r="J12" s="198">
        <f>I12*G13</f>
        <v>398872.7086666667</v>
      </c>
    </row>
    <row r="13" spans="1:12" ht="21.75" x14ac:dyDescent="0.25">
      <c r="A13" s="66" t="s">
        <v>211</v>
      </c>
      <c r="B13" s="62">
        <f>110*1.16</f>
        <v>127.6</v>
      </c>
      <c r="C13" s="62" t="s">
        <v>6</v>
      </c>
      <c r="D13" s="67">
        <v>1</v>
      </c>
      <c r="E13" s="67" t="s">
        <v>27</v>
      </c>
      <c r="F13" s="88">
        <f>B13*DADOS_INICIAIS!$E$9</f>
        <v>1087834.6599999999</v>
      </c>
      <c r="G13" s="89">
        <f t="shared" si="0"/>
        <v>1196618.1259999999</v>
      </c>
      <c r="H13" s="67"/>
      <c r="I13" s="55">
        <f>35/I11</f>
        <v>0.66666666666666663</v>
      </c>
      <c r="J13" s="198">
        <f>I13*G13</f>
        <v>797745.41733333329</v>
      </c>
    </row>
    <row r="14" spans="1:12" ht="21.75" x14ac:dyDescent="0.25">
      <c r="A14" s="66" t="s">
        <v>382</v>
      </c>
      <c r="B14" s="62"/>
      <c r="C14" s="62"/>
      <c r="D14" s="67">
        <f>D10</f>
        <v>48.855000000000004</v>
      </c>
      <c r="E14" s="67"/>
      <c r="F14" s="88">
        <v>40</v>
      </c>
      <c r="G14" s="89">
        <f t="shared" si="0"/>
        <v>2149.6200000000003</v>
      </c>
      <c r="H14" s="67"/>
      <c r="I14" s="55">
        <f>1+5+31</f>
        <v>37</v>
      </c>
    </row>
    <row r="15" spans="1:12" ht="21.75" x14ac:dyDescent="0.25">
      <c r="A15" s="66" t="s">
        <v>383</v>
      </c>
      <c r="B15" s="62"/>
      <c r="C15" s="62"/>
      <c r="D15" s="67">
        <f>D11</f>
        <v>319.14999999999998</v>
      </c>
      <c r="E15" s="67"/>
      <c r="F15" s="88">
        <f>28</f>
        <v>28</v>
      </c>
      <c r="G15" s="89">
        <f t="shared" si="0"/>
        <v>9829.82</v>
      </c>
      <c r="H15" s="67"/>
      <c r="I15" s="55">
        <f>1-I16</f>
        <v>0.16216216216216217</v>
      </c>
      <c r="J15" s="198">
        <f>I15*G12</f>
        <v>38809.236518918922</v>
      </c>
    </row>
    <row r="16" spans="1:12" ht="21.75" x14ac:dyDescent="0.25">
      <c r="A16" s="260" t="s">
        <v>17</v>
      </c>
      <c r="B16" s="260"/>
      <c r="C16" s="260"/>
      <c r="D16" s="260"/>
      <c r="E16" s="260"/>
      <c r="F16" s="260"/>
      <c r="G16" s="90">
        <f>SUM(G10:G15)</f>
        <v>1464672.4312000002</v>
      </c>
      <c r="H16" s="90"/>
      <c r="I16" s="55">
        <f>31/I14</f>
        <v>0.83783783783783783</v>
      </c>
      <c r="J16" s="198">
        <f>I16*G12</f>
        <v>200514.38868108109</v>
      </c>
      <c r="K16" s="55">
        <f>4160+1440+1120+2880+4800+91680+4000</f>
        <v>110080</v>
      </c>
      <c r="L16" s="55">
        <f>K16/21</f>
        <v>5241.9047619047615</v>
      </c>
    </row>
    <row r="18" spans="1:8" ht="21.75" x14ac:dyDescent="0.25">
      <c r="A18" s="267" t="s">
        <v>222</v>
      </c>
      <c r="B18" s="268"/>
      <c r="C18" s="268"/>
      <c r="D18" s="268"/>
      <c r="E18" s="268"/>
      <c r="F18" s="269"/>
      <c r="G18" s="91">
        <f>G16</f>
        <v>1464672.4312000002</v>
      </c>
      <c r="H18" s="91">
        <f>G18/DADOS_INICIAIS!E9</f>
        <v>171.8020293829579</v>
      </c>
    </row>
    <row r="20" spans="1:8" x14ac:dyDescent="0.25">
      <c r="H20" s="198">
        <f>H18/1.1</f>
        <v>156.18366307541626</v>
      </c>
    </row>
  </sheetData>
  <mergeCells count="5">
    <mergeCell ref="A3:H3"/>
    <mergeCell ref="B9:C9"/>
    <mergeCell ref="D9:E9"/>
    <mergeCell ref="A16:F16"/>
    <mergeCell ref="A18:F18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AC23D-4848-47C0-9462-ED4026A4C01F}">
  <dimension ref="A1:L24"/>
  <sheetViews>
    <sheetView showGridLines="0" topLeftCell="A4" zoomScale="80" zoomScaleNormal="80" zoomScaleSheetLayoutView="95" workbookViewId="0">
      <selection activeCell="G21" sqref="G21"/>
    </sheetView>
  </sheetViews>
  <sheetFormatPr defaultColWidth="9.140625" defaultRowHeight="15" x14ac:dyDescent="0.25"/>
  <cols>
    <col min="1" max="1" width="50.140625" style="55" customWidth="1"/>
    <col min="2" max="2" width="21.7109375" style="55" customWidth="1"/>
    <col min="3" max="3" width="26.5703125" style="55" customWidth="1"/>
    <col min="4" max="4" width="16.5703125" style="81" customWidth="1"/>
    <col min="5" max="5" width="19.5703125" style="82" customWidth="1"/>
    <col min="6" max="6" width="20.85546875" style="55" customWidth="1"/>
    <col min="7" max="7" width="23.5703125" style="55" customWidth="1"/>
    <col min="8" max="8" width="58.28515625" style="55" customWidth="1"/>
    <col min="9" max="9" width="11.28515625" style="55" customWidth="1"/>
    <col min="10" max="10" width="9.140625" style="55"/>
    <col min="11" max="11" width="11" style="55" bestFit="1" customWidth="1"/>
    <col min="12" max="12" width="11.28515625" style="55" bestFit="1" customWidth="1"/>
    <col min="13" max="13" width="9.140625" style="55"/>
    <col min="14" max="15" width="11" style="55" bestFit="1" customWidth="1"/>
    <col min="16" max="16384" width="9.140625" style="55"/>
  </cols>
  <sheetData>
    <row r="1" spans="1:10" x14ac:dyDescent="0.25">
      <c r="D1" s="79"/>
      <c r="E1" s="55"/>
      <c r="H1" s="80"/>
      <c r="I1" s="80"/>
      <c r="J1" s="79"/>
    </row>
    <row r="3" spans="1:10" ht="28.5" x14ac:dyDescent="0.25">
      <c r="A3" s="261" t="s">
        <v>239</v>
      </c>
      <c r="B3" s="272"/>
      <c r="C3" s="272"/>
      <c r="D3" s="262"/>
      <c r="E3" s="262"/>
      <c r="F3" s="262"/>
      <c r="G3" s="262"/>
      <c r="H3" s="263"/>
      <c r="J3" s="79"/>
    </row>
    <row r="4" spans="1:10" ht="19.5" x14ac:dyDescent="0.25">
      <c r="A4" s="189" t="s">
        <v>186</v>
      </c>
      <c r="B4" s="195">
        <v>45460</v>
      </c>
      <c r="C4" s="193"/>
      <c r="D4" s="193"/>
      <c r="E4" s="193"/>
      <c r="F4" s="193"/>
      <c r="G4" s="193"/>
      <c r="H4" s="194"/>
      <c r="J4" s="79"/>
    </row>
    <row r="5" spans="1:10" ht="19.5" x14ac:dyDescent="0.25">
      <c r="A5" s="189" t="s">
        <v>299</v>
      </c>
      <c r="B5" s="196" t="s">
        <v>216</v>
      </c>
      <c r="C5" s="191"/>
      <c r="D5" s="191"/>
      <c r="E5" s="191"/>
      <c r="F5" s="191"/>
      <c r="G5" s="191"/>
      <c r="H5" s="192"/>
      <c r="J5" s="79"/>
    </row>
    <row r="6" spans="1:10" ht="21.75" x14ac:dyDescent="0.25">
      <c r="A6" s="83"/>
      <c r="B6" s="83"/>
      <c r="C6" s="83"/>
      <c r="D6" s="83"/>
      <c r="E6" s="83"/>
      <c r="F6" s="84"/>
      <c r="G6" s="85"/>
      <c r="H6" s="85"/>
      <c r="J6" s="79"/>
    </row>
    <row r="7" spans="1:10" ht="21.75" x14ac:dyDescent="0.25">
      <c r="A7" s="52" t="s">
        <v>239</v>
      </c>
      <c r="B7" s="52"/>
      <c r="C7" s="52"/>
      <c r="D7" s="53"/>
      <c r="E7" s="53"/>
      <c r="F7" s="54"/>
      <c r="G7" s="53"/>
      <c r="H7" s="53"/>
    </row>
    <row r="8" spans="1:10" ht="21.75" x14ac:dyDescent="0.25">
      <c r="A8" s="56"/>
      <c r="B8" s="56"/>
      <c r="C8" s="56"/>
      <c r="D8" s="57"/>
      <c r="E8" s="57"/>
      <c r="F8" s="58"/>
      <c r="G8" s="59"/>
      <c r="H8" s="59"/>
    </row>
    <row r="9" spans="1:10" ht="42" customHeight="1" x14ac:dyDescent="0.25">
      <c r="A9" s="63" t="s">
        <v>14</v>
      </c>
      <c r="B9" s="265" t="s">
        <v>5</v>
      </c>
      <c r="C9" s="266"/>
      <c r="D9" s="265" t="s">
        <v>18</v>
      </c>
      <c r="E9" s="266"/>
      <c r="F9" s="65"/>
      <c r="G9" s="71" t="s">
        <v>16</v>
      </c>
      <c r="H9" s="90" t="s">
        <v>302</v>
      </c>
    </row>
    <row r="10" spans="1:10" ht="21.75" x14ac:dyDescent="0.25">
      <c r="A10" s="66" t="s">
        <v>238</v>
      </c>
      <c r="B10" s="62">
        <v>0.15</v>
      </c>
      <c r="C10" s="62" t="s">
        <v>325</v>
      </c>
      <c r="D10" s="201">
        <f>B10*DADOS_INICIAIS!E9-D11</f>
        <v>1140.8045</v>
      </c>
      <c r="E10" s="67" t="s">
        <v>2</v>
      </c>
      <c r="F10" s="207">
        <v>1250</v>
      </c>
      <c r="G10" s="89">
        <f>F10*D10*1.1</f>
        <v>1568606.1875000002</v>
      </c>
      <c r="H10" s="67">
        <f>G10/DADOS_INICIAIS!E9</f>
        <v>183.99317183458746</v>
      </c>
    </row>
    <row r="11" spans="1:10" ht="21.75" x14ac:dyDescent="0.25">
      <c r="A11" s="202" t="s">
        <v>365</v>
      </c>
      <c r="B11" s="62"/>
      <c r="C11" s="62"/>
      <c r="D11" s="201">
        <f>15.94*2+25.35+25.24*3.2</f>
        <v>137.99799999999999</v>
      </c>
      <c r="E11" s="67" t="s">
        <v>2</v>
      </c>
      <c r="F11" s="88">
        <v>950</v>
      </c>
      <c r="G11" s="89">
        <f>F11*D11*1.1</f>
        <v>144207.90999999997</v>
      </c>
      <c r="H11" s="67"/>
    </row>
    <row r="12" spans="1:10" ht="21.75" x14ac:dyDescent="0.25">
      <c r="A12" s="202" t="s">
        <v>387</v>
      </c>
      <c r="B12" s="62"/>
      <c r="C12" s="62"/>
      <c r="D12" s="201">
        <v>135.41999999999999</v>
      </c>
      <c r="E12" s="67" t="s">
        <v>2</v>
      </c>
      <c r="F12" s="88">
        <v>2100</v>
      </c>
      <c r="G12" s="89">
        <f t="shared" ref="G12:G13" si="0">F12*D12*1.1</f>
        <v>312820.2</v>
      </c>
      <c r="H12" s="67"/>
    </row>
    <row r="13" spans="1:10" ht="21.75" x14ac:dyDescent="0.25">
      <c r="A13" s="78" t="s">
        <v>233</v>
      </c>
      <c r="B13" s="62"/>
      <c r="C13" s="62"/>
      <c r="D13" s="67">
        <v>2</v>
      </c>
      <c r="E13" s="67" t="s">
        <v>3</v>
      </c>
      <c r="F13" s="88">
        <v>18000</v>
      </c>
      <c r="G13" s="89">
        <f t="shared" si="0"/>
        <v>39600</v>
      </c>
      <c r="H13" s="67"/>
    </row>
    <row r="14" spans="1:10" ht="21.75" x14ac:dyDescent="0.25">
      <c r="A14" s="78" t="s">
        <v>235</v>
      </c>
      <c r="B14" s="62"/>
      <c r="C14" s="62"/>
      <c r="D14" s="201">
        <f>4.93*2+((0.35+1.35)*2+2*3+1.35)*14</f>
        <v>160.36000000000001</v>
      </c>
      <c r="E14" s="67" t="s">
        <v>4</v>
      </c>
      <c r="F14" s="88">
        <f>750*1.1</f>
        <v>825.00000000000011</v>
      </c>
      <c r="G14" s="89">
        <f t="shared" ref="G14" si="1">F14*D14*1.1</f>
        <v>145526.70000000004</v>
      </c>
      <c r="H14" s="67"/>
    </row>
    <row r="15" spans="1:10" ht="21.75" x14ac:dyDescent="0.25">
      <c r="A15" s="78" t="s">
        <v>366</v>
      </c>
      <c r="B15" s="62"/>
      <c r="C15" s="62"/>
      <c r="D15" s="201">
        <f>((2.5+0.35+0.5)*2+(4.7+0.28)*2)*14</f>
        <v>233.24</v>
      </c>
      <c r="E15" s="67" t="s">
        <v>2</v>
      </c>
      <c r="F15" s="88">
        <v>610</v>
      </c>
      <c r="G15" s="89">
        <f>F15*D15*1.1</f>
        <v>156504.04</v>
      </c>
      <c r="H15" s="67"/>
    </row>
    <row r="16" spans="1:10" ht="21.75" x14ac:dyDescent="0.25">
      <c r="A16" s="78" t="s">
        <v>236</v>
      </c>
      <c r="B16" s="62">
        <v>10</v>
      </c>
      <c r="C16" s="62" t="s">
        <v>6</v>
      </c>
      <c r="D16" s="67">
        <v>1</v>
      </c>
      <c r="E16" s="67" t="s">
        <v>27</v>
      </c>
      <c r="F16" s="88">
        <f>B16*DADOS_INICIAIS!$E$9</f>
        <v>85253.5</v>
      </c>
      <c r="G16" s="89">
        <f t="shared" ref="G16:G20" si="2">F16*D16*1.1</f>
        <v>93778.85</v>
      </c>
      <c r="H16" s="67"/>
    </row>
    <row r="17" spans="1:12" ht="28.5" customHeight="1" x14ac:dyDescent="0.25">
      <c r="A17" s="78" t="s">
        <v>237</v>
      </c>
      <c r="B17" s="62"/>
      <c r="C17" s="62"/>
      <c r="D17" s="201">
        <f>2*DADOS_INICIAIS!E15</f>
        <v>38</v>
      </c>
      <c r="E17" s="67" t="s">
        <v>3</v>
      </c>
      <c r="F17" s="88">
        <v>1750</v>
      </c>
      <c r="G17" s="89">
        <f t="shared" si="2"/>
        <v>73150</v>
      </c>
      <c r="H17" s="67"/>
    </row>
    <row r="18" spans="1:12" ht="21.75" x14ac:dyDescent="0.25">
      <c r="A18" s="78" t="s">
        <v>234</v>
      </c>
      <c r="B18" s="62"/>
      <c r="C18" s="62"/>
      <c r="D18" s="201">
        <f>(2.35*2+3.51+1.12*4)*1.2*DADOS_INICIAIS!E15</f>
        <v>289.33200000000005</v>
      </c>
      <c r="E18" s="67" t="s">
        <v>4</v>
      </c>
      <c r="F18" s="88">
        <v>65</v>
      </c>
      <c r="G18" s="89">
        <f t="shared" si="2"/>
        <v>20687.238000000005</v>
      </c>
      <c r="H18" s="67"/>
    </row>
    <row r="19" spans="1:12" ht="21.75" x14ac:dyDescent="0.25">
      <c r="A19" s="78" t="s">
        <v>356</v>
      </c>
      <c r="B19" s="62"/>
      <c r="C19" s="62"/>
      <c r="D19" s="201">
        <f>DADOS_INICIAIS!E10</f>
        <v>70</v>
      </c>
      <c r="E19" s="67" t="s">
        <v>3</v>
      </c>
      <c r="F19" s="88">
        <v>1500</v>
      </c>
      <c r="G19" s="89">
        <f t="shared" si="2"/>
        <v>115500.00000000001</v>
      </c>
      <c r="H19" s="67"/>
    </row>
    <row r="20" spans="1:12" ht="21.75" x14ac:dyDescent="0.25">
      <c r="A20" s="66" t="s">
        <v>232</v>
      </c>
      <c r="B20" s="62"/>
      <c r="C20" s="62"/>
      <c r="D20" s="206">
        <f>5*5*14+2</f>
        <v>352</v>
      </c>
      <c r="E20" s="67" t="s">
        <v>3</v>
      </c>
      <c r="F20" s="88">
        <f>1450-F21</f>
        <v>1300</v>
      </c>
      <c r="G20" s="89">
        <f t="shared" si="2"/>
        <v>503360.00000000006</v>
      </c>
      <c r="H20" s="67"/>
    </row>
    <row r="21" spans="1:12" ht="21.75" x14ac:dyDescent="0.25">
      <c r="A21" s="66" t="s">
        <v>384</v>
      </c>
      <c r="B21" s="62"/>
      <c r="C21" s="62"/>
      <c r="D21" s="206">
        <f>D20</f>
        <v>352</v>
      </c>
      <c r="E21" s="67" t="str">
        <f>E20</f>
        <v>un</v>
      </c>
      <c r="F21" s="88">
        <v>150</v>
      </c>
      <c r="G21" s="89">
        <f>F21*D21*1.1</f>
        <v>58080.000000000007</v>
      </c>
      <c r="H21" s="67"/>
    </row>
    <row r="22" spans="1:12" ht="21.75" x14ac:dyDescent="0.25">
      <c r="A22" s="260" t="s">
        <v>17</v>
      </c>
      <c r="B22" s="260"/>
      <c r="C22" s="260"/>
      <c r="D22" s="260"/>
      <c r="E22" s="260"/>
      <c r="F22" s="260"/>
      <c r="G22" s="90">
        <f>SUM(G10:G21)</f>
        <v>3231821.1255000001</v>
      </c>
      <c r="H22" s="90"/>
      <c r="K22" s="55">
        <f>4160+1440+1120+2880+4800+91680+4000</f>
        <v>110080</v>
      </c>
      <c r="L22" s="55">
        <f>K22/21</f>
        <v>5241.9047619047615</v>
      </c>
    </row>
    <row r="24" spans="1:12" ht="21.75" x14ac:dyDescent="0.25">
      <c r="A24" s="267" t="s">
        <v>335</v>
      </c>
      <c r="B24" s="268"/>
      <c r="C24" s="268"/>
      <c r="D24" s="268"/>
      <c r="E24" s="268"/>
      <c r="F24" s="269"/>
      <c r="G24" s="91">
        <f>G22</f>
        <v>3231821.1255000001</v>
      </c>
      <c r="H24" s="91">
        <f>G24/DADOS_INICIAIS!E9</f>
        <v>379.08368870486254</v>
      </c>
    </row>
  </sheetData>
  <mergeCells count="5">
    <mergeCell ref="A3:H3"/>
    <mergeCell ref="B9:C9"/>
    <mergeCell ref="D9:E9"/>
    <mergeCell ref="A22:F22"/>
    <mergeCell ref="A24:F24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EB461-4C5C-413C-82B5-048D21A64C5E}">
  <dimension ref="A1:J15"/>
  <sheetViews>
    <sheetView showGridLines="0" zoomScale="85" zoomScaleNormal="85" zoomScaleSheetLayoutView="95" workbookViewId="0">
      <selection activeCell="G9" sqref="G9:G11"/>
    </sheetView>
  </sheetViews>
  <sheetFormatPr defaultColWidth="9.140625" defaultRowHeight="19.5" x14ac:dyDescent="0.25"/>
  <cols>
    <col min="1" max="1" width="53" style="45" bestFit="1" customWidth="1"/>
    <col min="2" max="7" width="27" style="45" customWidth="1"/>
    <col min="8" max="8" width="14" style="45" customWidth="1"/>
    <col min="9" max="16384" width="9.140625" style="1"/>
  </cols>
  <sheetData>
    <row r="1" spans="1:10" x14ac:dyDescent="0.25">
      <c r="A1" s="48"/>
      <c r="B1" s="48"/>
      <c r="C1" s="48"/>
      <c r="D1" s="48"/>
      <c r="E1" s="48"/>
      <c r="F1" s="48"/>
      <c r="G1" s="48"/>
      <c r="H1" s="48"/>
      <c r="J1" s="2"/>
    </row>
    <row r="2" spans="1:10" ht="28.5" x14ac:dyDescent="0.25">
      <c r="A2" s="261" t="s">
        <v>199</v>
      </c>
      <c r="B2" s="262"/>
      <c r="C2" s="262"/>
      <c r="D2" s="262"/>
      <c r="E2" s="262"/>
      <c r="F2" s="262"/>
      <c r="G2" s="262"/>
      <c r="H2" s="263"/>
      <c r="J2" s="2"/>
    </row>
    <row r="3" spans="1:10" s="55" customFormat="1" x14ac:dyDescent="0.25">
      <c r="A3" s="189" t="s">
        <v>186</v>
      </c>
      <c r="B3" s="195">
        <v>45543</v>
      </c>
      <c r="C3" s="193"/>
      <c r="D3" s="193"/>
      <c r="E3" s="193"/>
      <c r="F3" s="193"/>
      <c r="G3" s="193"/>
      <c r="H3" s="194"/>
      <c r="J3" s="79"/>
    </row>
    <row r="4" spans="1:10" s="55" customFormat="1" x14ac:dyDescent="0.25">
      <c r="A4" s="189" t="s">
        <v>299</v>
      </c>
      <c r="B4" s="196" t="s">
        <v>216</v>
      </c>
      <c r="C4" s="191"/>
      <c r="D4" s="191"/>
      <c r="E4" s="191"/>
      <c r="F4" s="191"/>
      <c r="G4" s="191"/>
      <c r="H4" s="192"/>
      <c r="J4" s="79"/>
    </row>
    <row r="5" spans="1:10" x14ac:dyDescent="0.25">
      <c r="A5" s="50"/>
      <c r="B5" s="50"/>
      <c r="C5" s="50"/>
      <c r="D5" s="50"/>
      <c r="E5" s="50"/>
      <c r="F5" s="50"/>
      <c r="G5" s="48"/>
      <c r="H5" s="48"/>
      <c r="J5" s="2"/>
    </row>
    <row r="6" spans="1:10" s="55" customFormat="1" ht="21.75" x14ac:dyDescent="0.25">
      <c r="A6" s="52" t="s">
        <v>329</v>
      </c>
      <c r="B6" s="53"/>
      <c r="C6" s="53"/>
      <c r="D6" s="53"/>
      <c r="E6" s="53"/>
      <c r="F6" s="53"/>
      <c r="G6" s="53"/>
      <c r="H6" s="53"/>
    </row>
    <row r="7" spans="1:10" s="55" customFormat="1" ht="21.75" x14ac:dyDescent="0.25">
      <c r="A7" s="56"/>
      <c r="B7" s="57"/>
      <c r="C7" s="57"/>
      <c r="D7" s="57"/>
      <c r="E7" s="57"/>
      <c r="F7" s="57"/>
      <c r="G7" s="59"/>
      <c r="H7" s="59"/>
    </row>
    <row r="8" spans="1:10" s="55" customFormat="1" ht="42" customHeight="1" x14ac:dyDescent="0.25">
      <c r="A8" s="63" t="s">
        <v>14</v>
      </c>
      <c r="B8" s="265" t="s">
        <v>5</v>
      </c>
      <c r="C8" s="266"/>
      <c r="D8" s="265" t="s">
        <v>18</v>
      </c>
      <c r="E8" s="266"/>
      <c r="F8" s="65" t="s">
        <v>118</v>
      </c>
      <c r="G8" s="71" t="s">
        <v>16</v>
      </c>
      <c r="H8" s="90" t="s">
        <v>302</v>
      </c>
    </row>
    <row r="9" spans="1:10" s="55" customFormat="1" ht="21.75" x14ac:dyDescent="0.25">
      <c r="A9" s="66" t="s">
        <v>326</v>
      </c>
      <c r="B9" s="62"/>
      <c r="C9" s="62"/>
      <c r="D9" s="67">
        <f>5041.4/14-39.9</f>
        <v>320.2</v>
      </c>
      <c r="E9" s="67" t="s">
        <v>2</v>
      </c>
      <c r="F9" s="88">
        <v>500</v>
      </c>
      <c r="G9" s="89">
        <f>F9*D9*1.1</f>
        <v>176110</v>
      </c>
      <c r="H9" s="67"/>
    </row>
    <row r="10" spans="1:10" s="55" customFormat="1" ht="21.75" x14ac:dyDescent="0.25">
      <c r="A10" s="66" t="s">
        <v>172</v>
      </c>
      <c r="B10" s="62"/>
      <c r="C10" s="62"/>
      <c r="D10" s="67">
        <f>D9</f>
        <v>320.2</v>
      </c>
      <c r="E10" s="67" t="s">
        <v>2</v>
      </c>
      <c r="F10" s="188">
        <v>45</v>
      </c>
      <c r="G10" s="89">
        <f>F10*D10*1.1</f>
        <v>15849.900000000001</v>
      </c>
      <c r="H10" s="67"/>
    </row>
    <row r="11" spans="1:10" s="55" customFormat="1" ht="21.75" x14ac:dyDescent="0.25">
      <c r="A11" s="66" t="s">
        <v>327</v>
      </c>
      <c r="B11" s="62"/>
      <c r="C11" s="62"/>
      <c r="D11" s="67">
        <v>15</v>
      </c>
      <c r="E11" s="67" t="s">
        <v>2</v>
      </c>
      <c r="F11" s="251">
        <v>450</v>
      </c>
      <c r="G11" s="89">
        <f t="shared" ref="G11:G12" si="0">F11*D11*1.1</f>
        <v>7425.0000000000009</v>
      </c>
      <c r="H11" s="67"/>
    </row>
    <row r="12" spans="1:10" s="55" customFormat="1" ht="21.75" x14ac:dyDescent="0.25">
      <c r="A12" s="66" t="s">
        <v>328</v>
      </c>
      <c r="B12" s="62"/>
      <c r="C12" s="62"/>
      <c r="D12" s="67"/>
      <c r="E12" s="67"/>
      <c r="F12" s="67"/>
      <c r="G12" s="89">
        <f t="shared" si="0"/>
        <v>0</v>
      </c>
      <c r="H12" s="67"/>
    </row>
    <row r="13" spans="1:10" s="55" customFormat="1" ht="21.75" x14ac:dyDescent="0.25">
      <c r="A13" s="260" t="s">
        <v>17</v>
      </c>
      <c r="B13" s="260"/>
      <c r="C13" s="260"/>
      <c r="D13" s="110"/>
      <c r="E13" s="110"/>
      <c r="F13" s="110"/>
      <c r="G13" s="90">
        <f>SUM(G9:G12)</f>
        <v>199384.9</v>
      </c>
      <c r="H13" s="90"/>
    </row>
    <row r="14" spans="1:10" s="55" customFormat="1" ht="21.75" x14ac:dyDescent="0.25">
      <c r="A14" s="264"/>
      <c r="B14" s="264"/>
      <c r="C14" s="264"/>
      <c r="D14" s="111"/>
      <c r="E14" s="111"/>
      <c r="F14" s="111"/>
      <c r="G14" s="59"/>
      <c r="H14" s="59"/>
    </row>
    <row r="15" spans="1:10" ht="23.25" customHeight="1" x14ac:dyDescent="0.25">
      <c r="A15" s="257" t="s">
        <v>280</v>
      </c>
      <c r="B15" s="258"/>
      <c r="C15" s="259"/>
      <c r="D15" s="109"/>
      <c r="E15" s="109"/>
      <c r="F15" s="109"/>
      <c r="G15" s="108">
        <f>G13</f>
        <v>199384.9</v>
      </c>
      <c r="H15" s="108">
        <f>G15/DADOS_INICIAIS!$E$9</f>
        <v>23.387297882198382</v>
      </c>
    </row>
  </sheetData>
  <mergeCells count="6">
    <mergeCell ref="A15:C15"/>
    <mergeCell ref="A2:H2"/>
    <mergeCell ref="B8:C8"/>
    <mergeCell ref="D8:E8"/>
    <mergeCell ref="A13:C13"/>
    <mergeCell ref="A14:C14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B37A4-6D6F-45D4-B218-2ECBFC9788BF}">
  <dimension ref="A1:L40"/>
  <sheetViews>
    <sheetView showGridLines="0" tabSelected="1" topLeftCell="A16" zoomScale="130" zoomScaleNormal="130" zoomScaleSheetLayoutView="95" workbookViewId="0">
      <selection activeCell="A22" sqref="A22:F22"/>
    </sheetView>
  </sheetViews>
  <sheetFormatPr defaultColWidth="9.140625" defaultRowHeight="12.75" x14ac:dyDescent="0.25"/>
  <cols>
    <col min="1" max="1" width="48.7109375" style="1" customWidth="1"/>
    <col min="2" max="2" width="15.85546875" style="114" customWidth="1"/>
    <col min="3" max="3" width="7.5703125" style="113" customWidth="1"/>
    <col min="4" max="4" width="11.5703125" style="112" customWidth="1"/>
    <col min="5" max="5" width="15.85546875" style="1" customWidth="1"/>
    <col min="6" max="6" width="12.85546875" style="1" customWidth="1"/>
    <col min="7" max="7" width="19.140625" style="1" customWidth="1"/>
    <col min="8" max="8" width="15.140625" style="1" customWidth="1"/>
    <col min="9" max="9" width="13.5703125" style="1" bestFit="1" customWidth="1"/>
    <col min="10" max="10" width="12" style="1" bestFit="1" customWidth="1"/>
    <col min="11" max="11" width="9.140625" style="1"/>
    <col min="12" max="12" width="10.5703125" style="1" bestFit="1" customWidth="1"/>
    <col min="13" max="16384" width="9.140625" style="1"/>
  </cols>
  <sheetData>
    <row r="1" spans="1:12" x14ac:dyDescent="0.25">
      <c r="B1" s="2"/>
      <c r="C1" s="1"/>
      <c r="D1" s="1"/>
      <c r="G1" s="161"/>
      <c r="H1" s="161"/>
      <c r="I1" s="2"/>
    </row>
    <row r="2" spans="1:12" ht="12.75" customHeight="1" x14ac:dyDescent="0.25">
      <c r="A2" s="280" t="s">
        <v>188</v>
      </c>
      <c r="B2" s="2"/>
      <c r="C2" s="1"/>
      <c r="D2" s="1"/>
      <c r="G2" s="166"/>
      <c r="H2" s="166"/>
      <c r="I2" s="2"/>
    </row>
    <row r="3" spans="1:12" ht="12.75" customHeight="1" x14ac:dyDescent="0.25">
      <c r="A3" s="281"/>
      <c r="B3" s="2"/>
      <c r="C3" s="1"/>
      <c r="D3" s="1"/>
      <c r="G3" s="166"/>
      <c r="H3" s="166"/>
      <c r="I3" s="2"/>
    </row>
    <row r="4" spans="1:12" ht="12.75" customHeight="1" x14ac:dyDescent="0.25">
      <c r="A4" s="281"/>
      <c r="B4" s="2"/>
      <c r="C4" s="1"/>
      <c r="D4" s="1"/>
      <c r="G4" s="166"/>
      <c r="H4" s="166"/>
      <c r="I4" s="2"/>
    </row>
    <row r="5" spans="1:12" ht="13.5" thickBot="1" x14ac:dyDescent="0.3">
      <c r="A5" s="165"/>
      <c r="B5" s="164"/>
      <c r="C5" s="164"/>
      <c r="D5" s="164"/>
      <c r="E5" s="164"/>
      <c r="F5" s="164"/>
      <c r="G5" s="163"/>
      <c r="H5" s="163"/>
      <c r="I5" s="2"/>
    </row>
    <row r="6" spans="1:12" x14ac:dyDescent="0.25">
      <c r="A6" s="162"/>
      <c r="B6" s="2"/>
      <c r="C6" s="1"/>
      <c r="D6" s="1"/>
      <c r="G6" s="161"/>
      <c r="H6" s="161"/>
      <c r="I6" s="2"/>
    </row>
    <row r="7" spans="1:12" x14ac:dyDescent="0.25">
      <c r="A7" s="160" t="s">
        <v>187</v>
      </c>
      <c r="B7" s="159" t="s">
        <v>389</v>
      </c>
      <c r="C7" s="158"/>
      <c r="D7" s="158"/>
      <c r="E7" s="158"/>
      <c r="F7" s="158"/>
      <c r="G7" s="158"/>
      <c r="H7" s="157"/>
      <c r="I7" s="2"/>
    </row>
    <row r="8" spans="1:12" x14ac:dyDescent="0.25">
      <c r="A8" s="156" t="s">
        <v>0</v>
      </c>
      <c r="B8" s="155" t="s">
        <v>385</v>
      </c>
      <c r="C8" s="154"/>
      <c r="D8" s="154"/>
      <c r="E8" s="154"/>
      <c r="F8" s="154"/>
      <c r="G8" s="154"/>
      <c r="H8" s="153"/>
      <c r="I8" s="2"/>
    </row>
    <row r="9" spans="1:12" ht="15" customHeight="1" x14ac:dyDescent="0.25">
      <c r="A9" s="152" t="s">
        <v>186</v>
      </c>
      <c r="B9" s="151">
        <v>45543</v>
      </c>
      <c r="C9" s="150"/>
      <c r="D9" s="150"/>
      <c r="E9" s="150"/>
      <c r="F9" s="150"/>
      <c r="G9" s="150"/>
      <c r="H9" s="149"/>
    </row>
    <row r="10" spans="1:12" x14ac:dyDescent="0.25">
      <c r="A10" s="148" t="s">
        <v>1</v>
      </c>
      <c r="B10" s="147" t="s">
        <v>185</v>
      </c>
      <c r="C10" s="146"/>
      <c r="D10" s="146"/>
      <c r="E10" s="146"/>
      <c r="F10" s="146"/>
      <c r="G10" s="146"/>
      <c r="H10" s="145"/>
    </row>
    <row r="12" spans="1:12" ht="15.75" customHeight="1" x14ac:dyDescent="0.25">
      <c r="A12" s="144" t="s">
        <v>221</v>
      </c>
      <c r="B12" s="143"/>
      <c r="C12" s="142"/>
      <c r="D12" s="141"/>
      <c r="E12" s="140"/>
      <c r="F12" s="140"/>
      <c r="G12" s="140"/>
      <c r="H12" s="139"/>
    </row>
    <row r="13" spans="1:12" ht="15.75" customHeight="1" x14ac:dyDescent="0.25">
      <c r="A13" s="138"/>
      <c r="B13" s="137"/>
      <c r="C13" s="136"/>
      <c r="D13" s="135"/>
      <c r="E13" s="135"/>
      <c r="F13" s="135"/>
      <c r="H13" s="131"/>
    </row>
    <row r="14" spans="1:12" ht="15.75" customHeight="1" x14ac:dyDescent="0.25">
      <c r="A14" s="134" t="s">
        <v>14</v>
      </c>
      <c r="B14" s="287" t="s">
        <v>18</v>
      </c>
      <c r="C14" s="288"/>
      <c r="D14" s="289" t="s">
        <v>5</v>
      </c>
      <c r="E14" s="290"/>
      <c r="F14" s="133" t="s">
        <v>183</v>
      </c>
      <c r="G14" s="132" t="s">
        <v>16</v>
      </c>
      <c r="H14" s="131"/>
      <c r="J14" s="115"/>
      <c r="L14" s="115"/>
    </row>
    <row r="15" spans="1:12" x14ac:dyDescent="0.25">
      <c r="A15" s="172" t="s">
        <v>196</v>
      </c>
      <c r="B15" s="175">
        <f>L21-ESQUADRIAS!D10*0.5</f>
        <v>5619.4397500000005</v>
      </c>
      <c r="C15" s="129" t="s">
        <v>2</v>
      </c>
      <c r="D15" s="124">
        <f>25+70</f>
        <v>95</v>
      </c>
      <c r="E15" s="130" t="s">
        <v>171</v>
      </c>
      <c r="F15" s="126" t="s">
        <v>216</v>
      </c>
      <c r="G15" s="125">
        <f>B15*D15*1.1</f>
        <v>587231.45387500001</v>
      </c>
      <c r="H15" s="131"/>
      <c r="I15" s="115"/>
      <c r="K15" s="187"/>
      <c r="L15" s="115"/>
    </row>
    <row r="16" spans="1:12" x14ac:dyDescent="0.25">
      <c r="A16" s="285" t="s">
        <v>17</v>
      </c>
      <c r="B16" s="286"/>
      <c r="C16" s="286"/>
      <c r="D16" s="286"/>
      <c r="E16" s="286"/>
      <c r="F16" s="286"/>
      <c r="G16" s="122">
        <f>SUM(G15:G15)</f>
        <v>587231.45387500001</v>
      </c>
      <c r="H16" s="121"/>
      <c r="K16" s="186"/>
    </row>
    <row r="17" spans="1:12" ht="15.75" customHeight="1" x14ac:dyDescent="0.25">
      <c r="A17" s="283"/>
      <c r="B17" s="284"/>
      <c r="C17" s="284"/>
      <c r="D17" s="284"/>
      <c r="E17" s="284"/>
      <c r="F17" s="284"/>
      <c r="G17" s="167"/>
      <c r="H17" s="118"/>
    </row>
    <row r="18" spans="1:12" ht="15.75" customHeight="1" x14ac:dyDescent="0.25">
      <c r="A18" s="144" t="s">
        <v>220</v>
      </c>
      <c r="B18" s="143"/>
      <c r="C18" s="142"/>
      <c r="D18" s="141"/>
      <c r="E18" s="140"/>
      <c r="F18" s="140"/>
      <c r="G18" s="140"/>
      <c r="H18" s="139"/>
      <c r="J18" s="1" t="s">
        <v>219</v>
      </c>
      <c r="K18" s="115">
        <f>DADOS_INICIAIS!E26</f>
        <v>110.48</v>
      </c>
      <c r="L18" s="1">
        <f>14.7+2.1</f>
        <v>16.8</v>
      </c>
    </row>
    <row r="19" spans="1:12" ht="15.75" customHeight="1" x14ac:dyDescent="0.25">
      <c r="A19" s="138"/>
      <c r="B19" s="185"/>
      <c r="C19" s="136"/>
      <c r="D19" s="135"/>
      <c r="E19" s="135"/>
      <c r="F19" s="135"/>
      <c r="H19" s="131"/>
      <c r="J19" s="1" t="s">
        <v>330</v>
      </c>
      <c r="K19" s="115">
        <f>DADOS_INICIAIS!E20</f>
        <v>83.83</v>
      </c>
      <c r="L19" s="1">
        <v>49.1</v>
      </c>
    </row>
    <row r="20" spans="1:12" ht="15.75" customHeight="1" x14ac:dyDescent="0.25">
      <c r="A20" s="134" t="s">
        <v>14</v>
      </c>
      <c r="B20" s="287" t="s">
        <v>18</v>
      </c>
      <c r="C20" s="288"/>
      <c r="D20" s="289" t="s">
        <v>5</v>
      </c>
      <c r="E20" s="290"/>
      <c r="F20" s="133" t="s">
        <v>183</v>
      </c>
      <c r="G20" s="132" t="s">
        <v>16</v>
      </c>
      <c r="H20" s="131"/>
      <c r="J20" s="1" t="s">
        <v>218</v>
      </c>
      <c r="K20" s="1">
        <v>29.03</v>
      </c>
      <c r="L20" s="1">
        <v>7.5</v>
      </c>
    </row>
    <row r="21" spans="1:12" ht="15.75" customHeight="1" x14ac:dyDescent="0.25">
      <c r="A21" s="172" t="s">
        <v>331</v>
      </c>
      <c r="B21" s="175">
        <f>B15</f>
        <v>5619.4397500000005</v>
      </c>
      <c r="C21" s="129" t="s">
        <v>2</v>
      </c>
      <c r="D21" s="124">
        <v>85</v>
      </c>
      <c r="E21" s="130" t="s">
        <v>171</v>
      </c>
      <c r="F21" s="126" t="s">
        <v>216</v>
      </c>
      <c r="G21" s="125">
        <f>B21*D21*1.1</f>
        <v>525417.61662500002</v>
      </c>
      <c r="H21" s="131"/>
      <c r="I21" s="115"/>
      <c r="L21" s="115">
        <f>K18*L18+K19*L19+K20*L20</f>
        <v>6189.8420000000006</v>
      </c>
    </row>
    <row r="22" spans="1:12" x14ac:dyDescent="0.25">
      <c r="A22" s="285" t="s">
        <v>17</v>
      </c>
      <c r="B22" s="286"/>
      <c r="C22" s="286"/>
      <c r="D22" s="286"/>
      <c r="E22" s="286"/>
      <c r="F22" s="286"/>
      <c r="G22" s="122">
        <f>SUM(G21:G21)</f>
        <v>525417.61662500002</v>
      </c>
      <c r="H22" s="121"/>
      <c r="J22" s="115"/>
    </row>
    <row r="23" spans="1:12" x14ac:dyDescent="0.25">
      <c r="A23" s="294"/>
      <c r="B23" s="295"/>
      <c r="C23" s="295"/>
      <c r="D23" s="295"/>
      <c r="E23" s="295"/>
      <c r="F23" s="295"/>
      <c r="G23" s="167"/>
      <c r="H23" s="118"/>
    </row>
    <row r="24" spans="1:12" ht="15.75" customHeight="1" x14ac:dyDescent="0.25">
      <c r="A24" s="144" t="s">
        <v>217</v>
      </c>
      <c r="B24" s="143"/>
      <c r="C24" s="142"/>
      <c r="D24" s="141"/>
      <c r="E24" s="140"/>
      <c r="F24" s="140"/>
      <c r="G24" s="140"/>
      <c r="H24" s="139"/>
    </row>
    <row r="25" spans="1:12" ht="15.75" customHeight="1" x14ac:dyDescent="0.25">
      <c r="A25" s="138"/>
      <c r="B25" s="137"/>
      <c r="C25" s="136"/>
      <c r="D25" s="135"/>
      <c r="E25" s="135"/>
      <c r="F25" s="135"/>
      <c r="H25" s="131"/>
    </row>
    <row r="26" spans="1:12" ht="15.75" customHeight="1" x14ac:dyDescent="0.25">
      <c r="A26" s="134" t="s">
        <v>14</v>
      </c>
      <c r="B26" s="287" t="s">
        <v>18</v>
      </c>
      <c r="C26" s="288"/>
      <c r="D26" s="289" t="s">
        <v>5</v>
      </c>
      <c r="E26" s="290"/>
      <c r="F26" s="133" t="s">
        <v>183</v>
      </c>
      <c r="G26" s="132" t="s">
        <v>16</v>
      </c>
      <c r="H26" s="131"/>
    </row>
    <row r="27" spans="1:12" ht="15.75" customHeight="1" x14ac:dyDescent="0.25">
      <c r="A27" s="172" t="s">
        <v>367</v>
      </c>
      <c r="B27" s="175">
        <f>(11.83+14.14*2)*1.8</f>
        <v>72.198000000000008</v>
      </c>
      <c r="C27" s="129" t="s">
        <v>336</v>
      </c>
      <c r="D27" s="124">
        <v>600</v>
      </c>
      <c r="E27" s="130" t="s">
        <v>171</v>
      </c>
      <c r="F27" s="126" t="s">
        <v>216</v>
      </c>
      <c r="G27" s="125">
        <f>B27*D27*1.1</f>
        <v>47650.680000000008</v>
      </c>
      <c r="H27" s="131"/>
    </row>
    <row r="28" spans="1:12" ht="15.75" customHeight="1" x14ac:dyDescent="0.25">
      <c r="A28" s="208" t="s">
        <v>388</v>
      </c>
      <c r="B28" s="209">
        <v>135.82</v>
      </c>
      <c r="C28" s="129" t="s">
        <v>336</v>
      </c>
      <c r="D28" s="124">
        <v>600</v>
      </c>
      <c r="E28" s="130" t="s">
        <v>171</v>
      </c>
      <c r="F28" s="126" t="s">
        <v>216</v>
      </c>
      <c r="G28" s="125">
        <f>B28*D28*1.1</f>
        <v>89641.200000000012</v>
      </c>
      <c r="H28" s="131"/>
    </row>
    <row r="29" spans="1:12" ht="15.75" customHeight="1" x14ac:dyDescent="0.25">
      <c r="A29" s="285"/>
      <c r="B29" s="286"/>
      <c r="C29" s="286"/>
      <c r="D29" s="286"/>
      <c r="E29" s="286"/>
      <c r="F29" s="286"/>
      <c r="G29" s="122">
        <f>SUM(G27:G28)</f>
        <v>137291.88</v>
      </c>
      <c r="H29" s="121"/>
    </row>
    <row r="30" spans="1:12" x14ac:dyDescent="0.25">
      <c r="A30" s="283"/>
      <c r="B30" s="284"/>
      <c r="C30" s="284"/>
      <c r="D30" s="284"/>
      <c r="E30" s="284"/>
      <c r="F30" s="284"/>
      <c r="G30" s="167"/>
      <c r="H30" s="118"/>
      <c r="J30" s="1">
        <f>25.78*2</f>
        <v>51.56</v>
      </c>
    </row>
    <row r="31" spans="1:12" ht="15.75" customHeight="1" x14ac:dyDescent="0.25">
      <c r="G31" s="115"/>
    </row>
    <row r="32" spans="1:12" ht="15.75" customHeight="1" x14ac:dyDescent="0.25">
      <c r="A32" s="282" t="s">
        <v>215</v>
      </c>
      <c r="B32" s="282"/>
      <c r="C32" s="282"/>
      <c r="D32" s="282"/>
      <c r="E32" s="282"/>
      <c r="F32" s="282"/>
      <c r="G32" s="117">
        <f>G22+G16+G29</f>
        <v>1249940.9504999998</v>
      </c>
      <c r="H32" s="116">
        <f>G32/DADOS_INICIAIS!E9</f>
        <v>146.61461998627618</v>
      </c>
    </row>
    <row r="33" spans="3:8" ht="15.75" customHeight="1" x14ac:dyDescent="0.25">
      <c r="H33" s="115">
        <f>H32/1.1</f>
        <v>133.28601816934199</v>
      </c>
    </row>
    <row r="34" spans="3:8" ht="15.75" customHeight="1" x14ac:dyDescent="0.25"/>
    <row r="35" spans="3:8" ht="15.75" customHeight="1" x14ac:dyDescent="0.25"/>
    <row r="36" spans="3:8" ht="15.75" customHeight="1" x14ac:dyDescent="0.25"/>
    <row r="37" spans="3:8" ht="15.75" customHeight="1" x14ac:dyDescent="0.25"/>
    <row r="38" spans="3:8" ht="15.75" customHeight="1" x14ac:dyDescent="0.25"/>
    <row r="39" spans="3:8" ht="15.75" customHeight="1" x14ac:dyDescent="0.25">
      <c r="C39"/>
    </row>
    <row r="40" spans="3:8" ht="15.75" customHeight="1" x14ac:dyDescent="0.25"/>
  </sheetData>
  <mergeCells count="14">
    <mergeCell ref="B14:C14"/>
    <mergeCell ref="D14:E14"/>
    <mergeCell ref="A2:A4"/>
    <mergeCell ref="A16:F16"/>
    <mergeCell ref="A17:F17"/>
    <mergeCell ref="B20:C20"/>
    <mergeCell ref="D20:E20"/>
    <mergeCell ref="A32:F32"/>
    <mergeCell ref="A22:F22"/>
    <mergeCell ref="A23:F23"/>
    <mergeCell ref="A30:F30"/>
    <mergeCell ref="B26:C26"/>
    <mergeCell ref="D26:E26"/>
    <mergeCell ref="A29:F29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3F773-AC4A-4F21-B2EF-C9876C500E18}">
  <dimension ref="A1:J17"/>
  <sheetViews>
    <sheetView showGridLines="0" zoomScale="85" zoomScaleNormal="85" zoomScaleSheetLayoutView="95" workbookViewId="0">
      <selection activeCell="I8" sqref="I8"/>
    </sheetView>
  </sheetViews>
  <sheetFormatPr defaultColWidth="9.140625" defaultRowHeight="19.5" x14ac:dyDescent="0.25"/>
  <cols>
    <col min="1" max="1" width="53" style="45" bestFit="1" customWidth="1"/>
    <col min="2" max="6" width="27" style="45" customWidth="1"/>
    <col min="7" max="7" width="14" style="45" customWidth="1"/>
    <col min="8" max="16384" width="9.140625" style="1"/>
  </cols>
  <sheetData>
    <row r="1" spans="1:10" x14ac:dyDescent="0.25">
      <c r="A1" s="48"/>
      <c r="B1" s="48"/>
      <c r="C1" s="48"/>
      <c r="D1" s="48"/>
      <c r="E1" s="48"/>
      <c r="F1" s="48"/>
      <c r="G1" s="48"/>
      <c r="I1" s="2"/>
    </row>
    <row r="2" spans="1:10" ht="28.5" x14ac:dyDescent="0.25">
      <c r="A2" s="261" t="s">
        <v>289</v>
      </c>
      <c r="B2" s="262"/>
      <c r="C2" s="262"/>
      <c r="D2" s="262"/>
      <c r="E2" s="262"/>
      <c r="F2" s="262"/>
      <c r="G2" s="263"/>
      <c r="I2" s="2"/>
    </row>
    <row r="3" spans="1:10" s="55" customFormat="1" x14ac:dyDescent="0.25">
      <c r="A3" s="189" t="s">
        <v>186</v>
      </c>
      <c r="B3" s="195">
        <v>45460</v>
      </c>
      <c r="C3" s="193"/>
      <c r="D3" s="193"/>
      <c r="E3" s="193"/>
      <c r="F3" s="193"/>
      <c r="G3" s="193"/>
      <c r="H3" s="194"/>
      <c r="J3" s="79"/>
    </row>
    <row r="4" spans="1:10" s="55" customFormat="1" x14ac:dyDescent="0.25">
      <c r="A4" s="189" t="s">
        <v>299</v>
      </c>
      <c r="B4" s="196" t="s">
        <v>216</v>
      </c>
      <c r="C4" s="191"/>
      <c r="D4" s="191"/>
      <c r="E4" s="191"/>
      <c r="F4" s="191"/>
      <c r="G4" s="191"/>
      <c r="H4" s="192"/>
      <c r="J4" s="79"/>
    </row>
    <row r="5" spans="1:10" x14ac:dyDescent="0.25">
      <c r="A5" s="50"/>
      <c r="B5" s="50"/>
      <c r="C5" s="50"/>
      <c r="D5" s="50"/>
      <c r="E5" s="50"/>
      <c r="F5" s="48"/>
      <c r="G5" s="48"/>
      <c r="I5" s="2"/>
    </row>
    <row r="6" spans="1:10" s="55" customFormat="1" ht="21.75" x14ac:dyDescent="0.25">
      <c r="A6" s="52" t="s">
        <v>288</v>
      </c>
      <c r="B6" s="53"/>
      <c r="C6" s="53"/>
      <c r="D6" s="53"/>
      <c r="E6" s="53"/>
      <c r="F6" s="53"/>
      <c r="G6" s="53"/>
    </row>
    <row r="7" spans="1:10" s="55" customFormat="1" ht="21.75" x14ac:dyDescent="0.25">
      <c r="A7" s="56"/>
      <c r="B7" s="57"/>
      <c r="C7" s="57"/>
      <c r="D7" s="57"/>
      <c r="E7" s="57"/>
      <c r="F7" s="59"/>
      <c r="G7" s="59"/>
    </row>
    <row r="8" spans="1:10" s="55" customFormat="1" ht="42" customHeight="1" x14ac:dyDescent="0.25">
      <c r="A8" s="63" t="s">
        <v>14</v>
      </c>
      <c r="B8" s="265" t="s">
        <v>5</v>
      </c>
      <c r="C8" s="266"/>
      <c r="D8" s="265" t="s">
        <v>18</v>
      </c>
      <c r="E8" s="266"/>
      <c r="F8" s="71" t="s">
        <v>16</v>
      </c>
      <c r="G8" s="59"/>
    </row>
    <row r="9" spans="1:10" s="55" customFormat="1" ht="21.75" x14ac:dyDescent="0.25">
      <c r="A9" s="66" t="s">
        <v>287</v>
      </c>
      <c r="B9" s="62">
        <v>1500</v>
      </c>
      <c r="C9" s="62" t="s">
        <v>286</v>
      </c>
      <c r="D9" s="67">
        <f>DADOS_INICIAIS!E21</f>
        <v>688.55</v>
      </c>
      <c r="E9" s="67" t="s">
        <v>2</v>
      </c>
      <c r="F9" s="89">
        <f>D9*B9*1.1</f>
        <v>1136107.5</v>
      </c>
      <c r="G9" s="57"/>
    </row>
    <row r="10" spans="1:10" s="55" customFormat="1" ht="21.75" x14ac:dyDescent="0.25">
      <c r="A10" s="66" t="s">
        <v>285</v>
      </c>
      <c r="B10" s="62">
        <v>10</v>
      </c>
      <c r="C10" s="62" t="s">
        <v>6</v>
      </c>
      <c r="D10" s="67">
        <f>B10*DADOS_INICIAIS!$E$9</f>
        <v>85253.5</v>
      </c>
      <c r="E10" s="67" t="s">
        <v>27</v>
      </c>
      <c r="F10" s="89">
        <f>D10*1.1</f>
        <v>93778.85</v>
      </c>
      <c r="G10" s="57"/>
    </row>
    <row r="11" spans="1:10" s="55" customFormat="1" ht="21.75" x14ac:dyDescent="0.25">
      <c r="A11" s="66" t="s">
        <v>284</v>
      </c>
      <c r="B11" s="62">
        <v>12</v>
      </c>
      <c r="C11" s="62" t="s">
        <v>6</v>
      </c>
      <c r="D11" s="67">
        <f>B11*DADOS_INICIAIS!$E$9</f>
        <v>102304.20000000001</v>
      </c>
      <c r="E11" s="67" t="s">
        <v>27</v>
      </c>
      <c r="F11" s="89">
        <f t="shared" ref="F11:F14" si="0">D11*1.1</f>
        <v>112534.62000000002</v>
      </c>
      <c r="G11" s="57"/>
    </row>
    <row r="12" spans="1:10" s="55" customFormat="1" ht="21.75" x14ac:dyDescent="0.25">
      <c r="A12" s="66" t="s">
        <v>283</v>
      </c>
      <c r="B12" s="62">
        <v>4</v>
      </c>
      <c r="C12" s="62" t="s">
        <v>6</v>
      </c>
      <c r="D12" s="67">
        <f>B12*DADOS_INICIAIS!$E$9</f>
        <v>34101.4</v>
      </c>
      <c r="E12" s="67" t="s">
        <v>27</v>
      </c>
      <c r="F12" s="89">
        <f t="shared" si="0"/>
        <v>37511.540000000008</v>
      </c>
      <c r="G12" s="57"/>
    </row>
    <row r="13" spans="1:10" s="55" customFormat="1" ht="21.75" x14ac:dyDescent="0.25">
      <c r="A13" s="66" t="s">
        <v>282</v>
      </c>
      <c r="B13" s="62">
        <v>5</v>
      </c>
      <c r="C13" s="62" t="s">
        <v>6</v>
      </c>
      <c r="D13" s="67">
        <f>B13*DADOS_INICIAIS!$E$9</f>
        <v>42626.75</v>
      </c>
      <c r="E13" s="67" t="s">
        <v>27</v>
      </c>
      <c r="F13" s="89">
        <f t="shared" si="0"/>
        <v>46889.425000000003</v>
      </c>
      <c r="G13" s="57"/>
    </row>
    <row r="14" spans="1:10" s="55" customFormat="1" ht="21.75" x14ac:dyDescent="0.25">
      <c r="A14" s="66" t="s">
        <v>281</v>
      </c>
      <c r="B14" s="62">
        <v>15</v>
      </c>
      <c r="C14" s="62" t="s">
        <v>6</v>
      </c>
      <c r="D14" s="67">
        <f>B14*DADOS_INICIAIS!$E$9</f>
        <v>127880.25</v>
      </c>
      <c r="E14" s="67" t="s">
        <v>27</v>
      </c>
      <c r="F14" s="89">
        <f t="shared" si="0"/>
        <v>140668.27500000002</v>
      </c>
      <c r="G14" s="57"/>
    </row>
    <row r="15" spans="1:10" s="55" customFormat="1" ht="21.75" x14ac:dyDescent="0.25">
      <c r="A15" s="260" t="s">
        <v>17</v>
      </c>
      <c r="B15" s="260"/>
      <c r="C15" s="260"/>
      <c r="D15" s="110"/>
      <c r="E15" s="110"/>
      <c r="F15" s="90">
        <f>SUM(F9:F14)</f>
        <v>1567490.2100000004</v>
      </c>
      <c r="G15" s="60"/>
    </row>
    <row r="16" spans="1:10" s="55" customFormat="1" ht="21.75" x14ac:dyDescent="0.25">
      <c r="A16" s="264"/>
      <c r="B16" s="264"/>
      <c r="C16" s="264"/>
      <c r="D16" s="111"/>
      <c r="E16" s="111"/>
      <c r="F16" s="59"/>
      <c r="G16" s="59"/>
    </row>
    <row r="17" spans="1:7" ht="23.25" customHeight="1" x14ac:dyDescent="0.25">
      <c r="A17" s="257" t="s">
        <v>280</v>
      </c>
      <c r="B17" s="258"/>
      <c r="C17" s="259"/>
      <c r="D17" s="109"/>
      <c r="E17" s="109"/>
      <c r="F17" s="108">
        <f>F15</f>
        <v>1567490.2100000004</v>
      </c>
      <c r="G17" s="108">
        <f>F17/DADOS_INICIAIS!$E$9</f>
        <v>183.86227075721234</v>
      </c>
    </row>
  </sheetData>
  <mergeCells count="6">
    <mergeCell ref="A17:C17"/>
    <mergeCell ref="B8:C8"/>
    <mergeCell ref="D8:E8"/>
    <mergeCell ref="A2:G2"/>
    <mergeCell ref="A15:C15"/>
    <mergeCell ref="A16:C16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7B2D4-1510-4D4F-9933-056D8A08AC12}">
  <sheetPr>
    <tabColor rgb="FF003C66"/>
  </sheetPr>
  <dimension ref="A2:H68"/>
  <sheetViews>
    <sheetView zoomScaleNormal="100" workbookViewId="0">
      <selection activeCell="H12" sqref="H12"/>
    </sheetView>
  </sheetViews>
  <sheetFormatPr defaultRowHeight="15" x14ac:dyDescent="0.25"/>
  <cols>
    <col min="1" max="1" width="106.5703125" bestFit="1" customWidth="1"/>
    <col min="3" max="3" width="15.7109375" bestFit="1" customWidth="1"/>
    <col min="4" max="4" width="8.85546875" style="3"/>
    <col min="7" max="7" width="14.85546875" bestFit="1" customWidth="1"/>
    <col min="8" max="8" width="9.28515625" style="3" bestFit="1" customWidth="1"/>
  </cols>
  <sheetData>
    <row r="2" spans="1:8" x14ac:dyDescent="0.25">
      <c r="A2" t="s">
        <v>42</v>
      </c>
      <c r="B2">
        <v>2</v>
      </c>
      <c r="C2" t="s">
        <v>89</v>
      </c>
      <c r="D2" s="3">
        <v>18.399999999999999</v>
      </c>
    </row>
    <row r="3" spans="1:8" x14ac:dyDescent="0.25">
      <c r="A3" t="s">
        <v>43</v>
      </c>
      <c r="B3">
        <v>2</v>
      </c>
      <c r="C3" t="s">
        <v>90</v>
      </c>
    </row>
    <row r="4" spans="1:8" x14ac:dyDescent="0.25">
      <c r="A4" t="s">
        <v>44</v>
      </c>
      <c r="B4">
        <v>1</v>
      </c>
      <c r="C4" t="s">
        <v>91</v>
      </c>
      <c r="D4" s="3">
        <v>3.4649999999999999</v>
      </c>
    </row>
    <row r="5" spans="1:8" x14ac:dyDescent="0.25">
      <c r="A5" t="s">
        <v>45</v>
      </c>
      <c r="B5">
        <v>1</v>
      </c>
      <c r="C5" t="s">
        <v>91</v>
      </c>
      <c r="D5" s="3">
        <v>1.7324999999999999</v>
      </c>
      <c r="G5" t="s">
        <v>95</v>
      </c>
      <c r="H5" s="3">
        <f>SUMIF(C:C,G5,D:D)</f>
        <v>400.52209999999991</v>
      </c>
    </row>
    <row r="6" spans="1:8" x14ac:dyDescent="0.25">
      <c r="A6" t="s">
        <v>46</v>
      </c>
      <c r="B6">
        <v>2</v>
      </c>
      <c r="C6" t="s">
        <v>91</v>
      </c>
      <c r="D6" s="3">
        <v>5.2751999999999999</v>
      </c>
      <c r="G6" t="s">
        <v>96</v>
      </c>
      <c r="H6" s="3">
        <f>SUMIF(C:C,G6,D:D)</f>
        <v>1895.0600000000002</v>
      </c>
    </row>
    <row r="7" spans="1:8" x14ac:dyDescent="0.25">
      <c r="A7" t="s">
        <v>47</v>
      </c>
      <c r="B7">
        <v>1</v>
      </c>
      <c r="C7" t="s">
        <v>91</v>
      </c>
      <c r="D7" s="3">
        <v>4.1916000000000002</v>
      </c>
      <c r="G7" t="s">
        <v>93</v>
      </c>
      <c r="H7" s="3">
        <f>SUMIF(C:C,G7,B:B)</f>
        <v>218</v>
      </c>
    </row>
    <row r="8" spans="1:8" x14ac:dyDescent="0.25">
      <c r="A8" t="s">
        <v>48</v>
      </c>
      <c r="B8">
        <v>1</v>
      </c>
      <c r="C8" t="s">
        <v>94</v>
      </c>
      <c r="G8" t="s">
        <v>90</v>
      </c>
      <c r="H8" s="3">
        <f>SUMIF(C:C,G8,B:B)</f>
        <v>60</v>
      </c>
    </row>
    <row r="9" spans="1:8" x14ac:dyDescent="0.25">
      <c r="A9" t="s">
        <v>49</v>
      </c>
      <c r="B9">
        <v>19</v>
      </c>
      <c r="C9" t="s">
        <v>93</v>
      </c>
      <c r="G9" t="s">
        <v>94</v>
      </c>
      <c r="H9" s="3">
        <f>SUMIF(C:C,G9,B:B)</f>
        <v>1</v>
      </c>
    </row>
    <row r="10" spans="1:8" x14ac:dyDescent="0.25">
      <c r="A10" t="s">
        <v>50</v>
      </c>
      <c r="B10">
        <v>3</v>
      </c>
      <c r="C10" t="s">
        <v>91</v>
      </c>
      <c r="D10" s="3">
        <v>6.3</v>
      </c>
      <c r="G10" t="s">
        <v>92</v>
      </c>
      <c r="H10" s="3">
        <f>SUMIF(C:C,G10,D:D)</f>
        <v>46.62</v>
      </c>
    </row>
    <row r="11" spans="1:8" x14ac:dyDescent="0.25">
      <c r="A11" t="s">
        <v>51</v>
      </c>
      <c r="B11">
        <v>2</v>
      </c>
      <c r="C11" t="s">
        <v>91</v>
      </c>
      <c r="D11" s="3">
        <v>3.78</v>
      </c>
      <c r="G11" t="s">
        <v>89</v>
      </c>
      <c r="H11" s="3">
        <f>SUMIF(C:C,G11,B:B)</f>
        <v>2</v>
      </c>
    </row>
    <row r="12" spans="1:8" x14ac:dyDescent="0.25">
      <c r="A12" t="s">
        <v>52</v>
      </c>
      <c r="B12">
        <v>1</v>
      </c>
      <c r="C12" t="s">
        <v>91</v>
      </c>
      <c r="D12" s="3">
        <v>2.0076000000000001</v>
      </c>
      <c r="G12" t="s">
        <v>97</v>
      </c>
      <c r="H12" s="3">
        <f>SUMIF(C:C,G12,D:D)</f>
        <v>113.88000000000002</v>
      </c>
    </row>
    <row r="13" spans="1:8" x14ac:dyDescent="0.25">
      <c r="A13" t="s">
        <v>53</v>
      </c>
      <c r="C13" t="s">
        <v>96</v>
      </c>
      <c r="D13" s="3">
        <v>23.4526</v>
      </c>
      <c r="G13" t="s">
        <v>98</v>
      </c>
      <c r="H13" s="3">
        <v>109.3146</v>
      </c>
    </row>
    <row r="14" spans="1:8" x14ac:dyDescent="0.25">
      <c r="A14" t="s">
        <v>54</v>
      </c>
      <c r="C14" t="s">
        <v>95</v>
      </c>
      <c r="D14" s="3">
        <v>20.8062</v>
      </c>
    </row>
    <row r="15" spans="1:8" x14ac:dyDescent="0.25">
      <c r="A15" t="s">
        <v>55</v>
      </c>
      <c r="B15">
        <v>8</v>
      </c>
      <c r="C15" t="s">
        <v>90</v>
      </c>
    </row>
    <row r="16" spans="1:8" x14ac:dyDescent="0.25">
      <c r="A16" t="s">
        <v>56</v>
      </c>
      <c r="C16" t="s">
        <v>96</v>
      </c>
      <c r="D16" s="3">
        <v>124.1564</v>
      </c>
    </row>
    <row r="17" spans="1:4" x14ac:dyDescent="0.25">
      <c r="A17" t="s">
        <v>57</v>
      </c>
      <c r="B17">
        <v>2</v>
      </c>
      <c r="C17" t="s">
        <v>90</v>
      </c>
    </row>
    <row r="18" spans="1:4" x14ac:dyDescent="0.25">
      <c r="A18" t="s">
        <v>58</v>
      </c>
      <c r="B18">
        <v>2</v>
      </c>
      <c r="C18" t="s">
        <v>92</v>
      </c>
      <c r="D18" s="3">
        <v>2.94</v>
      </c>
    </row>
    <row r="19" spans="1:4" x14ac:dyDescent="0.25">
      <c r="A19" t="s">
        <v>59</v>
      </c>
      <c r="B19">
        <v>2</v>
      </c>
      <c r="C19" t="s">
        <v>92</v>
      </c>
      <c r="D19" s="3">
        <v>3.78</v>
      </c>
    </row>
    <row r="20" spans="1:4" x14ac:dyDescent="0.25">
      <c r="A20" t="s">
        <v>60</v>
      </c>
      <c r="B20">
        <v>5</v>
      </c>
      <c r="C20" t="s">
        <v>93</v>
      </c>
    </row>
    <row r="21" spans="1:4" x14ac:dyDescent="0.25">
      <c r="A21" t="s">
        <v>61</v>
      </c>
      <c r="B21">
        <v>1</v>
      </c>
      <c r="C21" t="s">
        <v>96</v>
      </c>
      <c r="D21" s="3">
        <v>14.7348</v>
      </c>
    </row>
    <row r="22" spans="1:4" x14ac:dyDescent="0.25">
      <c r="A22" t="s">
        <v>62</v>
      </c>
      <c r="C22" t="s">
        <v>96</v>
      </c>
      <c r="D22" s="3">
        <v>45.024799999999999</v>
      </c>
    </row>
    <row r="23" spans="1:4" x14ac:dyDescent="0.25">
      <c r="A23" t="s">
        <v>63</v>
      </c>
      <c r="C23" t="s">
        <v>95</v>
      </c>
      <c r="D23" s="3">
        <v>19.8809</v>
      </c>
    </row>
    <row r="24" spans="1:4" x14ac:dyDescent="0.25">
      <c r="A24" t="s">
        <v>64</v>
      </c>
      <c r="B24">
        <v>38</v>
      </c>
      <c r="C24" t="s">
        <v>90</v>
      </c>
    </row>
    <row r="25" spans="1:4" x14ac:dyDescent="0.25">
      <c r="A25" t="s">
        <v>65</v>
      </c>
      <c r="B25">
        <v>171</v>
      </c>
      <c r="C25" t="s">
        <v>93</v>
      </c>
    </row>
    <row r="26" spans="1:4" x14ac:dyDescent="0.25">
      <c r="A26" t="s">
        <v>66</v>
      </c>
      <c r="B26">
        <v>19</v>
      </c>
      <c r="C26" t="s">
        <v>92</v>
      </c>
      <c r="D26" s="3">
        <v>23.94</v>
      </c>
    </row>
    <row r="27" spans="1:4" x14ac:dyDescent="0.25">
      <c r="A27" t="s">
        <v>67</v>
      </c>
      <c r="B27">
        <v>19</v>
      </c>
      <c r="C27" t="s">
        <v>96</v>
      </c>
      <c r="D27" s="3">
        <v>482.98950000000002</v>
      </c>
    </row>
    <row r="28" spans="1:4" x14ac:dyDescent="0.25">
      <c r="A28" t="s">
        <v>68</v>
      </c>
      <c r="B28">
        <v>19</v>
      </c>
      <c r="C28" t="s">
        <v>96</v>
      </c>
      <c r="D28" s="3">
        <v>338.7396</v>
      </c>
    </row>
    <row r="29" spans="1:4" x14ac:dyDescent="0.25">
      <c r="A29" t="s">
        <v>69</v>
      </c>
      <c r="C29" t="s">
        <v>96</v>
      </c>
      <c r="D29" s="3">
        <v>530.63199999999995</v>
      </c>
    </row>
    <row r="30" spans="1:4" x14ac:dyDescent="0.25">
      <c r="A30" t="s">
        <v>70</v>
      </c>
      <c r="C30" t="s">
        <v>97</v>
      </c>
      <c r="D30" s="3">
        <v>90.155000000000001</v>
      </c>
    </row>
    <row r="31" spans="1:4" x14ac:dyDescent="0.25">
      <c r="A31" t="s">
        <v>71</v>
      </c>
      <c r="C31" t="s">
        <v>95</v>
      </c>
      <c r="D31" s="3">
        <v>297.255</v>
      </c>
    </row>
    <row r="32" spans="1:4" x14ac:dyDescent="0.25">
      <c r="A32" t="s">
        <v>57</v>
      </c>
      <c r="B32">
        <v>2</v>
      </c>
      <c r="C32" t="s">
        <v>90</v>
      </c>
    </row>
    <row r="33" spans="1:4" x14ac:dyDescent="0.25">
      <c r="A33" t="s">
        <v>72</v>
      </c>
      <c r="B33">
        <v>2</v>
      </c>
      <c r="C33" t="s">
        <v>93</v>
      </c>
    </row>
    <row r="34" spans="1:4" x14ac:dyDescent="0.25">
      <c r="A34" t="s">
        <v>73</v>
      </c>
      <c r="B34">
        <v>1</v>
      </c>
      <c r="C34" t="s">
        <v>92</v>
      </c>
      <c r="D34" s="3">
        <v>1.26</v>
      </c>
    </row>
    <row r="35" spans="1:4" x14ac:dyDescent="0.25">
      <c r="A35" t="s">
        <v>74</v>
      </c>
      <c r="B35">
        <v>1</v>
      </c>
      <c r="C35" t="s">
        <v>96</v>
      </c>
      <c r="D35" s="3">
        <v>15.21</v>
      </c>
    </row>
    <row r="36" spans="1:4" x14ac:dyDescent="0.25">
      <c r="A36" t="s">
        <v>75</v>
      </c>
      <c r="B36">
        <v>1</v>
      </c>
      <c r="C36" t="s">
        <v>96</v>
      </c>
      <c r="D36" s="3">
        <v>25.420500000000001</v>
      </c>
    </row>
    <row r="37" spans="1:4" x14ac:dyDescent="0.25">
      <c r="A37" t="s">
        <v>76</v>
      </c>
      <c r="B37">
        <v>1</v>
      </c>
      <c r="C37" t="s">
        <v>96</v>
      </c>
      <c r="D37" s="3">
        <v>17.828399999999998</v>
      </c>
    </row>
    <row r="38" spans="1:4" x14ac:dyDescent="0.25">
      <c r="A38" t="s">
        <v>77</v>
      </c>
      <c r="C38" t="s">
        <v>96</v>
      </c>
      <c r="D38" s="3">
        <v>27.928000000000001</v>
      </c>
    </row>
    <row r="39" spans="1:4" x14ac:dyDescent="0.25">
      <c r="A39" t="s">
        <v>78</v>
      </c>
      <c r="C39" t="s">
        <v>97</v>
      </c>
      <c r="D39" s="3">
        <v>4.7450000000000001</v>
      </c>
    </row>
    <row r="40" spans="1:4" x14ac:dyDescent="0.25">
      <c r="A40" t="s">
        <v>79</v>
      </c>
      <c r="C40" t="s">
        <v>95</v>
      </c>
      <c r="D40" s="3">
        <v>15.645</v>
      </c>
    </row>
    <row r="41" spans="1:4" x14ac:dyDescent="0.25">
      <c r="A41" t="s">
        <v>57</v>
      </c>
      <c r="B41">
        <v>2</v>
      </c>
      <c r="C41" t="s">
        <v>90</v>
      </c>
    </row>
    <row r="42" spans="1:4" x14ac:dyDescent="0.25">
      <c r="A42" t="s">
        <v>80</v>
      </c>
      <c r="B42">
        <v>7</v>
      </c>
      <c r="C42" t="s">
        <v>93</v>
      </c>
    </row>
    <row r="43" spans="1:4" x14ac:dyDescent="0.25">
      <c r="A43" t="s">
        <v>81</v>
      </c>
      <c r="B43">
        <v>2</v>
      </c>
      <c r="C43" t="s">
        <v>93</v>
      </c>
    </row>
    <row r="44" spans="1:4" x14ac:dyDescent="0.25">
      <c r="A44" t="s">
        <v>75</v>
      </c>
      <c r="B44">
        <v>1</v>
      </c>
      <c r="C44" t="s">
        <v>96</v>
      </c>
      <c r="D44" s="3">
        <v>25.420500000000001</v>
      </c>
    </row>
    <row r="45" spans="1:4" x14ac:dyDescent="0.25">
      <c r="A45" t="s">
        <v>76</v>
      </c>
      <c r="B45">
        <v>1</v>
      </c>
      <c r="C45" t="s">
        <v>96</v>
      </c>
      <c r="D45" s="3">
        <v>17.828399999999998</v>
      </c>
    </row>
    <row r="46" spans="1:4" x14ac:dyDescent="0.25">
      <c r="A46" t="s">
        <v>82</v>
      </c>
      <c r="C46" t="s">
        <v>96</v>
      </c>
      <c r="D46" s="3">
        <v>26.827999999999999</v>
      </c>
    </row>
    <row r="47" spans="1:4" x14ac:dyDescent="0.25">
      <c r="A47" t="s">
        <v>78</v>
      </c>
      <c r="C47" t="s">
        <v>97</v>
      </c>
      <c r="D47" s="3">
        <v>4.7450000000000001</v>
      </c>
    </row>
    <row r="48" spans="1:4" x14ac:dyDescent="0.25">
      <c r="A48" t="s">
        <v>79</v>
      </c>
      <c r="C48" t="s">
        <v>95</v>
      </c>
      <c r="D48" s="3">
        <v>15.645</v>
      </c>
    </row>
    <row r="49" spans="1:4" x14ac:dyDescent="0.25">
      <c r="A49" t="s">
        <v>57</v>
      </c>
      <c r="B49">
        <v>2</v>
      </c>
      <c r="C49" t="s">
        <v>90</v>
      </c>
    </row>
    <row r="50" spans="1:4" x14ac:dyDescent="0.25">
      <c r="A50" t="s">
        <v>83</v>
      </c>
      <c r="B50">
        <v>4</v>
      </c>
      <c r="C50" t="s">
        <v>93</v>
      </c>
    </row>
    <row r="51" spans="1:4" x14ac:dyDescent="0.25">
      <c r="A51" t="s">
        <v>73</v>
      </c>
      <c r="B51">
        <v>1</v>
      </c>
      <c r="C51" t="s">
        <v>92</v>
      </c>
      <c r="D51" s="3">
        <v>1.26</v>
      </c>
    </row>
    <row r="52" spans="1:4" x14ac:dyDescent="0.25">
      <c r="A52" t="s">
        <v>84</v>
      </c>
      <c r="B52">
        <v>1</v>
      </c>
      <c r="C52" t="s">
        <v>93</v>
      </c>
    </row>
    <row r="53" spans="1:4" x14ac:dyDescent="0.25">
      <c r="A53" t="s">
        <v>85</v>
      </c>
      <c r="B53">
        <v>1</v>
      </c>
      <c r="C53" t="s">
        <v>92</v>
      </c>
      <c r="D53" s="3">
        <v>10.5</v>
      </c>
    </row>
    <row r="54" spans="1:4" x14ac:dyDescent="0.25">
      <c r="A54" t="s">
        <v>75</v>
      </c>
      <c r="B54">
        <v>1</v>
      </c>
      <c r="C54" t="s">
        <v>96</v>
      </c>
      <c r="D54" s="3">
        <v>25.420500000000001</v>
      </c>
    </row>
    <row r="55" spans="1:4" x14ac:dyDescent="0.25">
      <c r="A55" t="s">
        <v>76</v>
      </c>
      <c r="B55">
        <v>1</v>
      </c>
      <c r="C55" t="s">
        <v>96</v>
      </c>
      <c r="D55" s="3">
        <v>17.828399999999998</v>
      </c>
    </row>
    <row r="56" spans="1:4" x14ac:dyDescent="0.25">
      <c r="A56" t="s">
        <v>77</v>
      </c>
      <c r="C56" t="s">
        <v>96</v>
      </c>
      <c r="D56" s="3">
        <v>27.928000000000001</v>
      </c>
    </row>
    <row r="57" spans="1:4" x14ac:dyDescent="0.25">
      <c r="A57" t="s">
        <v>78</v>
      </c>
      <c r="C57" t="s">
        <v>97</v>
      </c>
      <c r="D57" s="3">
        <v>4.7450000000000001</v>
      </c>
    </row>
    <row r="58" spans="1:4" x14ac:dyDescent="0.25">
      <c r="A58" t="s">
        <v>79</v>
      </c>
      <c r="C58" t="s">
        <v>95</v>
      </c>
      <c r="D58" s="3">
        <v>15.645</v>
      </c>
    </row>
    <row r="59" spans="1:4" x14ac:dyDescent="0.25">
      <c r="A59" t="s">
        <v>57</v>
      </c>
      <c r="B59">
        <v>2</v>
      </c>
      <c r="C59" t="s">
        <v>90</v>
      </c>
    </row>
    <row r="60" spans="1:4" x14ac:dyDescent="0.25">
      <c r="A60" t="s">
        <v>80</v>
      </c>
      <c r="B60">
        <v>7</v>
      </c>
      <c r="C60" t="s">
        <v>93</v>
      </c>
    </row>
    <row r="61" spans="1:4" x14ac:dyDescent="0.25">
      <c r="A61" t="s">
        <v>86</v>
      </c>
      <c r="B61">
        <v>1</v>
      </c>
      <c r="C61" t="s">
        <v>96</v>
      </c>
      <c r="D61" s="3">
        <v>5.61</v>
      </c>
    </row>
    <row r="62" spans="1:4" x14ac:dyDescent="0.25">
      <c r="A62" t="s">
        <v>87</v>
      </c>
      <c r="C62" t="s">
        <v>96</v>
      </c>
      <c r="D62" s="3">
        <v>69.707599999999999</v>
      </c>
    </row>
    <row r="63" spans="1:4" x14ac:dyDescent="0.25">
      <c r="A63" t="s">
        <v>78</v>
      </c>
      <c r="C63" t="s">
        <v>97</v>
      </c>
      <c r="D63" s="3">
        <v>4.7450000000000001</v>
      </c>
    </row>
    <row r="64" spans="1:4" x14ac:dyDescent="0.25">
      <c r="A64" t="s">
        <v>79</v>
      </c>
      <c r="C64" t="s">
        <v>95</v>
      </c>
      <c r="D64" s="3">
        <v>15.645</v>
      </c>
    </row>
    <row r="65" spans="1:4" x14ac:dyDescent="0.25">
      <c r="A65" t="s">
        <v>57</v>
      </c>
      <c r="B65">
        <v>2</v>
      </c>
      <c r="C65" t="s">
        <v>90</v>
      </c>
    </row>
    <row r="66" spans="1:4" x14ac:dyDescent="0.25">
      <c r="A66" t="s">
        <v>58</v>
      </c>
      <c r="B66">
        <v>2</v>
      </c>
      <c r="C66" t="s">
        <v>92</v>
      </c>
      <c r="D66" s="3">
        <v>2.94</v>
      </c>
    </row>
    <row r="67" spans="1:4" x14ac:dyDescent="0.25">
      <c r="A67" t="s">
        <v>88</v>
      </c>
      <c r="C67" t="s">
        <v>96</v>
      </c>
      <c r="D67" s="3">
        <v>32.372</v>
      </c>
    </row>
    <row r="68" spans="1:4" x14ac:dyDescent="0.25">
      <c r="A68" t="s">
        <v>78</v>
      </c>
      <c r="C68" t="s">
        <v>97</v>
      </c>
      <c r="D68" s="3">
        <v>4.7450000000000001</v>
      </c>
    </row>
  </sheetData>
  <autoFilter ref="A1:D68" xr:uid="{0567B2D4-1510-4D4F-9933-056D8A08AC12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19</vt:i4>
      </vt:variant>
      <vt:variant>
        <vt:lpstr>Intervalos Nomeados</vt:lpstr>
      </vt:variant>
      <vt:variant>
        <vt:i4>29</vt:i4>
      </vt:variant>
    </vt:vector>
  </HeadingPairs>
  <TitlesOfParts>
    <vt:vector size="48" baseType="lpstr">
      <vt:lpstr>DADOS_INICIAIS</vt:lpstr>
      <vt:lpstr>MOVIMENTAÇÃO_DE_TERRA</vt:lpstr>
      <vt:lpstr>CONTENÇÕES</vt:lpstr>
      <vt:lpstr>INFRAESTRUTURA</vt:lpstr>
      <vt:lpstr>SUPRAESTRUTURA</vt:lpstr>
      <vt:lpstr>ALVENARIA</vt:lpstr>
      <vt:lpstr>INSTALAÇÕES</vt:lpstr>
      <vt:lpstr>SISTEMAS ESPECIAIS</vt:lpstr>
      <vt:lpstr>IMPERMEABILIZAÇÃO</vt:lpstr>
      <vt:lpstr>PISO</vt:lpstr>
      <vt:lpstr>Rev. Internos Piso e Parede</vt:lpstr>
      <vt:lpstr>TETO</vt:lpstr>
      <vt:lpstr>Acabamentos de Piso e Parede</vt:lpstr>
      <vt:lpstr>PINTURA INTERNA</vt:lpstr>
      <vt:lpstr>ESQUADRIAS</vt:lpstr>
      <vt:lpstr>COBERTURA</vt:lpstr>
      <vt:lpstr>Rev. Fachada</vt:lpstr>
      <vt:lpstr>COMPLEMENTARES</vt:lpstr>
      <vt:lpstr>Auxiliar</vt:lpstr>
      <vt:lpstr>'Acabamentos de Piso e Parede'!Area_de_impressao</vt:lpstr>
      <vt:lpstr>ALVENARIA!Area_de_impressao</vt:lpstr>
      <vt:lpstr>COBERTURA!Area_de_impressao</vt:lpstr>
      <vt:lpstr>COMPLEMENTARES!Area_de_impressao</vt:lpstr>
      <vt:lpstr>CONTENÇÕES!Area_de_impressao</vt:lpstr>
      <vt:lpstr>DADOS_INICIAIS!Area_de_impressao</vt:lpstr>
      <vt:lpstr>ESQUADRIAS!Area_de_impressao</vt:lpstr>
      <vt:lpstr>IMPERMEABILIZAÇÃO!Area_de_impressao</vt:lpstr>
      <vt:lpstr>INFRAESTRUTURA!Area_de_impressao</vt:lpstr>
      <vt:lpstr>INSTALAÇÕES!Area_de_impressao</vt:lpstr>
      <vt:lpstr>MOVIMENTAÇÃO_DE_TERRA!Area_de_impressao</vt:lpstr>
      <vt:lpstr>'PINTURA INTERNA'!Area_de_impressao</vt:lpstr>
      <vt:lpstr>'Rev. Fachada'!Area_de_impressao</vt:lpstr>
      <vt:lpstr>'Rev. Internos Piso e Parede'!Area_de_impressao</vt:lpstr>
      <vt:lpstr>'SISTEMAS ESPECIAIS'!Area_de_impressao</vt:lpstr>
      <vt:lpstr>SUPRAESTRUTURA!Area_de_impressao</vt:lpstr>
      <vt:lpstr>TETO!Area_de_impressao</vt:lpstr>
      <vt:lpstr>'Acabamentos de Piso e Parede'!Titulos_de_impressao</vt:lpstr>
      <vt:lpstr>ALVENARIA!Titulos_de_impressao</vt:lpstr>
      <vt:lpstr>CONTENÇÕES!Titulos_de_impressao</vt:lpstr>
      <vt:lpstr>DADOS_INICIAIS!Titulos_de_impressao</vt:lpstr>
      <vt:lpstr>ESQUADRIAS!Titulos_de_impressao</vt:lpstr>
      <vt:lpstr>IMPERMEABILIZAÇÃO!Titulos_de_impressao</vt:lpstr>
      <vt:lpstr>INFRAESTRUTURA!Titulos_de_impressao</vt:lpstr>
      <vt:lpstr>'PINTURA INTERNA'!Titulos_de_impressao</vt:lpstr>
      <vt:lpstr>'Rev. Fachada'!Titulos_de_impressao</vt:lpstr>
      <vt:lpstr>'Rev. Internos Piso e Parede'!Titulos_de_impressao</vt:lpstr>
      <vt:lpstr>SUPRAESTRUTURA!Titulos_de_impressao</vt:lpstr>
      <vt:lpstr>TETO!Titulos_de_impressao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Kelen Oliveira</dc:creator>
  <cp:lastModifiedBy>Patricia Bragatto</cp:lastModifiedBy>
  <cp:lastPrinted>2020-09-28T02:21:03Z</cp:lastPrinted>
  <dcterms:created xsi:type="dcterms:W3CDTF">2013-07-31T19:52:57Z</dcterms:created>
  <dcterms:modified xsi:type="dcterms:W3CDTF">2024-09-12T11:14:14Z</dcterms:modified>
</cp:coreProperties>
</file>